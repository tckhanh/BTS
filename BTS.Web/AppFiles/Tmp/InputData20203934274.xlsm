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X:\2. KIEM DINH\2016\Nhap du lieu\"/>
    </mc:Choice>
  </mc:AlternateContent>
  <bookViews>
    <workbookView xWindow="0" yWindow="0" windowWidth="20490" windowHeight="7755" tabRatio="883" firstSheet="1" activeTab="1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'Input'!$A$1:$EJ$69</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<sst xmlns="http://schemas.openxmlformats.org/spreadsheetml/2006/main" count="7231" uniqueCount="7231">
  <si>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</si>
  <si>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</si>
  <si>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</si>
  <si>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</si>
  <si>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</si>
  <si>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</si>
  <si>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</si>
  <si>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</si>
  <si>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</si>
  <si>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</si>
  <si>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</si>
  <si>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</si>
  <si>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</si>
  <si>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</si>
  <si>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</si>
  <si>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</si>
  <si>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</si>
  <si>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</si>
  <si>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</si>
  <si>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</si>
  <si>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</si>
  <si>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</si>
  <si>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</si>
  <si>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</si>
  <si>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</si>
  <si>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</si>
  <si>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</si>
  <si>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</si>
  <si>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</si>
  <si>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</si>
  <si>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</si>
  <si>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</si>
  <si>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</si>
  <si>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</si>
  <si>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</si>
  <si>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</si>
  <si>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</si>
  <si>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</si>
  <si>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</si>
  <si>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</si>
  <si>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</si>
  <si>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</si>
  <si>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</si>
  <si>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</si>
  <si>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</si>
  <si>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</si>
  <si>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</si>
  <si>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</si>
  <si>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</si>
  <si>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</si>
  <si>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</si>
  <si>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</si>
  <si>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</si>
  <si>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</si>
  <si>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</si>
  <si>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</si>
  <si>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</si>
  <si>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</si>
  <si>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</si>
  <si>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</si>
  <si>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</si>
  <si>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</si>
  <si>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</si>
  <si>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</si>
  <si>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</si>
  <si>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</si>
  <si>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</si>
  <si>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</si>
  <si>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</si>
  <si>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</si>
  <si>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</si>
  <si>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</si>
  <si>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</si>
  <si>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</si>
  <si>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</si>
  <si>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</si>
  <si>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</si>
  <si>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</si>
  <si>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</si>
  <si>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</si>
  <si>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</si>
  <si>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</si>
  <si>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</si>
  <si>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</si>
  <si>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</si>
  <si>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</si>
  <si>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</si>
  <si>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</si>
  <si>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</si>
  <si>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</si>
  <si>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</si>
  <si>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</si>
  <si>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</si>
  <si>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</si>
  <si>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</si>
  <si>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</si>
  <si>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</si>
  <si>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</si>
  <si>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</si>
  <si>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</si>
  <si>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</si>
  <si>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</si>
  <si>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</si>
  <si>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</si>
  <si>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</si>
  <si>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</si>
  <si>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</si>
  <si>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</si>
  <si>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</si>
  <si>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</si>
  <si>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</si>
  <si>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</si>
  <si>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</si>
  <si>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</si>
  <si>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</si>
  <si>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</si>
  <si>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</si>
  <si>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</si>
  <si>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</si>
  <si>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</si>
  <si>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</si>
  <si>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</si>
  <si>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</si>
  <si>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</si>
  <si>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</si>
  <si>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</si>
  <si>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</si>
  <si>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</si>
  <si>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</si>
  <si>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</si>
  <si>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</si>
  <si>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</si>
  <si>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</si>
  <si>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</si>
  <si>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</si>
  <si>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</si>
  <si>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</si>
  <si>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</si>
  <si>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</si>
  <si>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</si>
  <si>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</si>
  <si>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</si>
  <si>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</si>
  <si>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</si>
  <si>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</si>
  <si>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</si>
  <si>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</si>
  <si>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</si>
  <si>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</si>
  <si>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</si>
  <si>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</si>
  <si>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</si>
  <si>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</si>
  <si>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</si>
  <si>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</si>
  <si>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</si>
  <si>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</si>
  <si>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</si>
  <si>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</si>
  <si>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</si>
  <si>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</si>
  <si>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</si>
  <si>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</si>
  <si>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</si>
  <si>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</si>
  <si>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</si>
  <si>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</si>
  <si>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</si>
  <si>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</si>
  <si>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</si>
  <si>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</si>
  <si>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</si>
  <si>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</si>
  <si>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</si>
  <si>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</si>
  <si>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</si>
  <si>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</si>
  <si>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</si>
  <si>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</si>
  <si>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</si>
  <si>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</si>
  <si>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</si>
  <si>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</si>
  <si>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</si>
  <si>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</si>
  <si>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</si>
  <si>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</si>
  <si>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</si>
  <si>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</si>
  <si>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</si>
  <si>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</si>
  <si>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</si>
  <si>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</si>
  <si>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</si>
  <si>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</si>
  <si>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</si>
  <si>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</si>
  <si>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</si>
  <si>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</si>
  <si>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</si>
  <si>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</si>
  <si>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</si>
  <si>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</si>
  <si>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</si>
  <si>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</si>
  <si>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</si>
  <si>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</si>
  <si>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</si>
  <si>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</si>
  <si>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</si>
  <si>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</si>
  <si>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</si>
  <si>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</si>
  <si>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</si>
  <si>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</si>
  <si>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</si>
  <si>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</si>
  <si>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</si>
  <si>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</si>
  <si>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</si>
  <si>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</si>
  <si>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</si>
  <si>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</si>
  <si>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</si>
  <si>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</si>
  <si>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</si>
  <si>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</si>
  <si>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</si>
  <si>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</si>
  <si>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</si>
  <si>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</si>
  <si>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</si>
  <si>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</si>
  <si>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</si>
  <si>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</si>
  <si>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</si>
  <si>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</si>
  <si>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</si>
  <si>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</si>
  <si>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</si>
  <si>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</si>
  <si>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</si>
  <si>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</si>
  <si>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</si>
  <si>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</si>
  <si>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</si>
  <si>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</si>
  <si>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</si>
  <si>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</si>
  <si>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</si>
  <si>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</si>
  <si>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</si>
  <si>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</si>
  <si>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</si>
  <si>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</si>
  <si>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</si>
  <si>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</si>
  <si>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</si>
  <si>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</si>
  <si>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</si>
  <si>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</si>
  <si>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</si>
  <si>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</si>
  <si>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</si>
  <si>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</si>
  <si>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</si>
  <si>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</si>
  <si>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</si>
  <si>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</si>
  <si>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</si>
  <si>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</si>
  <si>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</si>
  <si>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</si>
  <si>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</si>
  <si>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</si>
  <si>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</si>
  <si>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</si>
  <si>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</si>
  <si>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</si>
  <si>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</si>
  <si>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</si>
  <si>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</si>
  <si>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</si>
  <si>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</si>
  <si>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</si>
  <si>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</si>
  <si>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</si>
  <si>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</si>
  <si>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</si>
  <si>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</si>
  <si>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</si>
  <si>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</si>
  <si>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</si>
  <si>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</si>
  <si>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</si>
  <si>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</si>
  <si>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</si>
  <si>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</si>
  <si>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</si>
  <si>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</si>
  <si>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</si>
  <si>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</si>
  <si>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</si>
  <si>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</si>
  <si>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</si>
  <si>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</si>
  <si>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</si>
  <si>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</si>
  <si>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</si>
  <si>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</si>
  <si>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</si>
  <si>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</si>
  <si>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</si>
  <si>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</si>
  <si>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</si>
  <si>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</si>
  <si>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</si>
  <si>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</si>
  <si>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</si>
  <si>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</si>
  <si>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</si>
  <si>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</si>
  <si>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</si>
  <si>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</si>
  <si>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</si>
  <si>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</si>
  <si>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</si>
  <si>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</si>
  <si>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</si>
  <si>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</si>
  <si>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</si>
  <si>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</si>
  <si>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</si>
  <si>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</si>
  <si>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</si>
  <si>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</si>
  <si>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</si>
  <si>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</si>
  <si>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</si>
  <si>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</si>
  <si>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</si>
  <si>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</si>
  <si>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</si>
  <si>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</si>
  <si>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</si>
  <si>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</si>
  <si>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</si>
  <si>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</si>
  <si>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</si>
  <si>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</si>
  <si>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</si>
  <si>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</si>
  <si>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</si>
  <si>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</si>
  <si>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</si>
  <si>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</si>
  <si>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</si>
  <si>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</si>
  <si>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</si>
  <si>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</si>
  <si>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</si>
  <si>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</si>
  <si>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</si>
  <si>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</si>
  <si>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</si>
  <si>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</si>
  <si>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</si>
  <si>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</si>
  <si>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</si>
  <si>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</si>
  <si>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</si>
  <si>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</si>
  <si>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</si>
  <si>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</si>
  <si>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</si>
  <si>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</si>
  <si>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</si>
  <si>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</si>
  <si>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</si>
  <si>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</si>
  <si>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</si>
  <si>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</si>
  <si>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</si>
  <si>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</si>
  <si>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</si>
  <si>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</si>
  <si>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</si>
  <si>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</si>
  <si>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</si>
  <si>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</si>
  <si>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</si>
  <si>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</si>
  <si>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</si>
  <si>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</si>
  <si>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</si>
  <si>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</si>
  <si>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</si>
  <si>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</si>
  <si>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</si>
  <si>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</si>
  <si>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</si>
  <si>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</si>
  <si>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</si>
  <si>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</si>
  <si>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</si>
  <si>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</si>
  <si>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</si>
  <si>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</si>
  <si>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</si>
  <si>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</si>
  <si>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</si>
  <si>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</si>
  <si>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</si>
  <si>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</si>
  <si>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</si>
  <si>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</si>
  <si>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</si>
  <si>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</si>
  <si>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</si>
  <si>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</si>
  <si>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</si>
  <si>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</si>
  <si>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</si>
  <si>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</si>
  <si>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</si>
  <si>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</si>
  <si>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</si>
  <si>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</si>
  <si>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</si>
  <si>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</si>
  <si>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</si>
  <si>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</si>
  <si>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</si>
  <si>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</si>
  <si>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</si>
  <si>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</si>
  <si>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</si>
  <si>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</si>
  <si>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</si>
  <si>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</si>
  <si>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</si>
  <si>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</si>
  <si>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</si>
  <si>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</si>
  <si>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</si>
  <si>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</si>
  <si>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</si>
  <si>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</si>
  <si>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</si>
  <si>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</si>
  <si>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</si>
  <si>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</si>
  <si>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</si>
  <si>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</si>
  <si>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</si>
  <si>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</si>
  <si>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</si>
  <si>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</si>
  <si>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</si>
  <si>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</si>
  <si>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</si>
  <si>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</si>
  <si>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</si>
  <si>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</si>
  <si>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</si>
  <si>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</si>
  <si>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</si>
  <si>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</si>
  <si>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</si>
  <si>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</si>
  <si>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</si>
  <si>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</si>
  <si>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</si>
  <si>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</si>
  <si>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</si>
  <si>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</si>
  <si>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</si>
  <si>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</si>
  <si>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</si>
  <si>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</si>
  <si>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</si>
  <si>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</si>
  <si>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</si>
  <si>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</si>
  <si>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</si>
  <si>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</si>
  <si>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</si>
  <si>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</si>
  <si>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</si>
  <si>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</si>
  <si>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</si>
  <si>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</si>
  <si>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</si>
  <si>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</si>
  <si>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</si>
  <si>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</si>
  <si>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</si>
  <si>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</si>
  <si>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</si>
  <si>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</si>
  <si>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</si>
  <si>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</si>
  <si>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</si>
  <si>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</si>
  <si>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</si>
  <si>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</si>
  <si>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</si>
  <si>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</si>
  <si>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</si>
  <si>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</si>
  <si>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</si>
  <si>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</si>
  <si>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</si>
  <si>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</si>
  <si>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</si>
  <si>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</si>
  <si>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</si>
  <si>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</si>
  <si>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</si>
  <si>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</si>
  <si>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</si>
  <si>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</si>
  <si>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</si>
  <si>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</si>
  <si>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</si>
  <si>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</si>
  <si>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</si>
  <si>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</si>
  <si>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</si>
  <si>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</si>
  <si>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</si>
  <si>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</si>
  <si>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</si>
  <si>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</si>
  <si>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</si>
  <si>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</si>
  <si>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</si>
  <si>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</si>
  <si>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</si>
  <si>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</si>
  <si>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</si>
  <si>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</si>
  <si>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</si>
  <si>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</si>
  <si>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</si>
  <si>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</si>
  <si>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</si>
  <si>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</si>
  <si>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</si>
  <si>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</si>
  <si>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</si>
  <si>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</si>
  <si>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</si>
  <si>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</si>
  <si>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</si>
  <si>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</si>
  <si>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</si>
  <si>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</si>
  <si>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</si>
  <si>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</si>
  <si>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</si>
  <si>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</si>
  <si>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</si>
  <si>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</si>
  <si>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</si>
  <si>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</si>
  <si>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</si>
  <si>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</si>
  <si>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</si>
  <si>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</si>
  <si>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</si>
  <si>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</si>
  <si>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</si>
  <si>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</si>
  <si>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</si>
  <si>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1502368</t>
  </si>
  <si>
    <t>TỔNG CÔNG TY MẠNG LƯỚI VIETTEL</t>
  </si>
  <si>
    <t>Số 790, quốc lộ 1A, phường Bình Hưng Hòa B, quận Bình Tân, thành phố Hồ Chí Minh.</t>
  </si>
  <si>
    <t>106,59214</t>
  </si>
  <si>
    <t>10,7761</t>
  </si>
  <si>
    <t>1502368/16/TG/TT2</t>
  </si>
  <si>
    <t>B01953230916TG05</t>
  </si>
  <si>
    <t>01953</t>
  </si>
  <si>
    <t>230916</t>
  </si>
  <si>
    <t>23/09/2016</t>
  </si>
  <si>
    <t>23/09/2021</t>
  </si>
  <si>
    <t>HCM2190</t>
  </si>
  <si>
    <t>HUAWEI DBS3900</t>
  </si>
  <si>
    <t>4</t>
  </si>
  <si>
    <t>4/4/4</t>
  </si>
  <si>
    <t>20</t>
  </si>
  <si>
    <t>20,00W/20,00W/20,00W</t>
  </si>
  <si>
    <t>900</t>
  </si>
  <si>
    <t>27m/ 27m/ 27m</t>
  </si>
  <si>
    <t>1800</t>
  </si>
  <si>
    <t>30m/ 30m/ 30m</t>
  </si>
  <si>
    <t>2</t>
  </si>
  <si>
    <t>2/2/2</t>
  </si>
  <si>
    <t>40</t>
  </si>
  <si>
    <t>40,00W/40,00W/40,00W</t>
  </si>
  <si>
    <t>2100</t>
  </si>
  <si>
    <t/>
  </si>
  <si>
    <t>3-3</t>
  </si>
  <si>
    <t>CHUNG</t>
  </si>
  <si>
    <t>KHÁC</t>
  </si>
  <si>
    <t>1502371</t>
  </si>
  <si>
    <t>Số 1018/13, đường Hương Lộ 2, phường Bình Trị Đông A, quận Bình Tân, thành phố Hồ Chí Minh.</t>
  </si>
  <si>
    <t>106,59191</t>
  </si>
  <si>
    <t>10,77035</t>
  </si>
  <si>
    <t>1502371/16/TG/TT2</t>
  </si>
  <si>
    <t>B01954230916TG05</t>
  </si>
  <si>
    <t>01954</t>
  </si>
  <si>
    <t>HCM4215</t>
  </si>
  <si>
    <t>24m/ 24m/ 24m</t>
  </si>
  <si>
    <t>2-2</t>
  </si>
  <si>
    <t>1502372</t>
  </si>
  <si>
    <t>Số 32, đường số 1, khu dân cư Lê Thành, phường An Lạc, quận Bình Tân, thành phố Hồ Chí Minh.</t>
  </si>
  <si>
    <t>106,61787</t>
  </si>
  <si>
    <t>10,71977</t>
  </si>
  <si>
    <t>1502372/16/TG/TT2</t>
  </si>
  <si>
    <t>B01955230916TG05</t>
  </si>
  <si>
    <t>01955</t>
  </si>
  <si>
    <t>HCM4414</t>
  </si>
  <si>
    <t>1-1</t>
  </si>
  <si>
    <t>1502373</t>
  </si>
  <si>
    <t>Số 67, đường An Dương Vương, phường An Lạc, quận Bình Tân, thành phố Hồ Chí Minh.</t>
  </si>
  <si>
    <t>106,61887</t>
  </si>
  <si>
    <t>10,71683</t>
  </si>
  <si>
    <t>1502373/16/TG/TT2</t>
  </si>
  <si>
    <t>B01956230916TG05</t>
  </si>
  <si>
    <t>01956</t>
  </si>
  <si>
    <t>HCM4415</t>
  </si>
  <si>
    <t>1502375</t>
  </si>
  <si>
    <t>Số 52, đường số 4, phường Bình Hưng Hòa B, quận Bình Tân, thành phố Hồ Chí Minh.</t>
  </si>
  <si>
    <t>106,594105</t>
  </si>
  <si>
    <t>10,796769</t>
  </si>
  <si>
    <t>1502375/16/TG/TT2</t>
  </si>
  <si>
    <t>B01957230916TG05</t>
  </si>
  <si>
    <t>01957</t>
  </si>
  <si>
    <t>HCM4130</t>
  </si>
  <si>
    <t>1502376</t>
  </si>
  <si>
    <t>Ngã tư Lê Ngưng-Cao tốc Trung Lương, phường Tân Tạo A, quận Bình Tân, thành phố Hồ Chí Minh.</t>
  </si>
  <si>
    <t>106,579983</t>
  </si>
  <si>
    <t>10,743939</t>
  </si>
  <si>
    <t>1502376/16/TG/TT2</t>
  </si>
  <si>
    <t>B01958230916TG05</t>
  </si>
  <si>
    <t>01958</t>
  </si>
  <si>
    <t>HCM4412</t>
  </si>
  <si>
    <t>HCM785B</t>
  </si>
  <si>
    <t>34m/ 34m/ 34m</t>
  </si>
  <si>
    <t>1502377</t>
  </si>
  <si>
    <t>Hẻm 150, đường Hồ Ngọc Lãm, phường An Lạc, quận Bình Tân, thành phố Hồ Chí Minh.</t>
  </si>
  <si>
    <t>106,6065</t>
  </si>
  <si>
    <t>10,7147</t>
  </si>
  <si>
    <t>1502377/16/TG/TT2</t>
  </si>
  <si>
    <t>B01959230916TG05</t>
  </si>
  <si>
    <t>01959</t>
  </si>
  <si>
    <t>HCM4416</t>
  </si>
  <si>
    <t>20m/ 20m/ 20m</t>
  </si>
  <si>
    <t>HCM2209</t>
  </si>
  <si>
    <t>1502378</t>
  </si>
  <si>
    <t>Ấp 4, xã Vĩnh Lộc B, huyện Bình Chánh, thành phố Hồ Chí Minh.</t>
  </si>
  <si>
    <t>106,584945</t>
  </si>
  <si>
    <t>10,777918</t>
  </si>
  <si>
    <t>1502378/16/TG/TT2</t>
  </si>
  <si>
    <t>B01960230916TG05</t>
  </si>
  <si>
    <t>01960</t>
  </si>
  <si>
    <t>HCM2110</t>
  </si>
  <si>
    <t>1502379</t>
  </si>
  <si>
    <t>Số D10/13, ấp 4, xã Vĩnh Lộc A, huyện Bình Chánh, thành phố Hồ Chí Minh.</t>
  </si>
  <si>
    <t>106,56638</t>
  </si>
  <si>
    <t>10,83246</t>
  </si>
  <si>
    <t>1502379/16/TG/TT2</t>
  </si>
  <si>
    <t>B01961230916TG05</t>
  </si>
  <si>
    <t>01961</t>
  </si>
  <si>
    <t>Yes</t>
  </si>
  <si>
    <t>HCM2212</t>
  </si>
  <si>
    <t>1502380</t>
  </si>
  <si>
    <t>Số G12/21, ấp 3, xã Lê Minh Xuân, huyện Bình Chánh, thành phố Hồ Chí Minh.</t>
  </si>
  <si>
    <t>106,548103</t>
  </si>
  <si>
    <t>10,763037</t>
  </si>
  <si>
    <t>1502380/16/TG/TT2</t>
  </si>
  <si>
    <t>B01962230916TG05</t>
  </si>
  <si>
    <t>01962</t>
  </si>
  <si>
    <t>HCM2222</t>
  </si>
  <si>
    <t>1502381</t>
  </si>
  <si>
    <t>Ấp 3, xã Lê Minh Xuân, huyện Bình Chánh, thành phố Hồ Chí Minh.</t>
  </si>
  <si>
    <t>106,527641</t>
  </si>
  <si>
    <t>10,772458</t>
  </si>
  <si>
    <t>1502381/16/TG/TT2</t>
  </si>
  <si>
    <t>B01963230916TG05</t>
  </si>
  <si>
    <t>01963</t>
  </si>
  <si>
    <t>HCM2226</t>
  </si>
  <si>
    <t>1502382</t>
  </si>
  <si>
    <t>Số 888/6, đường Lê Văn Lương, xã Nhơn Đức, huyện Bình Chánh, thành phố Hồ Chí Minh.</t>
  </si>
  <si>
    <t>106,70084</t>
  </si>
  <si>
    <t>10,68607</t>
  </si>
  <si>
    <t>1502382/16/TG/TT2</t>
  </si>
  <si>
    <t>B01964230916TG05</t>
  </si>
  <si>
    <t>01964</t>
  </si>
  <si>
    <t>HCM2230</t>
  </si>
  <si>
    <t>1502383</t>
  </si>
  <si>
    <t>Ấp 1, xã Tân Kiên, huyện Bình Chánh, thành phố Hồ Chí Minh.</t>
  </si>
  <si>
    <t>106,580956</t>
  </si>
  <si>
    <t>10,724742</t>
  </si>
  <si>
    <t>1502383/16/TG/TT2</t>
  </si>
  <si>
    <t>B01965230916TG05</t>
  </si>
  <si>
    <t>01965</t>
  </si>
  <si>
    <t>HCM2232</t>
  </si>
  <si>
    <t>28m/ 28m/ 28m</t>
  </si>
  <si>
    <t>1502384</t>
  </si>
  <si>
    <t>Số C5/38, ấp 3, xã Bình Chánh, huyện Bình Chánh, thành phố Hồ Chí Minh.</t>
  </si>
  <si>
    <t>106,57595</t>
  </si>
  <si>
    <t>10,661018</t>
  </si>
  <si>
    <t>1502384/16/TG/TT2</t>
  </si>
  <si>
    <t>B01966230916TG05</t>
  </si>
  <si>
    <t>01966</t>
  </si>
  <si>
    <t>HCM2242</t>
  </si>
  <si>
    <t>1502386</t>
  </si>
  <si>
    <t>Ấp 1, xã Vĩnh Lộc A, huyện Bình Chánh, thành phố Hồ Chí Minh.</t>
  </si>
  <si>
    <t>106,55921</t>
  </si>
  <si>
    <t>10,80846</t>
  </si>
  <si>
    <t>1502386/16/TG/TT2</t>
  </si>
  <si>
    <t>B01967230916TG05</t>
  </si>
  <si>
    <t>01967</t>
  </si>
  <si>
    <t>HCM2257</t>
  </si>
  <si>
    <t>39m/ 39m/ 39m</t>
  </si>
  <si>
    <t>1502387</t>
  </si>
  <si>
    <t>Ấp 5, xã Vĩnh Lộc A, huyện Bình Chánh, thành phố Hồ Chí Minh.</t>
  </si>
  <si>
    <t>106,574855</t>
  </si>
  <si>
    <t>10,82464</t>
  </si>
  <si>
    <t>1502387/16/TG/TT2</t>
  </si>
  <si>
    <t>B01968230916TG05</t>
  </si>
  <si>
    <t>01968</t>
  </si>
  <si>
    <t>HCM2259</t>
  </si>
  <si>
    <t>1502388</t>
  </si>
  <si>
    <t>Số E6/162, ấp 5, xã Phong Phú, huyện Bình Chánh, thành phố Hồ Chí Minh.</t>
  </si>
  <si>
    <t>106,654419</t>
  </si>
  <si>
    <t>10,702732</t>
  </si>
  <si>
    <t>1502388/16/TG/TT2</t>
  </si>
  <si>
    <t>B01969230916TG05</t>
  </si>
  <si>
    <t>01969</t>
  </si>
  <si>
    <t>HCM2284</t>
  </si>
  <si>
    <t>1502389</t>
  </si>
  <si>
    <t>Số A28/27, ấp 1, xã Bình Hưng, huyện Bình Chánh, thành phố Hồ Chí Minh.</t>
  </si>
  <si>
    <t>106,65756</t>
  </si>
  <si>
    <t>10,73023</t>
  </si>
  <si>
    <t>1502389/16/TG/TT2</t>
  </si>
  <si>
    <t>B01970230916TG05</t>
  </si>
  <si>
    <t>01970</t>
  </si>
  <si>
    <t>HCM2285</t>
  </si>
  <si>
    <t>23m/ 23m/ 23m</t>
  </si>
  <si>
    <t>1502390</t>
  </si>
  <si>
    <t>Số E13/22, ấp 5, xã Vĩnh Lộc A, huyện Bình Chánh, thành phố Hồ Chí Minh.</t>
  </si>
  <si>
    <t>106,57468</t>
  </si>
  <si>
    <t>10,83455</t>
  </si>
  <si>
    <t>1502390/16/TG/TT2</t>
  </si>
  <si>
    <t>B01971230916TG05</t>
  </si>
  <si>
    <t>01971</t>
  </si>
  <si>
    <t>HCM2301</t>
  </si>
  <si>
    <t>1502391</t>
  </si>
  <si>
    <t>Số B2/25/2, quốc lộ 50, xã Đa Phước, huyện Bình Chánh, thành phố Hồ Chí Minh.</t>
  </si>
  <si>
    <t>106,651824</t>
  </si>
  <si>
    <t>10,66602</t>
  </si>
  <si>
    <t>1502391/16/TG/TT2</t>
  </si>
  <si>
    <t>B01972230916TG05</t>
  </si>
  <si>
    <t>01972</t>
  </si>
  <si>
    <t>HCM2306</t>
  </si>
  <si>
    <t>1502392</t>
  </si>
  <si>
    <t>Số A1/6, đường Đoàn Nguyễn Tuân, xã Tân Quý Tây, huyện Bình Chánh, thành phố Hồ Chí Minh.</t>
  </si>
  <si>
    <t>106,604385</t>
  </si>
  <si>
    <t>10,660769</t>
  </si>
  <si>
    <t>1502392/16/TG/TT2</t>
  </si>
  <si>
    <t>B01973230916TG05</t>
  </si>
  <si>
    <t>01973</t>
  </si>
  <si>
    <t>HCM2307</t>
  </si>
  <si>
    <t>1502393</t>
  </si>
  <si>
    <t>Số C15/27H, đường Huỳnh Bá Chánh, ấp 3, xã Tân Kiên, huyện Bình Chánh, thành phố Hồ Chí Minh.</t>
  </si>
  <si>
    <t>106,603218</t>
  </si>
  <si>
    <t>10,708873</t>
  </si>
  <si>
    <t>1502393/16/TG/TT2</t>
  </si>
  <si>
    <t>B01974230916TG05</t>
  </si>
  <si>
    <t>01974</t>
  </si>
  <si>
    <t>HCM4012</t>
  </si>
  <si>
    <t>1502394</t>
  </si>
  <si>
    <t>Số 100, đường số 5, khu dân cư ấp 5, xã Phong Phú, huyện Bình Chánh, thành phố Hồ Chí Minh.</t>
  </si>
  <si>
    <t>106,646347</t>
  </si>
  <si>
    <t>10,724739</t>
  </si>
  <si>
    <t>1502394/16/TG/TT2</t>
  </si>
  <si>
    <t>B01975230916TG05</t>
  </si>
  <si>
    <t>01975</t>
  </si>
  <si>
    <t>HCM4491</t>
  </si>
  <si>
    <t>31m/ 31m/ 31m</t>
  </si>
  <si>
    <t>1502395</t>
  </si>
  <si>
    <t>Ấp 1, xã Tân Nhật, huyện Bình Chánh, thành phố Hồ Chí Minh.</t>
  </si>
  <si>
    <t>106,53625</t>
  </si>
  <si>
    <t>10,72206</t>
  </si>
  <si>
    <t>1502395/16/TG/TT2</t>
  </si>
  <si>
    <t>B01976230916TG05</t>
  </si>
  <si>
    <t>01976</t>
  </si>
  <si>
    <t>33m/ 33m/ 33m</t>
  </si>
  <si>
    <t>40m/ 40m/ 40m</t>
  </si>
  <si>
    <t>1502396</t>
  </si>
  <si>
    <t>Số 122/2/4, đường Nguyễn Văn Tạo, xã Long Thới, huyện Nhà Bè, thành phố Hồ Chí Minh.</t>
  </si>
  <si>
    <t>106,72519</t>
  </si>
  <si>
    <t>10,66455</t>
  </si>
  <si>
    <t>1502396/16/TG/TT2</t>
  </si>
  <si>
    <t>B01977230916TG05</t>
  </si>
  <si>
    <t>01977</t>
  </si>
  <si>
    <t>29m/ 29m/ 29m</t>
  </si>
  <si>
    <t>1502397</t>
  </si>
  <si>
    <t>Số 18/1, đường Nguyễn Bình, xã Phú Xuân, huyện Nhà Bè, thành phố Hồ Chí Minh.</t>
  </si>
  <si>
    <t>106,73048</t>
  </si>
  <si>
    <t>10,67242</t>
  </si>
  <si>
    <t>1502397/16/TG/TT2</t>
  </si>
  <si>
    <t>B01978230916TG05</t>
  </si>
  <si>
    <t>01978</t>
  </si>
  <si>
    <t>HCM2218</t>
  </si>
  <si>
    <t>25m/ 25m/ 25m</t>
  </si>
  <si>
    <t>1502398</t>
  </si>
  <si>
    <t>Số 179, đường Nguyễn Bình, xã Phú Xuân, huyện Nhà Bè, thành phố Hồ Chí Minh.</t>
  </si>
  <si>
    <t>106,74492</t>
  </si>
  <si>
    <t>10,67591</t>
  </si>
  <si>
    <t>1502398/16/TG/TT2</t>
  </si>
  <si>
    <t>B01979230916TG05</t>
  </si>
  <si>
    <t>01979</t>
  </si>
  <si>
    <t>HCM2219</t>
  </si>
  <si>
    <t>1502399</t>
  </si>
  <si>
    <t>Số 769B, đường Huỳnh Tấn Phát, xã Phú Xuân, huyện Nhà Bè, thành phố Hồ Chí Minh.</t>
  </si>
  <si>
    <t>106,75310</t>
  </si>
  <si>
    <t>10,67851</t>
  </si>
  <si>
    <t>1502399/16/TG/TT2</t>
  </si>
  <si>
    <t>B01980230916TG05</t>
  </si>
  <si>
    <t>01980</t>
  </si>
  <si>
    <t>HCM2221</t>
  </si>
  <si>
    <t>1502400</t>
  </si>
  <si>
    <t>Số 64/6/35/17, đường Đào Tông Nguyên, xã Phú Xuân, huyện Nhà Bè, thành phố Hồ Chí Minh.</t>
  </si>
  <si>
    <t>106,75365</t>
  </si>
  <si>
    <t>10,68303</t>
  </si>
  <si>
    <t>1502400/16/TG/TT2</t>
  </si>
  <si>
    <t>B01981230916TG05</t>
  </si>
  <si>
    <t>01981</t>
  </si>
  <si>
    <t>HCM2224</t>
  </si>
  <si>
    <t>1502401</t>
  </si>
  <si>
    <t>Số 415, đường Lê Văn Lương, xã Phước Kiểng, huyện Nhà Bè, thành phố Hồ Chí Minh.</t>
  </si>
  <si>
    <t>106,70509</t>
  </si>
  <si>
    <t>10,69572</t>
  </si>
  <si>
    <t>1502401/16/TG/TT2</t>
  </si>
  <si>
    <t>B01982230916TG05</t>
  </si>
  <si>
    <t>01982</t>
  </si>
  <si>
    <t>HCM2234</t>
  </si>
  <si>
    <t>1502402</t>
  </si>
  <si>
    <t>Số 107/5B, ấp 1, xã Hiệp Phước, huyện Nhà Bè, thành phố Hồ Chí Minh.</t>
  </si>
  <si>
    <t>106,73674</t>
  </si>
  <si>
    <t>10,63179</t>
  </si>
  <si>
    <t>1502402/16/TG/TT2</t>
  </si>
  <si>
    <t>B01983230916TG05</t>
  </si>
  <si>
    <t>01983</t>
  </si>
  <si>
    <t>HCM4362</t>
  </si>
  <si>
    <t>1502403</t>
  </si>
  <si>
    <t>Số 91A, đường Nguyễn Văn Tạo, ấp Long Thới, xã Long Thới, huyện Nhà Bè, thành phố Hồ Chí Minh.</t>
  </si>
  <si>
    <t>106,731596</t>
  </si>
  <si>
    <t>10,649405</t>
  </si>
  <si>
    <t>1502403/16/TG/TT2</t>
  </si>
  <si>
    <t>B01984230916TG05</t>
  </si>
  <si>
    <t>01984</t>
  </si>
  <si>
    <t>HCM4495</t>
  </si>
  <si>
    <t>1502404</t>
  </si>
  <si>
    <t>Số 115/02, khu phố Phong Thạnh, thị trấn Cần Thạnh, huyện Cần Giờ, thành phố Hồ Chí Minh.</t>
  </si>
  <si>
    <t>106,97017</t>
  </si>
  <si>
    <t>10,41597</t>
  </si>
  <si>
    <t>1502404/16/TG/TT2</t>
  </si>
  <si>
    <t>B01985230916TG05</t>
  </si>
  <si>
    <t>01985</t>
  </si>
  <si>
    <t>HCM2260</t>
  </si>
  <si>
    <t>1502405</t>
  </si>
  <si>
    <t>Số 11A, ấp Hòa Hiệp, xã Long Hòa, huyện Cần Giờ, thành phố Hồ Chí Minh.</t>
  </si>
  <si>
    <t>106,92063</t>
  </si>
  <si>
    <t>10,40291</t>
  </si>
  <si>
    <t>1502405/16/TG/TT2</t>
  </si>
  <si>
    <t>B01986230916TG05</t>
  </si>
  <si>
    <t>01986</t>
  </si>
  <si>
    <t>HCM2262</t>
  </si>
  <si>
    <t>1502406</t>
  </si>
  <si>
    <t>Số 1, đường Lương Văn Nho, thị trấn Cần Thạnh, huyện Cần Giờ, thành phố Hồ Chí Minh.</t>
  </si>
  <si>
    <t>106,96166</t>
  </si>
  <si>
    <t>10,41312</t>
  </si>
  <si>
    <t>1502406/16/TG/TT2</t>
  </si>
  <si>
    <t>B01987230916TG05</t>
  </si>
  <si>
    <t>01987</t>
  </si>
  <si>
    <t>HCM2263</t>
  </si>
  <si>
    <t>66m/ 66m/ 66m</t>
  </si>
  <si>
    <t>1502408</t>
  </si>
  <si>
    <t>Số 5-7, đường số 10, phường Tân Hưng, quận 7, thành phố Hồ Chí Minh.</t>
  </si>
  <si>
    <t>106,699458</t>
  </si>
  <si>
    <t>10,741527</t>
  </si>
  <si>
    <t>1502408/16/TG/TT2</t>
  </si>
  <si>
    <t>B01988230916TG05</t>
  </si>
  <si>
    <t>01988</t>
  </si>
  <si>
    <t>HCM1674</t>
  </si>
  <si>
    <t>1502409</t>
  </si>
  <si>
    <t>Số 36, đường 81, phường Tân Quy, quận 7, thành phố Hồ Chí Minh.</t>
  </si>
  <si>
    <t>106,706373</t>
  </si>
  <si>
    <t>10,740214</t>
  </si>
  <si>
    <t>1502409/16/TG/TT2</t>
  </si>
  <si>
    <t>B01989230916TG05</t>
  </si>
  <si>
    <t>01989</t>
  </si>
  <si>
    <t>HCM1679</t>
  </si>
  <si>
    <t>1502410</t>
  </si>
  <si>
    <t>Số 65, đường số 49, phường Bình Thuận, quận 7, thành phố Hồ Chí Minh.</t>
  </si>
  <si>
    <t>106,71614</t>
  </si>
  <si>
    <t>10,741459</t>
  </si>
  <si>
    <t>1502410/16/TG/TT2</t>
  </si>
  <si>
    <t>B01990230916TG05</t>
  </si>
  <si>
    <t>01990</t>
  </si>
  <si>
    <t>HCM1688</t>
  </si>
  <si>
    <t>1</t>
  </si>
  <si>
    <t>1/1/1</t>
  </si>
  <si>
    <t>1502411</t>
  </si>
  <si>
    <t>Số 6/5K, đường Tân Thuận Đông, phường Tân Thuận Đông, quận 7, thành phố Hồ Chí Minh.</t>
  </si>
  <si>
    <t>106,730798</t>
  </si>
  <si>
    <t>10,739055</t>
  </si>
  <si>
    <t>1502411/16/TG/TT2</t>
  </si>
  <si>
    <t>B01991230916TG05</t>
  </si>
  <si>
    <t>01991</t>
  </si>
  <si>
    <t>HCM2071</t>
  </si>
  <si>
    <t>1502412</t>
  </si>
  <si>
    <t>Số 803, đường Huỳnh Tấn Phát, phường Phú Thuận, quận 7, thành phố Hồ Chí Minh.</t>
  </si>
  <si>
    <t>106,73281</t>
  </si>
  <si>
    <t>10,73077</t>
  </si>
  <si>
    <t>1502412/16/TG/TT2</t>
  </si>
  <si>
    <t>B01992230916TG05</t>
  </si>
  <si>
    <t>01992</t>
  </si>
  <si>
    <t>HCM2072</t>
  </si>
  <si>
    <t>1502413</t>
  </si>
  <si>
    <t>Số 1536A, đường Huỳnh Tấn Phát, phường Phú Mỹ, quận 7, thành phố Hồ Chí Minh.</t>
  </si>
  <si>
    <t>106,73729</t>
  </si>
  <si>
    <t>10,70572</t>
  </si>
  <si>
    <t>1502413/16/TG/TT2</t>
  </si>
  <si>
    <t>B01993230916TG05</t>
  </si>
  <si>
    <t>01993</t>
  </si>
  <si>
    <t>HCM2073</t>
  </si>
  <si>
    <t>1502414</t>
  </si>
  <si>
    <t>Số 2, đường số 15, khu chế xuất Tân Thuận, phường Tân Thuận Đông, quận 7, thành phố Hồ Chí Minh.</t>
  </si>
  <si>
    <t>106,73964</t>
  </si>
  <si>
    <t>10,77074</t>
  </si>
  <si>
    <t>1502414/16/TG/TT2</t>
  </si>
  <si>
    <t>B01994230916TG05</t>
  </si>
  <si>
    <t>01994</t>
  </si>
  <si>
    <t>HCM4450</t>
  </si>
  <si>
    <t>1502417</t>
  </si>
  <si>
    <t>Số 115/14, khu phố 2, đường Phạm Hữu Lầu, phường Phú Mỹ, quận 7, thành phố Hồ Chí Minh.</t>
  </si>
  <si>
    <t>106,733652</t>
  </si>
  <si>
    <t>10,703778</t>
  </si>
  <si>
    <t>1502417/16/TG/TT2</t>
  </si>
  <si>
    <t>B01995230916TG05</t>
  </si>
  <si>
    <t>01995</t>
  </si>
  <si>
    <t>HCM4419</t>
  </si>
  <si>
    <t>18m/ 18m/ 18m</t>
  </si>
  <si>
    <t>19m/ 19m/ 19m</t>
  </si>
  <si>
    <t>1502418</t>
  </si>
  <si>
    <t>Số 96, đường Đoàn Văn Bơ, phường 9, quận 4, thành phố Hồ Chí Minh.</t>
  </si>
  <si>
    <t>106,70315</t>
  </si>
  <si>
    <t>10,76377</t>
  </si>
  <si>
    <t>1502418/16/TG/TT2</t>
  </si>
  <si>
    <t>B01996230916TG05</t>
  </si>
  <si>
    <t>01996</t>
  </si>
  <si>
    <t>HCM0852-11</t>
  </si>
  <si>
    <t>2/2</t>
  </si>
  <si>
    <t>40,00W/40,00W</t>
  </si>
  <si>
    <t>25m/ 25m</t>
  </si>
  <si>
    <t>1502420</t>
  </si>
  <si>
    <t>Số 306-308, đường Nguyễn Thiện Thuật, phường 3, quận 3, thành phố Hồ Chí Minh.</t>
  </si>
  <si>
    <t>106,677471</t>
  </si>
  <si>
    <t>10,770119</t>
  </si>
  <si>
    <t>1502420/16/TG/TT2</t>
  </si>
  <si>
    <t>B01997230916TG05</t>
  </si>
  <si>
    <t>01997</t>
  </si>
  <si>
    <t>HCM0260-11</t>
  </si>
  <si>
    <t>40,00W</t>
  </si>
  <si>
    <t>32m</t>
  </si>
  <si>
    <t>1502421</t>
  </si>
  <si>
    <t>Số 107P, đường Trương Định, phường 10, quận 3, thành phố Hồ Chí Minh.</t>
  </si>
  <si>
    <t>106,68825</t>
  </si>
  <si>
    <t>10,778863</t>
  </si>
  <si>
    <t>1502421/16/TG/TT2</t>
  </si>
  <si>
    <t>B01998230916TG05</t>
  </si>
  <si>
    <t>01998</t>
  </si>
  <si>
    <t>HCM1026-11</t>
  </si>
  <si>
    <t>18m</t>
  </si>
  <si>
    <t>1502422</t>
  </si>
  <si>
    <t>Số 47G, đường Trần Văn Đang, phường 9, quận 3, thành phố Hồ Chí Minh.</t>
  </si>
  <si>
    <t>106,67828</t>
  </si>
  <si>
    <t>10,78334</t>
  </si>
  <si>
    <t>1502422/16/TG/TT2</t>
  </si>
  <si>
    <t>B01999230916TG05</t>
  </si>
  <si>
    <t>01999</t>
  </si>
  <si>
    <t>HCM2083</t>
  </si>
  <si>
    <t>1502423</t>
  </si>
  <si>
    <t>Số 148Bis, đường Nam Kỳ Khởi Nghĩa, phường Bến Thành, quận 1, thành phố Hồ Chí Minh.</t>
  </si>
  <si>
    <t>106,69565</t>
  </si>
  <si>
    <t>10,77923</t>
  </si>
  <si>
    <t>1502423/16/TG/TT2</t>
  </si>
  <si>
    <t>B02000230916TG05</t>
  </si>
  <si>
    <t>02000</t>
  </si>
  <si>
    <t>HCM4378</t>
  </si>
  <si>
    <t>1502424</t>
  </si>
  <si>
    <t>Số 38, đường Đỗ Quang Đẩu, phường Phạm Ngũ Lão, quận 1, thành phố Hồ Chí Minh.</t>
  </si>
  <si>
    <t>106,69071</t>
  </si>
  <si>
    <t>10,767381</t>
  </si>
  <si>
    <t>1502424/16/TG/TT2</t>
  </si>
  <si>
    <t>B02001230916TG05</t>
  </si>
  <si>
    <t>02001</t>
  </si>
  <si>
    <t>HCM0181-12</t>
  </si>
  <si>
    <t>21m/ 21m</t>
  </si>
  <si>
    <t>1502427</t>
  </si>
  <si>
    <t>Số 490/23, đường Lý Thái Tổ, phường 10, quận 10, thành phố Hồ Chí Minh.</t>
  </si>
  <si>
    <t>106,67204</t>
  </si>
  <si>
    <t>10,76839</t>
  </si>
  <si>
    <t>1502427/16/TG/TT2</t>
  </si>
  <si>
    <t>B02002230916TG05</t>
  </si>
  <si>
    <t>02002</t>
  </si>
  <si>
    <t>HCM2053</t>
  </si>
  <si>
    <t>1502431</t>
  </si>
  <si>
    <t>Số 365/18, đường Hậu Giang, phường 11, quận 6, thành phố Hồ Chí Minh.</t>
  </si>
  <si>
    <t>106,639398</t>
  </si>
  <si>
    <t>10,748184</t>
  </si>
  <si>
    <t>1502431/16/TG/TT2</t>
  </si>
  <si>
    <t>B02003230916TG05</t>
  </si>
  <si>
    <t>02003</t>
  </si>
  <si>
    <t>HCM1673</t>
  </si>
  <si>
    <t>1502432</t>
  </si>
  <si>
    <t>Số 615, đường Phạm Văn Chí, phường 8, quận 6, thành phố Hồ Chí Minh.</t>
  </si>
  <si>
    <t>106,63966</t>
  </si>
  <si>
    <t>10,74069</t>
  </si>
  <si>
    <t>1502432/16/TG/TT2</t>
  </si>
  <si>
    <t>B02004230916TG05</t>
  </si>
  <si>
    <t>02004</t>
  </si>
  <si>
    <t>HCM1783</t>
  </si>
  <si>
    <t>1502433</t>
  </si>
  <si>
    <t>Số 294, đường Hưng Phú, phường 8, quận 8, thành phố Hồ Chí Minh.</t>
  </si>
  <si>
    <t>106,67705</t>
  </si>
  <si>
    <t>10,74941</t>
  </si>
  <si>
    <t>1502433/16/TG/TT2</t>
  </si>
  <si>
    <t>B02005230916TG05</t>
  </si>
  <si>
    <t>02005</t>
  </si>
  <si>
    <t>HCM2145</t>
  </si>
  <si>
    <t>1502434</t>
  </si>
  <si>
    <t>Số 2385/40, đường Phạm Thế Hiển, phường 7, quận 8, thành phố Hồ Chí Minh.</t>
  </si>
  <si>
    <t>106,64163</t>
  </si>
  <si>
    <t>10,72935</t>
  </si>
  <si>
    <t>1502434/16/TG/TT2</t>
  </si>
  <si>
    <t>B02006230916TG05</t>
  </si>
  <si>
    <t>02006</t>
  </si>
  <si>
    <t>HCM2147</t>
  </si>
  <si>
    <t>1502435</t>
  </si>
  <si>
    <t>Số 769/33, đường Phạm Thế Hiển, phường 4, quận 8, thành phố Hồ Chí Minh.</t>
  </si>
  <si>
    <t>106,67521</t>
  </si>
  <si>
    <t>10,74232</t>
  </si>
  <si>
    <t>1502435/16/TG/TT2</t>
  </si>
  <si>
    <t>B02007230916TG05</t>
  </si>
  <si>
    <t>02007</t>
  </si>
  <si>
    <t>HCM2150</t>
  </si>
  <si>
    <t>1502437</t>
  </si>
  <si>
    <t>Số 35, đường Bình Đức, phường 15, quận 8, thành phố Hồ Chí Minh.</t>
  </si>
  <si>
    <t>106,63324</t>
  </si>
  <si>
    <t>10,72328</t>
  </si>
  <si>
    <t>1502437/16/TG/TT2</t>
  </si>
  <si>
    <t>B02008230916TG05</t>
  </si>
  <si>
    <t>02008</t>
  </si>
  <si>
    <t>HCM2154</t>
  </si>
  <si>
    <t>1502438</t>
  </si>
  <si>
    <t>Số 2862, đường Phạm Thế Hiển, phường 7, quận 8, thành phố Hồ Chí Minh.</t>
  </si>
  <si>
    <t>106,63172</t>
  </si>
  <si>
    <t>10,71585</t>
  </si>
  <si>
    <t>1502438/16/TG/TT2</t>
  </si>
  <si>
    <t>B02009230916TG05</t>
  </si>
  <si>
    <t>02009</t>
  </si>
  <si>
    <t>HCM2155</t>
  </si>
  <si>
    <t>1502439</t>
  </si>
  <si>
    <t>Số 509, đường Phạm Thế Hiển, phường 4, quận 8, thành phố Hồ Chí Minh.</t>
  </si>
  <si>
    <t>106,678992</t>
  </si>
  <si>
    <t>10,74658</t>
  </si>
  <si>
    <t>1502439/16/TG/TT2</t>
  </si>
  <si>
    <t>B02010230916TG05</t>
  </si>
  <si>
    <t>02010</t>
  </si>
  <si>
    <t>HCM4452</t>
  </si>
  <si>
    <t>1502440</t>
  </si>
  <si>
    <t>Chợ Bình Điền, đường Nguyễn Văn Linh, phường 7, quận 8, thành phố Hồ Chí Minh.</t>
  </si>
  <si>
    <t>106,610958</t>
  </si>
  <si>
    <t>10,704208</t>
  </si>
  <si>
    <t>1502440/16/TG/TT2</t>
  </si>
  <si>
    <t>B02011230916TG05</t>
  </si>
  <si>
    <t>02011</t>
  </si>
  <si>
    <t>HCM4381</t>
  </si>
  <si>
    <t>1502441</t>
  </si>
  <si>
    <t>Số 18, đường Huỳnh Mẫn Đạt, phường 1, quận 5, thành phố Hồ Chí Minh.</t>
  </si>
  <si>
    <t>106,67717</t>
  </si>
  <si>
    <t>10,753739</t>
  </si>
  <si>
    <t>1502441/16/TG/TT2</t>
  </si>
  <si>
    <t>B02012230916TG05</t>
  </si>
  <si>
    <t>02012</t>
  </si>
  <si>
    <t>HCM0263-11</t>
  </si>
  <si>
    <t>25m</t>
  </si>
  <si>
    <t>1502442</t>
  </si>
  <si>
    <t>Số 764, đường Võ Văn Kiệt, phường 10, quận 5, thành phố Hồ Chí Minh.</t>
  </si>
  <si>
    <t>106,663754</t>
  </si>
  <si>
    <t>10,750509</t>
  </si>
  <si>
    <t>1502442/16/TG/TT2</t>
  </si>
  <si>
    <t>B02013230916TG05</t>
  </si>
  <si>
    <t>02013</t>
  </si>
  <si>
    <t>HCM2124</t>
  </si>
  <si>
    <t>1501443</t>
  </si>
  <si>
    <t>Thôn Thiện An, xã Thiện Nghiệp, thành phố Phan Thiết, tỉnh Bình Thuận.</t>
  </si>
  <si>
    <t>108,25715</t>
  </si>
  <si>
    <t xml:space="preserve"> 11,00644</t>
  </si>
  <si>
    <t>1501443/16/TG/TT2</t>
  </si>
  <si>
    <t>B02014171016TG05</t>
  </si>
  <si>
    <t>171016</t>
  </si>
  <si>
    <t>17/10/2016</t>
  </si>
  <si>
    <t>17/10/2021</t>
  </si>
  <si>
    <t>BTN0065-11</t>
  </si>
  <si>
    <t>46m/ 46m</t>
  </si>
  <si>
    <t>1501444</t>
  </si>
  <si>
    <t>Số 199, đường Nguyễn Thông, phường Phú Hài, thành phố Phan Thiết, tỉnh Bình Thuận.</t>
  </si>
  <si>
    <t>108,156007</t>
  </si>
  <si>
    <t xml:space="preserve"> 10,939027</t>
  </si>
  <si>
    <t>1501444/16/TG/TT2</t>
  </si>
  <si>
    <t>B02015171016TG05</t>
  </si>
  <si>
    <t>BTN0258-11</t>
  </si>
  <si>
    <t>40m/ 40m</t>
  </si>
  <si>
    <t>1501445</t>
  </si>
  <si>
    <t>Đường Võ Liêm Sơn, khu phố 11, phường Phú Thủy, thành phố Phan Thiết, tỉnh Bình Thuận.</t>
  </si>
  <si>
    <t>108,118363</t>
  </si>
  <si>
    <t xml:space="preserve"> 10,936474</t>
  </si>
  <si>
    <t>1501445/16/TG/TT2</t>
  </si>
  <si>
    <t>B02016171016TG05</t>
  </si>
  <si>
    <t>BTN0385</t>
  </si>
  <si>
    <t>26m/ 26m/ 26m</t>
  </si>
  <si>
    <t>1501446</t>
  </si>
  <si>
    <t>Khu phố 11, phường Mũi Né, thành phố Phan Thiết, tỉnh Bình Thuận.</t>
  </si>
  <si>
    <t>108,28313</t>
  </si>
  <si>
    <t xml:space="preserve"> 10,92569</t>
  </si>
  <si>
    <t>1501446/16/TG/TT2</t>
  </si>
  <si>
    <t>B02017171016TG05</t>
  </si>
  <si>
    <t>BTN0405</t>
  </si>
  <si>
    <t>1501447</t>
  </si>
  <si>
    <t>Thôn Bình An 3, xã Tân Bình, thị xã La Gi, tỉnh Bình Thuận.</t>
  </si>
  <si>
    <t>107,76771</t>
  </si>
  <si>
    <t xml:space="preserve"> 10,68559</t>
  </si>
  <si>
    <t>1501447/16/TG/TT2</t>
  </si>
  <si>
    <t>B02018171016TG05</t>
  </si>
  <si>
    <t>BTN0169-11</t>
  </si>
  <si>
    <t>1501448</t>
  </si>
  <si>
    <t>Đường Lê Văn Tám, khu phố 8, phường Tân An, thị xã La Gi, tỉnh Bình Thuận.</t>
  </si>
  <si>
    <t>107,74673</t>
  </si>
  <si>
    <t xml:space="preserve"> 10,6965</t>
  </si>
  <si>
    <t>1501448/16/TG/TT2</t>
  </si>
  <si>
    <t>B02019171016TG05</t>
  </si>
  <si>
    <t>BTN0172-11</t>
  </si>
  <si>
    <t>1501449</t>
  </si>
  <si>
    <t>Đường Võ Thị Sáu, khu phố 5, thị trấn Liên Hương, huyện Tuy Phong, tỉnh Bình Thuận.</t>
  </si>
  <si>
    <t>108,72747</t>
  </si>
  <si>
    <t xml:space="preserve"> 11,21911</t>
  </si>
  <si>
    <t>1501449/16/TG/TT2</t>
  </si>
  <si>
    <t>B02020171016TG05</t>
  </si>
  <si>
    <t>BTN0420</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</si>
  <si>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</si>
  <si>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</si>
  <si>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</si>
  <si>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</si>
  <si>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</si>
  <si>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</si>
  <si>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</si>
  <si>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</si>
  <si>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</si>
  <si>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</si>
  <si>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</si>
  <si>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VIETTEL-2016</t>
  </si>
  <si>
    <t>10/09/2016</t>
  </si>
  <si>
    <t>TỔNG CÔNG TY MẠNG LƯỚI VIETTEL;TỔNG CÔNG TY MẠNG LƯỚI VIETTEL;TỔNG CÔNG TY MẠNG LƯỚI VIETTEL</t>
  </si>
  <si>
    <t>HCM2190;HCM2190;HCM2190</t>
  </si>
  <si>
    <t>HUAWEI DBS3900;HUAWEI DBS3900;HUAWEI DBS3900</t>
  </si>
  <si>
    <t>3;3;3</t>
  </si>
  <si>
    <t>4/4/4;4/4/4;2/2/2</t>
  </si>
  <si>
    <t>20W/ 20W/ 20W;20W/ 20W/ 20W;40W/ 40W/ 40W</t>
  </si>
  <si>
    <t>900;1800;2100</t>
  </si>
  <si>
    <t>27m/ 27m/ 27m;30m/ 30m/ 30m;30m/ 30m/ 30m</t>
  </si>
  <si>
    <t>thành phố Hồ Chí Minh.</t>
  </si>
  <si>
    <t>quận Bình Tân</t>
  </si>
  <si>
    <t>phường Bình Hưng Hòa B</t>
  </si>
  <si>
    <t>VIETTEL-2016;VIETTEL-2016;VIETTEL-2016</t>
  </si>
  <si>
    <t>20W/ 20W/ 20W</t>
  </si>
  <si>
    <t>40W/ 40W/ 40W</t>
  </si>
  <si>
    <t>4-3</t>
  </si>
  <si>
    <t>KHAC</t>
  </si>
  <si>
    <t>11/09/2016</t>
  </si>
  <si>
    <t>TỔNG CÔNG TY MẠNG LƯỚI VIETTEL;TỔNG CÔNG TY MẠNG LƯỚI VIETTEL</t>
  </si>
  <si>
    <t>HCM4215;HCM4215</t>
  </si>
  <si>
    <t>HUAWEI DBS3900;HUAWEI DBS3900</t>
  </si>
  <si>
    <t>3;3</t>
  </si>
  <si>
    <t>4/4/4;2/2/2</t>
  </si>
  <si>
    <t>20W/ 20W/ 20W;40W/ 40W/ 40W</t>
  </si>
  <si>
    <t>1800;2100</t>
  </si>
  <si>
    <t>24m/ 24m/ 24m;24m/ 24m/ 24m</t>
  </si>
  <si>
    <t>phường Bình Trị Đông A</t>
  </si>
  <si>
    <t>VIETTEL-2016;VIETTEL-2016</t>
  </si>
  <si>
    <t>3-2</t>
  </si>
  <si>
    <t>3</t>
  </si>
  <si>
    <t>phường An Lạc</t>
  </si>
  <si>
    <t>3-1</t>
  </si>
  <si>
    <t>12/09/2016</t>
  </si>
  <si>
    <t>HCM4412;HCM785B</t>
  </si>
  <si>
    <t>2/2/2;2/2/2</t>
  </si>
  <si>
    <t>40W/ 40W/ 40W;40W/ 40W/ 40W</t>
  </si>
  <si>
    <t>900;2100</t>
  </si>
  <si>
    <t>30m/ 30m/ 30m;34m/ 34m/ 34m</t>
  </si>
  <si>
    <t>phường Tân Tạo A</t>
  </si>
  <si>
    <t>HCM4416;HCM2209</t>
  </si>
  <si>
    <t>20m/ 20m/ 20m;20m/ 20m/ 20m</t>
  </si>
  <si>
    <t>huyện Bình Chánh</t>
  </si>
  <si>
    <t>xã Vĩnh Lộc B</t>
  </si>
  <si>
    <t>xã Vĩnh Lộc A</t>
  </si>
  <si>
    <t>xã Lê Minh Xuân</t>
  </si>
  <si>
    <t>13/09/2016</t>
  </si>
  <si>
    <t>xã Nhơn Đức</t>
  </si>
  <si>
    <t>xã Tân Kiên</t>
  </si>
  <si>
    <t>xã Bình Chánh</t>
  </si>
  <si>
    <t>14/09/2016</t>
  </si>
  <si>
    <t>xã Phong Phú</t>
  </si>
  <si>
    <t>xã Bình Hưng</t>
  </si>
  <si>
    <t>xã Đa Phước</t>
  </si>
  <si>
    <t>xã Tân Quý Tây</t>
  </si>
  <si>
    <t>15/09/2016</t>
  </si>
  <si>
    <t>HCM4012;HCM4012</t>
  </si>
  <si>
    <t>23m/ 23m/ 23m;27m/ 27m/ 27m</t>
  </si>
  <si>
    <t>HCM785B;HCM785B</t>
  </si>
  <si>
    <t>33m/ 33m/ 33m;40m/ 40m/ 40m</t>
  </si>
  <si>
    <t>xã Tân Nhật</t>
  </si>
  <si>
    <t>HCM2209;HCM2209</t>
  </si>
  <si>
    <t>29m/ 29m/ 29m;34m/ 34m/ 34m</t>
  </si>
  <si>
    <t>huyện Nhà Bè</t>
  </si>
  <si>
    <t>xã Long Thới</t>
  </si>
  <si>
    <t>xã Phú Xuân</t>
  </si>
  <si>
    <t>16/09/2016</t>
  </si>
  <si>
    <t>xã Phước Kiểng</t>
  </si>
  <si>
    <t>xã Hiệp Phước</t>
  </si>
  <si>
    <t>HCM4495;HCM4495</t>
  </si>
  <si>
    <t>28m/ 28m/ 28m;34m/ 34m/ 34m</t>
  </si>
  <si>
    <t>huyện Cần Giờ</t>
  </si>
  <si>
    <t>thị trấn Cần Thạnh</t>
  </si>
  <si>
    <t>17/09/2016</t>
  </si>
  <si>
    <t>xã Long Hòa</t>
  </si>
  <si>
    <t>quận 7</t>
  </si>
  <si>
    <t>phường Tân Hưng</t>
  </si>
  <si>
    <t>phường Tân Quy</t>
  </si>
  <si>
    <t>phường Bình Thuận</t>
  </si>
  <si>
    <t>18/09/2016</t>
  </si>
  <si>
    <t>phường Tân Thuận Đông</t>
  </si>
  <si>
    <t>phường Phú Thuận</t>
  </si>
  <si>
    <t>phường Phú Mỹ</t>
  </si>
  <si>
    <t>19/09/2016</t>
  </si>
  <si>
    <t>HCM4419;HCM4419</t>
  </si>
  <si>
    <t>18m/ 18m/ 18m;19m/ 19m/ 19m</t>
  </si>
  <si>
    <t>40W/ 40W</t>
  </si>
  <si>
    <t>quận 4</t>
  </si>
  <si>
    <t>phường 9</t>
  </si>
  <si>
    <t>40W</t>
  </si>
  <si>
    <t>quận 3</t>
  </si>
  <si>
    <t>phường 3</t>
  </si>
  <si>
    <t>phường 10</t>
  </si>
  <si>
    <t>20/09/2016</t>
  </si>
  <si>
    <t>quận 1</t>
  </si>
  <si>
    <t>phường Bến Thành</t>
  </si>
  <si>
    <t>phường Phạm Ngũ Lão</t>
  </si>
  <si>
    <t>quận 10</t>
  </si>
  <si>
    <t>21/09/2016</t>
  </si>
  <si>
    <t>quận 6</t>
  </si>
  <si>
    <t>phường 11</t>
  </si>
  <si>
    <t>phường 8</t>
  </si>
  <si>
    <t>quận 8</t>
  </si>
  <si>
    <t>phường 7</t>
  </si>
  <si>
    <t>phường 4</t>
  </si>
  <si>
    <t>22/09/2016</t>
  </si>
  <si>
    <t>phường 15</t>
  </si>
  <si>
    <t>HCM4381;HCM4381</t>
  </si>
  <si>
    <t>quận 5</t>
  </si>
  <si>
    <t>phường 1</t>
  </si>
  <si>
    <t>03/10/2016</t>
  </si>
  <si>
    <t>tỉnh Bình Thuận.</t>
  </si>
  <si>
    <t>thành phố Phan Thiết</t>
  </si>
  <si>
    <t>xã Thiện Nghiệp</t>
  </si>
  <si>
    <t>04/10/2016</t>
  </si>
  <si>
    <t>phường Phú Hài</t>
  </si>
  <si>
    <t>phường Phú Thủy</t>
  </si>
  <si>
    <t>phường Mũi Né</t>
  </si>
  <si>
    <t>08/10/2016</t>
  </si>
  <si>
    <t>thị xã La Gi</t>
  </si>
  <si>
    <t>xã Tân Bình</t>
  </si>
  <si>
    <t>phường Tân An</t>
  </si>
  <si>
    <t>14/10/2016</t>
  </si>
  <si>
    <t>huyện Tuy Phong</t>
  </si>
  <si>
    <t>thị trấn Liên Hương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</si>
  <si>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</si>
  <si>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</si>
  <si>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</si>
  <si>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</si>
  <si>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</si>
  <si>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</si>
  <si>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</si>
  <si>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</si>
  <si>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</si>
  <si>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</si>
  <si>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</si>
  <si>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U2100</t>
  </si>
  <si>
    <t>47m</t>
  </si>
  <si>
    <t>RFS APXV18-206516S-C</t>
  </si>
  <si>
    <t>False</t>
  </si>
  <si>
    <t>True</t>
  </si>
  <si>
    <t>35</t>
  </si>
  <si>
    <t>CHI NHÁNH VIETTEL TẠI TPHCM</t>
  </si>
  <si>
    <t>quận Phú Nhuận</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</si>
  <si>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</si>
  <si>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</si>
  <si>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</si>
  <si>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</si>
  <si>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</si>
  <si>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</si>
  <si>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</si>
  <si>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</si>
  <si>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</si>
  <si>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</si>
  <si>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</si>
  <si>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</si>
  <si>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</si>
  <si>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</si>
  <si>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</si>
  <si>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</si>
  <si>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</si>
  <si>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</si>
  <si>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</si>
  <si>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</si>
  <si>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</si>
  <si>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</si>
  <si>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</si>
  <si>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</si>
  <si>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</si>
  <si>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</si>
  <si>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</si>
  <si>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</si>
  <si>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</si>
  <si>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</si>
  <si>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</si>
  <si>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</si>
  <si>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</si>
  <si>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</si>
  <si>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</si>
  <si>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</si>
  <si>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</si>
  <si>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</si>
  <si>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</si>
  <si>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</si>
  <si>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</si>
  <si>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</si>
  <si>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</si>
  <si>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</si>
  <si>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</si>
  <si>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</si>
  <si>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</si>
  <si>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</si>
  <si>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</si>
  <si>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</si>
  <si>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</si>
  <si>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</si>
  <si>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</si>
  <si>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</si>
  <si>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</si>
  <si>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</si>
  <si>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</si>
  <si>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</si>
  <si>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</si>
  <si>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</si>
  <si>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</si>
  <si>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</si>
  <si>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</si>
  <si>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</si>
  <si>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</si>
  <si>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</si>
  <si>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</si>
  <si>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</si>
  <si>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</si>
  <si>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</si>
  <si>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</si>
  <si>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</si>
  <si>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</si>
  <si>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</si>
  <si>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</si>
  <si>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</si>
  <si>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</si>
  <si>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</si>
  <si>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</si>
  <si>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</si>
  <si>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</si>
  <si>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</si>
  <si>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</si>
  <si>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</si>
  <si>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</si>
  <si>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</si>
  <si>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</si>
  <si>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</si>
  <si>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</si>
  <si>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</si>
  <si>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</si>
  <si>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</si>
  <si>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</si>
  <si>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</si>
  <si>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</si>
  <si>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</si>
  <si>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1048/VTNet-KT</t>
  </si>
  <si>
    <t>22/PKĐ-TT2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</si>
  <si>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</si>
  <si>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</si>
  <si>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</si>
  <si>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</si>
  <si>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</si>
  <si>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</si>
  <si>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</si>
  <si>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</si>
  <si>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</si>
  <si>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</si>
  <si>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</si>
  <si>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</si>
  <si>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</si>
  <si>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</si>
  <si>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</si>
  <si>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</si>
  <si>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</si>
  <si>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</si>
  <si>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</si>
  <si>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</si>
  <si>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</si>
  <si>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</si>
  <si>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</si>
  <si>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</si>
  <si>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</si>
  <si>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</si>
  <si>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</si>
  <si>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</si>
  <si>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</si>
  <si>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</si>
  <si>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</si>
  <si>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</si>
  <si>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</si>
  <si>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</si>
  <si>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</si>
  <si>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</si>
  <si>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</si>
  <si>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</si>
  <si>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</si>
  <si>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</si>
  <si>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</si>
  <si>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</si>
  <si>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</si>
  <si>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</si>
  <si>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</si>
  <si>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</si>
  <si>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</si>
  <si>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</si>
  <si>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</si>
  <si>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</si>
  <si>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</si>
  <si>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</si>
  <si>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</si>
  <si>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</si>
  <si>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</si>
  <si>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</si>
  <si>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</si>
  <si>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</si>
  <si>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</si>
  <si>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</si>
  <si>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</si>
  <si>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</si>
  <si>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</si>
  <si>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</si>
  <si>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</si>
  <si>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</si>
  <si>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</si>
  <si>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</si>
  <si>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</si>
  <si>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</si>
  <si>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</si>
  <si>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</si>
  <si>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</si>
  <si>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</si>
  <si>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</si>
  <si>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</si>
  <si>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</si>
  <si>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</si>
  <si>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</si>
  <si>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</si>
  <si>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</si>
  <si>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</si>
  <si>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</si>
  <si>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</si>
  <si>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</si>
  <si>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</si>
  <si>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</si>
  <si>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</si>
  <si>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</si>
  <si>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</si>
  <si>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</si>
  <si>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</si>
  <si>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</si>
  <si>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</si>
  <si>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</si>
  <si>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</si>
  <si>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</si>
  <si>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</si>
  <si>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</si>
  <si>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</si>
  <si>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</si>
  <si>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</si>
  <si>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</si>
  <si>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</si>
  <si>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</si>
  <si>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</si>
  <si>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</si>
  <si>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</si>
  <si>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</si>
  <si>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</si>
  <si>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</si>
  <si>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</si>
  <si>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</si>
  <si>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</si>
  <si>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</si>
  <si>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</si>
  <si>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</si>
  <si>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</si>
  <si>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</si>
  <si>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</si>
  <si>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</si>
  <si>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</si>
  <si>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</si>
  <si>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</si>
  <si>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</si>
  <si>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</si>
  <si>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</si>
  <si>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</si>
  <si>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</si>
  <si>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</si>
  <si>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</si>
  <si>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</si>
  <si>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</si>
  <si>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</si>
  <si>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</si>
  <si>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</si>
  <si>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</si>
  <si>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</si>
  <si>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</si>
  <si>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</si>
  <si>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</si>
  <si>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</si>
  <si>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</si>
  <si>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</si>
  <si>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</si>
  <si>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</si>
  <si>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</si>
  <si>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</si>
  <si>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</si>
  <si>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</si>
  <si>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</si>
  <si>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</si>
  <si>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</si>
  <si>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</si>
  <si>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</si>
  <si>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</si>
  <si>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</si>
  <si>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</si>
  <si>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</si>
  <si>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</si>
  <si>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</si>
  <si>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</si>
  <si>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</si>
  <si>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</si>
  <si>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</si>
  <si>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</si>
  <si>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</si>
  <si>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</si>
  <si>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</si>
  <si>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</si>
  <si>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</si>
  <si>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</si>
  <si>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</si>
  <si>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</si>
  <si>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</si>
  <si>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</si>
  <si>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</si>
  <si>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</si>
  <si>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</si>
  <si>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</si>
  <si>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</si>
  <si>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</si>
  <si>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</si>
  <si>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</si>
  <si>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</si>
  <si>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</si>
  <si>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</si>
  <si>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</si>
  <si>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</si>
  <si>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</si>
  <si>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</si>
  <si>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</si>
  <si>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</si>
  <si>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</si>
  <si>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</si>
  <si>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</si>
  <si>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</si>
  <si>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</si>
  <si>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</si>
  <si>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</si>
  <si>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</si>
  <si>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</si>
  <si>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</si>
  <si>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</si>
  <si>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</si>
  <si>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</si>
  <si>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</si>
  <si>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</si>
  <si>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</si>
  <si>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</si>
  <si>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</si>
  <si>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</si>
  <si>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</si>
  <si>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</si>
  <si>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</si>
  <si>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</si>
  <si>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</si>
  <si>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</si>
  <si>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</si>
  <si>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</si>
  <si>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</si>
  <si>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</si>
  <si>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</si>
  <si>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</si>
  <si>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</si>
  <si>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</si>
  <si>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</si>
  <si>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</si>
  <si>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</si>
  <si>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</si>
  <si>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</si>
  <si>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</si>
  <si>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</si>
  <si>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</si>
  <si>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</si>
  <si>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</si>
  <si>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</si>
  <si>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</si>
  <si>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</si>
  <si>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</si>
  <si>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</si>
  <si>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</si>
  <si>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</si>
  <si>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</si>
  <si>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</si>
  <si>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</si>
  <si>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</si>
  <si>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</si>
  <si>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</si>
  <si>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</si>
  <si>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</si>
  <si>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</si>
  <si>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</si>
  <si>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</si>
  <si>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</si>
  <si>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</si>
  <si>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</si>
  <si>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</si>
  <si>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</si>
  <si>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</si>
  <si>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</si>
  <si>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</si>
  <si>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</si>
  <si>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</si>
  <si>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</si>
  <si>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</si>
  <si>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</si>
  <si>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</si>
  <si>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</si>
  <si>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</si>
  <si>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</si>
  <si>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</si>
  <si>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</si>
  <si>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</si>
  <si>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</si>
  <si>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</si>
  <si>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</si>
  <si>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</si>
  <si>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</si>
  <si>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</si>
  <si>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</si>
  <si>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</si>
  <si>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</si>
  <si>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</si>
  <si>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</si>
  <si>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</si>
  <si>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</si>
  <si>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</si>
  <si>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</si>
  <si>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</si>
  <si>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</si>
  <si>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</si>
  <si>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</si>
  <si>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</si>
  <si>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</si>
  <si>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</si>
  <si>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</si>
  <si>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</si>
  <si>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</si>
  <si>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</si>
  <si>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</si>
  <si>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</si>
  <si>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</si>
  <si>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</si>
  <si>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</si>
  <si>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</si>
  <si>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</si>
  <si>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</si>
  <si>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</si>
  <si>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</si>
  <si>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</si>
  <si>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</si>
  <si>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</si>
  <si>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</si>
  <si>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</si>
  <si>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</si>
  <si>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</si>
  <si>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</si>
  <si>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</si>
  <si>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</si>
  <si>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</si>
  <si>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</si>
  <si>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</si>
  <si>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</si>
  <si>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</si>
  <si>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</si>
  <si>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</si>
  <si>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</si>
  <si>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</si>
  <si>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</si>
  <si>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</si>
  <si>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</si>
  <si>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</si>
  <si>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</si>
  <si>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</si>
  <si>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</si>
  <si>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</si>
  <si>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</si>
  <si>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</si>
  <si>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</si>
  <si>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</si>
  <si>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</si>
  <si>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</si>
  <si>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</si>
  <si>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</si>
  <si>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</si>
  <si>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</si>
  <si>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</si>
  <si>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</si>
  <si>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</si>
  <si>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</si>
  <si>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</si>
  <si>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</si>
  <si>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</si>
  <si>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</si>
  <si>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</si>
  <si>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</si>
  <si>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</si>
  <si>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</si>
  <si>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</si>
  <si>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</si>
  <si>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</si>
  <si>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</si>
  <si>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</si>
  <si>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</si>
  <si>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</si>
  <si>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</si>
  <si>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</si>
  <si>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</si>
  <si>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</si>
  <si>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</si>
  <si>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</si>
  <si>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</si>
  <si>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</si>
  <si>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</si>
  <si>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</si>
  <si>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</si>
  <si>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</si>
  <si>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</si>
  <si>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</si>
  <si>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</si>
  <si>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</si>
  <si>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</si>
  <si>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</si>
  <si>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</si>
  <si>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</si>
  <si>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</si>
  <si>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</si>
  <si>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</si>
  <si>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</si>
  <si>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</si>
  <si>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</si>
  <si>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</si>
  <si>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</si>
  <si>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</si>
  <si>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</si>
  <si>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</si>
  <si>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</si>
  <si>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</si>
  <si>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</si>
  <si>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</si>
  <si>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</si>
  <si>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</si>
  <si>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</si>
  <si>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</si>
  <si>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</si>
  <si>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</si>
  <si>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</si>
  <si>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</si>
  <si>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</si>
  <si>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</si>
  <si>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593</t>
  </si>
  <si>
    <t>60</t>
  </si>
  <si>
    <t>22918</t>
  </si>
  <si>
    <t>phường Hàm Tiến</t>
  </si>
  <si>
    <t>22921</t>
  </si>
  <si>
    <t>22924</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</si>
  <si>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</si>
  <si>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</si>
  <si>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</si>
  <si>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</si>
  <si>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</si>
  <si>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</si>
  <si>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</si>
  <si>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</si>
  <si>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</si>
  <si>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</si>
  <si>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</si>
  <si>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</si>
  <si>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</si>
  <si>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</si>
  <si>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</si>
  <si>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</si>
  <si>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</si>
  <si>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</si>
  <si>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</si>
  <si>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</si>
  <si>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</si>
  <si>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</si>
  <si>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</si>
  <si>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</si>
  <si>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</si>
  <si>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</si>
  <si>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</si>
  <si>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</si>
  <si>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</si>
  <si>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</si>
  <si>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</si>
  <si>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</si>
  <si>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</si>
  <si>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</si>
  <si>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</si>
  <si>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</si>
  <si>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</si>
  <si>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</si>
  <si>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</si>
  <si>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</si>
  <si>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</si>
  <si>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</si>
  <si>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</si>
  <si>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</si>
  <si>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</si>
  <si>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</si>
  <si>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</si>
  <si>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</si>
  <si>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</si>
  <si>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</si>
  <si>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</si>
  <si>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</si>
  <si>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</si>
  <si>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</si>
  <si>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</si>
  <si>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</si>
  <si>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</si>
  <si>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</si>
  <si>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</si>
  <si>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</si>
  <si>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</si>
  <si>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</si>
  <si>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</si>
  <si>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</si>
  <si>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</si>
  <si>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</si>
  <si>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</si>
  <si>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</si>
  <si>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</si>
  <si>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</si>
  <si>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</si>
  <si>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</si>
  <si>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</si>
  <si>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</si>
  <si>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</si>
  <si>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</si>
  <si>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</si>
  <si>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</si>
  <si>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</si>
  <si>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</si>
  <si>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</si>
  <si>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</si>
  <si>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</si>
  <si>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</si>
  <si>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</si>
  <si>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</si>
  <si>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</si>
  <si>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</si>
  <si>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</si>
  <si>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</si>
  <si>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</si>
  <si>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</si>
  <si>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</si>
  <si>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</si>
  <si>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</si>
  <si>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</si>
  <si>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</si>
  <si>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</si>
  <si>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</si>
  <si>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</si>
  <si>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</si>
  <si>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</si>
  <si>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</si>
  <si>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</si>
  <si>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</si>
  <si>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</si>
  <si>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</si>
  <si>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</si>
  <si>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</si>
  <si>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</si>
  <si>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</si>
  <si>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</si>
  <si>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</si>
  <si>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</si>
  <si>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</si>
  <si>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</si>
  <si>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</si>
  <si>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</si>
  <si>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</si>
  <si>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</si>
  <si>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</si>
  <si>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</si>
  <si>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</si>
  <si>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</si>
  <si>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</si>
  <si>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</si>
  <si>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</si>
  <si>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</si>
  <si>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</si>
  <si>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</si>
  <si>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</si>
  <si>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</si>
  <si>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</si>
  <si>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</si>
  <si>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</si>
  <si>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</si>
  <si>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</si>
  <si>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</si>
  <si>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</si>
  <si>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</si>
  <si>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</si>
  <si>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</si>
  <si>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</si>
  <si>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</si>
  <si>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</si>
  <si>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</si>
  <si>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</si>
  <si>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</si>
  <si>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</si>
  <si>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</si>
  <si>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</si>
  <si>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</si>
  <si>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</si>
  <si>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</si>
  <si>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</si>
  <si>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</si>
  <si>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</si>
  <si>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</si>
  <si>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</si>
  <si>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</si>
  <si>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</si>
  <si>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</si>
  <si>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</si>
  <si>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</si>
  <si>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</si>
  <si>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</si>
  <si>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</si>
  <si>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</si>
  <si>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</si>
  <si>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</si>
  <si>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</si>
  <si>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</si>
  <si>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</si>
  <si>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</si>
  <si>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</si>
  <si>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</si>
  <si>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</si>
  <si>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</si>
  <si>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</si>
  <si>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</si>
  <si>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</si>
  <si>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</si>
  <si>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</si>
  <si>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</si>
  <si>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</si>
  <si>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</si>
  <si>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</si>
  <si>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</si>
  <si>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</si>
  <si>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</si>
  <si>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</si>
  <si>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</si>
  <si>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</si>
  <si>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</si>
  <si>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</si>
  <si>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</si>
  <si>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</si>
  <si>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</si>
  <si>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</si>
  <si>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</si>
  <si>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</si>
  <si>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</si>
  <si>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</si>
  <si>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</si>
  <si>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</si>
  <si>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</si>
  <si>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</si>
  <si>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</si>
  <si>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</si>
  <si>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</si>
  <si>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</si>
  <si>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</si>
  <si>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</si>
  <si>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</si>
  <si>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</si>
  <si>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</si>
  <si>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</si>
  <si>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</si>
  <si>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</si>
  <si>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</si>
  <si>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</si>
  <si>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</si>
  <si>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</si>
  <si>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</si>
  <si>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</si>
  <si>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</si>
  <si>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</si>
  <si>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</si>
  <si>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</si>
  <si>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</si>
  <si>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</si>
  <si>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</si>
  <si>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</si>
  <si>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</si>
  <si>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</si>
  <si>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</si>
  <si>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</si>
  <si>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</si>
  <si>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</si>
  <si>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</si>
  <si>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</si>
  <si>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</si>
  <si>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</si>
  <si>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</si>
  <si>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</si>
  <si>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</si>
  <si>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</si>
  <si>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</si>
  <si>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</si>
  <si>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</si>
  <si>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</si>
  <si>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</si>
  <si>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</si>
  <si>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</si>
  <si>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</si>
  <si>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</si>
  <si>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</si>
  <si>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</si>
  <si>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</si>
  <si>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</si>
  <si>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</si>
  <si>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</si>
  <si>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</si>
  <si>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</si>
  <si>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672</t>
  </si>
  <si>
    <t>thành phố Đà Lạt</t>
  </si>
  <si>
    <t>68</t>
  </si>
  <si>
    <t>tỉnh Lâm Đồng.</t>
  </si>
  <si>
    <t>24772</t>
  </si>
  <si>
    <t>24775</t>
  </si>
  <si>
    <t>phường 12</t>
  </si>
  <si>
    <t>24778</t>
  </si>
  <si>
    <t>24781</t>
  </si>
  <si>
    <t>phường 2</t>
  </si>
  <si>
    <t>24784</t>
  </si>
  <si>
    <t>24787</t>
  </si>
  <si>
    <t>phường 6</t>
  </si>
  <si>
    <t>24790</t>
  </si>
  <si>
    <t>phường 5</t>
  </si>
  <si>
    <t>24793</t>
  </si>
  <si>
    <t>24796</t>
  </si>
  <si>
    <t>24799</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</si>
  <si>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</si>
  <si>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</si>
  <si>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</si>
  <si>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</si>
  <si>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</si>
  <si>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</si>
  <si>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</si>
  <si>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</si>
  <si>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</si>
  <si>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</si>
  <si>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</si>
  <si>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</si>
  <si>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</si>
  <si>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</si>
  <si>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</si>
  <si>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</si>
  <si>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</si>
  <si>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</si>
  <si>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</si>
  <si>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</si>
  <si>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</si>
  <si>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</si>
  <si>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</si>
  <si>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</si>
  <si>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</si>
  <si>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</si>
  <si>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</si>
  <si>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</si>
  <si>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</si>
  <si>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</si>
  <si>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</si>
  <si>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</si>
  <si>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</si>
  <si>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</si>
  <si>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</si>
  <si>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</si>
  <si>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</si>
  <si>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</si>
  <si>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</si>
  <si>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</si>
  <si>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</si>
  <si>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</si>
  <si>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</si>
  <si>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</si>
  <si>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</si>
  <si>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</si>
  <si>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</si>
  <si>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</si>
  <si>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</si>
  <si>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</si>
  <si>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</si>
  <si>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</si>
  <si>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</si>
  <si>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</si>
  <si>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</si>
  <si>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</si>
  <si>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</si>
  <si>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</si>
  <si>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</si>
  <si>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</si>
  <si>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</si>
  <si>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</si>
  <si>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</si>
  <si>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</si>
  <si>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</si>
  <si>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</si>
  <si>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</si>
  <si>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</si>
  <si>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</si>
  <si>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</si>
  <si>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</si>
  <si>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</si>
  <si>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</si>
  <si>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</si>
  <si>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</si>
  <si>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</si>
  <si>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</si>
  <si>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</si>
  <si>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</si>
  <si>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</si>
  <si>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</si>
  <si>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</si>
  <si>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</si>
  <si>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</si>
  <si>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</si>
  <si>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</si>
  <si>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</si>
  <si>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</si>
  <si>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</si>
  <si>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</si>
  <si>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</si>
  <si>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</si>
  <si>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</si>
  <si>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</si>
  <si>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</si>
  <si>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</si>
  <si>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</si>
  <si>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</si>
  <si>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</si>
  <si>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</si>
  <si>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</si>
  <si>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</si>
  <si>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</si>
  <si>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</si>
  <si>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</si>
  <si>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</si>
  <si>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</si>
  <si>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</si>
  <si>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</si>
  <si>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</si>
  <si>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</si>
  <si>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</si>
  <si>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</si>
  <si>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</si>
  <si>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</si>
  <si>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</si>
  <si>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</si>
  <si>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</si>
  <si>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</si>
  <si>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</si>
  <si>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</si>
  <si>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</si>
  <si>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</si>
  <si>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</si>
  <si>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</si>
  <si>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</si>
  <si>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</si>
  <si>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</si>
  <si>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</si>
  <si>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</si>
  <si>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</si>
  <si>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</si>
  <si>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</si>
  <si>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</si>
  <si>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</si>
  <si>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</si>
  <si>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</si>
  <si>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</si>
  <si>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</si>
  <si>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</si>
  <si>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</si>
  <si>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</si>
  <si>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</si>
  <si>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</si>
  <si>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</si>
  <si>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</si>
  <si>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</si>
  <si>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</si>
  <si>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</si>
  <si>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</si>
  <si>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</si>
  <si>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</si>
  <si>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</si>
  <si>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</si>
  <si>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</si>
  <si>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</si>
  <si>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</si>
  <si>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</si>
  <si>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</si>
  <si>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</si>
  <si>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</si>
  <si>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</si>
  <si>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</si>
  <si>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</si>
  <si>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</si>
  <si>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</si>
  <si>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</si>
  <si>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</si>
  <si>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</si>
  <si>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</si>
  <si>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</si>
  <si>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</si>
  <si>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</si>
  <si>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</si>
  <si>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</si>
  <si>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</si>
  <si>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</si>
  <si>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</si>
  <si>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</si>
  <si>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</si>
  <si>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</si>
  <si>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</si>
  <si>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</si>
  <si>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</si>
  <si>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</si>
  <si>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</si>
  <si>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</si>
  <si>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</si>
  <si>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</si>
  <si>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</si>
  <si>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</si>
  <si>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</si>
  <si>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</si>
  <si>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</si>
  <si>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</si>
  <si>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</si>
  <si>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</si>
  <si>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</si>
  <si>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</si>
  <si>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</si>
  <si>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</si>
  <si>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</si>
  <si>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</si>
  <si>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</si>
  <si>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</si>
  <si>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</si>
  <si>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</si>
  <si>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</si>
  <si>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</si>
  <si>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</si>
  <si>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</si>
  <si>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</si>
  <si>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</si>
  <si>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</si>
  <si>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</si>
  <si>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</si>
  <si>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</si>
  <si>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</si>
  <si>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</si>
  <si>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</si>
  <si>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</si>
  <si>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</si>
  <si>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</si>
  <si>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</si>
  <si>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</si>
  <si>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</si>
  <si>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</si>
  <si>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</si>
  <si>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</si>
  <si>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</si>
  <si>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</si>
  <si>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</si>
  <si>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</si>
  <si>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</si>
  <si>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</si>
  <si>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</si>
  <si>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</si>
  <si>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</si>
  <si>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</si>
  <si>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</si>
  <si>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</si>
  <si>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</si>
  <si>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</si>
  <si>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</si>
  <si>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</si>
  <si>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</si>
  <si>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</si>
  <si>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</si>
  <si>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</si>
  <si>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</si>
  <si>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</si>
  <si>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</si>
  <si>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</si>
  <si>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</si>
  <si>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</si>
  <si>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</si>
  <si>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</si>
  <si>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</si>
  <si>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</si>
  <si>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</si>
  <si>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</si>
  <si>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</si>
  <si>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</si>
  <si>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</si>
  <si>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</si>
  <si>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</si>
  <si>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</si>
  <si>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</si>
  <si>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</si>
  <si>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</si>
  <si>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</si>
  <si>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</si>
  <si>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</si>
  <si>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</si>
  <si>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</si>
  <si>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</si>
  <si>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</si>
  <si>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</si>
  <si>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</si>
  <si>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</si>
  <si>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</si>
  <si>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</si>
  <si>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</si>
  <si>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</si>
  <si>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</si>
  <si>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</si>
  <si>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</si>
  <si>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</si>
  <si>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</si>
  <si>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</si>
  <si>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</si>
  <si>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</si>
  <si>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</si>
  <si>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</si>
  <si>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</si>
  <si>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</si>
  <si>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</si>
  <si>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</si>
  <si>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</si>
  <si>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</si>
  <si>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</si>
  <si>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</si>
  <si>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</si>
  <si>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</si>
  <si>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</si>
  <si>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</si>
  <si>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</si>
  <si>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</si>
  <si>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</si>
  <si>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</si>
  <si>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</si>
  <si>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</si>
  <si>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</si>
  <si>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</si>
  <si>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</si>
  <si>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</si>
  <si>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</si>
  <si>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</si>
  <si>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</si>
  <si>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</si>
  <si>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</si>
  <si>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</si>
  <si>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</si>
  <si>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</si>
  <si>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</si>
  <si>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</si>
  <si>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</si>
  <si>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</si>
  <si>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</si>
  <si>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</si>
  <si>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</si>
  <si>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</si>
  <si>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</si>
  <si>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</si>
  <si>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</si>
  <si>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</si>
  <si>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</si>
  <si>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</si>
  <si>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</si>
  <si>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</si>
  <si>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</si>
  <si>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</si>
  <si>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</si>
  <si>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</si>
  <si>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</si>
  <si>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</si>
  <si>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</si>
  <si>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</si>
  <si>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</si>
  <si>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</si>
  <si>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</si>
  <si>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</si>
  <si>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</si>
  <si>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</si>
  <si>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</si>
  <si>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</si>
  <si>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</si>
  <si>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</si>
  <si>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</si>
  <si>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</si>
  <si>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</si>
  <si>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</si>
  <si>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</si>
  <si>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</si>
  <si>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</si>
  <si>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</si>
  <si>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</si>
  <si>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</si>
  <si>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</si>
  <si>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</si>
  <si>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</si>
  <si>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</si>
  <si>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</si>
  <si>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</si>
  <si>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</si>
  <si>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</si>
  <si>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</si>
  <si>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</si>
  <si>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</si>
  <si>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</si>
  <si>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</si>
  <si>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</si>
  <si>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</si>
  <si>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</si>
  <si>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</si>
  <si>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</si>
  <si>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</si>
  <si>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</si>
  <si>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</si>
  <si>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</si>
  <si>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</si>
  <si>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</si>
  <si>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</si>
  <si>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</si>
  <si>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</si>
  <si>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</si>
  <si>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</si>
  <si>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</si>
  <si>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</si>
  <si>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</si>
  <si>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</si>
  <si>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</si>
  <si>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</si>
  <si>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</si>
  <si>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</si>
  <si>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</si>
  <si>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</si>
  <si>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</si>
  <si>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</si>
  <si>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</si>
  <si>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</si>
  <si>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</si>
  <si>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</si>
  <si>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</si>
  <si>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</si>
  <si>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</si>
  <si>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</si>
  <si>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</si>
  <si>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</si>
  <si>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</si>
  <si>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</si>
  <si>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</si>
  <si>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</si>
  <si>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</si>
  <si>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</si>
  <si>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</si>
  <si>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</si>
  <si>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</si>
  <si>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</si>
  <si>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</si>
  <si>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</si>
  <si>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</si>
  <si>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</si>
  <si>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</si>
  <si>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</si>
  <si>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</si>
  <si>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</si>
  <si>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</si>
  <si>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</si>
  <si>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</si>
  <si>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</si>
  <si>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</si>
  <si>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</si>
  <si>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</si>
  <si>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</si>
  <si>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</si>
  <si>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</si>
  <si>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</si>
  <si>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</si>
  <si>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</si>
  <si>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</si>
  <si>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</si>
  <si>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</si>
  <si>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</si>
  <si>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</si>
  <si>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</si>
  <si>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</si>
  <si>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</si>
  <si>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</si>
  <si>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</si>
  <si>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</si>
  <si>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</si>
  <si>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</si>
  <si>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</si>
  <si>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</si>
  <si>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</si>
  <si>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</si>
  <si>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</si>
  <si>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</si>
  <si>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</si>
  <si>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</si>
  <si>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</si>
  <si>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</si>
  <si>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</si>
  <si>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</si>
  <si>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</si>
  <si>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</si>
  <si>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</si>
  <si>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</si>
  <si>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</si>
  <si>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</si>
  <si>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</si>
  <si>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</si>
  <si>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</si>
  <si>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</si>
  <si>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</si>
  <si>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</si>
  <si>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</si>
  <si>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</si>
  <si>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</si>
  <si>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</si>
  <si>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</si>
  <si>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</si>
  <si>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</si>
  <si>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</si>
  <si>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</si>
  <si>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</si>
  <si>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</si>
  <si>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</si>
  <si>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</si>
  <si>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</si>
  <si>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</si>
  <si>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</si>
  <si>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</si>
  <si>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</si>
  <si>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</si>
  <si>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</si>
  <si>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</si>
  <si>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</si>
  <si>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</si>
  <si>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</si>
  <si>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</si>
  <si>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</si>
  <si>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</si>
  <si>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</si>
  <si>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</si>
  <si>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</si>
  <si>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</si>
  <si>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</si>
  <si>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</si>
  <si>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</si>
  <si>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</si>
  <si>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</si>
  <si>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</si>
  <si>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</si>
  <si>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</si>
  <si>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</si>
  <si>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</si>
  <si>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</si>
  <si>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</si>
  <si>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</si>
  <si>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</si>
  <si>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</si>
  <si>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</si>
  <si>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</si>
  <si>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</si>
  <si>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</si>
  <si>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</si>
  <si>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</si>
  <si>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</si>
  <si>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</si>
  <si>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</si>
  <si>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</si>
  <si>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</si>
  <si>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</si>
  <si>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</si>
  <si>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</si>
  <si>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</si>
  <si>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</si>
  <si>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</si>
  <si>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</si>
  <si>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</si>
  <si>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</si>
  <si>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</si>
  <si>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</si>
  <si>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</si>
  <si>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</si>
  <si>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</si>
  <si>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</si>
  <si>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</si>
  <si>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</si>
  <si>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</si>
  <si>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</si>
  <si>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</si>
  <si>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</si>
  <si>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</si>
  <si>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</si>
  <si>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</si>
  <si>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</si>
  <si>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</si>
  <si>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</si>
  <si>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</si>
  <si>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</si>
  <si>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</si>
  <si>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</si>
  <si>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</si>
  <si>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</si>
  <si>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</si>
  <si>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</si>
  <si>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</si>
  <si>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</si>
  <si>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</si>
  <si>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</si>
  <si>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</si>
  <si>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</si>
  <si>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</si>
  <si>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</si>
  <si>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</si>
  <si>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</si>
  <si>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</si>
  <si>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</si>
  <si>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</si>
  <si>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</si>
  <si>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</si>
  <si>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</si>
  <si>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</si>
  <si>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</si>
  <si>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</si>
  <si>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</si>
  <si>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</si>
  <si>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</si>
  <si>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</si>
  <si>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</si>
  <si>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</si>
  <si>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</si>
  <si>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</si>
  <si>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</si>
  <si>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</si>
  <si>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</si>
  <si>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</si>
  <si>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</si>
  <si>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</si>
  <si>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</si>
  <si>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</si>
  <si>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</si>
  <si>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</si>
  <si>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</si>
  <si>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</si>
  <si>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</si>
  <si>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</si>
  <si>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</si>
  <si>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</si>
  <si>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</si>
  <si>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</si>
  <si>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</si>
  <si>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</si>
  <si>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</si>
  <si>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</si>
  <si>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</si>
  <si>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</si>
  <si>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</si>
  <si>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</si>
  <si>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</si>
  <si>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</si>
  <si>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</si>
  <si>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</si>
  <si>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</si>
  <si>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</si>
  <si>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</si>
  <si>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</si>
  <si>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</si>
  <si>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</si>
  <si>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</si>
  <si>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</si>
  <si>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</si>
  <si>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</si>
  <si>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</si>
  <si>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</si>
  <si>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</si>
  <si>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</si>
  <si>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</si>
  <si>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</si>
  <si>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</si>
  <si>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</si>
  <si>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</si>
  <si>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</si>
  <si>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</si>
  <si>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</si>
  <si>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</si>
  <si>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</si>
  <si>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</si>
  <si>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</si>
  <si>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</si>
  <si>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</si>
  <si>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</si>
  <si>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</si>
  <si>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</si>
  <si>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</si>
  <si>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</si>
  <si>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</si>
  <si>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</si>
  <si>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</si>
  <si>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</si>
  <si>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</si>
  <si>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</si>
  <si>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</si>
  <si>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</si>
  <si>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</si>
  <si>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</si>
  <si>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</si>
  <si>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</si>
  <si>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</si>
  <si>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</si>
  <si>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</si>
  <si>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</si>
  <si>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</si>
  <si>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</si>
  <si>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</si>
  <si>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</si>
  <si>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</si>
  <si>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</si>
  <si>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</si>
  <si>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</si>
  <si>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</si>
  <si>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</si>
  <si>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</si>
  <si>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</si>
  <si>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</si>
  <si>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</si>
  <si>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</si>
  <si>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</si>
  <si>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</si>
  <si>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</si>
  <si>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</si>
  <si>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</si>
  <si>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</si>
  <si>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</si>
  <si>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</si>
  <si>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</si>
  <si>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</si>
  <si>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</si>
  <si>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</si>
  <si>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</si>
  <si>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</si>
  <si>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</si>
  <si>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</si>
  <si>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</si>
  <si>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</si>
  <si>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</si>
  <si>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</si>
  <si>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</si>
  <si>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</si>
  <si>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</si>
  <si>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</si>
  <si>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</si>
  <si>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</si>
  <si>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</si>
  <si>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</si>
  <si>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</si>
  <si>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</si>
  <si>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</si>
  <si>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</si>
  <si>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</si>
  <si>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</si>
  <si>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</si>
  <si>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</si>
  <si>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</si>
  <si>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</si>
  <si>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</si>
  <si>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</si>
  <si>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</si>
  <si>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</si>
  <si>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</si>
  <si>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</si>
  <si>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</si>
  <si>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</si>
  <si>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</si>
  <si>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</si>
  <si>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</si>
  <si>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</si>
  <si>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</si>
  <si>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</si>
  <si>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</si>
  <si>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</si>
  <si>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</si>
  <si>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</si>
  <si>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</si>
  <si>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</si>
  <si>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</si>
  <si>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</si>
  <si>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</si>
  <si>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</si>
  <si>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</si>
  <si>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</si>
  <si>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</si>
  <si>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</si>
  <si>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</si>
  <si>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</si>
  <si>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</si>
  <si>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</si>
  <si>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</si>
  <si>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</si>
  <si>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</si>
  <si>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</si>
  <si>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</si>
  <si>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</si>
  <si>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</si>
  <si>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</si>
  <si>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</si>
  <si>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</si>
  <si>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</si>
  <si>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</si>
  <si>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</si>
  <si>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</si>
  <si>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</si>
  <si>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</si>
  <si>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</si>
  <si>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</si>
  <si>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</si>
  <si>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</si>
  <si>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</si>
  <si>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</si>
  <si>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</si>
  <si>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</si>
  <si>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</si>
  <si>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</si>
  <si>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</si>
  <si>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</si>
  <si>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</si>
  <si>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</si>
  <si>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</si>
  <si>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</si>
  <si>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</si>
  <si>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</si>
  <si>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</si>
  <si>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</si>
  <si>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</si>
  <si>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</si>
  <si>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</si>
  <si>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</si>
  <si>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</si>
  <si>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</si>
  <si>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</si>
  <si>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</si>
  <si>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</si>
  <si>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</si>
  <si>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</si>
  <si>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</si>
  <si>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</si>
  <si>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</si>
  <si>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</si>
  <si>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</si>
  <si>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</si>
  <si>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</si>
  <si>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</si>
  <si>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</si>
  <si>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</si>
  <si>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</si>
  <si>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</si>
  <si>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</si>
  <si>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</si>
  <si>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</si>
  <si>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</si>
  <si>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</si>
  <si>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</si>
  <si>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</si>
  <si>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</si>
  <si>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</si>
  <si>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</si>
  <si>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</si>
  <si>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</si>
  <si>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</si>
  <si>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</si>
  <si>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</si>
  <si>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</si>
  <si>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</si>
  <si>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</si>
  <si>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</si>
  <si>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</si>
  <si>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</si>
  <si>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</si>
  <si>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</si>
  <si>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</si>
  <si>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</si>
  <si>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</si>
  <si>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</si>
  <si>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</si>
  <si>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</si>
  <si>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</si>
  <si>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</si>
  <si>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</si>
  <si>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</si>
  <si>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</si>
  <si>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</si>
  <si>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</si>
  <si>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</si>
  <si>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</si>
  <si>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</si>
  <si>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</si>
  <si>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</si>
  <si>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</si>
  <si>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</si>
  <si>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</si>
  <si>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</si>
  <si>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</si>
  <si>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</si>
  <si>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</si>
  <si>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</si>
  <si>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</si>
  <si>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</si>
  <si>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</si>
  <si>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</si>
  <si>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</si>
  <si>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</si>
  <si>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</si>
  <si>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</si>
  <si>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</si>
  <si>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</si>
  <si>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</si>
  <si>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</si>
  <si>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</si>
  <si>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</si>
  <si>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</si>
  <si>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</si>
  <si>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</si>
  <si>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</si>
  <si>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</si>
  <si>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</si>
  <si>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</si>
  <si>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</si>
  <si>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</si>
  <si>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</si>
  <si>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</si>
  <si>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</si>
  <si>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</si>
  <si>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</si>
  <si>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</si>
  <si>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</si>
  <si>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</si>
  <si>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</si>
  <si>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</si>
  <si>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</si>
  <si>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</si>
  <si>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</si>
  <si>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</si>
  <si>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</si>
  <si>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</si>
  <si>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</si>
  <si>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</si>
  <si>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</si>
  <si>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</si>
  <si>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</si>
  <si>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</si>
  <si>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</si>
  <si>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</si>
  <si>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</si>
  <si>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</si>
  <si>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</si>
  <si>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</si>
  <si>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</si>
  <si>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</si>
  <si>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</si>
  <si>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</si>
  <si>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</si>
  <si>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</si>
  <si>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</si>
  <si>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</si>
  <si>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</si>
  <si>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</si>
  <si>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</si>
  <si>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</si>
  <si>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</si>
  <si>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</si>
  <si>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</si>
  <si>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</si>
  <si>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</si>
  <si>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</si>
  <si>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</si>
  <si>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</si>
  <si>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</si>
  <si>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</si>
  <si>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</si>
  <si>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</si>
  <si>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</si>
  <si>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</si>
  <si>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</si>
  <si>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</si>
  <si>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</si>
  <si>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</si>
  <si>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</si>
  <si>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</si>
  <si>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</si>
  <si>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</si>
  <si>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</si>
  <si>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</si>
  <si>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</si>
  <si>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</si>
  <si>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</si>
  <si>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</si>
  <si>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</si>
  <si>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</si>
  <si>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</si>
  <si>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</si>
  <si>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</si>
  <si>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</si>
  <si>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</si>
  <si>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</si>
  <si>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</si>
  <si>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</si>
  <si>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</si>
  <si>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</si>
  <si>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</si>
  <si>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</si>
  <si>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</si>
  <si>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</si>
  <si>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</si>
  <si>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</si>
  <si>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</si>
  <si>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</si>
  <si>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</si>
  <si>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</si>
  <si>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</si>
  <si>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</si>
  <si>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</si>
  <si>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</si>
  <si>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</si>
  <si>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</si>
  <si>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</si>
  <si>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</si>
  <si>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</si>
  <si>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</si>
  <si>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</si>
  <si>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</si>
  <si>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</si>
  <si>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</si>
  <si>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</si>
  <si>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</si>
  <si>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</si>
  <si>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</si>
  <si>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</si>
  <si>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</si>
  <si>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</si>
  <si>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</si>
  <si>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</si>
  <si>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</si>
  <si>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</si>
  <si>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</si>
  <si>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</si>
  <si>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</si>
  <si>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</si>
  <si>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</si>
  <si>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</si>
  <si>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</si>
  <si>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</si>
  <si>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</si>
  <si>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</si>
  <si>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</si>
  <si>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</si>
  <si>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</si>
  <si>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</si>
  <si>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</si>
  <si>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</si>
  <si>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</si>
  <si>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</si>
  <si>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</si>
  <si>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</si>
  <si>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</si>
  <si>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</si>
  <si>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</si>
  <si>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</si>
  <si>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</si>
  <si>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</si>
  <si>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</si>
  <si>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</si>
  <si>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</si>
  <si>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</si>
  <si>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</si>
  <si>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</si>
  <si>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</si>
  <si>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</si>
  <si>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</si>
  <si>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</si>
  <si>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</si>
  <si>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</si>
  <si>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</si>
  <si>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</si>
  <si>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</si>
  <si>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</si>
  <si>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</si>
  <si>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</si>
  <si>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</si>
  <si>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</si>
  <si>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</si>
  <si>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</si>
  <si>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</si>
  <si>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</si>
  <si>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</si>
  <si>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</si>
  <si>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</si>
  <si>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</si>
  <si>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</si>
  <si>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</si>
  <si>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</si>
  <si>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</si>
  <si>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</si>
  <si>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</si>
  <si>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</si>
  <si>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</si>
  <si>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</si>
  <si>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</si>
  <si>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</si>
  <si>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</si>
  <si>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</si>
  <si>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</si>
  <si>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</si>
  <si>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</si>
  <si>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</si>
  <si>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</si>
  <si>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</si>
  <si>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</si>
  <si>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</si>
  <si>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</si>
  <si>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</si>
  <si>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</si>
  <si>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</si>
  <si>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</si>
  <si>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</si>
  <si>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</si>
  <si>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</si>
  <si>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</si>
  <si>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</si>
  <si>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</si>
  <si>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</si>
  <si>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</si>
  <si>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</si>
  <si>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</si>
  <si>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</si>
  <si>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</si>
  <si>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</si>
  <si>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</si>
  <si>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</si>
  <si>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</si>
  <si>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</si>
  <si>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</si>
  <si>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</si>
  <si>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</si>
  <si>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</si>
  <si>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</si>
  <si>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</si>
  <si>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</si>
  <si>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</si>
  <si>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</si>
  <si>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</si>
  <si>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</si>
  <si>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</si>
  <si>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</si>
  <si>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</si>
  <si>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</si>
  <si>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</si>
  <si>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</si>
  <si>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</si>
  <si>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</si>
  <si>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</si>
  <si>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</si>
  <si>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</si>
  <si>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</si>
  <si>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</si>
  <si>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</si>
  <si>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</si>
  <si>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</si>
  <si>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</si>
  <si>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</si>
  <si>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</si>
  <si>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</si>
  <si>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</si>
  <si>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</si>
  <si>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</si>
  <si>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</si>
  <si>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</si>
  <si>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</si>
  <si>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</si>
  <si>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</si>
  <si>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</si>
  <si>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</si>
  <si>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</si>
  <si>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</si>
  <si>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</si>
  <si>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</si>
  <si>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</si>
  <si>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</si>
  <si>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</si>
  <si>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</si>
  <si>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</si>
  <si>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</si>
  <si>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</si>
  <si>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</si>
  <si>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</si>
  <si>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</si>
  <si>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</si>
  <si>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</si>
  <si>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</si>
  <si>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</si>
  <si>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</si>
  <si>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</si>
  <si>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</si>
  <si>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</si>
  <si>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</si>
  <si>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</si>
  <si>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</si>
  <si>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</si>
  <si>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</si>
  <si>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</si>
  <si>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</si>
  <si>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</si>
  <si>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</si>
  <si>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</si>
  <si>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</si>
  <si>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</si>
  <si>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</si>
  <si>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</si>
  <si>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</si>
  <si>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</si>
  <si>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</si>
  <si>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</si>
  <si>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</si>
  <si>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</si>
  <si>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</si>
  <si>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</si>
  <si>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</si>
  <si>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</si>
  <si>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</si>
  <si>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</si>
  <si>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</si>
  <si>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</si>
  <si>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</si>
  <si>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</si>
  <si>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</si>
  <si>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</si>
  <si>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</si>
  <si>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</si>
  <si>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</si>
  <si>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</si>
  <si>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</si>
  <si>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</si>
  <si>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</si>
  <si>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</si>
  <si>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</si>
  <si>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</si>
  <si>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</si>
  <si>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</si>
  <si>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</si>
  <si>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</si>
  <si>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</si>
  <si>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</si>
  <si>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</si>
  <si>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</si>
  <si>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</si>
  <si>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</si>
  <si>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</si>
  <si>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</si>
  <si>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</si>
  <si>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</si>
  <si>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</si>
  <si>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</si>
  <si>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</si>
  <si>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</si>
  <si>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</si>
  <si>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</si>
  <si>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</si>
  <si>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</si>
  <si>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</si>
  <si>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</si>
  <si>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</si>
  <si>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</si>
  <si>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</si>
  <si>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</si>
  <si>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</si>
  <si>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</si>
  <si>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</si>
  <si>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</si>
  <si>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</si>
  <si>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</si>
  <si>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</si>
  <si>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</si>
  <si>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</si>
  <si>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</si>
  <si>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</si>
  <si>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</si>
  <si>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</si>
  <si>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</si>
  <si>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</si>
  <si>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</si>
  <si>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</si>
  <si>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</si>
  <si>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</si>
  <si>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</si>
  <si>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</si>
  <si>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</si>
  <si>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</si>
  <si>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</si>
  <si>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</si>
  <si>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</si>
  <si>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</si>
  <si>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</si>
  <si>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</si>
  <si>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</si>
  <si>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</si>
  <si>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</si>
  <si>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</si>
  <si>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</si>
  <si>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</si>
  <si>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</si>
  <si>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</si>
  <si>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</si>
  <si>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</si>
  <si>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</si>
  <si>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</si>
  <si>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</si>
  <si>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</si>
  <si>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</si>
  <si>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</si>
  <si>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</si>
  <si>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</si>
  <si>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</si>
  <si>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</si>
  <si>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</si>
  <si>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</si>
  <si>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</si>
  <si>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</si>
  <si>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</si>
  <si>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</si>
  <si>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</si>
  <si>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</si>
  <si>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</si>
  <si>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</si>
  <si>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</si>
  <si>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</si>
  <si>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</si>
  <si>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</si>
  <si>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</si>
  <si>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</si>
  <si>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</si>
  <si>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</si>
  <si>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</si>
  <si>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</si>
  <si>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</si>
  <si>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</si>
  <si>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</si>
  <si>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</si>
  <si>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</si>
  <si>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</si>
  <si>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</si>
  <si>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</si>
  <si>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</si>
  <si>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</si>
  <si>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</si>
  <si>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</si>
  <si>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</si>
  <si>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</si>
  <si>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</si>
  <si>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</si>
  <si>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</si>
  <si>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</si>
  <si>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</si>
  <si>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</si>
  <si>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</si>
  <si>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</si>
  <si>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</si>
  <si>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</si>
  <si>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</si>
  <si>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</si>
  <si>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</si>
  <si>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</si>
  <si>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</si>
  <si>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</si>
  <si>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</si>
  <si>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</si>
  <si>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</si>
  <si>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</si>
  <si>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</si>
  <si>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</si>
  <si>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</si>
  <si>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</si>
  <si>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</si>
  <si>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</si>
  <si>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</si>
  <si>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</si>
  <si>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</si>
  <si>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</si>
  <si>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</si>
  <si>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</si>
  <si>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</si>
  <si>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</si>
  <si>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</si>
  <si>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</si>
  <si>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</si>
  <si>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</si>
  <si>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</si>
  <si>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</si>
  <si>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</si>
  <si>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</si>
  <si>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</si>
  <si>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</si>
  <si>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</si>
  <si>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</si>
  <si>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</si>
  <si>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</si>
  <si>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</si>
  <si>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</si>
  <si>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</si>
  <si>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</si>
  <si>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</si>
  <si>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</si>
  <si>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</si>
  <si>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</si>
  <si>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</si>
  <si>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</si>
  <si>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</si>
  <si>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</si>
  <si>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</si>
  <si>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</si>
  <si>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</si>
  <si>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</si>
  <si>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</si>
  <si>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</si>
  <si>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</si>
  <si>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</si>
  <si>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</si>
  <si>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</si>
  <si>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</si>
  <si>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</si>
  <si>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</si>
  <si>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</si>
  <si>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</si>
  <si>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</si>
  <si>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</si>
  <si>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</si>
  <si>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</si>
  <si>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</si>
  <si>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</si>
  <si>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</si>
  <si>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</si>
  <si>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</si>
  <si>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</si>
  <si>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</si>
  <si>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</si>
  <si>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</si>
  <si>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</si>
  <si>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</si>
  <si>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</si>
  <si>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</si>
  <si>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</si>
  <si>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</si>
  <si>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</si>
  <si>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</si>
  <si>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</si>
  <si>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</si>
  <si>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</si>
  <si>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</si>
  <si>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</si>
  <si>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</si>
  <si>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</si>
  <si>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</si>
  <si>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</si>
  <si>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</si>
  <si>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</si>
  <si>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</si>
  <si>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</si>
  <si>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</si>
  <si>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</si>
  <si>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</si>
  <si>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</si>
  <si>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</si>
  <si>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</si>
  <si>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</si>
  <si>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</si>
  <si>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</si>
  <si>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</si>
  <si>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</si>
  <si>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</si>
  <si>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</si>
  <si>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</si>
  <si>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</si>
  <si>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</si>
  <si>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</si>
  <si>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</si>
  <si>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</si>
  <si>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</si>
  <si>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</si>
  <si>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</si>
  <si>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</si>
  <si>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</si>
  <si>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</si>
  <si>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</si>
  <si>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</si>
  <si>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</si>
  <si>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</si>
  <si>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</si>
  <si>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</si>
  <si>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</si>
  <si>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</si>
  <si>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</si>
  <si>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</si>
  <si>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</si>
  <si>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</si>
  <si>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</si>
  <si>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</si>
  <si>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</si>
  <si>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</si>
  <si>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</si>
  <si>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</si>
  <si>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</si>
  <si>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</si>
  <si>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</si>
  <si>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</si>
  <si>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</si>
  <si>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</si>
  <si>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</si>
  <si>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</si>
  <si>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</si>
  <si>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</si>
  <si>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</si>
  <si>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</si>
  <si>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</si>
  <si>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</si>
  <si>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</si>
  <si>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</si>
  <si>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</si>
  <si>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</si>
  <si>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</si>
  <si>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</si>
  <si>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</si>
  <si>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</si>
  <si>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</si>
  <si>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</si>
  <si>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</si>
  <si>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</si>
  <si>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</si>
  <si>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</si>
  <si>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</si>
  <si>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</si>
  <si>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</si>
  <si>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</si>
  <si>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</si>
  <si>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</si>
  <si>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</si>
  <si>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</si>
  <si>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</si>
  <si>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</si>
  <si>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</si>
  <si>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</si>
  <si>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</si>
  <si>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</si>
  <si>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</si>
  <si>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</si>
  <si>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</si>
  <si>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</si>
  <si>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</si>
  <si>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</si>
  <si>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</si>
  <si>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</si>
  <si>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</si>
  <si>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</si>
  <si>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</si>
  <si>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</si>
  <si>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</si>
  <si>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</si>
  <si>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</si>
  <si>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</si>
  <si>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</si>
  <si>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</si>
  <si>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</si>
  <si>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</si>
  <si>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</si>
  <si>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</si>
  <si>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</si>
  <si>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</si>
  <si>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</si>
  <si>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</si>
  <si>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</si>
  <si>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</si>
  <si>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</si>
  <si>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</si>
  <si>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</si>
  <si>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</si>
  <si>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</si>
  <si>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</si>
  <si>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</si>
  <si>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</si>
  <si>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</si>
  <si>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</si>
  <si>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</si>
  <si>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</si>
  <si>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</si>
  <si>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</si>
  <si>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</si>
  <si>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</si>
  <si>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</si>
  <si>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</si>
  <si>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</si>
  <si>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</si>
  <si>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</si>
  <si>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</si>
  <si>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</si>
  <si>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</si>
  <si>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</si>
  <si>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</si>
  <si>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</si>
  <si>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</si>
  <si>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</si>
  <si>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</si>
  <si>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</si>
  <si>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</si>
  <si>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</si>
  <si>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</si>
  <si>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</si>
  <si>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</si>
  <si>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</si>
  <si>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</si>
  <si>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</si>
  <si>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</si>
  <si>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</si>
  <si>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</si>
  <si>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</si>
  <si>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</si>
  <si>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</si>
  <si>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</si>
  <si>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</si>
  <si>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</si>
  <si>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</si>
  <si>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</si>
  <si>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</si>
  <si>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</si>
  <si>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</si>
  <si>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</si>
  <si>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</si>
  <si>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</si>
  <si>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</si>
  <si>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</si>
  <si>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</si>
  <si>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</si>
  <si>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</si>
  <si>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</si>
  <si>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</si>
  <si>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</si>
  <si>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</si>
  <si>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</si>
  <si>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</si>
  <si>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</si>
  <si>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</si>
  <si>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</si>
  <si>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</si>
  <si>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</si>
  <si>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</si>
  <si>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</si>
  <si>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</si>
  <si>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</si>
  <si>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</si>
  <si>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</si>
  <si>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</si>
  <si>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</si>
  <si>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</si>
  <si>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</si>
  <si>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</si>
  <si>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</si>
  <si>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</si>
  <si>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</si>
  <si>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</si>
  <si>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</si>
  <si>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</si>
  <si>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</si>
  <si>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</si>
  <si>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</si>
  <si>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</si>
  <si>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</si>
  <si>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</si>
  <si>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</si>
  <si>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</si>
  <si>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</si>
  <si>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</si>
  <si>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</si>
  <si>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</si>
  <si>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</si>
  <si>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</si>
  <si>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</si>
  <si>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</si>
  <si>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</si>
  <si>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</si>
  <si>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</si>
  <si>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</si>
  <si>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</si>
  <si>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</si>
  <si>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</si>
  <si>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</si>
  <si>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</si>
  <si>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</si>
  <si>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</si>
  <si>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</si>
  <si>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</si>
  <si>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</si>
  <si>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</si>
  <si>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</si>
  <si>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</si>
  <si>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</si>
  <si>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</si>
  <si>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</si>
  <si>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</si>
  <si>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</si>
  <si>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</si>
  <si>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</si>
  <si>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</si>
  <si>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</si>
  <si>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</si>
  <si>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</si>
  <si>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</si>
  <si>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</si>
  <si>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</si>
  <si>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</si>
  <si>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</si>
  <si>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</si>
  <si>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</si>
  <si>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</si>
  <si>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</si>
  <si>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</si>
  <si>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</si>
  <si>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</si>
  <si>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</si>
  <si>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</si>
  <si>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</si>
  <si>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</si>
  <si>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</si>
  <si>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</si>
  <si>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</si>
  <si>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</si>
  <si>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</si>
  <si>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</si>
  <si>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</si>
  <si>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</si>
  <si>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</si>
  <si>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</si>
  <si>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</si>
  <si>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</si>
  <si>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</si>
  <si>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</si>
  <si>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</si>
  <si>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</si>
  <si>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</si>
  <si>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</si>
  <si>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</si>
  <si>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</si>
  <si>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</si>
  <si>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</si>
  <si>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</si>
  <si>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</si>
  <si>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</si>
  <si>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</si>
  <si>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</si>
  <si>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</si>
  <si>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</si>
  <si>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</si>
  <si>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</si>
  <si>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</si>
  <si>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</si>
  <si>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</si>
  <si>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</si>
  <si>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</si>
  <si>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</si>
  <si>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</si>
  <si>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</si>
  <si>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</si>
  <si>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</si>
  <si>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</si>
  <si>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</si>
  <si>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</si>
  <si>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</si>
  <si>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</si>
  <si>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</si>
  <si>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</si>
  <si>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</si>
  <si>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</si>
  <si>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</si>
  <si>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</si>
  <si>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</si>
  <si>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</si>
  <si>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</si>
  <si>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</si>
  <si>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</si>
  <si>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</si>
  <si>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</si>
  <si>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</si>
  <si>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</si>
  <si>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</si>
  <si>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</si>
  <si>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</si>
  <si>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27445</t>
  </si>
  <si>
    <t>phường Bình Trị Đông</t>
  </si>
  <si>
    <t>27448</t>
  </si>
  <si>
    <t>27451</t>
  </si>
  <si>
    <t>phường Bình Trị Đông B</t>
  </si>
  <si>
    <t>27454</t>
  </si>
  <si>
    <t>phường Tân Tạo</t>
  </si>
  <si>
    <t>27457</t>
  </si>
  <si>
    <t>27460</t>
  </si>
  <si>
    <t>27463</t>
  </si>
  <si>
    <t>phường An Lạc A</t>
  </si>
  <si>
    <t>27466</t>
  </si>
  <si>
    <t>778</t>
  </si>
  <si>
    <t>Quận 7</t>
  </si>
  <si>
    <t>27469</t>
  </si>
  <si>
    <t>phường Tân Thuận Tây</t>
  </si>
  <si>
    <t>27472</t>
  </si>
  <si>
    <t>phường Tân Kiểng</t>
  </si>
  <si>
    <t>27475</t>
  </si>
  <si>
    <t>27478</t>
  </si>
  <si>
    <t>27481</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</si>
  <si>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</si>
  <si>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</si>
  <si>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</si>
  <si>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</si>
  <si>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</si>
  <si>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</si>
  <si>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</si>
  <si>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</si>
  <si>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</si>
  <si>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</si>
  <si>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</si>
  <si>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</si>
  <si>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</si>
  <si>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</si>
  <si>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</si>
  <si>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</si>
  <si>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</si>
  <si>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</si>
  <si>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</si>
  <si>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</si>
  <si>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</si>
  <si>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</si>
  <si>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</si>
  <si>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</si>
  <si>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</si>
  <si>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</si>
  <si>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</si>
  <si>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</si>
  <si>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</si>
  <si>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</si>
  <si>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</si>
  <si>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</si>
  <si>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</si>
  <si>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</si>
  <si>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</si>
  <si>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</si>
  <si>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</si>
  <si>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</si>
  <si>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</si>
  <si>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</si>
  <si>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</si>
  <si>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</si>
  <si>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</si>
  <si>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</si>
  <si>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</si>
  <si>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</si>
  <si>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</si>
  <si>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</si>
  <si>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</si>
  <si>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</si>
  <si>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</si>
  <si>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</si>
  <si>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</si>
  <si>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</si>
  <si>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</si>
  <si>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</si>
  <si>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</si>
  <si>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</si>
  <si>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</si>
  <si>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</si>
  <si>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</si>
  <si>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</si>
  <si>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</si>
  <si>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</si>
  <si>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</si>
  <si>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</si>
  <si>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</si>
  <si>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</si>
  <si>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</si>
  <si>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</si>
  <si>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</si>
  <si>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</si>
  <si>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</si>
  <si>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</si>
  <si>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</si>
  <si>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</si>
  <si>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</si>
  <si>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</si>
  <si>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</si>
  <si>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</si>
  <si>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</si>
  <si>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</si>
  <si>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</si>
  <si>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</si>
  <si>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</si>
  <si>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</si>
  <si>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</si>
  <si>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</si>
  <si>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</si>
  <si>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</si>
  <si>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</si>
  <si>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</si>
  <si>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</si>
  <si>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</si>
  <si>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</si>
  <si>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</si>
  <si>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</si>
  <si>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</si>
  <si>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</si>
  <si>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</si>
  <si>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</si>
  <si>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</si>
  <si>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</si>
  <si>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</si>
  <si>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</si>
  <si>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</si>
  <si>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</si>
  <si>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</si>
  <si>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</si>
  <si>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</si>
  <si>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</si>
  <si>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</si>
  <si>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</si>
  <si>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</si>
  <si>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</si>
  <si>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</si>
  <si>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</si>
  <si>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</si>
  <si>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</si>
  <si>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</si>
  <si>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</si>
  <si>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</si>
  <si>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</si>
  <si>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</si>
  <si>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</si>
  <si>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</si>
  <si>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</si>
  <si>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</si>
  <si>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</si>
  <si>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</si>
  <si>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</si>
  <si>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</si>
  <si>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</si>
  <si>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</si>
  <si>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</si>
  <si>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</si>
  <si>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</si>
  <si>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</si>
  <si>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</si>
  <si>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</si>
  <si>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</si>
  <si>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</si>
  <si>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</si>
  <si>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</si>
  <si>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</si>
  <si>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</si>
  <si>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</si>
  <si>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</si>
  <si>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</si>
  <si>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</si>
  <si>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</si>
  <si>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</si>
  <si>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</si>
  <si>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</si>
  <si>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</si>
  <si>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</si>
  <si>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</si>
  <si>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</si>
  <si>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</si>
  <si>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</si>
  <si>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</si>
  <si>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</si>
  <si>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</si>
  <si>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</si>
  <si>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</si>
  <si>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</si>
  <si>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</si>
  <si>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</si>
  <si>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</si>
  <si>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</si>
  <si>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</si>
  <si>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</si>
  <si>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</si>
  <si>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</si>
  <si>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</si>
  <si>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</si>
  <si>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</si>
  <si>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</si>
  <si>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</si>
  <si>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</si>
  <si>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</si>
  <si>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</si>
  <si>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</si>
  <si>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</si>
  <si>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</si>
  <si>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</si>
  <si>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</si>
  <si>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</si>
  <si>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</si>
  <si>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</si>
  <si>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</si>
  <si>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</si>
  <si>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</si>
  <si>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</si>
  <si>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</si>
  <si>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</si>
  <si>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</si>
  <si>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</si>
  <si>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</si>
  <si>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</si>
  <si>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</si>
  <si>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</si>
  <si>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</si>
  <si>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</si>
  <si>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</si>
  <si>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</si>
  <si>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</si>
  <si>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</si>
  <si>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</si>
  <si>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</si>
  <si>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</si>
  <si>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</si>
  <si>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</si>
  <si>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</si>
  <si>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</si>
  <si>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</si>
  <si>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</si>
  <si>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</si>
  <si>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</si>
  <si>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</si>
  <si>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</si>
  <si>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</si>
  <si>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</si>
  <si>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</si>
  <si>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</si>
  <si>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</si>
  <si>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</si>
  <si>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</si>
  <si>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</si>
  <si>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</si>
  <si>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</si>
  <si>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</si>
  <si>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</si>
  <si>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</si>
  <si>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</si>
  <si>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</si>
  <si>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</si>
  <si>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</si>
  <si>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</si>
  <si>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</si>
  <si>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</si>
  <si>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</si>
  <si>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</si>
  <si>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</si>
  <si>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</si>
  <si>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</si>
  <si>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</si>
  <si>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</si>
  <si>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</si>
  <si>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</si>
  <si>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</si>
  <si>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</si>
  <si>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</si>
  <si>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</si>
  <si>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</si>
  <si>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</si>
  <si>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</si>
  <si>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</si>
  <si>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</si>
  <si>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</si>
  <si>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</si>
  <si>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</si>
  <si>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</si>
  <si>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</si>
  <si>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</si>
  <si>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</si>
  <si>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</si>
  <si>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</si>
  <si>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</si>
  <si>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</si>
  <si>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</si>
  <si>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</si>
  <si>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</si>
  <si>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</si>
  <si>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</si>
  <si>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</si>
  <si>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</si>
  <si>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</si>
  <si>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</si>
  <si>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</si>
  <si>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</si>
  <si>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</si>
  <si>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</si>
  <si>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</si>
  <si>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</si>
  <si>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</si>
  <si>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</si>
  <si>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</si>
  <si>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</si>
  <si>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</si>
  <si>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</si>
  <si>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</si>
  <si>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</si>
  <si>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</si>
  <si>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</si>
  <si>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</si>
  <si>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</si>
  <si>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</si>
  <si>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</si>
  <si>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</si>
  <si>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</si>
  <si>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</si>
  <si>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</si>
  <si>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</si>
  <si>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</si>
  <si>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</si>
  <si>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</si>
  <si>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</si>
  <si>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</si>
  <si>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</si>
  <si>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</si>
  <si>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</si>
  <si>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</si>
  <si>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</si>
  <si>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</si>
  <si>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</si>
  <si>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</si>
  <si>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</si>
  <si>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</si>
  <si>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</si>
  <si>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</si>
  <si>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</si>
  <si>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</si>
  <si>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</si>
  <si>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</si>
  <si>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</si>
  <si>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</si>
  <si>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</si>
  <si>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</si>
  <si>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</si>
  <si>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</si>
  <si>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</si>
  <si>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</si>
  <si>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</si>
  <si>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</si>
  <si>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</si>
  <si>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</si>
  <si>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</si>
  <si>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</si>
  <si>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</si>
  <si>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</si>
  <si>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</si>
  <si>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</si>
  <si>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</si>
  <si>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</si>
  <si>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</si>
  <si>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</si>
  <si>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</si>
  <si>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</si>
  <si>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</si>
  <si>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</si>
  <si>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</si>
  <si>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</si>
  <si>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</si>
  <si>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</si>
  <si>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</si>
  <si>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</si>
  <si>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</si>
  <si>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</si>
  <si>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</si>
  <si>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</si>
  <si>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</si>
  <si>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</si>
  <si>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</si>
  <si>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</si>
  <si>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</si>
  <si>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</si>
  <si>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</si>
  <si>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</si>
  <si>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</si>
  <si>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</si>
  <si>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</si>
  <si>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</si>
  <si>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</si>
  <si>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</si>
  <si>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</si>
  <si>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</si>
  <si>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</si>
  <si>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</si>
  <si>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</si>
  <si>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</si>
  <si>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</si>
  <si>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</si>
  <si>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</si>
  <si>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</si>
  <si>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</si>
  <si>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</si>
  <si>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</si>
  <si>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</si>
  <si>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</si>
  <si>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</si>
  <si>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</si>
  <si>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</si>
  <si>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</si>
  <si>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</si>
  <si>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</si>
  <si>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</si>
  <si>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</si>
  <si>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</si>
  <si>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</si>
  <si>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</si>
  <si>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</si>
  <si>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</si>
  <si>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</si>
  <si>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</si>
  <si>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</si>
  <si>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</si>
  <si>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</si>
  <si>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</si>
  <si>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</si>
  <si>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</si>
  <si>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</si>
  <si>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</si>
  <si>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</si>
  <si>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</si>
  <si>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</si>
  <si>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</si>
  <si>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</si>
  <si>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</si>
  <si>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</si>
  <si>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</si>
  <si>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</si>
  <si>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</si>
  <si>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</si>
  <si>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</si>
  <si>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</si>
  <si>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</si>
  <si>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</si>
  <si>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</si>
  <si>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</si>
  <si>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</si>
  <si>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</si>
  <si>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</si>
  <si>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</si>
  <si>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</si>
  <si>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</si>
  <si>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</si>
  <si>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</si>
  <si>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</si>
  <si>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</si>
  <si>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</si>
  <si>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</si>
  <si>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</si>
  <si>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</si>
  <si>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</si>
  <si>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</si>
  <si>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</si>
  <si>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</si>
  <si>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</si>
  <si>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</si>
  <si>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</si>
  <si>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</si>
  <si>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</si>
  <si>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</si>
  <si>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</si>
  <si>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</si>
  <si>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</si>
  <si>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</si>
  <si>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</si>
  <si>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</si>
  <si>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</si>
  <si>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</si>
  <si>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</si>
  <si>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</si>
  <si>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</si>
  <si>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</si>
  <si>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</si>
  <si>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</si>
  <si>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</si>
  <si>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</si>
  <si>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</si>
  <si>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</si>
  <si>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</si>
  <si>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</si>
  <si>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</si>
  <si>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</si>
  <si>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</si>
  <si>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</si>
  <si>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</si>
  <si>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</si>
  <si>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</si>
  <si>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</si>
  <si>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</si>
  <si>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</si>
  <si>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</si>
  <si>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</si>
  <si>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</si>
  <si>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</si>
  <si>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</si>
  <si>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</si>
  <si>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</si>
  <si>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</si>
  <si>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</si>
  <si>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</si>
  <si>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</si>
  <si>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</si>
  <si>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</si>
  <si>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</si>
  <si>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</si>
  <si>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</si>
  <si>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</si>
  <si>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</si>
  <si>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</si>
  <si>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</si>
  <si>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</si>
  <si>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</si>
  <si>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</si>
  <si>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</si>
  <si>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</si>
  <si>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</si>
  <si>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</si>
  <si>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</si>
  <si>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</si>
  <si>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</si>
  <si>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</si>
  <si>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</si>
  <si>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</si>
  <si>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</si>
  <si>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</si>
  <si>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</si>
  <si>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</si>
  <si>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</si>
  <si>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</si>
  <si>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</si>
  <si>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</si>
  <si>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</si>
  <si>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</si>
  <si>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</si>
  <si>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</si>
  <si>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</si>
  <si>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</si>
  <si>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</si>
  <si>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</si>
  <si>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</si>
  <si>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</si>
  <si>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</si>
  <si>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</si>
  <si>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</si>
  <si>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</si>
  <si>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</si>
  <si>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</si>
  <si>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</si>
  <si>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</si>
  <si>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</si>
  <si>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</si>
  <si>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</si>
  <si>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</si>
  <si>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</si>
  <si>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</si>
  <si>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</si>
  <si>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</si>
  <si>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</si>
  <si>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</si>
  <si>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</si>
  <si>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</si>
  <si>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</si>
  <si>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</si>
  <si>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</si>
  <si>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</si>
  <si>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</si>
  <si>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</si>
  <si>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</si>
  <si>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</si>
  <si>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</si>
  <si>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</si>
  <si>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</si>
  <si>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</si>
  <si>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</si>
  <si>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</si>
  <si>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</si>
  <si>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</si>
  <si>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</si>
  <si>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</si>
  <si>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</si>
  <si>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</si>
  <si>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</si>
  <si>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</si>
  <si>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</si>
  <si>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</si>
  <si>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</si>
  <si>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</si>
  <si>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</si>
  <si>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</si>
  <si>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</si>
  <si>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</si>
  <si>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</si>
  <si>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</si>
  <si>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</si>
  <si>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</si>
  <si>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</si>
  <si>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</si>
  <si>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</si>
  <si>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</si>
  <si>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</si>
  <si>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</si>
  <si>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</si>
  <si>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</si>
  <si>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</si>
  <si>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</si>
  <si>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</si>
  <si>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</si>
  <si>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</si>
  <si>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</si>
  <si>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</si>
  <si>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</si>
  <si>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</si>
  <si>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</si>
  <si>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</si>
  <si>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</si>
  <si>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</si>
  <si>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</si>
  <si>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</si>
  <si>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</si>
  <si>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</si>
  <si>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</si>
  <si>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</si>
  <si>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</si>
  <si>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</si>
  <si>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</si>
  <si>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</si>
  <si>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</si>
  <si>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</si>
  <si>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</si>
  <si>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</si>
  <si>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</si>
  <si>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</si>
  <si>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</si>
  <si>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</si>
  <si>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</si>
  <si>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</si>
  <si>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</si>
  <si>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</si>
  <si>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</si>
  <si>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</si>
  <si>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</si>
  <si>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</si>
  <si>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</si>
  <si>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</si>
  <si>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</si>
  <si>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</si>
  <si>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</si>
  <si>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</si>
  <si>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</si>
  <si>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</si>
  <si>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</si>
  <si>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</si>
  <si>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</si>
  <si>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</si>
  <si>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</si>
  <si>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</si>
  <si>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</si>
  <si>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</si>
  <si>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</si>
  <si>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</si>
  <si>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</si>
  <si>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</si>
  <si>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</si>
  <si>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</si>
  <si>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</si>
  <si>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</si>
  <si>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</si>
  <si>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</si>
  <si>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</si>
  <si>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</si>
  <si>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</si>
  <si>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</si>
  <si>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</si>
  <si>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</si>
  <si>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</si>
  <si>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</si>
  <si>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</si>
  <si>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</si>
  <si>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</si>
  <si>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</si>
  <si>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</si>
  <si>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</si>
  <si>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</si>
  <si>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</si>
  <si>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</si>
  <si>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</si>
  <si>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</si>
  <si>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</si>
  <si>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</si>
  <si>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</si>
  <si>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</si>
  <si>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</si>
  <si>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</si>
  <si>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</si>
  <si>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</si>
  <si>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</si>
  <si>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</si>
  <si>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</si>
  <si>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</si>
  <si>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</si>
  <si>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</si>
  <si>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</si>
  <si>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</si>
  <si>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</si>
  <si>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</si>
  <si>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</si>
  <si>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</si>
  <si>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</si>
  <si>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</si>
  <si>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</si>
  <si>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</si>
  <si>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</si>
  <si>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</si>
  <si>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</si>
  <si>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</si>
  <si>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</si>
  <si>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</si>
  <si>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</si>
  <si>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</si>
  <si>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</si>
  <si>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</si>
  <si>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</si>
  <si>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</si>
  <si>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</si>
  <si>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</si>
  <si>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</si>
  <si>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</si>
  <si>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</si>
  <si>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</si>
  <si>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</si>
  <si>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</si>
  <si>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</si>
  <si>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</si>
  <si>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</si>
  <si>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</si>
  <si>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</si>
  <si>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</si>
  <si>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</si>
  <si>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</si>
  <si>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</si>
  <si>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</si>
  <si>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</si>
  <si>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</si>
  <si>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</si>
  <si>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</si>
  <si>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</si>
  <si>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</si>
  <si>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</si>
  <si>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</si>
  <si>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</si>
  <si>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</si>
  <si>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</si>
  <si>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</si>
  <si>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</si>
  <si>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</si>
  <si>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</si>
  <si>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</si>
  <si>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</si>
  <si>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</si>
  <si>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</si>
  <si>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</si>
  <si>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</si>
  <si>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</si>
  <si>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</si>
  <si>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</si>
  <si>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</si>
  <si>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</si>
  <si>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</si>
  <si>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</si>
  <si>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</si>
  <si>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</si>
  <si>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</si>
  <si>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</si>
  <si>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</si>
  <si>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</si>
  <si>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</si>
  <si>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</si>
  <si>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</si>
  <si>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</si>
  <si>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</si>
  <si>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</si>
  <si>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</si>
  <si>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</si>
  <si>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</si>
  <si>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</si>
  <si>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</si>
  <si>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</si>
  <si>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</si>
  <si>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</si>
  <si>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</si>
  <si>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</si>
  <si>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</si>
  <si>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</si>
  <si>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</si>
  <si>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</si>
  <si>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</si>
  <si>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</si>
  <si>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</si>
  <si>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</si>
  <si>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</si>
  <si>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</si>
  <si>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</si>
  <si>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</si>
  <si>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</si>
  <si>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</si>
  <si>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</si>
  <si>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</si>
  <si>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</si>
  <si>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</si>
  <si>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</si>
  <si>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</si>
  <si>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</si>
  <si>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</si>
  <si>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</si>
  <si>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</si>
  <si>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</si>
  <si>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</si>
  <si>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</si>
  <si>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</si>
  <si>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</si>
  <si>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</si>
  <si>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</si>
  <si>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</si>
  <si>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</si>
  <si>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</si>
  <si>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</si>
  <si>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</si>
  <si>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</si>
  <si>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</si>
  <si>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</si>
  <si>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</si>
  <si>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</si>
  <si>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</si>
  <si>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</si>
  <si>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</si>
  <si>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</si>
  <si>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</si>
  <si>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</si>
  <si>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</si>
  <si>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</si>
  <si>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</si>
  <si>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</si>
  <si>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</si>
  <si>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</si>
  <si>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</si>
  <si>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</si>
  <si>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</si>
  <si>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</si>
  <si>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</si>
  <si>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</si>
  <si>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</si>
  <si>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</si>
  <si>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</si>
  <si>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</si>
  <si>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</si>
  <si>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</si>
  <si>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</si>
  <si>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</si>
  <si>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</si>
  <si>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</si>
  <si>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</si>
  <si>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</si>
  <si>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</si>
  <si>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</si>
  <si>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</si>
  <si>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</si>
  <si>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</si>
  <si>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</si>
  <si>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</si>
  <si>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</si>
  <si>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</si>
  <si>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</si>
  <si>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</si>
  <si>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</si>
  <si>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</si>
  <si>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</si>
  <si>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</si>
  <si>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</si>
  <si>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</si>
  <si>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</si>
  <si>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</si>
  <si>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</si>
  <si>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</si>
  <si>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</si>
  <si>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</si>
  <si>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</si>
  <si>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</si>
  <si>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</si>
  <si>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</si>
  <si>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</si>
  <si>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</si>
  <si>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</si>
  <si>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</si>
  <si>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</si>
  <si>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</si>
  <si>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</si>
  <si>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</si>
  <si>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</si>
  <si>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</si>
  <si>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</si>
  <si>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</si>
  <si>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</si>
  <si>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</si>
  <si>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</si>
  <si>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</si>
  <si>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</si>
  <si>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</si>
  <si>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</si>
  <si>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</si>
  <si>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</si>
  <si>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</si>
  <si>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</si>
  <si>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</si>
  <si>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</si>
  <si>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</si>
  <si>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</si>
  <si>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</si>
  <si>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</si>
  <si>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</si>
  <si>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</si>
  <si>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</si>
  <si>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</si>
  <si>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</si>
  <si>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</si>
  <si>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</si>
  <si>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</si>
  <si>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</si>
  <si>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</si>
  <si>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</si>
  <si>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</si>
  <si>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</si>
  <si>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</si>
  <si>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</si>
  <si>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</si>
  <si>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</si>
  <si>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</si>
  <si>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</si>
  <si>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</si>
  <si>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</si>
  <si>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</si>
  <si>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</si>
  <si>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</si>
  <si>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</si>
  <si>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</si>
  <si>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</si>
  <si>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</si>
  <si>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</si>
  <si>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</si>
  <si>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</si>
  <si>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</si>
  <si>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</si>
  <si>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</si>
  <si>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</si>
  <si>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</si>
  <si>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</si>
  <si>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</si>
  <si>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</si>
  <si>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</si>
  <si>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</si>
  <si>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</si>
  <si>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</si>
  <si>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</si>
  <si>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</si>
  <si>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</si>
  <si>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</si>
  <si>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</si>
  <si>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</si>
  <si>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</si>
  <si>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</si>
  <si>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</si>
  <si>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</si>
  <si>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</si>
  <si>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</si>
  <si>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</si>
  <si>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</si>
  <si>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</si>
  <si>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</si>
  <si>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</si>
  <si>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</si>
  <si>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</si>
  <si>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</si>
  <si>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</si>
  <si>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</si>
  <si>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</si>
  <si>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</si>
  <si>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</si>
  <si>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</si>
  <si>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</si>
  <si>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</si>
  <si>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</si>
  <si>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</si>
  <si>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</si>
  <si>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</si>
  <si>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</si>
  <si>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</si>
  <si>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</si>
  <si>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</si>
  <si>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</si>
  <si>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</si>
  <si>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</si>
  <si>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</si>
  <si>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</si>
  <si>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</si>
  <si>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</si>
  <si>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</si>
  <si>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</si>
  <si>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</si>
  <si>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</si>
  <si>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</si>
  <si>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</si>
  <si>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</si>
  <si>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</si>
  <si>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</si>
  <si>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</si>
  <si>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</si>
  <si>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</si>
  <si>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</si>
  <si>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</si>
  <si>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</si>
  <si>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</si>
  <si>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</si>
  <si>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</si>
  <si>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</si>
  <si>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</si>
  <si>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</si>
  <si>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</si>
  <si>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</si>
  <si>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</si>
  <si>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</si>
  <si>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</si>
  <si>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</si>
  <si>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</si>
  <si>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</si>
  <si>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</si>
  <si>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</si>
  <si>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</si>
  <si>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</si>
  <si>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</si>
  <si>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</si>
  <si>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</si>
  <si>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</si>
  <si>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</si>
  <si>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</si>
  <si>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</si>
  <si>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</si>
  <si>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</si>
  <si>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</si>
  <si>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</si>
  <si>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</si>
  <si>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</si>
  <si>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</si>
  <si>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</si>
  <si>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</si>
  <si>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</si>
  <si>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</si>
  <si>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</si>
  <si>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</si>
  <si>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</si>
  <si>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</si>
  <si>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</si>
  <si>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</si>
  <si>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</si>
  <si>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</si>
  <si>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</si>
  <si>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</si>
  <si>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</si>
  <si>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</si>
  <si>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</si>
  <si>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</si>
  <si>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</si>
  <si>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</si>
  <si>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</si>
  <si>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</si>
  <si>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</si>
  <si>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</si>
  <si>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</si>
  <si>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</si>
  <si>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</si>
  <si>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</si>
  <si>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</si>
  <si>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</si>
  <si>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</si>
  <si>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</si>
  <si>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</si>
  <si>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</si>
  <si>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</si>
  <si>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</si>
  <si>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</si>
  <si>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</si>
  <si>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</si>
  <si>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</si>
  <si>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</si>
  <si>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</si>
  <si>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</si>
  <si>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</si>
  <si>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</si>
  <si>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</si>
  <si>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</si>
  <si>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</si>
  <si>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</si>
  <si>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</si>
  <si>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</si>
  <si>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</si>
  <si>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</si>
  <si>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</si>
  <si>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</si>
  <si>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</si>
  <si>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</si>
  <si>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</si>
  <si>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</si>
  <si>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</si>
  <si>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</si>
  <si>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</si>
  <si>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</si>
  <si>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</si>
  <si>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</si>
  <si>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</si>
  <si>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</si>
  <si>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</si>
  <si>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</si>
  <si>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</si>
  <si>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</si>
  <si>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</si>
  <si>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</si>
  <si>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</si>
  <si>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</si>
  <si>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</si>
  <si>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</si>
  <si>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</si>
  <si>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</si>
  <si>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</si>
  <si>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</si>
  <si>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</si>
  <si>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</si>
  <si>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</si>
  <si>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</si>
  <si>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</si>
  <si>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</si>
  <si>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</si>
  <si>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</si>
  <si>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</si>
  <si>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</si>
  <si>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</si>
  <si>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</si>
  <si>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</si>
  <si>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</si>
  <si>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</si>
  <si>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</si>
  <si>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</si>
  <si>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</si>
  <si>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</si>
  <si>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</si>
  <si>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</si>
  <si>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</si>
  <si>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</si>
  <si>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</si>
  <si>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</si>
  <si>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</si>
  <si>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</si>
  <si>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</si>
  <si>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</si>
  <si>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</si>
  <si>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</si>
  <si>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</si>
  <si>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</si>
  <si>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</si>
  <si>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</si>
  <si>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</si>
  <si>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</si>
  <si>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</si>
  <si>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</si>
  <si>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</si>
  <si>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</si>
  <si>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</si>
  <si>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</si>
  <si>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</si>
  <si>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</si>
  <si>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</si>
  <si>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</si>
  <si>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</si>
  <si>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</si>
  <si>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</si>
  <si>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</si>
  <si>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</si>
  <si>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</si>
  <si>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</si>
  <si>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</si>
  <si>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</si>
  <si>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</si>
  <si>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</si>
  <si>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</si>
  <si>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</si>
  <si>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</si>
  <si>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</si>
  <si>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</si>
  <si>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</si>
  <si>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</si>
  <si>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</si>
  <si>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</si>
  <si>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</si>
  <si>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</si>
  <si>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</si>
  <si>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</si>
  <si>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</si>
  <si>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</si>
  <si>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</si>
  <si>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</si>
  <si>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</si>
  <si>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</si>
  <si>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</si>
  <si>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</si>
  <si>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</si>
  <si>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</si>
  <si>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</si>
  <si>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</si>
  <si>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</si>
  <si>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</si>
  <si>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</si>
  <si>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</si>
  <si>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</si>
  <si>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</si>
  <si>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</si>
  <si>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</si>
  <si>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</si>
  <si>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</si>
  <si>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</si>
  <si>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</si>
  <si>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</si>
  <si>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</si>
  <si>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</si>
  <si>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</si>
  <si>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</si>
  <si>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</si>
  <si>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</si>
  <si>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</si>
  <si>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</si>
  <si>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</si>
  <si>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</si>
  <si>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</si>
  <si>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</si>
  <si>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</si>
  <si>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</si>
  <si>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</si>
  <si>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</si>
  <si>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</si>
  <si>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</si>
  <si>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</si>
  <si>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</si>
  <si>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</si>
  <si>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</si>
  <si>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</si>
  <si>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</si>
  <si>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</si>
  <si>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</si>
  <si>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</si>
  <si>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</si>
  <si>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</si>
  <si>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</si>
  <si>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</si>
  <si>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</si>
  <si>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</si>
  <si>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</si>
  <si>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</si>
  <si>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</si>
  <si>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</si>
  <si>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</si>
  <si>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</si>
  <si>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</si>
  <si>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</si>
  <si>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</si>
  <si>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</si>
  <si>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</si>
  <si>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</si>
  <si>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</si>
  <si>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</si>
  <si>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</si>
  <si>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</si>
  <si>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</si>
  <si>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</si>
  <si>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</si>
  <si>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</si>
  <si>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</si>
  <si>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</si>
  <si>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</si>
  <si>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</si>
  <si>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</si>
  <si>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</si>
  <si>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</si>
  <si>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</si>
  <si>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</si>
  <si>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</si>
  <si>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</si>
  <si>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</si>
  <si>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</si>
  <si>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</si>
  <si>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</si>
  <si>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</si>
  <si>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</si>
  <si>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</si>
  <si>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</si>
  <si>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</si>
  <si>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</si>
  <si>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</si>
  <si>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</si>
  <si>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</si>
  <si>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</si>
  <si>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</si>
  <si>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</si>
  <si>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</si>
  <si>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</si>
  <si>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</si>
  <si>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</si>
  <si>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</si>
  <si>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</si>
  <si>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</si>
  <si>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</si>
  <si>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</si>
  <si>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</si>
  <si>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</si>
  <si>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</si>
  <si>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</si>
  <si>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</si>
  <si>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</si>
  <si>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</si>
  <si>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</si>
  <si>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</si>
  <si>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</si>
  <si>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</si>
  <si>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</si>
  <si>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</si>
  <si>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</si>
  <si>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</si>
  <si>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</si>
  <si>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</si>
  <si>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</si>
  <si>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</si>
  <si>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</si>
  <si>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</si>
  <si>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</si>
  <si>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</si>
  <si>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</si>
  <si>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</si>
  <si>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</si>
  <si>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</si>
  <si>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</si>
  <si>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</si>
  <si>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</si>
  <si>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</si>
  <si>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</si>
  <si>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</si>
  <si>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</si>
  <si>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</si>
  <si>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</si>
  <si>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</si>
  <si>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</si>
  <si>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</si>
  <si>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</si>
  <si>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</si>
  <si>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</si>
  <si>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</si>
  <si>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</si>
  <si>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</si>
  <si>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</si>
  <si>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</si>
  <si>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</si>
  <si>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</si>
  <si>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</si>
  <si>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</si>
  <si>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</si>
  <si>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</si>
  <si>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</si>
  <si>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</si>
  <si>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</si>
  <si>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</si>
  <si>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</si>
  <si>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</si>
  <si>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</si>
  <si>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</si>
  <si>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</si>
  <si>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</si>
  <si>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</si>
  <si>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</si>
  <si>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</si>
  <si>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</si>
  <si>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</si>
  <si>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</si>
  <si>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</si>
  <si>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</si>
  <si>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</si>
  <si>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</si>
  <si>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</si>
  <si>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</si>
  <si>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</si>
  <si>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</si>
  <si>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</si>
  <si>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</si>
  <si>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</si>
  <si>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</si>
  <si>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</si>
  <si>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</si>
  <si>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</si>
  <si>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</si>
  <si>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</si>
  <si>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</si>
  <si>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</si>
  <si>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</si>
  <si>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</si>
  <si>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</si>
  <si>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</si>
  <si>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</si>
  <si>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</si>
  <si>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</si>
  <si>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</si>
  <si>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</si>
  <si>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</si>
  <si>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</si>
  <si>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</si>
  <si>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</si>
  <si>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</si>
  <si>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</si>
  <si>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</si>
  <si>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</si>
  <si>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</si>
  <si>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</si>
  <si>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</si>
  <si>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</si>
  <si>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</si>
  <si>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</si>
  <si>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</si>
  <si>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</si>
  <si>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</si>
  <si>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</si>
  <si>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</si>
  <si>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</si>
  <si>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</si>
  <si>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</si>
  <si>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</si>
  <si>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</si>
  <si>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</si>
  <si>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</si>
  <si>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</si>
  <si>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</si>
  <si>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</si>
  <si>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</si>
  <si>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</si>
  <si>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</si>
  <si>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</si>
  <si>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</si>
  <si>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</si>
  <si>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</si>
  <si>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</si>
  <si>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</si>
  <si>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</si>
  <si>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</si>
  <si>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</si>
  <si>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</si>
  <si>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</si>
  <si>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</si>
  <si>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</si>
  <si>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</si>
  <si>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</si>
  <si>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</si>
  <si>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</si>
  <si>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</si>
  <si>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</si>
  <si>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</si>
  <si>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</si>
  <si>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</si>
  <si>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</si>
  <si>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</si>
  <si>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</si>
  <si>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</si>
  <si>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</si>
  <si>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</si>
  <si>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</si>
  <si>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</si>
  <si>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</si>
  <si>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</si>
  <si>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</si>
  <si>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</si>
  <si>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</si>
  <si>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</si>
  <si>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</si>
  <si>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</si>
  <si>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</si>
  <si>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</si>
  <si>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</si>
  <si>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</si>
  <si>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</si>
  <si>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</si>
  <si>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</si>
  <si>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</si>
  <si>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</si>
  <si>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</si>
  <si>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</si>
  <si>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</si>
  <si>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</si>
  <si>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</si>
  <si>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</si>
  <si>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</si>
  <si>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</si>
  <si>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</si>
  <si>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</si>
  <si>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</si>
  <si>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</si>
  <si>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</si>
  <si>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</si>
  <si>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</si>
  <si>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</si>
  <si>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</si>
  <si>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</si>
  <si>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</si>
  <si>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</si>
  <si>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</si>
  <si>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</si>
  <si>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</si>
  <si>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</si>
  <si>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</si>
  <si>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</si>
  <si>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</si>
  <si>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</si>
  <si>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</si>
  <si>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</si>
  <si>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</si>
  <si>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</si>
  <si>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</si>
  <si>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</si>
  <si>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</si>
  <si>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</si>
  <si>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</si>
  <si>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</si>
  <si>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</si>
  <si>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</si>
  <si>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</si>
  <si>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</si>
  <si>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</si>
  <si>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</si>
  <si>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</si>
  <si>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</si>
  <si>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</si>
  <si>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</si>
  <si>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</si>
  <si>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</si>
  <si>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</si>
  <si>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</si>
  <si>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</si>
  <si>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</si>
  <si>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</si>
  <si>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</si>
  <si>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</si>
  <si>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</si>
  <si>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</si>
  <si>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</si>
  <si>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</si>
  <si>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</si>
  <si>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</si>
  <si>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</si>
  <si>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</si>
  <si>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</si>
  <si>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</si>
  <si>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</si>
  <si>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</si>
  <si>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</si>
  <si>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</si>
  <si>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</si>
  <si>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</si>
  <si>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</si>
  <si>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</si>
  <si>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</si>
  <si>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</si>
  <si>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</si>
  <si>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</si>
  <si>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</si>
  <si>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</si>
  <si>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</si>
  <si>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</si>
  <si>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</si>
  <si>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</si>
  <si>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</si>
  <si>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</si>
  <si>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</si>
  <si>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</si>
  <si>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</si>
  <si>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</si>
  <si>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</si>
  <si>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</si>
  <si>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</si>
  <si>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</si>
  <si>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</si>
  <si>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</si>
  <si>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</si>
  <si>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</si>
  <si>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</si>
  <si>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</si>
  <si>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</si>
  <si>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</si>
  <si>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</si>
  <si>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</si>
  <si>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</si>
  <si>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</si>
  <si>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</si>
  <si>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</si>
  <si>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</si>
  <si>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</si>
  <si>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</si>
  <si>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</si>
  <si>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</si>
  <si>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</si>
  <si>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</si>
  <si>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</si>
  <si>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</si>
  <si>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</si>
  <si>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</si>
  <si>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</si>
  <si>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</si>
  <si>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</si>
  <si>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</si>
  <si>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</si>
  <si>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</si>
  <si>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</si>
  <si>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</si>
  <si>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</si>
  <si>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</si>
  <si>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</si>
  <si>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</si>
  <si>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</si>
  <si>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</si>
  <si>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</si>
  <si>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</si>
  <si>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</si>
  <si>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</si>
  <si>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</si>
  <si>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</si>
  <si>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</si>
  <si>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</si>
  <si>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</si>
  <si>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</si>
  <si>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</si>
  <si>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</si>
  <si>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</si>
  <si>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</si>
  <si>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</si>
  <si>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</si>
  <si>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</si>
  <si>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</si>
  <si>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</si>
  <si>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</si>
  <si>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</si>
  <si>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</si>
  <si>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</si>
  <si>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</si>
  <si>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</si>
  <si>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</si>
  <si>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</si>
  <si>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</si>
  <si>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</si>
  <si>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</si>
  <si>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</si>
  <si>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</si>
  <si>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</si>
  <si>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</si>
  <si>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</si>
  <si>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</si>
  <si>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</si>
  <si>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</si>
  <si>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</si>
  <si>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</si>
  <si>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</si>
  <si>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</si>
  <si>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</si>
  <si>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</si>
  <si>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</si>
  <si>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</si>
  <si>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</si>
  <si>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</si>
  <si>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</si>
  <si>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</si>
  <si>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</si>
  <si>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</si>
  <si>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</si>
  <si>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</si>
  <si>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</si>
  <si>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</si>
  <si>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</si>
  <si>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</si>
  <si>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</si>
  <si>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</si>
  <si>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</si>
  <si>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</si>
  <si>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</si>
  <si>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</si>
  <si>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</si>
  <si>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</si>
  <si>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</si>
  <si>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</si>
  <si>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</si>
  <si>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</si>
  <si>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</si>
  <si>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</si>
  <si>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</si>
  <si>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</si>
  <si>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</si>
  <si>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</si>
  <si>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</si>
  <si>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</si>
  <si>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</si>
  <si>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</si>
  <si>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</si>
  <si>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</si>
  <si>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</si>
  <si>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</si>
  <si>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</si>
  <si>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</si>
  <si>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</si>
  <si>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</si>
  <si>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</si>
  <si>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</si>
  <si>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</si>
  <si>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</si>
  <si>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</si>
  <si>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</si>
  <si>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</si>
  <si>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</si>
  <si>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</si>
  <si>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</si>
  <si>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</si>
  <si>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</si>
  <si>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</si>
  <si>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</si>
  <si>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</si>
  <si>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</si>
  <si>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</si>
  <si>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</si>
  <si>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</si>
  <si>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</si>
  <si>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</si>
  <si>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</si>
  <si>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</si>
  <si>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</si>
  <si>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</si>
  <si>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</si>
  <si>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</si>
  <si>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</si>
  <si>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</si>
  <si>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</si>
  <si>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</si>
  <si>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</si>
  <si>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</si>
  <si>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</si>
  <si>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</si>
  <si>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</si>
  <si>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</si>
  <si>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</si>
  <si>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</si>
  <si>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</si>
  <si>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</si>
  <si>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</si>
  <si>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</si>
  <si>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</si>
  <si>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</si>
  <si>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</si>
  <si>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</si>
  <si>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</si>
  <si>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</si>
  <si>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</si>
  <si>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</si>
  <si>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</si>
  <si>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</si>
  <si>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</si>
  <si>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</si>
  <si>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</si>
  <si>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</si>
  <si>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</si>
  <si>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</si>
  <si>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</si>
  <si>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</si>
  <si>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</si>
  <si>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</si>
  <si>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</si>
  <si>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</si>
  <si>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</si>
  <si>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</si>
  <si>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</si>
  <si>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</si>
  <si>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</si>
  <si>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</si>
  <si>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</si>
  <si>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</si>
  <si>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</si>
  <si>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</si>
  <si>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</si>
  <si>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</si>
  <si>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</si>
  <si>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</si>
  <si>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</si>
  <si>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</si>
  <si>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</si>
  <si>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</si>
  <si>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</si>
  <si>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</si>
  <si>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</si>
  <si>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</si>
  <si>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</si>
  <si>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</si>
  <si>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</si>
  <si>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</si>
  <si>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</si>
  <si>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</si>
  <si>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</si>
  <si>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</si>
  <si>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</si>
  <si>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</si>
  <si>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</si>
  <si>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</si>
  <si>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</si>
  <si>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</si>
  <si>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</si>
  <si>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</si>
  <si>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</si>
  <si>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</si>
  <si>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</si>
  <si>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</si>
  <si>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</si>
  <si>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</si>
  <si>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</si>
  <si>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</si>
  <si>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</si>
  <si>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</si>
  <si>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</si>
  <si>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</si>
  <si>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</si>
  <si>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</si>
  <si>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</si>
  <si>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</si>
  <si>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</si>
  <si>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</si>
  <si>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</si>
  <si>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</si>
  <si>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</si>
  <si>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</si>
  <si>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</si>
  <si>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</si>
  <si>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</si>
  <si>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</si>
  <si>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</si>
  <si>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</si>
  <si>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</si>
  <si>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</si>
  <si>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</si>
  <si>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</si>
  <si>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</si>
  <si>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</si>
  <si>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</si>
  <si>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</si>
  <si>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</si>
  <si>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</si>
  <si>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</si>
  <si>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</si>
  <si>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</si>
  <si>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</si>
  <si>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</si>
  <si>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</si>
  <si>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</si>
  <si>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</si>
  <si>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</si>
  <si>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</si>
  <si>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</si>
  <si>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</si>
  <si>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</si>
  <si>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</si>
  <si>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</si>
  <si>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</si>
  <si>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</si>
  <si>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</si>
  <si>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</si>
  <si>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</si>
  <si>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</si>
  <si>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</si>
  <si>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</si>
  <si>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</si>
  <si>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</si>
  <si>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</si>
  <si>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</si>
  <si>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</si>
  <si>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</si>
  <si>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</si>
  <si>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</si>
  <si>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</si>
  <si>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</si>
  <si>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</si>
  <si>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</si>
  <si>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</si>
  <si>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</si>
  <si>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</si>
  <si>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</si>
  <si>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</si>
  <si>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</si>
  <si>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</si>
  <si>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</si>
  <si>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</si>
  <si>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</si>
  <si>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</si>
  <si>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</si>
  <si>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</si>
  <si>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</si>
  <si>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</si>
  <si>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</si>
  <si>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</si>
  <si>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</si>
  <si>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</si>
  <si>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</si>
  <si>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</si>
  <si>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</si>
  <si>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</si>
  <si>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</si>
  <si>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</si>
  <si>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</si>
  <si>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</si>
  <si>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</si>
  <si>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</si>
  <si>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</si>
  <si>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</si>
  <si>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</si>
  <si>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</si>
  <si>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</si>
  <si>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</si>
  <si>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</si>
  <si>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</si>
  <si>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</si>
  <si>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</si>
  <si>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</si>
  <si>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</si>
  <si>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</si>
  <si>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</si>
  <si>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</si>
  <si>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</si>
  <si>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</si>
  <si>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</si>
  <si>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</si>
  <si>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</si>
  <si>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</si>
  <si>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</si>
  <si>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</si>
  <si>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</si>
  <si>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</si>
  <si>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</si>
  <si>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</si>
  <si>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</si>
  <si>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</si>
  <si>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</si>
  <si>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</si>
  <si>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</si>
  <si>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</si>
  <si>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</si>
  <si>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</si>
  <si>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</si>
  <si>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</si>
  <si>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</si>
  <si>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</si>
  <si>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</si>
  <si>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</si>
  <si>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</si>
  <si>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</si>
  <si>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</si>
  <si>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</si>
  <si>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</si>
  <si>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</si>
  <si>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</si>
  <si>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</si>
  <si>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</si>
  <si>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</si>
  <si>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</si>
  <si>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</si>
  <si>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</si>
  <si>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</si>
  <si>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</si>
  <si>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</si>
  <si>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</si>
  <si>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</si>
  <si>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</si>
  <si>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</si>
  <si>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</si>
  <si>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</si>
  <si>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</si>
  <si>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</si>
  <si>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</si>
  <si>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</si>
  <si>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</si>
  <si>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</si>
  <si>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</si>
  <si>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</si>
  <si>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</si>
  <si>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</si>
  <si>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</si>
  <si>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</si>
  <si>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</si>
  <si>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</si>
  <si>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</si>
  <si>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</si>
  <si>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</si>
  <si>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</si>
  <si>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</si>
  <si>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</si>
  <si>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</si>
  <si>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</si>
  <si>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</si>
  <si>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</si>
  <si>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</si>
  <si>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</si>
  <si>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</si>
  <si>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</si>
  <si>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</si>
  <si>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</si>
  <si>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</si>
  <si>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</si>
  <si>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</si>
  <si>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</si>
  <si>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</si>
  <si>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</si>
  <si>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</si>
  <si>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</si>
  <si>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</si>
  <si>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</si>
  <si>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</si>
  <si>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</si>
  <si>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</si>
  <si>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</si>
  <si>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</si>
  <si>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</si>
  <si>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</si>
  <si>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</si>
  <si>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</si>
  <si>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</si>
  <si>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</si>
  <si>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</si>
  <si>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</si>
  <si>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</si>
  <si>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</si>
  <si>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</si>
  <si>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</si>
  <si>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</si>
  <si>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</si>
  <si>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</si>
  <si>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</si>
  <si>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</si>
  <si>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</si>
  <si>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</si>
  <si>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</si>
  <si>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</si>
  <si>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</si>
  <si>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</si>
  <si>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</si>
  <si>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</si>
  <si>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</si>
  <si>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</si>
  <si>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</si>
  <si>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</si>
  <si>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</si>
  <si>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</si>
  <si>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</si>
  <si>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</si>
  <si>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</si>
  <si>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</si>
  <si>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</si>
  <si>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</si>
  <si>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</si>
  <si>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</si>
  <si>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</si>
  <si>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</si>
  <si>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</si>
  <si>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</si>
  <si>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</si>
  <si>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</si>
  <si>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</si>
  <si>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</si>
  <si>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</si>
  <si>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</si>
  <si>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</si>
  <si>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</si>
  <si>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</si>
  <si>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</si>
  <si>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</si>
  <si>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</si>
  <si>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</si>
  <si>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</si>
  <si>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</si>
  <si>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</si>
  <si>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</si>
  <si>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</si>
  <si>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</si>
  <si>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</si>
  <si>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</si>
  <si>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</si>
  <si>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</si>
  <si>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</si>
  <si>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</si>
  <si>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</si>
  <si>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</si>
  <si>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</si>
  <si>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</si>
  <si>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</si>
  <si>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</si>
  <si>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</si>
  <si>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</si>
  <si>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</si>
  <si>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</si>
  <si>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</si>
  <si>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</si>
  <si>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</si>
  <si>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</si>
  <si>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</si>
  <si>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</si>
  <si>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</si>
  <si>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</si>
  <si>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</si>
  <si>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</si>
  <si>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</si>
  <si>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</si>
  <si>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</si>
  <si>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</si>
  <si>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</si>
  <si>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</si>
  <si>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</si>
  <si>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</si>
  <si>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</si>
  <si>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</si>
  <si>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</si>
  <si>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</si>
  <si>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</si>
  <si>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</si>
  <si>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</si>
  <si>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</si>
  <si>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</si>
  <si>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</si>
  <si>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</si>
  <si>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</si>
  <si>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</si>
  <si>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</si>
  <si>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</si>
  <si>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</si>
  <si>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</si>
  <si>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</si>
  <si>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</si>
  <si>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</si>
  <si>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</si>
  <si>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</si>
  <si>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</si>
  <si>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</si>
  <si>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</si>
  <si>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</si>
  <si>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</si>
  <si>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</si>
  <si>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</si>
  <si>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</si>
  <si>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</si>
  <si>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</si>
  <si>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</si>
  <si>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</si>
  <si>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</si>
  <si>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</si>
  <si>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</si>
  <si>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</si>
  <si>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</si>
  <si>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</si>
  <si>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</si>
  <si>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</si>
  <si>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</si>
  <si>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</si>
  <si>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</si>
  <si>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</si>
  <si>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</si>
  <si>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</si>
  <si>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</si>
  <si>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</si>
  <si>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</si>
  <si>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</si>
  <si>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</si>
  <si>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</si>
  <si>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</si>
  <si>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</si>
  <si>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</si>
  <si>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</si>
  <si>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</si>
  <si>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</si>
  <si>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</si>
  <si>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</si>
  <si>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</si>
  <si>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</si>
  <si>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</si>
  <si>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</si>
  <si>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</si>
  <si>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</si>
  <si>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</si>
  <si>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</si>
  <si>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</si>
  <si>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</si>
  <si>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</si>
  <si>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</si>
  <si>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</si>
  <si>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</si>
  <si>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</si>
  <si>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</si>
  <si>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</si>
  <si>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</si>
  <si>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</si>
  <si>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</si>
  <si>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</si>
  <si>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</si>
  <si>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</si>
  <si>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</si>
  <si>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</si>
  <si>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</si>
  <si>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</si>
  <si>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</si>
  <si>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</si>
  <si>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</si>
  <si>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</si>
  <si>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</si>
  <si>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</si>
  <si>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</si>
  <si>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</si>
  <si>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</si>
  <si>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</si>
  <si>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</si>
  <si>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</si>
  <si>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</si>
  <si>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</si>
  <si>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</si>
  <si>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</si>
  <si>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</si>
  <si>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</si>
  <si>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</si>
  <si>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</si>
  <si>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</si>
  <si>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</si>
  <si>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</si>
  <si>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</si>
  <si>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</si>
  <si>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</si>
  <si>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</si>
  <si>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</si>
  <si>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</si>
  <si>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</si>
  <si>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</si>
  <si>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</si>
  <si>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</si>
  <si>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</si>
  <si>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</si>
  <si>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</si>
  <si>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</si>
  <si>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</si>
  <si>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</si>
  <si>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</si>
  <si>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</si>
  <si>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</si>
  <si>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</si>
  <si>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</si>
  <si>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</si>
  <si>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</si>
  <si>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</si>
  <si>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</si>
  <si>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</si>
  <si>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</si>
  <si>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</si>
  <si>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</si>
  <si>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</si>
  <si>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</si>
  <si>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</si>
  <si>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</si>
  <si>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</si>
  <si>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</si>
  <si>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</si>
  <si>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</si>
  <si>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</si>
  <si>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</si>
  <si>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</si>
  <si>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</si>
  <si>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</si>
  <si>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</si>
  <si>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</si>
  <si>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</si>
  <si>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</si>
  <si>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</si>
  <si>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</si>
  <si>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</si>
  <si>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</si>
  <si>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</si>
  <si>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</si>
  <si>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</si>
  <si>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</si>
  <si>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</si>
  <si>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</si>
  <si>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</si>
  <si>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</si>
  <si>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</si>
  <si>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</si>
  <si>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</si>
  <si>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</si>
  <si>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</si>
  <si>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</si>
  <si>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</si>
  <si>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</si>
  <si>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</si>
  <si>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</si>
  <si>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</si>
  <si>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</si>
  <si>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</si>
  <si>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</si>
  <si>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</si>
  <si>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</si>
  <si>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</si>
  <si>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</si>
  <si>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</si>
  <si>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</si>
  <si>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</si>
  <si>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</si>
  <si>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</si>
  <si>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</si>
  <si>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</si>
  <si>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</si>
  <si>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</si>
  <si>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</si>
  <si>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</si>
  <si>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</si>
  <si>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</si>
  <si>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</si>
  <si>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</si>
  <si>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</si>
  <si>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</si>
  <si>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</si>
  <si>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</si>
  <si>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</si>
  <si>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</si>
  <si>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</si>
  <si>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</si>
  <si>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</si>
  <si>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</si>
  <si>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</si>
  <si>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</si>
  <si>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</si>
  <si>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</si>
  <si>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</si>
  <si>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</si>
  <si>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</si>
  <si>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</si>
  <si>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</si>
  <si>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</si>
  <si>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</si>
  <si>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</si>
  <si>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</si>
  <si>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</si>
  <si>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</si>
  <si>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</si>
  <si>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</si>
  <si>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</si>
  <si>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</si>
  <si>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</si>
  <si>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</si>
  <si>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</si>
  <si>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</si>
  <si>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</si>
  <si>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</si>
  <si>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</si>
  <si>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</si>
  <si>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</si>
  <si>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</si>
  <si>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</si>
  <si>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</si>
  <si>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</si>
  <si>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</si>
  <si>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</si>
  <si>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</si>
  <si>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</si>
  <si>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</si>
  <si>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</si>
  <si>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</si>
  <si>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</si>
  <si>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</si>
  <si>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</si>
  <si>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</si>
  <si>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</si>
  <si>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</si>
  <si>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</si>
  <si>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</si>
  <si>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</si>
  <si>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</si>
  <si>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</si>
  <si>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</si>
  <si>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</si>
  <si>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</si>
  <si>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</si>
  <si>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</si>
  <si>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</si>
  <si>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</si>
  <si>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</si>
  <si>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</si>
  <si>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</si>
  <si>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</si>
  <si>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</si>
  <si>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</si>
  <si>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</si>
  <si>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</si>
  <si>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</si>
  <si>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</si>
  <si>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</si>
  <si>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</si>
  <si>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</si>
  <si>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</si>
  <si>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</si>
  <si>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</si>
  <si>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</si>
  <si>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</si>
  <si>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</si>
  <si>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</si>
  <si>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</si>
  <si>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</si>
  <si>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</si>
  <si>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</si>
  <si>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</si>
  <si>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</si>
  <si>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</si>
  <si>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</si>
  <si>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</si>
  <si>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</si>
  <si>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</si>
  <si>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</si>
  <si>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</si>
  <si>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</si>
  <si>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</si>
  <si>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</si>
  <si>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</si>
  <si>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</si>
  <si>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</si>
  <si>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</si>
  <si>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</si>
  <si>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</si>
  <si>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</si>
  <si>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</si>
  <si>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</si>
  <si>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</si>
  <si>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</si>
  <si>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</si>
  <si>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</si>
  <si>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</si>
  <si>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</si>
  <si>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</si>
  <si>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</si>
  <si>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</si>
  <si>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</si>
  <si>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</si>
  <si>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</si>
  <si>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</si>
  <si>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</si>
  <si>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</si>
  <si>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</si>
  <si>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</si>
  <si>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</si>
  <si>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</si>
  <si>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</si>
  <si>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</si>
  <si>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</si>
  <si>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</si>
  <si>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</si>
  <si>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</si>
  <si>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</si>
  <si>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</si>
  <si>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</si>
  <si>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</si>
  <si>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</si>
  <si>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</si>
  <si>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</si>
  <si>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</si>
  <si>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</si>
  <si>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</si>
  <si>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</si>
  <si>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</si>
  <si>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</si>
  <si>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</si>
  <si>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</si>
  <si>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</si>
  <si>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</si>
  <si>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</si>
  <si>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</si>
  <si>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</si>
  <si>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</si>
  <si>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</si>
  <si>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</si>
  <si>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</si>
  <si>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</si>
  <si>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</si>
  <si>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</si>
  <si>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</si>
  <si>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</si>
  <si>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</si>
  <si>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</si>
  <si>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</si>
  <si>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</si>
  <si>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</si>
  <si>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</si>
  <si>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</si>
  <si>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</si>
  <si>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</si>
  <si>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</si>
  <si>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</si>
  <si>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</si>
  <si>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</si>
  <si>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</si>
  <si>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</si>
  <si>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</si>
  <si>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</si>
  <si>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</si>
  <si>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</si>
  <si>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</si>
  <si>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</si>
  <si>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</si>
  <si>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</si>
  <si>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</si>
  <si>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</si>
  <si>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</si>
  <si>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</si>
  <si>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</si>
  <si>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</si>
  <si>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</si>
  <si>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</si>
  <si>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</si>
  <si>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</si>
  <si>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</si>
  <si>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</si>
  <si>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</si>
  <si>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</si>
  <si>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</si>
  <si>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</si>
  <si>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</si>
  <si>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</si>
  <si>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</si>
  <si>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</si>
  <si>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</si>
  <si>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</si>
  <si>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</si>
  <si>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</si>
  <si>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</si>
  <si>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</si>
  <si>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</si>
  <si>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</si>
  <si>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</si>
  <si>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</si>
  <si>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</si>
  <si>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</si>
  <si>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</si>
  <si>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</si>
  <si>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</si>
  <si>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</si>
  <si>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</si>
  <si>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</si>
  <si>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</si>
  <si>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</si>
  <si>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</si>
  <si>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</si>
  <si>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</si>
  <si>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</si>
  <si>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</si>
  <si>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</si>
  <si>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</si>
  <si>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</si>
  <si>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</si>
  <si>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</si>
  <si>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</si>
  <si>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</si>
  <si>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</si>
  <si>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</si>
  <si>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</si>
  <si>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</si>
  <si>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</si>
  <si>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</si>
  <si>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</si>
  <si>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</si>
  <si>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</si>
  <si>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</si>
  <si>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</si>
  <si>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</si>
  <si>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</si>
  <si>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</si>
  <si>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</si>
  <si>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</si>
  <si>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</si>
  <si>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</si>
  <si>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</si>
  <si>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</si>
  <si>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</si>
  <si>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</si>
  <si>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</si>
  <si>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</si>
  <si>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</si>
  <si>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</si>
  <si>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</si>
  <si>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</si>
  <si>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</si>
  <si>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</si>
  <si>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</si>
  <si>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</si>
  <si>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</si>
  <si>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</si>
  <si>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</si>
  <si>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</si>
  <si>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</si>
  <si>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</si>
  <si>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</si>
  <si>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</si>
  <si>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</si>
  <si>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</si>
  <si>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</si>
  <si>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</si>
  <si>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</si>
  <si>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</si>
  <si>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</si>
  <si>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</si>
  <si>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</si>
  <si>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</si>
  <si>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</si>
  <si>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</si>
  <si>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</si>
  <si>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</si>
  <si>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</si>
  <si>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</si>
  <si>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</si>
  <si>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</si>
  <si>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</si>
  <si>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</si>
  <si>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</si>
  <si>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</si>
  <si>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</si>
  <si>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</si>
  <si>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</si>
  <si>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</si>
  <si>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</si>
  <si>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</si>
  <si>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</si>
  <si>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</si>
  <si>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</si>
  <si>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</si>
  <si>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</si>
  <si>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</si>
  <si>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</si>
  <si>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</si>
  <si>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</si>
  <si>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</si>
  <si>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</si>
  <si>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</si>
  <si>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</si>
  <si>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</si>
  <si>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</si>
  <si>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</si>
  <si>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</si>
  <si>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</si>
  <si>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</si>
  <si>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</si>
  <si>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</si>
  <si>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</si>
  <si>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</si>
  <si>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</si>
  <si>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</si>
  <si>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</si>
  <si>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</si>
  <si>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</si>
  <si>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</si>
  <si>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</si>
  <si>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</si>
  <si>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</si>
  <si>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</si>
  <si>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</si>
  <si>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</si>
  <si>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</si>
  <si>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</si>
  <si>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</si>
  <si>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</si>
  <si>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</si>
  <si>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</si>
  <si>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</si>
  <si>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</si>
  <si>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</si>
  <si>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</si>
  <si>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</si>
  <si>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</si>
  <si>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</si>
  <si>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</si>
  <si>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</si>
  <si>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</si>
  <si>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</si>
  <si>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</si>
  <si>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</si>
  <si>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</si>
  <si>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</si>
  <si>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</si>
  <si>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</si>
  <si>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</si>
  <si>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</si>
  <si>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</si>
  <si>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</si>
  <si>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</si>
  <si>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</si>
  <si>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</si>
  <si>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</si>
  <si>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</si>
  <si>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</si>
  <si>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</si>
  <si>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</si>
  <si>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</si>
  <si>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</si>
  <si>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</si>
  <si>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</si>
  <si>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</si>
  <si>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</si>
  <si>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</si>
  <si>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</si>
  <si>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</si>
  <si>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</si>
  <si>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</si>
  <si>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</si>
  <si>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</si>
  <si>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</si>
  <si>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</si>
  <si>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</si>
  <si>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</si>
  <si>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</si>
  <si>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</si>
  <si>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</si>
  <si>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</si>
  <si>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</si>
  <si>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</si>
  <si>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</si>
  <si>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</si>
  <si>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</si>
  <si>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</si>
  <si>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</si>
  <si>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</si>
  <si>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</si>
  <si>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</si>
  <si>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</si>
  <si>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</si>
  <si>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</si>
  <si>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</si>
  <si>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</si>
  <si>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</si>
  <si>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</si>
  <si>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</si>
  <si>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</si>
  <si>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</si>
  <si>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</si>
  <si>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</si>
  <si>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</si>
  <si>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</si>
  <si>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</si>
  <si>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</si>
  <si>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</si>
  <si>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</si>
  <si>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</si>
  <si>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</si>
  <si>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</si>
  <si>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</si>
  <si>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</si>
  <si>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</si>
  <si>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</si>
  <si>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</si>
  <si>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</si>
  <si>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</si>
  <si>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</si>
  <si>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</si>
  <si>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</si>
  <si>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</si>
  <si>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</si>
  <si>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</si>
  <si>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</si>
  <si>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</si>
  <si>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</si>
  <si>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</si>
  <si>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</si>
  <si>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</si>
  <si>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</si>
  <si>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</si>
  <si>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</si>
  <si>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</si>
  <si>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</si>
  <si>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</si>
  <si>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</si>
  <si>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</si>
  <si>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</si>
  <si>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</si>
  <si>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</si>
  <si>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</si>
  <si>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</si>
  <si>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</si>
  <si>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</si>
  <si>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</si>
  <si>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</si>
  <si>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</si>
  <si>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</si>
  <si>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</si>
  <si>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</si>
  <si>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</si>
  <si>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</si>
  <si>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</si>
  <si>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</si>
  <si>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</si>
  <si>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</si>
  <si>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</si>
  <si>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</si>
  <si>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</si>
  <si>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</si>
  <si>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</si>
  <si>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</si>
  <si>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</si>
  <si>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</si>
  <si>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</si>
  <si>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</si>
  <si>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</si>
  <si>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</si>
  <si>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</si>
  <si>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</si>
  <si>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</si>
  <si>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</si>
  <si>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</si>
  <si>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</si>
  <si>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</si>
  <si>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</si>
  <si>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</si>
  <si>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</si>
  <si>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</si>
  <si>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</si>
  <si>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</si>
  <si>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</si>
  <si>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</si>
  <si>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</si>
  <si>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</si>
  <si>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</si>
  <si>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</si>
  <si>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</si>
  <si>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</si>
  <si>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</si>
  <si>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</si>
  <si>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</si>
  <si>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</si>
  <si>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</si>
  <si>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</si>
  <si>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</si>
  <si>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</si>
  <si>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</si>
  <si>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</si>
  <si>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</si>
  <si>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</si>
  <si>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</si>
  <si>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</si>
  <si>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</si>
  <si>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</si>
  <si>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</si>
  <si>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</si>
  <si>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</si>
  <si>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</si>
  <si>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</si>
  <si>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</si>
  <si>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</si>
  <si>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</si>
  <si>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</si>
  <si>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</si>
  <si>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</si>
  <si>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</si>
  <si>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</si>
  <si>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</si>
  <si>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</si>
  <si>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</si>
  <si>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</si>
  <si>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</si>
  <si>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</si>
  <si>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</si>
  <si>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</si>
  <si>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</si>
  <si>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</si>
  <si>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</si>
  <si>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</si>
  <si>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</si>
  <si>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</si>
  <si>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</si>
  <si>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</si>
  <si>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</si>
  <si>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</si>
  <si>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</si>
  <si>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</si>
  <si>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</si>
  <si>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</si>
  <si>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</si>
  <si>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</si>
  <si>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</si>
  <si>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</si>
  <si>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</si>
  <si>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</si>
  <si>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</si>
  <si>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</si>
  <si>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</si>
  <si>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</si>
  <si>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</si>
  <si>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</si>
  <si>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</si>
  <si>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</si>
  <si>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</si>
  <si>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</si>
  <si>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</si>
  <si>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</si>
  <si>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</si>
  <si>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</si>
  <si>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</si>
  <si>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</si>
  <si>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</si>
  <si>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</si>
  <si>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</si>
  <si>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</si>
  <si>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</si>
  <si>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</si>
  <si>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</si>
  <si>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</si>
  <si>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</si>
  <si>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</si>
  <si>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</si>
  <si>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</si>
  <si>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</si>
  <si>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</si>
  <si>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</si>
  <si>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</si>
  <si>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</si>
  <si>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</si>
  <si>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</si>
  <si>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</si>
  <si>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</si>
  <si>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</si>
  <si>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</si>
  <si>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</si>
  <si>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</si>
  <si>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</si>
  <si>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</si>
  <si>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</si>
  <si>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</si>
  <si>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</si>
  <si>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</si>
  <si>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</si>
  <si>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</si>
  <si>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</si>
  <si>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</si>
  <si>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</si>
  <si>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</si>
  <si>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</si>
  <si>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</si>
  <si>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</si>
  <si>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</si>
  <si>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</si>
  <si>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</si>
  <si>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</si>
  <si>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</si>
  <si>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</si>
  <si>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</si>
  <si>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</si>
  <si>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</si>
  <si>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</si>
  <si>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</si>
  <si>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</si>
  <si>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</si>
  <si>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</si>
  <si>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</si>
  <si>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</si>
  <si>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</si>
  <si>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</si>
  <si>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</si>
  <si>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</si>
  <si>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</si>
  <si>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</si>
  <si>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</si>
  <si>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</si>
  <si>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</si>
  <si>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</si>
  <si>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</si>
  <si>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</si>
  <si>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</si>
  <si>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</si>
  <si>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</si>
  <si>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</si>
  <si>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</si>
  <si>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</si>
  <si>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</si>
  <si>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</si>
  <si>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</si>
  <si>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</si>
  <si>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</si>
  <si>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</si>
  <si>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</si>
  <si>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</si>
  <si>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</si>
  <si>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</si>
  <si>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</si>
  <si>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</si>
  <si>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</si>
  <si>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</si>
  <si>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</si>
  <si>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</si>
  <si>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</si>
  <si>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</si>
  <si>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</si>
  <si>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</si>
  <si>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</si>
  <si>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</si>
  <si>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</si>
  <si>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</si>
  <si>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</si>
  <si>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</si>
  <si>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</si>
  <si>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</si>
  <si>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</si>
  <si>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</si>
  <si>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</si>
  <si>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</si>
  <si>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</si>
  <si>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</si>
  <si>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</si>
  <si>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</si>
  <si>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</si>
  <si>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</si>
  <si>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</si>
  <si>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</si>
  <si>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</si>
  <si>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</si>
  <si>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</si>
  <si>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</si>
  <si>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</si>
  <si>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</si>
  <si>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</si>
  <si>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</si>
  <si>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</si>
  <si>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</si>
  <si>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</si>
  <si>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</si>
  <si>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</si>
  <si>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</si>
  <si>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</si>
  <si>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</si>
  <si>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</si>
  <si>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</si>
  <si>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</si>
  <si>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</si>
  <si>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</si>
  <si>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</si>
  <si>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</si>
  <si>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</si>
  <si>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</si>
  <si>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</si>
  <si>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</si>
  <si>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</si>
  <si>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</si>
  <si>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</si>
  <si>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</si>
  <si>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</si>
  <si>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</si>
  <si>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</si>
  <si>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</si>
  <si>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</si>
  <si>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</si>
  <si>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</si>
  <si>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</si>
  <si>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</si>
  <si>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</si>
  <si>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</si>
  <si>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</si>
  <si>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</si>
  <si>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</si>
  <si>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</si>
  <si>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</si>
  <si>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</si>
  <si>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</si>
  <si>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</si>
  <si>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</si>
  <si>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</si>
  <si>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</si>
  <si>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</si>
  <si>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</si>
  <si>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</si>
  <si>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</si>
  <si>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</si>
  <si>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</si>
  <si>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</si>
  <si>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</si>
  <si>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</si>
  <si>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</si>
  <si>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</si>
  <si>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</si>
  <si>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</si>
  <si>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</si>
  <si>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</si>
  <si>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</si>
  <si>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</si>
  <si>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</si>
  <si>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</si>
  <si>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</si>
  <si>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</si>
  <si>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</si>
  <si>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</si>
  <si>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</si>
  <si>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</si>
  <si>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</si>
  <si>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</si>
  <si>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</si>
  <si>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</si>
  <si>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</si>
  <si>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</si>
  <si>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</si>
  <si>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</si>
  <si>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</si>
  <si>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</si>
  <si>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</si>
  <si>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</si>
  <si>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</si>
  <si>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</si>
  <si>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</si>
  <si>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</si>
  <si>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</si>
  <si>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</si>
  <si>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</si>
  <si>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</si>
  <si>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</si>
  <si>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</si>
  <si>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</si>
  <si>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</si>
  <si>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</si>
  <si>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</si>
  <si>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</si>
  <si>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</si>
  <si>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</si>
  <si>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</si>
  <si>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</si>
  <si>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</si>
  <si>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</si>
  <si>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</si>
  <si>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</si>
  <si>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</si>
  <si>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</si>
  <si>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</si>
  <si>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</si>
  <si>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</si>
  <si>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</si>
  <si>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</si>
  <si>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</si>
  <si>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</si>
  <si>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</si>
  <si>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</si>
  <si>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</si>
  <si>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</si>
  <si>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</si>
  <si>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</si>
  <si>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</si>
  <si>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</si>
  <si>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</si>
  <si>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</si>
  <si>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</si>
  <si>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</si>
  <si>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</si>
  <si>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</si>
  <si>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</si>
  <si>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</si>
  <si>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</si>
  <si>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</si>
  <si>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</si>
  <si>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</si>
  <si>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</si>
  <si>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</si>
  <si>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</si>
  <si>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</si>
  <si>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</si>
  <si>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</si>
  <si>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</si>
  <si>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</si>
  <si>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</si>
  <si>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</si>
  <si>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</si>
  <si>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</si>
  <si>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</si>
  <si>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</si>
  <si>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</si>
  <si>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</si>
  <si>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</si>
  <si>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</si>
  <si>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</si>
  <si>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</si>
  <si>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</si>
  <si>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</si>
  <si>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</si>
  <si>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</si>
  <si>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</si>
  <si>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</si>
  <si>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</si>
  <si>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</si>
  <si>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</si>
  <si>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</si>
  <si>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</si>
  <si>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</si>
  <si>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</si>
  <si>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</si>
  <si>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</si>
  <si>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</si>
  <si>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</si>
  <si>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</si>
  <si>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</si>
  <si>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</si>
  <si>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</si>
  <si>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</si>
  <si>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</si>
  <si>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</si>
  <si>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</si>
  <si>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</si>
  <si>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</si>
  <si>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</si>
  <si>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</si>
  <si>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</si>
  <si>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</si>
  <si>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</si>
  <si>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</si>
  <si>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</si>
  <si>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</si>
  <si>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</si>
  <si>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</si>
  <si>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</si>
  <si>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</si>
  <si>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</si>
  <si>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</si>
  <si>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</si>
  <si>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</si>
  <si>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</si>
  <si>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</si>
  <si>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</si>
  <si>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</si>
  <si>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</si>
  <si>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</si>
  <si>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</si>
  <si>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</si>
  <si>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</si>
  <si>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</si>
  <si>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</si>
  <si>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</si>
  <si>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</si>
  <si>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</si>
  <si>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</si>
  <si>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</si>
  <si>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</si>
  <si>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</si>
  <si>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</si>
  <si>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</si>
  <si>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</si>
  <si>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</si>
  <si>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</si>
  <si>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</si>
  <si>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</si>
  <si>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</si>
  <si>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</si>
  <si>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</si>
  <si>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</si>
  <si>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</si>
  <si>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</si>
  <si>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</si>
  <si>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</si>
  <si>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</si>
  <si>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</si>
  <si>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</si>
  <si>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</si>
  <si>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</si>
  <si>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</si>
  <si>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</si>
  <si>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</si>
  <si>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</si>
  <si>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</si>
  <si>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</si>
  <si>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</si>
  <si>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</si>
  <si>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</si>
  <si>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</si>
  <si>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</si>
  <si>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</si>
  <si>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</si>
  <si>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</si>
  <si>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</si>
  <si>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</si>
  <si>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</si>
  <si>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</si>
  <si>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</si>
  <si>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</si>
  <si>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</si>
  <si>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</si>
  <si>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</si>
  <si>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</si>
  <si>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</si>
  <si>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</si>
  <si>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</si>
  <si>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</si>
  <si>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</si>
  <si>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</si>
  <si>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</si>
  <si>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</si>
  <si>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</si>
  <si>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</si>
  <si>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</si>
  <si>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</si>
  <si>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</si>
  <si>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</si>
  <si>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</si>
  <si>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</si>
  <si>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</si>
  <si>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</si>
  <si>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</si>
  <si>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</si>
  <si>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</si>
  <si>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</si>
  <si>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</si>
  <si>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</si>
  <si>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</si>
  <si>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</si>
  <si>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</si>
  <si>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</si>
  <si>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</si>
  <si>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</si>
  <si>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</si>
  <si>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</si>
  <si>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</si>
  <si>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</si>
  <si>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</si>
  <si>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VNP-2016</t>
  </si>
  <si>
    <t>TRUNG TÂM HẠ TẦNG MẠNG MIỀN NAM</t>
  </si>
  <si>
    <t>VTHANOI-2016</t>
  </si>
  <si>
    <t>CÔNG TY CỔ PHẦN VIỄN THÔNG HÀ NỘI</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</si>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</sst>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49" applyNumberFormat="1" fontId="82" applyFont="1" fillId="0" applyFill="1" borderId="0" applyBorder="1" xfId="128" applyAlignment="1">
      <alignment horizontal="center" vertical="center" wrapText="1"/>
      <protection locked="0"/>
    </xf>
    <xf numFmtId="0" applyNumberFormat="1" fontId="81"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top"/>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0" applyFont="1" fillId="0" applyFill="1" borderId="0" applyBorder="1" xfId="128" applyAlignment="1">
      <alignment horizontal="center"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6080">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7228</v>
      </c>
      <c r="D1" s="599" t="s">
        <v>2</v>
      </c>
    </row>
    <row r="2" ht="30">
      <c r="A2" s="600">
        <v>1</v>
      </c>
      <c r="B2" s="242" t="s">
        <v>1428</v>
      </c>
      <c r="C2" s="619" t="s">
        <v>1428</v>
      </c>
      <c r="D2" s="242" t="s">
        <v>7052</v>
      </c>
    </row>
    <row r="3">
      <c r="A3" s="600">
        <v>2</v>
      </c>
      <c r="B3" s="242" t="s">
        <v>1425</v>
      </c>
      <c r="C3" s="619" t="s">
        <v>1425</v>
      </c>
      <c r="D3" s="242" t="s">
        <v>7229</v>
      </c>
    </row>
    <row r="4">
      <c r="A4" s="600">
        <v>3</v>
      </c>
      <c r="B4" s="242" t="s">
        <v>1305</v>
      </c>
      <c r="C4" s="619" t="s">
        <v>1305</v>
      </c>
      <c r="D4" s="242" t="s">
        <v>1313</v>
      </c>
    </row>
    <row r="5">
      <c r="A5" s="600">
        <v>4</v>
      </c>
      <c r="B5" s="242" t="s">
        <v>1426</v>
      </c>
      <c r="C5" s="619" t="s">
        <v>1426</v>
      </c>
      <c r="D5" s="242" t="s">
        <v>7230</v>
      </c>
    </row>
    <row r="6" ht="30">
      <c r="A6" s="600">
        <v>5</v>
      </c>
      <c r="B6" s="242" t="s">
        <v>1427</v>
      </c>
      <c r="C6" s="619" t="s">
        <v>1427</v>
      </c>
      <c r="D6" s="242" t="s">
        <v>7097</v>
      </c>
    </row>
    <row r="7" ht="16.5">
      <c r="A7" s="600">
        <v>6</v>
      </c>
      <c r="B7" s="217" t="s">
        <v>1178</v>
      </c>
      <c r="C7" s="619" t="s">
        <v>1305</v>
      </c>
      <c r="D7" s="217" t="s">
        <v>576</v>
      </c>
    </row>
    <row r="8">
      <c r="A8" s="600">
        <v>7</v>
      </c>
      <c r="B8" s="212" t="s">
        <v>7226</v>
      </c>
      <c r="C8" s="212" t="s">
        <v>1427</v>
      </c>
      <c r="D8" s="212" t="s">
        <v>7227</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7095</v>
      </c>
      <c r="H1" s="493" t="s">
        <v>112</v>
      </c>
      <c r="I1" s="495" t="s">
        <v>144</v>
      </c>
    </row>
    <row r="2" ht="49.5">
      <c r="A2" s="216">
        <v>1</v>
      </c>
      <c r="B2" s="217" t="s">
        <v>7096</v>
      </c>
      <c r="C2" s="217" t="s">
        <v>7097</v>
      </c>
      <c r="D2" s="217" t="s">
        <v>7098</v>
      </c>
      <c r="E2" s="218" t="s">
        <v>7099</v>
      </c>
      <c r="F2" s="218" t="s">
        <v>7100</v>
      </c>
      <c r="G2" s="217" t="s">
        <v>7101</v>
      </c>
      <c r="H2" s="217" t="s">
        <v>1427</v>
      </c>
      <c r="I2" s="478" t="str">
        <f>INDEX(OperatorNameList,MATCH(H2,OperatorIDList,0))</f>
        <v>CÔNG TY CỔ PHẦN VIỄN THÔNG DI ĐỘNG VIETNAMOBILE</v>
      </c>
    </row>
    <row r="3" ht="49.5">
      <c r="A3" s="216">
        <v>2</v>
      </c>
      <c r="B3" s="217" t="s">
        <v>7102</v>
      </c>
      <c r="C3" s="217" t="s">
        <v>7103</v>
      </c>
      <c r="D3" s="217" t="s">
        <v>7104</v>
      </c>
      <c r="E3" s="217" t="s">
        <v>7105</v>
      </c>
      <c r="F3" s="217" t="s">
        <v>7106</v>
      </c>
      <c r="G3" s="217" t="s">
        <v>7107</v>
      </c>
      <c r="H3" s="216" t="s">
        <v>1427</v>
      </c>
      <c r="I3" s="217" t="str">
        <f>INDEX(OperatorNameList,MATCH(H3,OperatorIDList,0))</f>
        <v>CÔNG TY CỔ PHẦN VIỄN THÔNG DI ĐỘNG VIETNAMOBILE</v>
      </c>
    </row>
    <row r="4" ht="49.5">
      <c r="A4" s="216">
        <v>3</v>
      </c>
      <c r="B4" s="217" t="s">
        <v>7108</v>
      </c>
      <c r="C4" s="217" t="s">
        <v>7109</v>
      </c>
      <c r="D4" s="217" t="s">
        <v>7110</v>
      </c>
      <c r="E4" s="217" t="s">
        <v>7111</v>
      </c>
      <c r="F4" s="217" t="s">
        <v>7112</v>
      </c>
      <c r="G4" s="217" t="s">
        <v>7113</v>
      </c>
      <c r="H4" s="216" t="s">
        <v>1426</v>
      </c>
      <c r="I4" s="217" t="str">
        <f>INDEX(OperatorNameList,MATCH(H4,OperatorIDList,0))</f>
        <v>TỔNG CÔNG TY HẠ TẦNG MẠNG</v>
      </c>
    </row>
    <row r="5" ht="49.5">
      <c r="A5" s="216">
        <v>4</v>
      </c>
      <c r="B5" s="217" t="s">
        <v>7114</v>
      </c>
      <c r="C5" s="217" t="s">
        <v>7115</v>
      </c>
      <c r="D5" s="217" t="s">
        <v>7116</v>
      </c>
      <c r="E5" s="217" t="s">
        <v>7117</v>
      </c>
      <c r="F5" s="217" t="s">
        <v>7118</v>
      </c>
      <c r="G5" s="217" t="s">
        <v>7119</v>
      </c>
      <c r="H5" s="216" t="s">
        <v>1425</v>
      </c>
      <c r="I5" s="217" t="str">
        <f>INDEX(OperatorNameList,MATCH(H5,OperatorIDList,0))</f>
        <v>TỔNG CÔNG TY VIỄN THÔNG MOBIFONE</v>
      </c>
    </row>
    <row r="6" ht="49.5">
      <c r="A6" s="216">
        <v>5</v>
      </c>
      <c r="B6" s="217" t="s">
        <v>7120</v>
      </c>
      <c r="C6" s="217" t="s">
        <v>1313</v>
      </c>
      <c r="D6" s="217" t="s">
        <v>7121</v>
      </c>
      <c r="E6" s="217" t="s">
        <v>7122</v>
      </c>
      <c r="F6" s="217" t="s">
        <v>7123</v>
      </c>
      <c r="G6" s="217" t="s">
        <v>7124</v>
      </c>
      <c r="H6" s="216" t="s">
        <v>1305</v>
      </c>
      <c r="I6" s="217" t="str">
        <f>INDEX(OperatorNameList,MATCH(H6,OperatorIDList,0))</f>
        <v>TẬP ĐOÀN CÔNG NGHIỆP - VIỄN THÔNG QUÂN ĐỘI</v>
      </c>
    </row>
    <row r="7" ht="49.5">
      <c r="A7" s="216">
        <v>6</v>
      </c>
      <c r="B7" s="217" t="s">
        <v>7125</v>
      </c>
      <c r="C7" s="217" t="s">
        <v>7126</v>
      </c>
      <c r="D7" s="217" t="s">
        <v>7127</v>
      </c>
      <c r="E7" s="217" t="s">
        <v>7128</v>
      </c>
      <c r="G7" s="217" t="s">
        <v>7129</v>
      </c>
      <c r="H7" s="216" t="s">
        <v>1305</v>
      </c>
      <c r="I7" s="217" t="str">
        <f>INDEX(OperatorNameList,MATCH(H7,OperatorIDList,0))</f>
        <v>TẬP ĐOÀN CÔNG NGHIỆP - VIỄN THÔNG QUÂN ĐỘI</v>
      </c>
    </row>
    <row r="8" ht="49.5">
      <c r="A8" s="216">
        <v>7</v>
      </c>
      <c r="B8" s="217" t="s">
        <v>7130</v>
      </c>
      <c r="C8" s="217" t="s">
        <v>7131</v>
      </c>
      <c r="D8" s="217" t="s">
        <v>7132</v>
      </c>
      <c r="E8" s="217" t="s">
        <v>7133</v>
      </c>
      <c r="F8" s="217" t="s">
        <v>7134</v>
      </c>
      <c r="G8" s="217" t="s">
        <v>7135</v>
      </c>
      <c r="H8" s="216" t="s">
        <v>1305</v>
      </c>
      <c r="I8" s="217" t="str">
        <f>INDEX(OperatorNameList,MATCH(H8,OperatorIDList,0))</f>
        <v>TẬP ĐOÀN CÔNG NGHIỆP - VIỄN THÔNG QUÂN ĐỘI</v>
      </c>
    </row>
    <row r="9" ht="33">
      <c r="A9" s="216">
        <v>8</v>
      </c>
      <c r="B9" s="217" t="s">
        <v>7136</v>
      </c>
      <c r="C9" s="217" t="s">
        <v>7137</v>
      </c>
      <c r="D9" s="217" t="s">
        <v>7138</v>
      </c>
      <c r="E9" s="217" t="s">
        <v>7139</v>
      </c>
      <c r="F9" s="217" t="s">
        <v>7140</v>
      </c>
      <c r="G9" s="217" t="s">
        <v>7141</v>
      </c>
      <c r="H9" s="216" t="s">
        <v>1305</v>
      </c>
      <c r="I9" s="217" t="str">
        <f>INDEX(OperatorNameList,MATCH(H9,OperatorIDList,0))</f>
        <v>TẬP ĐOÀN CÔNG NGHIỆP - VIỄN THÔNG QUÂN ĐỘI</v>
      </c>
    </row>
    <row r="10" ht="49.5">
      <c r="A10" s="216">
        <v>9</v>
      </c>
      <c r="B10" s="217" t="s">
        <v>7142</v>
      </c>
      <c r="C10" s="217" t="s">
        <v>7143</v>
      </c>
      <c r="D10" s="217" t="s">
        <v>7144</v>
      </c>
      <c r="E10" s="217" t="s">
        <v>7145</v>
      </c>
      <c r="F10" s="217" t="s">
        <v>7146</v>
      </c>
      <c r="G10" s="217" t="s">
        <v>7147</v>
      </c>
      <c r="H10" s="216" t="s">
        <v>1305</v>
      </c>
      <c r="I10" s="217" t="str">
        <f>INDEX(OperatorNameList,MATCH(H10,OperatorIDList,0))</f>
        <v>TẬP ĐOÀN CÔNG NGHIỆP - VIỄN THÔNG QUÂN ĐỘI</v>
      </c>
    </row>
    <row r="11" ht="49.5">
      <c r="A11" s="216">
        <v>10</v>
      </c>
      <c r="B11" s="217" t="s">
        <v>7148</v>
      </c>
      <c r="C11" s="217" t="s">
        <v>7149</v>
      </c>
      <c r="D11" s="217" t="s">
        <v>7150</v>
      </c>
      <c r="E11" s="217" t="s">
        <v>7151</v>
      </c>
      <c r="G11" s="217" t="s">
        <v>7152</v>
      </c>
      <c r="H11" s="216" t="s">
        <v>1305</v>
      </c>
      <c r="I11" s="217" t="str">
        <f>INDEX(OperatorNameList,MATCH(H11,OperatorIDList,0))</f>
        <v>TẬP ĐOÀN CÔNG NGHIỆP - VIỄN THÔNG QUÂN ĐỘI</v>
      </c>
    </row>
    <row r="12" ht="49.5">
      <c r="A12" s="216">
        <v>11</v>
      </c>
      <c r="B12" s="217" t="s">
        <v>7153</v>
      </c>
      <c r="C12" s="217" t="s">
        <v>7154</v>
      </c>
      <c r="D12" s="217" t="s">
        <v>7155</v>
      </c>
      <c r="E12" s="217" t="s">
        <v>7156</v>
      </c>
      <c r="G12" s="217" t="s">
        <v>7157</v>
      </c>
      <c r="H12" s="216" t="s">
        <v>1305</v>
      </c>
      <c r="I12" s="217" t="str">
        <f>INDEX(OperatorNameList,MATCH(H12,OperatorIDList,0))</f>
        <v>TẬP ĐOÀN CÔNG NGHIỆP - VIỄN THÔNG QUÂN ĐỘI</v>
      </c>
    </row>
    <row r="13" ht="49.5">
      <c r="A13" s="216">
        <v>12</v>
      </c>
      <c r="B13" s="217" t="s">
        <v>7158</v>
      </c>
      <c r="C13" s="217" t="s">
        <v>7159</v>
      </c>
      <c r="D13" s="217" t="s">
        <v>7160</v>
      </c>
      <c r="E13" s="217" t="s">
        <v>7161</v>
      </c>
      <c r="G13" s="217" t="s">
        <v>7129</v>
      </c>
      <c r="H13" s="216" t="s">
        <v>1305</v>
      </c>
      <c r="I13" s="217" t="str">
        <f>INDEX(OperatorNameList,MATCH(H13,OperatorIDList,0))</f>
        <v>TẬP ĐOÀN CÔNG NGHIỆP - VIỄN THÔNG QUÂN ĐỘI</v>
      </c>
    </row>
    <row r="14" ht="49.5">
      <c r="A14" s="216">
        <v>13</v>
      </c>
      <c r="B14" s="217" t="s">
        <v>7162</v>
      </c>
      <c r="C14" s="217" t="s">
        <v>7163</v>
      </c>
      <c r="D14" s="217" t="s">
        <v>7164</v>
      </c>
      <c r="E14" s="217" t="s">
        <v>7165</v>
      </c>
      <c r="F14" s="217" t="s">
        <v>7165</v>
      </c>
      <c r="G14" s="217" t="s">
        <v>7166</v>
      </c>
      <c r="H14" s="216" t="s">
        <v>1305</v>
      </c>
      <c r="I14" s="217" t="str">
        <f>INDEX(OperatorNameList,MATCH(H14,OperatorIDList,0))</f>
        <v>TẬP ĐOÀN CÔNG NGHIỆP - VIỄN THÔNG QUÂN ĐỘI</v>
      </c>
    </row>
    <row r="15" ht="49.5">
      <c r="A15" s="216">
        <v>14</v>
      </c>
      <c r="B15" s="217" t="s">
        <v>7167</v>
      </c>
      <c r="C15" s="217" t="s">
        <v>7168</v>
      </c>
      <c r="D15" s="217" t="s">
        <v>7169</v>
      </c>
      <c r="E15" s="217" t="s">
        <v>7170</v>
      </c>
      <c r="G15" s="217" t="s">
        <v>7171</v>
      </c>
      <c r="H15" s="216" t="s">
        <v>1305</v>
      </c>
      <c r="I15" s="217" t="str">
        <f>INDEX(OperatorNameList,MATCH(H15,OperatorIDList,0))</f>
        <v>TẬP ĐOÀN CÔNG NGHIỆP - VIỄN THÔNG QUÂN ĐỘI</v>
      </c>
    </row>
    <row r="16" ht="49.5">
      <c r="A16" s="216">
        <v>15</v>
      </c>
      <c r="B16" s="217" t="s">
        <v>7172</v>
      </c>
      <c r="C16" s="217" t="s">
        <v>7173</v>
      </c>
      <c r="D16" s="217" t="s">
        <v>7174</v>
      </c>
      <c r="E16" s="217" t="s">
        <v>7175</v>
      </c>
      <c r="F16" s="217" t="s">
        <v>7176</v>
      </c>
      <c r="G16" s="217" t="s">
        <v>7177</v>
      </c>
      <c r="H16" s="216" t="s">
        <v>1305</v>
      </c>
      <c r="I16" s="217" t="str">
        <f>INDEX(OperatorNameList,MATCH(H16,OperatorIDList,0))</f>
        <v>TẬP ĐOÀN CÔNG NGHIỆP - VIỄN THÔNG QUÂN ĐỘI</v>
      </c>
    </row>
    <row r="17" ht="49.5">
      <c r="A17" s="216">
        <v>16</v>
      </c>
      <c r="B17" s="217" t="s">
        <v>7178</v>
      </c>
      <c r="C17" s="217" t="s">
        <v>7179</v>
      </c>
      <c r="D17" s="217" t="s">
        <v>7180</v>
      </c>
      <c r="E17" s="217" t="s">
        <v>7181</v>
      </c>
      <c r="G17" s="217" t="s">
        <v>7182</v>
      </c>
      <c r="H17" s="216" t="s">
        <v>1305</v>
      </c>
      <c r="I17" s="217" t="str">
        <f>INDEX(OperatorNameList,MATCH(H17,OperatorIDList,0))</f>
        <v>TẬP ĐOÀN CÔNG NGHIỆP - VIỄN THÔNG QUÂN ĐỘI</v>
      </c>
    </row>
    <row r="18" ht="49.5">
      <c r="A18" s="216">
        <v>17</v>
      </c>
      <c r="B18" s="217" t="s">
        <v>7183</v>
      </c>
      <c r="C18" s="217" t="s">
        <v>7184</v>
      </c>
      <c r="D18" s="217" t="s">
        <v>7185</v>
      </c>
      <c r="E18" s="217" t="s">
        <v>7186</v>
      </c>
      <c r="G18" s="217" t="s">
        <v>7187</v>
      </c>
      <c r="H18" s="216" t="s">
        <v>1305</v>
      </c>
      <c r="I18" s="217" t="str">
        <f>INDEX(OperatorNameList,MATCH(H18,OperatorIDList,0))</f>
        <v>TẬP ĐOÀN CÔNG NGHIỆP - VIỄN THÔNG QUÂN ĐỘI</v>
      </c>
    </row>
    <row r="19" ht="49.5">
      <c r="A19" s="216">
        <v>18</v>
      </c>
      <c r="B19" s="217" t="s">
        <v>7188</v>
      </c>
      <c r="C19" s="217" t="s">
        <v>7189</v>
      </c>
      <c r="D19" s="217" t="s">
        <v>7190</v>
      </c>
      <c r="E19" s="217" t="s">
        <v>7191</v>
      </c>
      <c r="G19" s="217" t="s">
        <v>7192</v>
      </c>
      <c r="H19" s="216" t="s">
        <v>1305</v>
      </c>
      <c r="I19" s="217" t="str">
        <f>INDEX(OperatorNameList,MATCH(H19,OperatorIDList,0))</f>
        <v>TẬP ĐOÀN CÔNG NGHIỆP - VIỄN THÔNG QUÂN ĐỘI</v>
      </c>
    </row>
    <row r="20" ht="49.5">
      <c r="A20" s="216">
        <v>19</v>
      </c>
      <c r="B20" s="217" t="s">
        <v>7193</v>
      </c>
      <c r="C20" s="217" t="s">
        <v>7194</v>
      </c>
      <c r="D20" s="217" t="s">
        <v>7195</v>
      </c>
      <c r="E20" s="217" t="s">
        <v>7196</v>
      </c>
      <c r="G20" s="217" t="s">
        <v>7197</v>
      </c>
      <c r="H20" s="216" t="s">
        <v>1305</v>
      </c>
      <c r="I20" s="217" t="str">
        <f>INDEX(OperatorNameList,MATCH(H20,OperatorIDList,0))</f>
        <v>TẬP ĐOÀN CÔNG NGHIỆP - VIỄN THÔNG QUÂN ĐỘI</v>
      </c>
    </row>
    <row r="21" ht="49.5">
      <c r="A21" s="216">
        <v>20</v>
      </c>
      <c r="B21" s="217" t="s">
        <v>7198</v>
      </c>
      <c r="C21" s="217" t="s">
        <v>7199</v>
      </c>
      <c r="D21" s="217" t="s">
        <v>7200</v>
      </c>
      <c r="F21" s="217" t="s">
        <v>7201</v>
      </c>
      <c r="G21" s="217" t="s">
        <v>7202</v>
      </c>
      <c r="H21" s="216" t="s">
        <v>1305</v>
      </c>
      <c r="I21" s="217" t="str">
        <f>INDEX(OperatorNameList,MATCH(H21,OperatorIDList,0))</f>
        <v>TẬP ĐOÀN CÔNG NGHIỆP - VIỄN THÔNG QUÂN ĐỘI</v>
      </c>
    </row>
    <row r="22" ht="66">
      <c r="A22" s="216">
        <v>21</v>
      </c>
      <c r="B22" s="217" t="s">
        <v>7203</v>
      </c>
      <c r="C22" s="217" t="s">
        <v>7204</v>
      </c>
      <c r="D22" s="217" t="s">
        <v>7205</v>
      </c>
      <c r="E22" s="217" t="s">
        <v>7206</v>
      </c>
      <c r="G22" s="217" t="s">
        <v>7207</v>
      </c>
      <c r="H22" s="216" t="s">
        <v>1305</v>
      </c>
      <c r="I22" s="217" t="str">
        <f>INDEX(OperatorNameList,MATCH(H22,OperatorIDList,0))</f>
        <v>TẬP ĐOÀN CÔNG NGHIỆP - VIỄN THÔNG QUÂN ĐỘI</v>
      </c>
    </row>
    <row r="23" ht="49.5">
      <c r="A23" s="216">
        <v>22</v>
      </c>
      <c r="B23" s="217" t="s">
        <v>7208</v>
      </c>
      <c r="C23" s="217" t="s">
        <v>7209</v>
      </c>
      <c r="D23" s="217" t="s">
        <v>7210</v>
      </c>
      <c r="E23" s="217" t="s">
        <v>7211</v>
      </c>
      <c r="F23" s="217" t="s">
        <v>7212</v>
      </c>
      <c r="G23" s="217" t="s">
        <v>7213</v>
      </c>
      <c r="H23" s="216" t="s">
        <v>1305</v>
      </c>
      <c r="I23" s="217" t="str">
        <f>INDEX(OperatorNameList,MATCH(H23,OperatorIDList,0))</f>
        <v>TẬP ĐOÀN CÔNG NGHIỆP - VIỄN THÔNG QUÂN ĐỘI</v>
      </c>
    </row>
    <row r="24" ht="49.5">
      <c r="A24" s="216">
        <v>23</v>
      </c>
      <c r="B24" s="217" t="s">
        <v>7214</v>
      </c>
      <c r="C24" s="217" t="s">
        <v>7215</v>
      </c>
      <c r="D24" s="217" t="s">
        <v>7216</v>
      </c>
      <c r="E24" s="217" t="s">
        <v>7217</v>
      </c>
      <c r="G24" s="217" t="s">
        <v>7218</v>
      </c>
      <c r="H24" s="216" t="s">
        <v>1305</v>
      </c>
      <c r="I24" s="217" t="str">
        <f>INDEX(OperatorNameList,MATCH(H24,OperatorIDList,0))</f>
        <v>TẬP ĐOÀN CÔNG NGHIỆP - VIỄN THÔNG QUÂN ĐỘI</v>
      </c>
    </row>
    <row r="25" ht="49.5">
      <c r="A25" s="216">
        <v>24</v>
      </c>
      <c r="B25" s="217" t="s">
        <v>7219</v>
      </c>
      <c r="C25" s="217" t="s">
        <v>7220</v>
      </c>
      <c r="D25" s="217" t="s">
        <v>7221</v>
      </c>
      <c r="E25" s="217" t="s">
        <v>7222</v>
      </c>
      <c r="G25" s="217" t="s">
        <v>7223</v>
      </c>
      <c r="H25" s="216" t="s">
        <v>1305</v>
      </c>
      <c r="I25" s="217" t="str">
        <f>INDEX(OperatorNameList,MATCH(H25,OperatorIDList,0))</f>
        <v>TẬP ĐOÀN CÔNG NGHIỆP - VIỄN THÔNG QUÂN ĐỘI</v>
      </c>
    </row>
    <row r="26" ht="49.5">
      <c r="A26" s="216">
        <v>25</v>
      </c>
      <c r="B26" s="217" t="s">
        <v>1178</v>
      </c>
      <c r="C26" s="217" t="s">
        <v>576</v>
      </c>
      <c r="D26" s="217" t="s">
        <v>7121</v>
      </c>
      <c r="E26" s="217" t="s">
        <v>7122</v>
      </c>
      <c r="F26" s="217" t="s">
        <v>7123</v>
      </c>
      <c r="G26" s="217" t="s">
        <v>7124</v>
      </c>
      <c r="H26" s="216" t="s">
        <v>1178</v>
      </c>
      <c r="I26" s="217" t="str">
        <f>INDEX(OperatorNameList,MATCH(H26,OperatorIDList,0))</f>
        <v>TỔNG CÔNG TY MẠNG LƯỚI VIETTEL</v>
      </c>
    </row>
    <row r="27" ht="49.5">
      <c r="A27" s="216">
        <v>26</v>
      </c>
      <c r="B27" s="217" t="s">
        <v>7224</v>
      </c>
      <c r="C27" s="217" t="s">
        <v>7225</v>
      </c>
      <c r="D27" s="217" t="s">
        <v>7110</v>
      </c>
      <c r="E27" s="217" t="s">
        <v>7111</v>
      </c>
      <c r="F27" s="217" t="s">
        <v>7112</v>
      </c>
      <c r="G27" s="217" t="s">
        <v>7113</v>
      </c>
      <c r="H27" s="216" t="s">
        <v>1426</v>
      </c>
      <c r="I27" s="217" t="str">
        <f>INDEX(OperatorNameList,MATCH(H27,OperatorIDList,0))</f>
        <v>TỔNG CÔNG TY HẠ TẦNG MẠNG</v>
      </c>
    </row>
    <row r="28" ht="49.5">
      <c r="A28" s="216">
        <v>27</v>
      </c>
      <c r="B28" s="217" t="s">
        <v>7226</v>
      </c>
      <c r="C28" s="217" t="s">
        <v>7227</v>
      </c>
      <c r="D28" s="217" t="s">
        <v>7098</v>
      </c>
      <c r="E28" s="217" t="s">
        <v>7099</v>
      </c>
      <c r="F28" s="217" t="s">
        <v>7100</v>
      </c>
      <c r="H28" s="216" t="s">
        <v>7226</v>
      </c>
      <c r="I28" s="217" t="s">
        <v>7227</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ACDE3EB3-86A7-4AA1-870A-55A14E85CDD3}">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1671</v>
      </c>
      <c r="B1" s="496" t="s">
        <v>148</v>
      </c>
      <c r="C1" s="496" t="s">
        <v>1672</v>
      </c>
      <c r="D1" s="496" t="s">
        <v>1673</v>
      </c>
      <c r="E1" s="496" t="s">
        <v>1674</v>
      </c>
      <c r="F1" s="496" t="s">
        <v>147</v>
      </c>
      <c r="G1" s="496" t="s">
        <v>1675</v>
      </c>
      <c r="H1" s="496" t="s">
        <v>146</v>
      </c>
      <c r="I1" s="496" t="s">
        <v>1676</v>
      </c>
    </row>
    <row r="2" ht="15.95" customHeight="1">
      <c r="A2" s="464" t="s">
        <v>1677</v>
      </c>
      <c r="B2" s="464" t="s">
        <v>1678</v>
      </c>
      <c r="C2" s="464"/>
      <c r="D2" s="464" t="s">
        <v>1679</v>
      </c>
      <c r="E2" s="464" t="s">
        <v>1680</v>
      </c>
      <c r="F2" s="464" t="s">
        <v>1681</v>
      </c>
      <c r="G2" s="464" t="s">
        <v>1682</v>
      </c>
      <c r="H2" s="464" t="s">
        <v>1683</v>
      </c>
      <c r="I2" s="464" t="s">
        <v>1684</v>
      </c>
    </row>
    <row r="3" ht="15.95" customHeight="1">
      <c r="A3" s="464" t="s">
        <v>1685</v>
      </c>
      <c r="B3" s="464" t="s">
        <v>1686</v>
      </c>
      <c r="C3" s="464"/>
      <c r="D3" s="464" t="s">
        <v>1679</v>
      </c>
      <c r="E3" s="464" t="s">
        <v>1680</v>
      </c>
      <c r="F3" s="464" t="s">
        <v>1681</v>
      </c>
      <c r="G3" s="464" t="s">
        <v>1682</v>
      </c>
      <c r="H3" s="464" t="s">
        <v>1683</v>
      </c>
      <c r="I3" s="464" t="s">
        <v>1684</v>
      </c>
    </row>
    <row r="4" ht="15.95" customHeight="1">
      <c r="A4" s="464" t="s">
        <v>1687</v>
      </c>
      <c r="B4" s="464" t="s">
        <v>1688</v>
      </c>
      <c r="C4" s="464"/>
      <c r="D4" s="464" t="s">
        <v>1679</v>
      </c>
      <c r="E4" s="464" t="s">
        <v>1680</v>
      </c>
      <c r="F4" s="464" t="s">
        <v>1681</v>
      </c>
      <c r="G4" s="464" t="s">
        <v>1682</v>
      </c>
      <c r="H4" s="464" t="s">
        <v>1683</v>
      </c>
      <c r="I4" s="464" t="s">
        <v>1684</v>
      </c>
    </row>
    <row r="5" ht="15.95" customHeight="1">
      <c r="A5" s="464" t="s">
        <v>1689</v>
      </c>
      <c r="B5" s="464" t="s">
        <v>1690</v>
      </c>
      <c r="C5" s="464"/>
      <c r="D5" s="464" t="s">
        <v>1679</v>
      </c>
      <c r="E5" s="464" t="s">
        <v>1680</v>
      </c>
      <c r="F5" s="464" t="s">
        <v>1681</v>
      </c>
      <c r="G5" s="464" t="s">
        <v>1682</v>
      </c>
      <c r="H5" s="464" t="s">
        <v>1683</v>
      </c>
      <c r="I5" s="464" t="s">
        <v>1684</v>
      </c>
    </row>
    <row r="6" ht="15.95" customHeight="1">
      <c r="A6" s="464" t="s">
        <v>1691</v>
      </c>
      <c r="B6" s="464" t="s">
        <v>1692</v>
      </c>
      <c r="C6" s="464"/>
      <c r="D6" s="464" t="s">
        <v>1679</v>
      </c>
      <c r="E6" s="464" t="s">
        <v>1680</v>
      </c>
      <c r="F6" s="464" t="s">
        <v>1681</v>
      </c>
      <c r="G6" s="464" t="s">
        <v>1682</v>
      </c>
      <c r="H6" s="464" t="s">
        <v>1683</v>
      </c>
      <c r="I6" s="464" t="s">
        <v>1684</v>
      </c>
    </row>
    <row r="7" ht="15.95" customHeight="1">
      <c r="A7" s="464" t="s">
        <v>1693</v>
      </c>
      <c r="B7" s="464" t="s">
        <v>1694</v>
      </c>
      <c r="C7" s="464"/>
      <c r="D7" s="464" t="s">
        <v>1679</v>
      </c>
      <c r="E7" s="464" t="s">
        <v>1680</v>
      </c>
      <c r="F7" s="464" t="s">
        <v>1681</v>
      </c>
      <c r="G7" s="464" t="s">
        <v>1682</v>
      </c>
      <c r="H7" s="464" t="s">
        <v>1683</v>
      </c>
      <c r="I7" s="464" t="s">
        <v>1684</v>
      </c>
    </row>
    <row r="8" ht="15.95" customHeight="1">
      <c r="A8" s="464" t="s">
        <v>1695</v>
      </c>
      <c r="B8" s="464" t="s">
        <v>1696</v>
      </c>
      <c r="C8" s="464"/>
      <c r="D8" s="464" t="s">
        <v>1679</v>
      </c>
      <c r="E8" s="464" t="s">
        <v>1680</v>
      </c>
      <c r="F8" s="464" t="s">
        <v>1681</v>
      </c>
      <c r="G8" s="464" t="s">
        <v>1682</v>
      </c>
      <c r="H8" s="464" t="s">
        <v>1683</v>
      </c>
      <c r="I8" s="464" t="s">
        <v>1684</v>
      </c>
    </row>
    <row r="9" ht="15.95" customHeight="1">
      <c r="A9" s="464" t="s">
        <v>1697</v>
      </c>
      <c r="B9" s="464" t="s">
        <v>1698</v>
      </c>
      <c r="C9" s="464"/>
      <c r="D9" s="464" t="s">
        <v>1679</v>
      </c>
      <c r="E9" s="464" t="s">
        <v>1680</v>
      </c>
      <c r="F9" s="464" t="s">
        <v>1681</v>
      </c>
      <c r="G9" s="464" t="s">
        <v>1682</v>
      </c>
      <c r="H9" s="464" t="s">
        <v>1683</v>
      </c>
      <c r="I9" s="464" t="s">
        <v>1684</v>
      </c>
    </row>
    <row r="10" ht="15.95" customHeight="1">
      <c r="A10" s="464" t="s">
        <v>1699</v>
      </c>
      <c r="B10" s="464" t="s">
        <v>1700</v>
      </c>
      <c r="C10" s="464"/>
      <c r="D10" s="464" t="s">
        <v>1679</v>
      </c>
      <c r="E10" s="464" t="s">
        <v>1680</v>
      </c>
      <c r="F10" s="464" t="s">
        <v>1681</v>
      </c>
      <c r="G10" s="464" t="s">
        <v>1682</v>
      </c>
      <c r="H10" s="464" t="s">
        <v>1683</v>
      </c>
      <c r="I10" s="464" t="s">
        <v>1684</v>
      </c>
    </row>
    <row r="11" ht="15.95" customHeight="1">
      <c r="A11" s="464" t="s">
        <v>1701</v>
      </c>
      <c r="B11" s="464" t="s">
        <v>1702</v>
      </c>
      <c r="C11" s="464"/>
      <c r="D11" s="464" t="s">
        <v>1679</v>
      </c>
      <c r="E11" s="464" t="s">
        <v>1680</v>
      </c>
      <c r="F11" s="464" t="s">
        <v>1681</v>
      </c>
      <c r="G11" s="464" t="s">
        <v>1682</v>
      </c>
      <c r="H11" s="464" t="s">
        <v>1683</v>
      </c>
      <c r="I11" s="464" t="s">
        <v>1684</v>
      </c>
    </row>
    <row r="12" ht="15.95" customHeight="1">
      <c r="A12" s="464" t="s">
        <v>1703</v>
      </c>
      <c r="B12" s="464" t="s">
        <v>1704</v>
      </c>
      <c r="C12" s="464"/>
      <c r="D12" s="464" t="s">
        <v>1679</v>
      </c>
      <c r="E12" s="464" t="s">
        <v>1680</v>
      </c>
      <c r="F12" s="464" t="s">
        <v>1681</v>
      </c>
      <c r="G12" s="464" t="s">
        <v>1682</v>
      </c>
      <c r="H12" s="464" t="s">
        <v>1683</v>
      </c>
      <c r="I12" s="464" t="s">
        <v>1684</v>
      </c>
    </row>
    <row r="13" ht="15.95" customHeight="1">
      <c r="A13" s="464" t="s">
        <v>1705</v>
      </c>
      <c r="B13" s="464" t="s">
        <v>1706</v>
      </c>
      <c r="C13" s="464"/>
      <c r="D13" s="464" t="s">
        <v>1679</v>
      </c>
      <c r="E13" s="464" t="s">
        <v>1680</v>
      </c>
      <c r="F13" s="464" t="s">
        <v>1681</v>
      </c>
      <c r="G13" s="464" t="s">
        <v>1682</v>
      </c>
      <c r="H13" s="464" t="s">
        <v>1683</v>
      </c>
      <c r="I13" s="464" t="s">
        <v>1684</v>
      </c>
    </row>
    <row r="14" ht="15.95" customHeight="1">
      <c r="A14" s="464" t="s">
        <v>1707</v>
      </c>
      <c r="B14" s="464" t="s">
        <v>1708</v>
      </c>
      <c r="C14" s="464"/>
      <c r="D14" s="464" t="s">
        <v>1709</v>
      </c>
      <c r="E14" s="464" t="s">
        <v>1680</v>
      </c>
      <c r="F14" s="464" t="s">
        <v>1681</v>
      </c>
      <c r="G14" s="464" t="s">
        <v>1682</v>
      </c>
      <c r="H14" s="464" t="s">
        <v>1683</v>
      </c>
      <c r="I14" s="464" t="s">
        <v>1684</v>
      </c>
    </row>
    <row r="15" ht="15.95" customHeight="1">
      <c r="A15" s="464" t="s">
        <v>1710</v>
      </c>
      <c r="B15" s="464" t="s">
        <v>1711</v>
      </c>
      <c r="C15" s="464"/>
      <c r="D15" s="464" t="s">
        <v>1679</v>
      </c>
      <c r="E15" s="464" t="s">
        <v>1680</v>
      </c>
      <c r="F15" s="464" t="s">
        <v>1681</v>
      </c>
      <c r="G15" s="464" t="s">
        <v>1682</v>
      </c>
      <c r="H15" s="464" t="s">
        <v>1683</v>
      </c>
      <c r="I15" s="464" t="s">
        <v>1684</v>
      </c>
    </row>
    <row r="16" ht="15.95" customHeight="1">
      <c r="A16" s="464" t="s">
        <v>1712</v>
      </c>
      <c r="B16" s="464" t="s">
        <v>1713</v>
      </c>
      <c r="C16" s="464"/>
      <c r="D16" s="464" t="s">
        <v>1679</v>
      </c>
      <c r="E16" s="464" t="s">
        <v>1680</v>
      </c>
      <c r="F16" s="464" t="s">
        <v>1681</v>
      </c>
      <c r="G16" s="464" t="s">
        <v>1682</v>
      </c>
      <c r="H16" s="464" t="s">
        <v>1683</v>
      </c>
      <c r="I16" s="464" t="s">
        <v>1684</v>
      </c>
    </row>
    <row r="17" ht="15.95" customHeight="1">
      <c r="A17" s="464" t="s">
        <v>1714</v>
      </c>
      <c r="B17" s="464" t="s">
        <v>1715</v>
      </c>
      <c r="C17" s="464"/>
      <c r="D17" s="464" t="s">
        <v>1679</v>
      </c>
      <c r="E17" s="464" t="s">
        <v>1680</v>
      </c>
      <c r="F17" s="464" t="s">
        <v>1681</v>
      </c>
      <c r="G17" s="464" t="s">
        <v>1682</v>
      </c>
      <c r="H17" s="464" t="s">
        <v>1683</v>
      </c>
      <c r="I17" s="464" t="s">
        <v>1684</v>
      </c>
    </row>
    <row r="18" ht="15.95" customHeight="1">
      <c r="A18" s="464" t="s">
        <v>1716</v>
      </c>
      <c r="B18" s="464" t="s">
        <v>1717</v>
      </c>
      <c r="C18" s="464"/>
      <c r="D18" s="464" t="s">
        <v>1709</v>
      </c>
      <c r="E18" s="464" t="s">
        <v>1718</v>
      </c>
      <c r="F18" s="464" t="s">
        <v>1719</v>
      </c>
      <c r="G18" s="464" t="s">
        <v>1682</v>
      </c>
      <c r="H18" s="464" t="s">
        <v>1683</v>
      </c>
      <c r="I18" s="464" t="s">
        <v>1684</v>
      </c>
    </row>
    <row r="19" ht="15.95" customHeight="1">
      <c r="A19" s="464" t="s">
        <v>1720</v>
      </c>
      <c r="B19" s="464" t="s">
        <v>1721</v>
      </c>
      <c r="C19" s="464"/>
      <c r="D19" s="464" t="s">
        <v>1709</v>
      </c>
      <c r="E19" s="464" t="s">
        <v>1718</v>
      </c>
      <c r="F19" s="464" t="s">
        <v>1719</v>
      </c>
      <c r="G19" s="464" t="s">
        <v>1682</v>
      </c>
      <c r="H19" s="464" t="s">
        <v>1683</v>
      </c>
      <c r="I19" s="464" t="s">
        <v>1684</v>
      </c>
    </row>
    <row r="20" ht="15.95" customHeight="1">
      <c r="A20" s="464" t="s">
        <v>1722</v>
      </c>
      <c r="B20" s="464" t="s">
        <v>1723</v>
      </c>
      <c r="C20" s="464"/>
      <c r="D20" s="464" t="s">
        <v>1709</v>
      </c>
      <c r="E20" s="464" t="s">
        <v>1718</v>
      </c>
      <c r="F20" s="464" t="s">
        <v>1719</v>
      </c>
      <c r="G20" s="464" t="s">
        <v>1682</v>
      </c>
      <c r="H20" s="464" t="s">
        <v>1683</v>
      </c>
      <c r="I20" s="464" t="s">
        <v>1684</v>
      </c>
    </row>
    <row r="21" ht="15.95" customHeight="1">
      <c r="A21" s="464" t="s">
        <v>1724</v>
      </c>
      <c r="B21" s="464" t="s">
        <v>1725</v>
      </c>
      <c r="C21" s="464"/>
      <c r="D21" s="464" t="s">
        <v>1709</v>
      </c>
      <c r="E21" s="464" t="s">
        <v>1718</v>
      </c>
      <c r="F21" s="464" t="s">
        <v>1719</v>
      </c>
      <c r="G21" s="464" t="s">
        <v>1682</v>
      </c>
      <c r="H21" s="464" t="s">
        <v>1683</v>
      </c>
      <c r="I21" s="464" t="s">
        <v>1684</v>
      </c>
    </row>
    <row r="22" ht="15.95" customHeight="1">
      <c r="A22" s="464" t="s">
        <v>1726</v>
      </c>
      <c r="B22" s="464" t="s">
        <v>1727</v>
      </c>
      <c r="C22" s="464"/>
      <c r="D22" s="464" t="s">
        <v>1709</v>
      </c>
      <c r="E22" s="464" t="s">
        <v>1718</v>
      </c>
      <c r="F22" s="464" t="s">
        <v>1719</v>
      </c>
      <c r="G22" s="464" t="s">
        <v>1682</v>
      </c>
      <c r="H22" s="464" t="s">
        <v>1683</v>
      </c>
      <c r="I22" s="464" t="s">
        <v>1684</v>
      </c>
    </row>
    <row r="23" ht="15.95" customHeight="1">
      <c r="A23" s="464" t="s">
        <v>1728</v>
      </c>
      <c r="B23" s="464" t="s">
        <v>1729</v>
      </c>
      <c r="C23" s="464"/>
      <c r="D23" s="464" t="s">
        <v>1709</v>
      </c>
      <c r="E23" s="464" t="s">
        <v>1718</v>
      </c>
      <c r="F23" s="464" t="s">
        <v>1719</v>
      </c>
      <c r="G23" s="464" t="s">
        <v>1682</v>
      </c>
      <c r="H23" s="464" t="s">
        <v>1683</v>
      </c>
      <c r="I23" s="464" t="s">
        <v>1684</v>
      </c>
    </row>
    <row r="24" ht="15.95" customHeight="1">
      <c r="A24" s="464" t="s">
        <v>1730</v>
      </c>
      <c r="B24" s="464" t="s">
        <v>1731</v>
      </c>
      <c r="C24" s="464"/>
      <c r="D24" s="464" t="s">
        <v>1709</v>
      </c>
      <c r="E24" s="464" t="s">
        <v>1718</v>
      </c>
      <c r="F24" s="464" t="s">
        <v>1719</v>
      </c>
      <c r="G24" s="464" t="s">
        <v>1682</v>
      </c>
      <c r="H24" s="464" t="s">
        <v>1683</v>
      </c>
      <c r="I24" s="464" t="s">
        <v>1684</v>
      </c>
    </row>
    <row r="25" ht="15.95" customHeight="1">
      <c r="A25" s="464" t="s">
        <v>1732</v>
      </c>
      <c r="B25" s="464" t="s">
        <v>1733</v>
      </c>
      <c r="C25" s="464"/>
      <c r="D25" s="464" t="s">
        <v>1709</v>
      </c>
      <c r="E25" s="464" t="s">
        <v>1718</v>
      </c>
      <c r="F25" s="464" t="s">
        <v>1719</v>
      </c>
      <c r="G25" s="464" t="s">
        <v>1682</v>
      </c>
      <c r="H25" s="464" t="s">
        <v>1683</v>
      </c>
      <c r="I25" s="464" t="s">
        <v>1684</v>
      </c>
    </row>
    <row r="26" ht="15.95" customHeight="1">
      <c r="A26" s="464" t="s">
        <v>1734</v>
      </c>
      <c r="B26" s="464" t="s">
        <v>1735</v>
      </c>
      <c r="C26" s="464"/>
      <c r="D26" s="464" t="s">
        <v>1709</v>
      </c>
      <c r="E26" s="464" t="s">
        <v>1718</v>
      </c>
      <c r="F26" s="464" t="s">
        <v>1719</v>
      </c>
      <c r="G26" s="464" t="s">
        <v>1682</v>
      </c>
      <c r="H26" s="464" t="s">
        <v>1683</v>
      </c>
      <c r="I26" s="464" t="s">
        <v>1684</v>
      </c>
    </row>
    <row r="27" ht="15.95" customHeight="1">
      <c r="A27" s="464" t="s">
        <v>1736</v>
      </c>
      <c r="B27" s="464" t="s">
        <v>1737</v>
      </c>
      <c r="C27" s="464"/>
      <c r="D27" s="464" t="s">
        <v>1738</v>
      </c>
      <c r="E27" s="464" t="s">
        <v>1739</v>
      </c>
      <c r="F27" s="464" t="s">
        <v>1740</v>
      </c>
      <c r="G27" s="464" t="s">
        <v>1682</v>
      </c>
      <c r="H27" s="464" t="s">
        <v>1683</v>
      </c>
      <c r="I27" s="464" t="s">
        <v>1684</v>
      </c>
    </row>
    <row r="28" ht="15.95" customHeight="1">
      <c r="A28" s="464" t="s">
        <v>1741</v>
      </c>
      <c r="B28" s="464" t="s">
        <v>1742</v>
      </c>
      <c r="C28" s="464"/>
      <c r="D28" s="464" t="s">
        <v>1709</v>
      </c>
      <c r="E28" s="464" t="s">
        <v>1739</v>
      </c>
      <c r="F28" s="464" t="s">
        <v>1740</v>
      </c>
      <c r="G28" s="464" t="s">
        <v>1682</v>
      </c>
      <c r="H28" s="464" t="s">
        <v>1683</v>
      </c>
      <c r="I28" s="464" t="s">
        <v>1684</v>
      </c>
    </row>
    <row r="29" ht="15.95" customHeight="1">
      <c r="A29" s="464" t="s">
        <v>1743</v>
      </c>
      <c r="B29" s="464" t="s">
        <v>1744</v>
      </c>
      <c r="C29" s="464"/>
      <c r="D29" s="464" t="s">
        <v>1709</v>
      </c>
      <c r="E29" s="464" t="s">
        <v>1739</v>
      </c>
      <c r="F29" s="464" t="s">
        <v>1740</v>
      </c>
      <c r="G29" s="464" t="s">
        <v>1682</v>
      </c>
      <c r="H29" s="464" t="s">
        <v>1683</v>
      </c>
      <c r="I29" s="464" t="s">
        <v>1684</v>
      </c>
    </row>
    <row r="30" ht="15.95" customHeight="1">
      <c r="A30" s="464" t="s">
        <v>1745</v>
      </c>
      <c r="B30" s="464" t="s">
        <v>1746</v>
      </c>
      <c r="C30" s="464"/>
      <c r="D30" s="464" t="s">
        <v>1709</v>
      </c>
      <c r="E30" s="464" t="s">
        <v>1739</v>
      </c>
      <c r="F30" s="464" t="s">
        <v>1740</v>
      </c>
      <c r="G30" s="464" t="s">
        <v>1682</v>
      </c>
      <c r="H30" s="464" t="s">
        <v>1683</v>
      </c>
      <c r="I30" s="464" t="s">
        <v>1684</v>
      </c>
    </row>
    <row r="31" ht="15.95" customHeight="1">
      <c r="A31" s="464" t="s">
        <v>1747</v>
      </c>
      <c r="B31" s="464" t="s">
        <v>1748</v>
      </c>
      <c r="C31" s="464"/>
      <c r="D31" s="464" t="s">
        <v>1709</v>
      </c>
      <c r="E31" s="464" t="s">
        <v>1739</v>
      </c>
      <c r="F31" s="464" t="s">
        <v>1740</v>
      </c>
      <c r="G31" s="464" t="s">
        <v>1682</v>
      </c>
      <c r="H31" s="464" t="s">
        <v>1683</v>
      </c>
      <c r="I31" s="464" t="s">
        <v>1684</v>
      </c>
    </row>
    <row r="32" ht="15.95" customHeight="1">
      <c r="A32" s="464" t="s">
        <v>1749</v>
      </c>
      <c r="B32" s="464" t="s">
        <v>1750</v>
      </c>
      <c r="C32" s="464"/>
      <c r="D32" s="464" t="s">
        <v>1709</v>
      </c>
      <c r="E32" s="464" t="s">
        <v>1739</v>
      </c>
      <c r="F32" s="464" t="s">
        <v>1740</v>
      </c>
      <c r="G32" s="464" t="s">
        <v>1682</v>
      </c>
      <c r="H32" s="464" t="s">
        <v>1683</v>
      </c>
      <c r="I32" s="464" t="s">
        <v>1684</v>
      </c>
    </row>
    <row r="33" ht="15.95" customHeight="1">
      <c r="A33" s="464" t="s">
        <v>1751</v>
      </c>
      <c r="B33" s="464" t="s">
        <v>1752</v>
      </c>
      <c r="C33" s="464"/>
      <c r="D33" s="464" t="s">
        <v>1709</v>
      </c>
      <c r="E33" s="464" t="s">
        <v>1739</v>
      </c>
      <c r="F33" s="464" t="s">
        <v>1740</v>
      </c>
      <c r="G33" s="464" t="s">
        <v>1682</v>
      </c>
      <c r="H33" s="464" t="s">
        <v>1683</v>
      </c>
      <c r="I33" s="464" t="s">
        <v>1684</v>
      </c>
    </row>
    <row r="34" ht="15.95" customHeight="1">
      <c r="A34" s="464" t="s">
        <v>1753</v>
      </c>
      <c r="B34" s="464" t="s">
        <v>1754</v>
      </c>
      <c r="C34" s="464"/>
      <c r="D34" s="464" t="s">
        <v>1709</v>
      </c>
      <c r="E34" s="464" t="s">
        <v>1739</v>
      </c>
      <c r="F34" s="464" t="s">
        <v>1740</v>
      </c>
      <c r="G34" s="464" t="s">
        <v>1682</v>
      </c>
      <c r="H34" s="464" t="s">
        <v>1683</v>
      </c>
      <c r="I34" s="464" t="s">
        <v>1684</v>
      </c>
    </row>
    <row r="35" ht="15.95" customHeight="1">
      <c r="A35" s="464" t="s">
        <v>1755</v>
      </c>
      <c r="B35" s="464" t="s">
        <v>1756</v>
      </c>
      <c r="C35" s="464"/>
      <c r="D35" s="464" t="s">
        <v>1738</v>
      </c>
      <c r="E35" s="464" t="s">
        <v>1757</v>
      </c>
      <c r="F35" s="464" t="s">
        <v>1758</v>
      </c>
      <c r="G35" s="464" t="s">
        <v>1682</v>
      </c>
      <c r="H35" s="464" t="s">
        <v>1683</v>
      </c>
      <c r="I35" s="464" t="s">
        <v>1684</v>
      </c>
    </row>
    <row r="36" ht="15.95" customHeight="1">
      <c r="A36" s="464" t="s">
        <v>1759</v>
      </c>
      <c r="B36" s="464" t="s">
        <v>1760</v>
      </c>
      <c r="C36" s="464"/>
      <c r="D36" s="464" t="s">
        <v>1709</v>
      </c>
      <c r="E36" s="464" t="s">
        <v>1757</v>
      </c>
      <c r="F36" s="464" t="s">
        <v>1758</v>
      </c>
      <c r="G36" s="464" t="s">
        <v>1682</v>
      </c>
      <c r="H36" s="464" t="s">
        <v>1683</v>
      </c>
      <c r="I36" s="464" t="s">
        <v>1684</v>
      </c>
    </row>
    <row r="37" ht="15.95" customHeight="1">
      <c r="A37" s="464" t="s">
        <v>1761</v>
      </c>
      <c r="B37" s="464" t="s">
        <v>1762</v>
      </c>
      <c r="C37" s="464"/>
      <c r="D37" s="464" t="s">
        <v>1709</v>
      </c>
      <c r="E37" s="464" t="s">
        <v>1757</v>
      </c>
      <c r="F37" s="464" t="s">
        <v>1758</v>
      </c>
      <c r="G37" s="464" t="s">
        <v>1682</v>
      </c>
      <c r="H37" s="464" t="s">
        <v>1683</v>
      </c>
      <c r="I37" s="464" t="s">
        <v>1684</v>
      </c>
    </row>
    <row r="38" ht="15.95" customHeight="1">
      <c r="A38" s="464" t="s">
        <v>1763</v>
      </c>
      <c r="B38" s="464" t="s">
        <v>1764</v>
      </c>
      <c r="C38" s="464"/>
      <c r="D38" s="464" t="s">
        <v>1709</v>
      </c>
      <c r="E38" s="464" t="s">
        <v>1757</v>
      </c>
      <c r="F38" s="464" t="s">
        <v>1758</v>
      </c>
      <c r="G38" s="464" t="s">
        <v>1682</v>
      </c>
      <c r="H38" s="464" t="s">
        <v>1683</v>
      </c>
      <c r="I38" s="464" t="s">
        <v>1684</v>
      </c>
    </row>
    <row r="39" ht="15.95" customHeight="1">
      <c r="A39" s="464" t="s">
        <v>1765</v>
      </c>
      <c r="B39" s="464" t="s">
        <v>1766</v>
      </c>
      <c r="C39" s="464"/>
      <c r="D39" s="464" t="s">
        <v>1709</v>
      </c>
      <c r="E39" s="464" t="s">
        <v>1757</v>
      </c>
      <c r="F39" s="464" t="s">
        <v>1758</v>
      </c>
      <c r="G39" s="464" t="s">
        <v>1682</v>
      </c>
      <c r="H39" s="464" t="s">
        <v>1683</v>
      </c>
      <c r="I39" s="464" t="s">
        <v>1684</v>
      </c>
    </row>
    <row r="40" ht="15.95" customHeight="1">
      <c r="A40" s="464" t="s">
        <v>1767</v>
      </c>
      <c r="B40" s="464" t="s">
        <v>1768</v>
      </c>
      <c r="C40" s="464"/>
      <c r="D40" s="464" t="s">
        <v>1709</v>
      </c>
      <c r="E40" s="464" t="s">
        <v>1757</v>
      </c>
      <c r="F40" s="464" t="s">
        <v>1758</v>
      </c>
      <c r="G40" s="464" t="s">
        <v>1682</v>
      </c>
      <c r="H40" s="464" t="s">
        <v>1683</v>
      </c>
      <c r="I40" s="464" t="s">
        <v>1684</v>
      </c>
    </row>
    <row r="41" ht="15.95" customHeight="1">
      <c r="A41" s="464" t="s">
        <v>1769</v>
      </c>
      <c r="B41" s="464" t="s">
        <v>1770</v>
      </c>
      <c r="C41" s="464"/>
      <c r="D41" s="464" t="s">
        <v>1709</v>
      </c>
      <c r="E41" s="464" t="s">
        <v>1757</v>
      </c>
      <c r="F41" s="464" t="s">
        <v>1758</v>
      </c>
      <c r="G41" s="464" t="s">
        <v>1682</v>
      </c>
      <c r="H41" s="464" t="s">
        <v>1683</v>
      </c>
      <c r="I41" s="464" t="s">
        <v>1684</v>
      </c>
    </row>
    <row r="42" ht="15.95" customHeight="1">
      <c r="A42" s="464" t="s">
        <v>1771</v>
      </c>
      <c r="B42" s="464" t="s">
        <v>1772</v>
      </c>
      <c r="C42" s="464"/>
      <c r="D42" s="464" t="s">
        <v>1709</v>
      </c>
      <c r="E42" s="464" t="s">
        <v>1757</v>
      </c>
      <c r="F42" s="464" t="s">
        <v>1758</v>
      </c>
      <c r="G42" s="464" t="s">
        <v>1682</v>
      </c>
      <c r="H42" s="464" t="s">
        <v>1683</v>
      </c>
      <c r="I42" s="464" t="s">
        <v>1684</v>
      </c>
    </row>
    <row r="43" ht="15.95" customHeight="1">
      <c r="A43" s="464" t="s">
        <v>1773</v>
      </c>
      <c r="B43" s="464" t="s">
        <v>1774</v>
      </c>
      <c r="C43" s="464" t="s">
        <v>1775</v>
      </c>
      <c r="D43" s="464" t="s">
        <v>1709</v>
      </c>
      <c r="E43" s="464" t="s">
        <v>1757</v>
      </c>
      <c r="F43" s="464" t="s">
        <v>1758</v>
      </c>
      <c r="G43" s="464" t="s">
        <v>1682</v>
      </c>
      <c r="H43" s="464" t="s">
        <v>1683</v>
      </c>
      <c r="I43" s="464" t="s">
        <v>1684</v>
      </c>
    </row>
    <row r="44" ht="15.95" customHeight="1">
      <c r="A44" s="464" t="s">
        <v>1776</v>
      </c>
      <c r="B44" s="464" t="s">
        <v>1777</v>
      </c>
      <c r="C44" s="464"/>
      <c r="D44" s="464" t="s">
        <v>1738</v>
      </c>
      <c r="E44" s="464" t="s">
        <v>1778</v>
      </c>
      <c r="F44" s="464" t="s">
        <v>1779</v>
      </c>
      <c r="G44" s="464" t="s">
        <v>1682</v>
      </c>
      <c r="H44" s="464" t="s">
        <v>1683</v>
      </c>
      <c r="I44" s="464" t="s">
        <v>1684</v>
      </c>
    </row>
    <row r="45" ht="15.95" customHeight="1">
      <c r="A45" s="464" t="s">
        <v>1780</v>
      </c>
      <c r="B45" s="464" t="s">
        <v>1781</v>
      </c>
      <c r="C45" s="464"/>
      <c r="D45" s="464" t="s">
        <v>1709</v>
      </c>
      <c r="E45" s="464" t="s">
        <v>1778</v>
      </c>
      <c r="F45" s="464" t="s">
        <v>1779</v>
      </c>
      <c r="G45" s="464" t="s">
        <v>1682</v>
      </c>
      <c r="H45" s="464" t="s">
        <v>1683</v>
      </c>
      <c r="I45" s="464" t="s">
        <v>1684</v>
      </c>
    </row>
    <row r="46" ht="15.95" customHeight="1">
      <c r="A46" s="464" t="s">
        <v>1782</v>
      </c>
      <c r="B46" s="464" t="s">
        <v>1783</v>
      </c>
      <c r="C46" s="464"/>
      <c r="D46" s="464" t="s">
        <v>1709</v>
      </c>
      <c r="E46" s="464" t="s">
        <v>1778</v>
      </c>
      <c r="F46" s="464" t="s">
        <v>1779</v>
      </c>
      <c r="G46" s="464" t="s">
        <v>1682</v>
      </c>
      <c r="H46" s="464" t="s">
        <v>1683</v>
      </c>
      <c r="I46" s="464" t="s">
        <v>1684</v>
      </c>
    </row>
    <row r="47" ht="15.95" customHeight="1">
      <c r="A47" s="464" t="s">
        <v>1784</v>
      </c>
      <c r="B47" s="464" t="s">
        <v>1785</v>
      </c>
      <c r="C47" s="464"/>
      <c r="D47" s="464" t="s">
        <v>1709</v>
      </c>
      <c r="E47" s="464" t="s">
        <v>1778</v>
      </c>
      <c r="F47" s="464" t="s">
        <v>1779</v>
      </c>
      <c r="G47" s="464" t="s">
        <v>1682</v>
      </c>
      <c r="H47" s="464" t="s">
        <v>1683</v>
      </c>
      <c r="I47" s="464" t="s">
        <v>1684</v>
      </c>
    </row>
    <row r="48" ht="15.95" customHeight="1">
      <c r="A48" s="464" t="s">
        <v>1786</v>
      </c>
      <c r="B48" s="464" t="s">
        <v>1787</v>
      </c>
      <c r="C48" s="464"/>
      <c r="D48" s="464" t="s">
        <v>1709</v>
      </c>
      <c r="E48" s="464" t="s">
        <v>1778</v>
      </c>
      <c r="F48" s="464" t="s">
        <v>1779</v>
      </c>
      <c r="G48" s="464" t="s">
        <v>1682</v>
      </c>
      <c r="H48" s="464" t="s">
        <v>1683</v>
      </c>
      <c r="I48" s="464" t="s">
        <v>1684</v>
      </c>
    </row>
    <row r="49" ht="15.95" customHeight="1">
      <c r="A49" s="464" t="s">
        <v>1788</v>
      </c>
      <c r="B49" s="464" t="s">
        <v>1789</v>
      </c>
      <c r="C49" s="464"/>
      <c r="D49" s="464" t="s">
        <v>1709</v>
      </c>
      <c r="E49" s="464" t="s">
        <v>1778</v>
      </c>
      <c r="F49" s="464" t="s">
        <v>1779</v>
      </c>
      <c r="G49" s="464" t="s">
        <v>1682</v>
      </c>
      <c r="H49" s="464" t="s">
        <v>1683</v>
      </c>
      <c r="I49" s="464" t="s">
        <v>1684</v>
      </c>
    </row>
    <row r="50" ht="15.95" customHeight="1">
      <c r="A50" s="464" t="s">
        <v>1790</v>
      </c>
      <c r="B50" s="464" t="s">
        <v>1791</v>
      </c>
      <c r="C50" s="464"/>
      <c r="D50" s="464" t="s">
        <v>1709</v>
      </c>
      <c r="E50" s="464" t="s">
        <v>1778</v>
      </c>
      <c r="F50" s="464" t="s">
        <v>1779</v>
      </c>
      <c r="G50" s="464" t="s">
        <v>1682</v>
      </c>
      <c r="H50" s="464" t="s">
        <v>1683</v>
      </c>
      <c r="I50" s="464" t="s">
        <v>1684</v>
      </c>
    </row>
    <row r="51" ht="15.95" customHeight="1">
      <c r="A51" s="464" t="s">
        <v>1792</v>
      </c>
      <c r="B51" s="464" t="s">
        <v>1793</v>
      </c>
      <c r="C51" s="464"/>
      <c r="D51" s="464" t="s">
        <v>1709</v>
      </c>
      <c r="E51" s="464" t="s">
        <v>1778</v>
      </c>
      <c r="F51" s="464" t="s">
        <v>1779</v>
      </c>
      <c r="G51" s="464" t="s">
        <v>1682</v>
      </c>
      <c r="H51" s="464" t="s">
        <v>1683</v>
      </c>
      <c r="I51" s="464" t="s">
        <v>1684</v>
      </c>
    </row>
    <row r="52" ht="15.95" customHeight="1">
      <c r="A52" s="464" t="s">
        <v>1794</v>
      </c>
      <c r="B52" s="464" t="s">
        <v>1795</v>
      </c>
      <c r="C52" s="464"/>
      <c r="D52" s="464" t="s">
        <v>1709</v>
      </c>
      <c r="E52" s="464" t="s">
        <v>1778</v>
      </c>
      <c r="F52" s="464" t="s">
        <v>1779</v>
      </c>
      <c r="G52" s="464" t="s">
        <v>1682</v>
      </c>
      <c r="H52" s="464" t="s">
        <v>1683</v>
      </c>
      <c r="I52" s="464" t="s">
        <v>1684</v>
      </c>
    </row>
    <row r="53" ht="15.95" customHeight="1">
      <c r="A53" s="464" t="s">
        <v>1796</v>
      </c>
      <c r="B53" s="464" t="s">
        <v>1797</v>
      </c>
      <c r="C53" s="464"/>
      <c r="D53" s="464" t="s">
        <v>1709</v>
      </c>
      <c r="E53" s="464" t="s">
        <v>1798</v>
      </c>
      <c r="F53" s="464" t="s">
        <v>1799</v>
      </c>
      <c r="G53" s="464" t="s">
        <v>1682</v>
      </c>
      <c r="H53" s="464" t="s">
        <v>1683</v>
      </c>
      <c r="I53" s="464" t="s">
        <v>1684</v>
      </c>
    </row>
    <row r="54" ht="15.95" customHeight="1">
      <c r="A54" s="464" t="s">
        <v>1800</v>
      </c>
      <c r="B54" s="464" t="s">
        <v>1801</v>
      </c>
      <c r="C54" s="464"/>
      <c r="D54" s="464" t="s">
        <v>1709</v>
      </c>
      <c r="E54" s="464" t="s">
        <v>1798</v>
      </c>
      <c r="F54" s="464" t="s">
        <v>1799</v>
      </c>
      <c r="G54" s="464" t="s">
        <v>1682</v>
      </c>
      <c r="H54" s="464" t="s">
        <v>1683</v>
      </c>
      <c r="I54" s="464" t="s">
        <v>1684</v>
      </c>
    </row>
    <row r="55" ht="15.95" customHeight="1">
      <c r="A55" s="464" t="s">
        <v>1802</v>
      </c>
      <c r="B55" s="464" t="s">
        <v>1803</v>
      </c>
      <c r="C55" s="464"/>
      <c r="D55" s="464" t="s">
        <v>1709</v>
      </c>
      <c r="E55" s="464" t="s">
        <v>1798</v>
      </c>
      <c r="F55" s="464" t="s">
        <v>1799</v>
      </c>
      <c r="G55" s="464" t="s">
        <v>1682</v>
      </c>
      <c r="H55" s="464" t="s">
        <v>1683</v>
      </c>
      <c r="I55" s="464" t="s">
        <v>1684</v>
      </c>
    </row>
    <row r="56" ht="15.95" customHeight="1">
      <c r="A56" s="464" t="s">
        <v>1804</v>
      </c>
      <c r="B56" s="464" t="s">
        <v>1805</v>
      </c>
      <c r="C56" s="464"/>
      <c r="D56" s="464" t="s">
        <v>1709</v>
      </c>
      <c r="E56" s="464" t="s">
        <v>1798</v>
      </c>
      <c r="F56" s="464" t="s">
        <v>1799</v>
      </c>
      <c r="G56" s="464" t="s">
        <v>1682</v>
      </c>
      <c r="H56" s="464" t="s">
        <v>1683</v>
      </c>
      <c r="I56" s="464" t="s">
        <v>1684</v>
      </c>
    </row>
    <row r="57" ht="15.95" customHeight="1">
      <c r="A57" s="464" t="s">
        <v>1806</v>
      </c>
      <c r="B57" s="464" t="s">
        <v>1807</v>
      </c>
      <c r="C57" s="464" t="s">
        <v>1808</v>
      </c>
      <c r="D57" s="464" t="s">
        <v>1709</v>
      </c>
      <c r="E57" s="464" t="s">
        <v>1798</v>
      </c>
      <c r="F57" s="464" t="s">
        <v>1799</v>
      </c>
      <c r="G57" s="464" t="s">
        <v>1682</v>
      </c>
      <c r="H57" s="464" t="s">
        <v>1683</v>
      </c>
      <c r="I57" s="464" t="s">
        <v>1684</v>
      </c>
    </row>
    <row r="58" ht="15.95" customHeight="1">
      <c r="A58" s="464" t="s">
        <v>1809</v>
      </c>
      <c r="B58" s="464" t="s">
        <v>1810</v>
      </c>
      <c r="C58" s="464" t="s">
        <v>1811</v>
      </c>
      <c r="D58" s="464" t="s">
        <v>1709</v>
      </c>
      <c r="E58" s="464" t="s">
        <v>1798</v>
      </c>
      <c r="F58" s="464" t="s">
        <v>1799</v>
      </c>
      <c r="G58" s="464" t="s">
        <v>1682</v>
      </c>
      <c r="H58" s="464" t="s">
        <v>1683</v>
      </c>
      <c r="I58" s="464" t="s">
        <v>1684</v>
      </c>
    </row>
    <row r="59" ht="15.95" customHeight="1">
      <c r="A59" s="464" t="s">
        <v>1812</v>
      </c>
      <c r="B59" s="464" t="s">
        <v>1813</v>
      </c>
      <c r="C59" s="464"/>
      <c r="D59" s="464" t="s">
        <v>1709</v>
      </c>
      <c r="E59" s="464" t="s">
        <v>1814</v>
      </c>
      <c r="F59" s="464" t="s">
        <v>1815</v>
      </c>
      <c r="G59" s="464" t="s">
        <v>1682</v>
      </c>
      <c r="H59" s="464" t="s">
        <v>1683</v>
      </c>
      <c r="I59" s="464" t="s">
        <v>1684</v>
      </c>
    </row>
    <row r="60" ht="15.95" customHeight="1">
      <c r="A60" s="464" t="s">
        <v>1816</v>
      </c>
      <c r="B60" s="464" t="s">
        <v>1817</v>
      </c>
      <c r="C60" s="464"/>
      <c r="D60" s="464" t="s">
        <v>1709</v>
      </c>
      <c r="E60" s="464" t="s">
        <v>1814</v>
      </c>
      <c r="F60" s="464" t="s">
        <v>1815</v>
      </c>
      <c r="G60" s="464" t="s">
        <v>1682</v>
      </c>
      <c r="H60" s="464" t="s">
        <v>1683</v>
      </c>
      <c r="I60" s="464" t="s">
        <v>1684</v>
      </c>
    </row>
    <row r="61" ht="15.95" customHeight="1">
      <c r="A61" s="464" t="s">
        <v>1818</v>
      </c>
      <c r="B61" s="464" t="s">
        <v>1819</v>
      </c>
      <c r="C61" s="464"/>
      <c r="D61" s="464" t="s">
        <v>1709</v>
      </c>
      <c r="E61" s="464" t="s">
        <v>1814</v>
      </c>
      <c r="F61" s="464" t="s">
        <v>1815</v>
      </c>
      <c r="G61" s="464" t="s">
        <v>1682</v>
      </c>
      <c r="H61" s="464" t="s">
        <v>1683</v>
      </c>
      <c r="I61" s="464" t="s">
        <v>1684</v>
      </c>
    </row>
    <row r="62" ht="15.95" customHeight="1">
      <c r="A62" s="464" t="s">
        <v>1820</v>
      </c>
      <c r="B62" s="464" t="s">
        <v>1821</v>
      </c>
      <c r="C62" s="464"/>
      <c r="D62" s="464" t="s">
        <v>1709</v>
      </c>
      <c r="E62" s="464" t="s">
        <v>1814</v>
      </c>
      <c r="F62" s="464" t="s">
        <v>1815</v>
      </c>
      <c r="G62" s="464" t="s">
        <v>1682</v>
      </c>
      <c r="H62" s="464" t="s">
        <v>1683</v>
      </c>
      <c r="I62" s="464" t="s">
        <v>1684</v>
      </c>
    </row>
    <row r="63" ht="15.95" customHeight="1">
      <c r="A63" s="464" t="s">
        <v>1822</v>
      </c>
      <c r="B63" s="464" t="s">
        <v>1823</v>
      </c>
      <c r="C63" s="464"/>
      <c r="D63" s="464" t="s">
        <v>1709</v>
      </c>
      <c r="E63" s="464" t="s">
        <v>1814</v>
      </c>
      <c r="F63" s="464" t="s">
        <v>1815</v>
      </c>
      <c r="G63" s="464" t="s">
        <v>1682</v>
      </c>
      <c r="H63" s="464" t="s">
        <v>1683</v>
      </c>
      <c r="I63" s="464" t="s">
        <v>1684</v>
      </c>
    </row>
    <row r="64" ht="15.95" customHeight="1">
      <c r="A64" s="464" t="s">
        <v>1824</v>
      </c>
      <c r="B64" s="464" t="s">
        <v>1825</v>
      </c>
      <c r="C64" s="464"/>
      <c r="D64" s="464" t="s">
        <v>1709</v>
      </c>
      <c r="E64" s="464" t="s">
        <v>1814</v>
      </c>
      <c r="F64" s="464" t="s">
        <v>1815</v>
      </c>
      <c r="G64" s="464" t="s">
        <v>1682</v>
      </c>
      <c r="H64" s="464" t="s">
        <v>1683</v>
      </c>
      <c r="I64" s="464" t="s">
        <v>1684</v>
      </c>
    </row>
    <row r="65" ht="15.95" customHeight="1">
      <c r="A65" s="464" t="s">
        <v>1826</v>
      </c>
      <c r="B65" s="464" t="s">
        <v>1827</v>
      </c>
      <c r="C65" s="464"/>
      <c r="D65" s="464" t="s">
        <v>1709</v>
      </c>
      <c r="E65" s="464" t="s">
        <v>1814</v>
      </c>
      <c r="F65" s="464" t="s">
        <v>1815</v>
      </c>
      <c r="G65" s="464" t="s">
        <v>1682</v>
      </c>
      <c r="H65" s="464" t="s">
        <v>1683</v>
      </c>
      <c r="I65" s="464" t="s">
        <v>1684</v>
      </c>
    </row>
    <row r="66" ht="15.95" customHeight="1">
      <c r="A66" s="464" t="s">
        <v>1828</v>
      </c>
      <c r="B66" s="464" t="s">
        <v>1829</v>
      </c>
      <c r="C66" s="464"/>
      <c r="D66" s="464" t="s">
        <v>1709</v>
      </c>
      <c r="E66" s="464" t="s">
        <v>1814</v>
      </c>
      <c r="F66" s="464" t="s">
        <v>1815</v>
      </c>
      <c r="G66" s="464" t="s">
        <v>1682</v>
      </c>
      <c r="H66" s="464" t="s">
        <v>1683</v>
      </c>
      <c r="I66" s="464" t="s">
        <v>1684</v>
      </c>
    </row>
    <row r="67" ht="15.95" customHeight="1">
      <c r="A67" s="464" t="s">
        <v>1830</v>
      </c>
      <c r="B67" s="464" t="s">
        <v>1295</v>
      </c>
      <c r="C67" s="464"/>
      <c r="D67" s="464" t="s">
        <v>1679</v>
      </c>
      <c r="E67" s="464" t="s">
        <v>1831</v>
      </c>
      <c r="F67" s="464" t="s">
        <v>1290</v>
      </c>
      <c r="G67" s="464" t="s">
        <v>1832</v>
      </c>
      <c r="H67" s="464" t="s">
        <v>1289</v>
      </c>
      <c r="I67" s="464" t="s">
        <v>1684</v>
      </c>
    </row>
    <row r="68" ht="15.95" customHeight="1">
      <c r="A68" s="464" t="s">
        <v>1833</v>
      </c>
      <c r="B68" s="464" t="s">
        <v>1834</v>
      </c>
      <c r="C68" s="464"/>
      <c r="D68" s="464" t="s">
        <v>1679</v>
      </c>
      <c r="E68" s="464" t="s">
        <v>1831</v>
      </c>
      <c r="F68" s="464" t="s">
        <v>1290</v>
      </c>
      <c r="G68" s="464" t="s">
        <v>1832</v>
      </c>
      <c r="H68" s="464" t="s">
        <v>1289</v>
      </c>
      <c r="I68" s="464" t="s">
        <v>1684</v>
      </c>
    </row>
    <row r="69" ht="15.95" customHeight="1">
      <c r="A69" s="464" t="s">
        <v>1835</v>
      </c>
      <c r="B69" s="464" t="s">
        <v>1293</v>
      </c>
      <c r="C69" s="464"/>
      <c r="D69" s="464" t="s">
        <v>1679</v>
      </c>
      <c r="E69" s="464" t="s">
        <v>1831</v>
      </c>
      <c r="F69" s="464" t="s">
        <v>1290</v>
      </c>
      <c r="G69" s="464" t="s">
        <v>1832</v>
      </c>
      <c r="H69" s="464" t="s">
        <v>1289</v>
      </c>
      <c r="I69" s="464" t="s">
        <v>1684</v>
      </c>
    </row>
    <row r="70" ht="15.95" customHeight="1">
      <c r="A70" s="464" t="s">
        <v>1836</v>
      </c>
      <c r="B70" s="464" t="s">
        <v>1294</v>
      </c>
      <c r="C70" s="464"/>
      <c r="D70" s="464" t="s">
        <v>1679</v>
      </c>
      <c r="E70" s="464" t="s">
        <v>1831</v>
      </c>
      <c r="F70" s="464" t="s">
        <v>1290</v>
      </c>
      <c r="G70" s="464" t="s">
        <v>1832</v>
      </c>
      <c r="H70" s="464" t="s">
        <v>1289</v>
      </c>
      <c r="I70" s="464" t="s">
        <v>1684</v>
      </c>
    </row>
    <row r="71" ht="15.95" customHeight="1">
      <c r="A71" s="464" t="s">
        <v>1837</v>
      </c>
      <c r="B71" s="464" t="s">
        <v>1838</v>
      </c>
      <c r="C71" s="464"/>
      <c r="D71" s="464" t="s">
        <v>1679</v>
      </c>
      <c r="E71" s="464" t="s">
        <v>1831</v>
      </c>
      <c r="F71" s="464" t="s">
        <v>1290</v>
      </c>
      <c r="G71" s="464" t="s">
        <v>1832</v>
      </c>
      <c r="H71" s="464" t="s">
        <v>1289</v>
      </c>
      <c r="I71" s="464" t="s">
        <v>1684</v>
      </c>
    </row>
    <row r="72" ht="15.95" customHeight="1">
      <c r="A72" s="464" t="s">
        <v>1839</v>
      </c>
      <c r="B72" s="464" t="s">
        <v>1840</v>
      </c>
      <c r="C72" s="464"/>
      <c r="D72" s="464" t="s">
        <v>1679</v>
      </c>
      <c r="E72" s="464" t="s">
        <v>1831</v>
      </c>
      <c r="F72" s="464" t="s">
        <v>1290</v>
      </c>
      <c r="G72" s="464" t="s">
        <v>1832</v>
      </c>
      <c r="H72" s="464" t="s">
        <v>1289</v>
      </c>
      <c r="I72" s="464" t="s">
        <v>1684</v>
      </c>
    </row>
    <row r="73" ht="15.95" customHeight="1">
      <c r="A73" s="464" t="s">
        <v>1841</v>
      </c>
      <c r="B73" s="464" t="s">
        <v>1842</v>
      </c>
      <c r="C73" s="464"/>
      <c r="D73" s="464" t="s">
        <v>1679</v>
      </c>
      <c r="E73" s="464" t="s">
        <v>1831</v>
      </c>
      <c r="F73" s="464" t="s">
        <v>1290</v>
      </c>
      <c r="G73" s="464" t="s">
        <v>1832</v>
      </c>
      <c r="H73" s="464" t="s">
        <v>1289</v>
      </c>
      <c r="I73" s="464" t="s">
        <v>1684</v>
      </c>
    </row>
    <row r="74" ht="15.95" customHeight="1">
      <c r="A74" s="464" t="s">
        <v>1843</v>
      </c>
      <c r="B74" s="464" t="s">
        <v>1844</v>
      </c>
      <c r="C74" s="464"/>
      <c r="D74" s="464" t="s">
        <v>1679</v>
      </c>
      <c r="E74" s="464" t="s">
        <v>1831</v>
      </c>
      <c r="F74" s="464" t="s">
        <v>1290</v>
      </c>
      <c r="G74" s="464" t="s">
        <v>1832</v>
      </c>
      <c r="H74" s="464" t="s">
        <v>1289</v>
      </c>
      <c r="I74" s="464" t="s">
        <v>1684</v>
      </c>
    </row>
    <row r="75" ht="15.95" customHeight="1">
      <c r="A75" s="464" t="s">
        <v>1845</v>
      </c>
      <c r="B75" s="464" t="s">
        <v>1846</v>
      </c>
      <c r="C75" s="464"/>
      <c r="D75" s="464" t="s">
        <v>1679</v>
      </c>
      <c r="E75" s="464" t="s">
        <v>1831</v>
      </c>
      <c r="F75" s="464" t="s">
        <v>1290</v>
      </c>
      <c r="G75" s="464" t="s">
        <v>1832</v>
      </c>
      <c r="H75" s="464" t="s">
        <v>1289</v>
      </c>
      <c r="I75" s="464" t="s">
        <v>1684</v>
      </c>
    </row>
    <row r="76" ht="15.95" customHeight="1">
      <c r="A76" s="464" t="s">
        <v>1847</v>
      </c>
      <c r="B76" s="464" t="s">
        <v>1848</v>
      </c>
      <c r="C76" s="464"/>
      <c r="D76" s="464" t="s">
        <v>1679</v>
      </c>
      <c r="E76" s="464" t="s">
        <v>1831</v>
      </c>
      <c r="F76" s="464" t="s">
        <v>1290</v>
      </c>
      <c r="G76" s="464" t="s">
        <v>1832</v>
      </c>
      <c r="H76" s="464" t="s">
        <v>1289</v>
      </c>
      <c r="I76" s="464" t="s">
        <v>1684</v>
      </c>
    </row>
    <row r="77" ht="15.95" customHeight="1">
      <c r="A77" s="464" t="s">
        <v>1849</v>
      </c>
      <c r="B77" s="464" t="s">
        <v>1850</v>
      </c>
      <c r="C77" s="464"/>
      <c r="D77" s="464" t="s">
        <v>1679</v>
      </c>
      <c r="E77" s="464" t="s">
        <v>1831</v>
      </c>
      <c r="F77" s="464" t="s">
        <v>1290</v>
      </c>
      <c r="G77" s="464" t="s">
        <v>1832</v>
      </c>
      <c r="H77" s="464" t="s">
        <v>1289</v>
      </c>
      <c r="I77" s="464" t="s">
        <v>1684</v>
      </c>
    </row>
    <row r="78" ht="15.95" customHeight="1">
      <c r="A78" s="464" t="s">
        <v>1851</v>
      </c>
      <c r="B78" s="464" t="s">
        <v>1852</v>
      </c>
      <c r="C78" s="464"/>
      <c r="D78" s="464" t="s">
        <v>1679</v>
      </c>
      <c r="E78" s="464" t="s">
        <v>1831</v>
      </c>
      <c r="F78" s="464" t="s">
        <v>1290</v>
      </c>
      <c r="G78" s="464" t="s">
        <v>1832</v>
      </c>
      <c r="H78" s="464" t="s">
        <v>1289</v>
      </c>
      <c r="I78" s="464" t="s">
        <v>1684</v>
      </c>
    </row>
    <row r="79" ht="15.95" customHeight="1">
      <c r="A79" s="464" t="s">
        <v>1853</v>
      </c>
      <c r="B79" s="464" t="s">
        <v>1854</v>
      </c>
      <c r="C79" s="464"/>
      <c r="D79" s="464" t="s">
        <v>1679</v>
      </c>
      <c r="E79" s="464" t="s">
        <v>1831</v>
      </c>
      <c r="F79" s="464" t="s">
        <v>1290</v>
      </c>
      <c r="G79" s="464" t="s">
        <v>1832</v>
      </c>
      <c r="H79" s="464" t="s">
        <v>1289</v>
      </c>
      <c r="I79" s="464" t="s">
        <v>1684</v>
      </c>
    </row>
    <row r="80" ht="15.95" customHeight="1">
      <c r="A80" s="464" t="s">
        <v>1855</v>
      </c>
      <c r="B80" s="464" t="s">
        <v>1856</v>
      </c>
      <c r="C80" s="464"/>
      <c r="D80" s="464" t="s">
        <v>1679</v>
      </c>
      <c r="E80" s="464" t="s">
        <v>1831</v>
      </c>
      <c r="F80" s="464" t="s">
        <v>1290</v>
      </c>
      <c r="G80" s="464" t="s">
        <v>1832</v>
      </c>
      <c r="H80" s="464" t="s">
        <v>1289</v>
      </c>
      <c r="I80" s="464" t="s">
        <v>1684</v>
      </c>
    </row>
    <row r="81" ht="15.95" customHeight="1">
      <c r="A81" s="464" t="s">
        <v>1857</v>
      </c>
      <c r="B81" s="464" t="s">
        <v>1858</v>
      </c>
      <c r="C81" s="464"/>
      <c r="D81" s="464" t="s">
        <v>1709</v>
      </c>
      <c r="E81" s="464" t="s">
        <v>1831</v>
      </c>
      <c r="F81" s="464" t="s">
        <v>1290</v>
      </c>
      <c r="G81" s="464" t="s">
        <v>1832</v>
      </c>
      <c r="H81" s="464" t="s">
        <v>1289</v>
      </c>
      <c r="I81" s="464" t="s">
        <v>1684</v>
      </c>
    </row>
    <row r="82" ht="15.95" customHeight="1">
      <c r="A82" s="464" t="s">
        <v>1859</v>
      </c>
      <c r="B82" s="464" t="s">
        <v>1860</v>
      </c>
      <c r="C82" s="464"/>
      <c r="D82" s="464" t="s">
        <v>1709</v>
      </c>
      <c r="E82" s="464" t="s">
        <v>1831</v>
      </c>
      <c r="F82" s="464" t="s">
        <v>1290</v>
      </c>
      <c r="G82" s="464" t="s">
        <v>1832</v>
      </c>
      <c r="H82" s="464" t="s">
        <v>1289</v>
      </c>
      <c r="I82" s="464" t="s">
        <v>1684</v>
      </c>
    </row>
    <row r="83" ht="15.95" customHeight="1">
      <c r="A83" s="464" t="s">
        <v>1861</v>
      </c>
      <c r="B83" s="464" t="s">
        <v>1862</v>
      </c>
      <c r="C83" s="464"/>
      <c r="D83" s="464" t="s">
        <v>1709</v>
      </c>
      <c r="E83" s="464" t="s">
        <v>1831</v>
      </c>
      <c r="F83" s="464" t="s">
        <v>1290</v>
      </c>
      <c r="G83" s="464" t="s">
        <v>1832</v>
      </c>
      <c r="H83" s="464" t="s">
        <v>1289</v>
      </c>
      <c r="I83" s="464" t="s">
        <v>1684</v>
      </c>
    </row>
    <row r="84" ht="15.95" customHeight="1">
      <c r="A84" s="464" t="s">
        <v>1863</v>
      </c>
      <c r="B84" s="464" t="s">
        <v>1864</v>
      </c>
      <c r="C84" s="464"/>
      <c r="D84" s="464" t="s">
        <v>1709</v>
      </c>
      <c r="E84" s="464" t="s">
        <v>1831</v>
      </c>
      <c r="F84" s="464" t="s">
        <v>1290</v>
      </c>
      <c r="G84" s="464" t="s">
        <v>1832</v>
      </c>
      <c r="H84" s="464" t="s">
        <v>1289</v>
      </c>
      <c r="I84" s="464" t="s">
        <v>1684</v>
      </c>
    </row>
    <row r="85" ht="15.95" customHeight="1">
      <c r="A85" s="464" t="s">
        <v>1865</v>
      </c>
      <c r="B85" s="464" t="s">
        <v>1866</v>
      </c>
      <c r="C85" s="464"/>
      <c r="D85" s="464" t="s">
        <v>1679</v>
      </c>
      <c r="E85" s="464" t="s">
        <v>1867</v>
      </c>
      <c r="F85" s="464" t="s">
        <v>1868</v>
      </c>
      <c r="G85" s="464" t="s">
        <v>1832</v>
      </c>
      <c r="H85" s="464" t="s">
        <v>1289</v>
      </c>
      <c r="I85" s="464" t="s">
        <v>1684</v>
      </c>
    </row>
    <row r="86" ht="15.95" customHeight="1">
      <c r="A86" s="464" t="s">
        <v>1869</v>
      </c>
      <c r="B86" s="464" t="s">
        <v>1870</v>
      </c>
      <c r="C86" s="464"/>
      <c r="D86" s="464" t="s">
        <v>1679</v>
      </c>
      <c r="E86" s="464" t="s">
        <v>1867</v>
      </c>
      <c r="F86" s="464" t="s">
        <v>1868</v>
      </c>
      <c r="G86" s="464" t="s">
        <v>1832</v>
      </c>
      <c r="H86" s="464" t="s">
        <v>1289</v>
      </c>
      <c r="I86" s="464" t="s">
        <v>1684</v>
      </c>
    </row>
    <row r="87" ht="15.95" customHeight="1">
      <c r="A87" s="464" t="s">
        <v>1871</v>
      </c>
      <c r="B87" s="464" t="s">
        <v>1872</v>
      </c>
      <c r="C87" s="464"/>
      <c r="D87" s="464" t="s">
        <v>1679</v>
      </c>
      <c r="E87" s="464" t="s">
        <v>1867</v>
      </c>
      <c r="F87" s="464" t="s">
        <v>1868</v>
      </c>
      <c r="G87" s="464" t="s">
        <v>1832</v>
      </c>
      <c r="H87" s="464" t="s">
        <v>1289</v>
      </c>
      <c r="I87" s="464" t="s">
        <v>1684</v>
      </c>
    </row>
    <row r="88" ht="15.95" customHeight="1">
      <c r="A88" s="464" t="s">
        <v>1873</v>
      </c>
      <c r="B88" s="464" t="s">
        <v>1299</v>
      </c>
      <c r="C88" s="464"/>
      <c r="D88" s="464" t="s">
        <v>1679</v>
      </c>
      <c r="E88" s="464" t="s">
        <v>1867</v>
      </c>
      <c r="F88" s="464" t="s">
        <v>1868</v>
      </c>
      <c r="G88" s="464" t="s">
        <v>1832</v>
      </c>
      <c r="H88" s="464" t="s">
        <v>1289</v>
      </c>
      <c r="I88" s="464" t="s">
        <v>1684</v>
      </c>
    </row>
    <row r="89" ht="15.95" customHeight="1">
      <c r="A89" s="464" t="s">
        <v>1874</v>
      </c>
      <c r="B89" s="464" t="s">
        <v>1875</v>
      </c>
      <c r="C89" s="464"/>
      <c r="D89" s="464" t="s">
        <v>1679</v>
      </c>
      <c r="E89" s="464" t="s">
        <v>1867</v>
      </c>
      <c r="F89" s="464" t="s">
        <v>1868</v>
      </c>
      <c r="G89" s="464" t="s">
        <v>1832</v>
      </c>
      <c r="H89" s="464" t="s">
        <v>1289</v>
      </c>
      <c r="I89" s="464" t="s">
        <v>1684</v>
      </c>
    </row>
    <row r="90" ht="15.95" customHeight="1">
      <c r="A90" s="464" t="s">
        <v>1876</v>
      </c>
      <c r="B90" s="464" t="s">
        <v>1764</v>
      </c>
      <c r="C90" s="464"/>
      <c r="D90" s="464" t="s">
        <v>1709</v>
      </c>
      <c r="E90" s="464" t="s">
        <v>1867</v>
      </c>
      <c r="F90" s="464" t="s">
        <v>1868</v>
      </c>
      <c r="G90" s="464" t="s">
        <v>1832</v>
      </c>
      <c r="H90" s="464" t="s">
        <v>1289</v>
      </c>
      <c r="I90" s="464" t="s">
        <v>1684</v>
      </c>
    </row>
    <row r="91" ht="15.95" customHeight="1">
      <c r="A91" s="464" t="s">
        <v>1877</v>
      </c>
      <c r="B91" s="464" t="s">
        <v>1878</v>
      </c>
      <c r="C91" s="464" t="s">
        <v>1879</v>
      </c>
      <c r="D91" s="464" t="s">
        <v>1709</v>
      </c>
      <c r="E91" s="464" t="s">
        <v>1867</v>
      </c>
      <c r="F91" s="464" t="s">
        <v>1868</v>
      </c>
      <c r="G91" s="464" t="s">
        <v>1832</v>
      </c>
      <c r="H91" s="464" t="s">
        <v>1289</v>
      </c>
      <c r="I91" s="464" t="s">
        <v>1684</v>
      </c>
    </row>
    <row r="92" ht="15.95" customHeight="1">
      <c r="A92" s="464" t="s">
        <v>1880</v>
      </c>
      <c r="B92" s="464" t="s">
        <v>1881</v>
      </c>
      <c r="C92" s="464"/>
      <c r="D92" s="464" t="s">
        <v>1709</v>
      </c>
      <c r="E92" s="464" t="s">
        <v>1867</v>
      </c>
      <c r="F92" s="464" t="s">
        <v>1868</v>
      </c>
      <c r="G92" s="464" t="s">
        <v>1832</v>
      </c>
      <c r="H92" s="464" t="s">
        <v>1289</v>
      </c>
      <c r="I92" s="464" t="s">
        <v>1684</v>
      </c>
    </row>
    <row r="93" ht="15.95" customHeight="1">
      <c r="A93" s="464" t="s">
        <v>1882</v>
      </c>
      <c r="B93" s="464" t="s">
        <v>1883</v>
      </c>
      <c r="C93" s="464" t="s">
        <v>1884</v>
      </c>
      <c r="D93" s="464" t="s">
        <v>1709</v>
      </c>
      <c r="E93" s="464" t="s">
        <v>1867</v>
      </c>
      <c r="F93" s="464" t="s">
        <v>1868</v>
      </c>
      <c r="G93" s="464" t="s">
        <v>1832</v>
      </c>
      <c r="H93" s="464" t="s">
        <v>1289</v>
      </c>
      <c r="I93" s="464" t="s">
        <v>1684</v>
      </c>
    </row>
    <row r="94" ht="15.95" customHeight="1">
      <c r="A94" s="464" t="s">
        <v>1885</v>
      </c>
      <c r="B94" s="464" t="s">
        <v>1886</v>
      </c>
      <c r="C94" s="464"/>
      <c r="D94" s="464" t="s">
        <v>1738</v>
      </c>
      <c r="E94" s="464" t="s">
        <v>1887</v>
      </c>
      <c r="F94" s="464" t="s">
        <v>1888</v>
      </c>
      <c r="G94" s="464" t="s">
        <v>1832</v>
      </c>
      <c r="H94" s="464" t="s">
        <v>1289</v>
      </c>
      <c r="I94" s="464" t="s">
        <v>1684</v>
      </c>
    </row>
    <row r="95" ht="15.95" customHeight="1">
      <c r="A95" s="464" t="s">
        <v>1889</v>
      </c>
      <c r="B95" s="464" t="s">
        <v>1890</v>
      </c>
      <c r="C95" s="464"/>
      <c r="D95" s="464" t="s">
        <v>1738</v>
      </c>
      <c r="E95" s="464" t="s">
        <v>1887</v>
      </c>
      <c r="F95" s="464" t="s">
        <v>1888</v>
      </c>
      <c r="G95" s="464" t="s">
        <v>1832</v>
      </c>
      <c r="H95" s="464" t="s">
        <v>1289</v>
      </c>
      <c r="I95" s="464" t="s">
        <v>1684</v>
      </c>
    </row>
    <row r="96" ht="15.95" customHeight="1">
      <c r="A96" s="464" t="s">
        <v>1891</v>
      </c>
      <c r="B96" s="464" t="s">
        <v>1892</v>
      </c>
      <c r="C96" s="464"/>
      <c r="D96" s="464" t="s">
        <v>1709</v>
      </c>
      <c r="E96" s="464" t="s">
        <v>1887</v>
      </c>
      <c r="F96" s="464" t="s">
        <v>1888</v>
      </c>
      <c r="G96" s="464" t="s">
        <v>1832</v>
      </c>
      <c r="H96" s="464" t="s">
        <v>1289</v>
      </c>
      <c r="I96" s="464" t="s">
        <v>1684</v>
      </c>
    </row>
    <row r="97" ht="15.95" customHeight="1">
      <c r="A97" s="464" t="s">
        <v>1893</v>
      </c>
      <c r="B97" s="464" t="s">
        <v>1894</v>
      </c>
      <c r="C97" s="464"/>
      <c r="D97" s="464" t="s">
        <v>1709</v>
      </c>
      <c r="E97" s="464" t="s">
        <v>1887</v>
      </c>
      <c r="F97" s="464" t="s">
        <v>1888</v>
      </c>
      <c r="G97" s="464" t="s">
        <v>1832</v>
      </c>
      <c r="H97" s="464" t="s">
        <v>1289</v>
      </c>
      <c r="I97" s="464" t="s">
        <v>1684</v>
      </c>
    </row>
    <row r="98" ht="15.95" customHeight="1">
      <c r="A98" s="464" t="s">
        <v>1895</v>
      </c>
      <c r="B98" s="464" t="s">
        <v>1896</v>
      </c>
      <c r="C98" s="464"/>
      <c r="D98" s="464" t="s">
        <v>1709</v>
      </c>
      <c r="E98" s="464" t="s">
        <v>1887</v>
      </c>
      <c r="F98" s="464" t="s">
        <v>1888</v>
      </c>
      <c r="G98" s="464" t="s">
        <v>1832</v>
      </c>
      <c r="H98" s="464" t="s">
        <v>1289</v>
      </c>
      <c r="I98" s="464" t="s">
        <v>1684</v>
      </c>
    </row>
    <row r="99" ht="15.95" customHeight="1">
      <c r="A99" s="464" t="s">
        <v>1897</v>
      </c>
      <c r="B99" s="464" t="s">
        <v>1898</v>
      </c>
      <c r="C99" s="464"/>
      <c r="D99" s="464" t="s">
        <v>1709</v>
      </c>
      <c r="E99" s="464" t="s">
        <v>1887</v>
      </c>
      <c r="F99" s="464" t="s">
        <v>1888</v>
      </c>
      <c r="G99" s="464" t="s">
        <v>1832</v>
      </c>
      <c r="H99" s="464" t="s">
        <v>1289</v>
      </c>
      <c r="I99" s="464" t="s">
        <v>1684</v>
      </c>
    </row>
    <row r="100" ht="15.95" customHeight="1">
      <c r="A100" s="464" t="s">
        <v>1899</v>
      </c>
      <c r="B100" s="464" t="s">
        <v>1900</v>
      </c>
      <c r="C100" s="464"/>
      <c r="D100" s="464" t="s">
        <v>1709</v>
      </c>
      <c r="E100" s="464" t="s">
        <v>1887</v>
      </c>
      <c r="F100" s="464" t="s">
        <v>1888</v>
      </c>
      <c r="G100" s="464" t="s">
        <v>1832</v>
      </c>
      <c r="H100" s="464" t="s">
        <v>1289</v>
      </c>
      <c r="I100" s="464" t="s">
        <v>1684</v>
      </c>
    </row>
    <row r="101" ht="15.95" customHeight="1">
      <c r="A101" s="464" t="s">
        <v>1901</v>
      </c>
      <c r="B101" s="464" t="s">
        <v>1902</v>
      </c>
      <c r="C101" s="464"/>
      <c r="D101" s="464" t="s">
        <v>1709</v>
      </c>
      <c r="E101" s="464" t="s">
        <v>1887</v>
      </c>
      <c r="F101" s="464" t="s">
        <v>1888</v>
      </c>
      <c r="G101" s="464" t="s">
        <v>1832</v>
      </c>
      <c r="H101" s="464" t="s">
        <v>1289</v>
      </c>
      <c r="I101" s="464" t="s">
        <v>1684</v>
      </c>
    </row>
    <row r="102" ht="15.95" customHeight="1">
      <c r="A102" s="464" t="s">
        <v>1903</v>
      </c>
      <c r="B102" s="464" t="s">
        <v>1904</v>
      </c>
      <c r="C102" s="464"/>
      <c r="D102" s="464" t="s">
        <v>1709</v>
      </c>
      <c r="E102" s="464" t="s">
        <v>1887</v>
      </c>
      <c r="F102" s="464" t="s">
        <v>1888</v>
      </c>
      <c r="G102" s="464" t="s">
        <v>1832</v>
      </c>
      <c r="H102" s="464" t="s">
        <v>1289</v>
      </c>
      <c r="I102" s="464" t="s">
        <v>1684</v>
      </c>
    </row>
    <row r="103" ht="15.95" customHeight="1">
      <c r="A103" s="464" t="s">
        <v>1905</v>
      </c>
      <c r="B103" s="464" t="s">
        <v>1906</v>
      </c>
      <c r="C103" s="464"/>
      <c r="D103" s="464" t="s">
        <v>1709</v>
      </c>
      <c r="E103" s="464" t="s">
        <v>1887</v>
      </c>
      <c r="F103" s="464" t="s">
        <v>1888</v>
      </c>
      <c r="G103" s="464" t="s">
        <v>1832</v>
      </c>
      <c r="H103" s="464" t="s">
        <v>1289</v>
      </c>
      <c r="I103" s="464" t="s">
        <v>1684</v>
      </c>
    </row>
    <row r="104" ht="15.95" customHeight="1">
      <c r="A104" s="464" t="s">
        <v>1907</v>
      </c>
      <c r="B104" s="464" t="s">
        <v>1908</v>
      </c>
      <c r="C104" s="464"/>
      <c r="D104" s="464" t="s">
        <v>1709</v>
      </c>
      <c r="E104" s="464" t="s">
        <v>1887</v>
      </c>
      <c r="F104" s="464" t="s">
        <v>1888</v>
      </c>
      <c r="G104" s="464" t="s">
        <v>1832</v>
      </c>
      <c r="H104" s="464" t="s">
        <v>1289</v>
      </c>
      <c r="I104" s="464" t="s">
        <v>1684</v>
      </c>
    </row>
    <row r="105" ht="15.95" customHeight="1">
      <c r="A105" s="464" t="s">
        <v>1909</v>
      </c>
      <c r="B105" s="464" t="s">
        <v>1910</v>
      </c>
      <c r="C105" s="464"/>
      <c r="D105" s="464" t="s">
        <v>1709</v>
      </c>
      <c r="E105" s="464" t="s">
        <v>1887</v>
      </c>
      <c r="F105" s="464" t="s">
        <v>1888</v>
      </c>
      <c r="G105" s="464" t="s">
        <v>1832</v>
      </c>
      <c r="H105" s="464" t="s">
        <v>1289</v>
      </c>
      <c r="I105" s="464" t="s">
        <v>1684</v>
      </c>
    </row>
    <row r="106" ht="15.95" customHeight="1">
      <c r="A106" s="464" t="s">
        <v>1911</v>
      </c>
      <c r="B106" s="464" t="s">
        <v>1912</v>
      </c>
      <c r="C106" s="464"/>
      <c r="D106" s="464" t="s">
        <v>1738</v>
      </c>
      <c r="E106" s="464" t="s">
        <v>1913</v>
      </c>
      <c r="F106" s="464" t="s">
        <v>1914</v>
      </c>
      <c r="G106" s="464" t="s">
        <v>1832</v>
      </c>
      <c r="H106" s="464" t="s">
        <v>1289</v>
      </c>
      <c r="I106" s="464" t="s">
        <v>1684</v>
      </c>
    </row>
    <row r="107" ht="15.95" customHeight="1">
      <c r="A107" s="464" t="s">
        <v>1915</v>
      </c>
      <c r="B107" s="464" t="s">
        <v>1916</v>
      </c>
      <c r="C107" s="464"/>
      <c r="D107" s="464" t="s">
        <v>1709</v>
      </c>
      <c r="E107" s="464" t="s">
        <v>1913</v>
      </c>
      <c r="F107" s="464" t="s">
        <v>1914</v>
      </c>
      <c r="G107" s="464" t="s">
        <v>1832</v>
      </c>
      <c r="H107" s="464" t="s">
        <v>1289</v>
      </c>
      <c r="I107" s="464" t="s">
        <v>1684</v>
      </c>
    </row>
    <row r="108" ht="15.95" customHeight="1">
      <c r="A108" s="464" t="s">
        <v>1917</v>
      </c>
      <c r="B108" s="464" t="s">
        <v>1918</v>
      </c>
      <c r="C108" s="464"/>
      <c r="D108" s="464" t="s">
        <v>1709</v>
      </c>
      <c r="E108" s="464" t="s">
        <v>1913</v>
      </c>
      <c r="F108" s="464" t="s">
        <v>1914</v>
      </c>
      <c r="G108" s="464" t="s">
        <v>1832</v>
      </c>
      <c r="H108" s="464" t="s">
        <v>1289</v>
      </c>
      <c r="I108" s="464" t="s">
        <v>1684</v>
      </c>
    </row>
    <row r="109" ht="15.95" customHeight="1">
      <c r="A109" s="464" t="s">
        <v>1919</v>
      </c>
      <c r="B109" s="464" t="s">
        <v>1920</v>
      </c>
      <c r="C109" s="464"/>
      <c r="D109" s="464" t="s">
        <v>1709</v>
      </c>
      <c r="E109" s="464" t="s">
        <v>1913</v>
      </c>
      <c r="F109" s="464" t="s">
        <v>1914</v>
      </c>
      <c r="G109" s="464" t="s">
        <v>1832</v>
      </c>
      <c r="H109" s="464" t="s">
        <v>1289</v>
      </c>
      <c r="I109" s="464" t="s">
        <v>1684</v>
      </c>
    </row>
    <row r="110" ht="15.95" customHeight="1">
      <c r="A110" s="464" t="s">
        <v>1921</v>
      </c>
      <c r="B110" s="464" t="s">
        <v>1922</v>
      </c>
      <c r="C110" s="464"/>
      <c r="D110" s="464" t="s">
        <v>1709</v>
      </c>
      <c r="E110" s="464" t="s">
        <v>1913</v>
      </c>
      <c r="F110" s="464" t="s">
        <v>1914</v>
      </c>
      <c r="G110" s="464" t="s">
        <v>1832</v>
      </c>
      <c r="H110" s="464" t="s">
        <v>1289</v>
      </c>
      <c r="I110" s="464" t="s">
        <v>1684</v>
      </c>
    </row>
    <row r="111" ht="15.95" customHeight="1">
      <c r="A111" s="464" t="s">
        <v>1923</v>
      </c>
      <c r="B111" s="464" t="s">
        <v>1924</v>
      </c>
      <c r="C111" s="464"/>
      <c r="D111" s="464" t="s">
        <v>1709</v>
      </c>
      <c r="E111" s="464" t="s">
        <v>1913</v>
      </c>
      <c r="F111" s="464" t="s">
        <v>1914</v>
      </c>
      <c r="G111" s="464" t="s">
        <v>1832</v>
      </c>
      <c r="H111" s="464" t="s">
        <v>1289</v>
      </c>
      <c r="I111" s="464" t="s">
        <v>1684</v>
      </c>
    </row>
    <row r="112" ht="15.95" customHeight="1">
      <c r="A112" s="464" t="s">
        <v>1925</v>
      </c>
      <c r="B112" s="464" t="s">
        <v>1926</v>
      </c>
      <c r="C112" s="464"/>
      <c r="D112" s="464" t="s">
        <v>1709</v>
      </c>
      <c r="E112" s="464" t="s">
        <v>1913</v>
      </c>
      <c r="F112" s="464" t="s">
        <v>1914</v>
      </c>
      <c r="G112" s="464" t="s">
        <v>1832</v>
      </c>
      <c r="H112" s="464" t="s">
        <v>1289</v>
      </c>
      <c r="I112" s="464" t="s">
        <v>1684</v>
      </c>
    </row>
    <row r="113" ht="15.95" customHeight="1">
      <c r="A113" s="464" t="s">
        <v>1927</v>
      </c>
      <c r="B113" s="464" t="s">
        <v>1928</v>
      </c>
      <c r="C113" s="464"/>
      <c r="D113" s="464" t="s">
        <v>1709</v>
      </c>
      <c r="E113" s="464" t="s">
        <v>1913</v>
      </c>
      <c r="F113" s="464" t="s">
        <v>1914</v>
      </c>
      <c r="G113" s="464" t="s">
        <v>1832</v>
      </c>
      <c r="H113" s="464" t="s">
        <v>1289</v>
      </c>
      <c r="I113" s="464" t="s">
        <v>1684</v>
      </c>
    </row>
    <row r="114" ht="15.95" customHeight="1">
      <c r="A114" s="464" t="s">
        <v>1929</v>
      </c>
      <c r="B114" s="464" t="s">
        <v>1930</v>
      </c>
      <c r="C114" s="464"/>
      <c r="D114" s="464" t="s">
        <v>1709</v>
      </c>
      <c r="E114" s="464" t="s">
        <v>1913</v>
      </c>
      <c r="F114" s="464" t="s">
        <v>1914</v>
      </c>
      <c r="G114" s="464" t="s">
        <v>1832</v>
      </c>
      <c r="H114" s="464" t="s">
        <v>1289</v>
      </c>
      <c r="I114" s="464" t="s">
        <v>1684</v>
      </c>
    </row>
    <row r="115" ht="15.95" customHeight="1">
      <c r="A115" s="464" t="s">
        <v>1931</v>
      </c>
      <c r="B115" s="464" t="s">
        <v>1932</v>
      </c>
      <c r="C115" s="464"/>
      <c r="D115" s="464" t="s">
        <v>1738</v>
      </c>
      <c r="E115" s="464" t="s">
        <v>1913</v>
      </c>
      <c r="F115" s="464" t="s">
        <v>1914</v>
      </c>
      <c r="G115" s="464" t="s">
        <v>1832</v>
      </c>
      <c r="H115" s="464" t="s">
        <v>1289</v>
      </c>
      <c r="I115" s="464" t="s">
        <v>1684</v>
      </c>
    </row>
    <row r="116" ht="15.95" customHeight="1">
      <c r="A116" s="464" t="s">
        <v>1933</v>
      </c>
      <c r="B116" s="464" t="s">
        <v>1934</v>
      </c>
      <c r="C116" s="464"/>
      <c r="D116" s="464" t="s">
        <v>1709</v>
      </c>
      <c r="E116" s="464" t="s">
        <v>1913</v>
      </c>
      <c r="F116" s="464" t="s">
        <v>1914</v>
      </c>
      <c r="G116" s="464" t="s">
        <v>1832</v>
      </c>
      <c r="H116" s="464" t="s">
        <v>1289</v>
      </c>
      <c r="I116" s="464" t="s">
        <v>1684</v>
      </c>
    </row>
    <row r="117" ht="15.95" customHeight="1">
      <c r="A117" s="464" t="s">
        <v>1935</v>
      </c>
      <c r="B117" s="464" t="s">
        <v>1936</v>
      </c>
      <c r="C117" s="464"/>
      <c r="D117" s="464" t="s">
        <v>1709</v>
      </c>
      <c r="E117" s="464" t="s">
        <v>1913</v>
      </c>
      <c r="F117" s="464" t="s">
        <v>1914</v>
      </c>
      <c r="G117" s="464" t="s">
        <v>1832</v>
      </c>
      <c r="H117" s="464" t="s">
        <v>1289</v>
      </c>
      <c r="I117" s="464" t="s">
        <v>1684</v>
      </c>
    </row>
    <row r="118" ht="15.95" customHeight="1">
      <c r="A118" s="464" t="s">
        <v>1937</v>
      </c>
      <c r="B118" s="464" t="s">
        <v>1938</v>
      </c>
      <c r="C118" s="464"/>
      <c r="D118" s="464" t="s">
        <v>1709</v>
      </c>
      <c r="E118" s="464" t="s">
        <v>1913</v>
      </c>
      <c r="F118" s="464" t="s">
        <v>1914</v>
      </c>
      <c r="G118" s="464" t="s">
        <v>1832</v>
      </c>
      <c r="H118" s="464" t="s">
        <v>1289</v>
      </c>
      <c r="I118" s="464" t="s">
        <v>1684</v>
      </c>
    </row>
    <row r="119" ht="15.95" customHeight="1">
      <c r="A119" s="464" t="s">
        <v>1939</v>
      </c>
      <c r="B119" s="464" t="s">
        <v>1940</v>
      </c>
      <c r="C119" s="464"/>
      <c r="D119" s="464" t="s">
        <v>1709</v>
      </c>
      <c r="E119" s="464" t="s">
        <v>1913</v>
      </c>
      <c r="F119" s="464" t="s">
        <v>1914</v>
      </c>
      <c r="G119" s="464" t="s">
        <v>1832</v>
      </c>
      <c r="H119" s="464" t="s">
        <v>1289</v>
      </c>
      <c r="I119" s="464" t="s">
        <v>1684</v>
      </c>
    </row>
    <row r="120" ht="15.95" customHeight="1">
      <c r="A120" s="464" t="s">
        <v>1941</v>
      </c>
      <c r="B120" s="464" t="s">
        <v>1942</v>
      </c>
      <c r="C120" s="464"/>
      <c r="D120" s="464" t="s">
        <v>1709</v>
      </c>
      <c r="E120" s="464" t="s">
        <v>1913</v>
      </c>
      <c r="F120" s="464" t="s">
        <v>1914</v>
      </c>
      <c r="G120" s="464" t="s">
        <v>1832</v>
      </c>
      <c r="H120" s="464" t="s">
        <v>1289</v>
      </c>
      <c r="I120" s="464" t="s">
        <v>1684</v>
      </c>
    </row>
    <row r="121" ht="15.95" customHeight="1">
      <c r="A121" s="464" t="s">
        <v>1943</v>
      </c>
      <c r="B121" s="464" t="s">
        <v>1944</v>
      </c>
      <c r="C121" s="464"/>
      <c r="D121" s="464" t="s">
        <v>1709</v>
      </c>
      <c r="E121" s="464" t="s">
        <v>1913</v>
      </c>
      <c r="F121" s="464" t="s">
        <v>1914</v>
      </c>
      <c r="G121" s="464" t="s">
        <v>1832</v>
      </c>
      <c r="H121" s="464" t="s">
        <v>1289</v>
      </c>
      <c r="I121" s="464" t="s">
        <v>1684</v>
      </c>
    </row>
    <row r="122" ht="15.95" customHeight="1">
      <c r="A122" s="464" t="s">
        <v>1945</v>
      </c>
      <c r="B122" s="464" t="s">
        <v>1946</v>
      </c>
      <c r="C122" s="464"/>
      <c r="D122" s="464" t="s">
        <v>1709</v>
      </c>
      <c r="E122" s="464" t="s">
        <v>1913</v>
      </c>
      <c r="F122" s="464" t="s">
        <v>1914</v>
      </c>
      <c r="G122" s="464" t="s">
        <v>1832</v>
      </c>
      <c r="H122" s="464" t="s">
        <v>1289</v>
      </c>
      <c r="I122" s="464" t="s">
        <v>1684</v>
      </c>
    </row>
    <row r="123" ht="15.95" customHeight="1">
      <c r="A123" s="464" t="s">
        <v>1947</v>
      </c>
      <c r="B123" s="464" t="s">
        <v>1948</v>
      </c>
      <c r="C123" s="464"/>
      <c r="D123" s="464" t="s">
        <v>1709</v>
      </c>
      <c r="E123" s="464" t="s">
        <v>1913</v>
      </c>
      <c r="F123" s="464" t="s">
        <v>1914</v>
      </c>
      <c r="G123" s="464" t="s">
        <v>1832</v>
      </c>
      <c r="H123" s="464" t="s">
        <v>1289</v>
      </c>
      <c r="I123" s="464" t="s">
        <v>1684</v>
      </c>
    </row>
    <row r="124" ht="15.95" customHeight="1">
      <c r="A124" s="464" t="s">
        <v>1949</v>
      </c>
      <c r="B124" s="464" t="s">
        <v>1950</v>
      </c>
      <c r="C124" s="464"/>
      <c r="D124" s="464" t="s">
        <v>1738</v>
      </c>
      <c r="E124" s="464" t="s">
        <v>1951</v>
      </c>
      <c r="F124" s="464" t="s">
        <v>1952</v>
      </c>
      <c r="G124" s="464" t="s">
        <v>1832</v>
      </c>
      <c r="H124" s="464" t="s">
        <v>1289</v>
      </c>
      <c r="I124" s="464" t="s">
        <v>1684</v>
      </c>
    </row>
    <row r="125" ht="15.95" customHeight="1">
      <c r="A125" s="464" t="s">
        <v>1953</v>
      </c>
      <c r="B125" s="464" t="s">
        <v>1954</v>
      </c>
      <c r="C125" s="464"/>
      <c r="D125" s="464" t="s">
        <v>1738</v>
      </c>
      <c r="E125" s="464" t="s">
        <v>1951</v>
      </c>
      <c r="F125" s="464" t="s">
        <v>1952</v>
      </c>
      <c r="G125" s="464" t="s">
        <v>1832</v>
      </c>
      <c r="H125" s="464" t="s">
        <v>1289</v>
      </c>
      <c r="I125" s="464" t="s">
        <v>1684</v>
      </c>
    </row>
    <row r="126" ht="15.95" customHeight="1">
      <c r="A126" s="464" t="s">
        <v>1955</v>
      </c>
      <c r="B126" s="464" t="s">
        <v>1956</v>
      </c>
      <c r="C126" s="464"/>
      <c r="D126" s="464" t="s">
        <v>1709</v>
      </c>
      <c r="E126" s="464" t="s">
        <v>1951</v>
      </c>
      <c r="F126" s="464" t="s">
        <v>1952</v>
      </c>
      <c r="G126" s="464" t="s">
        <v>1832</v>
      </c>
      <c r="H126" s="464" t="s">
        <v>1289</v>
      </c>
      <c r="I126" s="464" t="s">
        <v>1684</v>
      </c>
    </row>
    <row r="127" ht="15.95" customHeight="1">
      <c r="A127" s="464" t="s">
        <v>1957</v>
      </c>
      <c r="B127" s="464" t="s">
        <v>1958</v>
      </c>
      <c r="C127" s="464"/>
      <c r="D127" s="464" t="s">
        <v>1709</v>
      </c>
      <c r="E127" s="464" t="s">
        <v>1951</v>
      </c>
      <c r="F127" s="464" t="s">
        <v>1952</v>
      </c>
      <c r="G127" s="464" t="s">
        <v>1832</v>
      </c>
      <c r="H127" s="464" t="s">
        <v>1289</v>
      </c>
      <c r="I127" s="464" t="s">
        <v>1684</v>
      </c>
    </row>
    <row r="128" ht="15.95" customHeight="1">
      <c r="A128" s="464" t="s">
        <v>1959</v>
      </c>
      <c r="B128" s="464" t="s">
        <v>1960</v>
      </c>
      <c r="C128" s="464"/>
      <c r="D128" s="464" t="s">
        <v>1709</v>
      </c>
      <c r="E128" s="464" t="s">
        <v>1951</v>
      </c>
      <c r="F128" s="464" t="s">
        <v>1952</v>
      </c>
      <c r="G128" s="464" t="s">
        <v>1832</v>
      </c>
      <c r="H128" s="464" t="s">
        <v>1289</v>
      </c>
      <c r="I128" s="464" t="s">
        <v>1684</v>
      </c>
    </row>
    <row r="129" ht="15.95" customHeight="1">
      <c r="A129" s="464" t="s">
        <v>1961</v>
      </c>
      <c r="B129" s="464" t="s">
        <v>1962</v>
      </c>
      <c r="C129" s="464"/>
      <c r="D129" s="464" t="s">
        <v>1709</v>
      </c>
      <c r="E129" s="464" t="s">
        <v>1951</v>
      </c>
      <c r="F129" s="464" t="s">
        <v>1952</v>
      </c>
      <c r="G129" s="464" t="s">
        <v>1832</v>
      </c>
      <c r="H129" s="464" t="s">
        <v>1289</v>
      </c>
      <c r="I129" s="464" t="s">
        <v>1684</v>
      </c>
    </row>
    <row r="130" ht="15.95" customHeight="1">
      <c r="A130" s="464" t="s">
        <v>1963</v>
      </c>
      <c r="B130" s="464" t="s">
        <v>1964</v>
      </c>
      <c r="C130" s="464"/>
      <c r="D130" s="464" t="s">
        <v>1709</v>
      </c>
      <c r="E130" s="464" t="s">
        <v>1951</v>
      </c>
      <c r="F130" s="464" t="s">
        <v>1952</v>
      </c>
      <c r="G130" s="464" t="s">
        <v>1832</v>
      </c>
      <c r="H130" s="464" t="s">
        <v>1289</v>
      </c>
      <c r="I130" s="464" t="s">
        <v>1684</v>
      </c>
    </row>
    <row r="131" ht="15.95" customHeight="1">
      <c r="A131" s="464" t="s">
        <v>1965</v>
      </c>
      <c r="B131" s="464" t="s">
        <v>1966</v>
      </c>
      <c r="C131" s="464"/>
      <c r="D131" s="464" t="s">
        <v>1709</v>
      </c>
      <c r="E131" s="464" t="s">
        <v>1951</v>
      </c>
      <c r="F131" s="464" t="s">
        <v>1952</v>
      </c>
      <c r="G131" s="464" t="s">
        <v>1832</v>
      </c>
      <c r="H131" s="464" t="s">
        <v>1289</v>
      </c>
      <c r="I131" s="464" t="s">
        <v>1684</v>
      </c>
    </row>
    <row r="132" ht="15.95" customHeight="1">
      <c r="A132" s="464" t="s">
        <v>1967</v>
      </c>
      <c r="B132" s="464" t="s">
        <v>1968</v>
      </c>
      <c r="C132" s="464"/>
      <c r="D132" s="464" t="s">
        <v>1709</v>
      </c>
      <c r="E132" s="464" t="s">
        <v>1951</v>
      </c>
      <c r="F132" s="464" t="s">
        <v>1952</v>
      </c>
      <c r="G132" s="464" t="s">
        <v>1832</v>
      </c>
      <c r="H132" s="464" t="s">
        <v>1289</v>
      </c>
      <c r="I132" s="464" t="s">
        <v>1684</v>
      </c>
    </row>
    <row r="133" ht="15.95" customHeight="1">
      <c r="A133" s="464" t="s">
        <v>1969</v>
      </c>
      <c r="B133" s="464" t="s">
        <v>1970</v>
      </c>
      <c r="C133" s="464"/>
      <c r="D133" s="464" t="s">
        <v>1709</v>
      </c>
      <c r="E133" s="464" t="s">
        <v>1951</v>
      </c>
      <c r="F133" s="464" t="s">
        <v>1952</v>
      </c>
      <c r="G133" s="464" t="s">
        <v>1832</v>
      </c>
      <c r="H133" s="464" t="s">
        <v>1289</v>
      </c>
      <c r="I133" s="464" t="s">
        <v>1684</v>
      </c>
    </row>
    <row r="134" ht="15.95" customHeight="1">
      <c r="A134" s="464" t="s">
        <v>1971</v>
      </c>
      <c r="B134" s="464" t="s">
        <v>1972</v>
      </c>
      <c r="C134" s="464"/>
      <c r="D134" s="464" t="s">
        <v>1709</v>
      </c>
      <c r="E134" s="464" t="s">
        <v>1951</v>
      </c>
      <c r="F134" s="464" t="s">
        <v>1952</v>
      </c>
      <c r="G134" s="464" t="s">
        <v>1832</v>
      </c>
      <c r="H134" s="464" t="s">
        <v>1289</v>
      </c>
      <c r="I134" s="464" t="s">
        <v>1684</v>
      </c>
    </row>
    <row r="135" ht="15.95" customHeight="1">
      <c r="A135" s="464" t="s">
        <v>1973</v>
      </c>
      <c r="B135" s="464" t="s">
        <v>1974</v>
      </c>
      <c r="C135" s="464"/>
      <c r="D135" s="464" t="s">
        <v>1709</v>
      </c>
      <c r="E135" s="464" t="s">
        <v>1951</v>
      </c>
      <c r="F135" s="464" t="s">
        <v>1952</v>
      </c>
      <c r="G135" s="464" t="s">
        <v>1832</v>
      </c>
      <c r="H135" s="464" t="s">
        <v>1289</v>
      </c>
      <c r="I135" s="464" t="s">
        <v>1684</v>
      </c>
    </row>
    <row r="136" ht="15.95" customHeight="1">
      <c r="A136" s="464" t="s">
        <v>1975</v>
      </c>
      <c r="B136" s="464" t="s">
        <v>1976</v>
      </c>
      <c r="C136" s="464"/>
      <c r="D136" s="464" t="s">
        <v>1709</v>
      </c>
      <c r="E136" s="464" t="s">
        <v>1951</v>
      </c>
      <c r="F136" s="464" t="s">
        <v>1952</v>
      </c>
      <c r="G136" s="464" t="s">
        <v>1832</v>
      </c>
      <c r="H136" s="464" t="s">
        <v>1289</v>
      </c>
      <c r="I136" s="464" t="s">
        <v>1684</v>
      </c>
    </row>
    <row r="137" ht="15.95" customHeight="1">
      <c r="A137" s="464" t="s">
        <v>1977</v>
      </c>
      <c r="B137" s="464" t="s">
        <v>1978</v>
      </c>
      <c r="C137" s="464"/>
      <c r="D137" s="464" t="s">
        <v>1709</v>
      </c>
      <c r="E137" s="464" t="s">
        <v>1951</v>
      </c>
      <c r="F137" s="464" t="s">
        <v>1952</v>
      </c>
      <c r="G137" s="464" t="s">
        <v>1832</v>
      </c>
      <c r="H137" s="464" t="s">
        <v>1289</v>
      </c>
      <c r="I137" s="464" t="s">
        <v>1684</v>
      </c>
    </row>
    <row r="138" ht="15.95" customHeight="1">
      <c r="A138" s="464" t="s">
        <v>1979</v>
      </c>
      <c r="B138" s="464" t="s">
        <v>1980</v>
      </c>
      <c r="C138" s="464"/>
      <c r="D138" s="464" t="s">
        <v>1709</v>
      </c>
      <c r="E138" s="464" t="s">
        <v>1951</v>
      </c>
      <c r="F138" s="464" t="s">
        <v>1952</v>
      </c>
      <c r="G138" s="464" t="s">
        <v>1832</v>
      </c>
      <c r="H138" s="464" t="s">
        <v>1289</v>
      </c>
      <c r="I138" s="464" t="s">
        <v>1684</v>
      </c>
    </row>
    <row r="139" ht="15.95" customHeight="1">
      <c r="A139" s="464" t="s">
        <v>1981</v>
      </c>
      <c r="B139" s="464" t="s">
        <v>1982</v>
      </c>
      <c r="C139" s="464"/>
      <c r="D139" s="464" t="s">
        <v>1709</v>
      </c>
      <c r="E139" s="464" t="s">
        <v>1951</v>
      </c>
      <c r="F139" s="464" t="s">
        <v>1952</v>
      </c>
      <c r="G139" s="464" t="s">
        <v>1832</v>
      </c>
      <c r="H139" s="464" t="s">
        <v>1289</v>
      </c>
      <c r="I139" s="464" t="s">
        <v>1684</v>
      </c>
    </row>
    <row r="140" ht="15.95" customHeight="1">
      <c r="A140" s="464" t="s">
        <v>1983</v>
      </c>
      <c r="B140" s="464" t="s">
        <v>1984</v>
      </c>
      <c r="C140" s="464"/>
      <c r="D140" s="464" t="s">
        <v>1709</v>
      </c>
      <c r="E140" s="464" t="s">
        <v>1951</v>
      </c>
      <c r="F140" s="464" t="s">
        <v>1952</v>
      </c>
      <c r="G140" s="464" t="s">
        <v>1832</v>
      </c>
      <c r="H140" s="464" t="s">
        <v>1289</v>
      </c>
      <c r="I140" s="464" t="s">
        <v>1684</v>
      </c>
    </row>
    <row r="141" ht="15.95" customHeight="1">
      <c r="A141" s="464" t="s">
        <v>1985</v>
      </c>
      <c r="B141" s="464" t="s">
        <v>1986</v>
      </c>
      <c r="C141" s="464"/>
      <c r="D141" s="464" t="s">
        <v>1738</v>
      </c>
      <c r="E141" s="464" t="s">
        <v>1987</v>
      </c>
      <c r="F141" s="464" t="s">
        <v>1988</v>
      </c>
      <c r="G141" s="464" t="s">
        <v>1832</v>
      </c>
      <c r="H141" s="464" t="s">
        <v>1289</v>
      </c>
      <c r="I141" s="464" t="s">
        <v>1684</v>
      </c>
    </row>
    <row r="142" ht="15.95" customHeight="1">
      <c r="A142" s="464" t="s">
        <v>1989</v>
      </c>
      <c r="B142" s="464" t="s">
        <v>1990</v>
      </c>
      <c r="C142" s="464"/>
      <c r="D142" s="464" t="s">
        <v>1709</v>
      </c>
      <c r="E142" s="464" t="s">
        <v>1987</v>
      </c>
      <c r="F142" s="464" t="s">
        <v>1988</v>
      </c>
      <c r="G142" s="464" t="s">
        <v>1832</v>
      </c>
      <c r="H142" s="464" t="s">
        <v>1289</v>
      </c>
      <c r="I142" s="464" t="s">
        <v>1684</v>
      </c>
    </row>
    <row r="143" ht="15.95" customHeight="1">
      <c r="A143" s="464" t="s">
        <v>1991</v>
      </c>
      <c r="B143" s="464" t="s">
        <v>1992</v>
      </c>
      <c r="C143" s="464"/>
      <c r="D143" s="464" t="s">
        <v>1709</v>
      </c>
      <c r="E143" s="464" t="s">
        <v>1987</v>
      </c>
      <c r="F143" s="464" t="s">
        <v>1988</v>
      </c>
      <c r="G143" s="464" t="s">
        <v>1832</v>
      </c>
      <c r="H143" s="464" t="s">
        <v>1289</v>
      </c>
      <c r="I143" s="464" t="s">
        <v>1684</v>
      </c>
    </row>
    <row r="144" ht="15.95" customHeight="1">
      <c r="A144" s="464" t="s">
        <v>1993</v>
      </c>
      <c r="B144" s="464" t="s">
        <v>1994</v>
      </c>
      <c r="C144" s="464"/>
      <c r="D144" s="464" t="s">
        <v>1709</v>
      </c>
      <c r="E144" s="464" t="s">
        <v>1987</v>
      </c>
      <c r="F144" s="464" t="s">
        <v>1988</v>
      </c>
      <c r="G144" s="464" t="s">
        <v>1832</v>
      </c>
      <c r="H144" s="464" t="s">
        <v>1289</v>
      </c>
      <c r="I144" s="464" t="s">
        <v>1684</v>
      </c>
    </row>
    <row r="145" ht="15.95" customHeight="1">
      <c r="A145" s="464" t="s">
        <v>1995</v>
      </c>
      <c r="B145" s="464" t="s">
        <v>1996</v>
      </c>
      <c r="C145" s="464"/>
      <c r="D145" s="464" t="s">
        <v>1709</v>
      </c>
      <c r="E145" s="464" t="s">
        <v>1987</v>
      </c>
      <c r="F145" s="464" t="s">
        <v>1988</v>
      </c>
      <c r="G145" s="464" t="s">
        <v>1832</v>
      </c>
      <c r="H145" s="464" t="s">
        <v>1289</v>
      </c>
      <c r="I145" s="464" t="s">
        <v>1684</v>
      </c>
    </row>
    <row r="146" ht="15.95" customHeight="1">
      <c r="A146" s="464" t="s">
        <v>1997</v>
      </c>
      <c r="B146" s="464" t="s">
        <v>1998</v>
      </c>
      <c r="C146" s="464"/>
      <c r="D146" s="464" t="s">
        <v>1709</v>
      </c>
      <c r="E146" s="464" t="s">
        <v>1987</v>
      </c>
      <c r="F146" s="464" t="s">
        <v>1988</v>
      </c>
      <c r="G146" s="464" t="s">
        <v>1832</v>
      </c>
      <c r="H146" s="464" t="s">
        <v>1289</v>
      </c>
      <c r="I146" s="464" t="s">
        <v>1684</v>
      </c>
    </row>
    <row r="147" ht="15.95" customHeight="1">
      <c r="A147" s="464" t="s">
        <v>1999</v>
      </c>
      <c r="B147" s="464" t="s">
        <v>2000</v>
      </c>
      <c r="C147" s="464"/>
      <c r="D147" s="464" t="s">
        <v>1709</v>
      </c>
      <c r="E147" s="464" t="s">
        <v>1987</v>
      </c>
      <c r="F147" s="464" t="s">
        <v>1988</v>
      </c>
      <c r="G147" s="464" t="s">
        <v>1832</v>
      </c>
      <c r="H147" s="464" t="s">
        <v>1289</v>
      </c>
      <c r="I147" s="464" t="s">
        <v>1684</v>
      </c>
    </row>
    <row r="148" ht="15.95" customHeight="1">
      <c r="A148" s="464" t="s">
        <v>2001</v>
      </c>
      <c r="B148" s="464" t="s">
        <v>2002</v>
      </c>
      <c r="C148" s="464"/>
      <c r="D148" s="464" t="s">
        <v>1709</v>
      </c>
      <c r="E148" s="464" t="s">
        <v>1987</v>
      </c>
      <c r="F148" s="464" t="s">
        <v>1988</v>
      </c>
      <c r="G148" s="464" t="s">
        <v>1832</v>
      </c>
      <c r="H148" s="464" t="s">
        <v>1289</v>
      </c>
      <c r="I148" s="464" t="s">
        <v>1684</v>
      </c>
    </row>
    <row r="149" ht="15.95" customHeight="1">
      <c r="A149" s="464" t="s">
        <v>2003</v>
      </c>
      <c r="B149" s="464" t="s">
        <v>2004</v>
      </c>
      <c r="C149" s="464"/>
      <c r="D149" s="464" t="s">
        <v>1709</v>
      </c>
      <c r="E149" s="464" t="s">
        <v>1987</v>
      </c>
      <c r="F149" s="464" t="s">
        <v>1988</v>
      </c>
      <c r="G149" s="464" t="s">
        <v>1832</v>
      </c>
      <c r="H149" s="464" t="s">
        <v>1289</v>
      </c>
      <c r="I149" s="464" t="s">
        <v>1684</v>
      </c>
    </row>
    <row r="150" ht="15.95" customHeight="1">
      <c r="A150" s="464" t="s">
        <v>2005</v>
      </c>
      <c r="B150" s="464" t="s">
        <v>2006</v>
      </c>
      <c r="C150" s="464"/>
      <c r="D150" s="464" t="s">
        <v>1709</v>
      </c>
      <c r="E150" s="464" t="s">
        <v>1987</v>
      </c>
      <c r="F150" s="464" t="s">
        <v>1988</v>
      </c>
      <c r="G150" s="464" t="s">
        <v>1832</v>
      </c>
      <c r="H150" s="464" t="s">
        <v>1289</v>
      </c>
      <c r="I150" s="464" t="s">
        <v>1684</v>
      </c>
    </row>
    <row r="151" ht="15.95" customHeight="1">
      <c r="A151" s="464" t="s">
        <v>2007</v>
      </c>
      <c r="B151" s="464" t="s">
        <v>2008</v>
      </c>
      <c r="C151" s="464"/>
      <c r="D151" s="464" t="s">
        <v>1709</v>
      </c>
      <c r="E151" s="464" t="s">
        <v>1987</v>
      </c>
      <c r="F151" s="464" t="s">
        <v>1988</v>
      </c>
      <c r="G151" s="464" t="s">
        <v>1832</v>
      </c>
      <c r="H151" s="464" t="s">
        <v>1289</v>
      </c>
      <c r="I151" s="464" t="s">
        <v>1684</v>
      </c>
    </row>
    <row r="152" ht="15.95" customHeight="1">
      <c r="A152" s="464" t="s">
        <v>2009</v>
      </c>
      <c r="B152" s="464" t="s">
        <v>2010</v>
      </c>
      <c r="C152" s="464"/>
      <c r="D152" s="464" t="s">
        <v>1709</v>
      </c>
      <c r="E152" s="464" t="s">
        <v>1987</v>
      </c>
      <c r="F152" s="464" t="s">
        <v>1988</v>
      </c>
      <c r="G152" s="464" t="s">
        <v>1832</v>
      </c>
      <c r="H152" s="464" t="s">
        <v>1289</v>
      </c>
      <c r="I152" s="464" t="s">
        <v>1684</v>
      </c>
    </row>
    <row r="153" ht="15.95" customHeight="1">
      <c r="A153" s="464" t="s">
        <v>2011</v>
      </c>
      <c r="B153" s="464" t="s">
        <v>2012</v>
      </c>
      <c r="C153" s="464"/>
      <c r="D153" s="464" t="s">
        <v>1709</v>
      </c>
      <c r="E153" s="464" t="s">
        <v>1987</v>
      </c>
      <c r="F153" s="464" t="s">
        <v>1988</v>
      </c>
      <c r="G153" s="464" t="s">
        <v>1832</v>
      </c>
      <c r="H153" s="464" t="s">
        <v>1289</v>
      </c>
      <c r="I153" s="464" t="s">
        <v>1684</v>
      </c>
    </row>
    <row r="154" ht="15.95" customHeight="1">
      <c r="A154" s="464" t="s">
        <v>2013</v>
      </c>
      <c r="B154" s="464" t="s">
        <v>2014</v>
      </c>
      <c r="C154" s="464"/>
      <c r="D154" s="464" t="s">
        <v>1738</v>
      </c>
      <c r="E154" s="464" t="s">
        <v>2015</v>
      </c>
      <c r="F154" s="464" t="s">
        <v>2016</v>
      </c>
      <c r="G154" s="464" t="s">
        <v>1832</v>
      </c>
      <c r="H154" s="464" t="s">
        <v>1289</v>
      </c>
      <c r="I154" s="464" t="s">
        <v>1684</v>
      </c>
    </row>
    <row r="155" ht="15.95" customHeight="1">
      <c r="A155" s="464" t="s">
        <v>2017</v>
      </c>
      <c r="B155" s="464" t="s">
        <v>2018</v>
      </c>
      <c r="C155" s="464"/>
      <c r="D155" s="464" t="s">
        <v>1709</v>
      </c>
      <c r="E155" s="464" t="s">
        <v>2015</v>
      </c>
      <c r="F155" s="464" t="s">
        <v>2016</v>
      </c>
      <c r="G155" s="464" t="s">
        <v>1832</v>
      </c>
      <c r="H155" s="464" t="s">
        <v>1289</v>
      </c>
      <c r="I155" s="464" t="s">
        <v>1684</v>
      </c>
    </row>
    <row r="156" ht="15.95" customHeight="1">
      <c r="A156" s="464" t="s">
        <v>2019</v>
      </c>
      <c r="B156" s="464" t="s">
        <v>2020</v>
      </c>
      <c r="C156" s="464"/>
      <c r="D156" s="464" t="s">
        <v>1709</v>
      </c>
      <c r="E156" s="464" t="s">
        <v>2015</v>
      </c>
      <c r="F156" s="464" t="s">
        <v>2016</v>
      </c>
      <c r="G156" s="464" t="s">
        <v>1832</v>
      </c>
      <c r="H156" s="464" t="s">
        <v>1289</v>
      </c>
      <c r="I156" s="464" t="s">
        <v>1684</v>
      </c>
    </row>
    <row r="157" ht="15.95" customHeight="1">
      <c r="A157" s="464" t="s">
        <v>2021</v>
      </c>
      <c r="B157" s="464" t="s">
        <v>2022</v>
      </c>
      <c r="C157" s="464"/>
      <c r="D157" s="464" t="s">
        <v>1709</v>
      </c>
      <c r="E157" s="464" t="s">
        <v>2015</v>
      </c>
      <c r="F157" s="464" t="s">
        <v>2016</v>
      </c>
      <c r="G157" s="464" t="s">
        <v>1832</v>
      </c>
      <c r="H157" s="464" t="s">
        <v>1289</v>
      </c>
      <c r="I157" s="464" t="s">
        <v>1684</v>
      </c>
    </row>
    <row r="158" ht="15.95" customHeight="1">
      <c r="A158" s="464" t="s">
        <v>2023</v>
      </c>
      <c r="B158" s="464" t="s">
        <v>2024</v>
      </c>
      <c r="C158" s="464"/>
      <c r="D158" s="464" t="s">
        <v>1709</v>
      </c>
      <c r="E158" s="464" t="s">
        <v>2015</v>
      </c>
      <c r="F158" s="464" t="s">
        <v>2016</v>
      </c>
      <c r="G158" s="464" t="s">
        <v>1832</v>
      </c>
      <c r="H158" s="464" t="s">
        <v>1289</v>
      </c>
      <c r="I158" s="464" t="s">
        <v>1684</v>
      </c>
    </row>
    <row r="159" ht="15.95" customHeight="1">
      <c r="A159" s="464" t="s">
        <v>2025</v>
      </c>
      <c r="B159" s="464" t="s">
        <v>2026</v>
      </c>
      <c r="C159" s="464"/>
      <c r="D159" s="464" t="s">
        <v>1709</v>
      </c>
      <c r="E159" s="464" t="s">
        <v>2015</v>
      </c>
      <c r="F159" s="464" t="s">
        <v>2016</v>
      </c>
      <c r="G159" s="464" t="s">
        <v>1832</v>
      </c>
      <c r="H159" s="464" t="s">
        <v>1289</v>
      </c>
      <c r="I159" s="464" t="s">
        <v>1684</v>
      </c>
    </row>
    <row r="160" ht="15.95" customHeight="1">
      <c r="A160" s="464" t="s">
        <v>2027</v>
      </c>
      <c r="B160" s="464" t="s">
        <v>2028</v>
      </c>
      <c r="C160" s="464"/>
      <c r="D160" s="464" t="s">
        <v>1709</v>
      </c>
      <c r="E160" s="464" t="s">
        <v>2015</v>
      </c>
      <c r="F160" s="464" t="s">
        <v>2016</v>
      </c>
      <c r="G160" s="464" t="s">
        <v>1832</v>
      </c>
      <c r="H160" s="464" t="s">
        <v>1289</v>
      </c>
      <c r="I160" s="464" t="s">
        <v>1684</v>
      </c>
    </row>
    <row r="161" ht="15.95" customHeight="1">
      <c r="A161" s="464" t="s">
        <v>2029</v>
      </c>
      <c r="B161" s="464" t="s">
        <v>2030</v>
      </c>
      <c r="C161" s="464"/>
      <c r="D161" s="464" t="s">
        <v>1709</v>
      </c>
      <c r="E161" s="464" t="s">
        <v>2015</v>
      </c>
      <c r="F161" s="464" t="s">
        <v>2016</v>
      </c>
      <c r="G161" s="464" t="s">
        <v>1832</v>
      </c>
      <c r="H161" s="464" t="s">
        <v>1289</v>
      </c>
      <c r="I161" s="464" t="s">
        <v>1684</v>
      </c>
    </row>
    <row r="162" ht="15.95" customHeight="1">
      <c r="A162" s="464" t="s">
        <v>2031</v>
      </c>
      <c r="B162" s="464" t="s">
        <v>2032</v>
      </c>
      <c r="C162" s="464"/>
      <c r="D162" s="464" t="s">
        <v>1709</v>
      </c>
      <c r="E162" s="464" t="s">
        <v>2015</v>
      </c>
      <c r="F162" s="464" t="s">
        <v>2016</v>
      </c>
      <c r="G162" s="464" t="s">
        <v>1832</v>
      </c>
      <c r="H162" s="464" t="s">
        <v>1289</v>
      </c>
      <c r="I162" s="464" t="s">
        <v>1684</v>
      </c>
    </row>
    <row r="163" ht="15.95" customHeight="1">
      <c r="A163" s="464" t="s">
        <v>2033</v>
      </c>
      <c r="B163" s="464" t="s">
        <v>2034</v>
      </c>
      <c r="C163" s="464"/>
      <c r="D163" s="464" t="s">
        <v>1709</v>
      </c>
      <c r="E163" s="464" t="s">
        <v>2015</v>
      </c>
      <c r="F163" s="464" t="s">
        <v>2016</v>
      </c>
      <c r="G163" s="464" t="s">
        <v>1832</v>
      </c>
      <c r="H163" s="464" t="s">
        <v>1289</v>
      </c>
      <c r="I163" s="464" t="s">
        <v>1684</v>
      </c>
    </row>
    <row r="164" ht="15.95" customHeight="1">
      <c r="A164" s="464" t="s">
        <v>2035</v>
      </c>
      <c r="B164" s="464" t="s">
        <v>2036</v>
      </c>
      <c r="C164" s="464"/>
      <c r="D164" s="464" t="s">
        <v>1709</v>
      </c>
      <c r="E164" s="464" t="s">
        <v>2015</v>
      </c>
      <c r="F164" s="464" t="s">
        <v>2016</v>
      </c>
      <c r="G164" s="464" t="s">
        <v>1832</v>
      </c>
      <c r="H164" s="464" t="s">
        <v>1289</v>
      </c>
      <c r="I164" s="464" t="s">
        <v>1684</v>
      </c>
    </row>
    <row r="165" ht="15.95" customHeight="1">
      <c r="A165" s="464" t="s">
        <v>2037</v>
      </c>
      <c r="B165" s="464" t="s">
        <v>2038</v>
      </c>
      <c r="C165" s="464"/>
      <c r="D165" s="464" t="s">
        <v>1709</v>
      </c>
      <c r="E165" s="464" t="s">
        <v>2015</v>
      </c>
      <c r="F165" s="464" t="s">
        <v>2016</v>
      </c>
      <c r="G165" s="464" t="s">
        <v>1832</v>
      </c>
      <c r="H165" s="464" t="s">
        <v>1289</v>
      </c>
      <c r="I165" s="464" t="s">
        <v>1684</v>
      </c>
    </row>
    <row r="166" ht="15.95" customHeight="1">
      <c r="A166" s="464" t="s">
        <v>2039</v>
      </c>
      <c r="B166" s="464" t="s">
        <v>2040</v>
      </c>
      <c r="C166" s="464"/>
      <c r="D166" s="464" t="s">
        <v>1709</v>
      </c>
      <c r="E166" s="464" t="s">
        <v>2015</v>
      </c>
      <c r="F166" s="464" t="s">
        <v>2016</v>
      </c>
      <c r="G166" s="464" t="s">
        <v>1832</v>
      </c>
      <c r="H166" s="464" t="s">
        <v>1289</v>
      </c>
      <c r="I166" s="464" t="s">
        <v>1684</v>
      </c>
    </row>
    <row r="167" ht="15.95" customHeight="1">
      <c r="A167" s="464" t="s">
        <v>2041</v>
      </c>
      <c r="B167" s="464" t="s">
        <v>2042</v>
      </c>
      <c r="C167" s="464"/>
      <c r="D167" s="464" t="s">
        <v>1709</v>
      </c>
      <c r="E167" s="464" t="s">
        <v>2015</v>
      </c>
      <c r="F167" s="464" t="s">
        <v>2016</v>
      </c>
      <c r="G167" s="464" t="s">
        <v>1832</v>
      </c>
      <c r="H167" s="464" t="s">
        <v>1289</v>
      </c>
      <c r="I167" s="464" t="s">
        <v>1684</v>
      </c>
    </row>
    <row r="168" ht="15.95" customHeight="1">
      <c r="A168" s="464" t="s">
        <v>2043</v>
      </c>
      <c r="B168" s="464" t="s">
        <v>2044</v>
      </c>
      <c r="C168" s="464"/>
      <c r="D168" s="464" t="s">
        <v>1738</v>
      </c>
      <c r="E168" s="464" t="s">
        <v>2045</v>
      </c>
      <c r="F168" s="464" t="s">
        <v>2046</v>
      </c>
      <c r="G168" s="464" t="s">
        <v>1832</v>
      </c>
      <c r="H168" s="464" t="s">
        <v>1289</v>
      </c>
      <c r="I168" s="464" t="s">
        <v>1684</v>
      </c>
    </row>
    <row r="169" ht="15.95" customHeight="1">
      <c r="A169" s="464" t="s">
        <v>2047</v>
      </c>
      <c r="B169" s="464" t="s">
        <v>2048</v>
      </c>
      <c r="C169" s="464"/>
      <c r="D169" s="464" t="s">
        <v>1738</v>
      </c>
      <c r="E169" s="464" t="s">
        <v>2045</v>
      </c>
      <c r="F169" s="464" t="s">
        <v>2046</v>
      </c>
      <c r="G169" s="464" t="s">
        <v>1832</v>
      </c>
      <c r="H169" s="464" t="s">
        <v>1289</v>
      </c>
      <c r="I169" s="464" t="s">
        <v>1684</v>
      </c>
    </row>
    <row r="170" ht="15.95" customHeight="1">
      <c r="A170" s="464" t="s">
        <v>2049</v>
      </c>
      <c r="B170" s="464" t="s">
        <v>2050</v>
      </c>
      <c r="C170" s="464"/>
      <c r="D170" s="464" t="s">
        <v>1709</v>
      </c>
      <c r="E170" s="464" t="s">
        <v>2045</v>
      </c>
      <c r="F170" s="464" t="s">
        <v>2046</v>
      </c>
      <c r="G170" s="464" t="s">
        <v>1832</v>
      </c>
      <c r="H170" s="464" t="s">
        <v>1289</v>
      </c>
      <c r="I170" s="464" t="s">
        <v>1684</v>
      </c>
    </row>
    <row r="171" ht="15.95" customHeight="1">
      <c r="A171" s="464" t="s">
        <v>2051</v>
      </c>
      <c r="B171" s="464" t="s">
        <v>2052</v>
      </c>
      <c r="C171" s="464"/>
      <c r="D171" s="464" t="s">
        <v>1709</v>
      </c>
      <c r="E171" s="464" t="s">
        <v>2045</v>
      </c>
      <c r="F171" s="464" t="s">
        <v>2046</v>
      </c>
      <c r="G171" s="464" t="s">
        <v>1832</v>
      </c>
      <c r="H171" s="464" t="s">
        <v>1289</v>
      </c>
      <c r="I171" s="464" t="s">
        <v>1684</v>
      </c>
    </row>
    <row r="172" ht="15.95" customHeight="1">
      <c r="A172" s="464" t="s">
        <v>2053</v>
      </c>
      <c r="B172" s="464" t="s">
        <v>2054</v>
      </c>
      <c r="C172" s="464"/>
      <c r="D172" s="464" t="s">
        <v>1709</v>
      </c>
      <c r="E172" s="464" t="s">
        <v>2045</v>
      </c>
      <c r="F172" s="464" t="s">
        <v>2046</v>
      </c>
      <c r="G172" s="464" t="s">
        <v>1832</v>
      </c>
      <c r="H172" s="464" t="s">
        <v>1289</v>
      </c>
      <c r="I172" s="464" t="s">
        <v>1684</v>
      </c>
    </row>
    <row r="173" ht="15.95" customHeight="1">
      <c r="A173" s="464" t="s">
        <v>2055</v>
      </c>
      <c r="B173" s="464" t="s">
        <v>2056</v>
      </c>
      <c r="C173" s="464"/>
      <c r="D173" s="464" t="s">
        <v>1709</v>
      </c>
      <c r="E173" s="464" t="s">
        <v>2045</v>
      </c>
      <c r="F173" s="464" t="s">
        <v>2046</v>
      </c>
      <c r="G173" s="464" t="s">
        <v>1832</v>
      </c>
      <c r="H173" s="464" t="s">
        <v>1289</v>
      </c>
      <c r="I173" s="464" t="s">
        <v>1684</v>
      </c>
    </row>
    <row r="174" ht="15.95" customHeight="1">
      <c r="A174" s="464" t="s">
        <v>2057</v>
      </c>
      <c r="B174" s="464" t="s">
        <v>2058</v>
      </c>
      <c r="C174" s="464"/>
      <c r="D174" s="464" t="s">
        <v>1709</v>
      </c>
      <c r="E174" s="464" t="s">
        <v>2045</v>
      </c>
      <c r="F174" s="464" t="s">
        <v>2046</v>
      </c>
      <c r="G174" s="464" t="s">
        <v>1832</v>
      </c>
      <c r="H174" s="464" t="s">
        <v>1289</v>
      </c>
      <c r="I174" s="464" t="s">
        <v>1684</v>
      </c>
    </row>
    <row r="175" ht="15.95" customHeight="1">
      <c r="A175" s="464" t="s">
        <v>2059</v>
      </c>
      <c r="B175" s="464" t="s">
        <v>2060</v>
      </c>
      <c r="C175" s="464"/>
      <c r="D175" s="464" t="s">
        <v>1709</v>
      </c>
      <c r="E175" s="464" t="s">
        <v>2045</v>
      </c>
      <c r="F175" s="464" t="s">
        <v>2046</v>
      </c>
      <c r="G175" s="464" t="s">
        <v>1832</v>
      </c>
      <c r="H175" s="464" t="s">
        <v>1289</v>
      </c>
      <c r="I175" s="464" t="s">
        <v>1684</v>
      </c>
    </row>
    <row r="176" ht="15.95" customHeight="1">
      <c r="A176" s="464" t="s">
        <v>2061</v>
      </c>
      <c r="B176" s="464" t="s">
        <v>2062</v>
      </c>
      <c r="C176" s="464"/>
      <c r="D176" s="464" t="s">
        <v>1709</v>
      </c>
      <c r="E176" s="464" t="s">
        <v>2045</v>
      </c>
      <c r="F176" s="464" t="s">
        <v>2046</v>
      </c>
      <c r="G176" s="464" t="s">
        <v>1832</v>
      </c>
      <c r="H176" s="464" t="s">
        <v>1289</v>
      </c>
      <c r="I176" s="464" t="s">
        <v>1684</v>
      </c>
    </row>
    <row r="177" ht="15.95" customHeight="1">
      <c r="A177" s="464" t="s">
        <v>2063</v>
      </c>
      <c r="B177" s="464" t="s">
        <v>2064</v>
      </c>
      <c r="C177" s="464"/>
      <c r="D177" s="464" t="s">
        <v>1709</v>
      </c>
      <c r="E177" s="464" t="s">
        <v>2045</v>
      </c>
      <c r="F177" s="464" t="s">
        <v>2046</v>
      </c>
      <c r="G177" s="464" t="s">
        <v>1832</v>
      </c>
      <c r="H177" s="464" t="s">
        <v>1289</v>
      </c>
      <c r="I177" s="464" t="s">
        <v>1684</v>
      </c>
    </row>
    <row r="178" ht="15.95" customHeight="1">
      <c r="A178" s="464" t="s">
        <v>2065</v>
      </c>
      <c r="B178" s="464" t="s">
        <v>2066</v>
      </c>
      <c r="C178" s="464"/>
      <c r="D178" s="464" t="s">
        <v>1709</v>
      </c>
      <c r="E178" s="464" t="s">
        <v>2045</v>
      </c>
      <c r="F178" s="464" t="s">
        <v>2046</v>
      </c>
      <c r="G178" s="464" t="s">
        <v>1832</v>
      </c>
      <c r="H178" s="464" t="s">
        <v>1289</v>
      </c>
      <c r="I178" s="464" t="s">
        <v>1684</v>
      </c>
    </row>
    <row r="179" ht="15.95" customHeight="1">
      <c r="A179" s="464" t="s">
        <v>2067</v>
      </c>
      <c r="B179" s="464" t="s">
        <v>2068</v>
      </c>
      <c r="C179" s="464"/>
      <c r="D179" s="464" t="s">
        <v>1709</v>
      </c>
      <c r="E179" s="464" t="s">
        <v>2045</v>
      </c>
      <c r="F179" s="464" t="s">
        <v>2046</v>
      </c>
      <c r="G179" s="464" t="s">
        <v>1832</v>
      </c>
      <c r="H179" s="464" t="s">
        <v>1289</v>
      </c>
      <c r="I179" s="464" t="s">
        <v>1684</v>
      </c>
    </row>
    <row r="180" ht="15.95" customHeight="1">
      <c r="A180" s="464" t="s">
        <v>2069</v>
      </c>
      <c r="B180" s="464" t="s">
        <v>2070</v>
      </c>
      <c r="C180" s="464"/>
      <c r="D180" s="464" t="s">
        <v>1709</v>
      </c>
      <c r="E180" s="464" t="s">
        <v>2045</v>
      </c>
      <c r="F180" s="464" t="s">
        <v>2046</v>
      </c>
      <c r="G180" s="464" t="s">
        <v>1832</v>
      </c>
      <c r="H180" s="464" t="s">
        <v>1289</v>
      </c>
      <c r="I180" s="464" t="s">
        <v>1684</v>
      </c>
    </row>
    <row r="181" ht="15.95" customHeight="1">
      <c r="A181" s="464" t="s">
        <v>2071</v>
      </c>
      <c r="B181" s="464" t="s">
        <v>2072</v>
      </c>
      <c r="C181" s="464"/>
      <c r="D181" s="464" t="s">
        <v>1738</v>
      </c>
      <c r="E181" s="464" t="s">
        <v>2073</v>
      </c>
      <c r="F181" s="464" t="s">
        <v>2074</v>
      </c>
      <c r="G181" s="464" t="s">
        <v>1832</v>
      </c>
      <c r="H181" s="464" t="s">
        <v>1289</v>
      </c>
      <c r="I181" s="464" t="s">
        <v>1684</v>
      </c>
    </row>
    <row r="182" ht="15.95" customHeight="1">
      <c r="A182" s="464" t="s">
        <v>2075</v>
      </c>
      <c r="B182" s="464" t="s">
        <v>2076</v>
      </c>
      <c r="C182" s="464"/>
      <c r="D182" s="464" t="s">
        <v>1738</v>
      </c>
      <c r="E182" s="464" t="s">
        <v>2073</v>
      </c>
      <c r="F182" s="464" t="s">
        <v>2074</v>
      </c>
      <c r="G182" s="464" t="s">
        <v>1832</v>
      </c>
      <c r="H182" s="464" t="s">
        <v>1289</v>
      </c>
      <c r="I182" s="464" t="s">
        <v>1684</v>
      </c>
    </row>
    <row r="183" ht="15.95" customHeight="1">
      <c r="A183" s="464" t="s">
        <v>2077</v>
      </c>
      <c r="B183" s="464" t="s">
        <v>2078</v>
      </c>
      <c r="C183" s="464"/>
      <c r="D183" s="464" t="s">
        <v>1709</v>
      </c>
      <c r="E183" s="464" t="s">
        <v>2073</v>
      </c>
      <c r="F183" s="464" t="s">
        <v>2074</v>
      </c>
      <c r="G183" s="464" t="s">
        <v>1832</v>
      </c>
      <c r="H183" s="464" t="s">
        <v>1289</v>
      </c>
      <c r="I183" s="464" t="s">
        <v>1684</v>
      </c>
    </row>
    <row r="184" ht="15.95" customHeight="1">
      <c r="A184" s="464" t="s">
        <v>2079</v>
      </c>
      <c r="B184" s="464" t="s">
        <v>2080</v>
      </c>
      <c r="C184" s="464"/>
      <c r="D184" s="464" t="s">
        <v>1709</v>
      </c>
      <c r="E184" s="464" t="s">
        <v>2073</v>
      </c>
      <c r="F184" s="464" t="s">
        <v>2074</v>
      </c>
      <c r="G184" s="464" t="s">
        <v>1832</v>
      </c>
      <c r="H184" s="464" t="s">
        <v>1289</v>
      </c>
      <c r="I184" s="464" t="s">
        <v>1684</v>
      </c>
    </row>
    <row r="185" ht="15.95" customHeight="1">
      <c r="A185" s="464" t="s">
        <v>2081</v>
      </c>
      <c r="B185" s="464" t="s">
        <v>2082</v>
      </c>
      <c r="C185" s="464"/>
      <c r="D185" s="464" t="s">
        <v>1709</v>
      </c>
      <c r="E185" s="464" t="s">
        <v>2073</v>
      </c>
      <c r="F185" s="464" t="s">
        <v>2074</v>
      </c>
      <c r="G185" s="464" t="s">
        <v>1832</v>
      </c>
      <c r="H185" s="464" t="s">
        <v>1289</v>
      </c>
      <c r="I185" s="464" t="s">
        <v>1684</v>
      </c>
    </row>
    <row r="186" ht="15.95" customHeight="1">
      <c r="A186" s="464" t="s">
        <v>2083</v>
      </c>
      <c r="B186" s="464" t="s">
        <v>2084</v>
      </c>
      <c r="C186" s="464"/>
      <c r="D186" s="464" t="s">
        <v>1709</v>
      </c>
      <c r="E186" s="464" t="s">
        <v>2073</v>
      </c>
      <c r="F186" s="464" t="s">
        <v>2074</v>
      </c>
      <c r="G186" s="464" t="s">
        <v>1832</v>
      </c>
      <c r="H186" s="464" t="s">
        <v>1289</v>
      </c>
      <c r="I186" s="464" t="s">
        <v>1684</v>
      </c>
    </row>
    <row r="187" ht="15.95" customHeight="1">
      <c r="A187" s="464" t="s">
        <v>2085</v>
      </c>
      <c r="B187" s="464" t="s">
        <v>2086</v>
      </c>
      <c r="C187" s="464"/>
      <c r="D187" s="464" t="s">
        <v>1709</v>
      </c>
      <c r="E187" s="464" t="s">
        <v>2073</v>
      </c>
      <c r="F187" s="464" t="s">
        <v>2074</v>
      </c>
      <c r="G187" s="464" t="s">
        <v>1832</v>
      </c>
      <c r="H187" s="464" t="s">
        <v>1289</v>
      </c>
      <c r="I187" s="464" t="s">
        <v>1684</v>
      </c>
    </row>
    <row r="188" ht="15.95" customHeight="1">
      <c r="A188" s="464" t="s">
        <v>2087</v>
      </c>
      <c r="B188" s="464" t="s">
        <v>2066</v>
      </c>
      <c r="C188" s="464"/>
      <c r="D188" s="464" t="s">
        <v>1709</v>
      </c>
      <c r="E188" s="464" t="s">
        <v>2073</v>
      </c>
      <c r="F188" s="464" t="s">
        <v>2074</v>
      </c>
      <c r="G188" s="464" t="s">
        <v>1832</v>
      </c>
      <c r="H188" s="464" t="s">
        <v>1289</v>
      </c>
      <c r="I188" s="464" t="s">
        <v>1684</v>
      </c>
    </row>
    <row r="189" ht="15.95" customHeight="1">
      <c r="A189" s="464" t="s">
        <v>2088</v>
      </c>
      <c r="B189" s="464" t="s">
        <v>2089</v>
      </c>
      <c r="C189" s="464"/>
      <c r="D189" s="464" t="s">
        <v>1709</v>
      </c>
      <c r="E189" s="464" t="s">
        <v>2073</v>
      </c>
      <c r="F189" s="464" t="s">
        <v>2074</v>
      </c>
      <c r="G189" s="464" t="s">
        <v>1832</v>
      </c>
      <c r="H189" s="464" t="s">
        <v>1289</v>
      </c>
      <c r="I189" s="464" t="s">
        <v>1684</v>
      </c>
    </row>
    <row r="190" ht="15.95" customHeight="1">
      <c r="A190" s="464" t="s">
        <v>2090</v>
      </c>
      <c r="B190" s="464" t="s">
        <v>2091</v>
      </c>
      <c r="C190" s="464"/>
      <c r="D190" s="464" t="s">
        <v>1709</v>
      </c>
      <c r="E190" s="464" t="s">
        <v>2073</v>
      </c>
      <c r="F190" s="464" t="s">
        <v>2074</v>
      </c>
      <c r="G190" s="464" t="s">
        <v>1832</v>
      </c>
      <c r="H190" s="464" t="s">
        <v>1289</v>
      </c>
      <c r="I190" s="464" t="s">
        <v>1684</v>
      </c>
    </row>
    <row r="191" ht="15.95" customHeight="1">
      <c r="A191" s="464" t="s">
        <v>2092</v>
      </c>
      <c r="B191" s="464" t="s">
        <v>2093</v>
      </c>
      <c r="C191" s="464"/>
      <c r="D191" s="464" t="s">
        <v>1709</v>
      </c>
      <c r="E191" s="464" t="s">
        <v>2094</v>
      </c>
      <c r="F191" s="464" t="s">
        <v>2095</v>
      </c>
      <c r="G191" s="464" t="s">
        <v>1832</v>
      </c>
      <c r="H191" s="464" t="s">
        <v>1289</v>
      </c>
      <c r="I191" s="464" t="s">
        <v>1684</v>
      </c>
    </row>
    <row r="192" ht="15.95" customHeight="1">
      <c r="A192" s="464" t="s">
        <v>2096</v>
      </c>
      <c r="B192" s="464" t="s">
        <v>2097</v>
      </c>
      <c r="C192" s="464"/>
      <c r="D192" s="464" t="s">
        <v>1709</v>
      </c>
      <c r="E192" s="464" t="s">
        <v>2094</v>
      </c>
      <c r="F192" s="464" t="s">
        <v>2095</v>
      </c>
      <c r="G192" s="464" t="s">
        <v>1832</v>
      </c>
      <c r="H192" s="464" t="s">
        <v>1289</v>
      </c>
      <c r="I192" s="464" t="s">
        <v>1684</v>
      </c>
    </row>
    <row r="193" ht="15.95" customHeight="1">
      <c r="A193" s="464" t="s">
        <v>2098</v>
      </c>
      <c r="B193" s="464" t="s">
        <v>2099</v>
      </c>
      <c r="C193" s="464"/>
      <c r="D193" s="464" t="s">
        <v>1709</v>
      </c>
      <c r="E193" s="464" t="s">
        <v>2094</v>
      </c>
      <c r="F193" s="464" t="s">
        <v>2095</v>
      </c>
      <c r="G193" s="464" t="s">
        <v>1832</v>
      </c>
      <c r="H193" s="464" t="s">
        <v>1289</v>
      </c>
      <c r="I193" s="464" t="s">
        <v>1684</v>
      </c>
    </row>
    <row r="194" ht="15.95" customHeight="1">
      <c r="A194" s="464" t="s">
        <v>2100</v>
      </c>
      <c r="B194" s="464" t="s">
        <v>1281</v>
      </c>
      <c r="C194" s="464"/>
      <c r="D194" s="464" t="s">
        <v>1679</v>
      </c>
      <c r="E194" s="464" t="s">
        <v>2101</v>
      </c>
      <c r="F194" s="464" t="s">
        <v>2102</v>
      </c>
      <c r="G194" s="464" t="s">
        <v>2103</v>
      </c>
      <c r="H194" s="464" t="s">
        <v>2104</v>
      </c>
      <c r="I194" s="464" t="s">
        <v>1684</v>
      </c>
    </row>
    <row r="195" ht="15.95" customHeight="1">
      <c r="A195" s="464" t="s">
        <v>2105</v>
      </c>
      <c r="B195" s="464" t="s">
        <v>1279</v>
      </c>
      <c r="C195" s="464"/>
      <c r="D195" s="464" t="s">
        <v>1679</v>
      </c>
      <c r="E195" s="464" t="s">
        <v>2101</v>
      </c>
      <c r="F195" s="464" t="s">
        <v>2102</v>
      </c>
      <c r="G195" s="464" t="s">
        <v>2103</v>
      </c>
      <c r="H195" s="464" t="s">
        <v>2104</v>
      </c>
      <c r="I195" s="464" t="s">
        <v>1684</v>
      </c>
    </row>
    <row r="196" ht="15.95" customHeight="1">
      <c r="A196" s="464" t="s">
        <v>2106</v>
      </c>
      <c r="B196" s="464" t="s">
        <v>2107</v>
      </c>
      <c r="C196" s="464"/>
      <c r="D196" s="464" t="s">
        <v>1679</v>
      </c>
      <c r="E196" s="464" t="s">
        <v>2101</v>
      </c>
      <c r="F196" s="464" t="s">
        <v>2102</v>
      </c>
      <c r="G196" s="464" t="s">
        <v>2103</v>
      </c>
      <c r="H196" s="464" t="s">
        <v>2104</v>
      </c>
      <c r="I196" s="464" t="s">
        <v>1684</v>
      </c>
    </row>
    <row r="197" ht="15.95" customHeight="1">
      <c r="A197" s="464" t="s">
        <v>2108</v>
      </c>
      <c r="B197" s="464" t="s">
        <v>1266</v>
      </c>
      <c r="C197" s="464"/>
      <c r="D197" s="464" t="s">
        <v>1679</v>
      </c>
      <c r="E197" s="464" t="s">
        <v>2101</v>
      </c>
      <c r="F197" s="464" t="s">
        <v>2102</v>
      </c>
      <c r="G197" s="464" t="s">
        <v>2103</v>
      </c>
      <c r="H197" s="464" t="s">
        <v>2104</v>
      </c>
      <c r="I197" s="464" t="s">
        <v>1684</v>
      </c>
    </row>
    <row r="198" ht="15.95" customHeight="1">
      <c r="A198" s="464" t="s">
        <v>2109</v>
      </c>
      <c r="B198" s="464" t="s">
        <v>2110</v>
      </c>
      <c r="C198" s="464"/>
      <c r="D198" s="464" t="s">
        <v>1679</v>
      </c>
      <c r="E198" s="464" t="s">
        <v>2101</v>
      </c>
      <c r="F198" s="464" t="s">
        <v>2102</v>
      </c>
      <c r="G198" s="464" t="s">
        <v>2103</v>
      </c>
      <c r="H198" s="464" t="s">
        <v>2104</v>
      </c>
      <c r="I198" s="464" t="s">
        <v>1684</v>
      </c>
    </row>
    <row r="199" ht="15.95" customHeight="1">
      <c r="A199" s="464" t="s">
        <v>2111</v>
      </c>
      <c r="B199" s="464" t="s">
        <v>1287</v>
      </c>
      <c r="C199" s="464"/>
      <c r="D199" s="464" t="s">
        <v>1679</v>
      </c>
      <c r="E199" s="464" t="s">
        <v>2101</v>
      </c>
      <c r="F199" s="464" t="s">
        <v>2102</v>
      </c>
      <c r="G199" s="464" t="s">
        <v>2103</v>
      </c>
      <c r="H199" s="464" t="s">
        <v>2104</v>
      </c>
      <c r="I199" s="464" t="s">
        <v>1684</v>
      </c>
    </row>
    <row r="200" ht="15.95" customHeight="1">
      <c r="A200" s="464" t="s">
        <v>2112</v>
      </c>
      <c r="B200" s="464" t="s">
        <v>2113</v>
      </c>
      <c r="C200" s="464"/>
      <c r="D200" s="464" t="s">
        <v>1679</v>
      </c>
      <c r="E200" s="464" t="s">
        <v>2101</v>
      </c>
      <c r="F200" s="464" t="s">
        <v>2102</v>
      </c>
      <c r="G200" s="464" t="s">
        <v>2103</v>
      </c>
      <c r="H200" s="464" t="s">
        <v>2104</v>
      </c>
      <c r="I200" s="464" t="s">
        <v>1684</v>
      </c>
    </row>
    <row r="201" ht="15.95" customHeight="1">
      <c r="A201" s="464" t="s">
        <v>2114</v>
      </c>
      <c r="B201" s="464" t="s">
        <v>2115</v>
      </c>
      <c r="C201" s="464"/>
      <c r="D201" s="464" t="s">
        <v>1679</v>
      </c>
      <c r="E201" s="464" t="s">
        <v>2101</v>
      </c>
      <c r="F201" s="464" t="s">
        <v>2102</v>
      </c>
      <c r="G201" s="464" t="s">
        <v>2103</v>
      </c>
      <c r="H201" s="464" t="s">
        <v>2104</v>
      </c>
      <c r="I201" s="464" t="s">
        <v>1684</v>
      </c>
    </row>
    <row r="202" ht="15.95" customHeight="1">
      <c r="A202" s="464" t="s">
        <v>2116</v>
      </c>
      <c r="B202" s="464" t="s">
        <v>1282</v>
      </c>
      <c r="C202" s="464"/>
      <c r="D202" s="464" t="s">
        <v>1679</v>
      </c>
      <c r="E202" s="464" t="s">
        <v>2101</v>
      </c>
      <c r="F202" s="464" t="s">
        <v>2102</v>
      </c>
      <c r="G202" s="464" t="s">
        <v>2103</v>
      </c>
      <c r="H202" s="464" t="s">
        <v>2104</v>
      </c>
      <c r="I202" s="464" t="s">
        <v>1684</v>
      </c>
    </row>
    <row r="203" ht="15.95" customHeight="1">
      <c r="A203" s="464" t="s">
        <v>2117</v>
      </c>
      <c r="B203" s="464" t="s">
        <v>1270</v>
      </c>
      <c r="C203" s="464"/>
      <c r="D203" s="464" t="s">
        <v>1679</v>
      </c>
      <c r="E203" s="464" t="s">
        <v>2101</v>
      </c>
      <c r="F203" s="464" t="s">
        <v>2102</v>
      </c>
      <c r="G203" s="464" t="s">
        <v>2103</v>
      </c>
      <c r="H203" s="464" t="s">
        <v>2104</v>
      </c>
      <c r="I203" s="464" t="s">
        <v>1684</v>
      </c>
    </row>
    <row r="204" ht="15.95" customHeight="1">
      <c r="A204" s="464" t="s">
        <v>2118</v>
      </c>
      <c r="B204" s="464" t="s">
        <v>1278</v>
      </c>
      <c r="C204" s="464"/>
      <c r="D204" s="464" t="s">
        <v>1679</v>
      </c>
      <c r="E204" s="464" t="s">
        <v>2101</v>
      </c>
      <c r="F204" s="464" t="s">
        <v>2102</v>
      </c>
      <c r="G204" s="464" t="s">
        <v>2103</v>
      </c>
      <c r="H204" s="464" t="s">
        <v>2104</v>
      </c>
      <c r="I204" s="464" t="s">
        <v>1684</v>
      </c>
    </row>
    <row r="205" ht="15.95" customHeight="1">
      <c r="A205" s="464" t="s">
        <v>2119</v>
      </c>
      <c r="B205" s="464" t="s">
        <v>1269</v>
      </c>
      <c r="C205" s="464"/>
      <c r="D205" s="464" t="s">
        <v>1679</v>
      </c>
      <c r="E205" s="464" t="s">
        <v>2101</v>
      </c>
      <c r="F205" s="464" t="s">
        <v>2102</v>
      </c>
      <c r="G205" s="464" t="s">
        <v>2103</v>
      </c>
      <c r="H205" s="464" t="s">
        <v>2104</v>
      </c>
      <c r="I205" s="464" t="s">
        <v>1684</v>
      </c>
    </row>
    <row r="206" ht="15.95" customHeight="1">
      <c r="A206" s="464" t="s">
        <v>2120</v>
      </c>
      <c r="B206" s="464" t="s">
        <v>2121</v>
      </c>
      <c r="C206" s="464"/>
      <c r="D206" s="464" t="s">
        <v>1709</v>
      </c>
      <c r="E206" s="464" t="s">
        <v>2101</v>
      </c>
      <c r="F206" s="464" t="s">
        <v>2102</v>
      </c>
      <c r="G206" s="464" t="s">
        <v>2103</v>
      </c>
      <c r="H206" s="464" t="s">
        <v>2104</v>
      </c>
      <c r="I206" s="464" t="s">
        <v>1684</v>
      </c>
    </row>
    <row r="207" ht="15.95" customHeight="1">
      <c r="A207" s="464" t="s">
        <v>2122</v>
      </c>
      <c r="B207" s="464" t="s">
        <v>2123</v>
      </c>
      <c r="C207" s="464"/>
      <c r="D207" s="464" t="s">
        <v>1709</v>
      </c>
      <c r="E207" s="464" t="s">
        <v>2101</v>
      </c>
      <c r="F207" s="464" t="s">
        <v>2102</v>
      </c>
      <c r="G207" s="464" t="s">
        <v>2103</v>
      </c>
      <c r="H207" s="464" t="s">
        <v>2104</v>
      </c>
      <c r="I207" s="464" t="s">
        <v>1684</v>
      </c>
    </row>
    <row r="208" ht="15.95" customHeight="1">
      <c r="A208" s="464" t="s">
        <v>2124</v>
      </c>
      <c r="B208" s="464" t="s">
        <v>2125</v>
      </c>
      <c r="C208" s="464"/>
      <c r="D208" s="464" t="s">
        <v>1709</v>
      </c>
      <c r="E208" s="464" t="s">
        <v>2101</v>
      </c>
      <c r="F208" s="464" t="s">
        <v>2102</v>
      </c>
      <c r="G208" s="464" t="s">
        <v>2103</v>
      </c>
      <c r="H208" s="464" t="s">
        <v>2104</v>
      </c>
      <c r="I208" s="464" t="s">
        <v>1684</v>
      </c>
    </row>
    <row r="209" ht="15.95" customHeight="1">
      <c r="A209" s="464" t="s">
        <v>2126</v>
      </c>
      <c r="B209" s="464" t="s">
        <v>2127</v>
      </c>
      <c r="C209" s="464"/>
      <c r="D209" s="464" t="s">
        <v>1709</v>
      </c>
      <c r="E209" s="464" t="s">
        <v>2101</v>
      </c>
      <c r="F209" s="464" t="s">
        <v>2102</v>
      </c>
      <c r="G209" s="464" t="s">
        <v>2103</v>
      </c>
      <c r="H209" s="464" t="s">
        <v>2104</v>
      </c>
      <c r="I209" s="464" t="s">
        <v>1684</v>
      </c>
    </row>
    <row r="210" ht="15.95" customHeight="1">
      <c r="A210" s="464" t="s">
        <v>2128</v>
      </c>
      <c r="B210" s="464" t="s">
        <v>2129</v>
      </c>
      <c r="C210" s="464"/>
      <c r="D210" s="464" t="s">
        <v>1679</v>
      </c>
      <c r="E210" s="464" t="s">
        <v>2130</v>
      </c>
      <c r="F210" s="464" t="s">
        <v>2131</v>
      </c>
      <c r="G210" s="464" t="s">
        <v>2103</v>
      </c>
      <c r="H210" s="464" t="s">
        <v>2104</v>
      </c>
      <c r="I210" s="464" t="s">
        <v>1684</v>
      </c>
    </row>
    <row r="211" ht="15.95" customHeight="1">
      <c r="A211" s="464" t="s">
        <v>2132</v>
      </c>
      <c r="B211" s="464" t="s">
        <v>2133</v>
      </c>
      <c r="C211" s="464"/>
      <c r="D211" s="464" t="s">
        <v>1679</v>
      </c>
      <c r="E211" s="464" t="s">
        <v>2130</v>
      </c>
      <c r="F211" s="464" t="s">
        <v>2131</v>
      </c>
      <c r="G211" s="464" t="s">
        <v>2103</v>
      </c>
      <c r="H211" s="464" t="s">
        <v>2104</v>
      </c>
      <c r="I211" s="464" t="s">
        <v>1684</v>
      </c>
    </row>
    <row r="212" ht="15.95" customHeight="1">
      <c r="A212" s="464" t="s">
        <v>2134</v>
      </c>
      <c r="B212" s="464" t="s">
        <v>2110</v>
      </c>
      <c r="C212" s="464"/>
      <c r="D212" s="464" t="s">
        <v>1679</v>
      </c>
      <c r="E212" s="464" t="s">
        <v>2130</v>
      </c>
      <c r="F212" s="464" t="s">
        <v>2131</v>
      </c>
      <c r="G212" s="464" t="s">
        <v>2103</v>
      </c>
      <c r="H212" s="464" t="s">
        <v>2104</v>
      </c>
      <c r="I212" s="464" t="s">
        <v>1684</v>
      </c>
    </row>
    <row r="213" ht="15.95" customHeight="1">
      <c r="A213" s="464" t="s">
        <v>2135</v>
      </c>
      <c r="B213" s="464" t="s">
        <v>1287</v>
      </c>
      <c r="C213" s="464"/>
      <c r="D213" s="464" t="s">
        <v>1679</v>
      </c>
      <c r="E213" s="464" t="s">
        <v>2130</v>
      </c>
      <c r="F213" s="464" t="s">
        <v>2131</v>
      </c>
      <c r="G213" s="464" t="s">
        <v>2103</v>
      </c>
      <c r="H213" s="464" t="s">
        <v>2104</v>
      </c>
      <c r="I213" s="464" t="s">
        <v>1684</v>
      </c>
    </row>
    <row r="214" ht="15.95" customHeight="1">
      <c r="A214" s="464" t="s">
        <v>2136</v>
      </c>
      <c r="B214" s="464" t="s">
        <v>2137</v>
      </c>
      <c r="C214" s="464"/>
      <c r="D214" s="464" t="s">
        <v>1679</v>
      </c>
      <c r="E214" s="464" t="s">
        <v>2130</v>
      </c>
      <c r="F214" s="464" t="s">
        <v>2131</v>
      </c>
      <c r="G214" s="464" t="s">
        <v>2103</v>
      </c>
      <c r="H214" s="464" t="s">
        <v>2104</v>
      </c>
      <c r="I214" s="464" t="s">
        <v>1684</v>
      </c>
    </row>
    <row r="215" ht="15.95" customHeight="1">
      <c r="A215" s="464" t="s">
        <v>2138</v>
      </c>
      <c r="B215" s="464" t="s">
        <v>2139</v>
      </c>
      <c r="C215" s="464"/>
      <c r="D215" s="464" t="s">
        <v>1679</v>
      </c>
      <c r="E215" s="464" t="s">
        <v>2130</v>
      </c>
      <c r="F215" s="464" t="s">
        <v>2131</v>
      </c>
      <c r="G215" s="464" t="s">
        <v>2103</v>
      </c>
      <c r="H215" s="464" t="s">
        <v>2104</v>
      </c>
      <c r="I215" s="464" t="s">
        <v>1684</v>
      </c>
    </row>
    <row r="216" ht="15.95" customHeight="1">
      <c r="A216" s="464" t="s">
        <v>2140</v>
      </c>
      <c r="B216" s="464" t="s">
        <v>2141</v>
      </c>
      <c r="C216" s="464"/>
      <c r="D216" s="464" t="s">
        <v>1709</v>
      </c>
      <c r="E216" s="464" t="s">
        <v>2130</v>
      </c>
      <c r="F216" s="464" t="s">
        <v>2131</v>
      </c>
      <c r="G216" s="464" t="s">
        <v>2103</v>
      </c>
      <c r="H216" s="464" t="s">
        <v>2104</v>
      </c>
      <c r="I216" s="464" t="s">
        <v>1684</v>
      </c>
    </row>
    <row r="217" ht="15.95" customHeight="1">
      <c r="A217" s="464" t="s">
        <v>2142</v>
      </c>
      <c r="B217" s="464" t="s">
        <v>2143</v>
      </c>
      <c r="C217" s="464"/>
      <c r="D217" s="464" t="s">
        <v>1709</v>
      </c>
      <c r="E217" s="464" t="s">
        <v>2130</v>
      </c>
      <c r="F217" s="464" t="s">
        <v>2131</v>
      </c>
      <c r="G217" s="464" t="s">
        <v>2103</v>
      </c>
      <c r="H217" s="464" t="s">
        <v>2104</v>
      </c>
      <c r="I217" s="464" t="s">
        <v>1684</v>
      </c>
    </row>
    <row r="218" ht="15.95" customHeight="1">
      <c r="A218" s="464" t="s">
        <v>2144</v>
      </c>
      <c r="B218" s="464" t="s">
        <v>2145</v>
      </c>
      <c r="C218" s="464"/>
      <c r="D218" s="464" t="s">
        <v>1709</v>
      </c>
      <c r="E218" s="464" t="s">
        <v>2130</v>
      </c>
      <c r="F218" s="464" t="s">
        <v>2131</v>
      </c>
      <c r="G218" s="464" t="s">
        <v>2103</v>
      </c>
      <c r="H218" s="464" t="s">
        <v>2104</v>
      </c>
      <c r="I218" s="464" t="s">
        <v>1684</v>
      </c>
    </row>
    <row r="219" ht="15.95" customHeight="1">
      <c r="A219" s="464" t="s">
        <v>2146</v>
      </c>
      <c r="B219" s="464" t="s">
        <v>2147</v>
      </c>
      <c r="C219" s="464"/>
      <c r="D219" s="464" t="s">
        <v>1709</v>
      </c>
      <c r="E219" s="464" t="s">
        <v>2130</v>
      </c>
      <c r="F219" s="464" t="s">
        <v>2131</v>
      </c>
      <c r="G219" s="464" t="s">
        <v>2103</v>
      </c>
      <c r="H219" s="464" t="s">
        <v>2104</v>
      </c>
      <c r="I219" s="464" t="s">
        <v>1684</v>
      </c>
    </row>
    <row r="220" ht="15.95" customHeight="1">
      <c r="A220" s="464" t="s">
        <v>2148</v>
      </c>
      <c r="B220" s="464" t="s">
        <v>2149</v>
      </c>
      <c r="C220" s="464"/>
      <c r="D220" s="464" t="s">
        <v>1709</v>
      </c>
      <c r="E220" s="464" t="s">
        <v>2130</v>
      </c>
      <c r="F220" s="464" t="s">
        <v>2131</v>
      </c>
      <c r="G220" s="464" t="s">
        <v>2103</v>
      </c>
      <c r="H220" s="464" t="s">
        <v>2104</v>
      </c>
      <c r="I220" s="464" t="s">
        <v>1684</v>
      </c>
    </row>
    <row r="221" ht="15.95" customHeight="1">
      <c r="A221" s="464" t="s">
        <v>2150</v>
      </c>
      <c r="B221" s="464" t="s">
        <v>2151</v>
      </c>
      <c r="C221" s="464"/>
      <c r="D221" s="464" t="s">
        <v>1709</v>
      </c>
      <c r="E221" s="464" t="s">
        <v>2152</v>
      </c>
      <c r="F221" s="464" t="s">
        <v>2153</v>
      </c>
      <c r="G221" s="464" t="s">
        <v>2103</v>
      </c>
      <c r="H221" s="464" t="s">
        <v>2104</v>
      </c>
      <c r="I221" s="464" t="s">
        <v>1684</v>
      </c>
    </row>
    <row r="222" ht="15.95" customHeight="1">
      <c r="A222" s="464" t="s">
        <v>2154</v>
      </c>
      <c r="B222" s="464" t="s">
        <v>2155</v>
      </c>
      <c r="C222" s="464"/>
      <c r="D222" s="464" t="s">
        <v>1709</v>
      </c>
      <c r="E222" s="464" t="s">
        <v>2152</v>
      </c>
      <c r="F222" s="464" t="s">
        <v>2153</v>
      </c>
      <c r="G222" s="464" t="s">
        <v>2103</v>
      </c>
      <c r="H222" s="464" t="s">
        <v>2104</v>
      </c>
      <c r="I222" s="464" t="s">
        <v>1684</v>
      </c>
    </row>
    <row r="223" ht="15.95" customHeight="1">
      <c r="A223" s="464" t="s">
        <v>2156</v>
      </c>
      <c r="B223" s="464" t="s">
        <v>2157</v>
      </c>
      <c r="C223" s="464"/>
      <c r="D223" s="464" t="s">
        <v>1709</v>
      </c>
      <c r="E223" s="464" t="s">
        <v>2152</v>
      </c>
      <c r="F223" s="464" t="s">
        <v>2153</v>
      </c>
      <c r="G223" s="464" t="s">
        <v>2103</v>
      </c>
      <c r="H223" s="464" t="s">
        <v>2104</v>
      </c>
      <c r="I223" s="464" t="s">
        <v>1684</v>
      </c>
    </row>
    <row r="224" ht="15.95" customHeight="1">
      <c r="A224" s="464" t="s">
        <v>2158</v>
      </c>
      <c r="B224" s="464" t="s">
        <v>2159</v>
      </c>
      <c r="C224" s="464"/>
      <c r="D224" s="464" t="s">
        <v>1709</v>
      </c>
      <c r="E224" s="464" t="s">
        <v>2152</v>
      </c>
      <c r="F224" s="464" t="s">
        <v>2153</v>
      </c>
      <c r="G224" s="464" t="s">
        <v>2103</v>
      </c>
      <c r="H224" s="464" t="s">
        <v>2104</v>
      </c>
      <c r="I224" s="464" t="s">
        <v>1684</v>
      </c>
    </row>
    <row r="225" ht="15.95" customHeight="1">
      <c r="A225" s="464" t="s">
        <v>2160</v>
      </c>
      <c r="B225" s="464" t="s">
        <v>2161</v>
      </c>
      <c r="C225" s="464"/>
      <c r="D225" s="464" t="s">
        <v>1709</v>
      </c>
      <c r="E225" s="464" t="s">
        <v>2152</v>
      </c>
      <c r="F225" s="464" t="s">
        <v>2153</v>
      </c>
      <c r="G225" s="464" t="s">
        <v>2103</v>
      </c>
      <c r="H225" s="464" t="s">
        <v>2104</v>
      </c>
      <c r="I225" s="464" t="s">
        <v>1684</v>
      </c>
    </row>
    <row r="226" ht="15.95" customHeight="1">
      <c r="A226" s="464" t="s">
        <v>2162</v>
      </c>
      <c r="B226" s="464" t="s">
        <v>2163</v>
      </c>
      <c r="C226" s="464"/>
      <c r="D226" s="464" t="s">
        <v>1709</v>
      </c>
      <c r="E226" s="464" t="s">
        <v>2152</v>
      </c>
      <c r="F226" s="464" t="s">
        <v>2153</v>
      </c>
      <c r="G226" s="464" t="s">
        <v>2103</v>
      </c>
      <c r="H226" s="464" t="s">
        <v>2104</v>
      </c>
      <c r="I226" s="464" t="s">
        <v>1684</v>
      </c>
    </row>
    <row r="227" ht="15.95" customHeight="1">
      <c r="A227" s="464" t="s">
        <v>2164</v>
      </c>
      <c r="B227" s="464" t="s">
        <v>2165</v>
      </c>
      <c r="C227" s="464"/>
      <c r="D227" s="464" t="s">
        <v>1709</v>
      </c>
      <c r="E227" s="464" t="s">
        <v>2152</v>
      </c>
      <c r="F227" s="464" t="s">
        <v>2153</v>
      </c>
      <c r="G227" s="464" t="s">
        <v>2103</v>
      </c>
      <c r="H227" s="464" t="s">
        <v>2104</v>
      </c>
      <c r="I227" s="464" t="s">
        <v>1684</v>
      </c>
    </row>
    <row r="228" ht="15.95" customHeight="1">
      <c r="A228" s="464" t="s">
        <v>2166</v>
      </c>
      <c r="B228" s="464" t="s">
        <v>2167</v>
      </c>
      <c r="C228" s="464"/>
      <c r="D228" s="464" t="s">
        <v>1709</v>
      </c>
      <c r="E228" s="464" t="s">
        <v>2152</v>
      </c>
      <c r="F228" s="464" t="s">
        <v>2153</v>
      </c>
      <c r="G228" s="464" t="s">
        <v>2103</v>
      </c>
      <c r="H228" s="464" t="s">
        <v>2104</v>
      </c>
      <c r="I228" s="464" t="s">
        <v>1684</v>
      </c>
    </row>
    <row r="229" ht="15.95" customHeight="1">
      <c r="A229" s="464" t="s">
        <v>2168</v>
      </c>
      <c r="B229" s="464" t="s">
        <v>2169</v>
      </c>
      <c r="C229" s="464" t="s">
        <v>2170</v>
      </c>
      <c r="D229" s="464" t="s">
        <v>1738</v>
      </c>
      <c r="E229" s="464" t="s">
        <v>2171</v>
      </c>
      <c r="F229" s="464" t="s">
        <v>2172</v>
      </c>
      <c r="G229" s="464" t="s">
        <v>2103</v>
      </c>
      <c r="H229" s="464" t="s">
        <v>2104</v>
      </c>
      <c r="I229" s="464" t="s">
        <v>1684</v>
      </c>
    </row>
    <row r="230" ht="15.95" customHeight="1">
      <c r="A230" s="464" t="s">
        <v>2173</v>
      </c>
      <c r="B230" s="464" t="s">
        <v>2174</v>
      </c>
      <c r="C230" s="464"/>
      <c r="D230" s="464" t="s">
        <v>1709</v>
      </c>
      <c r="E230" s="464" t="s">
        <v>2171</v>
      </c>
      <c r="F230" s="464" t="s">
        <v>2172</v>
      </c>
      <c r="G230" s="464" t="s">
        <v>2103</v>
      </c>
      <c r="H230" s="464" t="s">
        <v>2104</v>
      </c>
      <c r="I230" s="464" t="s">
        <v>1684</v>
      </c>
    </row>
    <row r="231" ht="15.95" customHeight="1">
      <c r="A231" s="464" t="s">
        <v>2175</v>
      </c>
      <c r="B231" s="464" t="s">
        <v>2176</v>
      </c>
      <c r="C231" s="464" t="s">
        <v>2177</v>
      </c>
      <c r="D231" s="464" t="s">
        <v>1709</v>
      </c>
      <c r="E231" s="464" t="s">
        <v>2171</v>
      </c>
      <c r="F231" s="464" t="s">
        <v>2172</v>
      </c>
      <c r="G231" s="464" t="s">
        <v>2103</v>
      </c>
      <c r="H231" s="464" t="s">
        <v>2104</v>
      </c>
      <c r="I231" s="464" t="s">
        <v>1684</v>
      </c>
    </row>
    <row r="232" ht="15.95" customHeight="1">
      <c r="A232" s="464" t="s">
        <v>2178</v>
      </c>
      <c r="B232" s="464" t="s">
        <v>2179</v>
      </c>
      <c r="C232" s="464"/>
      <c r="D232" s="464" t="s">
        <v>1709</v>
      </c>
      <c r="E232" s="464" t="s">
        <v>2171</v>
      </c>
      <c r="F232" s="464" t="s">
        <v>2172</v>
      </c>
      <c r="G232" s="464" t="s">
        <v>2103</v>
      </c>
      <c r="H232" s="464" t="s">
        <v>2104</v>
      </c>
      <c r="I232" s="464" t="s">
        <v>1684</v>
      </c>
    </row>
    <row r="233" ht="15.95" customHeight="1">
      <c r="A233" s="464" t="s">
        <v>2180</v>
      </c>
      <c r="B233" s="464" t="s">
        <v>2181</v>
      </c>
      <c r="C233" s="464"/>
      <c r="D233" s="464" t="s">
        <v>1709</v>
      </c>
      <c r="E233" s="464" t="s">
        <v>2171</v>
      </c>
      <c r="F233" s="464" t="s">
        <v>2172</v>
      </c>
      <c r="G233" s="464" t="s">
        <v>2103</v>
      </c>
      <c r="H233" s="464" t="s">
        <v>2104</v>
      </c>
      <c r="I233" s="464" t="s">
        <v>1684</v>
      </c>
    </row>
    <row r="234" ht="15.95" customHeight="1">
      <c r="A234" s="464" t="s">
        <v>2182</v>
      </c>
      <c r="B234" s="464" t="s">
        <v>2183</v>
      </c>
      <c r="C234" s="464"/>
      <c r="D234" s="464" t="s">
        <v>1709</v>
      </c>
      <c r="E234" s="464" t="s">
        <v>2171</v>
      </c>
      <c r="F234" s="464" t="s">
        <v>2172</v>
      </c>
      <c r="G234" s="464" t="s">
        <v>2103</v>
      </c>
      <c r="H234" s="464" t="s">
        <v>2104</v>
      </c>
      <c r="I234" s="464" t="s">
        <v>1684</v>
      </c>
    </row>
    <row r="235" ht="15.95" customHeight="1">
      <c r="A235" s="464" t="s">
        <v>2184</v>
      </c>
      <c r="B235" s="464" t="s">
        <v>2185</v>
      </c>
      <c r="C235" s="464"/>
      <c r="D235" s="464" t="s">
        <v>1738</v>
      </c>
      <c r="E235" s="464" t="s">
        <v>2186</v>
      </c>
      <c r="F235" s="464" t="s">
        <v>2187</v>
      </c>
      <c r="G235" s="464" t="s">
        <v>2103</v>
      </c>
      <c r="H235" s="464" t="s">
        <v>2104</v>
      </c>
      <c r="I235" s="464" t="s">
        <v>1684</v>
      </c>
    </row>
    <row r="236" ht="15.95" customHeight="1">
      <c r="A236" s="464" t="s">
        <v>2188</v>
      </c>
      <c r="B236" s="464" t="s">
        <v>2189</v>
      </c>
      <c r="C236" s="464"/>
      <c r="D236" s="464" t="s">
        <v>1738</v>
      </c>
      <c r="E236" s="464" t="s">
        <v>2186</v>
      </c>
      <c r="F236" s="464" t="s">
        <v>2187</v>
      </c>
      <c r="G236" s="464" t="s">
        <v>2103</v>
      </c>
      <c r="H236" s="464" t="s">
        <v>2104</v>
      </c>
      <c r="I236" s="464" t="s">
        <v>1684</v>
      </c>
    </row>
    <row r="237" ht="15.95" customHeight="1">
      <c r="A237" s="464" t="s">
        <v>2190</v>
      </c>
      <c r="B237" s="464" t="s">
        <v>2191</v>
      </c>
      <c r="C237" s="464"/>
      <c r="D237" s="464" t="s">
        <v>1709</v>
      </c>
      <c r="E237" s="464" t="s">
        <v>2186</v>
      </c>
      <c r="F237" s="464" t="s">
        <v>2187</v>
      </c>
      <c r="G237" s="464" t="s">
        <v>2103</v>
      </c>
      <c r="H237" s="464" t="s">
        <v>2104</v>
      </c>
      <c r="I237" s="464" t="s">
        <v>1684</v>
      </c>
    </row>
    <row r="238" ht="15.95" customHeight="1">
      <c r="A238" s="464" t="s">
        <v>2192</v>
      </c>
      <c r="B238" s="464" t="s">
        <v>2193</v>
      </c>
      <c r="C238" s="464"/>
      <c r="D238" s="464" t="s">
        <v>1709</v>
      </c>
      <c r="E238" s="464" t="s">
        <v>2186</v>
      </c>
      <c r="F238" s="464" t="s">
        <v>2187</v>
      </c>
      <c r="G238" s="464" t="s">
        <v>2103</v>
      </c>
      <c r="H238" s="464" t="s">
        <v>2104</v>
      </c>
      <c r="I238" s="464" t="s">
        <v>1684</v>
      </c>
    </row>
    <row r="239" ht="15.95" customHeight="1">
      <c r="A239" s="464" t="s">
        <v>2194</v>
      </c>
      <c r="B239" s="464" t="s">
        <v>2195</v>
      </c>
      <c r="C239" s="464"/>
      <c r="D239" s="464" t="s">
        <v>1709</v>
      </c>
      <c r="E239" s="464" t="s">
        <v>2186</v>
      </c>
      <c r="F239" s="464" t="s">
        <v>2187</v>
      </c>
      <c r="G239" s="464" t="s">
        <v>2103</v>
      </c>
      <c r="H239" s="464" t="s">
        <v>2104</v>
      </c>
      <c r="I239" s="464" t="s">
        <v>1684</v>
      </c>
    </row>
    <row r="240" ht="15.95" customHeight="1">
      <c r="A240" s="464" t="s">
        <v>2196</v>
      </c>
      <c r="B240" s="464" t="s">
        <v>2197</v>
      </c>
      <c r="C240" s="464"/>
      <c r="D240" s="464" t="s">
        <v>1709</v>
      </c>
      <c r="E240" s="464" t="s">
        <v>2186</v>
      </c>
      <c r="F240" s="464" t="s">
        <v>2187</v>
      </c>
      <c r="G240" s="464" t="s">
        <v>2103</v>
      </c>
      <c r="H240" s="464" t="s">
        <v>2104</v>
      </c>
      <c r="I240" s="464" t="s">
        <v>1684</v>
      </c>
    </row>
    <row r="241" ht="15.95" customHeight="1">
      <c r="A241" s="464" t="s">
        <v>2198</v>
      </c>
      <c r="B241" s="464" t="s">
        <v>2199</v>
      </c>
      <c r="C241" s="464"/>
      <c r="D241" s="464" t="s">
        <v>1709</v>
      </c>
      <c r="E241" s="464" t="s">
        <v>2186</v>
      </c>
      <c r="F241" s="464" t="s">
        <v>2187</v>
      </c>
      <c r="G241" s="464" t="s">
        <v>2103</v>
      </c>
      <c r="H241" s="464" t="s">
        <v>2104</v>
      </c>
      <c r="I241" s="464" t="s">
        <v>1684</v>
      </c>
    </row>
    <row r="242" ht="15.95" customHeight="1">
      <c r="A242" s="464" t="s">
        <v>2200</v>
      </c>
      <c r="B242" s="464" t="s">
        <v>2201</v>
      </c>
      <c r="C242" s="464"/>
      <c r="D242" s="464" t="s">
        <v>1709</v>
      </c>
      <c r="E242" s="464" t="s">
        <v>2186</v>
      </c>
      <c r="F242" s="464" t="s">
        <v>2187</v>
      </c>
      <c r="G242" s="464" t="s">
        <v>2103</v>
      </c>
      <c r="H242" s="464" t="s">
        <v>2104</v>
      </c>
      <c r="I242" s="464" t="s">
        <v>1684</v>
      </c>
    </row>
    <row r="243" ht="15.95" customHeight="1">
      <c r="A243" s="464" t="s">
        <v>2202</v>
      </c>
      <c r="B243" s="464" t="s">
        <v>2203</v>
      </c>
      <c r="C243" s="464"/>
      <c r="D243" s="464" t="s">
        <v>1709</v>
      </c>
      <c r="E243" s="464" t="s">
        <v>2186</v>
      </c>
      <c r="F243" s="464" t="s">
        <v>2187</v>
      </c>
      <c r="G243" s="464" t="s">
        <v>2103</v>
      </c>
      <c r="H243" s="464" t="s">
        <v>2104</v>
      </c>
      <c r="I243" s="464" t="s">
        <v>1684</v>
      </c>
    </row>
    <row r="244" ht="15.95" customHeight="1">
      <c r="A244" s="464" t="s">
        <v>2204</v>
      </c>
      <c r="B244" s="464" t="s">
        <v>2205</v>
      </c>
      <c r="C244" s="464"/>
      <c r="D244" s="464" t="s">
        <v>1709</v>
      </c>
      <c r="E244" s="464" t="s">
        <v>2186</v>
      </c>
      <c r="F244" s="464" t="s">
        <v>2187</v>
      </c>
      <c r="G244" s="464" t="s">
        <v>2103</v>
      </c>
      <c r="H244" s="464" t="s">
        <v>2104</v>
      </c>
      <c r="I244" s="464" t="s">
        <v>1684</v>
      </c>
    </row>
    <row r="245" ht="15.95" customHeight="1">
      <c r="A245" s="464" t="s">
        <v>2206</v>
      </c>
      <c r="B245" s="464" t="s">
        <v>2207</v>
      </c>
      <c r="C245" s="464"/>
      <c r="D245" s="464" t="s">
        <v>1709</v>
      </c>
      <c r="E245" s="464" t="s">
        <v>2186</v>
      </c>
      <c r="F245" s="464" t="s">
        <v>2187</v>
      </c>
      <c r="G245" s="464" t="s">
        <v>2103</v>
      </c>
      <c r="H245" s="464" t="s">
        <v>2104</v>
      </c>
      <c r="I245" s="464" t="s">
        <v>1684</v>
      </c>
    </row>
    <row r="246" ht="15.95" customHeight="1">
      <c r="A246" s="464" t="s">
        <v>2208</v>
      </c>
      <c r="B246" s="464" t="s">
        <v>2209</v>
      </c>
      <c r="C246" s="464"/>
      <c r="D246" s="464" t="s">
        <v>1709</v>
      </c>
      <c r="E246" s="464" t="s">
        <v>2186</v>
      </c>
      <c r="F246" s="464" t="s">
        <v>2187</v>
      </c>
      <c r="G246" s="464" t="s">
        <v>2103</v>
      </c>
      <c r="H246" s="464" t="s">
        <v>2104</v>
      </c>
      <c r="I246" s="464" t="s">
        <v>1684</v>
      </c>
    </row>
    <row r="247" ht="15.95" customHeight="1">
      <c r="A247" s="464" t="s">
        <v>2210</v>
      </c>
      <c r="B247" s="464" t="s">
        <v>2066</v>
      </c>
      <c r="C247" s="464"/>
      <c r="D247" s="464" t="s">
        <v>1709</v>
      </c>
      <c r="E247" s="464" t="s">
        <v>2186</v>
      </c>
      <c r="F247" s="464" t="s">
        <v>2187</v>
      </c>
      <c r="G247" s="464" t="s">
        <v>2103</v>
      </c>
      <c r="H247" s="464" t="s">
        <v>2104</v>
      </c>
      <c r="I247" s="464" t="s">
        <v>1684</v>
      </c>
    </row>
    <row r="248" ht="15.95" customHeight="1">
      <c r="A248" s="464" t="s">
        <v>2211</v>
      </c>
      <c r="B248" s="464" t="s">
        <v>2212</v>
      </c>
      <c r="C248" s="464"/>
      <c r="D248" s="464" t="s">
        <v>1709</v>
      </c>
      <c r="E248" s="464" t="s">
        <v>2186</v>
      </c>
      <c r="F248" s="464" t="s">
        <v>2187</v>
      </c>
      <c r="G248" s="464" t="s">
        <v>2103</v>
      </c>
      <c r="H248" s="464" t="s">
        <v>2104</v>
      </c>
      <c r="I248" s="464" t="s">
        <v>1684</v>
      </c>
    </row>
    <row r="249" ht="15.95" customHeight="1">
      <c r="A249" s="464" t="s">
        <v>2213</v>
      </c>
      <c r="B249" s="464" t="s">
        <v>2214</v>
      </c>
      <c r="C249" s="464"/>
      <c r="D249" s="464" t="s">
        <v>1709</v>
      </c>
      <c r="E249" s="464" t="s">
        <v>2186</v>
      </c>
      <c r="F249" s="464" t="s">
        <v>2187</v>
      </c>
      <c r="G249" s="464" t="s">
        <v>2103</v>
      </c>
      <c r="H249" s="464" t="s">
        <v>2104</v>
      </c>
      <c r="I249" s="464" t="s">
        <v>1684</v>
      </c>
    </row>
    <row r="250" ht="15.95" customHeight="1">
      <c r="A250" s="464" t="s">
        <v>2215</v>
      </c>
      <c r="B250" s="464" t="s">
        <v>2216</v>
      </c>
      <c r="C250" s="464"/>
      <c r="D250" s="464" t="s">
        <v>1709</v>
      </c>
      <c r="E250" s="464" t="s">
        <v>2186</v>
      </c>
      <c r="F250" s="464" t="s">
        <v>2187</v>
      </c>
      <c r="G250" s="464" t="s">
        <v>2103</v>
      </c>
      <c r="H250" s="464" t="s">
        <v>2104</v>
      </c>
      <c r="I250" s="464" t="s">
        <v>1684</v>
      </c>
    </row>
    <row r="251" ht="15.95" customHeight="1">
      <c r="A251" s="464" t="s">
        <v>2217</v>
      </c>
      <c r="B251" s="464" t="s">
        <v>2218</v>
      </c>
      <c r="C251" s="464"/>
      <c r="D251" s="464" t="s">
        <v>1738</v>
      </c>
      <c r="E251" s="464" t="s">
        <v>2219</v>
      </c>
      <c r="F251" s="464" t="s">
        <v>2220</v>
      </c>
      <c r="G251" s="464" t="s">
        <v>2103</v>
      </c>
      <c r="H251" s="464" t="s">
        <v>2104</v>
      </c>
      <c r="I251" s="464" t="s">
        <v>1684</v>
      </c>
    </row>
    <row r="252" ht="15.95" customHeight="1">
      <c r="A252" s="464" t="s">
        <v>2221</v>
      </c>
      <c r="B252" s="464" t="s">
        <v>2222</v>
      </c>
      <c r="C252" s="464"/>
      <c r="D252" s="464" t="s">
        <v>1738</v>
      </c>
      <c r="E252" s="464" t="s">
        <v>2219</v>
      </c>
      <c r="F252" s="464" t="s">
        <v>2220</v>
      </c>
      <c r="G252" s="464" t="s">
        <v>2103</v>
      </c>
      <c r="H252" s="464" t="s">
        <v>2104</v>
      </c>
      <c r="I252" s="464" t="s">
        <v>1684</v>
      </c>
    </row>
    <row r="253" ht="15.95" customHeight="1">
      <c r="A253" s="464" t="s">
        <v>2223</v>
      </c>
      <c r="B253" s="464" t="s">
        <v>2224</v>
      </c>
      <c r="C253" s="464"/>
      <c r="D253" s="464" t="s">
        <v>1709</v>
      </c>
      <c r="E253" s="464" t="s">
        <v>2219</v>
      </c>
      <c r="F253" s="464" t="s">
        <v>2220</v>
      </c>
      <c r="G253" s="464" t="s">
        <v>2103</v>
      </c>
      <c r="H253" s="464" t="s">
        <v>2104</v>
      </c>
      <c r="I253" s="464" t="s">
        <v>1684</v>
      </c>
    </row>
    <row r="254" ht="15.95" customHeight="1">
      <c r="A254" s="464" t="s">
        <v>2225</v>
      </c>
      <c r="B254" s="464" t="s">
        <v>2226</v>
      </c>
      <c r="C254" s="464"/>
      <c r="D254" s="464" t="s">
        <v>1709</v>
      </c>
      <c r="E254" s="464" t="s">
        <v>2219</v>
      </c>
      <c r="F254" s="464" t="s">
        <v>2220</v>
      </c>
      <c r="G254" s="464" t="s">
        <v>2103</v>
      </c>
      <c r="H254" s="464" t="s">
        <v>2104</v>
      </c>
      <c r="I254" s="464" t="s">
        <v>1684</v>
      </c>
    </row>
    <row r="255" ht="15.95" customHeight="1">
      <c r="A255" s="464" t="s">
        <v>2227</v>
      </c>
      <c r="B255" s="464" t="s">
        <v>2228</v>
      </c>
      <c r="C255" s="464"/>
      <c r="D255" s="464" t="s">
        <v>1709</v>
      </c>
      <c r="E255" s="464" t="s">
        <v>2219</v>
      </c>
      <c r="F255" s="464" t="s">
        <v>2220</v>
      </c>
      <c r="G255" s="464" t="s">
        <v>2103</v>
      </c>
      <c r="H255" s="464" t="s">
        <v>2104</v>
      </c>
      <c r="I255" s="464" t="s">
        <v>1684</v>
      </c>
    </row>
    <row r="256" ht="15.95" customHeight="1">
      <c r="A256" s="464" t="s">
        <v>2229</v>
      </c>
      <c r="B256" s="464" t="s">
        <v>2230</v>
      </c>
      <c r="C256" s="464"/>
      <c r="D256" s="464" t="s">
        <v>1709</v>
      </c>
      <c r="E256" s="464" t="s">
        <v>2219</v>
      </c>
      <c r="F256" s="464" t="s">
        <v>2220</v>
      </c>
      <c r="G256" s="464" t="s">
        <v>2103</v>
      </c>
      <c r="H256" s="464" t="s">
        <v>2104</v>
      </c>
      <c r="I256" s="464" t="s">
        <v>1684</v>
      </c>
    </row>
    <row r="257" ht="15.95" customHeight="1">
      <c r="A257" s="464" t="s">
        <v>2231</v>
      </c>
      <c r="B257" s="464" t="s">
        <v>2232</v>
      </c>
      <c r="C257" s="464"/>
      <c r="D257" s="464" t="s">
        <v>1709</v>
      </c>
      <c r="E257" s="464" t="s">
        <v>2219</v>
      </c>
      <c r="F257" s="464" t="s">
        <v>2220</v>
      </c>
      <c r="G257" s="464" t="s">
        <v>2103</v>
      </c>
      <c r="H257" s="464" t="s">
        <v>2104</v>
      </c>
      <c r="I257" s="464" t="s">
        <v>1684</v>
      </c>
    </row>
    <row r="258" ht="15.95" customHeight="1">
      <c r="A258" s="464" t="s">
        <v>2233</v>
      </c>
      <c r="B258" s="464" t="s">
        <v>2234</v>
      </c>
      <c r="C258" s="464"/>
      <c r="D258" s="464" t="s">
        <v>1709</v>
      </c>
      <c r="E258" s="464" t="s">
        <v>2219</v>
      </c>
      <c r="F258" s="464" t="s">
        <v>2220</v>
      </c>
      <c r="G258" s="464" t="s">
        <v>2103</v>
      </c>
      <c r="H258" s="464" t="s">
        <v>2104</v>
      </c>
      <c r="I258" s="464" t="s">
        <v>1684</v>
      </c>
    </row>
    <row r="259" ht="15.95" customHeight="1">
      <c r="A259" s="464" t="s">
        <v>2235</v>
      </c>
      <c r="B259" s="464" t="s">
        <v>2236</v>
      </c>
      <c r="C259" s="464"/>
      <c r="D259" s="464" t="s">
        <v>1709</v>
      </c>
      <c r="E259" s="464" t="s">
        <v>2219</v>
      </c>
      <c r="F259" s="464" t="s">
        <v>2220</v>
      </c>
      <c r="G259" s="464" t="s">
        <v>2103</v>
      </c>
      <c r="H259" s="464" t="s">
        <v>2104</v>
      </c>
      <c r="I259" s="464" t="s">
        <v>1684</v>
      </c>
    </row>
    <row r="260" ht="15.95" customHeight="1">
      <c r="A260" s="464" t="s">
        <v>2237</v>
      </c>
      <c r="B260" s="464" t="s">
        <v>2238</v>
      </c>
      <c r="C260" s="464"/>
      <c r="D260" s="464" t="s">
        <v>1709</v>
      </c>
      <c r="E260" s="464" t="s">
        <v>2219</v>
      </c>
      <c r="F260" s="464" t="s">
        <v>2220</v>
      </c>
      <c r="G260" s="464" t="s">
        <v>2103</v>
      </c>
      <c r="H260" s="464" t="s">
        <v>2104</v>
      </c>
      <c r="I260" s="464" t="s">
        <v>1684</v>
      </c>
    </row>
    <row r="261" ht="15.95" customHeight="1">
      <c r="A261" s="464" t="s">
        <v>2239</v>
      </c>
      <c r="B261" s="464" t="s">
        <v>2240</v>
      </c>
      <c r="C261" s="464"/>
      <c r="D261" s="464" t="s">
        <v>1738</v>
      </c>
      <c r="E261" s="464" t="s">
        <v>2241</v>
      </c>
      <c r="F261" s="464" t="s">
        <v>2242</v>
      </c>
      <c r="G261" s="464" t="s">
        <v>2103</v>
      </c>
      <c r="H261" s="464" t="s">
        <v>2104</v>
      </c>
      <c r="I261" s="464" t="s">
        <v>1684</v>
      </c>
    </row>
    <row r="262" ht="15.95" customHeight="1">
      <c r="A262" s="464" t="s">
        <v>2243</v>
      </c>
      <c r="B262" s="464" t="s">
        <v>2244</v>
      </c>
      <c r="C262" s="464"/>
      <c r="D262" s="464" t="s">
        <v>1709</v>
      </c>
      <c r="E262" s="464" t="s">
        <v>2241</v>
      </c>
      <c r="F262" s="464" t="s">
        <v>2242</v>
      </c>
      <c r="G262" s="464" t="s">
        <v>2103</v>
      </c>
      <c r="H262" s="464" t="s">
        <v>2104</v>
      </c>
      <c r="I262" s="464" t="s">
        <v>1684</v>
      </c>
    </row>
    <row r="263" ht="15.95" customHeight="1">
      <c r="A263" s="464" t="s">
        <v>2245</v>
      </c>
      <c r="B263" s="464" t="s">
        <v>2246</v>
      </c>
      <c r="C263" s="464"/>
      <c r="D263" s="464" t="s">
        <v>1709</v>
      </c>
      <c r="E263" s="464" t="s">
        <v>2241</v>
      </c>
      <c r="F263" s="464" t="s">
        <v>2242</v>
      </c>
      <c r="G263" s="464" t="s">
        <v>2103</v>
      </c>
      <c r="H263" s="464" t="s">
        <v>2104</v>
      </c>
      <c r="I263" s="464" t="s">
        <v>1684</v>
      </c>
    </row>
    <row r="264" ht="15.95" customHeight="1">
      <c r="A264" s="464" t="s">
        <v>2247</v>
      </c>
      <c r="B264" s="464" t="s">
        <v>2248</v>
      </c>
      <c r="C264" s="464"/>
      <c r="D264" s="464" t="s">
        <v>1709</v>
      </c>
      <c r="E264" s="464" t="s">
        <v>2241</v>
      </c>
      <c r="F264" s="464" t="s">
        <v>2242</v>
      </c>
      <c r="G264" s="464" t="s">
        <v>2103</v>
      </c>
      <c r="H264" s="464" t="s">
        <v>2104</v>
      </c>
      <c r="I264" s="464" t="s">
        <v>1684</v>
      </c>
    </row>
    <row r="265" ht="15.95" customHeight="1">
      <c r="A265" s="464" t="s">
        <v>2249</v>
      </c>
      <c r="B265" s="464" t="s">
        <v>1908</v>
      </c>
      <c r="C265" s="464"/>
      <c r="D265" s="464" t="s">
        <v>1709</v>
      </c>
      <c r="E265" s="464" t="s">
        <v>2241</v>
      </c>
      <c r="F265" s="464" t="s">
        <v>2242</v>
      </c>
      <c r="G265" s="464" t="s">
        <v>2103</v>
      </c>
      <c r="H265" s="464" t="s">
        <v>2104</v>
      </c>
      <c r="I265" s="464" t="s">
        <v>1684</v>
      </c>
    </row>
    <row r="266" ht="15.95" customHeight="1">
      <c r="A266" s="464" t="s">
        <v>2250</v>
      </c>
      <c r="B266" s="464" t="s">
        <v>2251</v>
      </c>
      <c r="C266" s="464"/>
      <c r="D266" s="464" t="s">
        <v>1709</v>
      </c>
      <c r="E266" s="464" t="s">
        <v>2241</v>
      </c>
      <c r="F266" s="464" t="s">
        <v>2242</v>
      </c>
      <c r="G266" s="464" t="s">
        <v>2103</v>
      </c>
      <c r="H266" s="464" t="s">
        <v>2104</v>
      </c>
      <c r="I266" s="464" t="s">
        <v>1684</v>
      </c>
    </row>
    <row r="267" ht="15.95" customHeight="1">
      <c r="A267" s="464" t="s">
        <v>2252</v>
      </c>
      <c r="B267" s="464" t="s">
        <v>2253</v>
      </c>
      <c r="C267" s="464"/>
      <c r="D267" s="464" t="s">
        <v>1709</v>
      </c>
      <c r="E267" s="464" t="s">
        <v>2241</v>
      </c>
      <c r="F267" s="464" t="s">
        <v>2242</v>
      </c>
      <c r="G267" s="464" t="s">
        <v>2103</v>
      </c>
      <c r="H267" s="464" t="s">
        <v>2104</v>
      </c>
      <c r="I267" s="464" t="s">
        <v>1684</v>
      </c>
    </row>
    <row r="268" ht="15.95" customHeight="1">
      <c r="A268" s="464" t="s">
        <v>2254</v>
      </c>
      <c r="B268" s="464" t="s">
        <v>2012</v>
      </c>
      <c r="C268" s="464"/>
      <c r="D268" s="464" t="s">
        <v>1709</v>
      </c>
      <c r="E268" s="464" t="s">
        <v>2241</v>
      </c>
      <c r="F268" s="464" t="s">
        <v>2242</v>
      </c>
      <c r="G268" s="464" t="s">
        <v>2103</v>
      </c>
      <c r="H268" s="464" t="s">
        <v>2104</v>
      </c>
      <c r="I268" s="464" t="s">
        <v>1684</v>
      </c>
    </row>
    <row r="269" ht="15.95" customHeight="1">
      <c r="A269" s="464" t="s">
        <v>2255</v>
      </c>
      <c r="B269" s="464" t="s">
        <v>2256</v>
      </c>
      <c r="C269" s="464"/>
      <c r="D269" s="464" t="s">
        <v>1709</v>
      </c>
      <c r="E269" s="464" t="s">
        <v>2241</v>
      </c>
      <c r="F269" s="464" t="s">
        <v>2242</v>
      </c>
      <c r="G269" s="464" t="s">
        <v>2103</v>
      </c>
      <c r="H269" s="464" t="s">
        <v>2104</v>
      </c>
      <c r="I269" s="464" t="s">
        <v>1684</v>
      </c>
    </row>
    <row r="270" ht="15.95" customHeight="1">
      <c r="A270" s="464" t="s">
        <v>2257</v>
      </c>
      <c r="B270" s="464" t="s">
        <v>2258</v>
      </c>
      <c r="C270" s="464"/>
      <c r="D270" s="464" t="s">
        <v>1709</v>
      </c>
      <c r="E270" s="464" t="s">
        <v>2241</v>
      </c>
      <c r="F270" s="464" t="s">
        <v>2242</v>
      </c>
      <c r="G270" s="464" t="s">
        <v>2103</v>
      </c>
      <c r="H270" s="464" t="s">
        <v>2104</v>
      </c>
      <c r="I270" s="464" t="s">
        <v>1684</v>
      </c>
    </row>
    <row r="271" ht="15.95" customHeight="1">
      <c r="A271" s="464" t="s">
        <v>2259</v>
      </c>
      <c r="B271" s="464" t="s">
        <v>2260</v>
      </c>
      <c r="C271" s="464"/>
      <c r="D271" s="464" t="s">
        <v>1709</v>
      </c>
      <c r="E271" s="464" t="s">
        <v>2241</v>
      </c>
      <c r="F271" s="464" t="s">
        <v>2242</v>
      </c>
      <c r="G271" s="464" t="s">
        <v>2103</v>
      </c>
      <c r="H271" s="464" t="s">
        <v>2104</v>
      </c>
      <c r="I271" s="464" t="s">
        <v>1684</v>
      </c>
    </row>
    <row r="272" ht="15.95" customHeight="1">
      <c r="A272" s="464" t="s">
        <v>2261</v>
      </c>
      <c r="B272" s="464" t="s">
        <v>2262</v>
      </c>
      <c r="C272" s="464"/>
      <c r="D272" s="464" t="s">
        <v>1709</v>
      </c>
      <c r="E272" s="464" t="s">
        <v>2241</v>
      </c>
      <c r="F272" s="464" t="s">
        <v>2242</v>
      </c>
      <c r="G272" s="464" t="s">
        <v>2103</v>
      </c>
      <c r="H272" s="464" t="s">
        <v>2104</v>
      </c>
      <c r="I272" s="464" t="s">
        <v>1684</v>
      </c>
    </row>
    <row r="273" ht="15.95" customHeight="1">
      <c r="A273" s="464" t="s">
        <v>2263</v>
      </c>
      <c r="B273" s="464" t="s">
        <v>2264</v>
      </c>
      <c r="C273" s="464"/>
      <c r="D273" s="464" t="s">
        <v>1709</v>
      </c>
      <c r="E273" s="464" t="s">
        <v>2241</v>
      </c>
      <c r="F273" s="464" t="s">
        <v>2242</v>
      </c>
      <c r="G273" s="464" t="s">
        <v>2103</v>
      </c>
      <c r="H273" s="464" t="s">
        <v>2104</v>
      </c>
      <c r="I273" s="464" t="s">
        <v>1684</v>
      </c>
    </row>
    <row r="274" ht="15.95" customHeight="1">
      <c r="A274" s="464" t="s">
        <v>2265</v>
      </c>
      <c r="B274" s="464" t="s">
        <v>2266</v>
      </c>
      <c r="C274" s="464"/>
      <c r="D274" s="464" t="s">
        <v>1709</v>
      </c>
      <c r="E274" s="464" t="s">
        <v>2241</v>
      </c>
      <c r="F274" s="464" t="s">
        <v>2242</v>
      </c>
      <c r="G274" s="464" t="s">
        <v>2103</v>
      </c>
      <c r="H274" s="464" t="s">
        <v>2104</v>
      </c>
      <c r="I274" s="464" t="s">
        <v>1684</v>
      </c>
    </row>
    <row r="275" ht="15.95" customHeight="1">
      <c r="A275" s="464" t="s">
        <v>2267</v>
      </c>
      <c r="B275" s="464" t="s">
        <v>2268</v>
      </c>
      <c r="C275" s="464"/>
      <c r="D275" s="464" t="s">
        <v>1709</v>
      </c>
      <c r="E275" s="464" t="s">
        <v>2241</v>
      </c>
      <c r="F275" s="464" t="s">
        <v>2242</v>
      </c>
      <c r="G275" s="464" t="s">
        <v>2103</v>
      </c>
      <c r="H275" s="464" t="s">
        <v>2104</v>
      </c>
      <c r="I275" s="464" t="s">
        <v>1684</v>
      </c>
    </row>
    <row r="276" ht="15.95" customHeight="1">
      <c r="A276" s="464" t="s">
        <v>2269</v>
      </c>
      <c r="B276" s="464" t="s">
        <v>2270</v>
      </c>
      <c r="C276" s="464"/>
      <c r="D276" s="464" t="s">
        <v>1738</v>
      </c>
      <c r="E276" s="464" t="s">
        <v>2271</v>
      </c>
      <c r="F276" s="464" t="s">
        <v>2272</v>
      </c>
      <c r="G276" s="464" t="s">
        <v>2103</v>
      </c>
      <c r="H276" s="464" t="s">
        <v>2104</v>
      </c>
      <c r="I276" s="464" t="s">
        <v>1684</v>
      </c>
    </row>
    <row r="277" ht="15.95" customHeight="1">
      <c r="A277" s="464" t="s">
        <v>2273</v>
      </c>
      <c r="B277" s="464" t="s">
        <v>2274</v>
      </c>
      <c r="C277" s="464"/>
      <c r="D277" s="464" t="s">
        <v>1709</v>
      </c>
      <c r="E277" s="464" t="s">
        <v>2271</v>
      </c>
      <c r="F277" s="464" t="s">
        <v>2272</v>
      </c>
      <c r="G277" s="464" t="s">
        <v>2103</v>
      </c>
      <c r="H277" s="464" t="s">
        <v>2104</v>
      </c>
      <c r="I277" s="464" t="s">
        <v>1684</v>
      </c>
    </row>
    <row r="278" ht="15.95" customHeight="1">
      <c r="A278" s="464" t="s">
        <v>2275</v>
      </c>
      <c r="B278" s="464" t="s">
        <v>2276</v>
      </c>
      <c r="C278" s="464"/>
      <c r="D278" s="464" t="s">
        <v>1709</v>
      </c>
      <c r="E278" s="464" t="s">
        <v>2271</v>
      </c>
      <c r="F278" s="464" t="s">
        <v>2272</v>
      </c>
      <c r="G278" s="464" t="s">
        <v>2103</v>
      </c>
      <c r="H278" s="464" t="s">
        <v>2104</v>
      </c>
      <c r="I278" s="464" t="s">
        <v>1684</v>
      </c>
    </row>
    <row r="279" ht="15.95" customHeight="1">
      <c r="A279" s="464" t="s">
        <v>2277</v>
      </c>
      <c r="B279" s="464" t="s">
        <v>2278</v>
      </c>
      <c r="C279" s="464"/>
      <c r="D279" s="464" t="s">
        <v>1709</v>
      </c>
      <c r="E279" s="464" t="s">
        <v>2271</v>
      </c>
      <c r="F279" s="464" t="s">
        <v>2272</v>
      </c>
      <c r="G279" s="464" t="s">
        <v>2103</v>
      </c>
      <c r="H279" s="464" t="s">
        <v>2104</v>
      </c>
      <c r="I279" s="464" t="s">
        <v>1684</v>
      </c>
    </row>
    <row r="280" ht="15.95" customHeight="1">
      <c r="A280" s="464" t="s">
        <v>2279</v>
      </c>
      <c r="B280" s="464" t="s">
        <v>2280</v>
      </c>
      <c r="C280" s="464"/>
      <c r="D280" s="464" t="s">
        <v>1709</v>
      </c>
      <c r="E280" s="464" t="s">
        <v>2271</v>
      </c>
      <c r="F280" s="464" t="s">
        <v>2272</v>
      </c>
      <c r="G280" s="464" t="s">
        <v>2103</v>
      </c>
      <c r="H280" s="464" t="s">
        <v>2104</v>
      </c>
      <c r="I280" s="464" t="s">
        <v>1684</v>
      </c>
    </row>
    <row r="281" ht="15.95" customHeight="1">
      <c r="A281" s="464" t="s">
        <v>2281</v>
      </c>
      <c r="B281" s="464" t="s">
        <v>2282</v>
      </c>
      <c r="C281" s="464"/>
      <c r="D281" s="464" t="s">
        <v>1709</v>
      </c>
      <c r="E281" s="464" t="s">
        <v>2271</v>
      </c>
      <c r="F281" s="464" t="s">
        <v>2272</v>
      </c>
      <c r="G281" s="464" t="s">
        <v>2103</v>
      </c>
      <c r="H281" s="464" t="s">
        <v>2104</v>
      </c>
      <c r="I281" s="464" t="s">
        <v>1684</v>
      </c>
    </row>
    <row r="282" ht="15.95" customHeight="1">
      <c r="A282" s="464" t="s">
        <v>2283</v>
      </c>
      <c r="B282" s="464" t="s">
        <v>2284</v>
      </c>
      <c r="C282" s="464"/>
      <c r="D282" s="464" t="s">
        <v>1709</v>
      </c>
      <c r="E282" s="464" t="s">
        <v>2271</v>
      </c>
      <c r="F282" s="464" t="s">
        <v>2272</v>
      </c>
      <c r="G282" s="464" t="s">
        <v>2103</v>
      </c>
      <c r="H282" s="464" t="s">
        <v>2104</v>
      </c>
      <c r="I282" s="464" t="s">
        <v>1684</v>
      </c>
    </row>
    <row r="283" ht="15.95" customHeight="1">
      <c r="A283" s="464" t="s">
        <v>2285</v>
      </c>
      <c r="B283" s="464" t="s">
        <v>2286</v>
      </c>
      <c r="C283" s="464"/>
      <c r="D283" s="464" t="s">
        <v>1709</v>
      </c>
      <c r="E283" s="464" t="s">
        <v>2271</v>
      </c>
      <c r="F283" s="464" t="s">
        <v>2272</v>
      </c>
      <c r="G283" s="464" t="s">
        <v>2103</v>
      </c>
      <c r="H283" s="464" t="s">
        <v>2104</v>
      </c>
      <c r="I283" s="464" t="s">
        <v>1684</v>
      </c>
    </row>
    <row r="284" ht="15.95" customHeight="1">
      <c r="A284" s="464" t="s">
        <v>2287</v>
      </c>
      <c r="B284" s="464" t="s">
        <v>2288</v>
      </c>
      <c r="C284" s="464"/>
      <c r="D284" s="464" t="s">
        <v>1709</v>
      </c>
      <c r="E284" s="464" t="s">
        <v>2271</v>
      </c>
      <c r="F284" s="464" t="s">
        <v>2272</v>
      </c>
      <c r="G284" s="464" t="s">
        <v>2103</v>
      </c>
      <c r="H284" s="464" t="s">
        <v>2104</v>
      </c>
      <c r="I284" s="464" t="s">
        <v>1684</v>
      </c>
    </row>
    <row r="285" ht="15.95" customHeight="1">
      <c r="A285" s="464" t="s">
        <v>2289</v>
      </c>
      <c r="B285" s="464" t="s">
        <v>2290</v>
      </c>
      <c r="C285" s="464"/>
      <c r="D285" s="464" t="s">
        <v>1709</v>
      </c>
      <c r="E285" s="464" t="s">
        <v>2271</v>
      </c>
      <c r="F285" s="464" t="s">
        <v>2272</v>
      </c>
      <c r="G285" s="464" t="s">
        <v>2103</v>
      </c>
      <c r="H285" s="464" t="s">
        <v>2104</v>
      </c>
      <c r="I285" s="464" t="s">
        <v>1684</v>
      </c>
    </row>
    <row r="286" ht="15.95" customHeight="1">
      <c r="A286" s="464" t="s">
        <v>2291</v>
      </c>
      <c r="B286" s="464" t="s">
        <v>2292</v>
      </c>
      <c r="C286" s="464"/>
      <c r="D286" s="464" t="s">
        <v>1709</v>
      </c>
      <c r="E286" s="464" t="s">
        <v>2271</v>
      </c>
      <c r="F286" s="464" t="s">
        <v>2272</v>
      </c>
      <c r="G286" s="464" t="s">
        <v>2103</v>
      </c>
      <c r="H286" s="464" t="s">
        <v>2104</v>
      </c>
      <c r="I286" s="464" t="s">
        <v>1684</v>
      </c>
    </row>
    <row r="287" ht="15.95" customHeight="1">
      <c r="A287" s="464" t="s">
        <v>2293</v>
      </c>
      <c r="B287" s="464" t="s">
        <v>2294</v>
      </c>
      <c r="C287" s="464"/>
      <c r="D287" s="464" t="s">
        <v>1709</v>
      </c>
      <c r="E287" s="464" t="s">
        <v>2271</v>
      </c>
      <c r="F287" s="464" t="s">
        <v>2272</v>
      </c>
      <c r="G287" s="464" t="s">
        <v>2103</v>
      </c>
      <c r="H287" s="464" t="s">
        <v>2104</v>
      </c>
      <c r="I287" s="464" t="s">
        <v>1684</v>
      </c>
    </row>
    <row r="288" ht="15.95" customHeight="1">
      <c r="A288" s="464" t="s">
        <v>2295</v>
      </c>
      <c r="B288" s="464" t="s">
        <v>2296</v>
      </c>
      <c r="C288" s="464"/>
      <c r="D288" s="464" t="s">
        <v>1709</v>
      </c>
      <c r="E288" s="464" t="s">
        <v>2271</v>
      </c>
      <c r="F288" s="464" t="s">
        <v>2272</v>
      </c>
      <c r="G288" s="464" t="s">
        <v>2103</v>
      </c>
      <c r="H288" s="464" t="s">
        <v>2104</v>
      </c>
      <c r="I288" s="464" t="s">
        <v>1684</v>
      </c>
    </row>
    <row r="289" ht="15.95" customHeight="1">
      <c r="A289" s="464" t="s">
        <v>2297</v>
      </c>
      <c r="B289" s="464" t="s">
        <v>2298</v>
      </c>
      <c r="C289" s="464"/>
      <c r="D289" s="464" t="s">
        <v>1709</v>
      </c>
      <c r="E289" s="464" t="s">
        <v>2271</v>
      </c>
      <c r="F289" s="464" t="s">
        <v>2272</v>
      </c>
      <c r="G289" s="464" t="s">
        <v>2103</v>
      </c>
      <c r="H289" s="464" t="s">
        <v>2104</v>
      </c>
      <c r="I289" s="464" t="s">
        <v>1684</v>
      </c>
    </row>
    <row r="290" ht="15.95" customHeight="1">
      <c r="A290" s="464" t="s">
        <v>2299</v>
      </c>
      <c r="B290" s="464" t="s">
        <v>2300</v>
      </c>
      <c r="C290" s="464"/>
      <c r="D290" s="464" t="s">
        <v>1709</v>
      </c>
      <c r="E290" s="464" t="s">
        <v>2271</v>
      </c>
      <c r="F290" s="464" t="s">
        <v>2272</v>
      </c>
      <c r="G290" s="464" t="s">
        <v>2103</v>
      </c>
      <c r="H290" s="464" t="s">
        <v>2104</v>
      </c>
      <c r="I290" s="464" t="s">
        <v>1684</v>
      </c>
    </row>
    <row r="291" ht="15.95" customHeight="1">
      <c r="A291" s="464" t="s">
        <v>2301</v>
      </c>
      <c r="B291" s="464" t="s">
        <v>2302</v>
      </c>
      <c r="C291" s="464"/>
      <c r="D291" s="464" t="s">
        <v>1709</v>
      </c>
      <c r="E291" s="464" t="s">
        <v>2271</v>
      </c>
      <c r="F291" s="464" t="s">
        <v>2272</v>
      </c>
      <c r="G291" s="464" t="s">
        <v>2103</v>
      </c>
      <c r="H291" s="464" t="s">
        <v>2104</v>
      </c>
      <c r="I291" s="464" t="s">
        <v>1684</v>
      </c>
    </row>
    <row r="292" ht="15.95" customHeight="1">
      <c r="A292" s="464" t="s">
        <v>2303</v>
      </c>
      <c r="B292" s="464" t="s">
        <v>2304</v>
      </c>
      <c r="C292" s="464"/>
      <c r="D292" s="464" t="s">
        <v>1709</v>
      </c>
      <c r="E292" s="464" t="s">
        <v>2271</v>
      </c>
      <c r="F292" s="464" t="s">
        <v>2272</v>
      </c>
      <c r="G292" s="464" t="s">
        <v>2103</v>
      </c>
      <c r="H292" s="464" t="s">
        <v>2104</v>
      </c>
      <c r="I292" s="464" t="s">
        <v>1684</v>
      </c>
    </row>
    <row r="293" ht="15.95" customHeight="1">
      <c r="A293" s="464" t="s">
        <v>2305</v>
      </c>
      <c r="B293" s="464" t="s">
        <v>2306</v>
      </c>
      <c r="C293" s="464"/>
      <c r="D293" s="464" t="s">
        <v>1709</v>
      </c>
      <c r="E293" s="464" t="s">
        <v>2271</v>
      </c>
      <c r="F293" s="464" t="s">
        <v>2272</v>
      </c>
      <c r="G293" s="464" t="s">
        <v>2103</v>
      </c>
      <c r="H293" s="464" t="s">
        <v>2104</v>
      </c>
      <c r="I293" s="464" t="s">
        <v>1684</v>
      </c>
    </row>
    <row r="294" ht="15.95" customHeight="1">
      <c r="A294" s="464" t="s">
        <v>2307</v>
      </c>
      <c r="B294" s="464" t="s">
        <v>2308</v>
      </c>
      <c r="C294" s="464"/>
      <c r="D294" s="464" t="s">
        <v>1709</v>
      </c>
      <c r="E294" s="464" t="s">
        <v>2271</v>
      </c>
      <c r="F294" s="464" t="s">
        <v>2272</v>
      </c>
      <c r="G294" s="464" t="s">
        <v>2103</v>
      </c>
      <c r="H294" s="464" t="s">
        <v>2104</v>
      </c>
      <c r="I294" s="464" t="s">
        <v>1684</v>
      </c>
    </row>
    <row r="295" ht="15.95" customHeight="1">
      <c r="A295" s="464" t="s">
        <v>2309</v>
      </c>
      <c r="B295" s="464" t="s">
        <v>2310</v>
      </c>
      <c r="C295" s="464"/>
      <c r="D295" s="464" t="s">
        <v>1738</v>
      </c>
      <c r="E295" s="464" t="s">
        <v>2311</v>
      </c>
      <c r="F295" s="464" t="s">
        <v>2312</v>
      </c>
      <c r="G295" s="464" t="s">
        <v>2103</v>
      </c>
      <c r="H295" s="464" t="s">
        <v>2104</v>
      </c>
      <c r="I295" s="464" t="s">
        <v>1684</v>
      </c>
    </row>
    <row r="296" ht="15.95" customHeight="1">
      <c r="A296" s="464" t="s">
        <v>2313</v>
      </c>
      <c r="B296" s="464" t="s">
        <v>2314</v>
      </c>
      <c r="C296" s="464"/>
      <c r="D296" s="464" t="s">
        <v>1709</v>
      </c>
      <c r="E296" s="464" t="s">
        <v>2311</v>
      </c>
      <c r="F296" s="464" t="s">
        <v>2312</v>
      </c>
      <c r="G296" s="464" t="s">
        <v>2103</v>
      </c>
      <c r="H296" s="464" t="s">
        <v>2104</v>
      </c>
      <c r="I296" s="464" t="s">
        <v>1684</v>
      </c>
    </row>
    <row r="297" ht="15.95" customHeight="1">
      <c r="A297" s="464" t="s">
        <v>2315</v>
      </c>
      <c r="B297" s="464" t="s">
        <v>2316</v>
      </c>
      <c r="C297" s="464"/>
      <c r="D297" s="464" t="s">
        <v>1709</v>
      </c>
      <c r="E297" s="464" t="s">
        <v>2311</v>
      </c>
      <c r="F297" s="464" t="s">
        <v>2312</v>
      </c>
      <c r="G297" s="464" t="s">
        <v>2103</v>
      </c>
      <c r="H297" s="464" t="s">
        <v>2104</v>
      </c>
      <c r="I297" s="464" t="s">
        <v>1684</v>
      </c>
    </row>
    <row r="298" ht="15.95" customHeight="1">
      <c r="A298" s="464" t="s">
        <v>2317</v>
      </c>
      <c r="B298" s="464" t="s">
        <v>2318</v>
      </c>
      <c r="C298" s="464"/>
      <c r="D298" s="464" t="s">
        <v>1709</v>
      </c>
      <c r="E298" s="464" t="s">
        <v>2311</v>
      </c>
      <c r="F298" s="464" t="s">
        <v>2312</v>
      </c>
      <c r="G298" s="464" t="s">
        <v>2103</v>
      </c>
      <c r="H298" s="464" t="s">
        <v>2104</v>
      </c>
      <c r="I298" s="464" t="s">
        <v>1684</v>
      </c>
    </row>
    <row r="299" ht="15.95" customHeight="1">
      <c r="A299" s="464" t="s">
        <v>2319</v>
      </c>
      <c r="B299" s="464" t="s">
        <v>2320</v>
      </c>
      <c r="C299" s="464"/>
      <c r="D299" s="464" t="s">
        <v>1709</v>
      </c>
      <c r="E299" s="464" t="s">
        <v>2311</v>
      </c>
      <c r="F299" s="464" t="s">
        <v>2312</v>
      </c>
      <c r="G299" s="464" t="s">
        <v>2103</v>
      </c>
      <c r="H299" s="464" t="s">
        <v>2104</v>
      </c>
      <c r="I299" s="464" t="s">
        <v>1684</v>
      </c>
    </row>
    <row r="300" ht="15.95" customHeight="1">
      <c r="A300" s="464" t="s">
        <v>2321</v>
      </c>
      <c r="B300" s="464" t="s">
        <v>2322</v>
      </c>
      <c r="C300" s="464"/>
      <c r="D300" s="464" t="s">
        <v>1709</v>
      </c>
      <c r="E300" s="464" t="s">
        <v>2311</v>
      </c>
      <c r="F300" s="464" t="s">
        <v>2312</v>
      </c>
      <c r="G300" s="464" t="s">
        <v>2103</v>
      </c>
      <c r="H300" s="464" t="s">
        <v>2104</v>
      </c>
      <c r="I300" s="464" t="s">
        <v>1684</v>
      </c>
    </row>
    <row r="301" ht="15.95" customHeight="1">
      <c r="A301" s="464" t="s">
        <v>2323</v>
      </c>
      <c r="B301" s="464" t="s">
        <v>2324</v>
      </c>
      <c r="C301" s="464"/>
      <c r="D301" s="464" t="s">
        <v>1709</v>
      </c>
      <c r="E301" s="464" t="s">
        <v>2311</v>
      </c>
      <c r="F301" s="464" t="s">
        <v>2312</v>
      </c>
      <c r="G301" s="464" t="s">
        <v>2103</v>
      </c>
      <c r="H301" s="464" t="s">
        <v>2104</v>
      </c>
      <c r="I301" s="464" t="s">
        <v>1684</v>
      </c>
    </row>
    <row r="302" ht="15.95" customHeight="1">
      <c r="A302" s="464" t="s">
        <v>2325</v>
      </c>
      <c r="B302" s="464" t="s">
        <v>2326</v>
      </c>
      <c r="C302" s="464"/>
      <c r="D302" s="464" t="s">
        <v>1709</v>
      </c>
      <c r="E302" s="464" t="s">
        <v>2311</v>
      </c>
      <c r="F302" s="464" t="s">
        <v>2312</v>
      </c>
      <c r="G302" s="464" t="s">
        <v>2103</v>
      </c>
      <c r="H302" s="464" t="s">
        <v>2104</v>
      </c>
      <c r="I302" s="464" t="s">
        <v>1684</v>
      </c>
    </row>
    <row r="303" ht="15.95" customHeight="1">
      <c r="A303" s="464" t="s">
        <v>2327</v>
      </c>
      <c r="B303" s="464" t="s">
        <v>2328</v>
      </c>
      <c r="C303" s="464"/>
      <c r="D303" s="464" t="s">
        <v>1709</v>
      </c>
      <c r="E303" s="464" t="s">
        <v>2311</v>
      </c>
      <c r="F303" s="464" t="s">
        <v>2312</v>
      </c>
      <c r="G303" s="464" t="s">
        <v>2103</v>
      </c>
      <c r="H303" s="464" t="s">
        <v>2104</v>
      </c>
      <c r="I303" s="464" t="s">
        <v>1684</v>
      </c>
    </row>
    <row r="304" ht="15.95" customHeight="1">
      <c r="A304" s="464" t="s">
        <v>2329</v>
      </c>
      <c r="B304" s="464" t="s">
        <v>2330</v>
      </c>
      <c r="C304" s="464"/>
      <c r="D304" s="464" t="s">
        <v>1709</v>
      </c>
      <c r="E304" s="464" t="s">
        <v>2311</v>
      </c>
      <c r="F304" s="464" t="s">
        <v>2312</v>
      </c>
      <c r="G304" s="464" t="s">
        <v>2103</v>
      </c>
      <c r="H304" s="464" t="s">
        <v>2104</v>
      </c>
      <c r="I304" s="464" t="s">
        <v>1684</v>
      </c>
    </row>
    <row r="305" ht="15.95" customHeight="1">
      <c r="A305" s="464" t="s">
        <v>2331</v>
      </c>
      <c r="B305" s="464" t="s">
        <v>2332</v>
      </c>
      <c r="C305" s="464"/>
      <c r="D305" s="464" t="s">
        <v>1709</v>
      </c>
      <c r="E305" s="464" t="s">
        <v>2311</v>
      </c>
      <c r="F305" s="464" t="s">
        <v>2312</v>
      </c>
      <c r="G305" s="464" t="s">
        <v>2103</v>
      </c>
      <c r="H305" s="464" t="s">
        <v>2104</v>
      </c>
      <c r="I305" s="464" t="s">
        <v>1684</v>
      </c>
    </row>
    <row r="306" ht="15.95" customHeight="1">
      <c r="A306" s="464" t="s">
        <v>2333</v>
      </c>
      <c r="B306" s="464" t="s">
        <v>2334</v>
      </c>
      <c r="C306" s="464"/>
      <c r="D306" s="464" t="s">
        <v>1709</v>
      </c>
      <c r="E306" s="464" t="s">
        <v>2311</v>
      </c>
      <c r="F306" s="464" t="s">
        <v>2312</v>
      </c>
      <c r="G306" s="464" t="s">
        <v>2103</v>
      </c>
      <c r="H306" s="464" t="s">
        <v>2104</v>
      </c>
      <c r="I306" s="464" t="s">
        <v>1684</v>
      </c>
    </row>
    <row r="307" ht="15.95" customHeight="1">
      <c r="A307" s="464" t="s">
        <v>2335</v>
      </c>
      <c r="B307" s="464" t="s">
        <v>2336</v>
      </c>
      <c r="C307" s="464"/>
      <c r="D307" s="464" t="s">
        <v>1709</v>
      </c>
      <c r="E307" s="464" t="s">
        <v>2311</v>
      </c>
      <c r="F307" s="464" t="s">
        <v>2312</v>
      </c>
      <c r="G307" s="464" t="s">
        <v>2103</v>
      </c>
      <c r="H307" s="464" t="s">
        <v>2104</v>
      </c>
      <c r="I307" s="464" t="s">
        <v>1684</v>
      </c>
    </row>
    <row r="308" ht="15.95" customHeight="1">
      <c r="A308" s="464" t="s">
        <v>2337</v>
      </c>
      <c r="B308" s="464" t="s">
        <v>2338</v>
      </c>
      <c r="C308" s="464"/>
      <c r="D308" s="464" t="s">
        <v>1709</v>
      </c>
      <c r="E308" s="464" t="s">
        <v>2311</v>
      </c>
      <c r="F308" s="464" t="s">
        <v>2312</v>
      </c>
      <c r="G308" s="464" t="s">
        <v>2103</v>
      </c>
      <c r="H308" s="464" t="s">
        <v>2104</v>
      </c>
      <c r="I308" s="464" t="s">
        <v>1684</v>
      </c>
    </row>
    <row r="309" ht="15.95" customHeight="1">
      <c r="A309" s="464" t="s">
        <v>2339</v>
      </c>
      <c r="B309" s="464" t="s">
        <v>2340</v>
      </c>
      <c r="C309" s="464"/>
      <c r="D309" s="464" t="s">
        <v>1738</v>
      </c>
      <c r="E309" s="464" t="s">
        <v>2341</v>
      </c>
      <c r="F309" s="464" t="s">
        <v>2342</v>
      </c>
      <c r="G309" s="464" t="s">
        <v>2103</v>
      </c>
      <c r="H309" s="464" t="s">
        <v>2104</v>
      </c>
      <c r="I309" s="464" t="s">
        <v>1684</v>
      </c>
    </row>
    <row r="310" ht="15.95" customHeight="1">
      <c r="A310" s="464" t="s">
        <v>2343</v>
      </c>
      <c r="B310" s="464" t="s">
        <v>2344</v>
      </c>
      <c r="C310" s="464"/>
      <c r="D310" s="464" t="s">
        <v>1738</v>
      </c>
      <c r="E310" s="464" t="s">
        <v>2341</v>
      </c>
      <c r="F310" s="464" t="s">
        <v>2342</v>
      </c>
      <c r="G310" s="464" t="s">
        <v>2103</v>
      </c>
      <c r="H310" s="464" t="s">
        <v>2104</v>
      </c>
      <c r="I310" s="464" t="s">
        <v>1684</v>
      </c>
    </row>
    <row r="311" ht="15.95" customHeight="1">
      <c r="A311" s="464" t="s">
        <v>2345</v>
      </c>
      <c r="B311" s="464" t="s">
        <v>2346</v>
      </c>
      <c r="C311" s="464"/>
      <c r="D311" s="464" t="s">
        <v>1709</v>
      </c>
      <c r="E311" s="464" t="s">
        <v>2341</v>
      </c>
      <c r="F311" s="464" t="s">
        <v>2342</v>
      </c>
      <c r="G311" s="464" t="s">
        <v>2103</v>
      </c>
      <c r="H311" s="464" t="s">
        <v>2104</v>
      </c>
      <c r="I311" s="464" t="s">
        <v>1684</v>
      </c>
    </row>
    <row r="312" ht="15.95" customHeight="1">
      <c r="A312" s="464" t="s">
        <v>2347</v>
      </c>
      <c r="B312" s="464" t="s">
        <v>2348</v>
      </c>
      <c r="C312" s="464"/>
      <c r="D312" s="464" t="s">
        <v>1709</v>
      </c>
      <c r="E312" s="464" t="s">
        <v>2341</v>
      </c>
      <c r="F312" s="464" t="s">
        <v>2342</v>
      </c>
      <c r="G312" s="464" t="s">
        <v>2103</v>
      </c>
      <c r="H312" s="464" t="s">
        <v>2104</v>
      </c>
      <c r="I312" s="464" t="s">
        <v>1684</v>
      </c>
    </row>
    <row r="313" ht="15.95" customHeight="1">
      <c r="A313" s="464" t="s">
        <v>2349</v>
      </c>
      <c r="B313" s="464" t="s">
        <v>2350</v>
      </c>
      <c r="C313" s="464"/>
      <c r="D313" s="464" t="s">
        <v>1709</v>
      </c>
      <c r="E313" s="464" t="s">
        <v>2341</v>
      </c>
      <c r="F313" s="464" t="s">
        <v>2342</v>
      </c>
      <c r="G313" s="464" t="s">
        <v>2103</v>
      </c>
      <c r="H313" s="464" t="s">
        <v>2104</v>
      </c>
      <c r="I313" s="464" t="s">
        <v>1684</v>
      </c>
    </row>
    <row r="314" ht="15.95" customHeight="1">
      <c r="A314" s="464" t="s">
        <v>2351</v>
      </c>
      <c r="B314" s="464" t="s">
        <v>2352</v>
      </c>
      <c r="C314" s="464"/>
      <c r="D314" s="464" t="s">
        <v>1709</v>
      </c>
      <c r="E314" s="464" t="s">
        <v>2341</v>
      </c>
      <c r="F314" s="464" t="s">
        <v>2342</v>
      </c>
      <c r="G314" s="464" t="s">
        <v>2103</v>
      </c>
      <c r="H314" s="464" t="s">
        <v>2104</v>
      </c>
      <c r="I314" s="464" t="s">
        <v>1684</v>
      </c>
    </row>
    <row r="315" ht="15.95" customHeight="1">
      <c r="A315" s="464" t="s">
        <v>2353</v>
      </c>
      <c r="B315" s="464" t="s">
        <v>2354</v>
      </c>
      <c r="C315" s="464"/>
      <c r="D315" s="464" t="s">
        <v>1709</v>
      </c>
      <c r="E315" s="464" t="s">
        <v>2341</v>
      </c>
      <c r="F315" s="464" t="s">
        <v>2342</v>
      </c>
      <c r="G315" s="464" t="s">
        <v>2103</v>
      </c>
      <c r="H315" s="464" t="s">
        <v>2104</v>
      </c>
      <c r="I315" s="464" t="s">
        <v>1684</v>
      </c>
    </row>
    <row r="316" ht="15.95" customHeight="1">
      <c r="A316" s="464" t="s">
        <v>2355</v>
      </c>
      <c r="B316" s="464" t="s">
        <v>2356</v>
      </c>
      <c r="C316" s="464"/>
      <c r="D316" s="464" t="s">
        <v>1709</v>
      </c>
      <c r="E316" s="464" t="s">
        <v>2341</v>
      </c>
      <c r="F316" s="464" t="s">
        <v>2342</v>
      </c>
      <c r="G316" s="464" t="s">
        <v>2103</v>
      </c>
      <c r="H316" s="464" t="s">
        <v>2104</v>
      </c>
      <c r="I316" s="464" t="s">
        <v>1684</v>
      </c>
    </row>
    <row r="317" ht="15.95" customHeight="1">
      <c r="A317" s="464" t="s">
        <v>2357</v>
      </c>
      <c r="B317" s="464" t="s">
        <v>2358</v>
      </c>
      <c r="C317" s="464"/>
      <c r="D317" s="464" t="s">
        <v>1709</v>
      </c>
      <c r="E317" s="464" t="s">
        <v>2341</v>
      </c>
      <c r="F317" s="464" t="s">
        <v>2342</v>
      </c>
      <c r="G317" s="464" t="s">
        <v>2103</v>
      </c>
      <c r="H317" s="464" t="s">
        <v>2104</v>
      </c>
      <c r="I317" s="464" t="s">
        <v>1684</v>
      </c>
    </row>
    <row r="318" ht="15.95" customHeight="1">
      <c r="A318" s="464" t="s">
        <v>2359</v>
      </c>
      <c r="B318" s="464" t="s">
        <v>2360</v>
      </c>
      <c r="C318" s="464"/>
      <c r="D318" s="464" t="s">
        <v>1709</v>
      </c>
      <c r="E318" s="464" t="s">
        <v>2341</v>
      </c>
      <c r="F318" s="464" t="s">
        <v>2342</v>
      </c>
      <c r="G318" s="464" t="s">
        <v>2103</v>
      </c>
      <c r="H318" s="464" t="s">
        <v>2104</v>
      </c>
      <c r="I318" s="464" t="s">
        <v>1684</v>
      </c>
    </row>
    <row r="319" ht="15.95" customHeight="1">
      <c r="A319" s="464" t="s">
        <v>2361</v>
      </c>
      <c r="B319" s="464" t="s">
        <v>2362</v>
      </c>
      <c r="C319" s="464"/>
      <c r="D319" s="464" t="s">
        <v>1738</v>
      </c>
      <c r="E319" s="464" t="s">
        <v>2363</v>
      </c>
      <c r="F319" s="464" t="s">
        <v>2364</v>
      </c>
      <c r="G319" s="464" t="s">
        <v>2103</v>
      </c>
      <c r="H319" s="464" t="s">
        <v>2104</v>
      </c>
      <c r="I319" s="464" t="s">
        <v>1684</v>
      </c>
    </row>
    <row r="320" ht="15.95" customHeight="1">
      <c r="A320" s="464" t="s">
        <v>2365</v>
      </c>
      <c r="B320" s="464" t="s">
        <v>2366</v>
      </c>
      <c r="C320" s="464"/>
      <c r="D320" s="464" t="s">
        <v>1709</v>
      </c>
      <c r="E320" s="464" t="s">
        <v>2363</v>
      </c>
      <c r="F320" s="464" t="s">
        <v>2364</v>
      </c>
      <c r="G320" s="464" t="s">
        <v>2103</v>
      </c>
      <c r="H320" s="464" t="s">
        <v>2104</v>
      </c>
      <c r="I320" s="464" t="s">
        <v>1684</v>
      </c>
    </row>
    <row r="321" ht="15.95" customHeight="1">
      <c r="A321" s="464" t="s">
        <v>2367</v>
      </c>
      <c r="B321" s="464" t="s">
        <v>2368</v>
      </c>
      <c r="C321" s="464"/>
      <c r="D321" s="464" t="s">
        <v>1709</v>
      </c>
      <c r="E321" s="464" t="s">
        <v>2363</v>
      </c>
      <c r="F321" s="464" t="s">
        <v>2364</v>
      </c>
      <c r="G321" s="464" t="s">
        <v>2103</v>
      </c>
      <c r="H321" s="464" t="s">
        <v>2104</v>
      </c>
      <c r="I321" s="464" t="s">
        <v>1684</v>
      </c>
    </row>
    <row r="322" ht="15.95" customHeight="1">
      <c r="A322" s="464" t="s">
        <v>2369</v>
      </c>
      <c r="B322" s="464" t="s">
        <v>2370</v>
      </c>
      <c r="C322" s="464"/>
      <c r="D322" s="464" t="s">
        <v>1709</v>
      </c>
      <c r="E322" s="464" t="s">
        <v>2363</v>
      </c>
      <c r="F322" s="464" t="s">
        <v>2364</v>
      </c>
      <c r="G322" s="464" t="s">
        <v>2103</v>
      </c>
      <c r="H322" s="464" t="s">
        <v>2104</v>
      </c>
      <c r="I322" s="464" t="s">
        <v>1684</v>
      </c>
    </row>
    <row r="323" ht="15.95" customHeight="1">
      <c r="A323" s="464" t="s">
        <v>2371</v>
      </c>
      <c r="B323" s="464" t="s">
        <v>2372</v>
      </c>
      <c r="C323" s="464"/>
      <c r="D323" s="464" t="s">
        <v>1709</v>
      </c>
      <c r="E323" s="464" t="s">
        <v>2363</v>
      </c>
      <c r="F323" s="464" t="s">
        <v>2364</v>
      </c>
      <c r="G323" s="464" t="s">
        <v>2103</v>
      </c>
      <c r="H323" s="464" t="s">
        <v>2104</v>
      </c>
      <c r="I323" s="464" t="s">
        <v>1684</v>
      </c>
    </row>
    <row r="324" ht="15.95" customHeight="1">
      <c r="A324" s="464" t="s">
        <v>2373</v>
      </c>
      <c r="B324" s="464" t="s">
        <v>2374</v>
      </c>
      <c r="C324" s="464"/>
      <c r="D324" s="464" t="s">
        <v>1709</v>
      </c>
      <c r="E324" s="464" t="s">
        <v>2363</v>
      </c>
      <c r="F324" s="464" t="s">
        <v>2364</v>
      </c>
      <c r="G324" s="464" t="s">
        <v>2103</v>
      </c>
      <c r="H324" s="464" t="s">
        <v>2104</v>
      </c>
      <c r="I324" s="464" t="s">
        <v>1684</v>
      </c>
    </row>
    <row r="325" ht="15.95" customHeight="1">
      <c r="A325" s="464" t="s">
        <v>2375</v>
      </c>
      <c r="B325" s="464" t="s">
        <v>2376</v>
      </c>
      <c r="C325" s="464"/>
      <c r="D325" s="464" t="s">
        <v>1709</v>
      </c>
      <c r="E325" s="464" t="s">
        <v>2363</v>
      </c>
      <c r="F325" s="464" t="s">
        <v>2364</v>
      </c>
      <c r="G325" s="464" t="s">
        <v>2103</v>
      </c>
      <c r="H325" s="464" t="s">
        <v>2104</v>
      </c>
      <c r="I325" s="464" t="s">
        <v>1684</v>
      </c>
    </row>
    <row r="326" ht="15.95" customHeight="1">
      <c r="A326" s="464" t="s">
        <v>2377</v>
      </c>
      <c r="B326" s="464" t="s">
        <v>2378</v>
      </c>
      <c r="C326" s="464"/>
      <c r="D326" s="464" t="s">
        <v>1709</v>
      </c>
      <c r="E326" s="464" t="s">
        <v>2363</v>
      </c>
      <c r="F326" s="464" t="s">
        <v>2364</v>
      </c>
      <c r="G326" s="464" t="s">
        <v>2103</v>
      </c>
      <c r="H326" s="464" t="s">
        <v>2104</v>
      </c>
      <c r="I326" s="464" t="s">
        <v>1684</v>
      </c>
    </row>
    <row r="327" ht="15.95" customHeight="1">
      <c r="A327" s="464" t="s">
        <v>2379</v>
      </c>
      <c r="B327" s="464" t="s">
        <v>2380</v>
      </c>
      <c r="C327" s="464"/>
      <c r="D327" s="464" t="s">
        <v>1709</v>
      </c>
      <c r="E327" s="464" t="s">
        <v>2363</v>
      </c>
      <c r="F327" s="464" t="s">
        <v>2364</v>
      </c>
      <c r="G327" s="464" t="s">
        <v>2103</v>
      </c>
      <c r="H327" s="464" t="s">
        <v>2104</v>
      </c>
      <c r="I327" s="464" t="s">
        <v>1684</v>
      </c>
    </row>
    <row r="328" ht="15.95" customHeight="1">
      <c r="A328" s="464" t="s">
        <v>2381</v>
      </c>
      <c r="B328" s="464" t="s">
        <v>2382</v>
      </c>
      <c r="C328" s="464"/>
      <c r="D328" s="464" t="s">
        <v>1709</v>
      </c>
      <c r="E328" s="464" t="s">
        <v>2363</v>
      </c>
      <c r="F328" s="464" t="s">
        <v>2364</v>
      </c>
      <c r="G328" s="464" t="s">
        <v>2103</v>
      </c>
      <c r="H328" s="464" t="s">
        <v>2104</v>
      </c>
      <c r="I328" s="464" t="s">
        <v>1684</v>
      </c>
    </row>
    <row r="329" ht="15.95" customHeight="1">
      <c r="A329" s="464" t="s">
        <v>2383</v>
      </c>
      <c r="B329" s="464" t="s">
        <v>2384</v>
      </c>
      <c r="C329" s="464"/>
      <c r="D329" s="464" t="s">
        <v>1709</v>
      </c>
      <c r="E329" s="464" t="s">
        <v>2363</v>
      </c>
      <c r="F329" s="464" t="s">
        <v>2364</v>
      </c>
      <c r="G329" s="464" t="s">
        <v>2103</v>
      </c>
      <c r="H329" s="464" t="s">
        <v>2104</v>
      </c>
      <c r="I329" s="464" t="s">
        <v>1684</v>
      </c>
    </row>
    <row r="330" ht="15.95" customHeight="1">
      <c r="A330" s="464" t="s">
        <v>2385</v>
      </c>
      <c r="B330" s="464" t="s">
        <v>2386</v>
      </c>
      <c r="C330" s="464"/>
      <c r="D330" s="464" t="s">
        <v>1738</v>
      </c>
      <c r="E330" s="464" t="s">
        <v>2387</v>
      </c>
      <c r="F330" s="464" t="s">
        <v>2388</v>
      </c>
      <c r="G330" s="464" t="s">
        <v>2103</v>
      </c>
      <c r="H330" s="464" t="s">
        <v>2104</v>
      </c>
      <c r="I330" s="464" t="s">
        <v>1684</v>
      </c>
    </row>
    <row r="331" ht="15.95" customHeight="1">
      <c r="A331" s="464" t="s">
        <v>2389</v>
      </c>
      <c r="B331" s="464" t="s">
        <v>2390</v>
      </c>
      <c r="C331" s="464"/>
      <c r="D331" s="464" t="s">
        <v>1709</v>
      </c>
      <c r="E331" s="464" t="s">
        <v>2387</v>
      </c>
      <c r="F331" s="464" t="s">
        <v>2388</v>
      </c>
      <c r="G331" s="464" t="s">
        <v>2103</v>
      </c>
      <c r="H331" s="464" t="s">
        <v>2104</v>
      </c>
      <c r="I331" s="464" t="s">
        <v>1684</v>
      </c>
    </row>
    <row r="332" ht="15.95" customHeight="1">
      <c r="A332" s="464" t="s">
        <v>2391</v>
      </c>
      <c r="B332" s="464" t="s">
        <v>2392</v>
      </c>
      <c r="C332" s="464"/>
      <c r="D332" s="464" t="s">
        <v>1709</v>
      </c>
      <c r="E332" s="464" t="s">
        <v>2387</v>
      </c>
      <c r="F332" s="464" t="s">
        <v>2388</v>
      </c>
      <c r="G332" s="464" t="s">
        <v>2103</v>
      </c>
      <c r="H332" s="464" t="s">
        <v>2104</v>
      </c>
      <c r="I332" s="464" t="s">
        <v>1684</v>
      </c>
    </row>
    <row r="333" ht="15.95" customHeight="1">
      <c r="A333" s="464" t="s">
        <v>2393</v>
      </c>
      <c r="B333" s="464" t="s">
        <v>2394</v>
      </c>
      <c r="C333" s="464"/>
      <c r="D333" s="464" t="s">
        <v>1709</v>
      </c>
      <c r="E333" s="464" t="s">
        <v>2387</v>
      </c>
      <c r="F333" s="464" t="s">
        <v>2388</v>
      </c>
      <c r="G333" s="464" t="s">
        <v>2103</v>
      </c>
      <c r="H333" s="464" t="s">
        <v>2104</v>
      </c>
      <c r="I333" s="464" t="s">
        <v>1684</v>
      </c>
    </row>
    <row r="334" ht="15.95" customHeight="1">
      <c r="A334" s="464" t="s">
        <v>2395</v>
      </c>
      <c r="B334" s="464" t="s">
        <v>2396</v>
      </c>
      <c r="C334" s="464"/>
      <c r="D334" s="464" t="s">
        <v>1709</v>
      </c>
      <c r="E334" s="464" t="s">
        <v>2387</v>
      </c>
      <c r="F334" s="464" t="s">
        <v>2388</v>
      </c>
      <c r="G334" s="464" t="s">
        <v>2103</v>
      </c>
      <c r="H334" s="464" t="s">
        <v>2104</v>
      </c>
      <c r="I334" s="464" t="s">
        <v>1684</v>
      </c>
    </row>
    <row r="335" ht="15.95" customHeight="1">
      <c r="A335" s="464" t="s">
        <v>2397</v>
      </c>
      <c r="B335" s="464" t="s">
        <v>2398</v>
      </c>
      <c r="C335" s="464"/>
      <c r="D335" s="464" t="s">
        <v>1709</v>
      </c>
      <c r="E335" s="464" t="s">
        <v>2387</v>
      </c>
      <c r="F335" s="464" t="s">
        <v>2388</v>
      </c>
      <c r="G335" s="464" t="s">
        <v>2103</v>
      </c>
      <c r="H335" s="464" t="s">
        <v>2104</v>
      </c>
      <c r="I335" s="464" t="s">
        <v>1684</v>
      </c>
    </row>
    <row r="336" ht="15.95" customHeight="1">
      <c r="A336" s="464" t="s">
        <v>2399</v>
      </c>
      <c r="B336" s="464" t="s">
        <v>2400</v>
      </c>
      <c r="C336" s="464"/>
      <c r="D336" s="464" t="s">
        <v>1709</v>
      </c>
      <c r="E336" s="464" t="s">
        <v>2387</v>
      </c>
      <c r="F336" s="464" t="s">
        <v>2388</v>
      </c>
      <c r="G336" s="464" t="s">
        <v>2103</v>
      </c>
      <c r="H336" s="464" t="s">
        <v>2104</v>
      </c>
      <c r="I336" s="464" t="s">
        <v>1684</v>
      </c>
    </row>
    <row r="337" ht="15.95" customHeight="1">
      <c r="A337" s="464" t="s">
        <v>2401</v>
      </c>
      <c r="B337" s="464" t="s">
        <v>2402</v>
      </c>
      <c r="C337" s="464"/>
      <c r="D337" s="464" t="s">
        <v>1709</v>
      </c>
      <c r="E337" s="464" t="s">
        <v>2387</v>
      </c>
      <c r="F337" s="464" t="s">
        <v>2388</v>
      </c>
      <c r="G337" s="464" t="s">
        <v>2103</v>
      </c>
      <c r="H337" s="464" t="s">
        <v>2104</v>
      </c>
      <c r="I337" s="464" t="s">
        <v>1684</v>
      </c>
    </row>
    <row r="338" ht="15.95" customHeight="1">
      <c r="A338" s="464" t="s">
        <v>2403</v>
      </c>
      <c r="B338" s="464" t="s">
        <v>2404</v>
      </c>
      <c r="C338" s="464"/>
      <c r="D338" s="464" t="s">
        <v>1709</v>
      </c>
      <c r="E338" s="464" t="s">
        <v>2387</v>
      </c>
      <c r="F338" s="464" t="s">
        <v>2388</v>
      </c>
      <c r="G338" s="464" t="s">
        <v>2103</v>
      </c>
      <c r="H338" s="464" t="s">
        <v>2104</v>
      </c>
      <c r="I338" s="464" t="s">
        <v>1684</v>
      </c>
    </row>
    <row r="339" ht="15.95" customHeight="1">
      <c r="A339" s="464" t="s">
        <v>2405</v>
      </c>
      <c r="B339" s="464" t="s">
        <v>2406</v>
      </c>
      <c r="C339" s="464"/>
      <c r="D339" s="464" t="s">
        <v>1709</v>
      </c>
      <c r="E339" s="464" t="s">
        <v>2387</v>
      </c>
      <c r="F339" s="464" t="s">
        <v>2388</v>
      </c>
      <c r="G339" s="464" t="s">
        <v>2103</v>
      </c>
      <c r="H339" s="464" t="s">
        <v>2104</v>
      </c>
      <c r="I339" s="464" t="s">
        <v>1684</v>
      </c>
    </row>
    <row r="340" ht="15.95" customHeight="1">
      <c r="A340" s="464" t="s">
        <v>2407</v>
      </c>
      <c r="B340" s="464" t="s">
        <v>2408</v>
      </c>
      <c r="C340" s="464"/>
      <c r="D340" s="464" t="s">
        <v>1709</v>
      </c>
      <c r="E340" s="464" t="s">
        <v>2387</v>
      </c>
      <c r="F340" s="464" t="s">
        <v>2388</v>
      </c>
      <c r="G340" s="464" t="s">
        <v>2103</v>
      </c>
      <c r="H340" s="464" t="s">
        <v>2104</v>
      </c>
      <c r="I340" s="464" t="s">
        <v>1684</v>
      </c>
    </row>
    <row r="341" ht="15.95" customHeight="1">
      <c r="A341" s="464" t="s">
        <v>2409</v>
      </c>
      <c r="B341" s="464" t="s">
        <v>2410</v>
      </c>
      <c r="C341" s="464"/>
      <c r="D341" s="464" t="s">
        <v>1679</v>
      </c>
      <c r="E341" s="464" t="s">
        <v>2411</v>
      </c>
      <c r="F341" s="464" t="s">
        <v>2412</v>
      </c>
      <c r="G341" s="464" t="s">
        <v>2413</v>
      </c>
      <c r="H341" s="464" t="s">
        <v>2414</v>
      </c>
      <c r="I341" s="464" t="s">
        <v>1684</v>
      </c>
    </row>
    <row r="342" ht="15.95" customHeight="1">
      <c r="A342" s="464" t="s">
        <v>2415</v>
      </c>
      <c r="B342" s="464" t="s">
        <v>2416</v>
      </c>
      <c r="C342" s="464"/>
      <c r="D342" s="464" t="s">
        <v>1679</v>
      </c>
      <c r="E342" s="464" t="s">
        <v>2411</v>
      </c>
      <c r="F342" s="464" t="s">
        <v>2412</v>
      </c>
      <c r="G342" s="464" t="s">
        <v>2413</v>
      </c>
      <c r="H342" s="464" t="s">
        <v>2414</v>
      </c>
      <c r="I342" s="464" t="s">
        <v>1684</v>
      </c>
    </row>
    <row r="343" ht="15.95" customHeight="1">
      <c r="A343" s="464" t="s">
        <v>2417</v>
      </c>
      <c r="B343" s="464" t="s">
        <v>2418</v>
      </c>
      <c r="C343" s="464"/>
      <c r="D343" s="464" t="s">
        <v>1679</v>
      </c>
      <c r="E343" s="464" t="s">
        <v>2411</v>
      </c>
      <c r="F343" s="464" t="s">
        <v>2412</v>
      </c>
      <c r="G343" s="464" t="s">
        <v>2413</v>
      </c>
      <c r="H343" s="464" t="s">
        <v>2414</v>
      </c>
      <c r="I343" s="464" t="s">
        <v>1684</v>
      </c>
    </row>
    <row r="344" ht="15.95" customHeight="1">
      <c r="A344" s="464" t="s">
        <v>2419</v>
      </c>
      <c r="B344" s="464" t="s">
        <v>2420</v>
      </c>
      <c r="C344" s="464"/>
      <c r="D344" s="464" t="s">
        <v>1679</v>
      </c>
      <c r="E344" s="464" t="s">
        <v>2411</v>
      </c>
      <c r="F344" s="464" t="s">
        <v>2412</v>
      </c>
      <c r="G344" s="464" t="s">
        <v>2413</v>
      </c>
      <c r="H344" s="464" t="s">
        <v>2414</v>
      </c>
      <c r="I344" s="464" t="s">
        <v>1684</v>
      </c>
    </row>
    <row r="345" ht="15.95" customHeight="1">
      <c r="A345" s="464" t="s">
        <v>2421</v>
      </c>
      <c r="B345" s="464" t="s">
        <v>2422</v>
      </c>
      <c r="C345" s="464"/>
      <c r="D345" s="464" t="s">
        <v>1679</v>
      </c>
      <c r="E345" s="464" t="s">
        <v>2411</v>
      </c>
      <c r="F345" s="464" t="s">
        <v>2412</v>
      </c>
      <c r="G345" s="464" t="s">
        <v>2413</v>
      </c>
      <c r="H345" s="464" t="s">
        <v>2414</v>
      </c>
      <c r="I345" s="464" t="s">
        <v>1684</v>
      </c>
    </row>
    <row r="346" ht="15.95" customHeight="1">
      <c r="A346" s="464" t="s">
        <v>2423</v>
      </c>
      <c r="B346" s="464" t="s">
        <v>2424</v>
      </c>
      <c r="C346" s="464"/>
      <c r="D346" s="464" t="s">
        <v>1709</v>
      </c>
      <c r="E346" s="464" t="s">
        <v>2411</v>
      </c>
      <c r="F346" s="464" t="s">
        <v>2412</v>
      </c>
      <c r="G346" s="464" t="s">
        <v>2413</v>
      </c>
      <c r="H346" s="464" t="s">
        <v>2414</v>
      </c>
      <c r="I346" s="464" t="s">
        <v>1684</v>
      </c>
    </row>
    <row r="347" ht="15.95" customHeight="1">
      <c r="A347" s="464" t="s">
        <v>2425</v>
      </c>
      <c r="B347" s="464" t="s">
        <v>2426</v>
      </c>
      <c r="C347" s="464"/>
      <c r="D347" s="464" t="s">
        <v>1709</v>
      </c>
      <c r="E347" s="464" t="s">
        <v>2411</v>
      </c>
      <c r="F347" s="464" t="s">
        <v>2412</v>
      </c>
      <c r="G347" s="464" t="s">
        <v>2413</v>
      </c>
      <c r="H347" s="464" t="s">
        <v>2414</v>
      </c>
      <c r="I347" s="464" t="s">
        <v>1684</v>
      </c>
    </row>
    <row r="348" ht="15.95" customHeight="1">
      <c r="A348" s="464" t="s">
        <v>2427</v>
      </c>
      <c r="B348" s="464" t="s">
        <v>2428</v>
      </c>
      <c r="C348" s="464"/>
      <c r="D348" s="464" t="s">
        <v>1679</v>
      </c>
      <c r="E348" s="464" t="s">
        <v>2429</v>
      </c>
      <c r="F348" s="464" t="s">
        <v>2430</v>
      </c>
      <c r="G348" s="464" t="s">
        <v>2413</v>
      </c>
      <c r="H348" s="464" t="s">
        <v>2414</v>
      </c>
      <c r="I348" s="464" t="s">
        <v>1684</v>
      </c>
    </row>
    <row r="349" ht="15.95" customHeight="1">
      <c r="A349" s="464" t="s">
        <v>2431</v>
      </c>
      <c r="B349" s="464" t="s">
        <v>2432</v>
      </c>
      <c r="C349" s="464"/>
      <c r="D349" s="464" t="s">
        <v>1679</v>
      </c>
      <c r="E349" s="464" t="s">
        <v>2429</v>
      </c>
      <c r="F349" s="464" t="s">
        <v>2430</v>
      </c>
      <c r="G349" s="464" t="s">
        <v>2413</v>
      </c>
      <c r="H349" s="464" t="s">
        <v>2414</v>
      </c>
      <c r="I349" s="464" t="s">
        <v>1684</v>
      </c>
    </row>
    <row r="350" ht="15.95" customHeight="1">
      <c r="A350" s="464" t="s">
        <v>2433</v>
      </c>
      <c r="B350" s="464" t="s">
        <v>2434</v>
      </c>
      <c r="C350" s="464"/>
      <c r="D350" s="464" t="s">
        <v>1679</v>
      </c>
      <c r="E350" s="464" t="s">
        <v>2429</v>
      </c>
      <c r="F350" s="464" t="s">
        <v>2430</v>
      </c>
      <c r="G350" s="464" t="s">
        <v>2413</v>
      </c>
      <c r="H350" s="464" t="s">
        <v>2414</v>
      </c>
      <c r="I350" s="464" t="s">
        <v>1684</v>
      </c>
    </row>
    <row r="351" ht="15.95" customHeight="1">
      <c r="A351" s="464" t="s">
        <v>2435</v>
      </c>
      <c r="B351" s="464" t="s">
        <v>2436</v>
      </c>
      <c r="C351" s="464"/>
      <c r="D351" s="464" t="s">
        <v>1679</v>
      </c>
      <c r="E351" s="464" t="s">
        <v>2429</v>
      </c>
      <c r="F351" s="464" t="s">
        <v>2430</v>
      </c>
      <c r="G351" s="464" t="s">
        <v>2413</v>
      </c>
      <c r="H351" s="464" t="s">
        <v>2414</v>
      </c>
      <c r="I351" s="464" t="s">
        <v>1684</v>
      </c>
    </row>
    <row r="352" ht="15.95" customHeight="1">
      <c r="A352" s="464" t="s">
        <v>2437</v>
      </c>
      <c r="B352" s="464" t="s">
        <v>1872</v>
      </c>
      <c r="C352" s="464"/>
      <c r="D352" s="464" t="s">
        <v>1679</v>
      </c>
      <c r="E352" s="464" t="s">
        <v>2429</v>
      </c>
      <c r="F352" s="464" t="s">
        <v>2430</v>
      </c>
      <c r="G352" s="464" t="s">
        <v>2413</v>
      </c>
      <c r="H352" s="464" t="s">
        <v>2414</v>
      </c>
      <c r="I352" s="464" t="s">
        <v>1684</v>
      </c>
    </row>
    <row r="353" ht="15.95" customHeight="1">
      <c r="A353" s="464" t="s">
        <v>2438</v>
      </c>
      <c r="B353" s="464" t="s">
        <v>2012</v>
      </c>
      <c r="C353" s="464"/>
      <c r="D353" s="464" t="s">
        <v>1709</v>
      </c>
      <c r="E353" s="464" t="s">
        <v>2429</v>
      </c>
      <c r="F353" s="464" t="s">
        <v>2430</v>
      </c>
      <c r="G353" s="464" t="s">
        <v>2413</v>
      </c>
      <c r="H353" s="464" t="s">
        <v>2414</v>
      </c>
      <c r="I353" s="464" t="s">
        <v>1684</v>
      </c>
    </row>
    <row r="354" ht="15.95" customHeight="1">
      <c r="A354" s="464" t="s">
        <v>2439</v>
      </c>
      <c r="B354" s="464" t="s">
        <v>1864</v>
      </c>
      <c r="C354" s="464"/>
      <c r="D354" s="464" t="s">
        <v>1709</v>
      </c>
      <c r="E354" s="464" t="s">
        <v>2429</v>
      </c>
      <c r="F354" s="464" t="s">
        <v>2430</v>
      </c>
      <c r="G354" s="464" t="s">
        <v>2413</v>
      </c>
      <c r="H354" s="464" t="s">
        <v>2414</v>
      </c>
      <c r="I354" s="464" t="s">
        <v>1684</v>
      </c>
    </row>
    <row r="355" ht="15.95" customHeight="1">
      <c r="A355" s="464" t="s">
        <v>2440</v>
      </c>
      <c r="B355" s="464" t="s">
        <v>2441</v>
      </c>
      <c r="C355" s="464"/>
      <c r="D355" s="464" t="s">
        <v>1709</v>
      </c>
      <c r="E355" s="464" t="s">
        <v>2429</v>
      </c>
      <c r="F355" s="464" t="s">
        <v>2430</v>
      </c>
      <c r="G355" s="464" t="s">
        <v>2413</v>
      </c>
      <c r="H355" s="464" t="s">
        <v>2414</v>
      </c>
      <c r="I355" s="464" t="s">
        <v>1684</v>
      </c>
    </row>
    <row r="356" ht="15.95" customHeight="1">
      <c r="A356" s="464" t="s">
        <v>2442</v>
      </c>
      <c r="B356" s="464" t="s">
        <v>2443</v>
      </c>
      <c r="C356" s="464"/>
      <c r="D356" s="464" t="s">
        <v>1679</v>
      </c>
      <c r="E356" s="464" t="s">
        <v>2444</v>
      </c>
      <c r="F356" s="464" t="s">
        <v>2445</v>
      </c>
      <c r="G356" s="464" t="s">
        <v>2413</v>
      </c>
      <c r="H356" s="464" t="s">
        <v>2414</v>
      </c>
      <c r="I356" s="464" t="s">
        <v>1684</v>
      </c>
    </row>
    <row r="357" ht="15.95" customHeight="1">
      <c r="A357" s="464" t="s">
        <v>2446</v>
      </c>
      <c r="B357" s="464" t="s">
        <v>2447</v>
      </c>
      <c r="C357" s="464"/>
      <c r="D357" s="464" t="s">
        <v>1679</v>
      </c>
      <c r="E357" s="464" t="s">
        <v>2444</v>
      </c>
      <c r="F357" s="464" t="s">
        <v>2445</v>
      </c>
      <c r="G357" s="464" t="s">
        <v>2413</v>
      </c>
      <c r="H357" s="464" t="s">
        <v>2414</v>
      </c>
      <c r="I357" s="464" t="s">
        <v>1684</v>
      </c>
    </row>
    <row r="358" ht="15.95" customHeight="1">
      <c r="A358" s="464" t="s">
        <v>2448</v>
      </c>
      <c r="B358" s="464" t="s">
        <v>2449</v>
      </c>
      <c r="C358" s="464"/>
      <c r="D358" s="464" t="s">
        <v>1679</v>
      </c>
      <c r="E358" s="464" t="s">
        <v>2444</v>
      </c>
      <c r="F358" s="464" t="s">
        <v>2445</v>
      </c>
      <c r="G358" s="464" t="s">
        <v>2413</v>
      </c>
      <c r="H358" s="464" t="s">
        <v>2414</v>
      </c>
      <c r="I358" s="464" t="s">
        <v>1684</v>
      </c>
    </row>
    <row r="359" ht="15.95" customHeight="1">
      <c r="A359" s="464" t="s">
        <v>2450</v>
      </c>
      <c r="B359" s="464" t="s">
        <v>2451</v>
      </c>
      <c r="C359" s="464"/>
      <c r="D359" s="464" t="s">
        <v>1679</v>
      </c>
      <c r="E359" s="464" t="s">
        <v>2444</v>
      </c>
      <c r="F359" s="464" t="s">
        <v>2445</v>
      </c>
      <c r="G359" s="464" t="s">
        <v>2413</v>
      </c>
      <c r="H359" s="464" t="s">
        <v>2414</v>
      </c>
      <c r="I359" s="464" t="s">
        <v>1684</v>
      </c>
    </row>
    <row r="360" ht="15.95" customHeight="1">
      <c r="A360" s="464" t="s">
        <v>2452</v>
      </c>
      <c r="B360" s="464" t="s">
        <v>2453</v>
      </c>
      <c r="C360" s="464"/>
      <c r="D360" s="464" t="s">
        <v>1709</v>
      </c>
      <c r="E360" s="464" t="s">
        <v>2444</v>
      </c>
      <c r="F360" s="464" t="s">
        <v>2445</v>
      </c>
      <c r="G360" s="464" t="s">
        <v>2413</v>
      </c>
      <c r="H360" s="464" t="s">
        <v>2414</v>
      </c>
      <c r="I360" s="464" t="s">
        <v>1684</v>
      </c>
    </row>
    <row r="361" ht="15.95" customHeight="1">
      <c r="A361" s="464" t="s">
        <v>2454</v>
      </c>
      <c r="B361" s="464" t="s">
        <v>2455</v>
      </c>
      <c r="C361" s="464"/>
      <c r="D361" s="464" t="s">
        <v>1709</v>
      </c>
      <c r="E361" s="464" t="s">
        <v>2444</v>
      </c>
      <c r="F361" s="464" t="s">
        <v>2445</v>
      </c>
      <c r="G361" s="464" t="s">
        <v>2413</v>
      </c>
      <c r="H361" s="464" t="s">
        <v>2414</v>
      </c>
      <c r="I361" s="464" t="s">
        <v>1684</v>
      </c>
    </row>
    <row r="362" ht="15.95" customHeight="1">
      <c r="A362" s="464" t="s">
        <v>2456</v>
      </c>
      <c r="B362" s="464" t="s">
        <v>2457</v>
      </c>
      <c r="C362" s="464"/>
      <c r="D362" s="464" t="s">
        <v>1709</v>
      </c>
      <c r="E362" s="464" t="s">
        <v>2458</v>
      </c>
      <c r="F362" s="464" t="s">
        <v>2459</v>
      </c>
      <c r="G362" s="464" t="s">
        <v>2413</v>
      </c>
      <c r="H362" s="464" t="s">
        <v>2414</v>
      </c>
      <c r="I362" s="464" t="s">
        <v>1684</v>
      </c>
    </row>
    <row r="363" ht="15.95" customHeight="1">
      <c r="A363" s="464" t="s">
        <v>2460</v>
      </c>
      <c r="B363" s="464" t="s">
        <v>2461</v>
      </c>
      <c r="C363" s="464"/>
      <c r="D363" s="464" t="s">
        <v>1709</v>
      </c>
      <c r="E363" s="464" t="s">
        <v>2458</v>
      </c>
      <c r="F363" s="464" t="s">
        <v>2459</v>
      </c>
      <c r="G363" s="464" t="s">
        <v>2413</v>
      </c>
      <c r="H363" s="464" t="s">
        <v>2414</v>
      </c>
      <c r="I363" s="464" t="s">
        <v>1684</v>
      </c>
    </row>
    <row r="364" ht="15.95" customHeight="1">
      <c r="A364" s="464" t="s">
        <v>2462</v>
      </c>
      <c r="B364" s="464" t="s">
        <v>2060</v>
      </c>
      <c r="C364" s="464"/>
      <c r="D364" s="464" t="s">
        <v>1709</v>
      </c>
      <c r="E364" s="464" t="s">
        <v>2458</v>
      </c>
      <c r="F364" s="464" t="s">
        <v>2459</v>
      </c>
      <c r="G364" s="464" t="s">
        <v>2413</v>
      </c>
      <c r="H364" s="464" t="s">
        <v>2414</v>
      </c>
      <c r="I364" s="464" t="s">
        <v>1684</v>
      </c>
    </row>
    <row r="365" ht="15.95" customHeight="1">
      <c r="A365" s="464" t="s">
        <v>2463</v>
      </c>
      <c r="B365" s="464" t="s">
        <v>2464</v>
      </c>
      <c r="C365" s="464"/>
      <c r="D365" s="464" t="s">
        <v>1709</v>
      </c>
      <c r="E365" s="464" t="s">
        <v>2458</v>
      </c>
      <c r="F365" s="464" t="s">
        <v>2459</v>
      </c>
      <c r="G365" s="464" t="s">
        <v>2413</v>
      </c>
      <c r="H365" s="464" t="s">
        <v>2414</v>
      </c>
      <c r="I365" s="464" t="s">
        <v>1684</v>
      </c>
    </row>
    <row r="366" ht="15.95" customHeight="1">
      <c r="A366" s="464" t="s">
        <v>2465</v>
      </c>
      <c r="B366" s="464" t="s">
        <v>2466</v>
      </c>
      <c r="C366" s="464"/>
      <c r="D366" s="464" t="s">
        <v>1709</v>
      </c>
      <c r="E366" s="464" t="s">
        <v>2458</v>
      </c>
      <c r="F366" s="464" t="s">
        <v>2459</v>
      </c>
      <c r="G366" s="464" t="s">
        <v>2413</v>
      </c>
      <c r="H366" s="464" t="s">
        <v>2414</v>
      </c>
      <c r="I366" s="464" t="s">
        <v>1684</v>
      </c>
    </row>
    <row r="367" ht="15.95" customHeight="1">
      <c r="A367" s="464" t="s">
        <v>2467</v>
      </c>
      <c r="B367" s="464" t="s">
        <v>1825</v>
      </c>
      <c r="C367" s="464"/>
      <c r="D367" s="464" t="s">
        <v>1709</v>
      </c>
      <c r="E367" s="464" t="s">
        <v>2458</v>
      </c>
      <c r="F367" s="464" t="s">
        <v>2459</v>
      </c>
      <c r="G367" s="464" t="s">
        <v>2413</v>
      </c>
      <c r="H367" s="464" t="s">
        <v>2414</v>
      </c>
      <c r="I367" s="464" t="s">
        <v>1684</v>
      </c>
    </row>
    <row r="368" ht="15.95" customHeight="1">
      <c r="A368" s="464" t="s">
        <v>2468</v>
      </c>
      <c r="B368" s="464" t="s">
        <v>2469</v>
      </c>
      <c r="C368" s="464"/>
      <c r="D368" s="464" t="s">
        <v>1709</v>
      </c>
      <c r="E368" s="464" t="s">
        <v>2458</v>
      </c>
      <c r="F368" s="464" t="s">
        <v>2459</v>
      </c>
      <c r="G368" s="464" t="s">
        <v>2413</v>
      </c>
      <c r="H368" s="464" t="s">
        <v>2414</v>
      </c>
      <c r="I368" s="464" t="s">
        <v>1684</v>
      </c>
    </row>
    <row r="369" ht="15.95" customHeight="1">
      <c r="A369" s="464" t="s">
        <v>2470</v>
      </c>
      <c r="B369" s="464" t="s">
        <v>2471</v>
      </c>
      <c r="C369" s="464"/>
      <c r="D369" s="464" t="s">
        <v>1709</v>
      </c>
      <c r="E369" s="464" t="s">
        <v>2458</v>
      </c>
      <c r="F369" s="464" t="s">
        <v>2459</v>
      </c>
      <c r="G369" s="464" t="s">
        <v>2413</v>
      </c>
      <c r="H369" s="464" t="s">
        <v>2414</v>
      </c>
      <c r="I369" s="464" t="s">
        <v>1684</v>
      </c>
    </row>
    <row r="370" ht="15.95" customHeight="1">
      <c r="A370" s="464" t="s">
        <v>2472</v>
      </c>
      <c r="B370" s="464" t="s">
        <v>2473</v>
      </c>
      <c r="C370" s="464"/>
      <c r="D370" s="464" t="s">
        <v>1738</v>
      </c>
      <c r="E370" s="464" t="s">
        <v>2474</v>
      </c>
      <c r="F370" s="464" t="s">
        <v>2475</v>
      </c>
      <c r="G370" s="464" t="s">
        <v>2413</v>
      </c>
      <c r="H370" s="464" t="s">
        <v>2414</v>
      </c>
      <c r="I370" s="464" t="s">
        <v>1684</v>
      </c>
    </row>
    <row r="371" ht="15.95" customHeight="1">
      <c r="A371" s="464" t="s">
        <v>2476</v>
      </c>
      <c r="B371" s="464" t="s">
        <v>2477</v>
      </c>
      <c r="C371" s="464"/>
      <c r="D371" s="464" t="s">
        <v>1709</v>
      </c>
      <c r="E371" s="464" t="s">
        <v>2474</v>
      </c>
      <c r="F371" s="464" t="s">
        <v>2475</v>
      </c>
      <c r="G371" s="464" t="s">
        <v>2413</v>
      </c>
      <c r="H371" s="464" t="s">
        <v>2414</v>
      </c>
      <c r="I371" s="464" t="s">
        <v>1684</v>
      </c>
    </row>
    <row r="372" ht="15.95" customHeight="1">
      <c r="A372" s="464" t="s">
        <v>2478</v>
      </c>
      <c r="B372" s="464" t="s">
        <v>2332</v>
      </c>
      <c r="C372" s="464"/>
      <c r="D372" s="464" t="s">
        <v>1709</v>
      </c>
      <c r="E372" s="464" t="s">
        <v>2474</v>
      </c>
      <c r="F372" s="464" t="s">
        <v>2475</v>
      </c>
      <c r="G372" s="464" t="s">
        <v>2413</v>
      </c>
      <c r="H372" s="464" t="s">
        <v>2414</v>
      </c>
      <c r="I372" s="464" t="s">
        <v>1684</v>
      </c>
    </row>
    <row r="373" ht="15.95" customHeight="1">
      <c r="A373" s="464" t="s">
        <v>2479</v>
      </c>
      <c r="B373" s="464" t="s">
        <v>2480</v>
      </c>
      <c r="C373" s="464"/>
      <c r="D373" s="464" t="s">
        <v>1709</v>
      </c>
      <c r="E373" s="464" t="s">
        <v>2474</v>
      </c>
      <c r="F373" s="464" t="s">
        <v>2475</v>
      </c>
      <c r="G373" s="464" t="s">
        <v>2413</v>
      </c>
      <c r="H373" s="464" t="s">
        <v>2414</v>
      </c>
      <c r="I373" s="464" t="s">
        <v>1684</v>
      </c>
    </row>
    <row r="374" ht="15.95" customHeight="1">
      <c r="A374" s="464" t="s">
        <v>2481</v>
      </c>
      <c r="B374" s="464" t="s">
        <v>2482</v>
      </c>
      <c r="C374" s="464" t="s">
        <v>2483</v>
      </c>
      <c r="D374" s="464" t="s">
        <v>1709</v>
      </c>
      <c r="E374" s="464" t="s">
        <v>2474</v>
      </c>
      <c r="F374" s="464" t="s">
        <v>2475</v>
      </c>
      <c r="G374" s="464" t="s">
        <v>2413</v>
      </c>
      <c r="H374" s="464" t="s">
        <v>2414</v>
      </c>
      <c r="I374" s="464" t="s">
        <v>1684</v>
      </c>
    </row>
    <row r="375" ht="15.95" customHeight="1">
      <c r="A375" s="464" t="s">
        <v>2484</v>
      </c>
      <c r="B375" s="464" t="s">
        <v>2485</v>
      </c>
      <c r="C375" s="464"/>
      <c r="D375" s="464" t="s">
        <v>1709</v>
      </c>
      <c r="E375" s="464" t="s">
        <v>2474</v>
      </c>
      <c r="F375" s="464" t="s">
        <v>2475</v>
      </c>
      <c r="G375" s="464" t="s">
        <v>2413</v>
      </c>
      <c r="H375" s="464" t="s">
        <v>2414</v>
      </c>
      <c r="I375" s="464" t="s">
        <v>1684</v>
      </c>
    </row>
    <row r="376" ht="15.95" customHeight="1">
      <c r="A376" s="464" t="s">
        <v>2486</v>
      </c>
      <c r="B376" s="464" t="s">
        <v>2487</v>
      </c>
      <c r="C376" s="464"/>
      <c r="D376" s="464" t="s">
        <v>1709</v>
      </c>
      <c r="E376" s="464" t="s">
        <v>2474</v>
      </c>
      <c r="F376" s="464" t="s">
        <v>2475</v>
      </c>
      <c r="G376" s="464" t="s">
        <v>2413</v>
      </c>
      <c r="H376" s="464" t="s">
        <v>2414</v>
      </c>
      <c r="I376" s="464" t="s">
        <v>1684</v>
      </c>
    </row>
    <row r="377" ht="15.95" customHeight="1">
      <c r="A377" s="464" t="s">
        <v>2488</v>
      </c>
      <c r="B377" s="464" t="s">
        <v>2489</v>
      </c>
      <c r="C377" s="464"/>
      <c r="D377" s="464" t="s">
        <v>1709</v>
      </c>
      <c r="E377" s="464" t="s">
        <v>2474</v>
      </c>
      <c r="F377" s="464" t="s">
        <v>2475</v>
      </c>
      <c r="G377" s="464" t="s">
        <v>2413</v>
      </c>
      <c r="H377" s="464" t="s">
        <v>2414</v>
      </c>
      <c r="I377" s="464" t="s">
        <v>1684</v>
      </c>
    </row>
    <row r="378" ht="15.95" customHeight="1">
      <c r="A378" s="464" t="s">
        <v>2490</v>
      </c>
      <c r="B378" s="464" t="s">
        <v>2491</v>
      </c>
      <c r="C378" s="464"/>
      <c r="D378" s="464" t="s">
        <v>1709</v>
      </c>
      <c r="E378" s="464" t="s">
        <v>2474</v>
      </c>
      <c r="F378" s="464" t="s">
        <v>2475</v>
      </c>
      <c r="G378" s="464" t="s">
        <v>2413</v>
      </c>
      <c r="H378" s="464" t="s">
        <v>2414</v>
      </c>
      <c r="I378" s="464" t="s">
        <v>1684</v>
      </c>
    </row>
    <row r="379" ht="15.95" customHeight="1">
      <c r="A379" s="464" t="s">
        <v>2492</v>
      </c>
      <c r="B379" s="464" t="s">
        <v>2318</v>
      </c>
      <c r="C379" s="464"/>
      <c r="D379" s="464" t="s">
        <v>1709</v>
      </c>
      <c r="E379" s="464" t="s">
        <v>2474</v>
      </c>
      <c r="F379" s="464" t="s">
        <v>2475</v>
      </c>
      <c r="G379" s="464" t="s">
        <v>2413</v>
      </c>
      <c r="H379" s="464" t="s">
        <v>2414</v>
      </c>
      <c r="I379" s="464" t="s">
        <v>1684</v>
      </c>
    </row>
    <row r="380" ht="15.95" customHeight="1">
      <c r="A380" s="464" t="s">
        <v>2493</v>
      </c>
      <c r="B380" s="464" t="s">
        <v>2336</v>
      </c>
      <c r="C380" s="464"/>
      <c r="D380" s="464" t="s">
        <v>1709</v>
      </c>
      <c r="E380" s="464" t="s">
        <v>2474</v>
      </c>
      <c r="F380" s="464" t="s">
        <v>2475</v>
      </c>
      <c r="G380" s="464" t="s">
        <v>2413</v>
      </c>
      <c r="H380" s="464" t="s">
        <v>2414</v>
      </c>
      <c r="I380" s="464" t="s">
        <v>1684</v>
      </c>
    </row>
    <row r="381" ht="15.95" customHeight="1">
      <c r="A381" s="464" t="s">
        <v>2494</v>
      </c>
      <c r="B381" s="464" t="s">
        <v>2495</v>
      </c>
      <c r="C381" s="464"/>
      <c r="D381" s="464" t="s">
        <v>1709</v>
      </c>
      <c r="E381" s="464" t="s">
        <v>2474</v>
      </c>
      <c r="F381" s="464" t="s">
        <v>2475</v>
      </c>
      <c r="G381" s="464" t="s">
        <v>2413</v>
      </c>
      <c r="H381" s="464" t="s">
        <v>2414</v>
      </c>
      <c r="I381" s="464" t="s">
        <v>1684</v>
      </c>
    </row>
    <row r="382" ht="15.95" customHeight="1">
      <c r="A382" s="464" t="s">
        <v>2496</v>
      </c>
      <c r="B382" s="464" t="s">
        <v>2497</v>
      </c>
      <c r="C382" s="464"/>
      <c r="D382" s="464" t="s">
        <v>1709</v>
      </c>
      <c r="E382" s="464" t="s">
        <v>2474</v>
      </c>
      <c r="F382" s="464" t="s">
        <v>2475</v>
      </c>
      <c r="G382" s="464" t="s">
        <v>2413</v>
      </c>
      <c r="H382" s="464" t="s">
        <v>2414</v>
      </c>
      <c r="I382" s="464" t="s">
        <v>1684</v>
      </c>
    </row>
    <row r="383" ht="15.95" customHeight="1">
      <c r="A383" s="464" t="s">
        <v>2498</v>
      </c>
      <c r="B383" s="464" t="s">
        <v>2499</v>
      </c>
      <c r="C383" s="464"/>
      <c r="D383" s="464" t="s">
        <v>1709</v>
      </c>
      <c r="E383" s="464" t="s">
        <v>2474</v>
      </c>
      <c r="F383" s="464" t="s">
        <v>2475</v>
      </c>
      <c r="G383" s="464" t="s">
        <v>2413</v>
      </c>
      <c r="H383" s="464" t="s">
        <v>2414</v>
      </c>
      <c r="I383" s="464" t="s">
        <v>1684</v>
      </c>
    </row>
    <row r="384" ht="15.95" customHeight="1">
      <c r="A384" s="464" t="s">
        <v>2500</v>
      </c>
      <c r="B384" s="464" t="s">
        <v>2501</v>
      </c>
      <c r="C384" s="464" t="s">
        <v>2502</v>
      </c>
      <c r="D384" s="464" t="s">
        <v>1709</v>
      </c>
      <c r="E384" s="464" t="s">
        <v>2474</v>
      </c>
      <c r="F384" s="464" t="s">
        <v>2475</v>
      </c>
      <c r="G384" s="464" t="s">
        <v>2413</v>
      </c>
      <c r="H384" s="464" t="s">
        <v>2414</v>
      </c>
      <c r="I384" s="464" t="s">
        <v>1684</v>
      </c>
    </row>
    <row r="385" ht="15.95" customHeight="1">
      <c r="A385" s="464" t="s">
        <v>2503</v>
      </c>
      <c r="B385" s="464" t="s">
        <v>2504</v>
      </c>
      <c r="C385" s="464"/>
      <c r="D385" s="464" t="s">
        <v>1709</v>
      </c>
      <c r="E385" s="464" t="s">
        <v>2474</v>
      </c>
      <c r="F385" s="464" t="s">
        <v>2475</v>
      </c>
      <c r="G385" s="464" t="s">
        <v>2413</v>
      </c>
      <c r="H385" s="464" t="s">
        <v>2414</v>
      </c>
      <c r="I385" s="464" t="s">
        <v>1684</v>
      </c>
    </row>
    <row r="386" ht="15.95" customHeight="1">
      <c r="A386" s="464" t="s">
        <v>2505</v>
      </c>
      <c r="B386" s="464" t="s">
        <v>2506</v>
      </c>
      <c r="C386" s="464" t="s">
        <v>2507</v>
      </c>
      <c r="D386" s="464" t="s">
        <v>1738</v>
      </c>
      <c r="E386" s="464" t="s">
        <v>2508</v>
      </c>
      <c r="F386" s="464" t="s">
        <v>2509</v>
      </c>
      <c r="G386" s="464" t="s">
        <v>2413</v>
      </c>
      <c r="H386" s="464" t="s">
        <v>2414</v>
      </c>
      <c r="I386" s="464" t="s">
        <v>1684</v>
      </c>
    </row>
    <row r="387" ht="15.95" customHeight="1">
      <c r="A387" s="464" t="s">
        <v>2510</v>
      </c>
      <c r="B387" s="464" t="s">
        <v>2511</v>
      </c>
      <c r="C387" s="464"/>
      <c r="D387" s="464" t="s">
        <v>1709</v>
      </c>
      <c r="E387" s="464" t="s">
        <v>2508</v>
      </c>
      <c r="F387" s="464" t="s">
        <v>2509</v>
      </c>
      <c r="G387" s="464" t="s">
        <v>2413</v>
      </c>
      <c r="H387" s="464" t="s">
        <v>2414</v>
      </c>
      <c r="I387" s="464" t="s">
        <v>1684</v>
      </c>
    </row>
    <row r="388" ht="15.95" customHeight="1">
      <c r="A388" s="464" t="s">
        <v>2512</v>
      </c>
      <c r="B388" s="464" t="s">
        <v>2513</v>
      </c>
      <c r="C388" s="464" t="s">
        <v>2514</v>
      </c>
      <c r="D388" s="464" t="s">
        <v>1709</v>
      </c>
      <c r="E388" s="464" t="s">
        <v>2508</v>
      </c>
      <c r="F388" s="464" t="s">
        <v>2509</v>
      </c>
      <c r="G388" s="464" t="s">
        <v>2413</v>
      </c>
      <c r="H388" s="464" t="s">
        <v>2414</v>
      </c>
      <c r="I388" s="464" t="s">
        <v>1684</v>
      </c>
    </row>
    <row r="389" ht="15.95" customHeight="1">
      <c r="A389" s="464" t="s">
        <v>2515</v>
      </c>
      <c r="B389" s="464" t="s">
        <v>2516</v>
      </c>
      <c r="C389" s="464"/>
      <c r="D389" s="464" t="s">
        <v>1709</v>
      </c>
      <c r="E389" s="464" t="s">
        <v>2508</v>
      </c>
      <c r="F389" s="464" t="s">
        <v>2509</v>
      </c>
      <c r="G389" s="464" t="s">
        <v>2413</v>
      </c>
      <c r="H389" s="464" t="s">
        <v>2414</v>
      </c>
      <c r="I389" s="464" t="s">
        <v>1684</v>
      </c>
    </row>
    <row r="390" ht="15.95" customHeight="1">
      <c r="A390" s="464" t="s">
        <v>2517</v>
      </c>
      <c r="B390" s="464" t="s">
        <v>2518</v>
      </c>
      <c r="C390" s="464"/>
      <c r="D390" s="464" t="s">
        <v>1709</v>
      </c>
      <c r="E390" s="464" t="s">
        <v>2508</v>
      </c>
      <c r="F390" s="464" t="s">
        <v>2509</v>
      </c>
      <c r="G390" s="464" t="s">
        <v>2413</v>
      </c>
      <c r="H390" s="464" t="s">
        <v>2414</v>
      </c>
      <c r="I390" s="464" t="s">
        <v>1684</v>
      </c>
    </row>
    <row r="391" ht="15.95" customHeight="1">
      <c r="A391" s="464" t="s">
        <v>2519</v>
      </c>
      <c r="B391" s="464" t="s">
        <v>2012</v>
      </c>
      <c r="C391" s="464"/>
      <c r="D391" s="464" t="s">
        <v>1709</v>
      </c>
      <c r="E391" s="464" t="s">
        <v>2508</v>
      </c>
      <c r="F391" s="464" t="s">
        <v>2509</v>
      </c>
      <c r="G391" s="464" t="s">
        <v>2413</v>
      </c>
      <c r="H391" s="464" t="s">
        <v>2414</v>
      </c>
      <c r="I391" s="464" t="s">
        <v>1684</v>
      </c>
    </row>
    <row r="392" ht="15.95" customHeight="1">
      <c r="A392" s="464" t="s">
        <v>2520</v>
      </c>
      <c r="B392" s="464" t="s">
        <v>1878</v>
      </c>
      <c r="C392" s="464"/>
      <c r="D392" s="464" t="s">
        <v>1709</v>
      </c>
      <c r="E392" s="464" t="s">
        <v>2508</v>
      </c>
      <c r="F392" s="464" t="s">
        <v>2509</v>
      </c>
      <c r="G392" s="464" t="s">
        <v>2413</v>
      </c>
      <c r="H392" s="464" t="s">
        <v>2414</v>
      </c>
      <c r="I392" s="464" t="s">
        <v>1684</v>
      </c>
    </row>
    <row r="393" ht="15.95" customHeight="1">
      <c r="A393" s="464" t="s">
        <v>2521</v>
      </c>
      <c r="B393" s="464" t="s">
        <v>2522</v>
      </c>
      <c r="C393" s="464"/>
      <c r="D393" s="464" t="s">
        <v>1709</v>
      </c>
      <c r="E393" s="464" t="s">
        <v>2523</v>
      </c>
      <c r="F393" s="464" t="s">
        <v>2524</v>
      </c>
      <c r="G393" s="464" t="s">
        <v>2413</v>
      </c>
      <c r="H393" s="464" t="s">
        <v>2414</v>
      </c>
      <c r="I393" s="464" t="s">
        <v>1684</v>
      </c>
    </row>
    <row r="394" ht="15.95" customHeight="1">
      <c r="A394" s="464" t="s">
        <v>2525</v>
      </c>
      <c r="B394" s="464" t="s">
        <v>2526</v>
      </c>
      <c r="C394" s="464"/>
      <c r="D394" s="464" t="s">
        <v>1709</v>
      </c>
      <c r="E394" s="464" t="s">
        <v>2523</v>
      </c>
      <c r="F394" s="464" t="s">
        <v>2524</v>
      </c>
      <c r="G394" s="464" t="s">
        <v>2413</v>
      </c>
      <c r="H394" s="464" t="s">
        <v>2414</v>
      </c>
      <c r="I394" s="464" t="s">
        <v>1684</v>
      </c>
    </row>
    <row r="395" ht="15.95" customHeight="1">
      <c r="A395" s="464" t="s">
        <v>2527</v>
      </c>
      <c r="B395" s="464" t="s">
        <v>2528</v>
      </c>
      <c r="C395" s="464"/>
      <c r="D395" s="464" t="s">
        <v>1709</v>
      </c>
      <c r="E395" s="464" t="s">
        <v>2523</v>
      </c>
      <c r="F395" s="464" t="s">
        <v>2524</v>
      </c>
      <c r="G395" s="464" t="s">
        <v>2413</v>
      </c>
      <c r="H395" s="464" t="s">
        <v>2414</v>
      </c>
      <c r="I395" s="464" t="s">
        <v>1684</v>
      </c>
    </row>
    <row r="396" ht="15.95" customHeight="1">
      <c r="A396" s="464" t="s">
        <v>2529</v>
      </c>
      <c r="B396" s="464" t="s">
        <v>2530</v>
      </c>
      <c r="C396" s="464"/>
      <c r="D396" s="464" t="s">
        <v>1709</v>
      </c>
      <c r="E396" s="464" t="s">
        <v>2523</v>
      </c>
      <c r="F396" s="464" t="s">
        <v>2524</v>
      </c>
      <c r="G396" s="464" t="s">
        <v>2413</v>
      </c>
      <c r="H396" s="464" t="s">
        <v>2414</v>
      </c>
      <c r="I396" s="464" t="s">
        <v>1684</v>
      </c>
    </row>
    <row r="397" ht="15.95" customHeight="1">
      <c r="A397" s="464" t="s">
        <v>2531</v>
      </c>
      <c r="B397" s="464" t="s">
        <v>2532</v>
      </c>
      <c r="C397" s="464"/>
      <c r="D397" s="464" t="s">
        <v>1709</v>
      </c>
      <c r="E397" s="464" t="s">
        <v>2523</v>
      </c>
      <c r="F397" s="464" t="s">
        <v>2524</v>
      </c>
      <c r="G397" s="464" t="s">
        <v>2413</v>
      </c>
      <c r="H397" s="464" t="s">
        <v>2414</v>
      </c>
      <c r="I397" s="464" t="s">
        <v>1684</v>
      </c>
    </row>
    <row r="398" ht="15.95" customHeight="1">
      <c r="A398" s="464" t="s">
        <v>2533</v>
      </c>
      <c r="B398" s="464" t="s">
        <v>2534</v>
      </c>
      <c r="C398" s="464"/>
      <c r="D398" s="464" t="s">
        <v>1709</v>
      </c>
      <c r="E398" s="464" t="s">
        <v>2523</v>
      </c>
      <c r="F398" s="464" t="s">
        <v>2524</v>
      </c>
      <c r="G398" s="464" t="s">
        <v>2413</v>
      </c>
      <c r="H398" s="464" t="s">
        <v>2414</v>
      </c>
      <c r="I398" s="464" t="s">
        <v>1684</v>
      </c>
    </row>
    <row r="399" ht="15.95" customHeight="1">
      <c r="A399" s="464" t="s">
        <v>2535</v>
      </c>
      <c r="B399" s="464" t="s">
        <v>2536</v>
      </c>
      <c r="C399" s="464"/>
      <c r="D399" s="464" t="s">
        <v>1709</v>
      </c>
      <c r="E399" s="464" t="s">
        <v>2523</v>
      </c>
      <c r="F399" s="464" t="s">
        <v>2524</v>
      </c>
      <c r="G399" s="464" t="s">
        <v>2413</v>
      </c>
      <c r="H399" s="464" t="s">
        <v>2414</v>
      </c>
      <c r="I399" s="464" t="s">
        <v>1684</v>
      </c>
    </row>
    <row r="400" ht="15.95" customHeight="1">
      <c r="A400" s="464" t="s">
        <v>2537</v>
      </c>
      <c r="B400" s="464" t="s">
        <v>2538</v>
      </c>
      <c r="C400" s="464"/>
      <c r="D400" s="464" t="s">
        <v>1709</v>
      </c>
      <c r="E400" s="464" t="s">
        <v>2523</v>
      </c>
      <c r="F400" s="464" t="s">
        <v>2524</v>
      </c>
      <c r="G400" s="464" t="s">
        <v>2413</v>
      </c>
      <c r="H400" s="464" t="s">
        <v>2414</v>
      </c>
      <c r="I400" s="464" t="s">
        <v>1684</v>
      </c>
    </row>
    <row r="401" ht="15.95" customHeight="1">
      <c r="A401" s="464" t="s">
        <v>2539</v>
      </c>
      <c r="B401" s="464" t="s">
        <v>2540</v>
      </c>
      <c r="C401" s="464"/>
      <c r="D401" s="464" t="s">
        <v>1709</v>
      </c>
      <c r="E401" s="464" t="s">
        <v>2523</v>
      </c>
      <c r="F401" s="464" t="s">
        <v>2524</v>
      </c>
      <c r="G401" s="464" t="s">
        <v>2413</v>
      </c>
      <c r="H401" s="464" t="s">
        <v>2414</v>
      </c>
      <c r="I401" s="464" t="s">
        <v>1684</v>
      </c>
    </row>
    <row r="402" ht="15.95" customHeight="1">
      <c r="A402" s="464" t="s">
        <v>2541</v>
      </c>
      <c r="B402" s="464" t="s">
        <v>2542</v>
      </c>
      <c r="C402" s="464"/>
      <c r="D402" s="464" t="s">
        <v>1709</v>
      </c>
      <c r="E402" s="464" t="s">
        <v>2523</v>
      </c>
      <c r="F402" s="464" t="s">
        <v>2524</v>
      </c>
      <c r="G402" s="464" t="s">
        <v>2413</v>
      </c>
      <c r="H402" s="464" t="s">
        <v>2414</v>
      </c>
      <c r="I402" s="464" t="s">
        <v>1684</v>
      </c>
    </row>
    <row r="403" ht="15.95" customHeight="1">
      <c r="A403" s="464" t="s">
        <v>2543</v>
      </c>
      <c r="B403" s="464" t="s">
        <v>2544</v>
      </c>
      <c r="C403" s="464"/>
      <c r="D403" s="464" t="s">
        <v>1709</v>
      </c>
      <c r="E403" s="464" t="s">
        <v>2523</v>
      </c>
      <c r="F403" s="464" t="s">
        <v>2524</v>
      </c>
      <c r="G403" s="464" t="s">
        <v>2413</v>
      </c>
      <c r="H403" s="464" t="s">
        <v>2414</v>
      </c>
      <c r="I403" s="464" t="s">
        <v>1684</v>
      </c>
    </row>
    <row r="404" ht="15.95" customHeight="1">
      <c r="A404" s="464" t="s">
        <v>2545</v>
      </c>
      <c r="B404" s="464" t="s">
        <v>2546</v>
      </c>
      <c r="C404" s="464" t="s">
        <v>2547</v>
      </c>
      <c r="D404" s="464" t="s">
        <v>1709</v>
      </c>
      <c r="E404" s="464" t="s">
        <v>2523</v>
      </c>
      <c r="F404" s="464" t="s">
        <v>2524</v>
      </c>
      <c r="G404" s="464" t="s">
        <v>2413</v>
      </c>
      <c r="H404" s="464" t="s">
        <v>2414</v>
      </c>
      <c r="I404" s="464" t="s">
        <v>1684</v>
      </c>
    </row>
    <row r="405" ht="15.95" customHeight="1">
      <c r="A405" s="464" t="s">
        <v>2548</v>
      </c>
      <c r="B405" s="464" t="s">
        <v>2549</v>
      </c>
      <c r="C405" s="464"/>
      <c r="D405" s="464" t="s">
        <v>1709</v>
      </c>
      <c r="E405" s="464" t="s">
        <v>2523</v>
      </c>
      <c r="F405" s="464" t="s">
        <v>2524</v>
      </c>
      <c r="G405" s="464" t="s">
        <v>2413</v>
      </c>
      <c r="H405" s="464" t="s">
        <v>2414</v>
      </c>
      <c r="I405" s="464" t="s">
        <v>1684</v>
      </c>
    </row>
    <row r="406" ht="15.95" customHeight="1">
      <c r="A406" s="464" t="s">
        <v>2550</v>
      </c>
      <c r="B406" s="464" t="s">
        <v>2551</v>
      </c>
      <c r="C406" s="464"/>
      <c r="D406" s="464" t="s">
        <v>1738</v>
      </c>
      <c r="E406" s="464" t="s">
        <v>2552</v>
      </c>
      <c r="F406" s="464" t="s">
        <v>2553</v>
      </c>
      <c r="G406" s="464" t="s">
        <v>2413</v>
      </c>
      <c r="H406" s="464" t="s">
        <v>2414</v>
      </c>
      <c r="I406" s="464" t="s">
        <v>1684</v>
      </c>
    </row>
    <row r="407" ht="15.95" customHeight="1">
      <c r="A407" s="464" t="s">
        <v>2554</v>
      </c>
      <c r="B407" s="464" t="s">
        <v>2555</v>
      </c>
      <c r="C407" s="464"/>
      <c r="D407" s="464" t="s">
        <v>1709</v>
      </c>
      <c r="E407" s="464" t="s">
        <v>2552</v>
      </c>
      <c r="F407" s="464" t="s">
        <v>2553</v>
      </c>
      <c r="G407" s="464" t="s">
        <v>2413</v>
      </c>
      <c r="H407" s="464" t="s">
        <v>2414</v>
      </c>
      <c r="I407" s="464" t="s">
        <v>1684</v>
      </c>
    </row>
    <row r="408" ht="15.95" customHeight="1">
      <c r="A408" s="464" t="s">
        <v>2556</v>
      </c>
      <c r="B408" s="464" t="s">
        <v>2557</v>
      </c>
      <c r="C408" s="464"/>
      <c r="D408" s="464" t="s">
        <v>1709</v>
      </c>
      <c r="E408" s="464" t="s">
        <v>2552</v>
      </c>
      <c r="F408" s="464" t="s">
        <v>2553</v>
      </c>
      <c r="G408" s="464" t="s">
        <v>2413</v>
      </c>
      <c r="H408" s="464" t="s">
        <v>2414</v>
      </c>
      <c r="I408" s="464" t="s">
        <v>1684</v>
      </c>
    </row>
    <row r="409" ht="15.95" customHeight="1">
      <c r="A409" s="464" t="s">
        <v>2558</v>
      </c>
      <c r="B409" s="464" t="s">
        <v>1883</v>
      </c>
      <c r="C409" s="464"/>
      <c r="D409" s="464" t="s">
        <v>1709</v>
      </c>
      <c r="E409" s="464" t="s">
        <v>2552</v>
      </c>
      <c r="F409" s="464" t="s">
        <v>2553</v>
      </c>
      <c r="G409" s="464" t="s">
        <v>2413</v>
      </c>
      <c r="H409" s="464" t="s">
        <v>2414</v>
      </c>
      <c r="I409" s="464" t="s">
        <v>1684</v>
      </c>
    </row>
    <row r="410" ht="15.95" customHeight="1">
      <c r="A410" s="464" t="s">
        <v>2559</v>
      </c>
      <c r="B410" s="464" t="s">
        <v>2532</v>
      </c>
      <c r="C410" s="464"/>
      <c r="D410" s="464" t="s">
        <v>1709</v>
      </c>
      <c r="E410" s="464" t="s">
        <v>2552</v>
      </c>
      <c r="F410" s="464" t="s">
        <v>2553</v>
      </c>
      <c r="G410" s="464" t="s">
        <v>2413</v>
      </c>
      <c r="H410" s="464" t="s">
        <v>2414</v>
      </c>
      <c r="I410" s="464" t="s">
        <v>1684</v>
      </c>
    </row>
    <row r="411" ht="15.95" customHeight="1">
      <c r="A411" s="464" t="s">
        <v>2560</v>
      </c>
      <c r="B411" s="464" t="s">
        <v>2530</v>
      </c>
      <c r="C411" s="464"/>
      <c r="D411" s="464" t="s">
        <v>1709</v>
      </c>
      <c r="E411" s="464" t="s">
        <v>2552</v>
      </c>
      <c r="F411" s="464" t="s">
        <v>2553</v>
      </c>
      <c r="G411" s="464" t="s">
        <v>2413</v>
      </c>
      <c r="H411" s="464" t="s">
        <v>2414</v>
      </c>
      <c r="I411" s="464" t="s">
        <v>1684</v>
      </c>
    </row>
    <row r="412" ht="15.95" customHeight="1">
      <c r="A412" s="464" t="s">
        <v>2561</v>
      </c>
      <c r="B412" s="464" t="s">
        <v>2004</v>
      </c>
      <c r="C412" s="464"/>
      <c r="D412" s="464" t="s">
        <v>1709</v>
      </c>
      <c r="E412" s="464" t="s">
        <v>2552</v>
      </c>
      <c r="F412" s="464" t="s">
        <v>2553</v>
      </c>
      <c r="G412" s="464" t="s">
        <v>2413</v>
      </c>
      <c r="H412" s="464" t="s">
        <v>2414</v>
      </c>
      <c r="I412" s="464" t="s">
        <v>1684</v>
      </c>
    </row>
    <row r="413" ht="15.95" customHeight="1">
      <c r="A413" s="464" t="s">
        <v>2562</v>
      </c>
      <c r="B413" s="464" t="s">
        <v>2563</v>
      </c>
      <c r="C413" s="464"/>
      <c r="D413" s="464" t="s">
        <v>1709</v>
      </c>
      <c r="E413" s="464" t="s">
        <v>2552</v>
      </c>
      <c r="F413" s="464" t="s">
        <v>2553</v>
      </c>
      <c r="G413" s="464" t="s">
        <v>2413</v>
      </c>
      <c r="H413" s="464" t="s">
        <v>2414</v>
      </c>
      <c r="I413" s="464" t="s">
        <v>1684</v>
      </c>
    </row>
    <row r="414" ht="15.95" customHeight="1">
      <c r="A414" s="464" t="s">
        <v>2564</v>
      </c>
      <c r="B414" s="464" t="s">
        <v>2565</v>
      </c>
      <c r="C414" s="464"/>
      <c r="D414" s="464" t="s">
        <v>1709</v>
      </c>
      <c r="E414" s="464" t="s">
        <v>2552</v>
      </c>
      <c r="F414" s="464" t="s">
        <v>2553</v>
      </c>
      <c r="G414" s="464" t="s">
        <v>2413</v>
      </c>
      <c r="H414" s="464" t="s">
        <v>2414</v>
      </c>
      <c r="I414" s="464" t="s">
        <v>1684</v>
      </c>
    </row>
    <row r="415" ht="15.95" customHeight="1">
      <c r="A415" s="464" t="s">
        <v>2566</v>
      </c>
      <c r="B415" s="464" t="s">
        <v>2567</v>
      </c>
      <c r="C415" s="464"/>
      <c r="D415" s="464" t="s">
        <v>1709</v>
      </c>
      <c r="E415" s="464" t="s">
        <v>2552</v>
      </c>
      <c r="F415" s="464" t="s">
        <v>2553</v>
      </c>
      <c r="G415" s="464" t="s">
        <v>2413</v>
      </c>
      <c r="H415" s="464" t="s">
        <v>2414</v>
      </c>
      <c r="I415" s="464" t="s">
        <v>1684</v>
      </c>
    </row>
    <row r="416" ht="15.95" customHeight="1">
      <c r="A416" s="464" t="s">
        <v>2568</v>
      </c>
      <c r="B416" s="464" t="s">
        <v>1878</v>
      </c>
      <c r="C416" s="464"/>
      <c r="D416" s="464" t="s">
        <v>1709</v>
      </c>
      <c r="E416" s="464" t="s">
        <v>2552</v>
      </c>
      <c r="F416" s="464" t="s">
        <v>2553</v>
      </c>
      <c r="G416" s="464" t="s">
        <v>2413</v>
      </c>
      <c r="H416" s="464" t="s">
        <v>2414</v>
      </c>
      <c r="I416" s="464" t="s">
        <v>1684</v>
      </c>
    </row>
    <row r="417" ht="15.95" customHeight="1">
      <c r="A417" s="464" t="s">
        <v>2569</v>
      </c>
      <c r="B417" s="464" t="s">
        <v>2570</v>
      </c>
      <c r="C417" s="464"/>
      <c r="D417" s="464" t="s">
        <v>1738</v>
      </c>
      <c r="E417" s="464" t="s">
        <v>2571</v>
      </c>
      <c r="F417" s="464" t="s">
        <v>2572</v>
      </c>
      <c r="G417" s="464" t="s">
        <v>2413</v>
      </c>
      <c r="H417" s="464" t="s">
        <v>2414</v>
      </c>
      <c r="I417" s="464" t="s">
        <v>1684</v>
      </c>
    </row>
    <row r="418" ht="15.95" customHeight="1">
      <c r="A418" s="464" t="s">
        <v>2573</v>
      </c>
      <c r="B418" s="464" t="s">
        <v>2574</v>
      </c>
      <c r="C418" s="464"/>
      <c r="D418" s="464" t="s">
        <v>1709</v>
      </c>
      <c r="E418" s="464" t="s">
        <v>2571</v>
      </c>
      <c r="F418" s="464" t="s">
        <v>2572</v>
      </c>
      <c r="G418" s="464" t="s">
        <v>2413</v>
      </c>
      <c r="H418" s="464" t="s">
        <v>2414</v>
      </c>
      <c r="I418" s="464" t="s">
        <v>1684</v>
      </c>
    </row>
    <row r="419" ht="15.95" customHeight="1">
      <c r="A419" s="464" t="s">
        <v>2575</v>
      </c>
      <c r="B419" s="464" t="s">
        <v>2576</v>
      </c>
      <c r="C419" s="464"/>
      <c r="D419" s="464" t="s">
        <v>1709</v>
      </c>
      <c r="E419" s="464" t="s">
        <v>2571</v>
      </c>
      <c r="F419" s="464" t="s">
        <v>2572</v>
      </c>
      <c r="G419" s="464" t="s">
        <v>2413</v>
      </c>
      <c r="H419" s="464" t="s">
        <v>2414</v>
      </c>
      <c r="I419" s="464" t="s">
        <v>1684</v>
      </c>
    </row>
    <row r="420" ht="15.95" customHeight="1">
      <c r="A420" s="464" t="s">
        <v>2577</v>
      </c>
      <c r="B420" s="464" t="s">
        <v>2191</v>
      </c>
      <c r="C420" s="464" t="s">
        <v>2578</v>
      </c>
      <c r="D420" s="464" t="s">
        <v>1709</v>
      </c>
      <c r="E420" s="464" t="s">
        <v>2571</v>
      </c>
      <c r="F420" s="464" t="s">
        <v>2572</v>
      </c>
      <c r="G420" s="464" t="s">
        <v>2413</v>
      </c>
      <c r="H420" s="464" t="s">
        <v>2414</v>
      </c>
      <c r="I420" s="464" t="s">
        <v>1684</v>
      </c>
    </row>
    <row r="421" ht="15.95" customHeight="1">
      <c r="A421" s="464" t="s">
        <v>2579</v>
      </c>
      <c r="B421" s="464" t="s">
        <v>2580</v>
      </c>
      <c r="C421" s="464"/>
      <c r="D421" s="464" t="s">
        <v>1709</v>
      </c>
      <c r="E421" s="464" t="s">
        <v>2571</v>
      </c>
      <c r="F421" s="464" t="s">
        <v>2572</v>
      </c>
      <c r="G421" s="464" t="s">
        <v>2413</v>
      </c>
      <c r="H421" s="464" t="s">
        <v>2414</v>
      </c>
      <c r="I421" s="464" t="s">
        <v>1684</v>
      </c>
    </row>
    <row r="422" ht="15.95" customHeight="1">
      <c r="A422" s="464" t="s">
        <v>2581</v>
      </c>
      <c r="B422" s="464" t="s">
        <v>2582</v>
      </c>
      <c r="C422" s="464"/>
      <c r="D422" s="464" t="s">
        <v>1709</v>
      </c>
      <c r="E422" s="464" t="s">
        <v>2571</v>
      </c>
      <c r="F422" s="464" t="s">
        <v>2572</v>
      </c>
      <c r="G422" s="464" t="s">
        <v>2413</v>
      </c>
      <c r="H422" s="464" t="s">
        <v>2414</v>
      </c>
      <c r="I422" s="464" t="s">
        <v>1684</v>
      </c>
    </row>
    <row r="423" ht="15.95" customHeight="1">
      <c r="A423" s="464" t="s">
        <v>2583</v>
      </c>
      <c r="B423" s="464" t="s">
        <v>2584</v>
      </c>
      <c r="C423" s="464"/>
      <c r="D423" s="464" t="s">
        <v>1709</v>
      </c>
      <c r="E423" s="464" t="s">
        <v>2571</v>
      </c>
      <c r="F423" s="464" t="s">
        <v>2572</v>
      </c>
      <c r="G423" s="464" t="s">
        <v>2413</v>
      </c>
      <c r="H423" s="464" t="s">
        <v>2414</v>
      </c>
      <c r="I423" s="464" t="s">
        <v>1684</v>
      </c>
    </row>
    <row r="424" ht="15.95" customHeight="1">
      <c r="A424" s="464" t="s">
        <v>2585</v>
      </c>
      <c r="B424" s="464" t="s">
        <v>2586</v>
      </c>
      <c r="C424" s="464"/>
      <c r="D424" s="464" t="s">
        <v>1709</v>
      </c>
      <c r="E424" s="464" t="s">
        <v>2571</v>
      </c>
      <c r="F424" s="464" t="s">
        <v>2572</v>
      </c>
      <c r="G424" s="464" t="s">
        <v>2413</v>
      </c>
      <c r="H424" s="464" t="s">
        <v>2414</v>
      </c>
      <c r="I424" s="464" t="s">
        <v>1684</v>
      </c>
    </row>
    <row r="425" ht="15.95" customHeight="1">
      <c r="A425" s="464" t="s">
        <v>2587</v>
      </c>
      <c r="B425" s="464" t="s">
        <v>2358</v>
      </c>
      <c r="C425" s="464"/>
      <c r="D425" s="464" t="s">
        <v>1709</v>
      </c>
      <c r="E425" s="464" t="s">
        <v>2571</v>
      </c>
      <c r="F425" s="464" t="s">
        <v>2572</v>
      </c>
      <c r="G425" s="464" t="s">
        <v>2413</v>
      </c>
      <c r="H425" s="464" t="s">
        <v>2414</v>
      </c>
      <c r="I425" s="464" t="s">
        <v>1684</v>
      </c>
    </row>
    <row r="426" ht="15.95" customHeight="1">
      <c r="A426" s="464" t="s">
        <v>2588</v>
      </c>
      <c r="B426" s="464" t="s">
        <v>2589</v>
      </c>
      <c r="C426" s="464"/>
      <c r="D426" s="464" t="s">
        <v>1709</v>
      </c>
      <c r="E426" s="464" t="s">
        <v>2571</v>
      </c>
      <c r="F426" s="464" t="s">
        <v>2572</v>
      </c>
      <c r="G426" s="464" t="s">
        <v>2413</v>
      </c>
      <c r="H426" s="464" t="s">
        <v>2414</v>
      </c>
      <c r="I426" s="464" t="s">
        <v>1684</v>
      </c>
    </row>
    <row r="427" ht="15.95" customHeight="1">
      <c r="A427" s="464" t="s">
        <v>2590</v>
      </c>
      <c r="B427" s="464" t="s">
        <v>2591</v>
      </c>
      <c r="C427" s="464"/>
      <c r="D427" s="464" t="s">
        <v>1709</v>
      </c>
      <c r="E427" s="464" t="s">
        <v>2571</v>
      </c>
      <c r="F427" s="464" t="s">
        <v>2572</v>
      </c>
      <c r="G427" s="464" t="s">
        <v>2413</v>
      </c>
      <c r="H427" s="464" t="s">
        <v>2414</v>
      </c>
      <c r="I427" s="464" t="s">
        <v>1684</v>
      </c>
    </row>
    <row r="428" ht="15.95" customHeight="1">
      <c r="A428" s="464" t="s">
        <v>2592</v>
      </c>
      <c r="B428" s="464" t="s">
        <v>2593</v>
      </c>
      <c r="C428" s="464"/>
      <c r="D428" s="464" t="s">
        <v>1709</v>
      </c>
      <c r="E428" s="464" t="s">
        <v>2571</v>
      </c>
      <c r="F428" s="464" t="s">
        <v>2572</v>
      </c>
      <c r="G428" s="464" t="s">
        <v>2413</v>
      </c>
      <c r="H428" s="464" t="s">
        <v>2414</v>
      </c>
      <c r="I428" s="464" t="s">
        <v>1684</v>
      </c>
    </row>
    <row r="429" ht="15.95" customHeight="1">
      <c r="A429" s="464" t="s">
        <v>2594</v>
      </c>
      <c r="B429" s="464" t="s">
        <v>2595</v>
      </c>
      <c r="C429" s="464"/>
      <c r="D429" s="464" t="s">
        <v>1709</v>
      </c>
      <c r="E429" s="464" t="s">
        <v>2571</v>
      </c>
      <c r="F429" s="464" t="s">
        <v>2572</v>
      </c>
      <c r="G429" s="464" t="s">
        <v>2413</v>
      </c>
      <c r="H429" s="464" t="s">
        <v>2414</v>
      </c>
      <c r="I429" s="464" t="s">
        <v>1684</v>
      </c>
    </row>
    <row r="430" ht="15.95" customHeight="1">
      <c r="A430" s="464" t="s">
        <v>2596</v>
      </c>
      <c r="B430" s="464" t="s">
        <v>2597</v>
      </c>
      <c r="C430" s="464"/>
      <c r="D430" s="464" t="s">
        <v>1709</v>
      </c>
      <c r="E430" s="464" t="s">
        <v>2571</v>
      </c>
      <c r="F430" s="464" t="s">
        <v>2572</v>
      </c>
      <c r="G430" s="464" t="s">
        <v>2413</v>
      </c>
      <c r="H430" s="464" t="s">
        <v>2414</v>
      </c>
      <c r="I430" s="464" t="s">
        <v>1684</v>
      </c>
    </row>
    <row r="431" ht="15.95" customHeight="1">
      <c r="A431" s="464" t="s">
        <v>2598</v>
      </c>
      <c r="B431" s="464" t="s">
        <v>2599</v>
      </c>
      <c r="C431" s="464"/>
      <c r="D431" s="464" t="s">
        <v>1709</v>
      </c>
      <c r="E431" s="464" t="s">
        <v>2571</v>
      </c>
      <c r="F431" s="464" t="s">
        <v>2572</v>
      </c>
      <c r="G431" s="464" t="s">
        <v>2413</v>
      </c>
      <c r="H431" s="464" t="s">
        <v>2414</v>
      </c>
      <c r="I431" s="464" t="s">
        <v>1684</v>
      </c>
    </row>
    <row r="432" ht="15.95" customHeight="1">
      <c r="A432" s="464" t="s">
        <v>2600</v>
      </c>
      <c r="B432" s="464" t="s">
        <v>1781</v>
      </c>
      <c r="C432" s="464"/>
      <c r="D432" s="464" t="s">
        <v>1709</v>
      </c>
      <c r="E432" s="464" t="s">
        <v>2571</v>
      </c>
      <c r="F432" s="464" t="s">
        <v>2572</v>
      </c>
      <c r="G432" s="464" t="s">
        <v>2413</v>
      </c>
      <c r="H432" s="464" t="s">
        <v>2414</v>
      </c>
      <c r="I432" s="464" t="s">
        <v>1684</v>
      </c>
    </row>
    <row r="433" ht="15.95" customHeight="1">
      <c r="A433" s="464" t="s">
        <v>2601</v>
      </c>
      <c r="B433" s="464" t="s">
        <v>2602</v>
      </c>
      <c r="C433" s="464"/>
      <c r="D433" s="464" t="s">
        <v>1738</v>
      </c>
      <c r="E433" s="464" t="s">
        <v>2603</v>
      </c>
      <c r="F433" s="464" t="s">
        <v>2604</v>
      </c>
      <c r="G433" s="464" t="s">
        <v>2413</v>
      </c>
      <c r="H433" s="464" t="s">
        <v>2414</v>
      </c>
      <c r="I433" s="464" t="s">
        <v>1684</v>
      </c>
    </row>
    <row r="434" ht="15.95" customHeight="1">
      <c r="A434" s="464" t="s">
        <v>2605</v>
      </c>
      <c r="B434" s="464" t="s">
        <v>2606</v>
      </c>
      <c r="C434" s="464" t="s">
        <v>2607</v>
      </c>
      <c r="D434" s="464" t="s">
        <v>1709</v>
      </c>
      <c r="E434" s="464" t="s">
        <v>2603</v>
      </c>
      <c r="F434" s="464" t="s">
        <v>2604</v>
      </c>
      <c r="G434" s="464" t="s">
        <v>2413</v>
      </c>
      <c r="H434" s="464" t="s">
        <v>2414</v>
      </c>
      <c r="I434" s="464" t="s">
        <v>1684</v>
      </c>
    </row>
    <row r="435" ht="15.95" customHeight="1">
      <c r="A435" s="464" t="s">
        <v>2608</v>
      </c>
      <c r="B435" s="464" t="s">
        <v>2609</v>
      </c>
      <c r="C435" s="464"/>
      <c r="D435" s="464" t="s">
        <v>1709</v>
      </c>
      <c r="E435" s="464" t="s">
        <v>2603</v>
      </c>
      <c r="F435" s="464" t="s">
        <v>2604</v>
      </c>
      <c r="G435" s="464" t="s">
        <v>2413</v>
      </c>
      <c r="H435" s="464" t="s">
        <v>2414</v>
      </c>
      <c r="I435" s="464" t="s">
        <v>1684</v>
      </c>
    </row>
    <row r="436" ht="15.95" customHeight="1">
      <c r="A436" s="464" t="s">
        <v>2610</v>
      </c>
      <c r="B436" s="464" t="s">
        <v>2611</v>
      </c>
      <c r="C436" s="464"/>
      <c r="D436" s="464" t="s">
        <v>1709</v>
      </c>
      <c r="E436" s="464" t="s">
        <v>2603</v>
      </c>
      <c r="F436" s="464" t="s">
        <v>2604</v>
      </c>
      <c r="G436" s="464" t="s">
        <v>2413</v>
      </c>
      <c r="H436" s="464" t="s">
        <v>2414</v>
      </c>
      <c r="I436" s="464" t="s">
        <v>1684</v>
      </c>
    </row>
    <row r="437" ht="15.95" customHeight="1">
      <c r="A437" s="464" t="s">
        <v>2612</v>
      </c>
      <c r="B437" s="464" t="s">
        <v>2586</v>
      </c>
      <c r="C437" s="464"/>
      <c r="D437" s="464" t="s">
        <v>1709</v>
      </c>
      <c r="E437" s="464" t="s">
        <v>2603</v>
      </c>
      <c r="F437" s="464" t="s">
        <v>2604</v>
      </c>
      <c r="G437" s="464" t="s">
        <v>2413</v>
      </c>
      <c r="H437" s="464" t="s">
        <v>2414</v>
      </c>
      <c r="I437" s="464" t="s">
        <v>1684</v>
      </c>
    </row>
    <row r="438" ht="15.95" customHeight="1">
      <c r="A438" s="464" t="s">
        <v>2613</v>
      </c>
      <c r="B438" s="464" t="s">
        <v>2614</v>
      </c>
      <c r="C438" s="464"/>
      <c r="D438" s="464" t="s">
        <v>1709</v>
      </c>
      <c r="E438" s="464" t="s">
        <v>2603</v>
      </c>
      <c r="F438" s="464" t="s">
        <v>2604</v>
      </c>
      <c r="G438" s="464" t="s">
        <v>2413</v>
      </c>
      <c r="H438" s="464" t="s">
        <v>2414</v>
      </c>
      <c r="I438" s="464" t="s">
        <v>1684</v>
      </c>
    </row>
    <row r="439" ht="15.95" customHeight="1">
      <c r="A439" s="464" t="s">
        <v>2615</v>
      </c>
      <c r="B439" s="464" t="s">
        <v>2616</v>
      </c>
      <c r="C439" s="464"/>
      <c r="D439" s="464" t="s">
        <v>1709</v>
      </c>
      <c r="E439" s="464" t="s">
        <v>2603</v>
      </c>
      <c r="F439" s="464" t="s">
        <v>2604</v>
      </c>
      <c r="G439" s="464" t="s">
        <v>2413</v>
      </c>
      <c r="H439" s="464" t="s">
        <v>2414</v>
      </c>
      <c r="I439" s="464" t="s">
        <v>1684</v>
      </c>
    </row>
    <row r="440" ht="15.95" customHeight="1">
      <c r="A440" s="464" t="s">
        <v>2617</v>
      </c>
      <c r="B440" s="464" t="s">
        <v>2618</v>
      </c>
      <c r="C440" s="464"/>
      <c r="D440" s="464" t="s">
        <v>1709</v>
      </c>
      <c r="E440" s="464" t="s">
        <v>2603</v>
      </c>
      <c r="F440" s="464" t="s">
        <v>2604</v>
      </c>
      <c r="G440" s="464" t="s">
        <v>2413</v>
      </c>
      <c r="H440" s="464" t="s">
        <v>2414</v>
      </c>
      <c r="I440" s="464" t="s">
        <v>1684</v>
      </c>
    </row>
    <row r="441" ht="15.95" customHeight="1">
      <c r="A441" s="464" t="s">
        <v>2619</v>
      </c>
      <c r="B441" s="464" t="s">
        <v>2620</v>
      </c>
      <c r="C441" s="464"/>
      <c r="D441" s="464" t="s">
        <v>1709</v>
      </c>
      <c r="E441" s="464" t="s">
        <v>2603</v>
      </c>
      <c r="F441" s="464" t="s">
        <v>2604</v>
      </c>
      <c r="G441" s="464" t="s">
        <v>2413</v>
      </c>
      <c r="H441" s="464" t="s">
        <v>2414</v>
      </c>
      <c r="I441" s="464" t="s">
        <v>1684</v>
      </c>
    </row>
    <row r="442" ht="15.95" customHeight="1">
      <c r="A442" s="464" t="s">
        <v>2621</v>
      </c>
      <c r="B442" s="464" t="s">
        <v>2622</v>
      </c>
      <c r="C442" s="464"/>
      <c r="D442" s="464" t="s">
        <v>1709</v>
      </c>
      <c r="E442" s="464" t="s">
        <v>2623</v>
      </c>
      <c r="F442" s="464" t="s">
        <v>2624</v>
      </c>
      <c r="G442" s="464" t="s">
        <v>2413</v>
      </c>
      <c r="H442" s="464" t="s">
        <v>2414</v>
      </c>
      <c r="I442" s="464" t="s">
        <v>1684</v>
      </c>
    </row>
    <row r="443" ht="15.95" customHeight="1">
      <c r="A443" s="464" t="s">
        <v>2625</v>
      </c>
      <c r="B443" s="464" t="s">
        <v>1942</v>
      </c>
      <c r="C443" s="464"/>
      <c r="D443" s="464" t="s">
        <v>1709</v>
      </c>
      <c r="E443" s="464" t="s">
        <v>2623</v>
      </c>
      <c r="F443" s="464" t="s">
        <v>2624</v>
      </c>
      <c r="G443" s="464" t="s">
        <v>2413</v>
      </c>
      <c r="H443" s="464" t="s">
        <v>2414</v>
      </c>
      <c r="I443" s="464" t="s">
        <v>1684</v>
      </c>
    </row>
    <row r="444" ht="15.95" customHeight="1">
      <c r="A444" s="464" t="s">
        <v>2626</v>
      </c>
      <c r="B444" s="464" t="s">
        <v>2627</v>
      </c>
      <c r="C444" s="464"/>
      <c r="D444" s="464" t="s">
        <v>1709</v>
      </c>
      <c r="E444" s="464" t="s">
        <v>2623</v>
      </c>
      <c r="F444" s="464" t="s">
        <v>2624</v>
      </c>
      <c r="G444" s="464" t="s">
        <v>2413</v>
      </c>
      <c r="H444" s="464" t="s">
        <v>2414</v>
      </c>
      <c r="I444" s="464" t="s">
        <v>1684</v>
      </c>
    </row>
    <row r="445" ht="15.95" customHeight="1">
      <c r="A445" s="464" t="s">
        <v>2628</v>
      </c>
      <c r="B445" s="464" t="s">
        <v>2629</v>
      </c>
      <c r="C445" s="464"/>
      <c r="D445" s="464" t="s">
        <v>1709</v>
      </c>
      <c r="E445" s="464" t="s">
        <v>2623</v>
      </c>
      <c r="F445" s="464" t="s">
        <v>2624</v>
      </c>
      <c r="G445" s="464" t="s">
        <v>2413</v>
      </c>
      <c r="H445" s="464" t="s">
        <v>2414</v>
      </c>
      <c r="I445" s="464" t="s">
        <v>1684</v>
      </c>
    </row>
    <row r="446" ht="15.95" customHeight="1">
      <c r="A446" s="464" t="s">
        <v>2630</v>
      </c>
      <c r="B446" s="464" t="s">
        <v>1723</v>
      </c>
      <c r="C446" s="464"/>
      <c r="D446" s="464" t="s">
        <v>1709</v>
      </c>
      <c r="E446" s="464" t="s">
        <v>2623</v>
      </c>
      <c r="F446" s="464" t="s">
        <v>2624</v>
      </c>
      <c r="G446" s="464" t="s">
        <v>2413</v>
      </c>
      <c r="H446" s="464" t="s">
        <v>2414</v>
      </c>
      <c r="I446" s="464" t="s">
        <v>1684</v>
      </c>
    </row>
    <row r="447" ht="15.95" customHeight="1">
      <c r="A447" s="464" t="s">
        <v>2631</v>
      </c>
      <c r="B447" s="464" t="s">
        <v>2632</v>
      </c>
      <c r="C447" s="464"/>
      <c r="D447" s="464" t="s">
        <v>1709</v>
      </c>
      <c r="E447" s="464" t="s">
        <v>2623</v>
      </c>
      <c r="F447" s="464" t="s">
        <v>2624</v>
      </c>
      <c r="G447" s="464" t="s">
        <v>2413</v>
      </c>
      <c r="H447" s="464" t="s">
        <v>2414</v>
      </c>
      <c r="I447" s="464" t="s">
        <v>1684</v>
      </c>
    </row>
    <row r="448" ht="15.95" customHeight="1">
      <c r="A448" s="464" t="s">
        <v>2633</v>
      </c>
      <c r="B448" s="464" t="s">
        <v>2634</v>
      </c>
      <c r="C448" s="464"/>
      <c r="D448" s="464" t="s">
        <v>1709</v>
      </c>
      <c r="E448" s="464" t="s">
        <v>2623</v>
      </c>
      <c r="F448" s="464" t="s">
        <v>2624</v>
      </c>
      <c r="G448" s="464" t="s">
        <v>2413</v>
      </c>
      <c r="H448" s="464" t="s">
        <v>2414</v>
      </c>
      <c r="I448" s="464" t="s">
        <v>1684</v>
      </c>
    </row>
    <row r="449" ht="15.95" customHeight="1">
      <c r="A449" s="464" t="s">
        <v>2635</v>
      </c>
      <c r="B449" s="464" t="s">
        <v>2636</v>
      </c>
      <c r="C449" s="464"/>
      <c r="D449" s="464" t="s">
        <v>1709</v>
      </c>
      <c r="E449" s="464" t="s">
        <v>2623</v>
      </c>
      <c r="F449" s="464" t="s">
        <v>2624</v>
      </c>
      <c r="G449" s="464" t="s">
        <v>2413</v>
      </c>
      <c r="H449" s="464" t="s">
        <v>2414</v>
      </c>
      <c r="I449" s="464" t="s">
        <v>1684</v>
      </c>
    </row>
    <row r="450" ht="15.95" customHeight="1">
      <c r="A450" s="464" t="s">
        <v>2637</v>
      </c>
      <c r="B450" s="464" t="s">
        <v>2638</v>
      </c>
      <c r="C450" s="464"/>
      <c r="D450" s="464" t="s">
        <v>1709</v>
      </c>
      <c r="E450" s="464" t="s">
        <v>2623</v>
      </c>
      <c r="F450" s="464" t="s">
        <v>2624</v>
      </c>
      <c r="G450" s="464" t="s">
        <v>2413</v>
      </c>
      <c r="H450" s="464" t="s">
        <v>2414</v>
      </c>
      <c r="I450" s="464" t="s">
        <v>1684</v>
      </c>
    </row>
    <row r="451" ht="15.95" customHeight="1">
      <c r="A451" s="464" t="s">
        <v>2639</v>
      </c>
      <c r="B451" s="464" t="s">
        <v>2640</v>
      </c>
      <c r="C451" s="464"/>
      <c r="D451" s="464" t="s">
        <v>1709</v>
      </c>
      <c r="E451" s="464" t="s">
        <v>2623</v>
      </c>
      <c r="F451" s="464" t="s">
        <v>2624</v>
      </c>
      <c r="G451" s="464" t="s">
        <v>2413</v>
      </c>
      <c r="H451" s="464" t="s">
        <v>2414</v>
      </c>
      <c r="I451" s="464" t="s">
        <v>1684</v>
      </c>
    </row>
    <row r="452" ht="15.95" customHeight="1">
      <c r="A452" s="464" t="s">
        <v>2641</v>
      </c>
      <c r="B452" s="464" t="s">
        <v>1287</v>
      </c>
      <c r="C452" s="464"/>
      <c r="D452" s="464" t="s">
        <v>1679</v>
      </c>
      <c r="E452" s="464" t="s">
        <v>2642</v>
      </c>
      <c r="F452" s="464" t="s">
        <v>2643</v>
      </c>
      <c r="G452" s="464" t="s">
        <v>2644</v>
      </c>
      <c r="H452" s="464" t="s">
        <v>2645</v>
      </c>
      <c r="I452" s="464" t="s">
        <v>1684</v>
      </c>
    </row>
    <row r="453" ht="15.95" customHeight="1">
      <c r="A453" s="464" t="s">
        <v>2646</v>
      </c>
      <c r="B453" s="464" t="s">
        <v>1269</v>
      </c>
      <c r="C453" s="464"/>
      <c r="D453" s="464" t="s">
        <v>1679</v>
      </c>
      <c r="E453" s="464" t="s">
        <v>2642</v>
      </c>
      <c r="F453" s="464" t="s">
        <v>2643</v>
      </c>
      <c r="G453" s="464" t="s">
        <v>2644</v>
      </c>
      <c r="H453" s="464" t="s">
        <v>2645</v>
      </c>
      <c r="I453" s="464" t="s">
        <v>1684</v>
      </c>
    </row>
    <row r="454" ht="15.95" customHeight="1">
      <c r="A454" s="464" t="s">
        <v>2647</v>
      </c>
      <c r="B454" s="464" t="s">
        <v>1282</v>
      </c>
      <c r="C454" s="464"/>
      <c r="D454" s="464" t="s">
        <v>1679</v>
      </c>
      <c r="E454" s="464" t="s">
        <v>2642</v>
      </c>
      <c r="F454" s="464" t="s">
        <v>2643</v>
      </c>
      <c r="G454" s="464" t="s">
        <v>2644</v>
      </c>
      <c r="H454" s="464" t="s">
        <v>2645</v>
      </c>
      <c r="I454" s="464" t="s">
        <v>1684</v>
      </c>
    </row>
    <row r="455" ht="15.95" customHeight="1">
      <c r="A455" s="464" t="s">
        <v>2648</v>
      </c>
      <c r="B455" s="464" t="s">
        <v>2649</v>
      </c>
      <c r="C455" s="464"/>
      <c r="D455" s="464" t="s">
        <v>1679</v>
      </c>
      <c r="E455" s="464" t="s">
        <v>2642</v>
      </c>
      <c r="F455" s="464" t="s">
        <v>2643</v>
      </c>
      <c r="G455" s="464" t="s">
        <v>2644</v>
      </c>
      <c r="H455" s="464" t="s">
        <v>2645</v>
      </c>
      <c r="I455" s="464" t="s">
        <v>1684</v>
      </c>
    </row>
    <row r="456" ht="15.95" customHeight="1">
      <c r="A456" s="464" t="s">
        <v>2650</v>
      </c>
      <c r="B456" s="464" t="s">
        <v>2110</v>
      </c>
      <c r="C456" s="464"/>
      <c r="D456" s="464" t="s">
        <v>1679</v>
      </c>
      <c r="E456" s="464" t="s">
        <v>2642</v>
      </c>
      <c r="F456" s="464" t="s">
        <v>2643</v>
      </c>
      <c r="G456" s="464" t="s">
        <v>2644</v>
      </c>
      <c r="H456" s="464" t="s">
        <v>2645</v>
      </c>
      <c r="I456" s="464" t="s">
        <v>1684</v>
      </c>
    </row>
    <row r="457" ht="15.95" customHeight="1">
      <c r="A457" s="464" t="s">
        <v>2651</v>
      </c>
      <c r="B457" s="464" t="s">
        <v>2652</v>
      </c>
      <c r="C457" s="464"/>
      <c r="D457" s="464" t="s">
        <v>1709</v>
      </c>
      <c r="E457" s="464" t="s">
        <v>2642</v>
      </c>
      <c r="F457" s="464" t="s">
        <v>2643</v>
      </c>
      <c r="G457" s="464" t="s">
        <v>2644</v>
      </c>
      <c r="H457" s="464" t="s">
        <v>2645</v>
      </c>
      <c r="I457" s="464" t="s">
        <v>1684</v>
      </c>
    </row>
    <row r="458" ht="15.95" customHeight="1">
      <c r="A458" s="464" t="s">
        <v>2653</v>
      </c>
      <c r="B458" s="464" t="s">
        <v>1881</v>
      </c>
      <c r="C458" s="464"/>
      <c r="D458" s="464" t="s">
        <v>1709</v>
      </c>
      <c r="E458" s="464" t="s">
        <v>2642</v>
      </c>
      <c r="F458" s="464" t="s">
        <v>2643</v>
      </c>
      <c r="G458" s="464" t="s">
        <v>2644</v>
      </c>
      <c r="H458" s="464" t="s">
        <v>2645</v>
      </c>
      <c r="I458" s="464" t="s">
        <v>1684</v>
      </c>
    </row>
    <row r="459" ht="15.95" customHeight="1">
      <c r="A459" s="464" t="s">
        <v>2654</v>
      </c>
      <c r="B459" s="464" t="s">
        <v>2582</v>
      </c>
      <c r="C459" s="464"/>
      <c r="D459" s="464" t="s">
        <v>1709</v>
      </c>
      <c r="E459" s="464" t="s">
        <v>2642</v>
      </c>
      <c r="F459" s="464" t="s">
        <v>2643</v>
      </c>
      <c r="G459" s="464" t="s">
        <v>2644</v>
      </c>
      <c r="H459" s="464" t="s">
        <v>2645</v>
      </c>
      <c r="I459" s="464" t="s">
        <v>1684</v>
      </c>
    </row>
    <row r="460" ht="15.95" customHeight="1">
      <c r="A460" s="464" t="s">
        <v>2655</v>
      </c>
      <c r="B460" s="464" t="s">
        <v>2656</v>
      </c>
      <c r="C460" s="464"/>
      <c r="D460" s="464" t="s">
        <v>1679</v>
      </c>
      <c r="E460" s="464" t="s">
        <v>2642</v>
      </c>
      <c r="F460" s="464" t="s">
        <v>2643</v>
      </c>
      <c r="G460" s="464" t="s">
        <v>2644</v>
      </c>
      <c r="H460" s="464" t="s">
        <v>2645</v>
      </c>
      <c r="I460" s="464" t="s">
        <v>1684</v>
      </c>
    </row>
    <row r="461" ht="15.95" customHeight="1">
      <c r="A461" s="464" t="s">
        <v>2657</v>
      </c>
      <c r="B461" s="464" t="s">
        <v>2658</v>
      </c>
      <c r="C461" s="464"/>
      <c r="D461" s="464" t="s">
        <v>1679</v>
      </c>
      <c r="E461" s="464" t="s">
        <v>2642</v>
      </c>
      <c r="F461" s="464" t="s">
        <v>2643</v>
      </c>
      <c r="G461" s="464" t="s">
        <v>2644</v>
      </c>
      <c r="H461" s="464" t="s">
        <v>2645</v>
      </c>
      <c r="I461" s="464" t="s">
        <v>1684</v>
      </c>
    </row>
    <row r="462" ht="15.95" customHeight="1">
      <c r="A462" s="464" t="s">
        <v>2659</v>
      </c>
      <c r="B462" s="464" t="s">
        <v>2660</v>
      </c>
      <c r="C462" s="464"/>
      <c r="D462" s="464" t="s">
        <v>1738</v>
      </c>
      <c r="E462" s="464" t="s">
        <v>2661</v>
      </c>
      <c r="F462" s="464" t="s">
        <v>2662</v>
      </c>
      <c r="G462" s="464" t="s">
        <v>2644</v>
      </c>
      <c r="H462" s="464" t="s">
        <v>2645</v>
      </c>
      <c r="I462" s="464" t="s">
        <v>1684</v>
      </c>
    </row>
    <row r="463" ht="15.95" customHeight="1">
      <c r="A463" s="464" t="s">
        <v>2663</v>
      </c>
      <c r="B463" s="464" t="s">
        <v>2004</v>
      </c>
      <c r="C463" s="464"/>
      <c r="D463" s="464" t="s">
        <v>1709</v>
      </c>
      <c r="E463" s="464" t="s">
        <v>2661</v>
      </c>
      <c r="F463" s="464" t="s">
        <v>2662</v>
      </c>
      <c r="G463" s="464" t="s">
        <v>2644</v>
      </c>
      <c r="H463" s="464" t="s">
        <v>2645</v>
      </c>
      <c r="I463" s="464" t="s">
        <v>1684</v>
      </c>
    </row>
    <row r="464" ht="15.95" customHeight="1">
      <c r="A464" s="464" t="s">
        <v>2664</v>
      </c>
      <c r="B464" s="464" t="s">
        <v>2665</v>
      </c>
      <c r="C464" s="464"/>
      <c r="D464" s="464" t="s">
        <v>1709</v>
      </c>
      <c r="E464" s="464" t="s">
        <v>2661</v>
      </c>
      <c r="F464" s="464" t="s">
        <v>2662</v>
      </c>
      <c r="G464" s="464" t="s">
        <v>2644</v>
      </c>
      <c r="H464" s="464" t="s">
        <v>2645</v>
      </c>
      <c r="I464" s="464" t="s">
        <v>1684</v>
      </c>
    </row>
    <row r="465" ht="15.95" customHeight="1">
      <c r="A465" s="464" t="s">
        <v>2666</v>
      </c>
      <c r="B465" s="464" t="s">
        <v>1881</v>
      </c>
      <c r="C465" s="464"/>
      <c r="D465" s="464" t="s">
        <v>1709</v>
      </c>
      <c r="E465" s="464" t="s">
        <v>2661</v>
      </c>
      <c r="F465" s="464" t="s">
        <v>2662</v>
      </c>
      <c r="G465" s="464" t="s">
        <v>2644</v>
      </c>
      <c r="H465" s="464" t="s">
        <v>2645</v>
      </c>
      <c r="I465" s="464" t="s">
        <v>1684</v>
      </c>
    </row>
    <row r="466" ht="15.95" customHeight="1">
      <c r="A466" s="464" t="s">
        <v>2667</v>
      </c>
      <c r="B466" s="464" t="s">
        <v>2668</v>
      </c>
      <c r="C466" s="464"/>
      <c r="D466" s="464" t="s">
        <v>1709</v>
      </c>
      <c r="E466" s="464" t="s">
        <v>2661</v>
      </c>
      <c r="F466" s="464" t="s">
        <v>2662</v>
      </c>
      <c r="G466" s="464" t="s">
        <v>2644</v>
      </c>
      <c r="H466" s="464" t="s">
        <v>2645</v>
      </c>
      <c r="I466" s="464" t="s">
        <v>1684</v>
      </c>
    </row>
    <row r="467" ht="15.95" customHeight="1">
      <c r="A467" s="464" t="s">
        <v>2669</v>
      </c>
      <c r="B467" s="464" t="s">
        <v>2670</v>
      </c>
      <c r="C467" s="464"/>
      <c r="D467" s="464" t="s">
        <v>1709</v>
      </c>
      <c r="E467" s="464" t="s">
        <v>2661</v>
      </c>
      <c r="F467" s="464" t="s">
        <v>2662</v>
      </c>
      <c r="G467" s="464" t="s">
        <v>2644</v>
      </c>
      <c r="H467" s="464" t="s">
        <v>2645</v>
      </c>
      <c r="I467" s="464" t="s">
        <v>1684</v>
      </c>
    </row>
    <row r="468" ht="15.95" customHeight="1">
      <c r="A468" s="464" t="s">
        <v>2671</v>
      </c>
      <c r="B468" s="464" t="s">
        <v>2672</v>
      </c>
      <c r="C468" s="464"/>
      <c r="D468" s="464" t="s">
        <v>1709</v>
      </c>
      <c r="E468" s="464" t="s">
        <v>2661</v>
      </c>
      <c r="F468" s="464" t="s">
        <v>2662</v>
      </c>
      <c r="G468" s="464" t="s">
        <v>2644</v>
      </c>
      <c r="H468" s="464" t="s">
        <v>2645</v>
      </c>
      <c r="I468" s="464" t="s">
        <v>1684</v>
      </c>
    </row>
    <row r="469" ht="15.95" customHeight="1">
      <c r="A469" s="464" t="s">
        <v>2673</v>
      </c>
      <c r="B469" s="464" t="s">
        <v>2674</v>
      </c>
      <c r="C469" s="464"/>
      <c r="D469" s="464" t="s">
        <v>1709</v>
      </c>
      <c r="E469" s="464" t="s">
        <v>2661</v>
      </c>
      <c r="F469" s="464" t="s">
        <v>2662</v>
      </c>
      <c r="G469" s="464" t="s">
        <v>2644</v>
      </c>
      <c r="H469" s="464" t="s">
        <v>2645</v>
      </c>
      <c r="I469" s="464" t="s">
        <v>1684</v>
      </c>
    </row>
    <row r="470" ht="15.95" customHeight="1">
      <c r="A470" s="464" t="s">
        <v>2675</v>
      </c>
      <c r="B470" s="464" t="s">
        <v>2676</v>
      </c>
      <c r="C470" s="464"/>
      <c r="D470" s="464" t="s">
        <v>1709</v>
      </c>
      <c r="E470" s="464" t="s">
        <v>2661</v>
      </c>
      <c r="F470" s="464" t="s">
        <v>2662</v>
      </c>
      <c r="G470" s="464" t="s">
        <v>2644</v>
      </c>
      <c r="H470" s="464" t="s">
        <v>2645</v>
      </c>
      <c r="I470" s="464" t="s">
        <v>1684</v>
      </c>
    </row>
    <row r="471" ht="15.95" customHeight="1">
      <c r="A471" s="464" t="s">
        <v>2677</v>
      </c>
      <c r="B471" s="464" t="s">
        <v>2678</v>
      </c>
      <c r="C471" s="464"/>
      <c r="D471" s="464" t="s">
        <v>1709</v>
      </c>
      <c r="E471" s="464" t="s">
        <v>2661</v>
      </c>
      <c r="F471" s="464" t="s">
        <v>2662</v>
      </c>
      <c r="G471" s="464" t="s">
        <v>2644</v>
      </c>
      <c r="H471" s="464" t="s">
        <v>2645</v>
      </c>
      <c r="I471" s="464" t="s">
        <v>1684</v>
      </c>
    </row>
    <row r="472" ht="15.95" customHeight="1">
      <c r="A472" s="464" t="s">
        <v>2679</v>
      </c>
      <c r="B472" s="464" t="s">
        <v>2680</v>
      </c>
      <c r="C472" s="464"/>
      <c r="D472" s="464" t="s">
        <v>1738</v>
      </c>
      <c r="E472" s="464" t="s">
        <v>2681</v>
      </c>
      <c r="F472" s="464" t="s">
        <v>2682</v>
      </c>
      <c r="G472" s="464" t="s">
        <v>2644</v>
      </c>
      <c r="H472" s="464" t="s">
        <v>2645</v>
      </c>
      <c r="I472" s="464" t="s">
        <v>1684</v>
      </c>
    </row>
    <row r="473" ht="15.95" customHeight="1">
      <c r="A473" s="464" t="s">
        <v>2683</v>
      </c>
      <c r="B473" s="464" t="s">
        <v>2066</v>
      </c>
      <c r="C473" s="464"/>
      <c r="D473" s="464" t="s">
        <v>1709</v>
      </c>
      <c r="E473" s="464" t="s">
        <v>2681</v>
      </c>
      <c r="F473" s="464" t="s">
        <v>2682</v>
      </c>
      <c r="G473" s="464" t="s">
        <v>2644</v>
      </c>
      <c r="H473" s="464" t="s">
        <v>2645</v>
      </c>
      <c r="I473" s="464" t="s">
        <v>1684</v>
      </c>
    </row>
    <row r="474" ht="15.95" customHeight="1">
      <c r="A474" s="464" t="s">
        <v>2684</v>
      </c>
      <c r="B474" s="464" t="s">
        <v>2685</v>
      </c>
      <c r="C474" s="464"/>
      <c r="D474" s="464" t="s">
        <v>1709</v>
      </c>
      <c r="E474" s="464" t="s">
        <v>2681</v>
      </c>
      <c r="F474" s="464" t="s">
        <v>2682</v>
      </c>
      <c r="G474" s="464" t="s">
        <v>2644</v>
      </c>
      <c r="H474" s="464" t="s">
        <v>2645</v>
      </c>
      <c r="I474" s="464" t="s">
        <v>1684</v>
      </c>
    </row>
    <row r="475" ht="15.95" customHeight="1">
      <c r="A475" s="464" t="s">
        <v>2686</v>
      </c>
      <c r="B475" s="464" t="s">
        <v>2253</v>
      </c>
      <c r="C475" s="464"/>
      <c r="D475" s="464" t="s">
        <v>1709</v>
      </c>
      <c r="E475" s="464" t="s">
        <v>2681</v>
      </c>
      <c r="F475" s="464" t="s">
        <v>2682</v>
      </c>
      <c r="G475" s="464" t="s">
        <v>2644</v>
      </c>
      <c r="H475" s="464" t="s">
        <v>2645</v>
      </c>
      <c r="I475" s="464" t="s">
        <v>1684</v>
      </c>
    </row>
    <row r="476" ht="15.95" customHeight="1">
      <c r="A476" s="464" t="s">
        <v>2687</v>
      </c>
      <c r="B476" s="464" t="s">
        <v>2563</v>
      </c>
      <c r="C476" s="464"/>
      <c r="D476" s="464" t="s">
        <v>1709</v>
      </c>
      <c r="E476" s="464" t="s">
        <v>2681</v>
      </c>
      <c r="F476" s="464" t="s">
        <v>2682</v>
      </c>
      <c r="G476" s="464" t="s">
        <v>2644</v>
      </c>
      <c r="H476" s="464" t="s">
        <v>2645</v>
      </c>
      <c r="I476" s="464" t="s">
        <v>1684</v>
      </c>
    </row>
    <row r="477" ht="15.95" customHeight="1">
      <c r="A477" s="464" t="s">
        <v>2688</v>
      </c>
      <c r="B477" s="464" t="s">
        <v>2689</v>
      </c>
      <c r="C477" s="464"/>
      <c r="D477" s="464" t="s">
        <v>1709</v>
      </c>
      <c r="E477" s="464" t="s">
        <v>2681</v>
      </c>
      <c r="F477" s="464" t="s">
        <v>2682</v>
      </c>
      <c r="G477" s="464" t="s">
        <v>2644</v>
      </c>
      <c r="H477" s="464" t="s">
        <v>2645</v>
      </c>
      <c r="I477" s="464" t="s">
        <v>1684</v>
      </c>
    </row>
    <row r="478" ht="15.95" customHeight="1">
      <c r="A478" s="464" t="s">
        <v>2690</v>
      </c>
      <c r="B478" s="464" t="s">
        <v>2691</v>
      </c>
      <c r="C478" s="464"/>
      <c r="D478" s="464" t="s">
        <v>1709</v>
      </c>
      <c r="E478" s="464" t="s">
        <v>2681</v>
      </c>
      <c r="F478" s="464" t="s">
        <v>2682</v>
      </c>
      <c r="G478" s="464" t="s">
        <v>2644</v>
      </c>
      <c r="H478" s="464" t="s">
        <v>2645</v>
      </c>
      <c r="I478" s="464" t="s">
        <v>1684</v>
      </c>
    </row>
    <row r="479" ht="15.95" customHeight="1">
      <c r="A479" s="464" t="s">
        <v>2692</v>
      </c>
      <c r="B479" s="464" t="s">
        <v>2546</v>
      </c>
      <c r="C479" s="464"/>
      <c r="D479" s="464" t="s">
        <v>1709</v>
      </c>
      <c r="E479" s="464" t="s">
        <v>2681</v>
      </c>
      <c r="F479" s="464" t="s">
        <v>2682</v>
      </c>
      <c r="G479" s="464" t="s">
        <v>2644</v>
      </c>
      <c r="H479" s="464" t="s">
        <v>2645</v>
      </c>
      <c r="I479" s="464" t="s">
        <v>1684</v>
      </c>
    </row>
    <row r="480" ht="15.95" customHeight="1">
      <c r="A480" s="464" t="s">
        <v>2693</v>
      </c>
      <c r="B480" s="464" t="s">
        <v>2694</v>
      </c>
      <c r="C480" s="464"/>
      <c r="D480" s="464" t="s">
        <v>1709</v>
      </c>
      <c r="E480" s="464" t="s">
        <v>2681</v>
      </c>
      <c r="F480" s="464" t="s">
        <v>2682</v>
      </c>
      <c r="G480" s="464" t="s">
        <v>2644</v>
      </c>
      <c r="H480" s="464" t="s">
        <v>2645</v>
      </c>
      <c r="I480" s="464" t="s">
        <v>1684</v>
      </c>
    </row>
    <row r="481" ht="15.95" customHeight="1">
      <c r="A481" s="464" t="s">
        <v>2695</v>
      </c>
      <c r="B481" s="464" t="s">
        <v>2012</v>
      </c>
      <c r="C481" s="464"/>
      <c r="D481" s="464" t="s">
        <v>1709</v>
      </c>
      <c r="E481" s="464" t="s">
        <v>2681</v>
      </c>
      <c r="F481" s="464" t="s">
        <v>2682</v>
      </c>
      <c r="G481" s="464" t="s">
        <v>2644</v>
      </c>
      <c r="H481" s="464" t="s">
        <v>2645</v>
      </c>
      <c r="I481" s="464" t="s">
        <v>1684</v>
      </c>
    </row>
    <row r="482" ht="15.95" customHeight="1">
      <c r="A482" s="464" t="s">
        <v>2696</v>
      </c>
      <c r="B482" s="464" t="s">
        <v>2697</v>
      </c>
      <c r="C482" s="464"/>
      <c r="D482" s="464" t="s">
        <v>1709</v>
      </c>
      <c r="E482" s="464" t="s">
        <v>2681</v>
      </c>
      <c r="F482" s="464" t="s">
        <v>2682</v>
      </c>
      <c r="G482" s="464" t="s">
        <v>2644</v>
      </c>
      <c r="H482" s="464" t="s">
        <v>2645</v>
      </c>
      <c r="I482" s="464" t="s">
        <v>1684</v>
      </c>
    </row>
    <row r="483" ht="15.95" customHeight="1">
      <c r="A483" s="464" t="s">
        <v>2698</v>
      </c>
      <c r="B483" s="464" t="s">
        <v>2532</v>
      </c>
      <c r="C483" s="464"/>
      <c r="D483" s="464" t="s">
        <v>1709</v>
      </c>
      <c r="E483" s="464" t="s">
        <v>2681</v>
      </c>
      <c r="F483" s="464" t="s">
        <v>2682</v>
      </c>
      <c r="G483" s="464" t="s">
        <v>2644</v>
      </c>
      <c r="H483" s="464" t="s">
        <v>2645</v>
      </c>
      <c r="I483" s="464" t="s">
        <v>1684</v>
      </c>
    </row>
    <row r="484" ht="15.95" customHeight="1">
      <c r="A484" s="464" t="s">
        <v>2699</v>
      </c>
      <c r="B484" s="464" t="s">
        <v>2700</v>
      </c>
      <c r="C484" s="464"/>
      <c r="D484" s="464" t="s">
        <v>1738</v>
      </c>
      <c r="E484" s="464" t="s">
        <v>2701</v>
      </c>
      <c r="F484" s="464" t="s">
        <v>2702</v>
      </c>
      <c r="G484" s="464" t="s">
        <v>2644</v>
      </c>
      <c r="H484" s="464" t="s">
        <v>2645</v>
      </c>
      <c r="I484" s="464" t="s">
        <v>1684</v>
      </c>
    </row>
    <row r="485" ht="15.95" customHeight="1">
      <c r="A485" s="464" t="s">
        <v>2703</v>
      </c>
      <c r="B485" s="464" t="s">
        <v>2704</v>
      </c>
      <c r="C485" s="464"/>
      <c r="D485" s="464" t="s">
        <v>1709</v>
      </c>
      <c r="E485" s="464" t="s">
        <v>2701</v>
      </c>
      <c r="F485" s="464" t="s">
        <v>2702</v>
      </c>
      <c r="G485" s="464" t="s">
        <v>2644</v>
      </c>
      <c r="H485" s="464" t="s">
        <v>2645</v>
      </c>
      <c r="I485" s="464" t="s">
        <v>1684</v>
      </c>
    </row>
    <row r="486" ht="15.95" customHeight="1">
      <c r="A486" s="464" t="s">
        <v>2705</v>
      </c>
      <c r="B486" s="464" t="s">
        <v>2706</v>
      </c>
      <c r="C486" s="464"/>
      <c r="D486" s="464" t="s">
        <v>1709</v>
      </c>
      <c r="E486" s="464" t="s">
        <v>2701</v>
      </c>
      <c r="F486" s="464" t="s">
        <v>2702</v>
      </c>
      <c r="G486" s="464" t="s">
        <v>2644</v>
      </c>
      <c r="H486" s="464" t="s">
        <v>2645</v>
      </c>
      <c r="I486" s="464" t="s">
        <v>1684</v>
      </c>
    </row>
    <row r="487" ht="15.95" customHeight="1">
      <c r="A487" s="464" t="s">
        <v>2707</v>
      </c>
      <c r="B487" s="464" t="s">
        <v>1819</v>
      </c>
      <c r="C487" s="464"/>
      <c r="D487" s="464" t="s">
        <v>1709</v>
      </c>
      <c r="E487" s="464" t="s">
        <v>2701</v>
      </c>
      <c r="F487" s="464" t="s">
        <v>2702</v>
      </c>
      <c r="G487" s="464" t="s">
        <v>2644</v>
      </c>
      <c r="H487" s="464" t="s">
        <v>2645</v>
      </c>
      <c r="I487" s="464" t="s">
        <v>1684</v>
      </c>
    </row>
    <row r="488" ht="15.95" customHeight="1">
      <c r="A488" s="464" t="s">
        <v>2708</v>
      </c>
      <c r="B488" s="464" t="s">
        <v>1825</v>
      </c>
      <c r="C488" s="464"/>
      <c r="D488" s="464" t="s">
        <v>1709</v>
      </c>
      <c r="E488" s="464" t="s">
        <v>2701</v>
      </c>
      <c r="F488" s="464" t="s">
        <v>2702</v>
      </c>
      <c r="G488" s="464" t="s">
        <v>2644</v>
      </c>
      <c r="H488" s="464" t="s">
        <v>2645</v>
      </c>
      <c r="I488" s="464" t="s">
        <v>1684</v>
      </c>
    </row>
    <row r="489" ht="15.95" customHeight="1">
      <c r="A489" s="464" t="s">
        <v>2709</v>
      </c>
      <c r="B489" s="464" t="s">
        <v>2710</v>
      </c>
      <c r="C489" s="464"/>
      <c r="D489" s="464" t="s">
        <v>1709</v>
      </c>
      <c r="E489" s="464" t="s">
        <v>2701</v>
      </c>
      <c r="F489" s="464" t="s">
        <v>2702</v>
      </c>
      <c r="G489" s="464" t="s">
        <v>2644</v>
      </c>
      <c r="H489" s="464" t="s">
        <v>2645</v>
      </c>
      <c r="I489" s="464" t="s">
        <v>1684</v>
      </c>
    </row>
    <row r="490" ht="15.95" customHeight="1">
      <c r="A490" s="464" t="s">
        <v>2711</v>
      </c>
      <c r="B490" s="464" t="s">
        <v>2712</v>
      </c>
      <c r="C490" s="464"/>
      <c r="D490" s="464" t="s">
        <v>1709</v>
      </c>
      <c r="E490" s="464" t="s">
        <v>2701</v>
      </c>
      <c r="F490" s="464" t="s">
        <v>2702</v>
      </c>
      <c r="G490" s="464" t="s">
        <v>2644</v>
      </c>
      <c r="H490" s="464" t="s">
        <v>2645</v>
      </c>
      <c r="I490" s="464" t="s">
        <v>1684</v>
      </c>
    </row>
    <row r="491" ht="15.95" customHeight="1">
      <c r="A491" s="464" t="s">
        <v>2713</v>
      </c>
      <c r="B491" s="464" t="s">
        <v>2714</v>
      </c>
      <c r="C491" s="464"/>
      <c r="D491" s="464" t="s">
        <v>1709</v>
      </c>
      <c r="E491" s="464" t="s">
        <v>2701</v>
      </c>
      <c r="F491" s="464" t="s">
        <v>2702</v>
      </c>
      <c r="G491" s="464" t="s">
        <v>2644</v>
      </c>
      <c r="H491" s="464" t="s">
        <v>2645</v>
      </c>
      <c r="I491" s="464" t="s">
        <v>1684</v>
      </c>
    </row>
    <row r="492" ht="15.95" customHeight="1">
      <c r="A492" s="464" t="s">
        <v>2715</v>
      </c>
      <c r="B492" s="464" t="s">
        <v>2716</v>
      </c>
      <c r="C492" s="464"/>
      <c r="D492" s="464" t="s">
        <v>1709</v>
      </c>
      <c r="E492" s="464" t="s">
        <v>2701</v>
      </c>
      <c r="F492" s="464" t="s">
        <v>2702</v>
      </c>
      <c r="G492" s="464" t="s">
        <v>2644</v>
      </c>
      <c r="H492" s="464" t="s">
        <v>2645</v>
      </c>
      <c r="I492" s="464" t="s">
        <v>1684</v>
      </c>
    </row>
    <row r="493" ht="15.95" customHeight="1">
      <c r="A493" s="464" t="s">
        <v>2717</v>
      </c>
      <c r="B493" s="464" t="s">
        <v>2718</v>
      </c>
      <c r="C493" s="464"/>
      <c r="D493" s="464" t="s">
        <v>1709</v>
      </c>
      <c r="E493" s="464" t="s">
        <v>2701</v>
      </c>
      <c r="F493" s="464" t="s">
        <v>2702</v>
      </c>
      <c r="G493" s="464" t="s">
        <v>2644</v>
      </c>
      <c r="H493" s="464" t="s">
        <v>2645</v>
      </c>
      <c r="I493" s="464" t="s">
        <v>1684</v>
      </c>
    </row>
    <row r="494" ht="15.95" customHeight="1">
      <c r="A494" s="464" t="s">
        <v>2719</v>
      </c>
      <c r="B494" s="464" t="s">
        <v>2720</v>
      </c>
      <c r="C494" s="464"/>
      <c r="D494" s="464" t="s">
        <v>1709</v>
      </c>
      <c r="E494" s="464" t="s">
        <v>2701</v>
      </c>
      <c r="F494" s="464" t="s">
        <v>2702</v>
      </c>
      <c r="G494" s="464" t="s">
        <v>2644</v>
      </c>
      <c r="H494" s="464" t="s">
        <v>2645</v>
      </c>
      <c r="I494" s="464" t="s">
        <v>1684</v>
      </c>
    </row>
    <row r="495" ht="15.95" customHeight="1">
      <c r="A495" s="464" t="s">
        <v>2721</v>
      </c>
      <c r="B495" s="464" t="s">
        <v>2722</v>
      </c>
      <c r="C495" s="464"/>
      <c r="D495" s="464" t="s">
        <v>1738</v>
      </c>
      <c r="E495" s="464" t="s">
        <v>2723</v>
      </c>
      <c r="F495" s="464" t="s">
        <v>2724</v>
      </c>
      <c r="G495" s="464" t="s">
        <v>2644</v>
      </c>
      <c r="H495" s="464" t="s">
        <v>2645</v>
      </c>
      <c r="I495" s="464" t="s">
        <v>1684</v>
      </c>
    </row>
    <row r="496" ht="15.95" customHeight="1">
      <c r="A496" s="464" t="s">
        <v>2725</v>
      </c>
      <c r="B496" s="464" t="s">
        <v>2726</v>
      </c>
      <c r="C496" s="464"/>
      <c r="D496" s="464" t="s">
        <v>1709</v>
      </c>
      <c r="E496" s="464" t="s">
        <v>2723</v>
      </c>
      <c r="F496" s="464" t="s">
        <v>2724</v>
      </c>
      <c r="G496" s="464" t="s">
        <v>2644</v>
      </c>
      <c r="H496" s="464" t="s">
        <v>2645</v>
      </c>
      <c r="I496" s="464" t="s">
        <v>1684</v>
      </c>
    </row>
    <row r="497" ht="15.95" customHeight="1">
      <c r="A497" s="464" t="s">
        <v>2727</v>
      </c>
      <c r="B497" s="464" t="s">
        <v>1795</v>
      </c>
      <c r="C497" s="464"/>
      <c r="D497" s="464" t="s">
        <v>1709</v>
      </c>
      <c r="E497" s="464" t="s">
        <v>2723</v>
      </c>
      <c r="F497" s="464" t="s">
        <v>2724</v>
      </c>
      <c r="G497" s="464" t="s">
        <v>2644</v>
      </c>
      <c r="H497" s="464" t="s">
        <v>2645</v>
      </c>
      <c r="I497" s="464" t="s">
        <v>1684</v>
      </c>
    </row>
    <row r="498" ht="15.95" customHeight="1">
      <c r="A498" s="464" t="s">
        <v>2728</v>
      </c>
      <c r="B498" s="464" t="s">
        <v>2729</v>
      </c>
      <c r="C498" s="464"/>
      <c r="D498" s="464" t="s">
        <v>1709</v>
      </c>
      <c r="E498" s="464" t="s">
        <v>2723</v>
      </c>
      <c r="F498" s="464" t="s">
        <v>2724</v>
      </c>
      <c r="G498" s="464" t="s">
        <v>2644</v>
      </c>
      <c r="H498" s="464" t="s">
        <v>2645</v>
      </c>
      <c r="I498" s="464" t="s">
        <v>1684</v>
      </c>
    </row>
    <row r="499" ht="15.95" customHeight="1">
      <c r="A499" s="464" t="s">
        <v>2730</v>
      </c>
      <c r="B499" s="464" t="s">
        <v>2731</v>
      </c>
      <c r="C499" s="464"/>
      <c r="D499" s="464" t="s">
        <v>1709</v>
      </c>
      <c r="E499" s="464" t="s">
        <v>2723</v>
      </c>
      <c r="F499" s="464" t="s">
        <v>2724</v>
      </c>
      <c r="G499" s="464" t="s">
        <v>2644</v>
      </c>
      <c r="H499" s="464" t="s">
        <v>2645</v>
      </c>
      <c r="I499" s="464" t="s">
        <v>1684</v>
      </c>
    </row>
    <row r="500" ht="15.95" customHeight="1">
      <c r="A500" s="464" t="s">
        <v>2732</v>
      </c>
      <c r="B500" s="464" t="s">
        <v>2733</v>
      </c>
      <c r="C500" s="464"/>
      <c r="D500" s="464" t="s">
        <v>1709</v>
      </c>
      <c r="E500" s="464" t="s">
        <v>2723</v>
      </c>
      <c r="F500" s="464" t="s">
        <v>2724</v>
      </c>
      <c r="G500" s="464" t="s">
        <v>2644</v>
      </c>
      <c r="H500" s="464" t="s">
        <v>2645</v>
      </c>
      <c r="I500" s="464" t="s">
        <v>1684</v>
      </c>
    </row>
    <row r="501" ht="15.95" customHeight="1">
      <c r="A501" s="464" t="s">
        <v>2734</v>
      </c>
      <c r="B501" s="464" t="s">
        <v>2735</v>
      </c>
      <c r="C501" s="464"/>
      <c r="D501" s="464" t="s">
        <v>1709</v>
      </c>
      <c r="E501" s="464" t="s">
        <v>2723</v>
      </c>
      <c r="F501" s="464" t="s">
        <v>2724</v>
      </c>
      <c r="G501" s="464" t="s">
        <v>2644</v>
      </c>
      <c r="H501" s="464" t="s">
        <v>2645</v>
      </c>
      <c r="I501" s="464" t="s">
        <v>1684</v>
      </c>
    </row>
    <row r="502" ht="15.95" customHeight="1">
      <c r="A502" s="464" t="s">
        <v>2736</v>
      </c>
      <c r="B502" s="464" t="s">
        <v>2737</v>
      </c>
      <c r="C502" s="464"/>
      <c r="D502" s="464" t="s">
        <v>1709</v>
      </c>
      <c r="E502" s="464" t="s">
        <v>2723</v>
      </c>
      <c r="F502" s="464" t="s">
        <v>2724</v>
      </c>
      <c r="G502" s="464" t="s">
        <v>2644</v>
      </c>
      <c r="H502" s="464" t="s">
        <v>2645</v>
      </c>
      <c r="I502" s="464" t="s">
        <v>1684</v>
      </c>
    </row>
    <row r="503" ht="15.95" customHeight="1">
      <c r="A503" s="464" t="s">
        <v>2738</v>
      </c>
      <c r="B503" s="464" t="s">
        <v>2739</v>
      </c>
      <c r="C503" s="464"/>
      <c r="D503" s="464" t="s">
        <v>1709</v>
      </c>
      <c r="E503" s="464" t="s">
        <v>2723</v>
      </c>
      <c r="F503" s="464" t="s">
        <v>2724</v>
      </c>
      <c r="G503" s="464" t="s">
        <v>2644</v>
      </c>
      <c r="H503" s="464" t="s">
        <v>2645</v>
      </c>
      <c r="I503" s="464" t="s">
        <v>1684</v>
      </c>
    </row>
    <row r="504" ht="15.95" customHeight="1">
      <c r="A504" s="464" t="s">
        <v>2740</v>
      </c>
      <c r="B504" s="464" t="s">
        <v>2741</v>
      </c>
      <c r="C504" s="464"/>
      <c r="D504" s="464" t="s">
        <v>1709</v>
      </c>
      <c r="E504" s="464" t="s">
        <v>2723</v>
      </c>
      <c r="F504" s="464" t="s">
        <v>2724</v>
      </c>
      <c r="G504" s="464" t="s">
        <v>2644</v>
      </c>
      <c r="H504" s="464" t="s">
        <v>2645</v>
      </c>
      <c r="I504" s="464" t="s">
        <v>1684</v>
      </c>
    </row>
    <row r="505" ht="15.95" customHeight="1">
      <c r="A505" s="464" t="s">
        <v>2742</v>
      </c>
      <c r="B505" s="464" t="s">
        <v>2743</v>
      </c>
      <c r="C505" s="464"/>
      <c r="D505" s="464" t="s">
        <v>1709</v>
      </c>
      <c r="E505" s="464" t="s">
        <v>2723</v>
      </c>
      <c r="F505" s="464" t="s">
        <v>2724</v>
      </c>
      <c r="G505" s="464" t="s">
        <v>2644</v>
      </c>
      <c r="H505" s="464" t="s">
        <v>2645</v>
      </c>
      <c r="I505" s="464" t="s">
        <v>1684</v>
      </c>
    </row>
    <row r="506" ht="15.95" customHeight="1">
      <c r="A506" s="464" t="s">
        <v>2744</v>
      </c>
      <c r="B506" s="464" t="s">
        <v>2745</v>
      </c>
      <c r="C506" s="464"/>
      <c r="D506" s="464" t="s">
        <v>1709</v>
      </c>
      <c r="E506" s="464" t="s">
        <v>2723</v>
      </c>
      <c r="F506" s="464" t="s">
        <v>2724</v>
      </c>
      <c r="G506" s="464" t="s">
        <v>2644</v>
      </c>
      <c r="H506" s="464" t="s">
        <v>2645</v>
      </c>
      <c r="I506" s="464" t="s">
        <v>1684</v>
      </c>
    </row>
    <row r="507" ht="15.95" customHeight="1">
      <c r="A507" s="464" t="s">
        <v>2746</v>
      </c>
      <c r="B507" s="464" t="s">
        <v>2747</v>
      </c>
      <c r="C507" s="464"/>
      <c r="D507" s="464" t="s">
        <v>1709</v>
      </c>
      <c r="E507" s="464" t="s">
        <v>2723</v>
      </c>
      <c r="F507" s="464" t="s">
        <v>2724</v>
      </c>
      <c r="G507" s="464" t="s">
        <v>2644</v>
      </c>
      <c r="H507" s="464" t="s">
        <v>2645</v>
      </c>
      <c r="I507" s="464" t="s">
        <v>1684</v>
      </c>
    </row>
    <row r="508" ht="15.95" customHeight="1">
      <c r="A508" s="464" t="s">
        <v>2748</v>
      </c>
      <c r="B508" s="464" t="s">
        <v>2749</v>
      </c>
      <c r="C508" s="464"/>
      <c r="D508" s="464" t="s">
        <v>1709</v>
      </c>
      <c r="E508" s="464" t="s">
        <v>2723</v>
      </c>
      <c r="F508" s="464" t="s">
        <v>2724</v>
      </c>
      <c r="G508" s="464" t="s">
        <v>2644</v>
      </c>
      <c r="H508" s="464" t="s">
        <v>2645</v>
      </c>
      <c r="I508" s="464" t="s">
        <v>1684</v>
      </c>
    </row>
    <row r="509" ht="15.95" customHeight="1">
      <c r="A509" s="464" t="s">
        <v>2750</v>
      </c>
      <c r="B509" s="464" t="s">
        <v>2751</v>
      </c>
      <c r="C509" s="464"/>
      <c r="D509" s="464" t="s">
        <v>1709</v>
      </c>
      <c r="E509" s="464" t="s">
        <v>2723</v>
      </c>
      <c r="F509" s="464" t="s">
        <v>2724</v>
      </c>
      <c r="G509" s="464" t="s">
        <v>2644</v>
      </c>
      <c r="H509" s="464" t="s">
        <v>2645</v>
      </c>
      <c r="I509" s="464" t="s">
        <v>1684</v>
      </c>
    </row>
    <row r="510" ht="15.95" customHeight="1">
      <c r="A510" s="464" t="s">
        <v>2752</v>
      </c>
      <c r="B510" s="464" t="s">
        <v>2753</v>
      </c>
      <c r="C510" s="464"/>
      <c r="D510" s="464" t="s">
        <v>1738</v>
      </c>
      <c r="E510" s="464" t="s">
        <v>2754</v>
      </c>
      <c r="F510" s="464" t="s">
        <v>2755</v>
      </c>
      <c r="G510" s="464" t="s">
        <v>2644</v>
      </c>
      <c r="H510" s="464" t="s">
        <v>2645</v>
      </c>
      <c r="I510" s="464" t="s">
        <v>1684</v>
      </c>
    </row>
    <row r="511" ht="15.95" customHeight="1">
      <c r="A511" s="464" t="s">
        <v>2756</v>
      </c>
      <c r="B511" s="464" t="s">
        <v>2757</v>
      </c>
      <c r="C511" s="464"/>
      <c r="D511" s="464" t="s">
        <v>1709</v>
      </c>
      <c r="E511" s="464" t="s">
        <v>2754</v>
      </c>
      <c r="F511" s="464" t="s">
        <v>2755</v>
      </c>
      <c r="G511" s="464" t="s">
        <v>2644</v>
      </c>
      <c r="H511" s="464" t="s">
        <v>2645</v>
      </c>
      <c r="I511" s="464" t="s">
        <v>1684</v>
      </c>
    </row>
    <row r="512" ht="15.95" customHeight="1">
      <c r="A512" s="464" t="s">
        <v>2758</v>
      </c>
      <c r="B512" s="464" t="s">
        <v>2759</v>
      </c>
      <c r="C512" s="464"/>
      <c r="D512" s="464" t="s">
        <v>1709</v>
      </c>
      <c r="E512" s="464" t="s">
        <v>2754</v>
      </c>
      <c r="F512" s="464" t="s">
        <v>2755</v>
      </c>
      <c r="G512" s="464" t="s">
        <v>2644</v>
      </c>
      <c r="H512" s="464" t="s">
        <v>2645</v>
      </c>
      <c r="I512" s="464" t="s">
        <v>1684</v>
      </c>
    </row>
    <row r="513" ht="15.95" customHeight="1">
      <c r="A513" s="464" t="s">
        <v>2760</v>
      </c>
      <c r="B513" s="464" t="s">
        <v>2761</v>
      </c>
      <c r="C513" s="464"/>
      <c r="D513" s="464" t="s">
        <v>1709</v>
      </c>
      <c r="E513" s="464" t="s">
        <v>2754</v>
      </c>
      <c r="F513" s="464" t="s">
        <v>2755</v>
      </c>
      <c r="G513" s="464" t="s">
        <v>2644</v>
      </c>
      <c r="H513" s="464" t="s">
        <v>2645</v>
      </c>
      <c r="I513" s="464" t="s">
        <v>1684</v>
      </c>
    </row>
    <row r="514" ht="15.95" customHeight="1">
      <c r="A514" s="464" t="s">
        <v>2762</v>
      </c>
      <c r="B514" s="464" t="s">
        <v>2763</v>
      </c>
      <c r="C514" s="464"/>
      <c r="D514" s="464" t="s">
        <v>1709</v>
      </c>
      <c r="E514" s="464" t="s">
        <v>2754</v>
      </c>
      <c r="F514" s="464" t="s">
        <v>2755</v>
      </c>
      <c r="G514" s="464" t="s">
        <v>2644</v>
      </c>
      <c r="H514" s="464" t="s">
        <v>2645</v>
      </c>
      <c r="I514" s="464" t="s">
        <v>1684</v>
      </c>
    </row>
    <row r="515" ht="15.95" customHeight="1">
      <c r="A515" s="464" t="s">
        <v>2764</v>
      </c>
      <c r="B515" s="464" t="s">
        <v>2765</v>
      </c>
      <c r="C515" s="464"/>
      <c r="D515" s="464" t="s">
        <v>1709</v>
      </c>
      <c r="E515" s="464" t="s">
        <v>2754</v>
      </c>
      <c r="F515" s="464" t="s">
        <v>2755</v>
      </c>
      <c r="G515" s="464" t="s">
        <v>2644</v>
      </c>
      <c r="H515" s="464" t="s">
        <v>2645</v>
      </c>
      <c r="I515" s="464" t="s">
        <v>1684</v>
      </c>
    </row>
    <row r="516" ht="15.95" customHeight="1">
      <c r="A516" s="464" t="s">
        <v>2766</v>
      </c>
      <c r="B516" s="464" t="s">
        <v>2767</v>
      </c>
      <c r="C516" s="464"/>
      <c r="D516" s="464" t="s">
        <v>1709</v>
      </c>
      <c r="E516" s="464" t="s">
        <v>2754</v>
      </c>
      <c r="F516" s="464" t="s">
        <v>2755</v>
      </c>
      <c r="G516" s="464" t="s">
        <v>2644</v>
      </c>
      <c r="H516" s="464" t="s">
        <v>2645</v>
      </c>
      <c r="I516" s="464" t="s">
        <v>1684</v>
      </c>
    </row>
    <row r="517" ht="15.95" customHeight="1">
      <c r="A517" s="464" t="s">
        <v>2768</v>
      </c>
      <c r="B517" s="464" t="s">
        <v>2769</v>
      </c>
      <c r="C517" s="464"/>
      <c r="D517" s="464" t="s">
        <v>1709</v>
      </c>
      <c r="E517" s="464" t="s">
        <v>2754</v>
      </c>
      <c r="F517" s="464" t="s">
        <v>2755</v>
      </c>
      <c r="G517" s="464" t="s">
        <v>2644</v>
      </c>
      <c r="H517" s="464" t="s">
        <v>2645</v>
      </c>
      <c r="I517" s="464" t="s">
        <v>1684</v>
      </c>
    </row>
    <row r="518" ht="15.95" customHeight="1">
      <c r="A518" s="464" t="s">
        <v>2770</v>
      </c>
      <c r="B518" s="464" t="s">
        <v>2771</v>
      </c>
      <c r="C518" s="464"/>
      <c r="D518" s="464" t="s">
        <v>1738</v>
      </c>
      <c r="E518" s="464" t="s">
        <v>2772</v>
      </c>
      <c r="F518" s="464" t="s">
        <v>2773</v>
      </c>
      <c r="G518" s="464" t="s">
        <v>2644</v>
      </c>
      <c r="H518" s="464" t="s">
        <v>2645</v>
      </c>
      <c r="I518" s="464" t="s">
        <v>1684</v>
      </c>
    </row>
    <row r="519" ht="15.95" customHeight="1">
      <c r="A519" s="464" t="s">
        <v>2774</v>
      </c>
      <c r="B519" s="464" t="s">
        <v>2775</v>
      </c>
      <c r="C519" s="464"/>
      <c r="D519" s="464" t="s">
        <v>1709</v>
      </c>
      <c r="E519" s="464" t="s">
        <v>2772</v>
      </c>
      <c r="F519" s="464" t="s">
        <v>2773</v>
      </c>
      <c r="G519" s="464" t="s">
        <v>2644</v>
      </c>
      <c r="H519" s="464" t="s">
        <v>2645</v>
      </c>
      <c r="I519" s="464" t="s">
        <v>1684</v>
      </c>
    </row>
    <row r="520" ht="15.95" customHeight="1">
      <c r="A520" s="464" t="s">
        <v>2776</v>
      </c>
      <c r="B520" s="464" t="s">
        <v>2777</v>
      </c>
      <c r="C520" s="464"/>
      <c r="D520" s="464" t="s">
        <v>1709</v>
      </c>
      <c r="E520" s="464" t="s">
        <v>2772</v>
      </c>
      <c r="F520" s="464" t="s">
        <v>2773</v>
      </c>
      <c r="G520" s="464" t="s">
        <v>2644</v>
      </c>
      <c r="H520" s="464" t="s">
        <v>2645</v>
      </c>
      <c r="I520" s="464" t="s">
        <v>1684</v>
      </c>
    </row>
    <row r="521" ht="15.95" customHeight="1">
      <c r="A521" s="464" t="s">
        <v>2778</v>
      </c>
      <c r="B521" s="464" t="s">
        <v>2248</v>
      </c>
      <c r="C521" s="464"/>
      <c r="D521" s="464" t="s">
        <v>1709</v>
      </c>
      <c r="E521" s="464" t="s">
        <v>2772</v>
      </c>
      <c r="F521" s="464" t="s">
        <v>2773</v>
      </c>
      <c r="G521" s="464" t="s">
        <v>2644</v>
      </c>
      <c r="H521" s="464" t="s">
        <v>2645</v>
      </c>
      <c r="I521" s="464" t="s">
        <v>1684</v>
      </c>
    </row>
    <row r="522" ht="15.95" customHeight="1">
      <c r="A522" s="464" t="s">
        <v>2779</v>
      </c>
      <c r="B522" s="464" t="s">
        <v>2780</v>
      </c>
      <c r="C522" s="464"/>
      <c r="D522" s="464" t="s">
        <v>1709</v>
      </c>
      <c r="E522" s="464" t="s">
        <v>2772</v>
      </c>
      <c r="F522" s="464" t="s">
        <v>2773</v>
      </c>
      <c r="G522" s="464" t="s">
        <v>2644</v>
      </c>
      <c r="H522" s="464" t="s">
        <v>2645</v>
      </c>
      <c r="I522" s="464" t="s">
        <v>1684</v>
      </c>
    </row>
    <row r="523" ht="15.95" customHeight="1">
      <c r="A523" s="464" t="s">
        <v>2781</v>
      </c>
      <c r="B523" s="464" t="s">
        <v>2782</v>
      </c>
      <c r="C523" s="464"/>
      <c r="D523" s="464" t="s">
        <v>1709</v>
      </c>
      <c r="E523" s="464" t="s">
        <v>2772</v>
      </c>
      <c r="F523" s="464" t="s">
        <v>2773</v>
      </c>
      <c r="G523" s="464" t="s">
        <v>2644</v>
      </c>
      <c r="H523" s="464" t="s">
        <v>2645</v>
      </c>
      <c r="I523" s="464" t="s">
        <v>1684</v>
      </c>
    </row>
    <row r="524" ht="15.95" customHeight="1">
      <c r="A524" s="464" t="s">
        <v>2783</v>
      </c>
      <c r="B524" s="464" t="s">
        <v>2784</v>
      </c>
      <c r="C524" s="464"/>
      <c r="D524" s="464" t="s">
        <v>1709</v>
      </c>
      <c r="E524" s="464" t="s">
        <v>2772</v>
      </c>
      <c r="F524" s="464" t="s">
        <v>2773</v>
      </c>
      <c r="G524" s="464" t="s">
        <v>2644</v>
      </c>
      <c r="H524" s="464" t="s">
        <v>2645</v>
      </c>
      <c r="I524" s="464" t="s">
        <v>1684</v>
      </c>
    </row>
    <row r="525" ht="15.95" customHeight="1">
      <c r="A525" s="464" t="s">
        <v>2785</v>
      </c>
      <c r="B525" s="464" t="s">
        <v>2786</v>
      </c>
      <c r="C525" s="464"/>
      <c r="D525" s="464" t="s">
        <v>1709</v>
      </c>
      <c r="E525" s="464" t="s">
        <v>2772</v>
      </c>
      <c r="F525" s="464" t="s">
        <v>2773</v>
      </c>
      <c r="G525" s="464" t="s">
        <v>2644</v>
      </c>
      <c r="H525" s="464" t="s">
        <v>2645</v>
      </c>
      <c r="I525" s="464" t="s">
        <v>1684</v>
      </c>
    </row>
    <row r="526" ht="15.95" customHeight="1">
      <c r="A526" s="464" t="s">
        <v>2787</v>
      </c>
      <c r="B526" s="464" t="s">
        <v>2788</v>
      </c>
      <c r="C526" s="464"/>
      <c r="D526" s="464" t="s">
        <v>1709</v>
      </c>
      <c r="E526" s="464" t="s">
        <v>2772</v>
      </c>
      <c r="F526" s="464" t="s">
        <v>2773</v>
      </c>
      <c r="G526" s="464" t="s">
        <v>2644</v>
      </c>
      <c r="H526" s="464" t="s">
        <v>2645</v>
      </c>
      <c r="I526" s="464" t="s">
        <v>1684</v>
      </c>
    </row>
    <row r="527" ht="15.95" customHeight="1">
      <c r="A527" s="464" t="s">
        <v>2789</v>
      </c>
      <c r="B527" s="464" t="s">
        <v>2790</v>
      </c>
      <c r="C527" s="464"/>
      <c r="D527" s="464" t="s">
        <v>1738</v>
      </c>
      <c r="E527" s="464" t="s">
        <v>2791</v>
      </c>
      <c r="F527" s="464" t="s">
        <v>2792</v>
      </c>
      <c r="G527" s="464" t="s">
        <v>2644</v>
      </c>
      <c r="H527" s="464" t="s">
        <v>2645</v>
      </c>
      <c r="I527" s="464" t="s">
        <v>1684</v>
      </c>
    </row>
    <row r="528" ht="15.95" customHeight="1">
      <c r="A528" s="464" t="s">
        <v>2793</v>
      </c>
      <c r="B528" s="464" t="s">
        <v>2794</v>
      </c>
      <c r="C528" s="464"/>
      <c r="D528" s="464" t="s">
        <v>1709</v>
      </c>
      <c r="E528" s="464" t="s">
        <v>2791</v>
      </c>
      <c r="F528" s="464" t="s">
        <v>2792</v>
      </c>
      <c r="G528" s="464" t="s">
        <v>2644</v>
      </c>
      <c r="H528" s="464" t="s">
        <v>2645</v>
      </c>
      <c r="I528" s="464" t="s">
        <v>1684</v>
      </c>
    </row>
    <row r="529" ht="15.95" customHeight="1">
      <c r="A529" s="464" t="s">
        <v>2795</v>
      </c>
      <c r="B529" s="464" t="s">
        <v>2796</v>
      </c>
      <c r="C529" s="464"/>
      <c r="D529" s="464" t="s">
        <v>1709</v>
      </c>
      <c r="E529" s="464" t="s">
        <v>2791</v>
      </c>
      <c r="F529" s="464" t="s">
        <v>2792</v>
      </c>
      <c r="G529" s="464" t="s">
        <v>2644</v>
      </c>
      <c r="H529" s="464" t="s">
        <v>2645</v>
      </c>
      <c r="I529" s="464" t="s">
        <v>1684</v>
      </c>
    </row>
    <row r="530" ht="15.95" customHeight="1">
      <c r="A530" s="464" t="s">
        <v>2797</v>
      </c>
      <c r="B530" s="464" t="s">
        <v>2424</v>
      </c>
      <c r="C530" s="464"/>
      <c r="D530" s="464" t="s">
        <v>1709</v>
      </c>
      <c r="E530" s="464" t="s">
        <v>2791</v>
      </c>
      <c r="F530" s="464" t="s">
        <v>2792</v>
      </c>
      <c r="G530" s="464" t="s">
        <v>2644</v>
      </c>
      <c r="H530" s="464" t="s">
        <v>2645</v>
      </c>
      <c r="I530" s="464" t="s">
        <v>1684</v>
      </c>
    </row>
    <row r="531" ht="15.95" customHeight="1">
      <c r="A531" s="464" t="s">
        <v>2798</v>
      </c>
      <c r="B531" s="464" t="s">
        <v>2799</v>
      </c>
      <c r="C531" s="464"/>
      <c r="D531" s="464" t="s">
        <v>1709</v>
      </c>
      <c r="E531" s="464" t="s">
        <v>2791</v>
      </c>
      <c r="F531" s="464" t="s">
        <v>2792</v>
      </c>
      <c r="G531" s="464" t="s">
        <v>2644</v>
      </c>
      <c r="H531" s="464" t="s">
        <v>2645</v>
      </c>
      <c r="I531" s="464" t="s">
        <v>1684</v>
      </c>
    </row>
    <row r="532" ht="15.95" customHeight="1">
      <c r="A532" s="464" t="s">
        <v>2800</v>
      </c>
      <c r="B532" s="464" t="s">
        <v>2801</v>
      </c>
      <c r="C532" s="464"/>
      <c r="D532" s="464" t="s">
        <v>1709</v>
      </c>
      <c r="E532" s="464" t="s">
        <v>2791</v>
      </c>
      <c r="F532" s="464" t="s">
        <v>2792</v>
      </c>
      <c r="G532" s="464" t="s">
        <v>2644</v>
      </c>
      <c r="H532" s="464" t="s">
        <v>2645</v>
      </c>
      <c r="I532" s="464" t="s">
        <v>1684</v>
      </c>
    </row>
    <row r="533" ht="15.95" customHeight="1">
      <c r="A533" s="464" t="s">
        <v>2802</v>
      </c>
      <c r="B533" s="464" t="s">
        <v>2803</v>
      </c>
      <c r="C533" s="464"/>
      <c r="D533" s="464" t="s">
        <v>1709</v>
      </c>
      <c r="E533" s="464" t="s">
        <v>2791</v>
      </c>
      <c r="F533" s="464" t="s">
        <v>2792</v>
      </c>
      <c r="G533" s="464" t="s">
        <v>2644</v>
      </c>
      <c r="H533" s="464" t="s">
        <v>2645</v>
      </c>
      <c r="I533" s="464" t="s">
        <v>1684</v>
      </c>
    </row>
    <row r="534" ht="15.95" customHeight="1">
      <c r="A534" s="464" t="s">
        <v>2804</v>
      </c>
      <c r="B534" s="464" t="s">
        <v>2805</v>
      </c>
      <c r="C534" s="464"/>
      <c r="D534" s="464" t="s">
        <v>1709</v>
      </c>
      <c r="E534" s="464" t="s">
        <v>2791</v>
      </c>
      <c r="F534" s="464" t="s">
        <v>2792</v>
      </c>
      <c r="G534" s="464" t="s">
        <v>2644</v>
      </c>
      <c r="H534" s="464" t="s">
        <v>2645</v>
      </c>
      <c r="I534" s="464" t="s">
        <v>1684</v>
      </c>
    </row>
    <row r="535" ht="15.95" customHeight="1">
      <c r="A535" s="464" t="s">
        <v>2806</v>
      </c>
      <c r="B535" s="464" t="s">
        <v>2807</v>
      </c>
      <c r="C535" s="464"/>
      <c r="D535" s="464" t="s">
        <v>1709</v>
      </c>
      <c r="E535" s="464" t="s">
        <v>2791</v>
      </c>
      <c r="F535" s="464" t="s">
        <v>2792</v>
      </c>
      <c r="G535" s="464" t="s">
        <v>2644</v>
      </c>
      <c r="H535" s="464" t="s">
        <v>2645</v>
      </c>
      <c r="I535" s="464" t="s">
        <v>1684</v>
      </c>
    </row>
    <row r="536" ht="15.95" customHeight="1">
      <c r="A536" s="464" t="s">
        <v>2808</v>
      </c>
      <c r="B536" s="464" t="s">
        <v>2809</v>
      </c>
      <c r="C536" s="464"/>
      <c r="D536" s="464" t="s">
        <v>1738</v>
      </c>
      <c r="E536" s="464" t="s">
        <v>2810</v>
      </c>
      <c r="F536" s="464" t="s">
        <v>2811</v>
      </c>
      <c r="G536" s="464" t="s">
        <v>2644</v>
      </c>
      <c r="H536" s="464" t="s">
        <v>2645</v>
      </c>
      <c r="I536" s="464" t="s">
        <v>1684</v>
      </c>
    </row>
    <row r="537" ht="15.95" customHeight="1">
      <c r="A537" s="464" t="s">
        <v>2812</v>
      </c>
      <c r="B537" s="464" t="s">
        <v>2813</v>
      </c>
      <c r="C537" s="464"/>
      <c r="D537" s="464" t="s">
        <v>1709</v>
      </c>
      <c r="E537" s="464" t="s">
        <v>2810</v>
      </c>
      <c r="F537" s="464" t="s">
        <v>2811</v>
      </c>
      <c r="G537" s="464" t="s">
        <v>2644</v>
      </c>
      <c r="H537" s="464" t="s">
        <v>2645</v>
      </c>
      <c r="I537" s="464" t="s">
        <v>1684</v>
      </c>
    </row>
    <row r="538" ht="15.95" customHeight="1">
      <c r="A538" s="464" t="s">
        <v>2814</v>
      </c>
      <c r="B538" s="464" t="s">
        <v>2815</v>
      </c>
      <c r="C538" s="464"/>
      <c r="D538" s="464" t="s">
        <v>1709</v>
      </c>
      <c r="E538" s="464" t="s">
        <v>2810</v>
      </c>
      <c r="F538" s="464" t="s">
        <v>2811</v>
      </c>
      <c r="G538" s="464" t="s">
        <v>2644</v>
      </c>
      <c r="H538" s="464" t="s">
        <v>2645</v>
      </c>
      <c r="I538" s="464" t="s">
        <v>1684</v>
      </c>
    </row>
    <row r="539" ht="15.95" customHeight="1">
      <c r="A539" s="464" t="s">
        <v>2816</v>
      </c>
      <c r="B539" s="464" t="s">
        <v>2499</v>
      </c>
      <c r="C539" s="464"/>
      <c r="D539" s="464" t="s">
        <v>1709</v>
      </c>
      <c r="E539" s="464" t="s">
        <v>2810</v>
      </c>
      <c r="F539" s="464" t="s">
        <v>2811</v>
      </c>
      <c r="G539" s="464" t="s">
        <v>2644</v>
      </c>
      <c r="H539" s="464" t="s">
        <v>2645</v>
      </c>
      <c r="I539" s="464" t="s">
        <v>1684</v>
      </c>
    </row>
    <row r="540" ht="15.95" customHeight="1">
      <c r="A540" s="464" t="s">
        <v>2817</v>
      </c>
      <c r="B540" s="464" t="s">
        <v>2818</v>
      </c>
      <c r="C540" s="464"/>
      <c r="D540" s="464" t="s">
        <v>1709</v>
      </c>
      <c r="E540" s="464" t="s">
        <v>2810</v>
      </c>
      <c r="F540" s="464" t="s">
        <v>2811</v>
      </c>
      <c r="G540" s="464" t="s">
        <v>2644</v>
      </c>
      <c r="H540" s="464" t="s">
        <v>2645</v>
      </c>
      <c r="I540" s="464" t="s">
        <v>1684</v>
      </c>
    </row>
    <row r="541" ht="15.95" customHeight="1">
      <c r="A541" s="464" t="s">
        <v>2819</v>
      </c>
      <c r="B541" s="464" t="s">
        <v>2820</v>
      </c>
      <c r="C541" s="464"/>
      <c r="D541" s="464" t="s">
        <v>1709</v>
      </c>
      <c r="E541" s="464" t="s">
        <v>2810</v>
      </c>
      <c r="F541" s="464" t="s">
        <v>2811</v>
      </c>
      <c r="G541" s="464" t="s">
        <v>2644</v>
      </c>
      <c r="H541" s="464" t="s">
        <v>2645</v>
      </c>
      <c r="I541" s="464" t="s">
        <v>1684</v>
      </c>
    </row>
    <row r="542" ht="15.95" customHeight="1">
      <c r="A542" s="464" t="s">
        <v>2821</v>
      </c>
      <c r="B542" s="464" t="s">
        <v>2822</v>
      </c>
      <c r="C542" s="464"/>
      <c r="D542" s="464" t="s">
        <v>1709</v>
      </c>
      <c r="E542" s="464" t="s">
        <v>2810</v>
      </c>
      <c r="F542" s="464" t="s">
        <v>2811</v>
      </c>
      <c r="G542" s="464" t="s">
        <v>2644</v>
      </c>
      <c r="H542" s="464" t="s">
        <v>2645</v>
      </c>
      <c r="I542" s="464" t="s">
        <v>1684</v>
      </c>
    </row>
    <row r="543" ht="15.95" customHeight="1">
      <c r="A543" s="464" t="s">
        <v>2823</v>
      </c>
      <c r="B543" s="464" t="s">
        <v>1908</v>
      </c>
      <c r="C543" s="464"/>
      <c r="D543" s="464" t="s">
        <v>1709</v>
      </c>
      <c r="E543" s="464" t="s">
        <v>2810</v>
      </c>
      <c r="F543" s="464" t="s">
        <v>2811</v>
      </c>
      <c r="G543" s="464" t="s">
        <v>2644</v>
      </c>
      <c r="H543" s="464" t="s">
        <v>2645</v>
      </c>
      <c r="I543" s="464" t="s">
        <v>1684</v>
      </c>
    </row>
    <row r="544" ht="15.95" customHeight="1">
      <c r="A544" s="464" t="s">
        <v>2824</v>
      </c>
      <c r="B544" s="464" t="s">
        <v>2825</v>
      </c>
      <c r="C544" s="464"/>
      <c r="D544" s="464" t="s">
        <v>1709</v>
      </c>
      <c r="E544" s="464" t="s">
        <v>2810</v>
      </c>
      <c r="F544" s="464" t="s">
        <v>2811</v>
      </c>
      <c r="G544" s="464" t="s">
        <v>2644</v>
      </c>
      <c r="H544" s="464" t="s">
        <v>2645</v>
      </c>
      <c r="I544" s="464" t="s">
        <v>1684</v>
      </c>
    </row>
    <row r="545" ht="15.95" customHeight="1">
      <c r="A545" s="464" t="s">
        <v>2826</v>
      </c>
      <c r="B545" s="464" t="s">
        <v>2827</v>
      </c>
      <c r="C545" s="464"/>
      <c r="D545" s="464" t="s">
        <v>1709</v>
      </c>
      <c r="E545" s="464" t="s">
        <v>2810</v>
      </c>
      <c r="F545" s="464" t="s">
        <v>2811</v>
      </c>
      <c r="G545" s="464" t="s">
        <v>2644</v>
      </c>
      <c r="H545" s="464" t="s">
        <v>2645</v>
      </c>
      <c r="I545" s="464" t="s">
        <v>1684</v>
      </c>
    </row>
    <row r="546" ht="15.95" customHeight="1">
      <c r="A546" s="464" t="s">
        <v>2828</v>
      </c>
      <c r="B546" s="464" t="s">
        <v>2829</v>
      </c>
      <c r="C546" s="464"/>
      <c r="D546" s="464" t="s">
        <v>1709</v>
      </c>
      <c r="E546" s="464" t="s">
        <v>2810</v>
      </c>
      <c r="F546" s="464" t="s">
        <v>2811</v>
      </c>
      <c r="G546" s="464" t="s">
        <v>2644</v>
      </c>
      <c r="H546" s="464" t="s">
        <v>2645</v>
      </c>
      <c r="I546" s="464" t="s">
        <v>1684</v>
      </c>
    </row>
    <row r="547" ht="15.95" customHeight="1">
      <c r="A547" s="464" t="s">
        <v>2830</v>
      </c>
      <c r="B547" s="464" t="s">
        <v>2831</v>
      </c>
      <c r="C547" s="464"/>
      <c r="D547" s="464" t="s">
        <v>1679</v>
      </c>
      <c r="E547" s="464" t="s">
        <v>2832</v>
      </c>
      <c r="F547" s="464" t="s">
        <v>2833</v>
      </c>
      <c r="G547" s="464" t="s">
        <v>2834</v>
      </c>
      <c r="H547" s="464" t="s">
        <v>2835</v>
      </c>
      <c r="I547" s="464" t="s">
        <v>1684</v>
      </c>
    </row>
    <row r="548" ht="15.95" customHeight="1">
      <c r="A548" s="464" t="s">
        <v>2836</v>
      </c>
      <c r="B548" s="464" t="s">
        <v>2837</v>
      </c>
      <c r="C548" s="464"/>
      <c r="D548" s="464" t="s">
        <v>1679</v>
      </c>
      <c r="E548" s="464" t="s">
        <v>2832</v>
      </c>
      <c r="F548" s="464" t="s">
        <v>2833</v>
      </c>
      <c r="G548" s="464" t="s">
        <v>2834</v>
      </c>
      <c r="H548" s="464" t="s">
        <v>2835</v>
      </c>
      <c r="I548" s="464" t="s">
        <v>1684</v>
      </c>
    </row>
    <row r="549" ht="15.95" customHeight="1">
      <c r="A549" s="464" t="s">
        <v>2838</v>
      </c>
      <c r="B549" s="464" t="s">
        <v>2839</v>
      </c>
      <c r="C549" s="464"/>
      <c r="D549" s="464" t="s">
        <v>1679</v>
      </c>
      <c r="E549" s="464" t="s">
        <v>2832</v>
      </c>
      <c r="F549" s="464" t="s">
        <v>2833</v>
      </c>
      <c r="G549" s="464" t="s">
        <v>2834</v>
      </c>
      <c r="H549" s="464" t="s">
        <v>2835</v>
      </c>
      <c r="I549" s="464" t="s">
        <v>1684</v>
      </c>
    </row>
    <row r="550" ht="15.95" customHeight="1">
      <c r="A550" s="464" t="s">
        <v>2840</v>
      </c>
      <c r="B550" s="464" t="s">
        <v>2841</v>
      </c>
      <c r="C550" s="464"/>
      <c r="D550" s="464" t="s">
        <v>1679</v>
      </c>
      <c r="E550" s="464" t="s">
        <v>2832</v>
      </c>
      <c r="F550" s="464" t="s">
        <v>2833</v>
      </c>
      <c r="G550" s="464" t="s">
        <v>2834</v>
      </c>
      <c r="H550" s="464" t="s">
        <v>2835</v>
      </c>
      <c r="I550" s="464" t="s">
        <v>1684</v>
      </c>
    </row>
    <row r="551" ht="15.95" customHeight="1">
      <c r="A551" s="464" t="s">
        <v>2842</v>
      </c>
      <c r="B551" s="464" t="s">
        <v>2843</v>
      </c>
      <c r="C551" s="464"/>
      <c r="D551" s="464" t="s">
        <v>1679</v>
      </c>
      <c r="E551" s="464" t="s">
        <v>2832</v>
      </c>
      <c r="F551" s="464" t="s">
        <v>2833</v>
      </c>
      <c r="G551" s="464" t="s">
        <v>2834</v>
      </c>
      <c r="H551" s="464" t="s">
        <v>2835</v>
      </c>
      <c r="I551" s="464" t="s">
        <v>1684</v>
      </c>
    </row>
    <row r="552" ht="15.95" customHeight="1">
      <c r="A552" s="464" t="s">
        <v>2844</v>
      </c>
      <c r="B552" s="464" t="s">
        <v>2845</v>
      </c>
      <c r="C552" s="464"/>
      <c r="D552" s="464" t="s">
        <v>1679</v>
      </c>
      <c r="E552" s="464" t="s">
        <v>2832</v>
      </c>
      <c r="F552" s="464" t="s">
        <v>2833</v>
      </c>
      <c r="G552" s="464" t="s">
        <v>2834</v>
      </c>
      <c r="H552" s="464" t="s">
        <v>2835</v>
      </c>
      <c r="I552" s="464" t="s">
        <v>1684</v>
      </c>
    </row>
    <row r="553" ht="15.95" customHeight="1">
      <c r="A553" s="464" t="s">
        <v>2846</v>
      </c>
      <c r="B553" s="464" t="s">
        <v>2847</v>
      </c>
      <c r="C553" s="464"/>
      <c r="D553" s="464" t="s">
        <v>1679</v>
      </c>
      <c r="E553" s="464" t="s">
        <v>2832</v>
      </c>
      <c r="F553" s="464" t="s">
        <v>2833</v>
      </c>
      <c r="G553" s="464" t="s">
        <v>2834</v>
      </c>
      <c r="H553" s="464" t="s">
        <v>2835</v>
      </c>
      <c r="I553" s="464" t="s">
        <v>1684</v>
      </c>
    </row>
    <row r="554" ht="15.95" customHeight="1">
      <c r="A554" s="464" t="s">
        <v>2848</v>
      </c>
      <c r="B554" s="464" t="s">
        <v>2849</v>
      </c>
      <c r="C554" s="464"/>
      <c r="D554" s="464" t="s">
        <v>1679</v>
      </c>
      <c r="E554" s="464" t="s">
        <v>2832</v>
      </c>
      <c r="F554" s="464" t="s">
        <v>2833</v>
      </c>
      <c r="G554" s="464" t="s">
        <v>2834</v>
      </c>
      <c r="H554" s="464" t="s">
        <v>2835</v>
      </c>
      <c r="I554" s="464" t="s">
        <v>1684</v>
      </c>
    </row>
    <row r="555" ht="15.95" customHeight="1">
      <c r="A555" s="464" t="s">
        <v>2850</v>
      </c>
      <c r="B555" s="464" t="s">
        <v>1260</v>
      </c>
      <c r="C555" s="464"/>
      <c r="D555" s="464" t="s">
        <v>1679</v>
      </c>
      <c r="E555" s="464" t="s">
        <v>2832</v>
      </c>
      <c r="F555" s="464" t="s">
        <v>2833</v>
      </c>
      <c r="G555" s="464" t="s">
        <v>2834</v>
      </c>
      <c r="H555" s="464" t="s">
        <v>2835</v>
      </c>
      <c r="I555" s="464" t="s">
        <v>1684</v>
      </c>
    </row>
    <row r="556" ht="15.95" customHeight="1">
      <c r="A556" s="464" t="s">
        <v>2851</v>
      </c>
      <c r="B556" s="464" t="s">
        <v>2852</v>
      </c>
      <c r="C556" s="464"/>
      <c r="D556" s="464" t="s">
        <v>1679</v>
      </c>
      <c r="E556" s="464" t="s">
        <v>2832</v>
      </c>
      <c r="F556" s="464" t="s">
        <v>2833</v>
      </c>
      <c r="G556" s="464" t="s">
        <v>2834</v>
      </c>
      <c r="H556" s="464" t="s">
        <v>2835</v>
      </c>
      <c r="I556" s="464" t="s">
        <v>1684</v>
      </c>
    </row>
    <row r="557" ht="15.95" customHeight="1">
      <c r="A557" s="464" t="s">
        <v>2853</v>
      </c>
      <c r="B557" s="464" t="s">
        <v>1299</v>
      </c>
      <c r="C557" s="464"/>
      <c r="D557" s="464" t="s">
        <v>1679</v>
      </c>
      <c r="E557" s="464" t="s">
        <v>2832</v>
      </c>
      <c r="F557" s="464" t="s">
        <v>2833</v>
      </c>
      <c r="G557" s="464" t="s">
        <v>2834</v>
      </c>
      <c r="H557" s="464" t="s">
        <v>2835</v>
      </c>
      <c r="I557" s="464" t="s">
        <v>1684</v>
      </c>
    </row>
    <row r="558" ht="15.95" customHeight="1">
      <c r="A558" s="464" t="s">
        <v>2854</v>
      </c>
      <c r="B558" s="464" t="s">
        <v>2855</v>
      </c>
      <c r="C558" s="464"/>
      <c r="D558" s="464" t="s">
        <v>1679</v>
      </c>
      <c r="E558" s="464" t="s">
        <v>2832</v>
      </c>
      <c r="F558" s="464" t="s">
        <v>2833</v>
      </c>
      <c r="G558" s="464" t="s">
        <v>2834</v>
      </c>
      <c r="H558" s="464" t="s">
        <v>2835</v>
      </c>
      <c r="I558" s="464" t="s">
        <v>1684</v>
      </c>
    </row>
    <row r="559" ht="15.95" customHeight="1">
      <c r="A559" s="464" t="s">
        <v>2856</v>
      </c>
      <c r="B559" s="464" t="s">
        <v>2857</v>
      </c>
      <c r="C559" s="464"/>
      <c r="D559" s="464" t="s">
        <v>1679</v>
      </c>
      <c r="E559" s="464" t="s">
        <v>2832</v>
      </c>
      <c r="F559" s="464" t="s">
        <v>2833</v>
      </c>
      <c r="G559" s="464" t="s">
        <v>2834</v>
      </c>
      <c r="H559" s="464" t="s">
        <v>2835</v>
      </c>
      <c r="I559" s="464" t="s">
        <v>1684</v>
      </c>
    </row>
    <row r="560" ht="15.95" customHeight="1">
      <c r="A560" s="464" t="s">
        <v>2858</v>
      </c>
      <c r="B560" s="464" t="s">
        <v>2859</v>
      </c>
      <c r="C560" s="464"/>
      <c r="D560" s="464" t="s">
        <v>1679</v>
      </c>
      <c r="E560" s="464" t="s">
        <v>2832</v>
      </c>
      <c r="F560" s="464" t="s">
        <v>2833</v>
      </c>
      <c r="G560" s="464" t="s">
        <v>2834</v>
      </c>
      <c r="H560" s="464" t="s">
        <v>2835</v>
      </c>
      <c r="I560" s="464" t="s">
        <v>1684</v>
      </c>
    </row>
    <row r="561" ht="15.95" customHeight="1">
      <c r="A561" s="464" t="s">
        <v>2860</v>
      </c>
      <c r="B561" s="464" t="s">
        <v>2861</v>
      </c>
      <c r="C561" s="464"/>
      <c r="D561" s="464" t="s">
        <v>1709</v>
      </c>
      <c r="E561" s="464" t="s">
        <v>2862</v>
      </c>
      <c r="F561" s="464" t="s">
        <v>2863</v>
      </c>
      <c r="G561" s="464" t="s">
        <v>2834</v>
      </c>
      <c r="H561" s="464" t="s">
        <v>2835</v>
      </c>
      <c r="I561" s="464" t="s">
        <v>1684</v>
      </c>
    </row>
    <row r="562" ht="15.95" customHeight="1">
      <c r="A562" s="464" t="s">
        <v>2864</v>
      </c>
      <c r="B562" s="464" t="s">
        <v>2865</v>
      </c>
      <c r="C562" s="464"/>
      <c r="D562" s="464" t="s">
        <v>1709</v>
      </c>
      <c r="E562" s="464" t="s">
        <v>2862</v>
      </c>
      <c r="F562" s="464" t="s">
        <v>2863</v>
      </c>
      <c r="G562" s="464" t="s">
        <v>2834</v>
      </c>
      <c r="H562" s="464" t="s">
        <v>2835</v>
      </c>
      <c r="I562" s="464" t="s">
        <v>1684</v>
      </c>
    </row>
    <row r="563" ht="15.95" customHeight="1">
      <c r="A563" s="464" t="s">
        <v>2866</v>
      </c>
      <c r="B563" s="464" t="s">
        <v>2867</v>
      </c>
      <c r="C563" s="464"/>
      <c r="D563" s="464" t="s">
        <v>1709</v>
      </c>
      <c r="E563" s="464" t="s">
        <v>2862</v>
      </c>
      <c r="F563" s="464" t="s">
        <v>2863</v>
      </c>
      <c r="G563" s="464" t="s">
        <v>2834</v>
      </c>
      <c r="H563" s="464" t="s">
        <v>2835</v>
      </c>
      <c r="I563" s="464" t="s">
        <v>1684</v>
      </c>
    </row>
    <row r="564" ht="15.95" customHeight="1">
      <c r="A564" s="464" t="s">
        <v>2868</v>
      </c>
      <c r="B564" s="464" t="s">
        <v>2532</v>
      </c>
      <c r="C564" s="464"/>
      <c r="D564" s="464" t="s">
        <v>1709</v>
      </c>
      <c r="E564" s="464" t="s">
        <v>2862</v>
      </c>
      <c r="F564" s="464" t="s">
        <v>2863</v>
      </c>
      <c r="G564" s="464" t="s">
        <v>2834</v>
      </c>
      <c r="H564" s="464" t="s">
        <v>2835</v>
      </c>
      <c r="I564" s="464" t="s">
        <v>1684</v>
      </c>
    </row>
    <row r="565" ht="15.95" customHeight="1">
      <c r="A565" s="464" t="s">
        <v>2869</v>
      </c>
      <c r="B565" s="464" t="s">
        <v>2870</v>
      </c>
      <c r="C565" s="464"/>
      <c r="D565" s="464" t="s">
        <v>1709</v>
      </c>
      <c r="E565" s="464" t="s">
        <v>2862</v>
      </c>
      <c r="F565" s="464" t="s">
        <v>2863</v>
      </c>
      <c r="G565" s="464" t="s">
        <v>2834</v>
      </c>
      <c r="H565" s="464" t="s">
        <v>2835</v>
      </c>
      <c r="I565" s="464" t="s">
        <v>1684</v>
      </c>
    </row>
    <row r="566" ht="15.95" customHeight="1">
      <c r="A566" s="464" t="s">
        <v>2871</v>
      </c>
      <c r="B566" s="464" t="s">
        <v>2872</v>
      </c>
      <c r="C566" s="464"/>
      <c r="D566" s="464" t="s">
        <v>1709</v>
      </c>
      <c r="E566" s="464" t="s">
        <v>2862</v>
      </c>
      <c r="F566" s="464" t="s">
        <v>2863</v>
      </c>
      <c r="G566" s="464" t="s">
        <v>2834</v>
      </c>
      <c r="H566" s="464" t="s">
        <v>2835</v>
      </c>
      <c r="I566" s="464" t="s">
        <v>1684</v>
      </c>
    </row>
    <row r="567" ht="15.95" customHeight="1">
      <c r="A567" s="464" t="s">
        <v>2873</v>
      </c>
      <c r="B567" s="464" t="s">
        <v>2874</v>
      </c>
      <c r="C567" s="464"/>
      <c r="D567" s="464" t="s">
        <v>1709</v>
      </c>
      <c r="E567" s="464" t="s">
        <v>2862</v>
      </c>
      <c r="F567" s="464" t="s">
        <v>2863</v>
      </c>
      <c r="G567" s="464" t="s">
        <v>2834</v>
      </c>
      <c r="H567" s="464" t="s">
        <v>2835</v>
      </c>
      <c r="I567" s="464" t="s">
        <v>1684</v>
      </c>
    </row>
    <row r="568" ht="15.95" customHeight="1">
      <c r="A568" s="464" t="s">
        <v>2875</v>
      </c>
      <c r="B568" s="464" t="s">
        <v>2876</v>
      </c>
      <c r="C568" s="464"/>
      <c r="D568" s="464" t="s">
        <v>1738</v>
      </c>
      <c r="E568" s="464" t="s">
        <v>2877</v>
      </c>
      <c r="F568" s="464" t="s">
        <v>2878</v>
      </c>
      <c r="G568" s="464" t="s">
        <v>2834</v>
      </c>
      <c r="H568" s="464" t="s">
        <v>2835</v>
      </c>
      <c r="I568" s="464" t="s">
        <v>1684</v>
      </c>
    </row>
    <row r="569" ht="15.95" customHeight="1">
      <c r="A569" s="464" t="s">
        <v>2879</v>
      </c>
      <c r="B569" s="464" t="s">
        <v>2880</v>
      </c>
      <c r="C569" s="464"/>
      <c r="D569" s="464" t="s">
        <v>1709</v>
      </c>
      <c r="E569" s="464" t="s">
        <v>2877</v>
      </c>
      <c r="F569" s="464" t="s">
        <v>2878</v>
      </c>
      <c r="G569" s="464" t="s">
        <v>2834</v>
      </c>
      <c r="H569" s="464" t="s">
        <v>2835</v>
      </c>
      <c r="I569" s="464" t="s">
        <v>1684</v>
      </c>
    </row>
    <row r="570" ht="15.95" customHeight="1">
      <c r="A570" s="464" t="s">
        <v>2881</v>
      </c>
      <c r="B570" s="464" t="s">
        <v>2882</v>
      </c>
      <c r="C570" s="464"/>
      <c r="D570" s="464" t="s">
        <v>1709</v>
      </c>
      <c r="E570" s="464" t="s">
        <v>2877</v>
      </c>
      <c r="F570" s="464" t="s">
        <v>2878</v>
      </c>
      <c r="G570" s="464" t="s">
        <v>2834</v>
      </c>
      <c r="H570" s="464" t="s">
        <v>2835</v>
      </c>
      <c r="I570" s="464" t="s">
        <v>1684</v>
      </c>
    </row>
    <row r="571" ht="15.95" customHeight="1">
      <c r="A571" s="464" t="s">
        <v>2883</v>
      </c>
      <c r="B571" s="464" t="s">
        <v>2884</v>
      </c>
      <c r="C571" s="464"/>
      <c r="D571" s="464" t="s">
        <v>1709</v>
      </c>
      <c r="E571" s="464" t="s">
        <v>2877</v>
      </c>
      <c r="F571" s="464" t="s">
        <v>2878</v>
      </c>
      <c r="G571" s="464" t="s">
        <v>2834</v>
      </c>
      <c r="H571" s="464" t="s">
        <v>2835</v>
      </c>
      <c r="I571" s="464" t="s">
        <v>1684</v>
      </c>
    </row>
    <row r="572" ht="15.95" customHeight="1">
      <c r="A572" s="464" t="s">
        <v>2885</v>
      </c>
      <c r="B572" s="464" t="s">
        <v>2886</v>
      </c>
      <c r="C572" s="464"/>
      <c r="D572" s="464" t="s">
        <v>1709</v>
      </c>
      <c r="E572" s="464" t="s">
        <v>2877</v>
      </c>
      <c r="F572" s="464" t="s">
        <v>2878</v>
      </c>
      <c r="G572" s="464" t="s">
        <v>2834</v>
      </c>
      <c r="H572" s="464" t="s">
        <v>2835</v>
      </c>
      <c r="I572" s="464" t="s">
        <v>1684</v>
      </c>
    </row>
    <row r="573" ht="15.95" customHeight="1">
      <c r="A573" s="464" t="s">
        <v>2887</v>
      </c>
      <c r="B573" s="464" t="s">
        <v>2888</v>
      </c>
      <c r="C573" s="464"/>
      <c r="D573" s="464" t="s">
        <v>1709</v>
      </c>
      <c r="E573" s="464" t="s">
        <v>2877</v>
      </c>
      <c r="F573" s="464" t="s">
        <v>2878</v>
      </c>
      <c r="G573" s="464" t="s">
        <v>2834</v>
      </c>
      <c r="H573" s="464" t="s">
        <v>2835</v>
      </c>
      <c r="I573" s="464" t="s">
        <v>1684</v>
      </c>
    </row>
    <row r="574" ht="15.95" customHeight="1">
      <c r="A574" s="464" t="s">
        <v>2889</v>
      </c>
      <c r="B574" s="464" t="s">
        <v>2890</v>
      </c>
      <c r="C574" s="464"/>
      <c r="D574" s="464" t="s">
        <v>1709</v>
      </c>
      <c r="E574" s="464" t="s">
        <v>2877</v>
      </c>
      <c r="F574" s="464" t="s">
        <v>2878</v>
      </c>
      <c r="G574" s="464" t="s">
        <v>2834</v>
      </c>
      <c r="H574" s="464" t="s">
        <v>2835</v>
      </c>
      <c r="I574" s="464" t="s">
        <v>1684</v>
      </c>
    </row>
    <row r="575" ht="15.95" customHeight="1">
      <c r="A575" s="464" t="s">
        <v>2891</v>
      </c>
      <c r="B575" s="464" t="s">
        <v>2892</v>
      </c>
      <c r="C575" s="464"/>
      <c r="D575" s="464" t="s">
        <v>1709</v>
      </c>
      <c r="E575" s="464" t="s">
        <v>2877</v>
      </c>
      <c r="F575" s="464" t="s">
        <v>2878</v>
      </c>
      <c r="G575" s="464" t="s">
        <v>2834</v>
      </c>
      <c r="H575" s="464" t="s">
        <v>2835</v>
      </c>
      <c r="I575" s="464" t="s">
        <v>1684</v>
      </c>
    </row>
    <row r="576" ht="15.95" customHeight="1">
      <c r="A576" s="464" t="s">
        <v>2893</v>
      </c>
      <c r="B576" s="464" t="s">
        <v>2894</v>
      </c>
      <c r="C576" s="464"/>
      <c r="D576" s="464" t="s">
        <v>1709</v>
      </c>
      <c r="E576" s="464" t="s">
        <v>2877</v>
      </c>
      <c r="F576" s="464" t="s">
        <v>2878</v>
      </c>
      <c r="G576" s="464" t="s">
        <v>2834</v>
      </c>
      <c r="H576" s="464" t="s">
        <v>2835</v>
      </c>
      <c r="I576" s="464" t="s">
        <v>1684</v>
      </c>
    </row>
    <row r="577" ht="15.95" customHeight="1">
      <c r="A577" s="464" t="s">
        <v>2895</v>
      </c>
      <c r="B577" s="464" t="s">
        <v>2636</v>
      </c>
      <c r="C577" s="464"/>
      <c r="D577" s="464" t="s">
        <v>1709</v>
      </c>
      <c r="E577" s="464" t="s">
        <v>2877</v>
      </c>
      <c r="F577" s="464" t="s">
        <v>2878</v>
      </c>
      <c r="G577" s="464" t="s">
        <v>2834</v>
      </c>
      <c r="H577" s="464" t="s">
        <v>2835</v>
      </c>
      <c r="I577" s="464" t="s">
        <v>1684</v>
      </c>
    </row>
    <row r="578" ht="15.95" customHeight="1">
      <c r="A578" s="464" t="s">
        <v>2896</v>
      </c>
      <c r="B578" s="464" t="s">
        <v>2522</v>
      </c>
      <c r="C578" s="464"/>
      <c r="D578" s="464" t="s">
        <v>1709</v>
      </c>
      <c r="E578" s="464" t="s">
        <v>2877</v>
      </c>
      <c r="F578" s="464" t="s">
        <v>2878</v>
      </c>
      <c r="G578" s="464" t="s">
        <v>2834</v>
      </c>
      <c r="H578" s="464" t="s">
        <v>2835</v>
      </c>
      <c r="I578" s="464" t="s">
        <v>1684</v>
      </c>
    </row>
    <row r="579" ht="15.95" customHeight="1">
      <c r="A579" s="464" t="s">
        <v>2897</v>
      </c>
      <c r="B579" s="464" t="s">
        <v>2898</v>
      </c>
      <c r="C579" s="464"/>
      <c r="D579" s="464" t="s">
        <v>1709</v>
      </c>
      <c r="E579" s="464" t="s">
        <v>2877</v>
      </c>
      <c r="F579" s="464" t="s">
        <v>2878</v>
      </c>
      <c r="G579" s="464" t="s">
        <v>2834</v>
      </c>
      <c r="H579" s="464" t="s">
        <v>2835</v>
      </c>
      <c r="I579" s="464" t="s">
        <v>1684</v>
      </c>
    </row>
    <row r="580" ht="15.95" customHeight="1">
      <c r="A580" s="464" t="s">
        <v>2899</v>
      </c>
      <c r="B580" s="464" t="s">
        <v>2900</v>
      </c>
      <c r="C580" s="464"/>
      <c r="D580" s="464" t="s">
        <v>1679</v>
      </c>
      <c r="E580" s="464" t="s">
        <v>2901</v>
      </c>
      <c r="F580" s="464" t="s">
        <v>2902</v>
      </c>
      <c r="G580" s="464" t="s">
        <v>2834</v>
      </c>
      <c r="H580" s="464" t="s">
        <v>2835</v>
      </c>
      <c r="I580" s="464" t="s">
        <v>1684</v>
      </c>
    </row>
    <row r="581" ht="15.95" customHeight="1">
      <c r="A581" s="464" t="s">
        <v>2903</v>
      </c>
      <c r="B581" s="464" t="s">
        <v>2904</v>
      </c>
      <c r="C581" s="464"/>
      <c r="D581" s="464" t="s">
        <v>1679</v>
      </c>
      <c r="E581" s="464" t="s">
        <v>2901</v>
      </c>
      <c r="F581" s="464" t="s">
        <v>2902</v>
      </c>
      <c r="G581" s="464" t="s">
        <v>2834</v>
      </c>
      <c r="H581" s="464" t="s">
        <v>2835</v>
      </c>
      <c r="I581" s="464" t="s">
        <v>1684</v>
      </c>
    </row>
    <row r="582" ht="15.95" customHeight="1">
      <c r="A582" s="464" t="s">
        <v>2905</v>
      </c>
      <c r="B582" s="464" t="s">
        <v>2906</v>
      </c>
      <c r="C582" s="464"/>
      <c r="D582" s="464" t="s">
        <v>1709</v>
      </c>
      <c r="E582" s="464" t="s">
        <v>2901</v>
      </c>
      <c r="F582" s="464" t="s">
        <v>2902</v>
      </c>
      <c r="G582" s="464" t="s">
        <v>2834</v>
      </c>
      <c r="H582" s="464" t="s">
        <v>2835</v>
      </c>
      <c r="I582" s="464" t="s">
        <v>1684</v>
      </c>
    </row>
    <row r="583" ht="15.95" customHeight="1">
      <c r="A583" s="464" t="s">
        <v>2907</v>
      </c>
      <c r="B583" s="464" t="s">
        <v>2908</v>
      </c>
      <c r="C583" s="464"/>
      <c r="D583" s="464" t="s">
        <v>1709</v>
      </c>
      <c r="E583" s="464" t="s">
        <v>2901</v>
      </c>
      <c r="F583" s="464" t="s">
        <v>2902</v>
      </c>
      <c r="G583" s="464" t="s">
        <v>2834</v>
      </c>
      <c r="H583" s="464" t="s">
        <v>2835</v>
      </c>
      <c r="I583" s="464" t="s">
        <v>1684</v>
      </c>
    </row>
    <row r="584" ht="15.95" customHeight="1">
      <c r="A584" s="464" t="s">
        <v>2909</v>
      </c>
      <c r="B584" s="464" t="s">
        <v>2910</v>
      </c>
      <c r="C584" s="464"/>
      <c r="D584" s="464" t="s">
        <v>1679</v>
      </c>
      <c r="E584" s="464" t="s">
        <v>2901</v>
      </c>
      <c r="F584" s="464" t="s">
        <v>2902</v>
      </c>
      <c r="G584" s="464" t="s">
        <v>2834</v>
      </c>
      <c r="H584" s="464" t="s">
        <v>2835</v>
      </c>
      <c r="I584" s="464" t="s">
        <v>1684</v>
      </c>
    </row>
    <row r="585" ht="15.95" customHeight="1">
      <c r="A585" s="464" t="s">
        <v>2911</v>
      </c>
      <c r="B585" s="464" t="s">
        <v>2912</v>
      </c>
      <c r="C585" s="464"/>
      <c r="D585" s="464" t="s">
        <v>1679</v>
      </c>
      <c r="E585" s="464" t="s">
        <v>2901</v>
      </c>
      <c r="F585" s="464" t="s">
        <v>2902</v>
      </c>
      <c r="G585" s="464" t="s">
        <v>2834</v>
      </c>
      <c r="H585" s="464" t="s">
        <v>2835</v>
      </c>
      <c r="I585" s="464" t="s">
        <v>1684</v>
      </c>
    </row>
    <row r="586" ht="15.95" customHeight="1">
      <c r="A586" s="464" t="s">
        <v>2913</v>
      </c>
      <c r="B586" s="464" t="s">
        <v>2914</v>
      </c>
      <c r="C586" s="464"/>
      <c r="D586" s="464" t="s">
        <v>1679</v>
      </c>
      <c r="E586" s="464" t="s">
        <v>2901</v>
      </c>
      <c r="F586" s="464" t="s">
        <v>2902</v>
      </c>
      <c r="G586" s="464" t="s">
        <v>2834</v>
      </c>
      <c r="H586" s="464" t="s">
        <v>2835</v>
      </c>
      <c r="I586" s="464" t="s">
        <v>1684</v>
      </c>
    </row>
    <row r="587" ht="15.95" customHeight="1">
      <c r="A587" s="464" t="s">
        <v>2915</v>
      </c>
      <c r="B587" s="464" t="s">
        <v>2916</v>
      </c>
      <c r="C587" s="464"/>
      <c r="D587" s="464" t="s">
        <v>1709</v>
      </c>
      <c r="E587" s="464" t="s">
        <v>2901</v>
      </c>
      <c r="F587" s="464" t="s">
        <v>2902</v>
      </c>
      <c r="G587" s="464" t="s">
        <v>2834</v>
      </c>
      <c r="H587" s="464" t="s">
        <v>2835</v>
      </c>
      <c r="I587" s="464" t="s">
        <v>1684</v>
      </c>
    </row>
    <row r="588" ht="15.95" customHeight="1">
      <c r="A588" s="464" t="s">
        <v>2917</v>
      </c>
      <c r="B588" s="464" t="s">
        <v>2918</v>
      </c>
      <c r="C588" s="464"/>
      <c r="D588" s="464" t="s">
        <v>1738</v>
      </c>
      <c r="E588" s="464" t="s">
        <v>2919</v>
      </c>
      <c r="F588" s="464" t="s">
        <v>2920</v>
      </c>
      <c r="G588" s="464" t="s">
        <v>2834</v>
      </c>
      <c r="H588" s="464" t="s">
        <v>2835</v>
      </c>
      <c r="I588" s="464" t="s">
        <v>1684</v>
      </c>
    </row>
    <row r="589" ht="15.95" customHeight="1">
      <c r="A589" s="464" t="s">
        <v>2921</v>
      </c>
      <c r="B589" s="464" t="s">
        <v>2922</v>
      </c>
      <c r="C589" s="464"/>
      <c r="D589" s="464" t="s">
        <v>1709</v>
      </c>
      <c r="E589" s="464" t="s">
        <v>2919</v>
      </c>
      <c r="F589" s="464" t="s">
        <v>2920</v>
      </c>
      <c r="G589" s="464" t="s">
        <v>2834</v>
      </c>
      <c r="H589" s="464" t="s">
        <v>2835</v>
      </c>
      <c r="I589" s="464" t="s">
        <v>1684</v>
      </c>
    </row>
    <row r="590" ht="15.95" customHeight="1">
      <c r="A590" s="464" t="s">
        <v>2923</v>
      </c>
      <c r="B590" s="464" t="s">
        <v>2924</v>
      </c>
      <c r="C590" s="464"/>
      <c r="D590" s="464" t="s">
        <v>1709</v>
      </c>
      <c r="E590" s="464" t="s">
        <v>2919</v>
      </c>
      <c r="F590" s="464" t="s">
        <v>2920</v>
      </c>
      <c r="G590" s="464" t="s">
        <v>2834</v>
      </c>
      <c r="H590" s="464" t="s">
        <v>2835</v>
      </c>
      <c r="I590" s="464" t="s">
        <v>1684</v>
      </c>
    </row>
    <row r="591" ht="15.95" customHeight="1">
      <c r="A591" s="464" t="s">
        <v>2925</v>
      </c>
      <c r="B591" s="464" t="s">
        <v>2926</v>
      </c>
      <c r="C591" s="464" t="s">
        <v>2927</v>
      </c>
      <c r="D591" s="464" t="s">
        <v>1709</v>
      </c>
      <c r="E591" s="464" t="s">
        <v>2919</v>
      </c>
      <c r="F591" s="464" t="s">
        <v>2920</v>
      </c>
      <c r="G591" s="464" t="s">
        <v>2834</v>
      </c>
      <c r="H591" s="464" t="s">
        <v>2835</v>
      </c>
      <c r="I591" s="464" t="s">
        <v>1684</v>
      </c>
    </row>
    <row r="592" ht="15.95" customHeight="1">
      <c r="A592" s="464" t="s">
        <v>2928</v>
      </c>
      <c r="B592" s="464" t="s">
        <v>2929</v>
      </c>
      <c r="C592" s="464"/>
      <c r="D592" s="464" t="s">
        <v>1709</v>
      </c>
      <c r="E592" s="464" t="s">
        <v>2919</v>
      </c>
      <c r="F592" s="464" t="s">
        <v>2920</v>
      </c>
      <c r="G592" s="464" t="s">
        <v>2834</v>
      </c>
      <c r="H592" s="464" t="s">
        <v>2835</v>
      </c>
      <c r="I592" s="464" t="s">
        <v>1684</v>
      </c>
    </row>
    <row r="593" ht="15.95" customHeight="1">
      <c r="A593" s="464" t="s">
        <v>2930</v>
      </c>
      <c r="B593" s="464" t="s">
        <v>2743</v>
      </c>
      <c r="C593" s="464"/>
      <c r="D593" s="464" t="s">
        <v>1709</v>
      </c>
      <c r="E593" s="464" t="s">
        <v>2919</v>
      </c>
      <c r="F593" s="464" t="s">
        <v>2920</v>
      </c>
      <c r="G593" s="464" t="s">
        <v>2834</v>
      </c>
      <c r="H593" s="464" t="s">
        <v>2835</v>
      </c>
      <c r="I593" s="464" t="s">
        <v>1684</v>
      </c>
    </row>
    <row r="594" ht="15.95" customHeight="1">
      <c r="A594" s="464" t="s">
        <v>2931</v>
      </c>
      <c r="B594" s="464" t="s">
        <v>2546</v>
      </c>
      <c r="C594" s="464"/>
      <c r="D594" s="464" t="s">
        <v>1709</v>
      </c>
      <c r="E594" s="464" t="s">
        <v>2919</v>
      </c>
      <c r="F594" s="464" t="s">
        <v>2920</v>
      </c>
      <c r="G594" s="464" t="s">
        <v>2834</v>
      </c>
      <c r="H594" s="464" t="s">
        <v>2835</v>
      </c>
      <c r="I594" s="464" t="s">
        <v>1684</v>
      </c>
    </row>
    <row r="595" ht="15.95" customHeight="1">
      <c r="A595" s="464" t="s">
        <v>2932</v>
      </c>
      <c r="B595" s="464" t="s">
        <v>2933</v>
      </c>
      <c r="C595" s="464"/>
      <c r="D595" s="464" t="s">
        <v>1709</v>
      </c>
      <c r="E595" s="464" t="s">
        <v>2919</v>
      </c>
      <c r="F595" s="464" t="s">
        <v>2920</v>
      </c>
      <c r="G595" s="464" t="s">
        <v>2834</v>
      </c>
      <c r="H595" s="464" t="s">
        <v>2835</v>
      </c>
      <c r="I595" s="464" t="s">
        <v>1684</v>
      </c>
    </row>
    <row r="596" ht="15.95" customHeight="1">
      <c r="A596" s="464" t="s">
        <v>2934</v>
      </c>
      <c r="B596" s="464" t="s">
        <v>2935</v>
      </c>
      <c r="C596" s="464"/>
      <c r="D596" s="464" t="s">
        <v>1709</v>
      </c>
      <c r="E596" s="464" t="s">
        <v>2919</v>
      </c>
      <c r="F596" s="464" t="s">
        <v>2920</v>
      </c>
      <c r="G596" s="464" t="s">
        <v>2834</v>
      </c>
      <c r="H596" s="464" t="s">
        <v>2835</v>
      </c>
      <c r="I596" s="464" t="s">
        <v>1684</v>
      </c>
    </row>
    <row r="597" ht="15.95" customHeight="1">
      <c r="A597" s="464" t="s">
        <v>2936</v>
      </c>
      <c r="B597" s="464" t="s">
        <v>2937</v>
      </c>
      <c r="C597" s="464"/>
      <c r="D597" s="464" t="s">
        <v>1709</v>
      </c>
      <c r="E597" s="464" t="s">
        <v>2919</v>
      </c>
      <c r="F597" s="464" t="s">
        <v>2920</v>
      </c>
      <c r="G597" s="464" t="s">
        <v>2834</v>
      </c>
      <c r="H597" s="464" t="s">
        <v>2835</v>
      </c>
      <c r="I597" s="464" t="s">
        <v>1684</v>
      </c>
    </row>
    <row r="598" ht="15.95" customHeight="1">
      <c r="A598" s="464" t="s">
        <v>2938</v>
      </c>
      <c r="B598" s="464" t="s">
        <v>1721</v>
      </c>
      <c r="C598" s="464"/>
      <c r="D598" s="464" t="s">
        <v>1709</v>
      </c>
      <c r="E598" s="464" t="s">
        <v>2919</v>
      </c>
      <c r="F598" s="464" t="s">
        <v>2920</v>
      </c>
      <c r="G598" s="464" t="s">
        <v>2834</v>
      </c>
      <c r="H598" s="464" t="s">
        <v>2835</v>
      </c>
      <c r="I598" s="464" t="s">
        <v>1684</v>
      </c>
    </row>
    <row r="599" ht="15.95" customHeight="1">
      <c r="A599" s="464" t="s">
        <v>2939</v>
      </c>
      <c r="B599" s="464" t="s">
        <v>2940</v>
      </c>
      <c r="C599" s="464"/>
      <c r="D599" s="464" t="s">
        <v>1679</v>
      </c>
      <c r="E599" s="464" t="s">
        <v>2941</v>
      </c>
      <c r="F599" s="464" t="s">
        <v>2942</v>
      </c>
      <c r="G599" s="464" t="s">
        <v>2834</v>
      </c>
      <c r="H599" s="464" t="s">
        <v>2835</v>
      </c>
      <c r="I599" s="464" t="s">
        <v>1684</v>
      </c>
    </row>
    <row r="600" ht="15.95" customHeight="1">
      <c r="A600" s="464" t="s">
        <v>2943</v>
      </c>
      <c r="B600" s="464" t="s">
        <v>2944</v>
      </c>
      <c r="C600" s="464"/>
      <c r="D600" s="464" t="s">
        <v>1679</v>
      </c>
      <c r="E600" s="464" t="s">
        <v>2941</v>
      </c>
      <c r="F600" s="464" t="s">
        <v>2942</v>
      </c>
      <c r="G600" s="464" t="s">
        <v>2834</v>
      </c>
      <c r="H600" s="464" t="s">
        <v>2835</v>
      </c>
      <c r="I600" s="464" t="s">
        <v>1684</v>
      </c>
    </row>
    <row r="601" ht="15.95" customHeight="1">
      <c r="A601" s="464" t="s">
        <v>2945</v>
      </c>
      <c r="B601" s="464" t="s">
        <v>1898</v>
      </c>
      <c r="C601" s="464"/>
      <c r="D601" s="464" t="s">
        <v>1709</v>
      </c>
      <c r="E601" s="464" t="s">
        <v>2941</v>
      </c>
      <c r="F601" s="464" t="s">
        <v>2942</v>
      </c>
      <c r="G601" s="464" t="s">
        <v>2834</v>
      </c>
      <c r="H601" s="464" t="s">
        <v>2835</v>
      </c>
      <c r="I601" s="464" t="s">
        <v>1684</v>
      </c>
    </row>
    <row r="602" ht="15.95" customHeight="1">
      <c r="A602" s="464" t="s">
        <v>2946</v>
      </c>
      <c r="B602" s="464" t="s">
        <v>2947</v>
      </c>
      <c r="C602" s="464"/>
      <c r="D602" s="464" t="s">
        <v>1709</v>
      </c>
      <c r="E602" s="464" t="s">
        <v>2941</v>
      </c>
      <c r="F602" s="464" t="s">
        <v>2942</v>
      </c>
      <c r="G602" s="464" t="s">
        <v>2834</v>
      </c>
      <c r="H602" s="464" t="s">
        <v>2835</v>
      </c>
      <c r="I602" s="464" t="s">
        <v>1684</v>
      </c>
    </row>
    <row r="603" ht="15.95" customHeight="1">
      <c r="A603" s="464" t="s">
        <v>2948</v>
      </c>
      <c r="B603" s="464" t="s">
        <v>2949</v>
      </c>
      <c r="C603" s="464" t="s">
        <v>2950</v>
      </c>
      <c r="D603" s="464" t="s">
        <v>1679</v>
      </c>
      <c r="E603" s="464" t="s">
        <v>2941</v>
      </c>
      <c r="F603" s="464" t="s">
        <v>2942</v>
      </c>
      <c r="G603" s="464" t="s">
        <v>2834</v>
      </c>
      <c r="H603" s="464" t="s">
        <v>2835</v>
      </c>
      <c r="I603" s="464" t="s">
        <v>1684</v>
      </c>
    </row>
    <row r="604" ht="15.95" customHeight="1">
      <c r="A604" s="464" t="s">
        <v>2951</v>
      </c>
      <c r="B604" s="464" t="s">
        <v>2952</v>
      </c>
      <c r="C604" s="464"/>
      <c r="D604" s="464" t="s">
        <v>1679</v>
      </c>
      <c r="E604" s="464" t="s">
        <v>2941</v>
      </c>
      <c r="F604" s="464" t="s">
        <v>2942</v>
      </c>
      <c r="G604" s="464" t="s">
        <v>2834</v>
      </c>
      <c r="H604" s="464" t="s">
        <v>2835</v>
      </c>
      <c r="I604" s="464" t="s">
        <v>1684</v>
      </c>
    </row>
    <row r="605" ht="15.95" customHeight="1">
      <c r="A605" s="464" t="s">
        <v>2953</v>
      </c>
      <c r="B605" s="464" t="s">
        <v>2954</v>
      </c>
      <c r="C605" s="464"/>
      <c r="D605" s="464" t="s">
        <v>1709</v>
      </c>
      <c r="E605" s="464" t="s">
        <v>2941</v>
      </c>
      <c r="F605" s="464" t="s">
        <v>2942</v>
      </c>
      <c r="G605" s="464" t="s">
        <v>2834</v>
      </c>
      <c r="H605" s="464" t="s">
        <v>2835</v>
      </c>
      <c r="I605" s="464" t="s">
        <v>1684</v>
      </c>
    </row>
    <row r="606" ht="15.95" customHeight="1">
      <c r="A606" s="464" t="s">
        <v>2955</v>
      </c>
      <c r="B606" s="464" t="s">
        <v>2956</v>
      </c>
      <c r="C606" s="464"/>
      <c r="D606" s="464" t="s">
        <v>1709</v>
      </c>
      <c r="E606" s="464" t="s">
        <v>2941</v>
      </c>
      <c r="F606" s="464" t="s">
        <v>2942</v>
      </c>
      <c r="G606" s="464" t="s">
        <v>2834</v>
      </c>
      <c r="H606" s="464" t="s">
        <v>2835</v>
      </c>
      <c r="I606" s="464" t="s">
        <v>1684</v>
      </c>
    </row>
    <row r="607" ht="15.95" customHeight="1">
      <c r="A607" s="464" t="s">
        <v>2957</v>
      </c>
      <c r="B607" s="464" t="s">
        <v>2958</v>
      </c>
      <c r="C607" s="464"/>
      <c r="D607" s="464" t="s">
        <v>1709</v>
      </c>
      <c r="E607" s="464" t="s">
        <v>2941</v>
      </c>
      <c r="F607" s="464" t="s">
        <v>2942</v>
      </c>
      <c r="G607" s="464" t="s">
        <v>2834</v>
      </c>
      <c r="H607" s="464" t="s">
        <v>2835</v>
      </c>
      <c r="I607" s="464" t="s">
        <v>1684</v>
      </c>
    </row>
    <row r="608" ht="15.95" customHeight="1">
      <c r="A608" s="464" t="s">
        <v>2959</v>
      </c>
      <c r="B608" s="464" t="s">
        <v>2960</v>
      </c>
      <c r="C608" s="464"/>
      <c r="D608" s="464" t="s">
        <v>1679</v>
      </c>
      <c r="E608" s="464" t="s">
        <v>2941</v>
      </c>
      <c r="F608" s="464" t="s">
        <v>2942</v>
      </c>
      <c r="G608" s="464" t="s">
        <v>2834</v>
      </c>
      <c r="H608" s="464" t="s">
        <v>2835</v>
      </c>
      <c r="I608" s="464" t="s">
        <v>1684</v>
      </c>
    </row>
    <row r="609" ht="15.95" customHeight="1">
      <c r="A609" s="464" t="s">
        <v>2961</v>
      </c>
      <c r="B609" s="464" t="s">
        <v>2962</v>
      </c>
      <c r="C609" s="464" t="s">
        <v>2963</v>
      </c>
      <c r="D609" s="464" t="s">
        <v>1709</v>
      </c>
      <c r="E609" s="464" t="s">
        <v>2941</v>
      </c>
      <c r="F609" s="464" t="s">
        <v>2942</v>
      </c>
      <c r="G609" s="464" t="s">
        <v>2834</v>
      </c>
      <c r="H609" s="464" t="s">
        <v>2835</v>
      </c>
      <c r="I609" s="464" t="s">
        <v>1684</v>
      </c>
    </row>
    <row r="610" ht="15.95" customHeight="1">
      <c r="A610" s="464" t="s">
        <v>2964</v>
      </c>
      <c r="B610" s="464" t="s">
        <v>2965</v>
      </c>
      <c r="C610" s="464"/>
      <c r="D610" s="464" t="s">
        <v>1679</v>
      </c>
      <c r="E610" s="464" t="s">
        <v>2941</v>
      </c>
      <c r="F610" s="464" t="s">
        <v>2942</v>
      </c>
      <c r="G610" s="464" t="s">
        <v>2834</v>
      </c>
      <c r="H610" s="464" t="s">
        <v>2835</v>
      </c>
      <c r="I610" s="464" t="s">
        <v>1684</v>
      </c>
    </row>
    <row r="611" ht="15.95" customHeight="1">
      <c r="A611" s="464" t="s">
        <v>2966</v>
      </c>
      <c r="B611" s="464" t="s">
        <v>2967</v>
      </c>
      <c r="C611" s="464"/>
      <c r="D611" s="464" t="s">
        <v>1679</v>
      </c>
      <c r="E611" s="464" t="s">
        <v>2968</v>
      </c>
      <c r="F611" s="464" t="s">
        <v>2969</v>
      </c>
      <c r="G611" s="464" t="s">
        <v>2834</v>
      </c>
      <c r="H611" s="464" t="s">
        <v>2835</v>
      </c>
      <c r="I611" s="464" t="s">
        <v>1684</v>
      </c>
    </row>
    <row r="612" ht="15.95" customHeight="1">
      <c r="A612" s="464" t="s">
        <v>2970</v>
      </c>
      <c r="B612" s="464" t="s">
        <v>2434</v>
      </c>
      <c r="C612" s="464"/>
      <c r="D612" s="464" t="s">
        <v>1679</v>
      </c>
      <c r="E612" s="464" t="s">
        <v>2968</v>
      </c>
      <c r="F612" s="464" t="s">
        <v>2969</v>
      </c>
      <c r="G612" s="464" t="s">
        <v>2834</v>
      </c>
      <c r="H612" s="464" t="s">
        <v>2835</v>
      </c>
      <c r="I612" s="464" t="s">
        <v>1684</v>
      </c>
    </row>
    <row r="613" ht="15.95" customHeight="1">
      <c r="A613" s="464" t="s">
        <v>2971</v>
      </c>
      <c r="B613" s="464" t="s">
        <v>2972</v>
      </c>
      <c r="C613" s="464"/>
      <c r="D613" s="464" t="s">
        <v>1679</v>
      </c>
      <c r="E613" s="464" t="s">
        <v>2968</v>
      </c>
      <c r="F613" s="464" t="s">
        <v>2969</v>
      </c>
      <c r="G613" s="464" t="s">
        <v>2834</v>
      </c>
      <c r="H613" s="464" t="s">
        <v>2835</v>
      </c>
      <c r="I613" s="464" t="s">
        <v>1684</v>
      </c>
    </row>
    <row r="614" ht="15.95" customHeight="1">
      <c r="A614" s="464" t="s">
        <v>2973</v>
      </c>
      <c r="B614" s="464" t="s">
        <v>2974</v>
      </c>
      <c r="C614" s="464"/>
      <c r="D614" s="464" t="s">
        <v>1679</v>
      </c>
      <c r="E614" s="464" t="s">
        <v>2968</v>
      </c>
      <c r="F614" s="464" t="s">
        <v>2969</v>
      </c>
      <c r="G614" s="464" t="s">
        <v>2834</v>
      </c>
      <c r="H614" s="464" t="s">
        <v>2835</v>
      </c>
      <c r="I614" s="464" t="s">
        <v>1684</v>
      </c>
    </row>
    <row r="615" ht="15.95" customHeight="1">
      <c r="A615" s="464" t="s">
        <v>2975</v>
      </c>
      <c r="B615" s="464" t="s">
        <v>2976</v>
      </c>
      <c r="C615" s="464"/>
      <c r="D615" s="464" t="s">
        <v>1679</v>
      </c>
      <c r="E615" s="464" t="s">
        <v>2968</v>
      </c>
      <c r="F615" s="464" t="s">
        <v>2969</v>
      </c>
      <c r="G615" s="464" t="s">
        <v>2834</v>
      </c>
      <c r="H615" s="464" t="s">
        <v>2835</v>
      </c>
      <c r="I615" s="464" t="s">
        <v>1684</v>
      </c>
    </row>
    <row r="616" ht="15.95" customHeight="1">
      <c r="A616" s="464" t="s">
        <v>2977</v>
      </c>
      <c r="B616" s="464" t="s">
        <v>2978</v>
      </c>
      <c r="C616" s="464"/>
      <c r="D616" s="464" t="s">
        <v>1679</v>
      </c>
      <c r="E616" s="464" t="s">
        <v>2968</v>
      </c>
      <c r="F616" s="464" t="s">
        <v>2969</v>
      </c>
      <c r="G616" s="464" t="s">
        <v>2834</v>
      </c>
      <c r="H616" s="464" t="s">
        <v>2835</v>
      </c>
      <c r="I616" s="464" t="s">
        <v>1684</v>
      </c>
    </row>
    <row r="617" ht="15.95" customHeight="1">
      <c r="A617" s="464" t="s">
        <v>2979</v>
      </c>
      <c r="B617" s="464" t="s">
        <v>2980</v>
      </c>
      <c r="C617" s="464"/>
      <c r="D617" s="464" t="s">
        <v>1679</v>
      </c>
      <c r="E617" s="464" t="s">
        <v>2968</v>
      </c>
      <c r="F617" s="464" t="s">
        <v>2969</v>
      </c>
      <c r="G617" s="464" t="s">
        <v>2834</v>
      </c>
      <c r="H617" s="464" t="s">
        <v>2835</v>
      </c>
      <c r="I617" s="464" t="s">
        <v>1684</v>
      </c>
    </row>
    <row r="618" ht="15.95" customHeight="1">
      <c r="A618" s="464" t="s">
        <v>2981</v>
      </c>
      <c r="B618" s="464" t="s">
        <v>2982</v>
      </c>
      <c r="C618" s="464"/>
      <c r="D618" s="464" t="s">
        <v>1679</v>
      </c>
      <c r="E618" s="464" t="s">
        <v>2983</v>
      </c>
      <c r="F618" s="464" t="s">
        <v>2984</v>
      </c>
      <c r="G618" s="464" t="s">
        <v>2834</v>
      </c>
      <c r="H618" s="464" t="s">
        <v>2835</v>
      </c>
      <c r="I618" s="464" t="s">
        <v>1684</v>
      </c>
    </row>
    <row r="619" ht="15.95" customHeight="1">
      <c r="A619" s="464" t="s">
        <v>2985</v>
      </c>
      <c r="B619" s="464" t="s">
        <v>2986</v>
      </c>
      <c r="C619" s="464"/>
      <c r="D619" s="464" t="s">
        <v>1679</v>
      </c>
      <c r="E619" s="464" t="s">
        <v>2983</v>
      </c>
      <c r="F619" s="464" t="s">
        <v>2984</v>
      </c>
      <c r="G619" s="464" t="s">
        <v>2834</v>
      </c>
      <c r="H619" s="464" t="s">
        <v>2835</v>
      </c>
      <c r="I619" s="464" t="s">
        <v>1684</v>
      </c>
    </row>
    <row r="620" ht="15.95" customHeight="1">
      <c r="A620" s="464" t="s">
        <v>2987</v>
      </c>
      <c r="B620" s="464" t="s">
        <v>2988</v>
      </c>
      <c r="C620" s="464"/>
      <c r="D620" s="464" t="s">
        <v>1679</v>
      </c>
      <c r="E620" s="464" t="s">
        <v>2983</v>
      </c>
      <c r="F620" s="464" t="s">
        <v>2984</v>
      </c>
      <c r="G620" s="464" t="s">
        <v>2834</v>
      </c>
      <c r="H620" s="464" t="s">
        <v>2835</v>
      </c>
      <c r="I620" s="464" t="s">
        <v>1684</v>
      </c>
    </row>
    <row r="621" ht="15.95" customHeight="1">
      <c r="A621" s="464" t="s">
        <v>2989</v>
      </c>
      <c r="B621" s="464" t="s">
        <v>2990</v>
      </c>
      <c r="C621" s="464"/>
      <c r="D621" s="464" t="s">
        <v>1679</v>
      </c>
      <c r="E621" s="464" t="s">
        <v>2983</v>
      </c>
      <c r="F621" s="464" t="s">
        <v>2984</v>
      </c>
      <c r="G621" s="464" t="s">
        <v>2834</v>
      </c>
      <c r="H621" s="464" t="s">
        <v>2835</v>
      </c>
      <c r="I621" s="464" t="s">
        <v>1684</v>
      </c>
    </row>
    <row r="622" ht="15.95" customHeight="1">
      <c r="A622" s="464" t="s">
        <v>2991</v>
      </c>
      <c r="B622" s="464" t="s">
        <v>2992</v>
      </c>
      <c r="C622" s="464"/>
      <c r="D622" s="464" t="s">
        <v>1679</v>
      </c>
      <c r="E622" s="464" t="s">
        <v>2983</v>
      </c>
      <c r="F622" s="464" t="s">
        <v>2984</v>
      </c>
      <c r="G622" s="464" t="s">
        <v>2834</v>
      </c>
      <c r="H622" s="464" t="s">
        <v>2835</v>
      </c>
      <c r="I622" s="464" t="s">
        <v>1684</v>
      </c>
    </row>
    <row r="623" ht="15.95" customHeight="1">
      <c r="A623" s="464" t="s">
        <v>2993</v>
      </c>
      <c r="B623" s="464" t="s">
        <v>2994</v>
      </c>
      <c r="C623" s="464"/>
      <c r="D623" s="464" t="s">
        <v>1679</v>
      </c>
      <c r="E623" s="464" t="s">
        <v>2983</v>
      </c>
      <c r="F623" s="464" t="s">
        <v>2984</v>
      </c>
      <c r="G623" s="464" t="s">
        <v>2834</v>
      </c>
      <c r="H623" s="464" t="s">
        <v>2835</v>
      </c>
      <c r="I623" s="464" t="s">
        <v>1684</v>
      </c>
    </row>
    <row r="624" ht="15.95" customHeight="1">
      <c r="A624" s="464" t="s">
        <v>2995</v>
      </c>
      <c r="B624" s="464" t="s">
        <v>2996</v>
      </c>
      <c r="C624" s="464"/>
      <c r="D624" s="464" t="s">
        <v>1709</v>
      </c>
      <c r="E624" s="464" t="s">
        <v>2983</v>
      </c>
      <c r="F624" s="464" t="s">
        <v>2984</v>
      </c>
      <c r="G624" s="464" t="s">
        <v>2834</v>
      </c>
      <c r="H624" s="464" t="s">
        <v>2835</v>
      </c>
      <c r="I624" s="464" t="s">
        <v>1684</v>
      </c>
    </row>
    <row r="625" ht="15.95" customHeight="1">
      <c r="A625" s="464" t="s">
        <v>2997</v>
      </c>
      <c r="B625" s="464" t="s">
        <v>2998</v>
      </c>
      <c r="C625" s="464"/>
      <c r="D625" s="464" t="s">
        <v>1679</v>
      </c>
      <c r="E625" s="464" t="s">
        <v>2983</v>
      </c>
      <c r="F625" s="464" t="s">
        <v>2984</v>
      </c>
      <c r="G625" s="464" t="s">
        <v>2834</v>
      </c>
      <c r="H625" s="464" t="s">
        <v>2835</v>
      </c>
      <c r="I625" s="464" t="s">
        <v>1684</v>
      </c>
    </row>
    <row r="626" ht="15.95" customHeight="1">
      <c r="A626" s="464" t="s">
        <v>2999</v>
      </c>
      <c r="B626" s="464" t="s">
        <v>3000</v>
      </c>
      <c r="C626" s="464"/>
      <c r="D626" s="464" t="s">
        <v>1679</v>
      </c>
      <c r="E626" s="464" t="s">
        <v>2983</v>
      </c>
      <c r="F626" s="464" t="s">
        <v>2984</v>
      </c>
      <c r="G626" s="464" t="s">
        <v>2834</v>
      </c>
      <c r="H626" s="464" t="s">
        <v>2835</v>
      </c>
      <c r="I626" s="464" t="s">
        <v>1684</v>
      </c>
    </row>
    <row r="627" ht="15.95" customHeight="1">
      <c r="A627" s="464" t="s">
        <v>3001</v>
      </c>
      <c r="B627" s="464" t="s">
        <v>3002</v>
      </c>
      <c r="C627" s="464"/>
      <c r="D627" s="464" t="s">
        <v>1679</v>
      </c>
      <c r="E627" s="464" t="s">
        <v>2983</v>
      </c>
      <c r="F627" s="464" t="s">
        <v>2984</v>
      </c>
      <c r="G627" s="464" t="s">
        <v>2834</v>
      </c>
      <c r="H627" s="464" t="s">
        <v>2835</v>
      </c>
      <c r="I627" s="464" t="s">
        <v>1684</v>
      </c>
    </row>
    <row r="628" ht="15.95" customHeight="1">
      <c r="A628" s="464" t="s">
        <v>3003</v>
      </c>
      <c r="B628" s="464" t="s">
        <v>3004</v>
      </c>
      <c r="C628" s="464"/>
      <c r="D628" s="464" t="s">
        <v>1709</v>
      </c>
      <c r="E628" s="464" t="s">
        <v>3005</v>
      </c>
      <c r="F628" s="464" t="s">
        <v>3006</v>
      </c>
      <c r="G628" s="464" t="s">
        <v>2834</v>
      </c>
      <c r="H628" s="464" t="s">
        <v>2835</v>
      </c>
      <c r="I628" s="464" t="s">
        <v>1684</v>
      </c>
    </row>
    <row r="629" ht="15.95" customHeight="1">
      <c r="A629" s="464" t="s">
        <v>3007</v>
      </c>
      <c r="B629" s="464" t="s">
        <v>3008</v>
      </c>
      <c r="C629" s="464"/>
      <c r="D629" s="464" t="s">
        <v>1709</v>
      </c>
      <c r="E629" s="464" t="s">
        <v>3005</v>
      </c>
      <c r="F629" s="464" t="s">
        <v>3006</v>
      </c>
      <c r="G629" s="464" t="s">
        <v>2834</v>
      </c>
      <c r="H629" s="464" t="s">
        <v>2835</v>
      </c>
      <c r="I629" s="464" t="s">
        <v>1684</v>
      </c>
    </row>
    <row r="630" ht="15.95" customHeight="1">
      <c r="A630" s="464" t="s">
        <v>3009</v>
      </c>
      <c r="B630" s="464" t="s">
        <v>1881</v>
      </c>
      <c r="C630" s="464"/>
      <c r="D630" s="464" t="s">
        <v>1709</v>
      </c>
      <c r="E630" s="464" t="s">
        <v>3005</v>
      </c>
      <c r="F630" s="464" t="s">
        <v>3006</v>
      </c>
      <c r="G630" s="464" t="s">
        <v>2834</v>
      </c>
      <c r="H630" s="464" t="s">
        <v>2835</v>
      </c>
      <c r="I630" s="464" t="s">
        <v>1684</v>
      </c>
    </row>
    <row r="631" ht="15.95" customHeight="1">
      <c r="A631" s="464" t="s">
        <v>3010</v>
      </c>
      <c r="B631" s="464" t="s">
        <v>2004</v>
      </c>
      <c r="C631" s="464"/>
      <c r="D631" s="464" t="s">
        <v>1709</v>
      </c>
      <c r="E631" s="464" t="s">
        <v>3005</v>
      </c>
      <c r="F631" s="464" t="s">
        <v>3006</v>
      </c>
      <c r="G631" s="464" t="s">
        <v>2834</v>
      </c>
      <c r="H631" s="464" t="s">
        <v>2835</v>
      </c>
      <c r="I631" s="464" t="s">
        <v>1684</v>
      </c>
    </row>
    <row r="632" ht="15.95" customHeight="1">
      <c r="A632" s="464" t="s">
        <v>3011</v>
      </c>
      <c r="B632" s="464" t="s">
        <v>2012</v>
      </c>
      <c r="C632" s="464"/>
      <c r="D632" s="464" t="s">
        <v>1709</v>
      </c>
      <c r="E632" s="464" t="s">
        <v>3005</v>
      </c>
      <c r="F632" s="464" t="s">
        <v>3006</v>
      </c>
      <c r="G632" s="464" t="s">
        <v>2834</v>
      </c>
      <c r="H632" s="464" t="s">
        <v>2835</v>
      </c>
      <c r="I632" s="464" t="s">
        <v>1684</v>
      </c>
    </row>
    <row r="633" ht="15.95" customHeight="1">
      <c r="A633" s="464" t="s">
        <v>3012</v>
      </c>
      <c r="B633" s="464" t="s">
        <v>3013</v>
      </c>
      <c r="C633" s="464" t="s">
        <v>3014</v>
      </c>
      <c r="D633" s="464" t="s">
        <v>1709</v>
      </c>
      <c r="E633" s="464" t="s">
        <v>3005</v>
      </c>
      <c r="F633" s="464" t="s">
        <v>3006</v>
      </c>
      <c r="G633" s="464" t="s">
        <v>2834</v>
      </c>
      <c r="H633" s="464" t="s">
        <v>2835</v>
      </c>
      <c r="I633" s="464" t="s">
        <v>1684</v>
      </c>
    </row>
    <row r="634" ht="15.95" customHeight="1">
      <c r="A634" s="464" t="s">
        <v>3015</v>
      </c>
      <c r="B634" s="464" t="s">
        <v>3016</v>
      </c>
      <c r="C634" s="464" t="s">
        <v>3017</v>
      </c>
      <c r="D634" s="464" t="s">
        <v>1709</v>
      </c>
      <c r="E634" s="464" t="s">
        <v>3005</v>
      </c>
      <c r="F634" s="464" t="s">
        <v>3006</v>
      </c>
      <c r="G634" s="464" t="s">
        <v>2834</v>
      </c>
      <c r="H634" s="464" t="s">
        <v>2835</v>
      </c>
      <c r="I634" s="464" t="s">
        <v>1684</v>
      </c>
    </row>
    <row r="635" ht="15.95" customHeight="1">
      <c r="A635" s="464" t="s">
        <v>3018</v>
      </c>
      <c r="B635" s="464" t="s">
        <v>3019</v>
      </c>
      <c r="C635" s="464"/>
      <c r="D635" s="464" t="s">
        <v>1709</v>
      </c>
      <c r="E635" s="464" t="s">
        <v>3005</v>
      </c>
      <c r="F635" s="464" t="s">
        <v>3006</v>
      </c>
      <c r="G635" s="464" t="s">
        <v>2834</v>
      </c>
      <c r="H635" s="464" t="s">
        <v>2835</v>
      </c>
      <c r="I635" s="464" t="s">
        <v>1684</v>
      </c>
    </row>
    <row r="636" ht="15.95" customHeight="1">
      <c r="A636" s="464" t="s">
        <v>3020</v>
      </c>
      <c r="B636" s="464" t="s">
        <v>3021</v>
      </c>
      <c r="C636" s="464"/>
      <c r="D636" s="464" t="s">
        <v>1709</v>
      </c>
      <c r="E636" s="464" t="s">
        <v>3005</v>
      </c>
      <c r="F636" s="464" t="s">
        <v>3006</v>
      </c>
      <c r="G636" s="464" t="s">
        <v>2834</v>
      </c>
      <c r="H636" s="464" t="s">
        <v>2835</v>
      </c>
      <c r="I636" s="464" t="s">
        <v>1684</v>
      </c>
    </row>
    <row r="637" ht="15.95" customHeight="1">
      <c r="A637" s="464" t="s">
        <v>3022</v>
      </c>
      <c r="B637" s="464" t="s">
        <v>3023</v>
      </c>
      <c r="C637" s="464"/>
      <c r="D637" s="464" t="s">
        <v>1709</v>
      </c>
      <c r="E637" s="464" t="s">
        <v>3005</v>
      </c>
      <c r="F637" s="464" t="s">
        <v>3006</v>
      </c>
      <c r="G637" s="464" t="s">
        <v>2834</v>
      </c>
      <c r="H637" s="464" t="s">
        <v>2835</v>
      </c>
      <c r="I637" s="464" t="s">
        <v>1684</v>
      </c>
    </row>
    <row r="638" ht="15.95" customHeight="1">
      <c r="A638" s="464" t="s">
        <v>3024</v>
      </c>
      <c r="B638" s="464" t="s">
        <v>3025</v>
      </c>
      <c r="C638" s="464"/>
      <c r="D638" s="464" t="s">
        <v>1679</v>
      </c>
      <c r="E638" s="464" t="s">
        <v>3026</v>
      </c>
      <c r="F638" s="464" t="s">
        <v>3027</v>
      </c>
      <c r="G638" s="464" t="s">
        <v>3028</v>
      </c>
      <c r="H638" s="464" t="s">
        <v>3029</v>
      </c>
      <c r="I638" s="464" t="s">
        <v>1684</v>
      </c>
    </row>
    <row r="639" ht="15.95" customHeight="1">
      <c r="A639" s="464" t="s">
        <v>3030</v>
      </c>
      <c r="B639" s="464" t="s">
        <v>3031</v>
      </c>
      <c r="C639" s="464"/>
      <c r="D639" s="464" t="s">
        <v>1679</v>
      </c>
      <c r="E639" s="464" t="s">
        <v>3026</v>
      </c>
      <c r="F639" s="464" t="s">
        <v>3027</v>
      </c>
      <c r="G639" s="464" t="s">
        <v>3028</v>
      </c>
      <c r="H639" s="464" t="s">
        <v>3029</v>
      </c>
      <c r="I639" s="464" t="s">
        <v>1684</v>
      </c>
    </row>
    <row r="640" ht="15.95" customHeight="1">
      <c r="A640" s="464" t="s">
        <v>3032</v>
      </c>
      <c r="B640" s="464" t="s">
        <v>3033</v>
      </c>
      <c r="C640" s="464"/>
      <c r="D640" s="464" t="s">
        <v>1679</v>
      </c>
      <c r="E640" s="464" t="s">
        <v>3026</v>
      </c>
      <c r="F640" s="464" t="s">
        <v>3027</v>
      </c>
      <c r="G640" s="464" t="s">
        <v>3028</v>
      </c>
      <c r="H640" s="464" t="s">
        <v>3029</v>
      </c>
      <c r="I640" s="464" t="s">
        <v>1684</v>
      </c>
    </row>
    <row r="641" ht="15.95" customHeight="1">
      <c r="A641" s="464" t="s">
        <v>3034</v>
      </c>
      <c r="B641" s="464" t="s">
        <v>3035</v>
      </c>
      <c r="C641" s="464"/>
      <c r="D641" s="464" t="s">
        <v>1679</v>
      </c>
      <c r="E641" s="464" t="s">
        <v>3026</v>
      </c>
      <c r="F641" s="464" t="s">
        <v>3027</v>
      </c>
      <c r="G641" s="464" t="s">
        <v>3028</v>
      </c>
      <c r="H641" s="464" t="s">
        <v>3029</v>
      </c>
      <c r="I641" s="464" t="s">
        <v>1684</v>
      </c>
    </row>
    <row r="642" ht="15.95" customHeight="1">
      <c r="A642" s="464" t="s">
        <v>3036</v>
      </c>
      <c r="B642" s="464" t="s">
        <v>3037</v>
      </c>
      <c r="C642" s="464"/>
      <c r="D642" s="464" t="s">
        <v>1679</v>
      </c>
      <c r="E642" s="464" t="s">
        <v>3026</v>
      </c>
      <c r="F642" s="464" t="s">
        <v>3027</v>
      </c>
      <c r="G642" s="464" t="s">
        <v>3028</v>
      </c>
      <c r="H642" s="464" t="s">
        <v>3029</v>
      </c>
      <c r="I642" s="464" t="s">
        <v>1684</v>
      </c>
    </row>
    <row r="643" ht="15.95" customHeight="1">
      <c r="A643" s="464" t="s">
        <v>3038</v>
      </c>
      <c r="B643" s="464" t="s">
        <v>2949</v>
      </c>
      <c r="C643" s="464"/>
      <c r="D643" s="464" t="s">
        <v>1679</v>
      </c>
      <c r="E643" s="464" t="s">
        <v>3026</v>
      </c>
      <c r="F643" s="464" t="s">
        <v>3027</v>
      </c>
      <c r="G643" s="464" t="s">
        <v>3028</v>
      </c>
      <c r="H643" s="464" t="s">
        <v>3029</v>
      </c>
      <c r="I643" s="464" t="s">
        <v>1684</v>
      </c>
    </row>
    <row r="644" ht="15.95" customHeight="1">
      <c r="A644" s="464" t="s">
        <v>3039</v>
      </c>
      <c r="B644" s="464" t="s">
        <v>3040</v>
      </c>
      <c r="C644" s="464"/>
      <c r="D644" s="464" t="s">
        <v>1679</v>
      </c>
      <c r="E644" s="464" t="s">
        <v>3026</v>
      </c>
      <c r="F644" s="464" t="s">
        <v>3027</v>
      </c>
      <c r="G644" s="464" t="s">
        <v>3028</v>
      </c>
      <c r="H644" s="464" t="s">
        <v>3029</v>
      </c>
      <c r="I644" s="464" t="s">
        <v>1684</v>
      </c>
    </row>
    <row r="645" ht="15.95" customHeight="1">
      <c r="A645" s="464" t="s">
        <v>3041</v>
      </c>
      <c r="B645" s="464" t="s">
        <v>3042</v>
      </c>
      <c r="C645" s="464"/>
      <c r="D645" s="464" t="s">
        <v>1679</v>
      </c>
      <c r="E645" s="464" t="s">
        <v>3026</v>
      </c>
      <c r="F645" s="464" t="s">
        <v>3027</v>
      </c>
      <c r="G645" s="464" t="s">
        <v>3028</v>
      </c>
      <c r="H645" s="464" t="s">
        <v>3029</v>
      </c>
      <c r="I645" s="464" t="s">
        <v>1684</v>
      </c>
    </row>
    <row r="646" ht="15.95" customHeight="1">
      <c r="A646" s="464" t="s">
        <v>3043</v>
      </c>
      <c r="B646" s="464" t="s">
        <v>3044</v>
      </c>
      <c r="C646" s="464"/>
      <c r="D646" s="464" t="s">
        <v>1679</v>
      </c>
      <c r="E646" s="464" t="s">
        <v>3026</v>
      </c>
      <c r="F646" s="464" t="s">
        <v>3027</v>
      </c>
      <c r="G646" s="464" t="s">
        <v>3028</v>
      </c>
      <c r="H646" s="464" t="s">
        <v>3029</v>
      </c>
      <c r="I646" s="464" t="s">
        <v>1684</v>
      </c>
    </row>
    <row r="647" ht="15.95" customHeight="1">
      <c r="A647" s="464" t="s">
        <v>3045</v>
      </c>
      <c r="B647" s="464" t="s">
        <v>3046</v>
      </c>
      <c r="C647" s="464"/>
      <c r="D647" s="464" t="s">
        <v>1679</v>
      </c>
      <c r="E647" s="464" t="s">
        <v>3026</v>
      </c>
      <c r="F647" s="464" t="s">
        <v>3027</v>
      </c>
      <c r="G647" s="464" t="s">
        <v>3028</v>
      </c>
      <c r="H647" s="464" t="s">
        <v>3029</v>
      </c>
      <c r="I647" s="464" t="s">
        <v>1684</v>
      </c>
    </row>
    <row r="648" ht="15.95" customHeight="1">
      <c r="A648" s="464" t="s">
        <v>3047</v>
      </c>
      <c r="B648" s="464" t="s">
        <v>3048</v>
      </c>
      <c r="C648" s="464"/>
      <c r="D648" s="464" t="s">
        <v>1679</v>
      </c>
      <c r="E648" s="464" t="s">
        <v>3026</v>
      </c>
      <c r="F648" s="464" t="s">
        <v>3027</v>
      </c>
      <c r="G648" s="464" t="s">
        <v>3028</v>
      </c>
      <c r="H648" s="464" t="s">
        <v>3029</v>
      </c>
      <c r="I648" s="464" t="s">
        <v>1684</v>
      </c>
    </row>
    <row r="649" ht="15.95" customHeight="1">
      <c r="A649" s="464" t="s">
        <v>3049</v>
      </c>
      <c r="B649" s="464" t="s">
        <v>3050</v>
      </c>
      <c r="C649" s="464"/>
      <c r="D649" s="464" t="s">
        <v>1679</v>
      </c>
      <c r="E649" s="464" t="s">
        <v>3026</v>
      </c>
      <c r="F649" s="464" t="s">
        <v>3027</v>
      </c>
      <c r="G649" s="464" t="s">
        <v>3028</v>
      </c>
      <c r="H649" s="464" t="s">
        <v>3029</v>
      </c>
      <c r="I649" s="464" t="s">
        <v>1684</v>
      </c>
    </row>
    <row r="650" ht="15.95" customHeight="1">
      <c r="A650" s="464" t="s">
        <v>3051</v>
      </c>
      <c r="B650" s="464" t="s">
        <v>3052</v>
      </c>
      <c r="C650" s="464"/>
      <c r="D650" s="464" t="s">
        <v>1679</v>
      </c>
      <c r="E650" s="464" t="s">
        <v>3026</v>
      </c>
      <c r="F650" s="464" t="s">
        <v>3027</v>
      </c>
      <c r="G650" s="464" t="s">
        <v>3028</v>
      </c>
      <c r="H650" s="464" t="s">
        <v>3029</v>
      </c>
      <c r="I650" s="464" t="s">
        <v>1684</v>
      </c>
    </row>
    <row r="651" ht="15.95" customHeight="1">
      <c r="A651" s="464" t="s">
        <v>3053</v>
      </c>
      <c r="B651" s="464" t="s">
        <v>3054</v>
      </c>
      <c r="C651" s="464"/>
      <c r="D651" s="464" t="s">
        <v>1679</v>
      </c>
      <c r="E651" s="464" t="s">
        <v>3026</v>
      </c>
      <c r="F651" s="464" t="s">
        <v>3027</v>
      </c>
      <c r="G651" s="464" t="s">
        <v>3028</v>
      </c>
      <c r="H651" s="464" t="s">
        <v>3029</v>
      </c>
      <c r="I651" s="464" t="s">
        <v>1684</v>
      </c>
    </row>
    <row r="652" ht="15.95" customHeight="1">
      <c r="A652" s="464" t="s">
        <v>3055</v>
      </c>
      <c r="B652" s="464" t="s">
        <v>3056</v>
      </c>
      <c r="C652" s="464"/>
      <c r="D652" s="464" t="s">
        <v>1679</v>
      </c>
      <c r="E652" s="464" t="s">
        <v>3026</v>
      </c>
      <c r="F652" s="464" t="s">
        <v>3027</v>
      </c>
      <c r="G652" s="464" t="s">
        <v>3028</v>
      </c>
      <c r="H652" s="464" t="s">
        <v>3029</v>
      </c>
      <c r="I652" s="464" t="s">
        <v>1684</v>
      </c>
    </row>
    <row r="653" ht="15.95" customHeight="1">
      <c r="A653" s="464" t="s">
        <v>3057</v>
      </c>
      <c r="B653" s="464" t="s">
        <v>3058</v>
      </c>
      <c r="C653" s="464"/>
      <c r="D653" s="464" t="s">
        <v>1679</v>
      </c>
      <c r="E653" s="464" t="s">
        <v>3026</v>
      </c>
      <c r="F653" s="464" t="s">
        <v>3027</v>
      </c>
      <c r="G653" s="464" t="s">
        <v>3028</v>
      </c>
      <c r="H653" s="464" t="s">
        <v>3029</v>
      </c>
      <c r="I653" s="464" t="s">
        <v>1684</v>
      </c>
    </row>
    <row r="654" ht="15.95" customHeight="1">
      <c r="A654" s="464" t="s">
        <v>3059</v>
      </c>
      <c r="B654" s="464" t="s">
        <v>3060</v>
      </c>
      <c r="C654" s="464"/>
      <c r="D654" s="464" t="s">
        <v>1679</v>
      </c>
      <c r="E654" s="464" t="s">
        <v>3026</v>
      </c>
      <c r="F654" s="464" t="s">
        <v>3027</v>
      </c>
      <c r="G654" s="464" t="s">
        <v>3028</v>
      </c>
      <c r="H654" s="464" t="s">
        <v>3029</v>
      </c>
      <c r="I654" s="464" t="s">
        <v>1684</v>
      </c>
    </row>
    <row r="655" ht="15.95" customHeight="1">
      <c r="A655" s="464" t="s">
        <v>3061</v>
      </c>
      <c r="B655" s="464" t="s">
        <v>3062</v>
      </c>
      <c r="C655" s="464"/>
      <c r="D655" s="464" t="s">
        <v>1679</v>
      </c>
      <c r="E655" s="464" t="s">
        <v>3026</v>
      </c>
      <c r="F655" s="464" t="s">
        <v>3027</v>
      </c>
      <c r="G655" s="464" t="s">
        <v>3028</v>
      </c>
      <c r="H655" s="464" t="s">
        <v>3029</v>
      </c>
      <c r="I655" s="464" t="s">
        <v>1684</v>
      </c>
    </row>
    <row r="656" ht="15.95" customHeight="1">
      <c r="A656" s="464" t="s">
        <v>3063</v>
      </c>
      <c r="B656" s="464" t="s">
        <v>3064</v>
      </c>
      <c r="C656" s="464"/>
      <c r="D656" s="464" t="s">
        <v>1679</v>
      </c>
      <c r="E656" s="464" t="s">
        <v>3026</v>
      </c>
      <c r="F656" s="464" t="s">
        <v>3027</v>
      </c>
      <c r="G656" s="464" t="s">
        <v>3028</v>
      </c>
      <c r="H656" s="464" t="s">
        <v>3029</v>
      </c>
      <c r="I656" s="464" t="s">
        <v>1684</v>
      </c>
    </row>
    <row r="657" ht="15.95" customHeight="1">
      <c r="A657" s="464" t="s">
        <v>3065</v>
      </c>
      <c r="B657" s="464" t="s">
        <v>2980</v>
      </c>
      <c r="C657" s="464"/>
      <c r="D657" s="464" t="s">
        <v>1679</v>
      </c>
      <c r="E657" s="464" t="s">
        <v>3026</v>
      </c>
      <c r="F657" s="464" t="s">
        <v>3027</v>
      </c>
      <c r="G657" s="464" t="s">
        <v>3028</v>
      </c>
      <c r="H657" s="464" t="s">
        <v>3029</v>
      </c>
      <c r="I657" s="464" t="s">
        <v>1684</v>
      </c>
    </row>
    <row r="658" ht="15.95" customHeight="1">
      <c r="A658" s="464" t="s">
        <v>3066</v>
      </c>
      <c r="B658" s="464" t="s">
        <v>3067</v>
      </c>
      <c r="C658" s="464"/>
      <c r="D658" s="464" t="s">
        <v>1679</v>
      </c>
      <c r="E658" s="464" t="s">
        <v>3026</v>
      </c>
      <c r="F658" s="464" t="s">
        <v>3027</v>
      </c>
      <c r="G658" s="464" t="s">
        <v>3028</v>
      </c>
      <c r="H658" s="464" t="s">
        <v>3029</v>
      </c>
      <c r="I658" s="464" t="s">
        <v>1684</v>
      </c>
    </row>
    <row r="659" ht="15.95" customHeight="1">
      <c r="A659" s="464" t="s">
        <v>3068</v>
      </c>
      <c r="B659" s="464" t="s">
        <v>3069</v>
      </c>
      <c r="C659" s="464"/>
      <c r="D659" s="464" t="s">
        <v>1679</v>
      </c>
      <c r="E659" s="464" t="s">
        <v>3026</v>
      </c>
      <c r="F659" s="464" t="s">
        <v>3027</v>
      </c>
      <c r="G659" s="464" t="s">
        <v>3028</v>
      </c>
      <c r="H659" s="464" t="s">
        <v>3029</v>
      </c>
      <c r="I659" s="464" t="s">
        <v>1684</v>
      </c>
    </row>
    <row r="660" ht="15.95" customHeight="1">
      <c r="A660" s="464" t="s">
        <v>3070</v>
      </c>
      <c r="B660" s="464" t="s">
        <v>3071</v>
      </c>
      <c r="C660" s="464"/>
      <c r="D660" s="464" t="s">
        <v>1679</v>
      </c>
      <c r="E660" s="464" t="s">
        <v>3026</v>
      </c>
      <c r="F660" s="464" t="s">
        <v>3027</v>
      </c>
      <c r="G660" s="464" t="s">
        <v>3028</v>
      </c>
      <c r="H660" s="464" t="s">
        <v>3029</v>
      </c>
      <c r="I660" s="464" t="s">
        <v>1684</v>
      </c>
    </row>
    <row r="661" ht="15.95" customHeight="1">
      <c r="A661" s="464" t="s">
        <v>3072</v>
      </c>
      <c r="B661" s="464" t="s">
        <v>3073</v>
      </c>
      <c r="C661" s="464"/>
      <c r="D661" s="464" t="s">
        <v>1709</v>
      </c>
      <c r="E661" s="464" t="s">
        <v>3026</v>
      </c>
      <c r="F661" s="464" t="s">
        <v>3027</v>
      </c>
      <c r="G661" s="464" t="s">
        <v>3028</v>
      </c>
      <c r="H661" s="464" t="s">
        <v>3029</v>
      </c>
      <c r="I661" s="464" t="s">
        <v>1684</v>
      </c>
    </row>
    <row r="662" ht="15.95" customHeight="1">
      <c r="A662" s="464" t="s">
        <v>3074</v>
      </c>
      <c r="B662" s="464" t="s">
        <v>3075</v>
      </c>
      <c r="C662" s="464"/>
      <c r="D662" s="464" t="s">
        <v>1709</v>
      </c>
      <c r="E662" s="464" t="s">
        <v>3026</v>
      </c>
      <c r="F662" s="464" t="s">
        <v>3027</v>
      </c>
      <c r="G662" s="464" t="s">
        <v>3028</v>
      </c>
      <c r="H662" s="464" t="s">
        <v>3029</v>
      </c>
      <c r="I662" s="464" t="s">
        <v>1684</v>
      </c>
    </row>
    <row r="663" ht="15.95" customHeight="1">
      <c r="A663" s="464" t="s">
        <v>3076</v>
      </c>
      <c r="B663" s="464" t="s">
        <v>3077</v>
      </c>
      <c r="C663" s="464"/>
      <c r="D663" s="464" t="s">
        <v>1709</v>
      </c>
      <c r="E663" s="464" t="s">
        <v>3026</v>
      </c>
      <c r="F663" s="464" t="s">
        <v>3027</v>
      </c>
      <c r="G663" s="464" t="s">
        <v>3028</v>
      </c>
      <c r="H663" s="464" t="s">
        <v>3029</v>
      </c>
      <c r="I663" s="464" t="s">
        <v>1684</v>
      </c>
    </row>
    <row r="664" ht="15.95" customHeight="1">
      <c r="A664" s="464" t="s">
        <v>3078</v>
      </c>
      <c r="B664" s="464" t="s">
        <v>2827</v>
      </c>
      <c r="C664" s="464"/>
      <c r="D664" s="464" t="s">
        <v>1709</v>
      </c>
      <c r="E664" s="464" t="s">
        <v>3026</v>
      </c>
      <c r="F664" s="464" t="s">
        <v>3027</v>
      </c>
      <c r="G664" s="464" t="s">
        <v>3028</v>
      </c>
      <c r="H664" s="464" t="s">
        <v>3029</v>
      </c>
      <c r="I664" s="464" t="s">
        <v>1684</v>
      </c>
    </row>
    <row r="665" ht="15.95" customHeight="1">
      <c r="A665" s="464" t="s">
        <v>3079</v>
      </c>
      <c r="B665" s="464" t="s">
        <v>3080</v>
      </c>
      <c r="C665" s="464"/>
      <c r="D665" s="464" t="s">
        <v>1709</v>
      </c>
      <c r="E665" s="464" t="s">
        <v>3026</v>
      </c>
      <c r="F665" s="464" t="s">
        <v>3027</v>
      </c>
      <c r="G665" s="464" t="s">
        <v>3028</v>
      </c>
      <c r="H665" s="464" t="s">
        <v>3029</v>
      </c>
      <c r="I665" s="464" t="s">
        <v>1684</v>
      </c>
    </row>
    <row r="666" ht="15.95" customHeight="1">
      <c r="A666" s="464" t="s">
        <v>3081</v>
      </c>
      <c r="B666" s="464" t="s">
        <v>1723</v>
      </c>
      <c r="C666" s="464"/>
      <c r="D666" s="464" t="s">
        <v>1709</v>
      </c>
      <c r="E666" s="464" t="s">
        <v>3026</v>
      </c>
      <c r="F666" s="464" t="s">
        <v>3027</v>
      </c>
      <c r="G666" s="464" t="s">
        <v>3028</v>
      </c>
      <c r="H666" s="464" t="s">
        <v>3029</v>
      </c>
      <c r="I666" s="464" t="s">
        <v>1684</v>
      </c>
    </row>
    <row r="667" ht="15.95" customHeight="1">
      <c r="A667" s="464" t="s">
        <v>3082</v>
      </c>
      <c r="B667" s="464" t="s">
        <v>2629</v>
      </c>
      <c r="C667" s="464"/>
      <c r="D667" s="464" t="s">
        <v>1709</v>
      </c>
      <c r="E667" s="464" t="s">
        <v>3026</v>
      </c>
      <c r="F667" s="464" t="s">
        <v>3027</v>
      </c>
      <c r="G667" s="464" t="s">
        <v>3028</v>
      </c>
      <c r="H667" s="464" t="s">
        <v>3029</v>
      </c>
      <c r="I667" s="464" t="s">
        <v>1684</v>
      </c>
    </row>
    <row r="668" ht="15.95" customHeight="1">
      <c r="A668" s="464" t="s">
        <v>3083</v>
      </c>
      <c r="B668" s="464" t="s">
        <v>3084</v>
      </c>
      <c r="C668" s="464"/>
      <c r="D668" s="464" t="s">
        <v>1679</v>
      </c>
      <c r="E668" s="464" t="s">
        <v>3085</v>
      </c>
      <c r="F668" s="464" t="s">
        <v>3086</v>
      </c>
      <c r="G668" s="464" t="s">
        <v>3028</v>
      </c>
      <c r="H668" s="464" t="s">
        <v>3029</v>
      </c>
      <c r="I668" s="464" t="s">
        <v>1684</v>
      </c>
    </row>
    <row r="669" ht="15.95" customHeight="1">
      <c r="A669" s="464" t="s">
        <v>3087</v>
      </c>
      <c r="B669" s="464" t="s">
        <v>3088</v>
      </c>
      <c r="C669" s="464"/>
      <c r="D669" s="464" t="s">
        <v>1679</v>
      </c>
      <c r="E669" s="464" t="s">
        <v>3085</v>
      </c>
      <c r="F669" s="464" t="s">
        <v>3086</v>
      </c>
      <c r="G669" s="464" t="s">
        <v>3028</v>
      </c>
      <c r="H669" s="464" t="s">
        <v>3029</v>
      </c>
      <c r="I669" s="464" t="s">
        <v>1684</v>
      </c>
    </row>
    <row r="670" ht="15.95" customHeight="1">
      <c r="A670" s="464" t="s">
        <v>3089</v>
      </c>
      <c r="B670" s="464" t="s">
        <v>3090</v>
      </c>
      <c r="C670" s="464"/>
      <c r="D670" s="464" t="s">
        <v>1679</v>
      </c>
      <c r="E670" s="464" t="s">
        <v>3085</v>
      </c>
      <c r="F670" s="464" t="s">
        <v>3086</v>
      </c>
      <c r="G670" s="464" t="s">
        <v>3028</v>
      </c>
      <c r="H670" s="464" t="s">
        <v>3029</v>
      </c>
      <c r="I670" s="464" t="s">
        <v>1684</v>
      </c>
    </row>
    <row r="671" ht="15.95" customHeight="1">
      <c r="A671" s="464" t="s">
        <v>3091</v>
      </c>
      <c r="B671" s="464" t="s">
        <v>1842</v>
      </c>
      <c r="C671" s="464"/>
      <c r="D671" s="464" t="s">
        <v>1679</v>
      </c>
      <c r="E671" s="464" t="s">
        <v>3085</v>
      </c>
      <c r="F671" s="464" t="s">
        <v>3086</v>
      </c>
      <c r="G671" s="464" t="s">
        <v>3028</v>
      </c>
      <c r="H671" s="464" t="s">
        <v>3029</v>
      </c>
      <c r="I671" s="464" t="s">
        <v>1684</v>
      </c>
    </row>
    <row r="672" ht="15.95" customHeight="1">
      <c r="A672" s="464" t="s">
        <v>3092</v>
      </c>
      <c r="B672" s="464" t="s">
        <v>3093</v>
      </c>
      <c r="C672" s="464"/>
      <c r="D672" s="464" t="s">
        <v>1679</v>
      </c>
      <c r="E672" s="464" t="s">
        <v>3085</v>
      </c>
      <c r="F672" s="464" t="s">
        <v>3086</v>
      </c>
      <c r="G672" s="464" t="s">
        <v>3028</v>
      </c>
      <c r="H672" s="464" t="s">
        <v>3029</v>
      </c>
      <c r="I672" s="464" t="s">
        <v>1684</v>
      </c>
    </row>
    <row r="673" ht="15.95" customHeight="1">
      <c r="A673" s="464" t="s">
        <v>3094</v>
      </c>
      <c r="B673" s="464" t="s">
        <v>3095</v>
      </c>
      <c r="C673" s="464"/>
      <c r="D673" s="464" t="s">
        <v>1679</v>
      </c>
      <c r="E673" s="464" t="s">
        <v>3085</v>
      </c>
      <c r="F673" s="464" t="s">
        <v>3086</v>
      </c>
      <c r="G673" s="464" t="s">
        <v>3028</v>
      </c>
      <c r="H673" s="464" t="s">
        <v>3029</v>
      </c>
      <c r="I673" s="464" t="s">
        <v>1684</v>
      </c>
    </row>
    <row r="674" ht="15.95" customHeight="1">
      <c r="A674" s="464" t="s">
        <v>3096</v>
      </c>
      <c r="B674" s="464" t="s">
        <v>3097</v>
      </c>
      <c r="C674" s="464"/>
      <c r="D674" s="464" t="s">
        <v>1709</v>
      </c>
      <c r="E674" s="464" t="s">
        <v>3085</v>
      </c>
      <c r="F674" s="464" t="s">
        <v>3086</v>
      </c>
      <c r="G674" s="464" t="s">
        <v>3028</v>
      </c>
      <c r="H674" s="464" t="s">
        <v>3029</v>
      </c>
      <c r="I674" s="464" t="s">
        <v>1684</v>
      </c>
    </row>
    <row r="675" ht="15.95" customHeight="1">
      <c r="A675" s="464" t="s">
        <v>3098</v>
      </c>
      <c r="B675" s="464" t="s">
        <v>3099</v>
      </c>
      <c r="C675" s="464"/>
      <c r="D675" s="464" t="s">
        <v>1709</v>
      </c>
      <c r="E675" s="464" t="s">
        <v>3085</v>
      </c>
      <c r="F675" s="464" t="s">
        <v>3086</v>
      </c>
      <c r="G675" s="464" t="s">
        <v>3028</v>
      </c>
      <c r="H675" s="464" t="s">
        <v>3029</v>
      </c>
      <c r="I675" s="464" t="s">
        <v>1684</v>
      </c>
    </row>
    <row r="676" ht="15.95" customHeight="1">
      <c r="A676" s="464" t="s">
        <v>3100</v>
      </c>
      <c r="B676" s="464" t="s">
        <v>3101</v>
      </c>
      <c r="C676" s="464"/>
      <c r="D676" s="464" t="s">
        <v>1709</v>
      </c>
      <c r="E676" s="464" t="s">
        <v>3085</v>
      </c>
      <c r="F676" s="464" t="s">
        <v>3086</v>
      </c>
      <c r="G676" s="464" t="s">
        <v>3028</v>
      </c>
      <c r="H676" s="464" t="s">
        <v>3029</v>
      </c>
      <c r="I676" s="464" t="s">
        <v>1684</v>
      </c>
    </row>
    <row r="677" ht="15.95" customHeight="1">
      <c r="A677" s="464" t="s">
        <v>3102</v>
      </c>
      <c r="B677" s="464" t="s">
        <v>3103</v>
      </c>
      <c r="C677" s="464"/>
      <c r="D677" s="464" t="s">
        <v>1709</v>
      </c>
      <c r="E677" s="464" t="s">
        <v>3085</v>
      </c>
      <c r="F677" s="464" t="s">
        <v>3086</v>
      </c>
      <c r="G677" s="464" t="s">
        <v>3028</v>
      </c>
      <c r="H677" s="464" t="s">
        <v>3029</v>
      </c>
      <c r="I677" s="464" t="s">
        <v>1684</v>
      </c>
    </row>
    <row r="678" ht="15.95" customHeight="1">
      <c r="A678" s="464" t="s">
        <v>3104</v>
      </c>
      <c r="B678" s="464" t="s">
        <v>3105</v>
      </c>
      <c r="C678" s="464"/>
      <c r="D678" s="464" t="s">
        <v>1709</v>
      </c>
      <c r="E678" s="464" t="s">
        <v>3085</v>
      </c>
      <c r="F678" s="464" t="s">
        <v>3086</v>
      </c>
      <c r="G678" s="464" t="s">
        <v>3028</v>
      </c>
      <c r="H678" s="464" t="s">
        <v>3029</v>
      </c>
      <c r="I678" s="464" t="s">
        <v>1684</v>
      </c>
    </row>
    <row r="679" ht="15.95" customHeight="1">
      <c r="A679" s="464" t="s">
        <v>3106</v>
      </c>
      <c r="B679" s="464" t="s">
        <v>3107</v>
      </c>
      <c r="C679" s="464"/>
      <c r="D679" s="464" t="s">
        <v>1709</v>
      </c>
      <c r="E679" s="464" t="s">
        <v>3085</v>
      </c>
      <c r="F679" s="464" t="s">
        <v>3086</v>
      </c>
      <c r="G679" s="464" t="s">
        <v>3028</v>
      </c>
      <c r="H679" s="464" t="s">
        <v>3029</v>
      </c>
      <c r="I679" s="464" t="s">
        <v>1684</v>
      </c>
    </row>
    <row r="680" ht="15.95" customHeight="1">
      <c r="A680" s="464" t="s">
        <v>3108</v>
      </c>
      <c r="B680" s="464" t="s">
        <v>3109</v>
      </c>
      <c r="C680" s="464"/>
      <c r="D680" s="464" t="s">
        <v>1709</v>
      </c>
      <c r="E680" s="464" t="s">
        <v>3085</v>
      </c>
      <c r="F680" s="464" t="s">
        <v>3086</v>
      </c>
      <c r="G680" s="464" t="s">
        <v>3028</v>
      </c>
      <c r="H680" s="464" t="s">
        <v>3029</v>
      </c>
      <c r="I680" s="464" t="s">
        <v>1684</v>
      </c>
    </row>
    <row r="681" ht="15.95" customHeight="1">
      <c r="A681" s="464" t="s">
        <v>3110</v>
      </c>
      <c r="B681" s="464" t="s">
        <v>3111</v>
      </c>
      <c r="C681" s="464"/>
      <c r="D681" s="464" t="s">
        <v>1709</v>
      </c>
      <c r="E681" s="464" t="s">
        <v>3085</v>
      </c>
      <c r="F681" s="464" t="s">
        <v>3086</v>
      </c>
      <c r="G681" s="464" t="s">
        <v>3028</v>
      </c>
      <c r="H681" s="464" t="s">
        <v>3029</v>
      </c>
      <c r="I681" s="464" t="s">
        <v>1684</v>
      </c>
    </row>
    <row r="682" ht="15.95" customHeight="1">
      <c r="A682" s="464" t="s">
        <v>3112</v>
      </c>
      <c r="B682" s="464" t="s">
        <v>3113</v>
      </c>
      <c r="C682" s="464"/>
      <c r="D682" s="464" t="s">
        <v>1709</v>
      </c>
      <c r="E682" s="464" t="s">
        <v>3085</v>
      </c>
      <c r="F682" s="464" t="s">
        <v>3086</v>
      </c>
      <c r="G682" s="464" t="s">
        <v>3028</v>
      </c>
      <c r="H682" s="464" t="s">
        <v>3029</v>
      </c>
      <c r="I682" s="464" t="s">
        <v>1684</v>
      </c>
    </row>
    <row r="683" ht="15.95" customHeight="1">
      <c r="A683" s="464" t="s">
        <v>3114</v>
      </c>
      <c r="B683" s="464" t="s">
        <v>2551</v>
      </c>
      <c r="C683" s="464"/>
      <c r="D683" s="464" t="s">
        <v>1738</v>
      </c>
      <c r="E683" s="464" t="s">
        <v>3115</v>
      </c>
      <c r="F683" s="464" t="s">
        <v>3116</v>
      </c>
      <c r="G683" s="464" t="s">
        <v>3028</v>
      </c>
      <c r="H683" s="464" t="s">
        <v>3029</v>
      </c>
      <c r="I683" s="464" t="s">
        <v>1684</v>
      </c>
    </row>
    <row r="684" ht="15.95" customHeight="1">
      <c r="A684" s="464" t="s">
        <v>3117</v>
      </c>
      <c r="B684" s="464" t="s">
        <v>3118</v>
      </c>
      <c r="C684" s="464"/>
      <c r="D684" s="464" t="s">
        <v>1709</v>
      </c>
      <c r="E684" s="464" t="s">
        <v>3115</v>
      </c>
      <c r="F684" s="464" t="s">
        <v>3116</v>
      </c>
      <c r="G684" s="464" t="s">
        <v>3028</v>
      </c>
      <c r="H684" s="464" t="s">
        <v>3029</v>
      </c>
      <c r="I684" s="464" t="s">
        <v>1684</v>
      </c>
    </row>
    <row r="685" ht="15.95" customHeight="1">
      <c r="A685" s="464" t="s">
        <v>3119</v>
      </c>
      <c r="B685" s="464" t="s">
        <v>3120</v>
      </c>
      <c r="C685" s="464"/>
      <c r="D685" s="464" t="s">
        <v>1709</v>
      </c>
      <c r="E685" s="464" t="s">
        <v>3115</v>
      </c>
      <c r="F685" s="464" t="s">
        <v>3116</v>
      </c>
      <c r="G685" s="464" t="s">
        <v>3028</v>
      </c>
      <c r="H685" s="464" t="s">
        <v>3029</v>
      </c>
      <c r="I685" s="464" t="s">
        <v>1684</v>
      </c>
    </row>
    <row r="686" ht="15.95" customHeight="1">
      <c r="A686" s="464" t="s">
        <v>3121</v>
      </c>
      <c r="B686" s="464" t="s">
        <v>2916</v>
      </c>
      <c r="C686" s="464"/>
      <c r="D686" s="464" t="s">
        <v>1709</v>
      </c>
      <c r="E686" s="464" t="s">
        <v>3115</v>
      </c>
      <c r="F686" s="464" t="s">
        <v>3116</v>
      </c>
      <c r="G686" s="464" t="s">
        <v>3028</v>
      </c>
      <c r="H686" s="464" t="s">
        <v>3029</v>
      </c>
      <c r="I686" s="464" t="s">
        <v>1684</v>
      </c>
    </row>
    <row r="687" ht="15.95" customHeight="1">
      <c r="A687" s="464" t="s">
        <v>3122</v>
      </c>
      <c r="B687" s="464" t="s">
        <v>3123</v>
      </c>
      <c r="C687" s="464"/>
      <c r="D687" s="464" t="s">
        <v>1709</v>
      </c>
      <c r="E687" s="464" t="s">
        <v>3115</v>
      </c>
      <c r="F687" s="464" t="s">
        <v>3116</v>
      </c>
      <c r="G687" s="464" t="s">
        <v>3028</v>
      </c>
      <c r="H687" s="464" t="s">
        <v>3029</v>
      </c>
      <c r="I687" s="464" t="s">
        <v>1684</v>
      </c>
    </row>
    <row r="688" ht="15.95" customHeight="1">
      <c r="A688" s="464" t="s">
        <v>3124</v>
      </c>
      <c r="B688" s="464" t="s">
        <v>3125</v>
      </c>
      <c r="C688" s="464"/>
      <c r="D688" s="464" t="s">
        <v>1709</v>
      </c>
      <c r="E688" s="464" t="s">
        <v>3115</v>
      </c>
      <c r="F688" s="464" t="s">
        <v>3116</v>
      </c>
      <c r="G688" s="464" t="s">
        <v>3028</v>
      </c>
      <c r="H688" s="464" t="s">
        <v>3029</v>
      </c>
      <c r="I688" s="464" t="s">
        <v>1684</v>
      </c>
    </row>
    <row r="689" ht="15.95" customHeight="1">
      <c r="A689" s="464" t="s">
        <v>3126</v>
      </c>
      <c r="B689" s="464" t="s">
        <v>3127</v>
      </c>
      <c r="C689" s="464"/>
      <c r="D689" s="464" t="s">
        <v>1709</v>
      </c>
      <c r="E689" s="464" t="s">
        <v>3115</v>
      </c>
      <c r="F689" s="464" t="s">
        <v>3116</v>
      </c>
      <c r="G689" s="464" t="s">
        <v>3028</v>
      </c>
      <c r="H689" s="464" t="s">
        <v>3029</v>
      </c>
      <c r="I689" s="464" t="s">
        <v>1684</v>
      </c>
    </row>
    <row r="690" ht="15.95" customHeight="1">
      <c r="A690" s="464" t="s">
        <v>3128</v>
      </c>
      <c r="B690" s="464" t="s">
        <v>2191</v>
      </c>
      <c r="C690" s="464"/>
      <c r="D690" s="464" t="s">
        <v>1709</v>
      </c>
      <c r="E690" s="464" t="s">
        <v>3115</v>
      </c>
      <c r="F690" s="464" t="s">
        <v>3116</v>
      </c>
      <c r="G690" s="464" t="s">
        <v>3028</v>
      </c>
      <c r="H690" s="464" t="s">
        <v>3029</v>
      </c>
      <c r="I690" s="464" t="s">
        <v>1684</v>
      </c>
    </row>
    <row r="691" ht="15.95" customHeight="1">
      <c r="A691" s="464" t="s">
        <v>3129</v>
      </c>
      <c r="B691" s="464" t="s">
        <v>3130</v>
      </c>
      <c r="C691" s="464"/>
      <c r="D691" s="464" t="s">
        <v>1709</v>
      </c>
      <c r="E691" s="464" t="s">
        <v>3115</v>
      </c>
      <c r="F691" s="464" t="s">
        <v>3116</v>
      </c>
      <c r="G691" s="464" t="s">
        <v>3028</v>
      </c>
      <c r="H691" s="464" t="s">
        <v>3029</v>
      </c>
      <c r="I691" s="464" t="s">
        <v>1684</v>
      </c>
    </row>
    <row r="692" ht="15.95" customHeight="1">
      <c r="A692" s="464" t="s">
        <v>3131</v>
      </c>
      <c r="B692" s="464" t="s">
        <v>3132</v>
      </c>
      <c r="C692" s="464"/>
      <c r="D692" s="464" t="s">
        <v>1709</v>
      </c>
      <c r="E692" s="464" t="s">
        <v>3115</v>
      </c>
      <c r="F692" s="464" t="s">
        <v>3116</v>
      </c>
      <c r="G692" s="464" t="s">
        <v>3028</v>
      </c>
      <c r="H692" s="464" t="s">
        <v>3029</v>
      </c>
      <c r="I692" s="464" t="s">
        <v>1684</v>
      </c>
    </row>
    <row r="693" ht="15.95" customHeight="1">
      <c r="A693" s="464" t="s">
        <v>3133</v>
      </c>
      <c r="B693" s="464" t="s">
        <v>2638</v>
      </c>
      <c r="C693" s="464"/>
      <c r="D693" s="464" t="s">
        <v>1709</v>
      </c>
      <c r="E693" s="464" t="s">
        <v>3115</v>
      </c>
      <c r="F693" s="464" t="s">
        <v>3116</v>
      </c>
      <c r="G693" s="464" t="s">
        <v>3028</v>
      </c>
      <c r="H693" s="464" t="s">
        <v>3029</v>
      </c>
      <c r="I693" s="464" t="s">
        <v>1684</v>
      </c>
    </row>
    <row r="694" ht="15.95" customHeight="1">
      <c r="A694" s="464" t="s">
        <v>3134</v>
      </c>
      <c r="B694" s="464" t="s">
        <v>3135</v>
      </c>
      <c r="C694" s="464"/>
      <c r="D694" s="464" t="s">
        <v>1709</v>
      </c>
      <c r="E694" s="464" t="s">
        <v>3115</v>
      </c>
      <c r="F694" s="464" t="s">
        <v>3116</v>
      </c>
      <c r="G694" s="464" t="s">
        <v>3028</v>
      </c>
      <c r="H694" s="464" t="s">
        <v>3029</v>
      </c>
      <c r="I694" s="464" t="s">
        <v>1684</v>
      </c>
    </row>
    <row r="695" ht="15.95" customHeight="1">
      <c r="A695" s="464" t="s">
        <v>3136</v>
      </c>
      <c r="B695" s="464" t="s">
        <v>3137</v>
      </c>
      <c r="C695" s="464"/>
      <c r="D695" s="464" t="s">
        <v>1709</v>
      </c>
      <c r="E695" s="464" t="s">
        <v>3115</v>
      </c>
      <c r="F695" s="464" t="s">
        <v>3116</v>
      </c>
      <c r="G695" s="464" t="s">
        <v>3028</v>
      </c>
      <c r="H695" s="464" t="s">
        <v>3029</v>
      </c>
      <c r="I695" s="464" t="s">
        <v>1684</v>
      </c>
    </row>
    <row r="696" ht="15.95" customHeight="1">
      <c r="A696" s="464" t="s">
        <v>3138</v>
      </c>
      <c r="B696" s="464" t="s">
        <v>3139</v>
      </c>
      <c r="C696" s="464"/>
      <c r="D696" s="464" t="s">
        <v>1709</v>
      </c>
      <c r="E696" s="464" t="s">
        <v>3115</v>
      </c>
      <c r="F696" s="464" t="s">
        <v>3116</v>
      </c>
      <c r="G696" s="464" t="s">
        <v>3028</v>
      </c>
      <c r="H696" s="464" t="s">
        <v>3029</v>
      </c>
      <c r="I696" s="464" t="s">
        <v>1684</v>
      </c>
    </row>
    <row r="697" ht="15.95" customHeight="1">
      <c r="A697" s="464" t="s">
        <v>3140</v>
      </c>
      <c r="B697" s="464" t="s">
        <v>3141</v>
      </c>
      <c r="C697" s="464"/>
      <c r="D697" s="464" t="s">
        <v>1709</v>
      </c>
      <c r="E697" s="464" t="s">
        <v>3115</v>
      </c>
      <c r="F697" s="464" t="s">
        <v>3116</v>
      </c>
      <c r="G697" s="464" t="s">
        <v>3028</v>
      </c>
      <c r="H697" s="464" t="s">
        <v>3029</v>
      </c>
      <c r="I697" s="464" t="s">
        <v>1684</v>
      </c>
    </row>
    <row r="698" ht="15.95" customHeight="1">
      <c r="A698" s="464" t="s">
        <v>3142</v>
      </c>
      <c r="B698" s="464" t="s">
        <v>3143</v>
      </c>
      <c r="C698" s="464"/>
      <c r="D698" s="464" t="s">
        <v>1709</v>
      </c>
      <c r="E698" s="464" t="s">
        <v>3115</v>
      </c>
      <c r="F698" s="464" t="s">
        <v>3116</v>
      </c>
      <c r="G698" s="464" t="s">
        <v>3028</v>
      </c>
      <c r="H698" s="464" t="s">
        <v>3029</v>
      </c>
      <c r="I698" s="464" t="s">
        <v>1684</v>
      </c>
    </row>
    <row r="699" ht="15.95" customHeight="1">
      <c r="A699" s="464" t="s">
        <v>3144</v>
      </c>
      <c r="B699" s="464" t="s">
        <v>3145</v>
      </c>
      <c r="C699" s="464"/>
      <c r="D699" s="464" t="s">
        <v>1709</v>
      </c>
      <c r="E699" s="464" t="s">
        <v>3115</v>
      </c>
      <c r="F699" s="464" t="s">
        <v>3116</v>
      </c>
      <c r="G699" s="464" t="s">
        <v>3028</v>
      </c>
      <c r="H699" s="464" t="s">
        <v>3029</v>
      </c>
      <c r="I699" s="464" t="s">
        <v>1684</v>
      </c>
    </row>
    <row r="700" ht="15.95" customHeight="1">
      <c r="A700" s="464" t="s">
        <v>3146</v>
      </c>
      <c r="B700" s="464" t="s">
        <v>3147</v>
      </c>
      <c r="C700" s="464"/>
      <c r="D700" s="464" t="s">
        <v>1709</v>
      </c>
      <c r="E700" s="464" t="s">
        <v>3115</v>
      </c>
      <c r="F700" s="464" t="s">
        <v>3116</v>
      </c>
      <c r="G700" s="464" t="s">
        <v>3028</v>
      </c>
      <c r="H700" s="464" t="s">
        <v>3029</v>
      </c>
      <c r="I700" s="464" t="s">
        <v>1684</v>
      </c>
    </row>
    <row r="701" ht="15.95" customHeight="1">
      <c r="A701" s="464" t="s">
        <v>3148</v>
      </c>
      <c r="B701" s="464" t="s">
        <v>3149</v>
      </c>
      <c r="C701" s="464"/>
      <c r="D701" s="464" t="s">
        <v>1738</v>
      </c>
      <c r="E701" s="464" t="s">
        <v>3150</v>
      </c>
      <c r="F701" s="464" t="s">
        <v>3151</v>
      </c>
      <c r="G701" s="464" t="s">
        <v>3028</v>
      </c>
      <c r="H701" s="464" t="s">
        <v>3029</v>
      </c>
      <c r="I701" s="464" t="s">
        <v>1684</v>
      </c>
    </row>
    <row r="702" ht="15.95" customHeight="1">
      <c r="A702" s="464" t="s">
        <v>3152</v>
      </c>
      <c r="B702" s="464" t="s">
        <v>3153</v>
      </c>
      <c r="C702" s="464"/>
      <c r="D702" s="464" t="s">
        <v>1709</v>
      </c>
      <c r="E702" s="464" t="s">
        <v>3150</v>
      </c>
      <c r="F702" s="464" t="s">
        <v>3151</v>
      </c>
      <c r="G702" s="464" t="s">
        <v>3028</v>
      </c>
      <c r="H702" s="464" t="s">
        <v>3029</v>
      </c>
      <c r="I702" s="464" t="s">
        <v>1684</v>
      </c>
    </row>
    <row r="703" ht="15.95" customHeight="1">
      <c r="A703" s="464" t="s">
        <v>3154</v>
      </c>
      <c r="B703" s="464" t="s">
        <v>3155</v>
      </c>
      <c r="C703" s="464"/>
      <c r="D703" s="464" t="s">
        <v>1709</v>
      </c>
      <c r="E703" s="464" t="s">
        <v>3150</v>
      </c>
      <c r="F703" s="464" t="s">
        <v>3151</v>
      </c>
      <c r="G703" s="464" t="s">
        <v>3028</v>
      </c>
      <c r="H703" s="464" t="s">
        <v>3029</v>
      </c>
      <c r="I703" s="464" t="s">
        <v>1684</v>
      </c>
    </row>
    <row r="704" ht="15.95" customHeight="1">
      <c r="A704" s="464" t="s">
        <v>3156</v>
      </c>
      <c r="B704" s="464" t="s">
        <v>3157</v>
      </c>
      <c r="C704" s="464"/>
      <c r="D704" s="464" t="s">
        <v>1709</v>
      </c>
      <c r="E704" s="464" t="s">
        <v>3150</v>
      </c>
      <c r="F704" s="464" t="s">
        <v>3151</v>
      </c>
      <c r="G704" s="464" t="s">
        <v>3028</v>
      </c>
      <c r="H704" s="464" t="s">
        <v>3029</v>
      </c>
      <c r="I704" s="464" t="s">
        <v>1684</v>
      </c>
    </row>
    <row r="705" ht="15.95" customHeight="1">
      <c r="A705" s="464" t="s">
        <v>3158</v>
      </c>
      <c r="B705" s="464" t="s">
        <v>1898</v>
      </c>
      <c r="C705" s="464"/>
      <c r="D705" s="464" t="s">
        <v>1709</v>
      </c>
      <c r="E705" s="464" t="s">
        <v>3150</v>
      </c>
      <c r="F705" s="464" t="s">
        <v>3151</v>
      </c>
      <c r="G705" s="464" t="s">
        <v>3028</v>
      </c>
      <c r="H705" s="464" t="s">
        <v>3029</v>
      </c>
      <c r="I705" s="464" t="s">
        <v>1684</v>
      </c>
    </row>
    <row r="706" ht="15.95" customHeight="1">
      <c r="A706" s="464" t="s">
        <v>3159</v>
      </c>
      <c r="B706" s="464" t="s">
        <v>3160</v>
      </c>
      <c r="C706" s="464"/>
      <c r="D706" s="464" t="s">
        <v>1709</v>
      </c>
      <c r="E706" s="464" t="s">
        <v>3150</v>
      </c>
      <c r="F706" s="464" t="s">
        <v>3151</v>
      </c>
      <c r="G706" s="464" t="s">
        <v>3028</v>
      </c>
      <c r="H706" s="464" t="s">
        <v>3029</v>
      </c>
      <c r="I706" s="464" t="s">
        <v>1684</v>
      </c>
    </row>
    <row r="707" ht="15.95" customHeight="1">
      <c r="A707" s="464" t="s">
        <v>3161</v>
      </c>
      <c r="B707" s="464" t="s">
        <v>3162</v>
      </c>
      <c r="C707" s="464"/>
      <c r="D707" s="464" t="s">
        <v>1709</v>
      </c>
      <c r="E707" s="464" t="s">
        <v>3150</v>
      </c>
      <c r="F707" s="464" t="s">
        <v>3151</v>
      </c>
      <c r="G707" s="464" t="s">
        <v>3028</v>
      </c>
      <c r="H707" s="464" t="s">
        <v>3029</v>
      </c>
      <c r="I707" s="464" t="s">
        <v>1684</v>
      </c>
    </row>
    <row r="708" ht="15.95" customHeight="1">
      <c r="A708" s="464" t="s">
        <v>3163</v>
      </c>
      <c r="B708" s="464" t="s">
        <v>3164</v>
      </c>
      <c r="C708" s="464"/>
      <c r="D708" s="464" t="s">
        <v>1709</v>
      </c>
      <c r="E708" s="464" t="s">
        <v>3150</v>
      </c>
      <c r="F708" s="464" t="s">
        <v>3151</v>
      </c>
      <c r="G708" s="464" t="s">
        <v>3028</v>
      </c>
      <c r="H708" s="464" t="s">
        <v>3029</v>
      </c>
      <c r="I708" s="464" t="s">
        <v>1684</v>
      </c>
    </row>
    <row r="709" ht="15.95" customHeight="1">
      <c r="A709" s="464" t="s">
        <v>3165</v>
      </c>
      <c r="B709" s="464" t="s">
        <v>1881</v>
      </c>
      <c r="C709" s="464"/>
      <c r="D709" s="464" t="s">
        <v>1709</v>
      </c>
      <c r="E709" s="464" t="s">
        <v>3150</v>
      </c>
      <c r="F709" s="464" t="s">
        <v>3151</v>
      </c>
      <c r="G709" s="464" t="s">
        <v>3028</v>
      </c>
      <c r="H709" s="464" t="s">
        <v>3029</v>
      </c>
      <c r="I709" s="464" t="s">
        <v>1684</v>
      </c>
    </row>
    <row r="710" ht="15.95" customHeight="1">
      <c r="A710" s="464" t="s">
        <v>3166</v>
      </c>
      <c r="B710" s="464" t="s">
        <v>3167</v>
      </c>
      <c r="C710" s="464"/>
      <c r="D710" s="464" t="s">
        <v>1709</v>
      </c>
      <c r="E710" s="464" t="s">
        <v>3150</v>
      </c>
      <c r="F710" s="464" t="s">
        <v>3151</v>
      </c>
      <c r="G710" s="464" t="s">
        <v>3028</v>
      </c>
      <c r="H710" s="464" t="s">
        <v>3029</v>
      </c>
      <c r="I710" s="464" t="s">
        <v>1684</v>
      </c>
    </row>
    <row r="711" ht="15.95" customHeight="1">
      <c r="A711" s="464" t="s">
        <v>3168</v>
      </c>
      <c r="B711" s="464" t="s">
        <v>3169</v>
      </c>
      <c r="C711" s="464"/>
      <c r="D711" s="464" t="s">
        <v>1709</v>
      </c>
      <c r="E711" s="464" t="s">
        <v>3150</v>
      </c>
      <c r="F711" s="464" t="s">
        <v>3151</v>
      </c>
      <c r="G711" s="464" t="s">
        <v>3028</v>
      </c>
      <c r="H711" s="464" t="s">
        <v>3029</v>
      </c>
      <c r="I711" s="464" t="s">
        <v>1684</v>
      </c>
    </row>
    <row r="712" ht="15.95" customHeight="1">
      <c r="A712" s="464" t="s">
        <v>3170</v>
      </c>
      <c r="B712" s="464" t="s">
        <v>3016</v>
      </c>
      <c r="C712" s="464"/>
      <c r="D712" s="464" t="s">
        <v>1709</v>
      </c>
      <c r="E712" s="464" t="s">
        <v>3150</v>
      </c>
      <c r="F712" s="464" t="s">
        <v>3151</v>
      </c>
      <c r="G712" s="464" t="s">
        <v>3028</v>
      </c>
      <c r="H712" s="464" t="s">
        <v>3029</v>
      </c>
      <c r="I712" s="464" t="s">
        <v>1684</v>
      </c>
    </row>
    <row r="713" ht="15.95" customHeight="1">
      <c r="A713" s="464" t="s">
        <v>3171</v>
      </c>
      <c r="B713" s="464" t="s">
        <v>3172</v>
      </c>
      <c r="C713" s="464"/>
      <c r="D713" s="464" t="s">
        <v>1738</v>
      </c>
      <c r="E713" s="464" t="s">
        <v>3173</v>
      </c>
      <c r="F713" s="464" t="s">
        <v>3174</v>
      </c>
      <c r="G713" s="464" t="s">
        <v>3028</v>
      </c>
      <c r="H713" s="464" t="s">
        <v>3029</v>
      </c>
      <c r="I713" s="464" t="s">
        <v>1684</v>
      </c>
    </row>
    <row r="714" ht="15.95" customHeight="1">
      <c r="A714" s="464" t="s">
        <v>3175</v>
      </c>
      <c r="B714" s="464" t="s">
        <v>3132</v>
      </c>
      <c r="C714" s="464"/>
      <c r="D714" s="464" t="s">
        <v>1709</v>
      </c>
      <c r="E714" s="464" t="s">
        <v>3173</v>
      </c>
      <c r="F714" s="464" t="s">
        <v>3174</v>
      </c>
      <c r="G714" s="464" t="s">
        <v>3028</v>
      </c>
      <c r="H714" s="464" t="s">
        <v>3029</v>
      </c>
      <c r="I714" s="464" t="s">
        <v>1684</v>
      </c>
    </row>
    <row r="715" ht="15.95" customHeight="1">
      <c r="A715" s="464" t="s">
        <v>3176</v>
      </c>
      <c r="B715" s="464" t="s">
        <v>3177</v>
      </c>
      <c r="C715" s="464"/>
      <c r="D715" s="464" t="s">
        <v>1709</v>
      </c>
      <c r="E715" s="464" t="s">
        <v>3173</v>
      </c>
      <c r="F715" s="464" t="s">
        <v>3174</v>
      </c>
      <c r="G715" s="464" t="s">
        <v>3028</v>
      </c>
      <c r="H715" s="464" t="s">
        <v>3029</v>
      </c>
      <c r="I715" s="464" t="s">
        <v>1684</v>
      </c>
    </row>
    <row r="716" ht="15.95" customHeight="1">
      <c r="A716" s="464" t="s">
        <v>3178</v>
      </c>
      <c r="B716" s="464" t="s">
        <v>3179</v>
      </c>
      <c r="C716" s="464"/>
      <c r="D716" s="464" t="s">
        <v>1709</v>
      </c>
      <c r="E716" s="464" t="s">
        <v>3173</v>
      </c>
      <c r="F716" s="464" t="s">
        <v>3174</v>
      </c>
      <c r="G716" s="464" t="s">
        <v>3028</v>
      </c>
      <c r="H716" s="464" t="s">
        <v>3029</v>
      </c>
      <c r="I716" s="464" t="s">
        <v>1684</v>
      </c>
    </row>
    <row r="717" ht="15.95" customHeight="1">
      <c r="A717" s="464" t="s">
        <v>3180</v>
      </c>
      <c r="B717" s="464" t="s">
        <v>3181</v>
      </c>
      <c r="C717" s="464"/>
      <c r="D717" s="464" t="s">
        <v>1709</v>
      </c>
      <c r="E717" s="464" t="s">
        <v>3173</v>
      </c>
      <c r="F717" s="464" t="s">
        <v>3174</v>
      </c>
      <c r="G717" s="464" t="s">
        <v>3028</v>
      </c>
      <c r="H717" s="464" t="s">
        <v>3029</v>
      </c>
      <c r="I717" s="464" t="s">
        <v>1684</v>
      </c>
    </row>
    <row r="718" ht="15.95" customHeight="1">
      <c r="A718" s="464" t="s">
        <v>3182</v>
      </c>
      <c r="B718" s="464" t="s">
        <v>3183</v>
      </c>
      <c r="C718" s="464"/>
      <c r="D718" s="464" t="s">
        <v>1709</v>
      </c>
      <c r="E718" s="464" t="s">
        <v>3173</v>
      </c>
      <c r="F718" s="464" t="s">
        <v>3174</v>
      </c>
      <c r="G718" s="464" t="s">
        <v>3028</v>
      </c>
      <c r="H718" s="464" t="s">
        <v>3029</v>
      </c>
      <c r="I718" s="464" t="s">
        <v>1684</v>
      </c>
    </row>
    <row r="719" ht="15.95" customHeight="1">
      <c r="A719" s="464" t="s">
        <v>3184</v>
      </c>
      <c r="B719" s="464" t="s">
        <v>3185</v>
      </c>
      <c r="C719" s="464"/>
      <c r="D719" s="464" t="s">
        <v>1709</v>
      </c>
      <c r="E719" s="464" t="s">
        <v>3173</v>
      </c>
      <c r="F719" s="464" t="s">
        <v>3174</v>
      </c>
      <c r="G719" s="464" t="s">
        <v>3028</v>
      </c>
      <c r="H719" s="464" t="s">
        <v>3029</v>
      </c>
      <c r="I719" s="464" t="s">
        <v>1684</v>
      </c>
    </row>
    <row r="720" ht="15.95" customHeight="1">
      <c r="A720" s="464" t="s">
        <v>3186</v>
      </c>
      <c r="B720" s="464" t="s">
        <v>3187</v>
      </c>
      <c r="C720" s="464"/>
      <c r="D720" s="464" t="s">
        <v>1709</v>
      </c>
      <c r="E720" s="464" t="s">
        <v>3173</v>
      </c>
      <c r="F720" s="464" t="s">
        <v>3174</v>
      </c>
      <c r="G720" s="464" t="s">
        <v>3028</v>
      </c>
      <c r="H720" s="464" t="s">
        <v>3029</v>
      </c>
      <c r="I720" s="464" t="s">
        <v>1684</v>
      </c>
    </row>
    <row r="721" ht="15.95" customHeight="1">
      <c r="A721" s="464" t="s">
        <v>3188</v>
      </c>
      <c r="B721" s="464" t="s">
        <v>3189</v>
      </c>
      <c r="C721" s="464"/>
      <c r="D721" s="464" t="s">
        <v>1709</v>
      </c>
      <c r="E721" s="464" t="s">
        <v>3173</v>
      </c>
      <c r="F721" s="464" t="s">
        <v>3174</v>
      </c>
      <c r="G721" s="464" t="s">
        <v>3028</v>
      </c>
      <c r="H721" s="464" t="s">
        <v>3029</v>
      </c>
      <c r="I721" s="464" t="s">
        <v>1684</v>
      </c>
    </row>
    <row r="722" ht="15.95" customHeight="1">
      <c r="A722" s="464" t="s">
        <v>3190</v>
      </c>
      <c r="B722" s="464" t="s">
        <v>3191</v>
      </c>
      <c r="C722" s="464"/>
      <c r="D722" s="464" t="s">
        <v>1709</v>
      </c>
      <c r="E722" s="464" t="s">
        <v>3173</v>
      </c>
      <c r="F722" s="464" t="s">
        <v>3174</v>
      </c>
      <c r="G722" s="464" t="s">
        <v>3028</v>
      </c>
      <c r="H722" s="464" t="s">
        <v>3029</v>
      </c>
      <c r="I722" s="464" t="s">
        <v>1684</v>
      </c>
    </row>
    <row r="723" ht="15.95" customHeight="1">
      <c r="A723" s="464" t="s">
        <v>3192</v>
      </c>
      <c r="B723" s="464" t="s">
        <v>3193</v>
      </c>
      <c r="C723" s="464"/>
      <c r="D723" s="464" t="s">
        <v>1709</v>
      </c>
      <c r="E723" s="464" t="s">
        <v>3173</v>
      </c>
      <c r="F723" s="464" t="s">
        <v>3174</v>
      </c>
      <c r="G723" s="464" t="s">
        <v>3028</v>
      </c>
      <c r="H723" s="464" t="s">
        <v>3029</v>
      </c>
      <c r="I723" s="464" t="s">
        <v>1684</v>
      </c>
    </row>
    <row r="724" ht="15.95" customHeight="1">
      <c r="A724" s="464" t="s">
        <v>3194</v>
      </c>
      <c r="B724" s="464" t="s">
        <v>3195</v>
      </c>
      <c r="C724" s="464"/>
      <c r="D724" s="464" t="s">
        <v>1709</v>
      </c>
      <c r="E724" s="464" t="s">
        <v>3173</v>
      </c>
      <c r="F724" s="464" t="s">
        <v>3174</v>
      </c>
      <c r="G724" s="464" t="s">
        <v>3028</v>
      </c>
      <c r="H724" s="464" t="s">
        <v>3029</v>
      </c>
      <c r="I724" s="464" t="s">
        <v>1684</v>
      </c>
    </row>
    <row r="725" ht="15.95" customHeight="1">
      <c r="A725" s="464" t="s">
        <v>3196</v>
      </c>
      <c r="B725" s="464" t="s">
        <v>3197</v>
      </c>
      <c r="C725" s="464"/>
      <c r="D725" s="464" t="s">
        <v>1709</v>
      </c>
      <c r="E725" s="464" t="s">
        <v>3173</v>
      </c>
      <c r="F725" s="464" t="s">
        <v>3174</v>
      </c>
      <c r="G725" s="464" t="s">
        <v>3028</v>
      </c>
      <c r="H725" s="464" t="s">
        <v>3029</v>
      </c>
      <c r="I725" s="464" t="s">
        <v>1684</v>
      </c>
    </row>
    <row r="726" ht="15.95" customHeight="1">
      <c r="A726" s="464" t="s">
        <v>3198</v>
      </c>
      <c r="B726" s="464" t="s">
        <v>3199</v>
      </c>
      <c r="C726" s="464"/>
      <c r="D726" s="464" t="s">
        <v>1709</v>
      </c>
      <c r="E726" s="464" t="s">
        <v>3173</v>
      </c>
      <c r="F726" s="464" t="s">
        <v>3174</v>
      </c>
      <c r="G726" s="464" t="s">
        <v>3028</v>
      </c>
      <c r="H726" s="464" t="s">
        <v>3029</v>
      </c>
      <c r="I726" s="464" t="s">
        <v>1684</v>
      </c>
    </row>
    <row r="727" ht="15.95" customHeight="1">
      <c r="A727" s="464" t="s">
        <v>3200</v>
      </c>
      <c r="B727" s="464" t="s">
        <v>3201</v>
      </c>
      <c r="C727" s="464"/>
      <c r="D727" s="464" t="s">
        <v>1738</v>
      </c>
      <c r="E727" s="464" t="s">
        <v>3202</v>
      </c>
      <c r="F727" s="464" t="s">
        <v>3203</v>
      </c>
      <c r="G727" s="464" t="s">
        <v>3028</v>
      </c>
      <c r="H727" s="464" t="s">
        <v>3029</v>
      </c>
      <c r="I727" s="464" t="s">
        <v>1684</v>
      </c>
    </row>
    <row r="728" ht="15.95" customHeight="1">
      <c r="A728" s="464" t="s">
        <v>3204</v>
      </c>
      <c r="B728" s="464" t="s">
        <v>2540</v>
      </c>
      <c r="C728" s="464"/>
      <c r="D728" s="464" t="s">
        <v>1709</v>
      </c>
      <c r="E728" s="464" t="s">
        <v>3202</v>
      </c>
      <c r="F728" s="464" t="s">
        <v>3203</v>
      </c>
      <c r="G728" s="464" t="s">
        <v>3028</v>
      </c>
      <c r="H728" s="464" t="s">
        <v>3029</v>
      </c>
      <c r="I728" s="464" t="s">
        <v>1684</v>
      </c>
    </row>
    <row r="729" ht="15.95" customHeight="1">
      <c r="A729" s="464" t="s">
        <v>3205</v>
      </c>
      <c r="B729" s="464" t="s">
        <v>3206</v>
      </c>
      <c r="C729" s="464"/>
      <c r="D729" s="464" t="s">
        <v>1709</v>
      </c>
      <c r="E729" s="464" t="s">
        <v>3202</v>
      </c>
      <c r="F729" s="464" t="s">
        <v>3203</v>
      </c>
      <c r="G729" s="464" t="s">
        <v>3028</v>
      </c>
      <c r="H729" s="464" t="s">
        <v>3029</v>
      </c>
      <c r="I729" s="464" t="s">
        <v>1684</v>
      </c>
    </row>
    <row r="730" ht="15.95" customHeight="1">
      <c r="A730" s="464" t="s">
        <v>3207</v>
      </c>
      <c r="B730" s="464" t="s">
        <v>3208</v>
      </c>
      <c r="C730" s="464"/>
      <c r="D730" s="464" t="s">
        <v>1709</v>
      </c>
      <c r="E730" s="464" t="s">
        <v>3202</v>
      </c>
      <c r="F730" s="464" t="s">
        <v>3203</v>
      </c>
      <c r="G730" s="464" t="s">
        <v>3028</v>
      </c>
      <c r="H730" s="464" t="s">
        <v>3029</v>
      </c>
      <c r="I730" s="464" t="s">
        <v>1684</v>
      </c>
    </row>
    <row r="731" ht="15.95" customHeight="1">
      <c r="A731" s="464" t="s">
        <v>3209</v>
      </c>
      <c r="B731" s="464" t="s">
        <v>3210</v>
      </c>
      <c r="C731" s="464"/>
      <c r="D731" s="464" t="s">
        <v>1709</v>
      </c>
      <c r="E731" s="464" t="s">
        <v>3202</v>
      </c>
      <c r="F731" s="464" t="s">
        <v>3203</v>
      </c>
      <c r="G731" s="464" t="s">
        <v>3028</v>
      </c>
      <c r="H731" s="464" t="s">
        <v>3029</v>
      </c>
      <c r="I731" s="464" t="s">
        <v>1684</v>
      </c>
    </row>
    <row r="732" ht="15.95" customHeight="1">
      <c r="A732" s="464" t="s">
        <v>3211</v>
      </c>
      <c r="B732" s="464" t="s">
        <v>3212</v>
      </c>
      <c r="C732" s="464"/>
      <c r="D732" s="464" t="s">
        <v>1709</v>
      </c>
      <c r="E732" s="464" t="s">
        <v>3202</v>
      </c>
      <c r="F732" s="464" t="s">
        <v>3203</v>
      </c>
      <c r="G732" s="464" t="s">
        <v>3028</v>
      </c>
      <c r="H732" s="464" t="s">
        <v>3029</v>
      </c>
      <c r="I732" s="464" t="s">
        <v>1684</v>
      </c>
    </row>
    <row r="733" ht="15.95" customHeight="1">
      <c r="A733" s="464" t="s">
        <v>3213</v>
      </c>
      <c r="B733" s="464" t="s">
        <v>3214</v>
      </c>
      <c r="C733" s="464"/>
      <c r="D733" s="464" t="s">
        <v>1709</v>
      </c>
      <c r="E733" s="464" t="s">
        <v>3202</v>
      </c>
      <c r="F733" s="464" t="s">
        <v>3203</v>
      </c>
      <c r="G733" s="464" t="s">
        <v>3028</v>
      </c>
      <c r="H733" s="464" t="s">
        <v>3029</v>
      </c>
      <c r="I733" s="464" t="s">
        <v>1684</v>
      </c>
    </row>
    <row r="734" ht="15.95" customHeight="1">
      <c r="A734" s="464" t="s">
        <v>3215</v>
      </c>
      <c r="B734" s="464" t="s">
        <v>1807</v>
      </c>
      <c r="C734" s="464"/>
      <c r="D734" s="464" t="s">
        <v>1709</v>
      </c>
      <c r="E734" s="464" t="s">
        <v>3202</v>
      </c>
      <c r="F734" s="464" t="s">
        <v>3203</v>
      </c>
      <c r="G734" s="464" t="s">
        <v>3028</v>
      </c>
      <c r="H734" s="464" t="s">
        <v>3029</v>
      </c>
      <c r="I734" s="464" t="s">
        <v>1684</v>
      </c>
    </row>
    <row r="735" ht="15.95" customHeight="1">
      <c r="A735" s="464" t="s">
        <v>3216</v>
      </c>
      <c r="B735" s="464" t="s">
        <v>3217</v>
      </c>
      <c r="C735" s="464"/>
      <c r="D735" s="464" t="s">
        <v>1709</v>
      </c>
      <c r="E735" s="464" t="s">
        <v>3202</v>
      </c>
      <c r="F735" s="464" t="s">
        <v>3203</v>
      </c>
      <c r="G735" s="464" t="s">
        <v>3028</v>
      </c>
      <c r="H735" s="464" t="s">
        <v>3029</v>
      </c>
      <c r="I735" s="464" t="s">
        <v>1684</v>
      </c>
    </row>
    <row r="736" ht="15.95" customHeight="1">
      <c r="A736" s="464" t="s">
        <v>3218</v>
      </c>
      <c r="B736" s="464" t="s">
        <v>3219</v>
      </c>
      <c r="C736" s="464"/>
      <c r="D736" s="464" t="s">
        <v>1709</v>
      </c>
      <c r="E736" s="464" t="s">
        <v>3202</v>
      </c>
      <c r="F736" s="464" t="s">
        <v>3203</v>
      </c>
      <c r="G736" s="464" t="s">
        <v>3028</v>
      </c>
      <c r="H736" s="464" t="s">
        <v>3029</v>
      </c>
      <c r="I736" s="464" t="s">
        <v>1684</v>
      </c>
    </row>
    <row r="737" ht="15.95" customHeight="1">
      <c r="A737" s="464" t="s">
        <v>3220</v>
      </c>
      <c r="B737" s="464" t="s">
        <v>2582</v>
      </c>
      <c r="C737" s="464"/>
      <c r="D737" s="464" t="s">
        <v>1709</v>
      </c>
      <c r="E737" s="464" t="s">
        <v>3202</v>
      </c>
      <c r="F737" s="464" t="s">
        <v>3203</v>
      </c>
      <c r="G737" s="464" t="s">
        <v>3028</v>
      </c>
      <c r="H737" s="464" t="s">
        <v>3029</v>
      </c>
      <c r="I737" s="464" t="s">
        <v>1684</v>
      </c>
    </row>
    <row r="738" ht="15.95" customHeight="1">
      <c r="A738" s="464" t="s">
        <v>3221</v>
      </c>
      <c r="B738" s="464" t="s">
        <v>3222</v>
      </c>
      <c r="C738" s="464"/>
      <c r="D738" s="464" t="s">
        <v>1709</v>
      </c>
      <c r="E738" s="464" t="s">
        <v>3202</v>
      </c>
      <c r="F738" s="464" t="s">
        <v>3203</v>
      </c>
      <c r="G738" s="464" t="s">
        <v>3028</v>
      </c>
      <c r="H738" s="464" t="s">
        <v>3029</v>
      </c>
      <c r="I738" s="464" t="s">
        <v>1684</v>
      </c>
    </row>
    <row r="739" ht="15.95" customHeight="1">
      <c r="A739" s="464" t="s">
        <v>3223</v>
      </c>
      <c r="B739" s="464" t="s">
        <v>3224</v>
      </c>
      <c r="C739" s="464"/>
      <c r="D739" s="464" t="s">
        <v>1709</v>
      </c>
      <c r="E739" s="464" t="s">
        <v>3202</v>
      </c>
      <c r="F739" s="464" t="s">
        <v>3203</v>
      </c>
      <c r="G739" s="464" t="s">
        <v>3028</v>
      </c>
      <c r="H739" s="464" t="s">
        <v>3029</v>
      </c>
      <c r="I739" s="464" t="s">
        <v>1684</v>
      </c>
    </row>
    <row r="740" ht="15.95" customHeight="1">
      <c r="A740" s="464" t="s">
        <v>3225</v>
      </c>
      <c r="B740" s="464" t="s">
        <v>3226</v>
      </c>
      <c r="C740" s="464"/>
      <c r="D740" s="464" t="s">
        <v>1709</v>
      </c>
      <c r="E740" s="464" t="s">
        <v>3202</v>
      </c>
      <c r="F740" s="464" t="s">
        <v>3203</v>
      </c>
      <c r="G740" s="464" t="s">
        <v>3028</v>
      </c>
      <c r="H740" s="464" t="s">
        <v>3029</v>
      </c>
      <c r="I740" s="464" t="s">
        <v>1684</v>
      </c>
    </row>
    <row r="741" ht="15.95" customHeight="1">
      <c r="A741" s="464" t="s">
        <v>3227</v>
      </c>
      <c r="B741" s="464" t="s">
        <v>3228</v>
      </c>
      <c r="C741" s="464"/>
      <c r="D741" s="464" t="s">
        <v>1709</v>
      </c>
      <c r="E741" s="464" t="s">
        <v>3202</v>
      </c>
      <c r="F741" s="464" t="s">
        <v>3203</v>
      </c>
      <c r="G741" s="464" t="s">
        <v>3028</v>
      </c>
      <c r="H741" s="464" t="s">
        <v>3029</v>
      </c>
      <c r="I741" s="464" t="s">
        <v>1684</v>
      </c>
    </row>
    <row r="742" ht="15.95" customHeight="1">
      <c r="A742" s="464" t="s">
        <v>3229</v>
      </c>
      <c r="B742" s="464" t="s">
        <v>3230</v>
      </c>
      <c r="C742" s="464"/>
      <c r="D742" s="464" t="s">
        <v>1709</v>
      </c>
      <c r="E742" s="464" t="s">
        <v>3202</v>
      </c>
      <c r="F742" s="464" t="s">
        <v>3203</v>
      </c>
      <c r="G742" s="464" t="s">
        <v>3028</v>
      </c>
      <c r="H742" s="464" t="s">
        <v>3029</v>
      </c>
      <c r="I742" s="464" t="s">
        <v>1684</v>
      </c>
    </row>
    <row r="743" ht="15.95" customHeight="1">
      <c r="A743" s="464" t="s">
        <v>3231</v>
      </c>
      <c r="B743" s="464" t="s">
        <v>3232</v>
      </c>
      <c r="C743" s="464"/>
      <c r="D743" s="464" t="s">
        <v>1709</v>
      </c>
      <c r="E743" s="464" t="s">
        <v>3202</v>
      </c>
      <c r="F743" s="464" t="s">
        <v>3203</v>
      </c>
      <c r="G743" s="464" t="s">
        <v>3028</v>
      </c>
      <c r="H743" s="464" t="s">
        <v>3029</v>
      </c>
      <c r="I743" s="464" t="s">
        <v>1684</v>
      </c>
    </row>
    <row r="744" ht="15.95" customHeight="1">
      <c r="A744" s="464" t="s">
        <v>3233</v>
      </c>
      <c r="B744" s="464" t="s">
        <v>3234</v>
      </c>
      <c r="C744" s="464"/>
      <c r="D744" s="464" t="s">
        <v>1709</v>
      </c>
      <c r="E744" s="464" t="s">
        <v>3235</v>
      </c>
      <c r="F744" s="464" t="s">
        <v>3236</v>
      </c>
      <c r="G744" s="464" t="s">
        <v>3028</v>
      </c>
      <c r="H744" s="464" t="s">
        <v>3029</v>
      </c>
      <c r="I744" s="464" t="s">
        <v>1684</v>
      </c>
    </row>
    <row r="745" ht="15.95" customHeight="1">
      <c r="A745" s="464" t="s">
        <v>3237</v>
      </c>
      <c r="B745" s="464" t="s">
        <v>3238</v>
      </c>
      <c r="C745" s="464"/>
      <c r="D745" s="464" t="s">
        <v>1709</v>
      </c>
      <c r="E745" s="464" t="s">
        <v>3235</v>
      </c>
      <c r="F745" s="464" t="s">
        <v>3236</v>
      </c>
      <c r="G745" s="464" t="s">
        <v>3028</v>
      </c>
      <c r="H745" s="464" t="s">
        <v>3029</v>
      </c>
      <c r="I745" s="464" t="s">
        <v>1684</v>
      </c>
    </row>
    <row r="746" ht="15.95" customHeight="1">
      <c r="A746" s="464" t="s">
        <v>3239</v>
      </c>
      <c r="B746" s="464" t="s">
        <v>3240</v>
      </c>
      <c r="C746" s="464"/>
      <c r="D746" s="464" t="s">
        <v>1709</v>
      </c>
      <c r="E746" s="464" t="s">
        <v>3235</v>
      </c>
      <c r="F746" s="464" t="s">
        <v>3236</v>
      </c>
      <c r="G746" s="464" t="s">
        <v>3028</v>
      </c>
      <c r="H746" s="464" t="s">
        <v>3029</v>
      </c>
      <c r="I746" s="464" t="s">
        <v>1684</v>
      </c>
    </row>
    <row r="747" ht="15.95" customHeight="1">
      <c r="A747" s="464" t="s">
        <v>3241</v>
      </c>
      <c r="B747" s="464" t="s">
        <v>3242</v>
      </c>
      <c r="C747" s="464"/>
      <c r="D747" s="464" t="s">
        <v>1709</v>
      </c>
      <c r="E747" s="464" t="s">
        <v>3235</v>
      </c>
      <c r="F747" s="464" t="s">
        <v>3236</v>
      </c>
      <c r="G747" s="464" t="s">
        <v>3028</v>
      </c>
      <c r="H747" s="464" t="s">
        <v>3029</v>
      </c>
      <c r="I747" s="464" t="s">
        <v>1684</v>
      </c>
    </row>
    <row r="748" ht="15.95" customHeight="1">
      <c r="A748" s="464" t="s">
        <v>3243</v>
      </c>
      <c r="B748" s="464" t="s">
        <v>3244</v>
      </c>
      <c r="C748" s="464"/>
      <c r="D748" s="464" t="s">
        <v>1709</v>
      </c>
      <c r="E748" s="464" t="s">
        <v>3235</v>
      </c>
      <c r="F748" s="464" t="s">
        <v>3236</v>
      </c>
      <c r="G748" s="464" t="s">
        <v>3028</v>
      </c>
      <c r="H748" s="464" t="s">
        <v>3029</v>
      </c>
      <c r="I748" s="464" t="s">
        <v>1684</v>
      </c>
    </row>
    <row r="749" ht="15.95" customHeight="1">
      <c r="A749" s="464" t="s">
        <v>3245</v>
      </c>
      <c r="B749" s="464" t="s">
        <v>3246</v>
      </c>
      <c r="C749" s="464"/>
      <c r="D749" s="464" t="s">
        <v>1709</v>
      </c>
      <c r="E749" s="464" t="s">
        <v>3235</v>
      </c>
      <c r="F749" s="464" t="s">
        <v>3236</v>
      </c>
      <c r="G749" s="464" t="s">
        <v>3028</v>
      </c>
      <c r="H749" s="464" t="s">
        <v>3029</v>
      </c>
      <c r="I749" s="464" t="s">
        <v>1684</v>
      </c>
    </row>
    <row r="750" ht="15.95" customHeight="1">
      <c r="A750" s="464" t="s">
        <v>3247</v>
      </c>
      <c r="B750" s="464" t="s">
        <v>3248</v>
      </c>
      <c r="C750" s="464"/>
      <c r="D750" s="464" t="s">
        <v>1709</v>
      </c>
      <c r="E750" s="464" t="s">
        <v>3235</v>
      </c>
      <c r="F750" s="464" t="s">
        <v>3236</v>
      </c>
      <c r="G750" s="464" t="s">
        <v>3028</v>
      </c>
      <c r="H750" s="464" t="s">
        <v>3029</v>
      </c>
      <c r="I750" s="464" t="s">
        <v>1684</v>
      </c>
    </row>
    <row r="751" ht="15.95" customHeight="1">
      <c r="A751" s="464" t="s">
        <v>3249</v>
      </c>
      <c r="B751" s="464" t="s">
        <v>3250</v>
      </c>
      <c r="C751" s="464"/>
      <c r="D751" s="464" t="s">
        <v>1709</v>
      </c>
      <c r="E751" s="464" t="s">
        <v>3235</v>
      </c>
      <c r="F751" s="464" t="s">
        <v>3236</v>
      </c>
      <c r="G751" s="464" t="s">
        <v>3028</v>
      </c>
      <c r="H751" s="464" t="s">
        <v>3029</v>
      </c>
      <c r="I751" s="464" t="s">
        <v>1684</v>
      </c>
    </row>
    <row r="752" ht="15.95" customHeight="1">
      <c r="A752" s="464" t="s">
        <v>3251</v>
      </c>
      <c r="B752" s="464" t="s">
        <v>3252</v>
      </c>
      <c r="C752" s="464"/>
      <c r="D752" s="464" t="s">
        <v>1709</v>
      </c>
      <c r="E752" s="464" t="s">
        <v>3235</v>
      </c>
      <c r="F752" s="464" t="s">
        <v>3236</v>
      </c>
      <c r="G752" s="464" t="s">
        <v>3028</v>
      </c>
      <c r="H752" s="464" t="s">
        <v>3029</v>
      </c>
      <c r="I752" s="464" t="s">
        <v>1684</v>
      </c>
    </row>
    <row r="753" ht="15.95" customHeight="1">
      <c r="A753" s="464" t="s">
        <v>3253</v>
      </c>
      <c r="B753" s="464" t="s">
        <v>3254</v>
      </c>
      <c r="C753" s="464"/>
      <c r="D753" s="464" t="s">
        <v>1709</v>
      </c>
      <c r="E753" s="464" t="s">
        <v>3235</v>
      </c>
      <c r="F753" s="464" t="s">
        <v>3236</v>
      </c>
      <c r="G753" s="464" t="s">
        <v>3028</v>
      </c>
      <c r="H753" s="464" t="s">
        <v>3029</v>
      </c>
      <c r="I753" s="464" t="s">
        <v>1684</v>
      </c>
    </row>
    <row r="754" ht="15.95" customHeight="1">
      <c r="A754" s="464" t="s">
        <v>3255</v>
      </c>
      <c r="B754" s="464" t="s">
        <v>3256</v>
      </c>
      <c r="C754" s="464"/>
      <c r="D754" s="464" t="s">
        <v>1709</v>
      </c>
      <c r="E754" s="464" t="s">
        <v>3257</v>
      </c>
      <c r="F754" s="464" t="s">
        <v>3258</v>
      </c>
      <c r="G754" s="464" t="s">
        <v>3028</v>
      </c>
      <c r="H754" s="464" t="s">
        <v>3029</v>
      </c>
      <c r="I754" s="464" t="s">
        <v>1684</v>
      </c>
    </row>
    <row r="755" ht="15.95" customHeight="1">
      <c r="A755" s="464" t="s">
        <v>3259</v>
      </c>
      <c r="B755" s="464" t="s">
        <v>3260</v>
      </c>
      <c r="C755" s="464"/>
      <c r="D755" s="464" t="s">
        <v>1709</v>
      </c>
      <c r="E755" s="464" t="s">
        <v>3257</v>
      </c>
      <c r="F755" s="464" t="s">
        <v>3258</v>
      </c>
      <c r="G755" s="464" t="s">
        <v>3028</v>
      </c>
      <c r="H755" s="464" t="s">
        <v>3029</v>
      </c>
      <c r="I755" s="464" t="s">
        <v>1684</v>
      </c>
    </row>
    <row r="756" ht="15.95" customHeight="1">
      <c r="A756" s="464" t="s">
        <v>3261</v>
      </c>
      <c r="B756" s="464" t="s">
        <v>3262</v>
      </c>
      <c r="C756" s="464"/>
      <c r="D756" s="464" t="s">
        <v>1709</v>
      </c>
      <c r="E756" s="464" t="s">
        <v>3257</v>
      </c>
      <c r="F756" s="464" t="s">
        <v>3258</v>
      </c>
      <c r="G756" s="464" t="s">
        <v>3028</v>
      </c>
      <c r="H756" s="464" t="s">
        <v>3029</v>
      </c>
      <c r="I756" s="464" t="s">
        <v>1684</v>
      </c>
    </row>
    <row r="757" ht="15.95" customHeight="1">
      <c r="A757" s="464" t="s">
        <v>3263</v>
      </c>
      <c r="B757" s="464" t="s">
        <v>3264</v>
      </c>
      <c r="C757" s="464"/>
      <c r="D757" s="464" t="s">
        <v>1709</v>
      </c>
      <c r="E757" s="464" t="s">
        <v>3257</v>
      </c>
      <c r="F757" s="464" t="s">
        <v>3258</v>
      </c>
      <c r="G757" s="464" t="s">
        <v>3028</v>
      </c>
      <c r="H757" s="464" t="s">
        <v>3029</v>
      </c>
      <c r="I757" s="464" t="s">
        <v>1684</v>
      </c>
    </row>
    <row r="758" ht="15.95" customHeight="1">
      <c r="A758" s="464" t="s">
        <v>3265</v>
      </c>
      <c r="B758" s="464" t="s">
        <v>3266</v>
      </c>
      <c r="C758" s="464"/>
      <c r="D758" s="464" t="s">
        <v>1709</v>
      </c>
      <c r="E758" s="464" t="s">
        <v>3257</v>
      </c>
      <c r="F758" s="464" t="s">
        <v>3258</v>
      </c>
      <c r="G758" s="464" t="s">
        <v>3028</v>
      </c>
      <c r="H758" s="464" t="s">
        <v>3029</v>
      </c>
      <c r="I758" s="464" t="s">
        <v>1684</v>
      </c>
    </row>
    <row r="759" ht="15.95" customHeight="1">
      <c r="A759" s="464" t="s">
        <v>3267</v>
      </c>
      <c r="B759" s="464" t="s">
        <v>3268</v>
      </c>
      <c r="C759" s="464"/>
      <c r="D759" s="464" t="s">
        <v>1709</v>
      </c>
      <c r="E759" s="464" t="s">
        <v>3257</v>
      </c>
      <c r="F759" s="464" t="s">
        <v>3258</v>
      </c>
      <c r="G759" s="464" t="s">
        <v>3028</v>
      </c>
      <c r="H759" s="464" t="s">
        <v>3029</v>
      </c>
      <c r="I759" s="464" t="s">
        <v>1684</v>
      </c>
    </row>
    <row r="760" ht="15.95" customHeight="1">
      <c r="A760" s="464" t="s">
        <v>3269</v>
      </c>
      <c r="B760" s="464" t="s">
        <v>3270</v>
      </c>
      <c r="C760" s="464"/>
      <c r="D760" s="464" t="s">
        <v>1709</v>
      </c>
      <c r="E760" s="464" t="s">
        <v>3257</v>
      </c>
      <c r="F760" s="464" t="s">
        <v>3258</v>
      </c>
      <c r="G760" s="464" t="s">
        <v>3028</v>
      </c>
      <c r="H760" s="464" t="s">
        <v>3029</v>
      </c>
      <c r="I760" s="464" t="s">
        <v>1684</v>
      </c>
    </row>
    <row r="761" ht="15.95" customHeight="1">
      <c r="A761" s="464" t="s">
        <v>3271</v>
      </c>
      <c r="B761" s="464" t="s">
        <v>3272</v>
      </c>
      <c r="C761" s="464"/>
      <c r="D761" s="464" t="s">
        <v>1709</v>
      </c>
      <c r="E761" s="464" t="s">
        <v>3257</v>
      </c>
      <c r="F761" s="464" t="s">
        <v>3258</v>
      </c>
      <c r="G761" s="464" t="s">
        <v>3028</v>
      </c>
      <c r="H761" s="464" t="s">
        <v>3029</v>
      </c>
      <c r="I761" s="464" t="s">
        <v>1684</v>
      </c>
    </row>
    <row r="762" ht="15.95" customHeight="1">
      <c r="A762" s="464" t="s">
        <v>3273</v>
      </c>
      <c r="B762" s="464" t="s">
        <v>3274</v>
      </c>
      <c r="C762" s="464"/>
      <c r="D762" s="464" t="s">
        <v>1709</v>
      </c>
      <c r="E762" s="464" t="s">
        <v>3257</v>
      </c>
      <c r="F762" s="464" t="s">
        <v>3258</v>
      </c>
      <c r="G762" s="464" t="s">
        <v>3028</v>
      </c>
      <c r="H762" s="464" t="s">
        <v>3029</v>
      </c>
      <c r="I762" s="464" t="s">
        <v>1684</v>
      </c>
    </row>
    <row r="763" ht="15.95" customHeight="1">
      <c r="A763" s="464" t="s">
        <v>3275</v>
      </c>
      <c r="B763" s="464" t="s">
        <v>3276</v>
      </c>
      <c r="C763" s="464"/>
      <c r="D763" s="464" t="s">
        <v>1709</v>
      </c>
      <c r="E763" s="464" t="s">
        <v>3257</v>
      </c>
      <c r="F763" s="464" t="s">
        <v>3258</v>
      </c>
      <c r="G763" s="464" t="s">
        <v>3028</v>
      </c>
      <c r="H763" s="464" t="s">
        <v>3029</v>
      </c>
      <c r="I763" s="464" t="s">
        <v>1684</v>
      </c>
    </row>
    <row r="764" ht="15.95" customHeight="1">
      <c r="A764" s="464" t="s">
        <v>3277</v>
      </c>
      <c r="B764" s="464" t="s">
        <v>3278</v>
      </c>
      <c r="C764" s="464"/>
      <c r="D764" s="464" t="s">
        <v>1709</v>
      </c>
      <c r="E764" s="464" t="s">
        <v>3257</v>
      </c>
      <c r="F764" s="464" t="s">
        <v>3258</v>
      </c>
      <c r="G764" s="464" t="s">
        <v>3028</v>
      </c>
      <c r="H764" s="464" t="s">
        <v>3029</v>
      </c>
      <c r="I764" s="464" t="s">
        <v>1684</v>
      </c>
    </row>
    <row r="765" ht="15.95" customHeight="1">
      <c r="A765" s="464" t="s">
        <v>3279</v>
      </c>
      <c r="B765" s="464" t="s">
        <v>3280</v>
      </c>
      <c r="C765" s="464"/>
      <c r="D765" s="464" t="s">
        <v>1709</v>
      </c>
      <c r="E765" s="464" t="s">
        <v>3257</v>
      </c>
      <c r="F765" s="464" t="s">
        <v>3258</v>
      </c>
      <c r="G765" s="464" t="s">
        <v>3028</v>
      </c>
      <c r="H765" s="464" t="s">
        <v>3029</v>
      </c>
      <c r="I765" s="464" t="s">
        <v>1684</v>
      </c>
    </row>
    <row r="766" ht="15.95" customHeight="1">
      <c r="A766" s="464" t="s">
        <v>3281</v>
      </c>
      <c r="B766" s="464" t="s">
        <v>3282</v>
      </c>
      <c r="C766" s="464"/>
      <c r="D766" s="464" t="s">
        <v>1709</v>
      </c>
      <c r="E766" s="464" t="s">
        <v>3257</v>
      </c>
      <c r="F766" s="464" t="s">
        <v>3258</v>
      </c>
      <c r="G766" s="464" t="s">
        <v>3028</v>
      </c>
      <c r="H766" s="464" t="s">
        <v>3029</v>
      </c>
      <c r="I766" s="464" t="s">
        <v>1684</v>
      </c>
    </row>
    <row r="767" ht="15.95" customHeight="1">
      <c r="A767" s="464" t="s">
        <v>3283</v>
      </c>
      <c r="B767" s="464" t="s">
        <v>3284</v>
      </c>
      <c r="C767" s="464"/>
      <c r="D767" s="464" t="s">
        <v>1738</v>
      </c>
      <c r="E767" s="464" t="s">
        <v>3285</v>
      </c>
      <c r="F767" s="464" t="s">
        <v>3286</v>
      </c>
      <c r="G767" s="464" t="s">
        <v>3028</v>
      </c>
      <c r="H767" s="464" t="s">
        <v>3029</v>
      </c>
      <c r="I767" s="464" t="s">
        <v>1684</v>
      </c>
    </row>
    <row r="768" ht="15.95" customHeight="1">
      <c r="A768" s="464" t="s">
        <v>3287</v>
      </c>
      <c r="B768" s="464" t="s">
        <v>3288</v>
      </c>
      <c r="C768" s="464"/>
      <c r="D768" s="464" t="s">
        <v>1709</v>
      </c>
      <c r="E768" s="464" t="s">
        <v>3285</v>
      </c>
      <c r="F768" s="464" t="s">
        <v>3286</v>
      </c>
      <c r="G768" s="464" t="s">
        <v>3028</v>
      </c>
      <c r="H768" s="464" t="s">
        <v>3029</v>
      </c>
      <c r="I768" s="464" t="s">
        <v>1684</v>
      </c>
    </row>
    <row r="769" ht="15.95" customHeight="1">
      <c r="A769" s="464" t="s">
        <v>3289</v>
      </c>
      <c r="B769" s="464" t="s">
        <v>1920</v>
      </c>
      <c r="C769" s="464"/>
      <c r="D769" s="464" t="s">
        <v>1709</v>
      </c>
      <c r="E769" s="464" t="s">
        <v>3285</v>
      </c>
      <c r="F769" s="464" t="s">
        <v>3286</v>
      </c>
      <c r="G769" s="464" t="s">
        <v>3028</v>
      </c>
      <c r="H769" s="464" t="s">
        <v>3029</v>
      </c>
      <c r="I769" s="464" t="s">
        <v>1684</v>
      </c>
    </row>
    <row r="770" ht="15.95" customHeight="1">
      <c r="A770" s="464" t="s">
        <v>3290</v>
      </c>
      <c r="B770" s="464" t="s">
        <v>3291</v>
      </c>
      <c r="C770" s="464"/>
      <c r="D770" s="464" t="s">
        <v>1709</v>
      </c>
      <c r="E770" s="464" t="s">
        <v>3285</v>
      </c>
      <c r="F770" s="464" t="s">
        <v>3286</v>
      </c>
      <c r="G770" s="464" t="s">
        <v>3028</v>
      </c>
      <c r="H770" s="464" t="s">
        <v>3029</v>
      </c>
      <c r="I770" s="464" t="s">
        <v>1684</v>
      </c>
    </row>
    <row r="771" ht="15.95" customHeight="1">
      <c r="A771" s="464" t="s">
        <v>3292</v>
      </c>
      <c r="B771" s="464" t="s">
        <v>2332</v>
      </c>
      <c r="C771" s="464"/>
      <c r="D771" s="464" t="s">
        <v>1709</v>
      </c>
      <c r="E771" s="464" t="s">
        <v>3285</v>
      </c>
      <c r="F771" s="464" t="s">
        <v>3286</v>
      </c>
      <c r="G771" s="464" t="s">
        <v>3028</v>
      </c>
      <c r="H771" s="464" t="s">
        <v>3029</v>
      </c>
      <c r="I771" s="464" t="s">
        <v>1684</v>
      </c>
    </row>
    <row r="772" ht="15.95" customHeight="1">
      <c r="A772" s="464" t="s">
        <v>3293</v>
      </c>
      <c r="B772" s="464" t="s">
        <v>2627</v>
      </c>
      <c r="C772" s="464"/>
      <c r="D772" s="464" t="s">
        <v>1709</v>
      </c>
      <c r="E772" s="464" t="s">
        <v>3285</v>
      </c>
      <c r="F772" s="464" t="s">
        <v>3286</v>
      </c>
      <c r="G772" s="464" t="s">
        <v>3028</v>
      </c>
      <c r="H772" s="464" t="s">
        <v>3029</v>
      </c>
      <c r="I772" s="464" t="s">
        <v>1684</v>
      </c>
    </row>
    <row r="773" ht="15.95" customHeight="1">
      <c r="A773" s="464" t="s">
        <v>3294</v>
      </c>
      <c r="B773" s="464" t="s">
        <v>3295</v>
      </c>
      <c r="C773" s="464"/>
      <c r="D773" s="464" t="s">
        <v>1709</v>
      </c>
      <c r="E773" s="464" t="s">
        <v>3285</v>
      </c>
      <c r="F773" s="464" t="s">
        <v>3286</v>
      </c>
      <c r="G773" s="464" t="s">
        <v>3028</v>
      </c>
      <c r="H773" s="464" t="s">
        <v>3029</v>
      </c>
      <c r="I773" s="464" t="s">
        <v>1684</v>
      </c>
    </row>
    <row r="774" ht="15.95" customHeight="1">
      <c r="A774" s="464" t="s">
        <v>3296</v>
      </c>
      <c r="B774" s="464" t="s">
        <v>3297</v>
      </c>
      <c r="C774" s="464"/>
      <c r="D774" s="464" t="s">
        <v>1709</v>
      </c>
      <c r="E774" s="464" t="s">
        <v>3285</v>
      </c>
      <c r="F774" s="464" t="s">
        <v>3286</v>
      </c>
      <c r="G774" s="464" t="s">
        <v>3028</v>
      </c>
      <c r="H774" s="464" t="s">
        <v>3029</v>
      </c>
      <c r="I774" s="464" t="s">
        <v>1684</v>
      </c>
    </row>
    <row r="775" ht="15.95" customHeight="1">
      <c r="A775" s="464" t="s">
        <v>3298</v>
      </c>
      <c r="B775" s="464" t="s">
        <v>3299</v>
      </c>
      <c r="C775" s="464"/>
      <c r="D775" s="464" t="s">
        <v>1709</v>
      </c>
      <c r="E775" s="464" t="s">
        <v>3285</v>
      </c>
      <c r="F775" s="464" t="s">
        <v>3286</v>
      </c>
      <c r="G775" s="464" t="s">
        <v>3028</v>
      </c>
      <c r="H775" s="464" t="s">
        <v>3029</v>
      </c>
      <c r="I775" s="464" t="s">
        <v>1684</v>
      </c>
    </row>
    <row r="776" ht="15.95" customHeight="1">
      <c r="A776" s="464" t="s">
        <v>3300</v>
      </c>
      <c r="B776" s="464" t="s">
        <v>3301</v>
      </c>
      <c r="C776" s="464"/>
      <c r="D776" s="464" t="s">
        <v>1709</v>
      </c>
      <c r="E776" s="464" t="s">
        <v>3285</v>
      </c>
      <c r="F776" s="464" t="s">
        <v>3286</v>
      </c>
      <c r="G776" s="464" t="s">
        <v>3028</v>
      </c>
      <c r="H776" s="464" t="s">
        <v>3029</v>
      </c>
      <c r="I776" s="464" t="s">
        <v>1684</v>
      </c>
    </row>
    <row r="777" ht="15.95" customHeight="1">
      <c r="A777" s="464" t="s">
        <v>3302</v>
      </c>
      <c r="B777" s="464" t="s">
        <v>3303</v>
      </c>
      <c r="C777" s="464"/>
      <c r="D777" s="464" t="s">
        <v>1709</v>
      </c>
      <c r="E777" s="464" t="s">
        <v>3285</v>
      </c>
      <c r="F777" s="464" t="s">
        <v>3286</v>
      </c>
      <c r="G777" s="464" t="s">
        <v>3028</v>
      </c>
      <c r="H777" s="464" t="s">
        <v>3029</v>
      </c>
      <c r="I777" s="464" t="s">
        <v>1684</v>
      </c>
    </row>
    <row r="778" ht="15.95" customHeight="1">
      <c r="A778" s="464" t="s">
        <v>3304</v>
      </c>
      <c r="B778" s="464" t="s">
        <v>2796</v>
      </c>
      <c r="C778" s="464"/>
      <c r="D778" s="464" t="s">
        <v>1709</v>
      </c>
      <c r="E778" s="464" t="s">
        <v>3285</v>
      </c>
      <c r="F778" s="464" t="s">
        <v>3286</v>
      </c>
      <c r="G778" s="464" t="s">
        <v>3028</v>
      </c>
      <c r="H778" s="464" t="s">
        <v>3029</v>
      </c>
      <c r="I778" s="464" t="s">
        <v>1684</v>
      </c>
    </row>
    <row r="779" ht="15.95" customHeight="1">
      <c r="A779" s="464" t="s">
        <v>3305</v>
      </c>
      <c r="B779" s="464" t="s">
        <v>1717</v>
      </c>
      <c r="C779" s="464"/>
      <c r="D779" s="464" t="s">
        <v>1709</v>
      </c>
      <c r="E779" s="464" t="s">
        <v>3285</v>
      </c>
      <c r="F779" s="464" t="s">
        <v>3286</v>
      </c>
      <c r="G779" s="464" t="s">
        <v>3028</v>
      </c>
      <c r="H779" s="464" t="s">
        <v>3029</v>
      </c>
      <c r="I779" s="464" t="s">
        <v>1684</v>
      </c>
    </row>
    <row r="780" ht="15.95" customHeight="1">
      <c r="A780" s="464" t="s">
        <v>3306</v>
      </c>
      <c r="B780" s="464" t="s">
        <v>2546</v>
      </c>
      <c r="C780" s="464"/>
      <c r="D780" s="464" t="s">
        <v>1709</v>
      </c>
      <c r="E780" s="464" t="s">
        <v>3285</v>
      </c>
      <c r="F780" s="464" t="s">
        <v>3286</v>
      </c>
      <c r="G780" s="464" t="s">
        <v>3028</v>
      </c>
      <c r="H780" s="464" t="s">
        <v>3029</v>
      </c>
      <c r="I780" s="464" t="s">
        <v>1684</v>
      </c>
    </row>
    <row r="781" ht="15.95" customHeight="1">
      <c r="A781" s="464" t="s">
        <v>3307</v>
      </c>
      <c r="B781" s="464" t="s">
        <v>1783</v>
      </c>
      <c r="C781" s="464"/>
      <c r="D781" s="464" t="s">
        <v>1709</v>
      </c>
      <c r="E781" s="464" t="s">
        <v>3285</v>
      </c>
      <c r="F781" s="464" t="s">
        <v>3286</v>
      </c>
      <c r="G781" s="464" t="s">
        <v>3028</v>
      </c>
      <c r="H781" s="464" t="s">
        <v>3029</v>
      </c>
      <c r="I781" s="464" t="s">
        <v>1684</v>
      </c>
    </row>
    <row r="782" ht="15.95" customHeight="1">
      <c r="A782" s="464" t="s">
        <v>3308</v>
      </c>
      <c r="B782" s="464" t="s">
        <v>3309</v>
      </c>
      <c r="C782" s="464"/>
      <c r="D782" s="464" t="s">
        <v>1738</v>
      </c>
      <c r="E782" s="464" t="s">
        <v>3310</v>
      </c>
      <c r="F782" s="464" t="s">
        <v>3311</v>
      </c>
      <c r="G782" s="464" t="s">
        <v>3028</v>
      </c>
      <c r="H782" s="464" t="s">
        <v>3029</v>
      </c>
      <c r="I782" s="464" t="s">
        <v>1684</v>
      </c>
    </row>
    <row r="783" ht="15.95" customHeight="1">
      <c r="A783" s="464" t="s">
        <v>3312</v>
      </c>
      <c r="B783" s="464" t="s">
        <v>3313</v>
      </c>
      <c r="C783" s="464"/>
      <c r="D783" s="464" t="s">
        <v>1709</v>
      </c>
      <c r="E783" s="464" t="s">
        <v>3310</v>
      </c>
      <c r="F783" s="464" t="s">
        <v>3311</v>
      </c>
      <c r="G783" s="464" t="s">
        <v>3028</v>
      </c>
      <c r="H783" s="464" t="s">
        <v>3029</v>
      </c>
      <c r="I783" s="464" t="s">
        <v>1684</v>
      </c>
    </row>
    <row r="784" ht="15.95" customHeight="1">
      <c r="A784" s="464" t="s">
        <v>3314</v>
      </c>
      <c r="B784" s="464" t="s">
        <v>3315</v>
      </c>
      <c r="C784" s="464"/>
      <c r="D784" s="464" t="s">
        <v>1709</v>
      </c>
      <c r="E784" s="464" t="s">
        <v>3310</v>
      </c>
      <c r="F784" s="464" t="s">
        <v>3311</v>
      </c>
      <c r="G784" s="464" t="s">
        <v>3028</v>
      </c>
      <c r="H784" s="464" t="s">
        <v>3029</v>
      </c>
      <c r="I784" s="464" t="s">
        <v>1684</v>
      </c>
    </row>
    <row r="785" ht="15.95" customHeight="1">
      <c r="A785" s="464" t="s">
        <v>3316</v>
      </c>
      <c r="B785" s="464" t="s">
        <v>3317</v>
      </c>
      <c r="C785" s="464"/>
      <c r="D785" s="464" t="s">
        <v>1709</v>
      </c>
      <c r="E785" s="464" t="s">
        <v>3310</v>
      </c>
      <c r="F785" s="464" t="s">
        <v>3311</v>
      </c>
      <c r="G785" s="464" t="s">
        <v>3028</v>
      </c>
      <c r="H785" s="464" t="s">
        <v>3029</v>
      </c>
      <c r="I785" s="464" t="s">
        <v>1684</v>
      </c>
    </row>
    <row r="786" ht="15.95" customHeight="1">
      <c r="A786" s="464" t="s">
        <v>3318</v>
      </c>
      <c r="B786" s="464" t="s">
        <v>2121</v>
      </c>
      <c r="C786" s="464"/>
      <c r="D786" s="464" t="s">
        <v>1709</v>
      </c>
      <c r="E786" s="464" t="s">
        <v>3310</v>
      </c>
      <c r="F786" s="464" t="s">
        <v>3311</v>
      </c>
      <c r="G786" s="464" t="s">
        <v>3028</v>
      </c>
      <c r="H786" s="464" t="s">
        <v>3029</v>
      </c>
      <c r="I786" s="464" t="s">
        <v>1684</v>
      </c>
    </row>
    <row r="787" ht="15.95" customHeight="1">
      <c r="A787" s="464" t="s">
        <v>3319</v>
      </c>
      <c r="B787" s="464" t="s">
        <v>2127</v>
      </c>
      <c r="C787" s="464"/>
      <c r="D787" s="464" t="s">
        <v>1709</v>
      </c>
      <c r="E787" s="464" t="s">
        <v>3310</v>
      </c>
      <c r="F787" s="464" t="s">
        <v>3311</v>
      </c>
      <c r="G787" s="464" t="s">
        <v>3028</v>
      </c>
      <c r="H787" s="464" t="s">
        <v>3029</v>
      </c>
      <c r="I787" s="464" t="s">
        <v>1684</v>
      </c>
    </row>
    <row r="788" ht="15.95" customHeight="1">
      <c r="A788" s="464" t="s">
        <v>3320</v>
      </c>
      <c r="B788" s="464" t="s">
        <v>3321</v>
      </c>
      <c r="C788" s="464"/>
      <c r="D788" s="464" t="s">
        <v>1709</v>
      </c>
      <c r="E788" s="464" t="s">
        <v>3310</v>
      </c>
      <c r="F788" s="464" t="s">
        <v>3311</v>
      </c>
      <c r="G788" s="464" t="s">
        <v>3028</v>
      </c>
      <c r="H788" s="464" t="s">
        <v>3029</v>
      </c>
      <c r="I788" s="464" t="s">
        <v>1684</v>
      </c>
    </row>
    <row r="789" ht="15.95" customHeight="1">
      <c r="A789" s="464" t="s">
        <v>3322</v>
      </c>
      <c r="B789" s="464" t="s">
        <v>3323</v>
      </c>
      <c r="C789" s="464"/>
      <c r="D789" s="464" t="s">
        <v>1709</v>
      </c>
      <c r="E789" s="464" t="s">
        <v>3310</v>
      </c>
      <c r="F789" s="464" t="s">
        <v>3311</v>
      </c>
      <c r="G789" s="464" t="s">
        <v>3028</v>
      </c>
      <c r="H789" s="464" t="s">
        <v>3029</v>
      </c>
      <c r="I789" s="464" t="s">
        <v>1684</v>
      </c>
    </row>
    <row r="790" ht="15.95" customHeight="1">
      <c r="A790" s="464" t="s">
        <v>3324</v>
      </c>
      <c r="B790" s="464" t="s">
        <v>3325</v>
      </c>
      <c r="C790" s="464"/>
      <c r="D790" s="464" t="s">
        <v>1709</v>
      </c>
      <c r="E790" s="464" t="s">
        <v>3310</v>
      </c>
      <c r="F790" s="464" t="s">
        <v>3311</v>
      </c>
      <c r="G790" s="464" t="s">
        <v>3028</v>
      </c>
      <c r="H790" s="464" t="s">
        <v>3029</v>
      </c>
      <c r="I790" s="464" t="s">
        <v>1684</v>
      </c>
    </row>
    <row r="791" ht="15.95" customHeight="1">
      <c r="A791" s="464" t="s">
        <v>3326</v>
      </c>
      <c r="B791" s="464" t="s">
        <v>3327</v>
      </c>
      <c r="C791" s="464"/>
      <c r="D791" s="464" t="s">
        <v>1709</v>
      </c>
      <c r="E791" s="464" t="s">
        <v>3310</v>
      </c>
      <c r="F791" s="464" t="s">
        <v>3311</v>
      </c>
      <c r="G791" s="464" t="s">
        <v>3028</v>
      </c>
      <c r="H791" s="464" t="s">
        <v>3029</v>
      </c>
      <c r="I791" s="464" t="s">
        <v>1684</v>
      </c>
    </row>
    <row r="792" ht="15.95" customHeight="1">
      <c r="A792" s="464" t="s">
        <v>3328</v>
      </c>
      <c r="B792" s="464" t="s">
        <v>3329</v>
      </c>
      <c r="C792" s="464"/>
      <c r="D792" s="464" t="s">
        <v>1709</v>
      </c>
      <c r="E792" s="464" t="s">
        <v>3310</v>
      </c>
      <c r="F792" s="464" t="s">
        <v>3311</v>
      </c>
      <c r="G792" s="464" t="s">
        <v>3028</v>
      </c>
      <c r="H792" s="464" t="s">
        <v>3029</v>
      </c>
      <c r="I792" s="464" t="s">
        <v>1684</v>
      </c>
    </row>
    <row r="793" ht="15.95" customHeight="1">
      <c r="A793" s="464" t="s">
        <v>3330</v>
      </c>
      <c r="B793" s="464" t="s">
        <v>3331</v>
      </c>
      <c r="C793" s="464"/>
      <c r="D793" s="464" t="s">
        <v>1709</v>
      </c>
      <c r="E793" s="464" t="s">
        <v>3310</v>
      </c>
      <c r="F793" s="464" t="s">
        <v>3311</v>
      </c>
      <c r="G793" s="464" t="s">
        <v>3028</v>
      </c>
      <c r="H793" s="464" t="s">
        <v>3029</v>
      </c>
      <c r="I793" s="464" t="s">
        <v>1684</v>
      </c>
    </row>
    <row r="794" ht="15.95" customHeight="1">
      <c r="A794" s="464" t="s">
        <v>3332</v>
      </c>
      <c r="B794" s="464" t="s">
        <v>3333</v>
      </c>
      <c r="C794" s="464"/>
      <c r="D794" s="464" t="s">
        <v>1709</v>
      </c>
      <c r="E794" s="464" t="s">
        <v>3310</v>
      </c>
      <c r="F794" s="464" t="s">
        <v>3311</v>
      </c>
      <c r="G794" s="464" t="s">
        <v>3028</v>
      </c>
      <c r="H794" s="464" t="s">
        <v>3029</v>
      </c>
      <c r="I794" s="464" t="s">
        <v>1684</v>
      </c>
    </row>
    <row r="795" ht="15.95" customHeight="1">
      <c r="A795" s="464" t="s">
        <v>3334</v>
      </c>
      <c r="B795" s="464" t="s">
        <v>3335</v>
      </c>
      <c r="C795" s="464"/>
      <c r="D795" s="464" t="s">
        <v>1709</v>
      </c>
      <c r="E795" s="464" t="s">
        <v>3310</v>
      </c>
      <c r="F795" s="464" t="s">
        <v>3311</v>
      </c>
      <c r="G795" s="464" t="s">
        <v>3028</v>
      </c>
      <c r="H795" s="464" t="s">
        <v>3029</v>
      </c>
      <c r="I795" s="464" t="s">
        <v>1684</v>
      </c>
    </row>
    <row r="796" ht="15.95" customHeight="1">
      <c r="A796" s="464" t="s">
        <v>3336</v>
      </c>
      <c r="B796" s="464" t="s">
        <v>3337</v>
      </c>
      <c r="C796" s="464"/>
      <c r="D796" s="464" t="s">
        <v>1709</v>
      </c>
      <c r="E796" s="464" t="s">
        <v>3310</v>
      </c>
      <c r="F796" s="464" t="s">
        <v>3311</v>
      </c>
      <c r="G796" s="464" t="s">
        <v>3028</v>
      </c>
      <c r="H796" s="464" t="s">
        <v>3029</v>
      </c>
      <c r="I796" s="464" t="s">
        <v>1684</v>
      </c>
    </row>
    <row r="797" ht="15.95" customHeight="1">
      <c r="A797" s="464" t="s">
        <v>3338</v>
      </c>
      <c r="B797" s="464" t="s">
        <v>3339</v>
      </c>
      <c r="C797" s="464"/>
      <c r="D797" s="464" t="s">
        <v>1709</v>
      </c>
      <c r="E797" s="464" t="s">
        <v>3340</v>
      </c>
      <c r="F797" s="464" t="s">
        <v>3341</v>
      </c>
      <c r="G797" s="464" t="s">
        <v>3028</v>
      </c>
      <c r="H797" s="464" t="s">
        <v>3029</v>
      </c>
      <c r="I797" s="464" t="s">
        <v>1684</v>
      </c>
    </row>
    <row r="798" ht="15.95" customHeight="1">
      <c r="A798" s="464" t="s">
        <v>3342</v>
      </c>
      <c r="B798" s="464" t="s">
        <v>2636</v>
      </c>
      <c r="C798" s="464"/>
      <c r="D798" s="464" t="s">
        <v>1709</v>
      </c>
      <c r="E798" s="464" t="s">
        <v>3340</v>
      </c>
      <c r="F798" s="464" t="s">
        <v>3341</v>
      </c>
      <c r="G798" s="464" t="s">
        <v>3028</v>
      </c>
      <c r="H798" s="464" t="s">
        <v>3029</v>
      </c>
      <c r="I798" s="464" t="s">
        <v>1684</v>
      </c>
    </row>
    <row r="799" ht="15.95" customHeight="1">
      <c r="A799" s="464" t="s">
        <v>3343</v>
      </c>
      <c r="B799" s="464" t="s">
        <v>3344</v>
      </c>
      <c r="C799" s="464"/>
      <c r="D799" s="464" t="s">
        <v>1709</v>
      </c>
      <c r="E799" s="464" t="s">
        <v>3340</v>
      </c>
      <c r="F799" s="464" t="s">
        <v>3341</v>
      </c>
      <c r="G799" s="464" t="s">
        <v>3028</v>
      </c>
      <c r="H799" s="464" t="s">
        <v>3029</v>
      </c>
      <c r="I799" s="464" t="s">
        <v>1684</v>
      </c>
    </row>
    <row r="800" ht="15.95" customHeight="1">
      <c r="A800" s="464" t="s">
        <v>3345</v>
      </c>
      <c r="B800" s="464" t="s">
        <v>3346</v>
      </c>
      <c r="C800" s="464"/>
      <c r="D800" s="464" t="s">
        <v>1709</v>
      </c>
      <c r="E800" s="464" t="s">
        <v>3340</v>
      </c>
      <c r="F800" s="464" t="s">
        <v>3341</v>
      </c>
      <c r="G800" s="464" t="s">
        <v>3028</v>
      </c>
      <c r="H800" s="464" t="s">
        <v>3029</v>
      </c>
      <c r="I800" s="464" t="s">
        <v>1684</v>
      </c>
    </row>
    <row r="801" ht="15.95" customHeight="1">
      <c r="A801" s="464" t="s">
        <v>3347</v>
      </c>
      <c r="B801" s="464" t="s">
        <v>3348</v>
      </c>
      <c r="C801" s="464"/>
      <c r="D801" s="464" t="s">
        <v>1709</v>
      </c>
      <c r="E801" s="464" t="s">
        <v>3340</v>
      </c>
      <c r="F801" s="464" t="s">
        <v>3341</v>
      </c>
      <c r="G801" s="464" t="s">
        <v>3028</v>
      </c>
      <c r="H801" s="464" t="s">
        <v>3029</v>
      </c>
      <c r="I801" s="464" t="s">
        <v>1684</v>
      </c>
    </row>
    <row r="802" ht="15.95" customHeight="1">
      <c r="A802" s="464" t="s">
        <v>3349</v>
      </c>
      <c r="B802" s="464" t="s">
        <v>2256</v>
      </c>
      <c r="C802" s="464"/>
      <c r="D802" s="464" t="s">
        <v>1709</v>
      </c>
      <c r="E802" s="464" t="s">
        <v>3340</v>
      </c>
      <c r="F802" s="464" t="s">
        <v>3341</v>
      </c>
      <c r="G802" s="464" t="s">
        <v>3028</v>
      </c>
      <c r="H802" s="464" t="s">
        <v>3029</v>
      </c>
      <c r="I802" s="464" t="s">
        <v>1684</v>
      </c>
    </row>
    <row r="803" ht="15.95" customHeight="1">
      <c r="A803" s="464" t="s">
        <v>3350</v>
      </c>
      <c r="B803" s="464" t="s">
        <v>3351</v>
      </c>
      <c r="C803" s="464"/>
      <c r="D803" s="464" t="s">
        <v>1709</v>
      </c>
      <c r="E803" s="464" t="s">
        <v>3340</v>
      </c>
      <c r="F803" s="464" t="s">
        <v>3341</v>
      </c>
      <c r="G803" s="464" t="s">
        <v>3028</v>
      </c>
      <c r="H803" s="464" t="s">
        <v>3029</v>
      </c>
      <c r="I803" s="464" t="s">
        <v>1684</v>
      </c>
    </row>
    <row r="804" ht="15.95" customHeight="1">
      <c r="A804" s="464" t="s">
        <v>3352</v>
      </c>
      <c r="B804" s="464" t="s">
        <v>3353</v>
      </c>
      <c r="C804" s="464"/>
      <c r="D804" s="464" t="s">
        <v>1709</v>
      </c>
      <c r="E804" s="464" t="s">
        <v>3340</v>
      </c>
      <c r="F804" s="464" t="s">
        <v>3341</v>
      </c>
      <c r="G804" s="464" t="s">
        <v>3028</v>
      </c>
      <c r="H804" s="464" t="s">
        <v>3029</v>
      </c>
      <c r="I804" s="464" t="s">
        <v>1684</v>
      </c>
    </row>
    <row r="805" ht="15.95" customHeight="1">
      <c r="A805" s="464" t="s">
        <v>3354</v>
      </c>
      <c r="B805" s="464" t="s">
        <v>3355</v>
      </c>
      <c r="C805" s="464"/>
      <c r="D805" s="464" t="s">
        <v>1709</v>
      </c>
      <c r="E805" s="464" t="s">
        <v>3340</v>
      </c>
      <c r="F805" s="464" t="s">
        <v>3341</v>
      </c>
      <c r="G805" s="464" t="s">
        <v>3028</v>
      </c>
      <c r="H805" s="464" t="s">
        <v>3029</v>
      </c>
      <c r="I805" s="464" t="s">
        <v>1684</v>
      </c>
    </row>
    <row r="806" ht="15.95" customHeight="1">
      <c r="A806" s="464" t="s">
        <v>3356</v>
      </c>
      <c r="B806" s="464" t="s">
        <v>3357</v>
      </c>
      <c r="C806" s="464"/>
      <c r="D806" s="464" t="s">
        <v>1709</v>
      </c>
      <c r="E806" s="464" t="s">
        <v>3340</v>
      </c>
      <c r="F806" s="464" t="s">
        <v>3341</v>
      </c>
      <c r="G806" s="464" t="s">
        <v>3028</v>
      </c>
      <c r="H806" s="464" t="s">
        <v>3029</v>
      </c>
      <c r="I806" s="464" t="s">
        <v>1684</v>
      </c>
    </row>
    <row r="807" ht="15.95" customHeight="1">
      <c r="A807" s="464" t="s">
        <v>3358</v>
      </c>
      <c r="B807" s="464" t="s">
        <v>3359</v>
      </c>
      <c r="C807" s="464"/>
      <c r="D807" s="464" t="s">
        <v>1709</v>
      </c>
      <c r="E807" s="464" t="s">
        <v>3340</v>
      </c>
      <c r="F807" s="464" t="s">
        <v>3341</v>
      </c>
      <c r="G807" s="464" t="s">
        <v>3028</v>
      </c>
      <c r="H807" s="464" t="s">
        <v>3029</v>
      </c>
      <c r="I807" s="464" t="s">
        <v>1684</v>
      </c>
    </row>
    <row r="808" ht="15.95" customHeight="1">
      <c r="A808" s="464" t="s">
        <v>3360</v>
      </c>
      <c r="B808" s="464" t="s">
        <v>2538</v>
      </c>
      <c r="C808" s="464"/>
      <c r="D808" s="464" t="s">
        <v>1709</v>
      </c>
      <c r="E808" s="464" t="s">
        <v>3340</v>
      </c>
      <c r="F808" s="464" t="s">
        <v>3341</v>
      </c>
      <c r="G808" s="464" t="s">
        <v>3028</v>
      </c>
      <c r="H808" s="464" t="s">
        <v>3029</v>
      </c>
      <c r="I808" s="464" t="s">
        <v>1684</v>
      </c>
    </row>
    <row r="809" ht="15.95" customHeight="1">
      <c r="A809" s="464" t="s">
        <v>3361</v>
      </c>
      <c r="B809" s="464" t="s">
        <v>1287</v>
      </c>
      <c r="C809" s="464"/>
      <c r="D809" s="464" t="s">
        <v>1679</v>
      </c>
      <c r="E809" s="464" t="s">
        <v>3362</v>
      </c>
      <c r="F809" s="464" t="s">
        <v>3363</v>
      </c>
      <c r="G809" s="464" t="s">
        <v>3364</v>
      </c>
      <c r="H809" s="464" t="s">
        <v>3365</v>
      </c>
      <c r="I809" s="464" t="s">
        <v>1684</v>
      </c>
    </row>
    <row r="810" ht="15.95" customHeight="1">
      <c r="A810" s="464" t="s">
        <v>3366</v>
      </c>
      <c r="B810" s="464" t="s">
        <v>3367</v>
      </c>
      <c r="C810" s="464" t="s">
        <v>3368</v>
      </c>
      <c r="D810" s="464" t="s">
        <v>1679</v>
      </c>
      <c r="E810" s="464" t="s">
        <v>3362</v>
      </c>
      <c r="F810" s="464" t="s">
        <v>3363</v>
      </c>
      <c r="G810" s="464" t="s">
        <v>3364</v>
      </c>
      <c r="H810" s="464" t="s">
        <v>3365</v>
      </c>
      <c r="I810" s="464" t="s">
        <v>1684</v>
      </c>
    </row>
    <row r="811" ht="15.95" customHeight="1">
      <c r="A811" s="464" t="s">
        <v>3369</v>
      </c>
      <c r="B811" s="464" t="s">
        <v>2110</v>
      </c>
      <c r="C811" s="464"/>
      <c r="D811" s="464" t="s">
        <v>1679</v>
      </c>
      <c r="E811" s="464" t="s">
        <v>3362</v>
      </c>
      <c r="F811" s="464" t="s">
        <v>3363</v>
      </c>
      <c r="G811" s="464" t="s">
        <v>3364</v>
      </c>
      <c r="H811" s="464" t="s">
        <v>3365</v>
      </c>
      <c r="I811" s="464" t="s">
        <v>1684</v>
      </c>
    </row>
    <row r="812" ht="15.95" customHeight="1">
      <c r="A812" s="464" t="s">
        <v>3370</v>
      </c>
      <c r="B812" s="464" t="s">
        <v>1269</v>
      </c>
      <c r="C812" s="464"/>
      <c r="D812" s="464" t="s">
        <v>1679</v>
      </c>
      <c r="E812" s="464" t="s">
        <v>3362</v>
      </c>
      <c r="F812" s="464" t="s">
        <v>3363</v>
      </c>
      <c r="G812" s="464" t="s">
        <v>3364</v>
      </c>
      <c r="H812" s="464" t="s">
        <v>3365</v>
      </c>
      <c r="I812" s="464" t="s">
        <v>1684</v>
      </c>
    </row>
    <row r="813" ht="15.95" customHeight="1">
      <c r="A813" s="464" t="s">
        <v>3371</v>
      </c>
      <c r="B813" s="464" t="s">
        <v>1282</v>
      </c>
      <c r="C813" s="464"/>
      <c r="D813" s="464" t="s">
        <v>1679</v>
      </c>
      <c r="E813" s="464" t="s">
        <v>3362</v>
      </c>
      <c r="F813" s="464" t="s">
        <v>3363</v>
      </c>
      <c r="G813" s="464" t="s">
        <v>3364</v>
      </c>
      <c r="H813" s="464" t="s">
        <v>3365</v>
      </c>
      <c r="I813" s="464" t="s">
        <v>1684</v>
      </c>
    </row>
    <row r="814" ht="15.95" customHeight="1">
      <c r="A814" s="464" t="s">
        <v>3372</v>
      </c>
      <c r="B814" s="464" t="s">
        <v>2115</v>
      </c>
      <c r="C814" s="464"/>
      <c r="D814" s="464" t="s">
        <v>1679</v>
      </c>
      <c r="E814" s="464" t="s">
        <v>3362</v>
      </c>
      <c r="F814" s="464" t="s">
        <v>3363</v>
      </c>
      <c r="G814" s="464" t="s">
        <v>3364</v>
      </c>
      <c r="H814" s="464" t="s">
        <v>3365</v>
      </c>
      <c r="I814" s="464" t="s">
        <v>1684</v>
      </c>
    </row>
    <row r="815" ht="15.95" customHeight="1">
      <c r="A815" s="464" t="s">
        <v>3373</v>
      </c>
      <c r="B815" s="464" t="s">
        <v>3374</v>
      </c>
      <c r="C815" s="464"/>
      <c r="D815" s="464" t="s">
        <v>1679</v>
      </c>
      <c r="E815" s="464" t="s">
        <v>3362</v>
      </c>
      <c r="F815" s="464" t="s">
        <v>3363</v>
      </c>
      <c r="G815" s="464" t="s">
        <v>3364</v>
      </c>
      <c r="H815" s="464" t="s">
        <v>3365</v>
      </c>
      <c r="I815" s="464" t="s">
        <v>1684</v>
      </c>
    </row>
    <row r="816" ht="15.95" customHeight="1">
      <c r="A816" s="464" t="s">
        <v>3375</v>
      </c>
      <c r="B816" s="464" t="s">
        <v>1281</v>
      </c>
      <c r="C816" s="464"/>
      <c r="D816" s="464" t="s">
        <v>1679</v>
      </c>
      <c r="E816" s="464" t="s">
        <v>3362</v>
      </c>
      <c r="F816" s="464" t="s">
        <v>3363</v>
      </c>
      <c r="G816" s="464" t="s">
        <v>3364</v>
      </c>
      <c r="H816" s="464" t="s">
        <v>3365</v>
      </c>
      <c r="I816" s="464" t="s">
        <v>1684</v>
      </c>
    </row>
    <row r="817" ht="15.95" customHeight="1">
      <c r="A817" s="464" t="s">
        <v>3376</v>
      </c>
      <c r="B817" s="464" t="s">
        <v>3377</v>
      </c>
      <c r="C817" s="464" t="s">
        <v>3378</v>
      </c>
      <c r="D817" s="464" t="s">
        <v>1679</v>
      </c>
      <c r="E817" s="464" t="s">
        <v>3362</v>
      </c>
      <c r="F817" s="464" t="s">
        <v>3363</v>
      </c>
      <c r="G817" s="464" t="s">
        <v>3364</v>
      </c>
      <c r="H817" s="464" t="s">
        <v>3365</v>
      </c>
      <c r="I817" s="464" t="s">
        <v>1684</v>
      </c>
    </row>
    <row r="818" ht="15.95" customHeight="1">
      <c r="A818" s="464" t="s">
        <v>3379</v>
      </c>
      <c r="B818" s="464" t="s">
        <v>1279</v>
      </c>
      <c r="C818" s="464"/>
      <c r="D818" s="464" t="s">
        <v>1679</v>
      </c>
      <c r="E818" s="464" t="s">
        <v>3362</v>
      </c>
      <c r="F818" s="464" t="s">
        <v>3363</v>
      </c>
      <c r="G818" s="464" t="s">
        <v>3364</v>
      </c>
      <c r="H818" s="464" t="s">
        <v>3365</v>
      </c>
      <c r="I818" s="464" t="s">
        <v>1684</v>
      </c>
    </row>
    <row r="819" ht="15.95" customHeight="1">
      <c r="A819" s="464" t="s">
        <v>3380</v>
      </c>
      <c r="B819" s="464" t="s">
        <v>1266</v>
      </c>
      <c r="C819" s="464"/>
      <c r="D819" s="464" t="s">
        <v>1679</v>
      </c>
      <c r="E819" s="464" t="s">
        <v>3362</v>
      </c>
      <c r="F819" s="464" t="s">
        <v>3363</v>
      </c>
      <c r="G819" s="464" t="s">
        <v>3364</v>
      </c>
      <c r="H819" s="464" t="s">
        <v>3365</v>
      </c>
      <c r="I819" s="464" t="s">
        <v>1684</v>
      </c>
    </row>
    <row r="820" ht="15.95" customHeight="1">
      <c r="A820" s="464" t="s">
        <v>3381</v>
      </c>
      <c r="B820" s="464" t="s">
        <v>3382</v>
      </c>
      <c r="C820" s="464"/>
      <c r="D820" s="464" t="s">
        <v>1679</v>
      </c>
      <c r="E820" s="464" t="s">
        <v>3362</v>
      </c>
      <c r="F820" s="464" t="s">
        <v>3363</v>
      </c>
      <c r="G820" s="464" t="s">
        <v>3364</v>
      </c>
      <c r="H820" s="464" t="s">
        <v>3365</v>
      </c>
      <c r="I820" s="464" t="s">
        <v>1684</v>
      </c>
    </row>
    <row r="821" ht="15.95" customHeight="1">
      <c r="A821" s="464" t="s">
        <v>3383</v>
      </c>
      <c r="B821" s="464" t="s">
        <v>3384</v>
      </c>
      <c r="C821" s="464" t="s">
        <v>3385</v>
      </c>
      <c r="D821" s="464" t="s">
        <v>1679</v>
      </c>
      <c r="E821" s="464" t="s">
        <v>3362</v>
      </c>
      <c r="F821" s="464" t="s">
        <v>3363</v>
      </c>
      <c r="G821" s="464" t="s">
        <v>3364</v>
      </c>
      <c r="H821" s="464" t="s">
        <v>3365</v>
      </c>
      <c r="I821" s="464" t="s">
        <v>1684</v>
      </c>
    </row>
    <row r="822" ht="15.95" customHeight="1">
      <c r="A822" s="464" t="s">
        <v>3386</v>
      </c>
      <c r="B822" s="464" t="s">
        <v>1270</v>
      </c>
      <c r="C822" s="464"/>
      <c r="D822" s="464" t="s">
        <v>1679</v>
      </c>
      <c r="E822" s="464" t="s">
        <v>3362</v>
      </c>
      <c r="F822" s="464" t="s">
        <v>3363</v>
      </c>
      <c r="G822" s="464" t="s">
        <v>3364</v>
      </c>
      <c r="H822" s="464" t="s">
        <v>3365</v>
      </c>
      <c r="I822" s="464" t="s">
        <v>1684</v>
      </c>
    </row>
    <row r="823" ht="15.95" customHeight="1">
      <c r="A823" s="464" t="s">
        <v>3387</v>
      </c>
      <c r="B823" s="464" t="s">
        <v>1278</v>
      </c>
      <c r="C823" s="464"/>
      <c r="D823" s="464" t="s">
        <v>1679</v>
      </c>
      <c r="E823" s="464" t="s">
        <v>3362</v>
      </c>
      <c r="F823" s="464" t="s">
        <v>3363</v>
      </c>
      <c r="G823" s="464" t="s">
        <v>3364</v>
      </c>
      <c r="H823" s="464" t="s">
        <v>3365</v>
      </c>
      <c r="I823" s="464" t="s">
        <v>1684</v>
      </c>
    </row>
    <row r="824" ht="15.95" customHeight="1">
      <c r="A824" s="464" t="s">
        <v>3388</v>
      </c>
      <c r="B824" s="464" t="s">
        <v>2107</v>
      </c>
      <c r="C824" s="464"/>
      <c r="D824" s="464" t="s">
        <v>1679</v>
      </c>
      <c r="E824" s="464" t="s">
        <v>3362</v>
      </c>
      <c r="F824" s="464" t="s">
        <v>3363</v>
      </c>
      <c r="G824" s="464" t="s">
        <v>3364</v>
      </c>
      <c r="H824" s="464" t="s">
        <v>3365</v>
      </c>
      <c r="I824" s="464" t="s">
        <v>1684</v>
      </c>
    </row>
    <row r="825" ht="15.95" customHeight="1">
      <c r="A825" s="464" t="s">
        <v>3389</v>
      </c>
      <c r="B825" s="464" t="s">
        <v>3390</v>
      </c>
      <c r="C825" s="464"/>
      <c r="D825" s="464" t="s">
        <v>1709</v>
      </c>
      <c r="E825" s="464" t="s">
        <v>3362</v>
      </c>
      <c r="F825" s="464" t="s">
        <v>3363</v>
      </c>
      <c r="G825" s="464" t="s">
        <v>3364</v>
      </c>
      <c r="H825" s="464" t="s">
        <v>3365</v>
      </c>
      <c r="I825" s="464" t="s">
        <v>1684</v>
      </c>
    </row>
    <row r="826" ht="15.95" customHeight="1">
      <c r="A826" s="464" t="s">
        <v>3391</v>
      </c>
      <c r="B826" s="464" t="s">
        <v>3392</v>
      </c>
      <c r="C826" s="464"/>
      <c r="D826" s="464" t="s">
        <v>1679</v>
      </c>
      <c r="E826" s="464" t="s">
        <v>3393</v>
      </c>
      <c r="F826" s="464" t="s">
        <v>3394</v>
      </c>
      <c r="G826" s="464" t="s">
        <v>3364</v>
      </c>
      <c r="H826" s="464" t="s">
        <v>3365</v>
      </c>
      <c r="I826" s="464" t="s">
        <v>1684</v>
      </c>
    </row>
    <row r="827" ht="15.95" customHeight="1">
      <c r="A827" s="464" t="s">
        <v>3395</v>
      </c>
      <c r="B827" s="464" t="s">
        <v>3396</v>
      </c>
      <c r="C827" s="464"/>
      <c r="D827" s="464" t="s">
        <v>1679</v>
      </c>
      <c r="E827" s="464" t="s">
        <v>3393</v>
      </c>
      <c r="F827" s="464" t="s">
        <v>3394</v>
      </c>
      <c r="G827" s="464" t="s">
        <v>3364</v>
      </c>
      <c r="H827" s="464" t="s">
        <v>3365</v>
      </c>
      <c r="I827" s="464" t="s">
        <v>1684</v>
      </c>
    </row>
    <row r="828" ht="15.95" customHeight="1">
      <c r="A828" s="464" t="s">
        <v>3397</v>
      </c>
      <c r="B828" s="464" t="s">
        <v>3398</v>
      </c>
      <c r="C828" s="464"/>
      <c r="D828" s="464" t="s">
        <v>1679</v>
      </c>
      <c r="E828" s="464" t="s">
        <v>3393</v>
      </c>
      <c r="F828" s="464" t="s">
        <v>3394</v>
      </c>
      <c r="G828" s="464" t="s">
        <v>3364</v>
      </c>
      <c r="H828" s="464" t="s">
        <v>3365</v>
      </c>
      <c r="I828" s="464" t="s">
        <v>1684</v>
      </c>
    </row>
    <row r="829" ht="15.95" customHeight="1">
      <c r="A829" s="464" t="s">
        <v>3399</v>
      </c>
      <c r="B829" s="464" t="s">
        <v>3400</v>
      </c>
      <c r="C829" s="464"/>
      <c r="D829" s="464" t="s">
        <v>1679</v>
      </c>
      <c r="E829" s="464" t="s">
        <v>3393</v>
      </c>
      <c r="F829" s="464" t="s">
        <v>3394</v>
      </c>
      <c r="G829" s="464" t="s">
        <v>3364</v>
      </c>
      <c r="H829" s="464" t="s">
        <v>3365</v>
      </c>
      <c r="I829" s="464" t="s">
        <v>1684</v>
      </c>
    </row>
    <row r="830" ht="15.95" customHeight="1">
      <c r="A830" s="464" t="s">
        <v>3401</v>
      </c>
      <c r="B830" s="464" t="s">
        <v>3402</v>
      </c>
      <c r="C830" s="464" t="s">
        <v>3403</v>
      </c>
      <c r="D830" s="464" t="s">
        <v>1679</v>
      </c>
      <c r="E830" s="464" t="s">
        <v>3393</v>
      </c>
      <c r="F830" s="464" t="s">
        <v>3394</v>
      </c>
      <c r="G830" s="464" t="s">
        <v>3364</v>
      </c>
      <c r="H830" s="464" t="s">
        <v>3365</v>
      </c>
      <c r="I830" s="464" t="s">
        <v>1684</v>
      </c>
    </row>
    <row r="831" ht="15.95" customHeight="1">
      <c r="A831" s="464" t="s">
        <v>3404</v>
      </c>
      <c r="B831" s="464" t="s">
        <v>3405</v>
      </c>
      <c r="C831" s="464"/>
      <c r="D831" s="464" t="s">
        <v>1679</v>
      </c>
      <c r="E831" s="464" t="s">
        <v>3393</v>
      </c>
      <c r="F831" s="464" t="s">
        <v>3394</v>
      </c>
      <c r="G831" s="464" t="s">
        <v>3364</v>
      </c>
      <c r="H831" s="464" t="s">
        <v>3365</v>
      </c>
      <c r="I831" s="464" t="s">
        <v>1684</v>
      </c>
    </row>
    <row r="832" ht="15.95" customHeight="1">
      <c r="A832" s="464" t="s">
        <v>3406</v>
      </c>
      <c r="B832" s="464" t="s">
        <v>3407</v>
      </c>
      <c r="C832" s="464"/>
      <c r="D832" s="464" t="s">
        <v>1679</v>
      </c>
      <c r="E832" s="464" t="s">
        <v>3393</v>
      </c>
      <c r="F832" s="464" t="s">
        <v>3394</v>
      </c>
      <c r="G832" s="464" t="s">
        <v>3364</v>
      </c>
      <c r="H832" s="464" t="s">
        <v>3365</v>
      </c>
      <c r="I832" s="464" t="s">
        <v>1684</v>
      </c>
    </row>
    <row r="833" ht="15.95" customHeight="1">
      <c r="A833" s="464" t="s">
        <v>3408</v>
      </c>
      <c r="B833" s="464" t="s">
        <v>3409</v>
      </c>
      <c r="C833" s="464"/>
      <c r="D833" s="464" t="s">
        <v>1679</v>
      </c>
      <c r="E833" s="464" t="s">
        <v>3393</v>
      </c>
      <c r="F833" s="464" t="s">
        <v>3394</v>
      </c>
      <c r="G833" s="464" t="s">
        <v>3364</v>
      </c>
      <c r="H833" s="464" t="s">
        <v>3365</v>
      </c>
      <c r="I833" s="464" t="s">
        <v>1684</v>
      </c>
    </row>
    <row r="834" ht="15.95" customHeight="1">
      <c r="A834" s="464" t="s">
        <v>3410</v>
      </c>
      <c r="B834" s="464" t="s">
        <v>2532</v>
      </c>
      <c r="C834" s="464" t="s">
        <v>3411</v>
      </c>
      <c r="D834" s="464" t="s">
        <v>1709</v>
      </c>
      <c r="E834" s="464" t="s">
        <v>3393</v>
      </c>
      <c r="F834" s="464" t="s">
        <v>3394</v>
      </c>
      <c r="G834" s="464" t="s">
        <v>3364</v>
      </c>
      <c r="H834" s="464" t="s">
        <v>3365</v>
      </c>
      <c r="I834" s="464" t="s">
        <v>1684</v>
      </c>
    </row>
    <row r="835" ht="15.95" customHeight="1">
      <c r="A835" s="464" t="s">
        <v>3412</v>
      </c>
      <c r="B835" s="464" t="s">
        <v>2796</v>
      </c>
      <c r="C835" s="464"/>
      <c r="D835" s="464" t="s">
        <v>1709</v>
      </c>
      <c r="E835" s="464" t="s">
        <v>3393</v>
      </c>
      <c r="F835" s="464" t="s">
        <v>3394</v>
      </c>
      <c r="G835" s="464" t="s">
        <v>3364</v>
      </c>
      <c r="H835" s="464" t="s">
        <v>3365</v>
      </c>
      <c r="I835" s="464" t="s">
        <v>1684</v>
      </c>
    </row>
    <row r="836" ht="15.95" customHeight="1">
      <c r="A836" s="464" t="s">
        <v>3413</v>
      </c>
      <c r="B836" s="464" t="s">
        <v>3414</v>
      </c>
      <c r="C836" s="464"/>
      <c r="D836" s="464" t="s">
        <v>1709</v>
      </c>
      <c r="E836" s="464" t="s">
        <v>3393</v>
      </c>
      <c r="F836" s="464" t="s">
        <v>3394</v>
      </c>
      <c r="G836" s="464" t="s">
        <v>3364</v>
      </c>
      <c r="H836" s="464" t="s">
        <v>3365</v>
      </c>
      <c r="I836" s="464" t="s">
        <v>1684</v>
      </c>
    </row>
    <row r="837" ht="15.95" customHeight="1">
      <c r="A837" s="464" t="s">
        <v>3415</v>
      </c>
      <c r="B837" s="464" t="s">
        <v>3416</v>
      </c>
      <c r="C837" s="464" t="s">
        <v>3417</v>
      </c>
      <c r="D837" s="464" t="s">
        <v>1709</v>
      </c>
      <c r="E837" s="464" t="s">
        <v>3418</v>
      </c>
      <c r="F837" s="464" t="s">
        <v>3419</v>
      </c>
      <c r="G837" s="464" t="s">
        <v>3364</v>
      </c>
      <c r="H837" s="464" t="s">
        <v>3365</v>
      </c>
      <c r="I837" s="464" t="s">
        <v>1684</v>
      </c>
    </row>
    <row r="838" ht="15.95" customHeight="1">
      <c r="A838" s="464" t="s">
        <v>3420</v>
      </c>
      <c r="B838" s="464" t="s">
        <v>3421</v>
      </c>
      <c r="C838" s="464"/>
      <c r="D838" s="464" t="s">
        <v>1738</v>
      </c>
      <c r="E838" s="464" t="s">
        <v>3418</v>
      </c>
      <c r="F838" s="464" t="s">
        <v>3419</v>
      </c>
      <c r="G838" s="464" t="s">
        <v>3364</v>
      </c>
      <c r="H838" s="464" t="s">
        <v>3365</v>
      </c>
      <c r="I838" s="464" t="s">
        <v>1684</v>
      </c>
    </row>
    <row r="839" ht="15.95" customHeight="1">
      <c r="A839" s="464" t="s">
        <v>3422</v>
      </c>
      <c r="B839" s="464" t="s">
        <v>3423</v>
      </c>
      <c r="C839" s="464"/>
      <c r="D839" s="464" t="s">
        <v>1709</v>
      </c>
      <c r="E839" s="464" t="s">
        <v>3418</v>
      </c>
      <c r="F839" s="464" t="s">
        <v>3419</v>
      </c>
      <c r="G839" s="464" t="s">
        <v>3364</v>
      </c>
      <c r="H839" s="464" t="s">
        <v>3365</v>
      </c>
      <c r="I839" s="464" t="s">
        <v>1684</v>
      </c>
    </row>
    <row r="840" ht="15.95" customHeight="1">
      <c r="A840" s="464" t="s">
        <v>3424</v>
      </c>
      <c r="B840" s="464" t="s">
        <v>3425</v>
      </c>
      <c r="C840" s="464"/>
      <c r="D840" s="464" t="s">
        <v>1709</v>
      </c>
      <c r="E840" s="464" t="s">
        <v>3418</v>
      </c>
      <c r="F840" s="464" t="s">
        <v>3419</v>
      </c>
      <c r="G840" s="464" t="s">
        <v>3364</v>
      </c>
      <c r="H840" s="464" t="s">
        <v>3365</v>
      </c>
      <c r="I840" s="464" t="s">
        <v>1684</v>
      </c>
    </row>
    <row r="841" ht="15.95" customHeight="1">
      <c r="A841" s="464" t="s">
        <v>3426</v>
      </c>
      <c r="B841" s="464" t="s">
        <v>3427</v>
      </c>
      <c r="C841" s="464"/>
      <c r="D841" s="464" t="s">
        <v>1709</v>
      </c>
      <c r="E841" s="464" t="s">
        <v>3418</v>
      </c>
      <c r="F841" s="464" t="s">
        <v>3419</v>
      </c>
      <c r="G841" s="464" t="s">
        <v>3364</v>
      </c>
      <c r="H841" s="464" t="s">
        <v>3365</v>
      </c>
      <c r="I841" s="464" t="s">
        <v>1684</v>
      </c>
    </row>
    <row r="842" ht="15.95" customHeight="1">
      <c r="A842" s="464" t="s">
        <v>3428</v>
      </c>
      <c r="B842" s="464" t="s">
        <v>3429</v>
      </c>
      <c r="C842" s="464"/>
      <c r="D842" s="464" t="s">
        <v>1709</v>
      </c>
      <c r="E842" s="464" t="s">
        <v>3418</v>
      </c>
      <c r="F842" s="464" t="s">
        <v>3419</v>
      </c>
      <c r="G842" s="464" t="s">
        <v>3364</v>
      </c>
      <c r="H842" s="464" t="s">
        <v>3365</v>
      </c>
      <c r="I842" s="464" t="s">
        <v>1684</v>
      </c>
    </row>
    <row r="843" ht="15.95" customHeight="1">
      <c r="A843" s="464" t="s">
        <v>3430</v>
      </c>
      <c r="B843" s="464" t="s">
        <v>3431</v>
      </c>
      <c r="C843" s="464"/>
      <c r="D843" s="464" t="s">
        <v>1709</v>
      </c>
      <c r="E843" s="464" t="s">
        <v>3418</v>
      </c>
      <c r="F843" s="464" t="s">
        <v>3419</v>
      </c>
      <c r="G843" s="464" t="s">
        <v>3364</v>
      </c>
      <c r="H843" s="464" t="s">
        <v>3365</v>
      </c>
      <c r="I843" s="464" t="s">
        <v>1684</v>
      </c>
    </row>
    <row r="844" ht="15.95" customHeight="1">
      <c r="A844" s="464" t="s">
        <v>3432</v>
      </c>
      <c r="B844" s="464" t="s">
        <v>3433</v>
      </c>
      <c r="C844" s="464"/>
      <c r="D844" s="464" t="s">
        <v>1709</v>
      </c>
      <c r="E844" s="464" t="s">
        <v>3418</v>
      </c>
      <c r="F844" s="464" t="s">
        <v>3419</v>
      </c>
      <c r="G844" s="464" t="s">
        <v>3364</v>
      </c>
      <c r="H844" s="464" t="s">
        <v>3365</v>
      </c>
      <c r="I844" s="464" t="s">
        <v>1684</v>
      </c>
    </row>
    <row r="845" ht="15.95" customHeight="1">
      <c r="A845" s="464" t="s">
        <v>3434</v>
      </c>
      <c r="B845" s="464" t="s">
        <v>3435</v>
      </c>
      <c r="C845" s="464"/>
      <c r="D845" s="464" t="s">
        <v>1709</v>
      </c>
      <c r="E845" s="464" t="s">
        <v>3418</v>
      </c>
      <c r="F845" s="464" t="s">
        <v>3419</v>
      </c>
      <c r="G845" s="464" t="s">
        <v>3364</v>
      </c>
      <c r="H845" s="464" t="s">
        <v>3365</v>
      </c>
      <c r="I845" s="464" t="s">
        <v>1684</v>
      </c>
    </row>
    <row r="846" ht="15.95" customHeight="1">
      <c r="A846" s="464" t="s">
        <v>3436</v>
      </c>
      <c r="B846" s="464" t="s">
        <v>3437</v>
      </c>
      <c r="C846" s="464"/>
      <c r="D846" s="464" t="s">
        <v>1709</v>
      </c>
      <c r="E846" s="464" t="s">
        <v>3418</v>
      </c>
      <c r="F846" s="464" t="s">
        <v>3419</v>
      </c>
      <c r="G846" s="464" t="s">
        <v>3364</v>
      </c>
      <c r="H846" s="464" t="s">
        <v>3365</v>
      </c>
      <c r="I846" s="464" t="s">
        <v>1684</v>
      </c>
    </row>
    <row r="847" ht="15.95" customHeight="1">
      <c r="A847" s="464" t="s">
        <v>3438</v>
      </c>
      <c r="B847" s="464" t="s">
        <v>3439</v>
      </c>
      <c r="C847" s="464"/>
      <c r="D847" s="464" t="s">
        <v>1709</v>
      </c>
      <c r="E847" s="464" t="s">
        <v>3418</v>
      </c>
      <c r="F847" s="464" t="s">
        <v>3419</v>
      </c>
      <c r="G847" s="464" t="s">
        <v>3364</v>
      </c>
      <c r="H847" s="464" t="s">
        <v>3365</v>
      </c>
      <c r="I847" s="464" t="s">
        <v>1684</v>
      </c>
    </row>
    <row r="848" ht="15.95" customHeight="1">
      <c r="A848" s="464" t="s">
        <v>3440</v>
      </c>
      <c r="B848" s="464" t="s">
        <v>3441</v>
      </c>
      <c r="C848" s="464"/>
      <c r="D848" s="464" t="s">
        <v>1709</v>
      </c>
      <c r="E848" s="464" t="s">
        <v>3418</v>
      </c>
      <c r="F848" s="464" t="s">
        <v>3419</v>
      </c>
      <c r="G848" s="464" t="s">
        <v>3364</v>
      </c>
      <c r="H848" s="464" t="s">
        <v>3365</v>
      </c>
      <c r="I848" s="464" t="s">
        <v>1684</v>
      </c>
    </row>
    <row r="849" ht="15.95" customHeight="1">
      <c r="A849" s="464" t="s">
        <v>3442</v>
      </c>
      <c r="B849" s="464" t="s">
        <v>3443</v>
      </c>
      <c r="C849" s="464"/>
      <c r="D849" s="464" t="s">
        <v>1709</v>
      </c>
      <c r="E849" s="464" t="s">
        <v>3418</v>
      </c>
      <c r="F849" s="464" t="s">
        <v>3419</v>
      </c>
      <c r="G849" s="464" t="s">
        <v>3364</v>
      </c>
      <c r="H849" s="464" t="s">
        <v>3365</v>
      </c>
      <c r="I849" s="464" t="s">
        <v>1684</v>
      </c>
    </row>
    <row r="850" ht="15.95" customHeight="1">
      <c r="A850" s="464" t="s">
        <v>3444</v>
      </c>
      <c r="B850" s="464" t="s">
        <v>3445</v>
      </c>
      <c r="C850" s="464"/>
      <c r="D850" s="464" t="s">
        <v>1709</v>
      </c>
      <c r="E850" s="464" t="s">
        <v>3418</v>
      </c>
      <c r="F850" s="464" t="s">
        <v>3419</v>
      </c>
      <c r="G850" s="464" t="s">
        <v>3364</v>
      </c>
      <c r="H850" s="464" t="s">
        <v>3365</v>
      </c>
      <c r="I850" s="464" t="s">
        <v>1684</v>
      </c>
    </row>
    <row r="851" ht="15.95" customHeight="1">
      <c r="A851" s="464" t="s">
        <v>3446</v>
      </c>
      <c r="B851" s="464" t="s">
        <v>3447</v>
      </c>
      <c r="C851" s="464"/>
      <c r="D851" s="464" t="s">
        <v>1709</v>
      </c>
      <c r="E851" s="464" t="s">
        <v>3418</v>
      </c>
      <c r="F851" s="464" t="s">
        <v>3419</v>
      </c>
      <c r="G851" s="464" t="s">
        <v>3364</v>
      </c>
      <c r="H851" s="464" t="s">
        <v>3365</v>
      </c>
      <c r="I851" s="464" t="s">
        <v>1684</v>
      </c>
    </row>
    <row r="852" ht="15.95" customHeight="1">
      <c r="A852" s="464" t="s">
        <v>3448</v>
      </c>
      <c r="B852" s="464" t="s">
        <v>3449</v>
      </c>
      <c r="C852" s="464"/>
      <c r="D852" s="464" t="s">
        <v>1709</v>
      </c>
      <c r="E852" s="464" t="s">
        <v>3418</v>
      </c>
      <c r="F852" s="464" t="s">
        <v>3419</v>
      </c>
      <c r="G852" s="464" t="s">
        <v>3364</v>
      </c>
      <c r="H852" s="464" t="s">
        <v>3365</v>
      </c>
      <c r="I852" s="464" t="s">
        <v>1684</v>
      </c>
    </row>
    <row r="853" ht="15.95" customHeight="1">
      <c r="A853" s="464" t="s">
        <v>3450</v>
      </c>
      <c r="B853" s="464" t="s">
        <v>3451</v>
      </c>
      <c r="C853" s="464"/>
      <c r="D853" s="464" t="s">
        <v>1738</v>
      </c>
      <c r="E853" s="464" t="s">
        <v>3452</v>
      </c>
      <c r="F853" s="464" t="s">
        <v>3453</v>
      </c>
      <c r="G853" s="464" t="s">
        <v>3364</v>
      </c>
      <c r="H853" s="464" t="s">
        <v>3365</v>
      </c>
      <c r="I853" s="464" t="s">
        <v>1684</v>
      </c>
    </row>
    <row r="854" ht="15.95" customHeight="1">
      <c r="A854" s="464" t="s">
        <v>3454</v>
      </c>
      <c r="B854" s="464" t="s">
        <v>1787</v>
      </c>
      <c r="C854" s="464"/>
      <c r="D854" s="464" t="s">
        <v>1709</v>
      </c>
      <c r="E854" s="464" t="s">
        <v>3452</v>
      </c>
      <c r="F854" s="464" t="s">
        <v>3453</v>
      </c>
      <c r="G854" s="464" t="s">
        <v>3364</v>
      </c>
      <c r="H854" s="464" t="s">
        <v>3365</v>
      </c>
      <c r="I854" s="464" t="s">
        <v>1684</v>
      </c>
    </row>
    <row r="855" ht="15.95" customHeight="1">
      <c r="A855" s="464" t="s">
        <v>3455</v>
      </c>
      <c r="B855" s="464" t="s">
        <v>1723</v>
      </c>
      <c r="C855" s="464"/>
      <c r="D855" s="464" t="s">
        <v>1709</v>
      </c>
      <c r="E855" s="464" t="s">
        <v>3452</v>
      </c>
      <c r="F855" s="464" t="s">
        <v>3453</v>
      </c>
      <c r="G855" s="464" t="s">
        <v>3364</v>
      </c>
      <c r="H855" s="464" t="s">
        <v>3365</v>
      </c>
      <c r="I855" s="464" t="s">
        <v>1684</v>
      </c>
    </row>
    <row r="856" ht="15.95" customHeight="1">
      <c r="A856" s="464" t="s">
        <v>3456</v>
      </c>
      <c r="B856" s="464" t="s">
        <v>3457</v>
      </c>
      <c r="C856" s="464"/>
      <c r="D856" s="464" t="s">
        <v>1709</v>
      </c>
      <c r="E856" s="464" t="s">
        <v>3452</v>
      </c>
      <c r="F856" s="464" t="s">
        <v>3453</v>
      </c>
      <c r="G856" s="464" t="s">
        <v>3364</v>
      </c>
      <c r="H856" s="464" t="s">
        <v>3365</v>
      </c>
      <c r="I856" s="464" t="s">
        <v>1684</v>
      </c>
    </row>
    <row r="857" ht="15.95" customHeight="1">
      <c r="A857" s="464" t="s">
        <v>3458</v>
      </c>
      <c r="B857" s="464" t="s">
        <v>3459</v>
      </c>
      <c r="C857" s="464"/>
      <c r="D857" s="464" t="s">
        <v>1709</v>
      </c>
      <c r="E857" s="464" t="s">
        <v>3452</v>
      </c>
      <c r="F857" s="464" t="s">
        <v>3453</v>
      </c>
      <c r="G857" s="464" t="s">
        <v>3364</v>
      </c>
      <c r="H857" s="464" t="s">
        <v>3365</v>
      </c>
      <c r="I857" s="464" t="s">
        <v>1684</v>
      </c>
    </row>
    <row r="858" ht="15.95" customHeight="1">
      <c r="A858" s="464" t="s">
        <v>3460</v>
      </c>
      <c r="B858" s="464" t="s">
        <v>2278</v>
      </c>
      <c r="C858" s="464"/>
      <c r="D858" s="464" t="s">
        <v>1709</v>
      </c>
      <c r="E858" s="464" t="s">
        <v>3452</v>
      </c>
      <c r="F858" s="464" t="s">
        <v>3453</v>
      </c>
      <c r="G858" s="464" t="s">
        <v>3364</v>
      </c>
      <c r="H858" s="464" t="s">
        <v>3365</v>
      </c>
      <c r="I858" s="464" t="s">
        <v>1684</v>
      </c>
    </row>
    <row r="859" ht="15.95" customHeight="1">
      <c r="A859" s="464" t="s">
        <v>3461</v>
      </c>
      <c r="B859" s="464" t="s">
        <v>3462</v>
      </c>
      <c r="C859" s="464"/>
      <c r="D859" s="464" t="s">
        <v>1709</v>
      </c>
      <c r="E859" s="464" t="s">
        <v>3452</v>
      </c>
      <c r="F859" s="464" t="s">
        <v>3453</v>
      </c>
      <c r="G859" s="464" t="s">
        <v>3364</v>
      </c>
      <c r="H859" s="464" t="s">
        <v>3365</v>
      </c>
      <c r="I859" s="464" t="s">
        <v>1684</v>
      </c>
    </row>
    <row r="860" ht="15.95" customHeight="1">
      <c r="A860" s="464" t="s">
        <v>3463</v>
      </c>
      <c r="B860" s="464" t="s">
        <v>3464</v>
      </c>
      <c r="C860" s="464"/>
      <c r="D860" s="464" t="s">
        <v>1709</v>
      </c>
      <c r="E860" s="464" t="s">
        <v>3452</v>
      </c>
      <c r="F860" s="464" t="s">
        <v>3453</v>
      </c>
      <c r="G860" s="464" t="s">
        <v>3364</v>
      </c>
      <c r="H860" s="464" t="s">
        <v>3365</v>
      </c>
      <c r="I860" s="464" t="s">
        <v>1684</v>
      </c>
    </row>
    <row r="861" ht="15.95" customHeight="1">
      <c r="A861" s="464" t="s">
        <v>3465</v>
      </c>
      <c r="B861" s="464" t="s">
        <v>3466</v>
      </c>
      <c r="C861" s="464"/>
      <c r="D861" s="464" t="s">
        <v>1709</v>
      </c>
      <c r="E861" s="464" t="s">
        <v>3452</v>
      </c>
      <c r="F861" s="464" t="s">
        <v>3453</v>
      </c>
      <c r="G861" s="464" t="s">
        <v>3364</v>
      </c>
      <c r="H861" s="464" t="s">
        <v>3365</v>
      </c>
      <c r="I861" s="464" t="s">
        <v>1684</v>
      </c>
    </row>
    <row r="862" ht="15.95" customHeight="1">
      <c r="A862" s="464" t="s">
        <v>3467</v>
      </c>
      <c r="B862" s="464" t="s">
        <v>2672</v>
      </c>
      <c r="C862" s="464"/>
      <c r="D862" s="464" t="s">
        <v>1709</v>
      </c>
      <c r="E862" s="464" t="s">
        <v>3452</v>
      </c>
      <c r="F862" s="464" t="s">
        <v>3453</v>
      </c>
      <c r="G862" s="464" t="s">
        <v>3364</v>
      </c>
      <c r="H862" s="464" t="s">
        <v>3365</v>
      </c>
      <c r="I862" s="464" t="s">
        <v>1684</v>
      </c>
    </row>
    <row r="863" ht="15.95" customHeight="1">
      <c r="A863" s="464" t="s">
        <v>3468</v>
      </c>
      <c r="B863" s="464" t="s">
        <v>2741</v>
      </c>
      <c r="C863" s="464"/>
      <c r="D863" s="464" t="s">
        <v>1709</v>
      </c>
      <c r="E863" s="464" t="s">
        <v>3452</v>
      </c>
      <c r="F863" s="464" t="s">
        <v>3453</v>
      </c>
      <c r="G863" s="464" t="s">
        <v>3364</v>
      </c>
      <c r="H863" s="464" t="s">
        <v>3365</v>
      </c>
      <c r="I863" s="464" t="s">
        <v>1684</v>
      </c>
    </row>
    <row r="864" ht="15.95" customHeight="1">
      <c r="A864" s="464" t="s">
        <v>3469</v>
      </c>
      <c r="B864" s="464" t="s">
        <v>3470</v>
      </c>
      <c r="C864" s="464"/>
      <c r="D864" s="464" t="s">
        <v>1709</v>
      </c>
      <c r="E864" s="464" t="s">
        <v>3452</v>
      </c>
      <c r="F864" s="464" t="s">
        <v>3453</v>
      </c>
      <c r="G864" s="464" t="s">
        <v>3364</v>
      </c>
      <c r="H864" s="464" t="s">
        <v>3365</v>
      </c>
      <c r="I864" s="464" t="s">
        <v>1684</v>
      </c>
    </row>
    <row r="865" ht="15.95" customHeight="1">
      <c r="A865" s="464" t="s">
        <v>3471</v>
      </c>
      <c r="B865" s="464" t="s">
        <v>3472</v>
      </c>
      <c r="C865" s="464"/>
      <c r="D865" s="464" t="s">
        <v>1709</v>
      </c>
      <c r="E865" s="464" t="s">
        <v>3452</v>
      </c>
      <c r="F865" s="464" t="s">
        <v>3453</v>
      </c>
      <c r="G865" s="464" t="s">
        <v>3364</v>
      </c>
      <c r="H865" s="464" t="s">
        <v>3365</v>
      </c>
      <c r="I865" s="464" t="s">
        <v>1684</v>
      </c>
    </row>
    <row r="866" ht="15.95" customHeight="1">
      <c r="A866" s="464" t="s">
        <v>3473</v>
      </c>
      <c r="B866" s="464" t="s">
        <v>3474</v>
      </c>
      <c r="C866" s="464"/>
      <c r="D866" s="464" t="s">
        <v>1738</v>
      </c>
      <c r="E866" s="464" t="s">
        <v>3475</v>
      </c>
      <c r="F866" s="464" t="s">
        <v>3476</v>
      </c>
      <c r="G866" s="464" t="s">
        <v>3364</v>
      </c>
      <c r="H866" s="464" t="s">
        <v>3365</v>
      </c>
      <c r="I866" s="464" t="s">
        <v>1684</v>
      </c>
    </row>
    <row r="867" ht="15.95" customHeight="1">
      <c r="A867" s="464" t="s">
        <v>3477</v>
      </c>
      <c r="B867" s="464" t="s">
        <v>3478</v>
      </c>
      <c r="C867" s="464"/>
      <c r="D867" s="464" t="s">
        <v>1738</v>
      </c>
      <c r="E867" s="464" t="s">
        <v>3475</v>
      </c>
      <c r="F867" s="464" t="s">
        <v>3476</v>
      </c>
      <c r="G867" s="464" t="s">
        <v>3364</v>
      </c>
      <c r="H867" s="464" t="s">
        <v>3365</v>
      </c>
      <c r="I867" s="464" t="s">
        <v>1684</v>
      </c>
    </row>
    <row r="868" ht="15.95" customHeight="1">
      <c r="A868" s="464" t="s">
        <v>3479</v>
      </c>
      <c r="B868" s="464" t="s">
        <v>3480</v>
      </c>
      <c r="C868" s="464"/>
      <c r="D868" s="464" t="s">
        <v>1709</v>
      </c>
      <c r="E868" s="464" t="s">
        <v>3475</v>
      </c>
      <c r="F868" s="464" t="s">
        <v>3476</v>
      </c>
      <c r="G868" s="464" t="s">
        <v>3364</v>
      </c>
      <c r="H868" s="464" t="s">
        <v>3365</v>
      </c>
      <c r="I868" s="464" t="s">
        <v>1684</v>
      </c>
    </row>
    <row r="869" ht="15.95" customHeight="1">
      <c r="A869" s="464" t="s">
        <v>3481</v>
      </c>
      <c r="B869" s="464" t="s">
        <v>3080</v>
      </c>
      <c r="C869" s="464"/>
      <c r="D869" s="464" t="s">
        <v>1709</v>
      </c>
      <c r="E869" s="464" t="s">
        <v>3475</v>
      </c>
      <c r="F869" s="464" t="s">
        <v>3476</v>
      </c>
      <c r="G869" s="464" t="s">
        <v>3364</v>
      </c>
      <c r="H869" s="464" t="s">
        <v>3365</v>
      </c>
      <c r="I869" s="464" t="s">
        <v>1684</v>
      </c>
    </row>
    <row r="870" ht="15.95" customHeight="1">
      <c r="A870" s="464" t="s">
        <v>3482</v>
      </c>
      <c r="B870" s="464" t="s">
        <v>3483</v>
      </c>
      <c r="C870" s="464"/>
      <c r="D870" s="464" t="s">
        <v>1709</v>
      </c>
      <c r="E870" s="464" t="s">
        <v>3475</v>
      </c>
      <c r="F870" s="464" t="s">
        <v>3476</v>
      </c>
      <c r="G870" s="464" t="s">
        <v>3364</v>
      </c>
      <c r="H870" s="464" t="s">
        <v>3365</v>
      </c>
      <c r="I870" s="464" t="s">
        <v>1684</v>
      </c>
    </row>
    <row r="871" ht="15.95" customHeight="1">
      <c r="A871" s="464" t="s">
        <v>3484</v>
      </c>
      <c r="B871" s="464" t="s">
        <v>3485</v>
      </c>
      <c r="C871" s="464"/>
      <c r="D871" s="464" t="s">
        <v>1709</v>
      </c>
      <c r="E871" s="464" t="s">
        <v>3475</v>
      </c>
      <c r="F871" s="464" t="s">
        <v>3476</v>
      </c>
      <c r="G871" s="464" t="s">
        <v>3364</v>
      </c>
      <c r="H871" s="464" t="s">
        <v>3365</v>
      </c>
      <c r="I871" s="464" t="s">
        <v>1684</v>
      </c>
    </row>
    <row r="872" ht="15.95" customHeight="1">
      <c r="A872" s="464" t="s">
        <v>3486</v>
      </c>
      <c r="B872" s="464" t="s">
        <v>3487</v>
      </c>
      <c r="C872" s="464"/>
      <c r="D872" s="464" t="s">
        <v>1709</v>
      </c>
      <c r="E872" s="464" t="s">
        <v>3475</v>
      </c>
      <c r="F872" s="464" t="s">
        <v>3476</v>
      </c>
      <c r="G872" s="464" t="s">
        <v>3364</v>
      </c>
      <c r="H872" s="464" t="s">
        <v>3365</v>
      </c>
      <c r="I872" s="464" t="s">
        <v>1684</v>
      </c>
    </row>
    <row r="873" ht="15.95" customHeight="1">
      <c r="A873" s="464" t="s">
        <v>3488</v>
      </c>
      <c r="B873" s="464" t="s">
        <v>3489</v>
      </c>
      <c r="C873" s="464"/>
      <c r="D873" s="464" t="s">
        <v>1738</v>
      </c>
      <c r="E873" s="464" t="s">
        <v>3490</v>
      </c>
      <c r="F873" s="464" t="s">
        <v>3491</v>
      </c>
      <c r="G873" s="464" t="s">
        <v>3364</v>
      </c>
      <c r="H873" s="464" t="s">
        <v>3365</v>
      </c>
      <c r="I873" s="464" t="s">
        <v>1684</v>
      </c>
    </row>
    <row r="874" ht="15.95" customHeight="1">
      <c r="A874" s="464" t="s">
        <v>3492</v>
      </c>
      <c r="B874" s="464" t="s">
        <v>3493</v>
      </c>
      <c r="C874" s="464"/>
      <c r="D874" s="464" t="s">
        <v>1709</v>
      </c>
      <c r="E874" s="464" t="s">
        <v>3490</v>
      </c>
      <c r="F874" s="464" t="s">
        <v>3491</v>
      </c>
      <c r="G874" s="464" t="s">
        <v>3364</v>
      </c>
      <c r="H874" s="464" t="s">
        <v>3365</v>
      </c>
      <c r="I874" s="464" t="s">
        <v>1684</v>
      </c>
    </row>
    <row r="875" ht="15.95" customHeight="1">
      <c r="A875" s="464" t="s">
        <v>3494</v>
      </c>
      <c r="B875" s="464" t="s">
        <v>3495</v>
      </c>
      <c r="C875" s="464"/>
      <c r="D875" s="464" t="s">
        <v>1709</v>
      </c>
      <c r="E875" s="464" t="s">
        <v>3490</v>
      </c>
      <c r="F875" s="464" t="s">
        <v>3491</v>
      </c>
      <c r="G875" s="464" t="s">
        <v>3364</v>
      </c>
      <c r="H875" s="464" t="s">
        <v>3365</v>
      </c>
      <c r="I875" s="464" t="s">
        <v>1684</v>
      </c>
    </row>
    <row r="876" ht="15.95" customHeight="1">
      <c r="A876" s="464" t="s">
        <v>3496</v>
      </c>
      <c r="B876" s="464" t="s">
        <v>3497</v>
      </c>
      <c r="C876" s="464"/>
      <c r="D876" s="464" t="s">
        <v>1709</v>
      </c>
      <c r="E876" s="464" t="s">
        <v>3490</v>
      </c>
      <c r="F876" s="464" t="s">
        <v>3491</v>
      </c>
      <c r="G876" s="464" t="s">
        <v>3364</v>
      </c>
      <c r="H876" s="464" t="s">
        <v>3365</v>
      </c>
      <c r="I876" s="464" t="s">
        <v>1684</v>
      </c>
    </row>
    <row r="877" ht="15.95" customHeight="1">
      <c r="A877" s="464" t="s">
        <v>3498</v>
      </c>
      <c r="B877" s="464" t="s">
        <v>3499</v>
      </c>
      <c r="C877" s="464"/>
      <c r="D877" s="464" t="s">
        <v>1738</v>
      </c>
      <c r="E877" s="464" t="s">
        <v>3490</v>
      </c>
      <c r="F877" s="464" t="s">
        <v>3491</v>
      </c>
      <c r="G877" s="464" t="s">
        <v>3364</v>
      </c>
      <c r="H877" s="464" t="s">
        <v>3365</v>
      </c>
      <c r="I877" s="464" t="s">
        <v>1684</v>
      </c>
    </row>
    <row r="878" ht="15.95" customHeight="1">
      <c r="A878" s="464" t="s">
        <v>3500</v>
      </c>
      <c r="B878" s="464" t="s">
        <v>2636</v>
      </c>
      <c r="C878" s="464"/>
      <c r="D878" s="464" t="s">
        <v>1709</v>
      </c>
      <c r="E878" s="464" t="s">
        <v>3490</v>
      </c>
      <c r="F878" s="464" t="s">
        <v>3491</v>
      </c>
      <c r="G878" s="464" t="s">
        <v>3364</v>
      </c>
      <c r="H878" s="464" t="s">
        <v>3365</v>
      </c>
      <c r="I878" s="464" t="s">
        <v>1684</v>
      </c>
    </row>
    <row r="879" ht="15.95" customHeight="1">
      <c r="A879" s="464" t="s">
        <v>3501</v>
      </c>
      <c r="B879" s="464" t="s">
        <v>3502</v>
      </c>
      <c r="C879" s="464"/>
      <c r="D879" s="464" t="s">
        <v>1709</v>
      </c>
      <c r="E879" s="464" t="s">
        <v>3490</v>
      </c>
      <c r="F879" s="464" t="s">
        <v>3491</v>
      </c>
      <c r="G879" s="464" t="s">
        <v>3364</v>
      </c>
      <c r="H879" s="464" t="s">
        <v>3365</v>
      </c>
      <c r="I879" s="464" t="s">
        <v>1684</v>
      </c>
    </row>
    <row r="880" ht="15.95" customHeight="1">
      <c r="A880" s="464" t="s">
        <v>3503</v>
      </c>
      <c r="B880" s="464" t="s">
        <v>2332</v>
      </c>
      <c r="C880" s="464"/>
      <c r="D880" s="464" t="s">
        <v>1709</v>
      </c>
      <c r="E880" s="464" t="s">
        <v>3490</v>
      </c>
      <c r="F880" s="464" t="s">
        <v>3491</v>
      </c>
      <c r="G880" s="464" t="s">
        <v>3364</v>
      </c>
      <c r="H880" s="464" t="s">
        <v>3365</v>
      </c>
      <c r="I880" s="464" t="s">
        <v>1684</v>
      </c>
    </row>
    <row r="881" ht="15.95" customHeight="1">
      <c r="A881" s="464" t="s">
        <v>3504</v>
      </c>
      <c r="B881" s="464" t="s">
        <v>3505</v>
      </c>
      <c r="C881" s="464"/>
      <c r="D881" s="464" t="s">
        <v>1738</v>
      </c>
      <c r="E881" s="464" t="s">
        <v>3506</v>
      </c>
      <c r="F881" s="464" t="s">
        <v>3507</v>
      </c>
      <c r="G881" s="464" t="s">
        <v>3364</v>
      </c>
      <c r="H881" s="464" t="s">
        <v>3365</v>
      </c>
      <c r="I881" s="464" t="s">
        <v>1684</v>
      </c>
    </row>
    <row r="882" ht="15.95" customHeight="1">
      <c r="A882" s="464" t="s">
        <v>3508</v>
      </c>
      <c r="B882" s="464" t="s">
        <v>2563</v>
      </c>
      <c r="C882" s="464"/>
      <c r="D882" s="464" t="s">
        <v>1709</v>
      </c>
      <c r="E882" s="464" t="s">
        <v>3506</v>
      </c>
      <c r="F882" s="464" t="s">
        <v>3507</v>
      </c>
      <c r="G882" s="464" t="s">
        <v>3364</v>
      </c>
      <c r="H882" s="464" t="s">
        <v>3365</v>
      </c>
      <c r="I882" s="464" t="s">
        <v>1684</v>
      </c>
    </row>
    <row r="883" ht="15.95" customHeight="1">
      <c r="A883" s="464" t="s">
        <v>3509</v>
      </c>
      <c r="B883" s="464" t="s">
        <v>1764</v>
      </c>
      <c r="C883" s="464"/>
      <c r="D883" s="464" t="s">
        <v>1709</v>
      </c>
      <c r="E883" s="464" t="s">
        <v>3506</v>
      </c>
      <c r="F883" s="464" t="s">
        <v>3507</v>
      </c>
      <c r="G883" s="464" t="s">
        <v>3364</v>
      </c>
      <c r="H883" s="464" t="s">
        <v>3365</v>
      </c>
      <c r="I883" s="464" t="s">
        <v>1684</v>
      </c>
    </row>
    <row r="884" ht="15.95" customHeight="1">
      <c r="A884" s="464" t="s">
        <v>3510</v>
      </c>
      <c r="B884" s="464" t="s">
        <v>1721</v>
      </c>
      <c r="C884" s="464"/>
      <c r="D884" s="464" t="s">
        <v>1709</v>
      </c>
      <c r="E884" s="464" t="s">
        <v>3506</v>
      </c>
      <c r="F884" s="464" t="s">
        <v>3507</v>
      </c>
      <c r="G884" s="464" t="s">
        <v>3364</v>
      </c>
      <c r="H884" s="464" t="s">
        <v>3365</v>
      </c>
      <c r="I884" s="464" t="s">
        <v>1684</v>
      </c>
    </row>
    <row r="885" ht="15.95" customHeight="1">
      <c r="A885" s="464" t="s">
        <v>3511</v>
      </c>
      <c r="B885" s="464" t="s">
        <v>1883</v>
      </c>
      <c r="C885" s="464"/>
      <c r="D885" s="464" t="s">
        <v>1709</v>
      </c>
      <c r="E885" s="464" t="s">
        <v>3506</v>
      </c>
      <c r="F885" s="464" t="s">
        <v>3507</v>
      </c>
      <c r="G885" s="464" t="s">
        <v>3364</v>
      </c>
      <c r="H885" s="464" t="s">
        <v>3365</v>
      </c>
      <c r="I885" s="464" t="s">
        <v>1684</v>
      </c>
    </row>
    <row r="886" ht="15.95" customHeight="1">
      <c r="A886" s="464" t="s">
        <v>3512</v>
      </c>
      <c r="B886" s="464" t="s">
        <v>3513</v>
      </c>
      <c r="C886" s="464"/>
      <c r="D886" s="464" t="s">
        <v>1709</v>
      </c>
      <c r="E886" s="464" t="s">
        <v>3506</v>
      </c>
      <c r="F886" s="464" t="s">
        <v>3507</v>
      </c>
      <c r="G886" s="464" t="s">
        <v>3364</v>
      </c>
      <c r="H886" s="464" t="s">
        <v>3365</v>
      </c>
      <c r="I886" s="464" t="s">
        <v>1684</v>
      </c>
    </row>
    <row r="887" ht="15.95" customHeight="1">
      <c r="A887" s="464" t="s">
        <v>3514</v>
      </c>
      <c r="B887" s="464" t="s">
        <v>3515</v>
      </c>
      <c r="C887" s="464"/>
      <c r="D887" s="464" t="s">
        <v>1709</v>
      </c>
      <c r="E887" s="464" t="s">
        <v>3506</v>
      </c>
      <c r="F887" s="464" t="s">
        <v>3507</v>
      </c>
      <c r="G887" s="464" t="s">
        <v>3364</v>
      </c>
      <c r="H887" s="464" t="s">
        <v>3365</v>
      </c>
      <c r="I887" s="464" t="s">
        <v>1684</v>
      </c>
    </row>
    <row r="888" ht="15.95" customHeight="1">
      <c r="A888" s="464" t="s">
        <v>3516</v>
      </c>
      <c r="B888" s="464" t="s">
        <v>3517</v>
      </c>
      <c r="C888" s="464"/>
      <c r="D888" s="464" t="s">
        <v>1709</v>
      </c>
      <c r="E888" s="464" t="s">
        <v>3506</v>
      </c>
      <c r="F888" s="464" t="s">
        <v>3507</v>
      </c>
      <c r="G888" s="464" t="s">
        <v>3364</v>
      </c>
      <c r="H888" s="464" t="s">
        <v>3365</v>
      </c>
      <c r="I888" s="464" t="s">
        <v>1684</v>
      </c>
    </row>
    <row r="889" ht="15.95" customHeight="1">
      <c r="A889" s="464" t="s">
        <v>3518</v>
      </c>
      <c r="B889" s="464" t="s">
        <v>3519</v>
      </c>
      <c r="C889" s="464"/>
      <c r="D889" s="464" t="s">
        <v>1709</v>
      </c>
      <c r="E889" s="464" t="s">
        <v>3506</v>
      </c>
      <c r="F889" s="464" t="s">
        <v>3507</v>
      </c>
      <c r="G889" s="464" t="s">
        <v>3364</v>
      </c>
      <c r="H889" s="464" t="s">
        <v>3365</v>
      </c>
      <c r="I889" s="464" t="s">
        <v>1684</v>
      </c>
    </row>
    <row r="890" ht="15.95" customHeight="1">
      <c r="A890" s="464" t="s">
        <v>3520</v>
      </c>
      <c r="B890" s="464" t="s">
        <v>3521</v>
      </c>
      <c r="C890" s="464"/>
      <c r="D890" s="464" t="s">
        <v>1709</v>
      </c>
      <c r="E890" s="464" t="s">
        <v>3506</v>
      </c>
      <c r="F890" s="464" t="s">
        <v>3507</v>
      </c>
      <c r="G890" s="464" t="s">
        <v>3364</v>
      </c>
      <c r="H890" s="464" t="s">
        <v>3365</v>
      </c>
      <c r="I890" s="464" t="s">
        <v>1684</v>
      </c>
    </row>
    <row r="891" ht="15.95" customHeight="1">
      <c r="A891" s="464" t="s">
        <v>3522</v>
      </c>
      <c r="B891" s="464" t="s">
        <v>2914</v>
      </c>
      <c r="C891" s="464"/>
      <c r="D891" s="464" t="s">
        <v>1679</v>
      </c>
      <c r="E891" s="464" t="s">
        <v>3523</v>
      </c>
      <c r="F891" s="464" t="s">
        <v>3524</v>
      </c>
      <c r="G891" s="464" t="s">
        <v>3525</v>
      </c>
      <c r="H891" s="464" t="s">
        <v>1188</v>
      </c>
      <c r="I891" s="464" t="s">
        <v>1684</v>
      </c>
    </row>
    <row r="892" ht="15.95" customHeight="1">
      <c r="A892" s="464" t="s">
        <v>3526</v>
      </c>
      <c r="B892" s="464" t="s">
        <v>3527</v>
      </c>
      <c r="C892" s="464"/>
      <c r="D892" s="464" t="s">
        <v>1679</v>
      </c>
      <c r="E892" s="464" t="s">
        <v>3523</v>
      </c>
      <c r="F892" s="464" t="s">
        <v>3524</v>
      </c>
      <c r="G892" s="464" t="s">
        <v>3525</v>
      </c>
      <c r="H892" s="464" t="s">
        <v>1188</v>
      </c>
      <c r="I892" s="464" t="s">
        <v>1684</v>
      </c>
    </row>
    <row r="893" ht="15.95" customHeight="1">
      <c r="A893" s="464" t="s">
        <v>3528</v>
      </c>
      <c r="B893" s="464" t="s">
        <v>3529</v>
      </c>
      <c r="C893" s="464"/>
      <c r="D893" s="464" t="s">
        <v>1679</v>
      </c>
      <c r="E893" s="464" t="s">
        <v>3523</v>
      </c>
      <c r="F893" s="464" t="s">
        <v>3524</v>
      </c>
      <c r="G893" s="464" t="s">
        <v>3525</v>
      </c>
      <c r="H893" s="464" t="s">
        <v>1188</v>
      </c>
      <c r="I893" s="464" t="s">
        <v>1684</v>
      </c>
    </row>
    <row r="894" ht="15.95" customHeight="1">
      <c r="A894" s="464" t="s">
        <v>3530</v>
      </c>
      <c r="B894" s="464" t="s">
        <v>1273</v>
      </c>
      <c r="C894" s="464"/>
      <c r="D894" s="464" t="s">
        <v>1679</v>
      </c>
      <c r="E894" s="464" t="s">
        <v>3523</v>
      </c>
      <c r="F894" s="464" t="s">
        <v>3524</v>
      </c>
      <c r="G894" s="464" t="s">
        <v>3525</v>
      </c>
      <c r="H894" s="464" t="s">
        <v>1188</v>
      </c>
      <c r="I894" s="464" t="s">
        <v>1684</v>
      </c>
    </row>
    <row r="895" ht="15.95" customHeight="1">
      <c r="A895" s="464" t="s">
        <v>3531</v>
      </c>
      <c r="B895" s="464" t="s">
        <v>3532</v>
      </c>
      <c r="C895" s="464"/>
      <c r="D895" s="464" t="s">
        <v>1679</v>
      </c>
      <c r="E895" s="464" t="s">
        <v>3523</v>
      </c>
      <c r="F895" s="464" t="s">
        <v>3524</v>
      </c>
      <c r="G895" s="464" t="s">
        <v>3525</v>
      </c>
      <c r="H895" s="464" t="s">
        <v>1188</v>
      </c>
      <c r="I895" s="464" t="s">
        <v>1684</v>
      </c>
    </row>
    <row r="896" ht="15.95" customHeight="1">
      <c r="A896" s="464" t="s">
        <v>3533</v>
      </c>
      <c r="B896" s="464" t="s">
        <v>1274</v>
      </c>
      <c r="C896" s="464"/>
      <c r="D896" s="464" t="s">
        <v>1679</v>
      </c>
      <c r="E896" s="464" t="s">
        <v>3523</v>
      </c>
      <c r="F896" s="464" t="s">
        <v>3524</v>
      </c>
      <c r="G896" s="464" t="s">
        <v>3525</v>
      </c>
      <c r="H896" s="464" t="s">
        <v>1188</v>
      </c>
      <c r="I896" s="464" t="s">
        <v>1684</v>
      </c>
    </row>
    <row r="897" ht="15.95" customHeight="1">
      <c r="A897" s="464" t="s">
        <v>3534</v>
      </c>
      <c r="B897" s="464" t="s">
        <v>3535</v>
      </c>
      <c r="C897" s="464"/>
      <c r="D897" s="464" t="s">
        <v>1679</v>
      </c>
      <c r="E897" s="464" t="s">
        <v>3523</v>
      </c>
      <c r="F897" s="464" t="s">
        <v>3524</v>
      </c>
      <c r="G897" s="464" t="s">
        <v>3525</v>
      </c>
      <c r="H897" s="464" t="s">
        <v>1188</v>
      </c>
      <c r="I897" s="464" t="s">
        <v>1684</v>
      </c>
    </row>
    <row r="898" ht="15.95" customHeight="1">
      <c r="A898" s="464" t="s">
        <v>3536</v>
      </c>
      <c r="B898" s="464" t="s">
        <v>3537</v>
      </c>
      <c r="C898" s="464"/>
      <c r="D898" s="464" t="s">
        <v>1679</v>
      </c>
      <c r="E898" s="464" t="s">
        <v>3523</v>
      </c>
      <c r="F898" s="464" t="s">
        <v>3524</v>
      </c>
      <c r="G898" s="464" t="s">
        <v>3525</v>
      </c>
      <c r="H898" s="464" t="s">
        <v>1188</v>
      </c>
      <c r="I898" s="464" t="s">
        <v>1684</v>
      </c>
    </row>
    <row r="899" ht="15.95" customHeight="1">
      <c r="A899" s="464" t="s">
        <v>3538</v>
      </c>
      <c r="B899" s="464" t="s">
        <v>3539</v>
      </c>
      <c r="C899" s="464"/>
      <c r="D899" s="464" t="s">
        <v>1679</v>
      </c>
      <c r="E899" s="464" t="s">
        <v>3523</v>
      </c>
      <c r="F899" s="464" t="s">
        <v>3524</v>
      </c>
      <c r="G899" s="464" t="s">
        <v>3525</v>
      </c>
      <c r="H899" s="464" t="s">
        <v>1188</v>
      </c>
      <c r="I899" s="464" t="s">
        <v>1684</v>
      </c>
    </row>
    <row r="900" ht="15.95" customHeight="1">
      <c r="A900" s="464" t="s">
        <v>3540</v>
      </c>
      <c r="B900" s="464" t="s">
        <v>3541</v>
      </c>
      <c r="C900" s="464"/>
      <c r="D900" s="464" t="s">
        <v>1679</v>
      </c>
      <c r="E900" s="464" t="s">
        <v>3523</v>
      </c>
      <c r="F900" s="464" t="s">
        <v>3524</v>
      </c>
      <c r="G900" s="464" t="s">
        <v>3525</v>
      </c>
      <c r="H900" s="464" t="s">
        <v>1188</v>
      </c>
      <c r="I900" s="464" t="s">
        <v>1684</v>
      </c>
    </row>
    <row r="901" ht="15.95" customHeight="1">
      <c r="A901" s="464" t="s">
        <v>3542</v>
      </c>
      <c r="B901" s="464" t="s">
        <v>3543</v>
      </c>
      <c r="C901" s="464"/>
      <c r="D901" s="464" t="s">
        <v>1679</v>
      </c>
      <c r="E901" s="464" t="s">
        <v>3544</v>
      </c>
      <c r="F901" s="464" t="s">
        <v>3545</v>
      </c>
      <c r="G901" s="464" t="s">
        <v>3525</v>
      </c>
      <c r="H901" s="464" t="s">
        <v>1188</v>
      </c>
      <c r="I901" s="464" t="s">
        <v>1684</v>
      </c>
    </row>
    <row r="902" ht="15.95" customHeight="1">
      <c r="A902" s="464" t="s">
        <v>3546</v>
      </c>
      <c r="B902" s="464" t="s">
        <v>3547</v>
      </c>
      <c r="C902" s="464"/>
      <c r="D902" s="464" t="s">
        <v>1679</v>
      </c>
      <c r="E902" s="464" t="s">
        <v>3544</v>
      </c>
      <c r="F902" s="464" t="s">
        <v>3545</v>
      </c>
      <c r="G902" s="464" t="s">
        <v>3525</v>
      </c>
      <c r="H902" s="464" t="s">
        <v>1188</v>
      </c>
      <c r="I902" s="464" t="s">
        <v>1684</v>
      </c>
    </row>
    <row r="903" ht="15.95" customHeight="1">
      <c r="A903" s="464" t="s">
        <v>3548</v>
      </c>
      <c r="B903" s="464" t="s">
        <v>2831</v>
      </c>
      <c r="C903" s="464"/>
      <c r="D903" s="464" t="s">
        <v>1679</v>
      </c>
      <c r="E903" s="464" t="s">
        <v>3544</v>
      </c>
      <c r="F903" s="464" t="s">
        <v>3545</v>
      </c>
      <c r="G903" s="464" t="s">
        <v>3525</v>
      </c>
      <c r="H903" s="464" t="s">
        <v>1188</v>
      </c>
      <c r="I903" s="464" t="s">
        <v>1684</v>
      </c>
    </row>
    <row r="904" ht="15.95" customHeight="1">
      <c r="A904" s="464" t="s">
        <v>3549</v>
      </c>
      <c r="B904" s="464" t="s">
        <v>3550</v>
      </c>
      <c r="C904" s="464"/>
      <c r="D904" s="464" t="s">
        <v>1679</v>
      </c>
      <c r="E904" s="464" t="s">
        <v>3544</v>
      </c>
      <c r="F904" s="464" t="s">
        <v>3545</v>
      </c>
      <c r="G904" s="464" t="s">
        <v>3525</v>
      </c>
      <c r="H904" s="464" t="s">
        <v>1188</v>
      </c>
      <c r="I904" s="464" t="s">
        <v>1684</v>
      </c>
    </row>
    <row r="905" ht="15.95" customHeight="1">
      <c r="A905" s="464" t="s">
        <v>3551</v>
      </c>
      <c r="B905" s="464" t="s">
        <v>3552</v>
      </c>
      <c r="C905" s="464"/>
      <c r="D905" s="464" t="s">
        <v>1679</v>
      </c>
      <c r="E905" s="464" t="s">
        <v>3544</v>
      </c>
      <c r="F905" s="464" t="s">
        <v>3545</v>
      </c>
      <c r="G905" s="464" t="s">
        <v>3525</v>
      </c>
      <c r="H905" s="464" t="s">
        <v>1188</v>
      </c>
      <c r="I905" s="464" t="s">
        <v>1684</v>
      </c>
    </row>
    <row r="906" ht="15.95" customHeight="1">
      <c r="A906" s="464" t="s">
        <v>3553</v>
      </c>
      <c r="B906" s="464" t="s">
        <v>3554</v>
      </c>
      <c r="C906" s="464"/>
      <c r="D906" s="464" t="s">
        <v>1679</v>
      </c>
      <c r="E906" s="464" t="s">
        <v>3544</v>
      </c>
      <c r="F906" s="464" t="s">
        <v>3545</v>
      </c>
      <c r="G906" s="464" t="s">
        <v>3525</v>
      </c>
      <c r="H906" s="464" t="s">
        <v>1188</v>
      </c>
      <c r="I906" s="464" t="s">
        <v>1684</v>
      </c>
    </row>
    <row r="907" ht="15.95" customHeight="1">
      <c r="A907" s="464" t="s">
        <v>3555</v>
      </c>
      <c r="B907" s="464" t="s">
        <v>3556</v>
      </c>
      <c r="C907" s="464"/>
      <c r="D907" s="464" t="s">
        <v>1679</v>
      </c>
      <c r="E907" s="464" t="s">
        <v>3544</v>
      </c>
      <c r="F907" s="464" t="s">
        <v>3545</v>
      </c>
      <c r="G907" s="464" t="s">
        <v>3525</v>
      </c>
      <c r="H907" s="464" t="s">
        <v>1188</v>
      </c>
      <c r="I907" s="464" t="s">
        <v>1684</v>
      </c>
    </row>
    <row r="908" ht="15.95" customHeight="1">
      <c r="A908" s="464" t="s">
        <v>3557</v>
      </c>
      <c r="B908" s="464" t="s">
        <v>3558</v>
      </c>
      <c r="C908" s="464"/>
      <c r="D908" s="464" t="s">
        <v>1679</v>
      </c>
      <c r="E908" s="464" t="s">
        <v>3544</v>
      </c>
      <c r="F908" s="464" t="s">
        <v>3545</v>
      </c>
      <c r="G908" s="464" t="s">
        <v>3525</v>
      </c>
      <c r="H908" s="464" t="s">
        <v>1188</v>
      </c>
      <c r="I908" s="464" t="s">
        <v>1684</v>
      </c>
    </row>
    <row r="909" ht="15.95" customHeight="1">
      <c r="A909" s="464" t="s">
        <v>3559</v>
      </c>
      <c r="B909" s="464" t="s">
        <v>3560</v>
      </c>
      <c r="C909" s="464"/>
      <c r="D909" s="464" t="s">
        <v>1679</v>
      </c>
      <c r="E909" s="464" t="s">
        <v>3544</v>
      </c>
      <c r="F909" s="464" t="s">
        <v>3545</v>
      </c>
      <c r="G909" s="464" t="s">
        <v>3525</v>
      </c>
      <c r="H909" s="464" t="s">
        <v>1188</v>
      </c>
      <c r="I909" s="464" t="s">
        <v>1684</v>
      </c>
    </row>
    <row r="910" ht="15.95" customHeight="1">
      <c r="A910" s="464" t="s">
        <v>3561</v>
      </c>
      <c r="B910" s="464" t="s">
        <v>3562</v>
      </c>
      <c r="C910" s="464"/>
      <c r="D910" s="464" t="s">
        <v>1679</v>
      </c>
      <c r="E910" s="464" t="s">
        <v>3544</v>
      </c>
      <c r="F910" s="464" t="s">
        <v>3545</v>
      </c>
      <c r="G910" s="464" t="s">
        <v>3525</v>
      </c>
      <c r="H910" s="464" t="s">
        <v>1188</v>
      </c>
      <c r="I910" s="464" t="s">
        <v>1684</v>
      </c>
    </row>
    <row r="911" ht="15.95" customHeight="1">
      <c r="A911" s="464" t="s">
        <v>3563</v>
      </c>
      <c r="B911" s="464" t="s">
        <v>3564</v>
      </c>
      <c r="C911" s="464"/>
      <c r="D911" s="464" t="s">
        <v>1679</v>
      </c>
      <c r="E911" s="464" t="s">
        <v>3544</v>
      </c>
      <c r="F911" s="464" t="s">
        <v>3545</v>
      </c>
      <c r="G911" s="464" t="s">
        <v>3525</v>
      </c>
      <c r="H911" s="464" t="s">
        <v>1188</v>
      </c>
      <c r="I911" s="464" t="s">
        <v>1684</v>
      </c>
    </row>
    <row r="912" ht="15.95" customHeight="1">
      <c r="A912" s="464" t="s">
        <v>3565</v>
      </c>
      <c r="B912" s="464" t="s">
        <v>3566</v>
      </c>
      <c r="C912" s="464"/>
      <c r="D912" s="464" t="s">
        <v>1679</v>
      </c>
      <c r="E912" s="464" t="s">
        <v>3567</v>
      </c>
      <c r="F912" s="464" t="s">
        <v>3568</v>
      </c>
      <c r="G912" s="464" t="s">
        <v>3525</v>
      </c>
      <c r="H912" s="464" t="s">
        <v>1188</v>
      </c>
      <c r="I912" s="464" t="s">
        <v>1684</v>
      </c>
    </row>
    <row r="913" ht="15.95" customHeight="1">
      <c r="A913" s="464" t="s">
        <v>3569</v>
      </c>
      <c r="B913" s="464" t="s">
        <v>3570</v>
      </c>
      <c r="C913" s="464"/>
      <c r="D913" s="464" t="s">
        <v>1679</v>
      </c>
      <c r="E913" s="464" t="s">
        <v>3567</v>
      </c>
      <c r="F913" s="464" t="s">
        <v>3568</v>
      </c>
      <c r="G913" s="464" t="s">
        <v>3525</v>
      </c>
      <c r="H913" s="464" t="s">
        <v>1188</v>
      </c>
      <c r="I913" s="464" t="s">
        <v>1684</v>
      </c>
    </row>
    <row r="914" ht="15.95" customHeight="1">
      <c r="A914" s="464" t="s">
        <v>3571</v>
      </c>
      <c r="B914" s="464" t="s">
        <v>3572</v>
      </c>
      <c r="C914" s="464"/>
      <c r="D914" s="464" t="s">
        <v>1679</v>
      </c>
      <c r="E914" s="464" t="s">
        <v>3567</v>
      </c>
      <c r="F914" s="464" t="s">
        <v>3568</v>
      </c>
      <c r="G914" s="464" t="s">
        <v>3525</v>
      </c>
      <c r="H914" s="464" t="s">
        <v>1188</v>
      </c>
      <c r="I914" s="464" t="s">
        <v>1684</v>
      </c>
    </row>
    <row r="915" ht="15.95" customHeight="1">
      <c r="A915" s="464" t="s">
        <v>3573</v>
      </c>
      <c r="B915" s="464" t="s">
        <v>3574</v>
      </c>
      <c r="C915" s="464"/>
      <c r="D915" s="464" t="s">
        <v>1679</v>
      </c>
      <c r="E915" s="464" t="s">
        <v>3567</v>
      </c>
      <c r="F915" s="464" t="s">
        <v>3568</v>
      </c>
      <c r="G915" s="464" t="s">
        <v>3525</v>
      </c>
      <c r="H915" s="464" t="s">
        <v>1188</v>
      </c>
      <c r="I915" s="464" t="s">
        <v>1684</v>
      </c>
    </row>
    <row r="916" ht="15.95" customHeight="1">
      <c r="A916" s="464" t="s">
        <v>3575</v>
      </c>
      <c r="B916" s="464" t="s">
        <v>3576</v>
      </c>
      <c r="C916" s="464"/>
      <c r="D916" s="464" t="s">
        <v>1679</v>
      </c>
      <c r="E916" s="464" t="s">
        <v>3567</v>
      </c>
      <c r="F916" s="464" t="s">
        <v>3568</v>
      </c>
      <c r="G916" s="464" t="s">
        <v>3525</v>
      </c>
      <c r="H916" s="464" t="s">
        <v>1188</v>
      </c>
      <c r="I916" s="464" t="s">
        <v>1684</v>
      </c>
    </row>
    <row r="917" ht="15.95" customHeight="1">
      <c r="A917" s="464" t="s">
        <v>3577</v>
      </c>
      <c r="B917" s="464" t="s">
        <v>3578</v>
      </c>
      <c r="C917" s="464"/>
      <c r="D917" s="464" t="s">
        <v>1679</v>
      </c>
      <c r="E917" s="464" t="s">
        <v>3567</v>
      </c>
      <c r="F917" s="464" t="s">
        <v>3568</v>
      </c>
      <c r="G917" s="464" t="s">
        <v>3525</v>
      </c>
      <c r="H917" s="464" t="s">
        <v>1188</v>
      </c>
      <c r="I917" s="464" t="s">
        <v>1684</v>
      </c>
    </row>
    <row r="918" ht="15.95" customHeight="1">
      <c r="A918" s="464" t="s">
        <v>3579</v>
      </c>
      <c r="B918" s="464" t="s">
        <v>3580</v>
      </c>
      <c r="C918" s="464"/>
      <c r="D918" s="464" t="s">
        <v>1679</v>
      </c>
      <c r="E918" s="464" t="s">
        <v>3567</v>
      </c>
      <c r="F918" s="464" t="s">
        <v>3568</v>
      </c>
      <c r="G918" s="464" t="s">
        <v>3525</v>
      </c>
      <c r="H918" s="464" t="s">
        <v>1188</v>
      </c>
      <c r="I918" s="464" t="s">
        <v>1684</v>
      </c>
    </row>
    <row r="919" ht="15.95" customHeight="1">
      <c r="A919" s="464" t="s">
        <v>3581</v>
      </c>
      <c r="B919" s="464" t="s">
        <v>3582</v>
      </c>
      <c r="C919" s="464"/>
      <c r="D919" s="464" t="s">
        <v>1679</v>
      </c>
      <c r="E919" s="464" t="s">
        <v>3567</v>
      </c>
      <c r="F919" s="464" t="s">
        <v>3568</v>
      </c>
      <c r="G919" s="464" t="s">
        <v>3525</v>
      </c>
      <c r="H919" s="464" t="s">
        <v>1188</v>
      </c>
      <c r="I919" s="464" t="s">
        <v>1684</v>
      </c>
    </row>
    <row r="920" ht="15.95" customHeight="1">
      <c r="A920" s="464" t="s">
        <v>3583</v>
      </c>
      <c r="B920" s="464" t="s">
        <v>3584</v>
      </c>
      <c r="C920" s="464"/>
      <c r="D920" s="464" t="s">
        <v>1679</v>
      </c>
      <c r="E920" s="464" t="s">
        <v>3567</v>
      </c>
      <c r="F920" s="464" t="s">
        <v>3568</v>
      </c>
      <c r="G920" s="464" t="s">
        <v>3525</v>
      </c>
      <c r="H920" s="464" t="s">
        <v>1188</v>
      </c>
      <c r="I920" s="464" t="s">
        <v>1684</v>
      </c>
    </row>
    <row r="921" ht="15.95" customHeight="1">
      <c r="A921" s="464" t="s">
        <v>3585</v>
      </c>
      <c r="B921" s="464" t="s">
        <v>3586</v>
      </c>
      <c r="C921" s="464"/>
      <c r="D921" s="464" t="s">
        <v>1679</v>
      </c>
      <c r="E921" s="464" t="s">
        <v>3567</v>
      </c>
      <c r="F921" s="464" t="s">
        <v>3568</v>
      </c>
      <c r="G921" s="464" t="s">
        <v>3525</v>
      </c>
      <c r="H921" s="464" t="s">
        <v>1188</v>
      </c>
      <c r="I921" s="464" t="s">
        <v>1684</v>
      </c>
    </row>
    <row r="922" ht="15.95" customHeight="1">
      <c r="A922" s="464" t="s">
        <v>3587</v>
      </c>
      <c r="B922" s="464" t="s">
        <v>3588</v>
      </c>
      <c r="C922" s="464"/>
      <c r="D922" s="464" t="s">
        <v>1679</v>
      </c>
      <c r="E922" s="464" t="s">
        <v>3567</v>
      </c>
      <c r="F922" s="464" t="s">
        <v>3568</v>
      </c>
      <c r="G922" s="464" t="s">
        <v>3525</v>
      </c>
      <c r="H922" s="464" t="s">
        <v>1188</v>
      </c>
      <c r="I922" s="464" t="s">
        <v>1684</v>
      </c>
    </row>
    <row r="923" ht="15.95" customHeight="1">
      <c r="A923" s="464" t="s">
        <v>3589</v>
      </c>
      <c r="B923" s="464" t="s">
        <v>3590</v>
      </c>
      <c r="C923" s="464"/>
      <c r="D923" s="464" t="s">
        <v>1679</v>
      </c>
      <c r="E923" s="464" t="s">
        <v>3567</v>
      </c>
      <c r="F923" s="464" t="s">
        <v>3568</v>
      </c>
      <c r="G923" s="464" t="s">
        <v>3525</v>
      </c>
      <c r="H923" s="464" t="s">
        <v>1188</v>
      </c>
      <c r="I923" s="464" t="s">
        <v>1684</v>
      </c>
    </row>
    <row r="924" ht="15.95" customHeight="1">
      <c r="A924" s="464" t="s">
        <v>3591</v>
      </c>
      <c r="B924" s="464" t="s">
        <v>3046</v>
      </c>
      <c r="C924" s="464"/>
      <c r="D924" s="464" t="s">
        <v>1679</v>
      </c>
      <c r="E924" s="464" t="s">
        <v>3592</v>
      </c>
      <c r="F924" s="464" t="s">
        <v>3593</v>
      </c>
      <c r="G924" s="464" t="s">
        <v>3525</v>
      </c>
      <c r="H924" s="464" t="s">
        <v>1188</v>
      </c>
      <c r="I924" s="464" t="s">
        <v>1684</v>
      </c>
    </row>
    <row r="925" ht="15.95" customHeight="1">
      <c r="A925" s="464" t="s">
        <v>3594</v>
      </c>
      <c r="B925" s="464" t="s">
        <v>3595</v>
      </c>
      <c r="C925" s="464"/>
      <c r="D925" s="464" t="s">
        <v>1679</v>
      </c>
      <c r="E925" s="464" t="s">
        <v>3592</v>
      </c>
      <c r="F925" s="464" t="s">
        <v>3593</v>
      </c>
      <c r="G925" s="464" t="s">
        <v>3525</v>
      </c>
      <c r="H925" s="464" t="s">
        <v>1188</v>
      </c>
      <c r="I925" s="464" t="s">
        <v>1684</v>
      </c>
    </row>
    <row r="926" ht="15.95" customHeight="1">
      <c r="A926" s="464" t="s">
        <v>3596</v>
      </c>
      <c r="B926" s="464" t="s">
        <v>2428</v>
      </c>
      <c r="C926" s="464"/>
      <c r="D926" s="464" t="s">
        <v>1679</v>
      </c>
      <c r="E926" s="464" t="s">
        <v>3592</v>
      </c>
      <c r="F926" s="464" t="s">
        <v>3593</v>
      </c>
      <c r="G926" s="464" t="s">
        <v>3525</v>
      </c>
      <c r="H926" s="464" t="s">
        <v>1188</v>
      </c>
      <c r="I926" s="464" t="s">
        <v>1684</v>
      </c>
    </row>
    <row r="927" ht="15.95" customHeight="1">
      <c r="A927" s="464" t="s">
        <v>3597</v>
      </c>
      <c r="B927" s="464" t="s">
        <v>3598</v>
      </c>
      <c r="C927" s="464"/>
      <c r="D927" s="464" t="s">
        <v>1679</v>
      </c>
      <c r="E927" s="464" t="s">
        <v>3592</v>
      </c>
      <c r="F927" s="464" t="s">
        <v>3593</v>
      </c>
      <c r="G927" s="464" t="s">
        <v>3525</v>
      </c>
      <c r="H927" s="464" t="s">
        <v>1188</v>
      </c>
      <c r="I927" s="464" t="s">
        <v>1684</v>
      </c>
    </row>
    <row r="928" ht="15.95" customHeight="1">
      <c r="A928" s="464" t="s">
        <v>3599</v>
      </c>
      <c r="B928" s="464" t="s">
        <v>3600</v>
      </c>
      <c r="C928" s="464"/>
      <c r="D928" s="464" t="s">
        <v>1679</v>
      </c>
      <c r="E928" s="464" t="s">
        <v>3592</v>
      </c>
      <c r="F928" s="464" t="s">
        <v>3593</v>
      </c>
      <c r="G928" s="464" t="s">
        <v>3525</v>
      </c>
      <c r="H928" s="464" t="s">
        <v>1188</v>
      </c>
      <c r="I928" s="464" t="s">
        <v>1684</v>
      </c>
    </row>
    <row r="929" ht="15.95" customHeight="1">
      <c r="A929" s="464" t="s">
        <v>3601</v>
      </c>
      <c r="B929" s="464" t="s">
        <v>3602</v>
      </c>
      <c r="C929" s="464"/>
      <c r="D929" s="464" t="s">
        <v>1679</v>
      </c>
      <c r="E929" s="464" t="s">
        <v>3592</v>
      </c>
      <c r="F929" s="464" t="s">
        <v>3593</v>
      </c>
      <c r="G929" s="464" t="s">
        <v>3525</v>
      </c>
      <c r="H929" s="464" t="s">
        <v>1188</v>
      </c>
      <c r="I929" s="464" t="s">
        <v>1684</v>
      </c>
    </row>
    <row r="930" ht="15.95" customHeight="1">
      <c r="A930" s="464" t="s">
        <v>3603</v>
      </c>
      <c r="B930" s="464" t="s">
        <v>3604</v>
      </c>
      <c r="C930" s="464"/>
      <c r="D930" s="464" t="s">
        <v>1679</v>
      </c>
      <c r="E930" s="464" t="s">
        <v>3592</v>
      </c>
      <c r="F930" s="464" t="s">
        <v>3593</v>
      </c>
      <c r="G930" s="464" t="s">
        <v>3525</v>
      </c>
      <c r="H930" s="464" t="s">
        <v>1188</v>
      </c>
      <c r="I930" s="464" t="s">
        <v>1684</v>
      </c>
    </row>
    <row r="931" ht="15.95" customHeight="1">
      <c r="A931" s="464" t="s">
        <v>3605</v>
      </c>
      <c r="B931" s="464" t="s">
        <v>3606</v>
      </c>
      <c r="C931" s="464"/>
      <c r="D931" s="464" t="s">
        <v>1679</v>
      </c>
      <c r="E931" s="464" t="s">
        <v>3592</v>
      </c>
      <c r="F931" s="464" t="s">
        <v>3593</v>
      </c>
      <c r="G931" s="464" t="s">
        <v>3525</v>
      </c>
      <c r="H931" s="464" t="s">
        <v>1188</v>
      </c>
      <c r="I931" s="464" t="s">
        <v>1684</v>
      </c>
    </row>
    <row r="932" ht="15.95" customHeight="1">
      <c r="A932" s="464" t="s">
        <v>3607</v>
      </c>
      <c r="B932" s="464" t="s">
        <v>3608</v>
      </c>
      <c r="C932" s="464"/>
      <c r="D932" s="464" t="s">
        <v>1679</v>
      </c>
      <c r="E932" s="464" t="s">
        <v>3592</v>
      </c>
      <c r="F932" s="464" t="s">
        <v>3593</v>
      </c>
      <c r="G932" s="464" t="s">
        <v>3525</v>
      </c>
      <c r="H932" s="464" t="s">
        <v>1188</v>
      </c>
      <c r="I932" s="464" t="s">
        <v>1684</v>
      </c>
    </row>
    <row r="933" ht="15.95" customHeight="1">
      <c r="A933" s="464" t="s">
        <v>3609</v>
      </c>
      <c r="B933" s="464" t="s">
        <v>2420</v>
      </c>
      <c r="C933" s="464"/>
      <c r="D933" s="464" t="s">
        <v>1679</v>
      </c>
      <c r="E933" s="464" t="s">
        <v>3592</v>
      </c>
      <c r="F933" s="464" t="s">
        <v>3593</v>
      </c>
      <c r="G933" s="464" t="s">
        <v>3525</v>
      </c>
      <c r="H933" s="464" t="s">
        <v>1188</v>
      </c>
      <c r="I933" s="464" t="s">
        <v>1684</v>
      </c>
    </row>
    <row r="934" ht="15.95" customHeight="1">
      <c r="A934" s="464" t="s">
        <v>3610</v>
      </c>
      <c r="B934" s="464" t="s">
        <v>3611</v>
      </c>
      <c r="C934" s="464"/>
      <c r="D934" s="464" t="s">
        <v>1679</v>
      </c>
      <c r="E934" s="464" t="s">
        <v>3592</v>
      </c>
      <c r="F934" s="464" t="s">
        <v>3593</v>
      </c>
      <c r="G934" s="464" t="s">
        <v>3525</v>
      </c>
      <c r="H934" s="464" t="s">
        <v>1188</v>
      </c>
      <c r="I934" s="464" t="s">
        <v>1684</v>
      </c>
    </row>
    <row r="935" ht="15.95" customHeight="1">
      <c r="A935" s="464" t="s">
        <v>3612</v>
      </c>
      <c r="B935" s="464" t="s">
        <v>2418</v>
      </c>
      <c r="C935" s="464"/>
      <c r="D935" s="464" t="s">
        <v>1679</v>
      </c>
      <c r="E935" s="464" t="s">
        <v>3592</v>
      </c>
      <c r="F935" s="464" t="s">
        <v>3593</v>
      </c>
      <c r="G935" s="464" t="s">
        <v>3525</v>
      </c>
      <c r="H935" s="464" t="s">
        <v>1188</v>
      </c>
      <c r="I935" s="464" t="s">
        <v>1684</v>
      </c>
    </row>
    <row r="936" ht="15.95" customHeight="1">
      <c r="A936" s="464" t="s">
        <v>3613</v>
      </c>
      <c r="B936" s="464" t="s">
        <v>3614</v>
      </c>
      <c r="C936" s="464"/>
      <c r="D936" s="464" t="s">
        <v>1679</v>
      </c>
      <c r="E936" s="464" t="s">
        <v>3592</v>
      </c>
      <c r="F936" s="464" t="s">
        <v>3593</v>
      </c>
      <c r="G936" s="464" t="s">
        <v>3525</v>
      </c>
      <c r="H936" s="464" t="s">
        <v>1188</v>
      </c>
      <c r="I936" s="464" t="s">
        <v>1684</v>
      </c>
    </row>
    <row r="937" ht="15.95" customHeight="1">
      <c r="A937" s="464" t="s">
        <v>3615</v>
      </c>
      <c r="B937" s="464" t="s">
        <v>1284</v>
      </c>
      <c r="C937" s="464"/>
      <c r="D937" s="464" t="s">
        <v>1679</v>
      </c>
      <c r="E937" s="464" t="s">
        <v>3616</v>
      </c>
      <c r="F937" s="464" t="s">
        <v>3617</v>
      </c>
      <c r="G937" s="464" t="s">
        <v>3525</v>
      </c>
      <c r="H937" s="464" t="s">
        <v>1188</v>
      </c>
      <c r="I937" s="464" t="s">
        <v>1684</v>
      </c>
    </row>
    <row r="938" ht="15.95" customHeight="1">
      <c r="A938" s="464" t="s">
        <v>3618</v>
      </c>
      <c r="B938" s="464" t="s">
        <v>3619</v>
      </c>
      <c r="C938" s="464"/>
      <c r="D938" s="464" t="s">
        <v>1679</v>
      </c>
      <c r="E938" s="464" t="s">
        <v>3616</v>
      </c>
      <c r="F938" s="464" t="s">
        <v>3617</v>
      </c>
      <c r="G938" s="464" t="s">
        <v>3525</v>
      </c>
      <c r="H938" s="464" t="s">
        <v>1188</v>
      </c>
      <c r="I938" s="464" t="s">
        <v>1684</v>
      </c>
    </row>
    <row r="939" ht="15.95" customHeight="1">
      <c r="A939" s="464" t="s">
        <v>3620</v>
      </c>
      <c r="B939" s="464" t="s">
        <v>3621</v>
      </c>
      <c r="C939" s="464"/>
      <c r="D939" s="464" t="s">
        <v>1679</v>
      </c>
      <c r="E939" s="464" t="s">
        <v>3616</v>
      </c>
      <c r="F939" s="464" t="s">
        <v>3617</v>
      </c>
      <c r="G939" s="464" t="s">
        <v>3525</v>
      </c>
      <c r="H939" s="464" t="s">
        <v>1188</v>
      </c>
      <c r="I939" s="464" t="s">
        <v>1684</v>
      </c>
    </row>
    <row r="940" ht="15.95" customHeight="1">
      <c r="A940" s="464" t="s">
        <v>3622</v>
      </c>
      <c r="B940" s="464" t="s">
        <v>2113</v>
      </c>
      <c r="C940" s="464"/>
      <c r="D940" s="464" t="s">
        <v>1679</v>
      </c>
      <c r="E940" s="464" t="s">
        <v>3616</v>
      </c>
      <c r="F940" s="464" t="s">
        <v>3617</v>
      </c>
      <c r="G940" s="464" t="s">
        <v>3525</v>
      </c>
      <c r="H940" s="464" t="s">
        <v>1188</v>
      </c>
      <c r="I940" s="464" t="s">
        <v>1684</v>
      </c>
    </row>
    <row r="941" ht="15.95" customHeight="1">
      <c r="A941" s="464" t="s">
        <v>3623</v>
      </c>
      <c r="B941" s="464" t="s">
        <v>3624</v>
      </c>
      <c r="C941" s="464"/>
      <c r="D941" s="464" t="s">
        <v>1679</v>
      </c>
      <c r="E941" s="464" t="s">
        <v>3616</v>
      </c>
      <c r="F941" s="464" t="s">
        <v>3617</v>
      </c>
      <c r="G941" s="464" t="s">
        <v>3525</v>
      </c>
      <c r="H941" s="464" t="s">
        <v>1188</v>
      </c>
      <c r="I941" s="464" t="s">
        <v>1684</v>
      </c>
    </row>
    <row r="942" ht="15.95" customHeight="1">
      <c r="A942" s="464" t="s">
        <v>3625</v>
      </c>
      <c r="B942" s="464" t="s">
        <v>2107</v>
      </c>
      <c r="C942" s="464"/>
      <c r="D942" s="464" t="s">
        <v>1679</v>
      </c>
      <c r="E942" s="464" t="s">
        <v>3616</v>
      </c>
      <c r="F942" s="464" t="s">
        <v>3617</v>
      </c>
      <c r="G942" s="464" t="s">
        <v>3525</v>
      </c>
      <c r="H942" s="464" t="s">
        <v>1188</v>
      </c>
      <c r="I942" s="464" t="s">
        <v>1684</v>
      </c>
    </row>
    <row r="943" ht="15.95" customHeight="1">
      <c r="A943" s="464" t="s">
        <v>3626</v>
      </c>
      <c r="B943" s="464" t="s">
        <v>3627</v>
      </c>
      <c r="C943" s="464"/>
      <c r="D943" s="464" t="s">
        <v>1679</v>
      </c>
      <c r="E943" s="464" t="s">
        <v>3616</v>
      </c>
      <c r="F943" s="464" t="s">
        <v>3617</v>
      </c>
      <c r="G943" s="464" t="s">
        <v>3525</v>
      </c>
      <c r="H943" s="464" t="s">
        <v>1188</v>
      </c>
      <c r="I943" s="464" t="s">
        <v>1684</v>
      </c>
    </row>
    <row r="944" ht="15.95" customHeight="1">
      <c r="A944" s="464" t="s">
        <v>3628</v>
      </c>
      <c r="B944" s="464" t="s">
        <v>1270</v>
      </c>
      <c r="C944" s="464"/>
      <c r="D944" s="464" t="s">
        <v>1679</v>
      </c>
      <c r="E944" s="464" t="s">
        <v>3616</v>
      </c>
      <c r="F944" s="464" t="s">
        <v>3617</v>
      </c>
      <c r="G944" s="464" t="s">
        <v>3525</v>
      </c>
      <c r="H944" s="464" t="s">
        <v>1188</v>
      </c>
      <c r="I944" s="464" t="s">
        <v>1684</v>
      </c>
    </row>
    <row r="945" ht="15.95" customHeight="1">
      <c r="A945" s="464" t="s">
        <v>3629</v>
      </c>
      <c r="B945" s="464" t="s">
        <v>3630</v>
      </c>
      <c r="C945" s="464"/>
      <c r="D945" s="464" t="s">
        <v>1679</v>
      </c>
      <c r="E945" s="464" t="s">
        <v>3616</v>
      </c>
      <c r="F945" s="464" t="s">
        <v>3617</v>
      </c>
      <c r="G945" s="464" t="s">
        <v>3525</v>
      </c>
      <c r="H945" s="464" t="s">
        <v>1188</v>
      </c>
      <c r="I945" s="464" t="s">
        <v>1684</v>
      </c>
    </row>
    <row r="946" ht="15.95" customHeight="1">
      <c r="A946" s="464" t="s">
        <v>3631</v>
      </c>
      <c r="B946" s="464" t="s">
        <v>3632</v>
      </c>
      <c r="C946" s="464"/>
      <c r="D946" s="464" t="s">
        <v>1679</v>
      </c>
      <c r="E946" s="464" t="s">
        <v>3616</v>
      </c>
      <c r="F946" s="464" t="s">
        <v>3617</v>
      </c>
      <c r="G946" s="464" t="s">
        <v>3525</v>
      </c>
      <c r="H946" s="464" t="s">
        <v>1188</v>
      </c>
      <c r="I946" s="464" t="s">
        <v>1684</v>
      </c>
    </row>
    <row r="947" ht="15.95" customHeight="1">
      <c r="A947" s="464" t="s">
        <v>3633</v>
      </c>
      <c r="B947" s="464" t="s">
        <v>3634</v>
      </c>
      <c r="C947" s="464"/>
      <c r="D947" s="464" t="s">
        <v>1679</v>
      </c>
      <c r="E947" s="464" t="s">
        <v>3616</v>
      </c>
      <c r="F947" s="464" t="s">
        <v>3617</v>
      </c>
      <c r="G947" s="464" t="s">
        <v>3525</v>
      </c>
      <c r="H947" s="464" t="s">
        <v>1188</v>
      </c>
      <c r="I947" s="464" t="s">
        <v>1684</v>
      </c>
    </row>
    <row r="948" ht="15.95" customHeight="1">
      <c r="A948" s="464" t="s">
        <v>3635</v>
      </c>
      <c r="B948" s="464" t="s">
        <v>3636</v>
      </c>
      <c r="C948" s="464"/>
      <c r="D948" s="464" t="s">
        <v>1679</v>
      </c>
      <c r="E948" s="464" t="s">
        <v>3616</v>
      </c>
      <c r="F948" s="464" t="s">
        <v>3617</v>
      </c>
      <c r="G948" s="464" t="s">
        <v>3525</v>
      </c>
      <c r="H948" s="464" t="s">
        <v>1188</v>
      </c>
      <c r="I948" s="464" t="s">
        <v>1684</v>
      </c>
    </row>
    <row r="949" ht="15.95" customHeight="1">
      <c r="A949" s="464" t="s">
        <v>3637</v>
      </c>
      <c r="B949" s="464" t="s">
        <v>1266</v>
      </c>
      <c r="C949" s="464"/>
      <c r="D949" s="464" t="s">
        <v>1679</v>
      </c>
      <c r="E949" s="464" t="s">
        <v>3616</v>
      </c>
      <c r="F949" s="464" t="s">
        <v>3617</v>
      </c>
      <c r="G949" s="464" t="s">
        <v>3525</v>
      </c>
      <c r="H949" s="464" t="s">
        <v>1188</v>
      </c>
      <c r="I949" s="464" t="s">
        <v>1684</v>
      </c>
    </row>
    <row r="950" ht="15.95" customHeight="1">
      <c r="A950" s="464" t="s">
        <v>3638</v>
      </c>
      <c r="B950" s="464" t="s">
        <v>1279</v>
      </c>
      <c r="C950" s="464"/>
      <c r="D950" s="464" t="s">
        <v>1679</v>
      </c>
      <c r="E950" s="464" t="s">
        <v>3616</v>
      </c>
      <c r="F950" s="464" t="s">
        <v>3617</v>
      </c>
      <c r="G950" s="464" t="s">
        <v>3525</v>
      </c>
      <c r="H950" s="464" t="s">
        <v>1188</v>
      </c>
      <c r="I950" s="464" t="s">
        <v>1684</v>
      </c>
    </row>
    <row r="951" ht="15.95" customHeight="1">
      <c r="A951" s="464" t="s">
        <v>3639</v>
      </c>
      <c r="B951" s="464" t="s">
        <v>1278</v>
      </c>
      <c r="C951" s="464"/>
      <c r="D951" s="464" t="s">
        <v>1679</v>
      </c>
      <c r="E951" s="464" t="s">
        <v>3616</v>
      </c>
      <c r="F951" s="464" t="s">
        <v>3617</v>
      </c>
      <c r="G951" s="464" t="s">
        <v>3525</v>
      </c>
      <c r="H951" s="464" t="s">
        <v>1188</v>
      </c>
      <c r="I951" s="464" t="s">
        <v>1684</v>
      </c>
    </row>
    <row r="952" ht="15.95" customHeight="1">
      <c r="A952" s="464" t="s">
        <v>3640</v>
      </c>
      <c r="B952" s="464" t="s">
        <v>3641</v>
      </c>
      <c r="C952" s="464"/>
      <c r="D952" s="464" t="s">
        <v>1679</v>
      </c>
      <c r="E952" s="464" t="s">
        <v>3616</v>
      </c>
      <c r="F952" s="464" t="s">
        <v>3617</v>
      </c>
      <c r="G952" s="464" t="s">
        <v>3525</v>
      </c>
      <c r="H952" s="464" t="s">
        <v>1188</v>
      </c>
      <c r="I952" s="464" t="s">
        <v>1684</v>
      </c>
    </row>
    <row r="953" ht="15.95" customHeight="1">
      <c r="A953" s="464" t="s">
        <v>3642</v>
      </c>
      <c r="B953" s="464" t="s">
        <v>3619</v>
      </c>
      <c r="C953" s="464"/>
      <c r="D953" s="464" t="s">
        <v>1679</v>
      </c>
      <c r="E953" s="464" t="s">
        <v>3643</v>
      </c>
      <c r="F953" s="464" t="s">
        <v>3644</v>
      </c>
      <c r="G953" s="464" t="s">
        <v>3525</v>
      </c>
      <c r="H953" s="464" t="s">
        <v>1188</v>
      </c>
      <c r="I953" s="464" t="s">
        <v>1684</v>
      </c>
    </row>
    <row r="954" ht="15.95" customHeight="1">
      <c r="A954" s="464" t="s">
        <v>3645</v>
      </c>
      <c r="B954" s="464" t="s">
        <v>1278</v>
      </c>
      <c r="C954" s="464"/>
      <c r="D954" s="464" t="s">
        <v>1679</v>
      </c>
      <c r="E954" s="464" t="s">
        <v>3643</v>
      </c>
      <c r="F954" s="464" t="s">
        <v>3644</v>
      </c>
      <c r="G954" s="464" t="s">
        <v>3525</v>
      </c>
      <c r="H954" s="464" t="s">
        <v>1188</v>
      </c>
      <c r="I954" s="464" t="s">
        <v>1684</v>
      </c>
    </row>
    <row r="955" ht="15.95" customHeight="1">
      <c r="A955" s="464" t="s">
        <v>3646</v>
      </c>
      <c r="B955" s="464" t="s">
        <v>3647</v>
      </c>
      <c r="C955" s="464"/>
      <c r="D955" s="464" t="s">
        <v>1679</v>
      </c>
      <c r="E955" s="464" t="s">
        <v>3643</v>
      </c>
      <c r="F955" s="464" t="s">
        <v>3644</v>
      </c>
      <c r="G955" s="464" t="s">
        <v>3525</v>
      </c>
      <c r="H955" s="464" t="s">
        <v>1188</v>
      </c>
      <c r="I955" s="464" t="s">
        <v>1684</v>
      </c>
    </row>
    <row r="956" ht="15.95" customHeight="1">
      <c r="A956" s="464" t="s">
        <v>3648</v>
      </c>
      <c r="B956" s="464" t="s">
        <v>3649</v>
      </c>
      <c r="C956" s="464"/>
      <c r="D956" s="464" t="s">
        <v>1679</v>
      </c>
      <c r="E956" s="464" t="s">
        <v>3643</v>
      </c>
      <c r="F956" s="464" t="s">
        <v>3644</v>
      </c>
      <c r="G956" s="464" t="s">
        <v>3525</v>
      </c>
      <c r="H956" s="464" t="s">
        <v>1188</v>
      </c>
      <c r="I956" s="464" t="s">
        <v>1684</v>
      </c>
    </row>
    <row r="957" ht="15.95" customHeight="1">
      <c r="A957" s="464" t="s">
        <v>3650</v>
      </c>
      <c r="B957" s="464" t="s">
        <v>2107</v>
      </c>
      <c r="C957" s="464"/>
      <c r="D957" s="464" t="s">
        <v>1679</v>
      </c>
      <c r="E957" s="464" t="s">
        <v>3643</v>
      </c>
      <c r="F957" s="464" t="s">
        <v>3644</v>
      </c>
      <c r="G957" s="464" t="s">
        <v>3525</v>
      </c>
      <c r="H957" s="464" t="s">
        <v>1188</v>
      </c>
      <c r="I957" s="464" t="s">
        <v>1684</v>
      </c>
    </row>
    <row r="958" ht="15.95" customHeight="1">
      <c r="A958" s="464" t="s">
        <v>3651</v>
      </c>
      <c r="B958" s="464" t="s">
        <v>3652</v>
      </c>
      <c r="C958" s="464"/>
      <c r="D958" s="464" t="s">
        <v>1679</v>
      </c>
      <c r="E958" s="464" t="s">
        <v>3643</v>
      </c>
      <c r="F958" s="464" t="s">
        <v>3644</v>
      </c>
      <c r="G958" s="464" t="s">
        <v>3525</v>
      </c>
      <c r="H958" s="464" t="s">
        <v>1188</v>
      </c>
      <c r="I958" s="464" t="s">
        <v>1684</v>
      </c>
    </row>
    <row r="959" ht="15.95" customHeight="1">
      <c r="A959" s="464" t="s">
        <v>3653</v>
      </c>
      <c r="B959" s="464" t="s">
        <v>3630</v>
      </c>
      <c r="C959" s="464"/>
      <c r="D959" s="464" t="s">
        <v>1679</v>
      </c>
      <c r="E959" s="464" t="s">
        <v>3643</v>
      </c>
      <c r="F959" s="464" t="s">
        <v>3644</v>
      </c>
      <c r="G959" s="464" t="s">
        <v>3525</v>
      </c>
      <c r="H959" s="464" t="s">
        <v>1188</v>
      </c>
      <c r="I959" s="464" t="s">
        <v>1684</v>
      </c>
    </row>
    <row r="960" ht="15.95" customHeight="1">
      <c r="A960" s="464" t="s">
        <v>3654</v>
      </c>
      <c r="B960" s="464" t="s">
        <v>3632</v>
      </c>
      <c r="C960" s="464"/>
      <c r="D960" s="464" t="s">
        <v>1679</v>
      </c>
      <c r="E960" s="464" t="s">
        <v>3643</v>
      </c>
      <c r="F960" s="464" t="s">
        <v>3644</v>
      </c>
      <c r="G960" s="464" t="s">
        <v>3525</v>
      </c>
      <c r="H960" s="464" t="s">
        <v>1188</v>
      </c>
      <c r="I960" s="464" t="s">
        <v>1684</v>
      </c>
    </row>
    <row r="961" ht="15.95" customHeight="1">
      <c r="A961" s="464" t="s">
        <v>3655</v>
      </c>
      <c r="B961" s="464" t="s">
        <v>3656</v>
      </c>
      <c r="C961" s="464"/>
      <c r="D961" s="464" t="s">
        <v>1679</v>
      </c>
      <c r="E961" s="464" t="s">
        <v>3643</v>
      </c>
      <c r="F961" s="464" t="s">
        <v>3644</v>
      </c>
      <c r="G961" s="464" t="s">
        <v>3525</v>
      </c>
      <c r="H961" s="464" t="s">
        <v>1188</v>
      </c>
      <c r="I961" s="464" t="s">
        <v>1684</v>
      </c>
    </row>
    <row r="962" ht="15.95" customHeight="1">
      <c r="A962" s="464" t="s">
        <v>3657</v>
      </c>
      <c r="B962" s="464" t="s">
        <v>3658</v>
      </c>
      <c r="C962" s="464"/>
      <c r="D962" s="464" t="s">
        <v>1679</v>
      </c>
      <c r="E962" s="464" t="s">
        <v>3643</v>
      </c>
      <c r="F962" s="464" t="s">
        <v>3644</v>
      </c>
      <c r="G962" s="464" t="s">
        <v>3525</v>
      </c>
      <c r="H962" s="464" t="s">
        <v>1188</v>
      </c>
      <c r="I962" s="464" t="s">
        <v>1684</v>
      </c>
    </row>
    <row r="963" ht="15.95" customHeight="1">
      <c r="A963" s="464" t="s">
        <v>3659</v>
      </c>
      <c r="B963" s="464" t="s">
        <v>3627</v>
      </c>
      <c r="C963" s="464"/>
      <c r="D963" s="464" t="s">
        <v>1679</v>
      </c>
      <c r="E963" s="464" t="s">
        <v>3643</v>
      </c>
      <c r="F963" s="464" t="s">
        <v>3644</v>
      </c>
      <c r="G963" s="464" t="s">
        <v>3525</v>
      </c>
      <c r="H963" s="464" t="s">
        <v>1188</v>
      </c>
      <c r="I963" s="464" t="s">
        <v>1684</v>
      </c>
    </row>
    <row r="964" ht="15.95" customHeight="1">
      <c r="A964" s="464" t="s">
        <v>3660</v>
      </c>
      <c r="B964" s="464" t="s">
        <v>1284</v>
      </c>
      <c r="C964" s="464"/>
      <c r="D964" s="464" t="s">
        <v>1679</v>
      </c>
      <c r="E964" s="464" t="s">
        <v>3643</v>
      </c>
      <c r="F964" s="464" t="s">
        <v>3644</v>
      </c>
      <c r="G964" s="464" t="s">
        <v>3525</v>
      </c>
      <c r="H964" s="464" t="s">
        <v>1188</v>
      </c>
      <c r="I964" s="464" t="s">
        <v>1684</v>
      </c>
    </row>
    <row r="965" ht="15.95" customHeight="1">
      <c r="A965" s="464" t="s">
        <v>3661</v>
      </c>
      <c r="B965" s="464" t="s">
        <v>3662</v>
      </c>
      <c r="C965" s="464"/>
      <c r="D965" s="464" t="s">
        <v>1679</v>
      </c>
      <c r="E965" s="464" t="s">
        <v>3643</v>
      </c>
      <c r="F965" s="464" t="s">
        <v>3644</v>
      </c>
      <c r="G965" s="464" t="s">
        <v>3525</v>
      </c>
      <c r="H965" s="464" t="s">
        <v>1188</v>
      </c>
      <c r="I965" s="464" t="s">
        <v>1684</v>
      </c>
    </row>
    <row r="966" ht="15.95" customHeight="1">
      <c r="A966" s="464" t="s">
        <v>3663</v>
      </c>
      <c r="B966" s="464" t="s">
        <v>3636</v>
      </c>
      <c r="C966" s="464"/>
      <c r="D966" s="464" t="s">
        <v>1679</v>
      </c>
      <c r="E966" s="464" t="s">
        <v>3643</v>
      </c>
      <c r="F966" s="464" t="s">
        <v>3644</v>
      </c>
      <c r="G966" s="464" t="s">
        <v>3525</v>
      </c>
      <c r="H966" s="464" t="s">
        <v>1188</v>
      </c>
      <c r="I966" s="464" t="s">
        <v>1684</v>
      </c>
    </row>
    <row r="967" ht="15.95" customHeight="1">
      <c r="A967" s="464" t="s">
        <v>3664</v>
      </c>
      <c r="B967" s="464" t="s">
        <v>3641</v>
      </c>
      <c r="C967" s="464"/>
      <c r="D967" s="464" t="s">
        <v>1679</v>
      </c>
      <c r="E967" s="464" t="s">
        <v>3643</v>
      </c>
      <c r="F967" s="464" t="s">
        <v>3644</v>
      </c>
      <c r="G967" s="464" t="s">
        <v>3525</v>
      </c>
      <c r="H967" s="464" t="s">
        <v>1188</v>
      </c>
      <c r="I967" s="464" t="s">
        <v>1684</v>
      </c>
    </row>
    <row r="968" ht="15.95" customHeight="1">
      <c r="A968" s="464" t="s">
        <v>3665</v>
      </c>
      <c r="B968" s="464" t="s">
        <v>3621</v>
      </c>
      <c r="C968" s="464"/>
      <c r="D968" s="464" t="s">
        <v>1679</v>
      </c>
      <c r="E968" s="464" t="s">
        <v>3643</v>
      </c>
      <c r="F968" s="464" t="s">
        <v>3644</v>
      </c>
      <c r="G968" s="464" t="s">
        <v>3525</v>
      </c>
      <c r="H968" s="464" t="s">
        <v>1188</v>
      </c>
      <c r="I968" s="464" t="s">
        <v>1684</v>
      </c>
    </row>
    <row r="969" ht="15.95" customHeight="1">
      <c r="A969" s="464" t="s">
        <v>3666</v>
      </c>
      <c r="B969" s="464" t="s">
        <v>3667</v>
      </c>
      <c r="C969" s="464"/>
      <c r="D969" s="464" t="s">
        <v>1679</v>
      </c>
      <c r="E969" s="464" t="s">
        <v>3643</v>
      </c>
      <c r="F969" s="464" t="s">
        <v>3644</v>
      </c>
      <c r="G969" s="464" t="s">
        <v>3525</v>
      </c>
      <c r="H969" s="464" t="s">
        <v>1188</v>
      </c>
      <c r="I969" s="464" t="s">
        <v>1684</v>
      </c>
    </row>
    <row r="970" ht="15.95" customHeight="1">
      <c r="A970" s="464" t="s">
        <v>3668</v>
      </c>
      <c r="B970" s="464" t="s">
        <v>3669</v>
      </c>
      <c r="C970" s="464"/>
      <c r="D970" s="464" t="s">
        <v>1679</v>
      </c>
      <c r="E970" s="464" t="s">
        <v>3643</v>
      </c>
      <c r="F970" s="464" t="s">
        <v>3644</v>
      </c>
      <c r="G970" s="464" t="s">
        <v>3525</v>
      </c>
      <c r="H970" s="464" t="s">
        <v>1188</v>
      </c>
      <c r="I970" s="464" t="s">
        <v>1684</v>
      </c>
    </row>
    <row r="971" ht="15.95" customHeight="1">
      <c r="A971" s="464" t="s">
        <v>3670</v>
      </c>
      <c r="B971" s="464" t="s">
        <v>3671</v>
      </c>
      <c r="C971" s="464"/>
      <c r="D971" s="464" t="s">
        <v>1679</v>
      </c>
      <c r="E971" s="464" t="s">
        <v>3643</v>
      </c>
      <c r="F971" s="464" t="s">
        <v>3644</v>
      </c>
      <c r="G971" s="464" t="s">
        <v>3525</v>
      </c>
      <c r="H971" s="464" t="s">
        <v>1188</v>
      </c>
      <c r="I971" s="464" t="s">
        <v>1684</v>
      </c>
    </row>
    <row r="972" ht="15.95" customHeight="1">
      <c r="A972" s="464" t="s">
        <v>3672</v>
      </c>
      <c r="B972" s="464" t="s">
        <v>3673</v>
      </c>
      <c r="C972" s="464"/>
      <c r="D972" s="464" t="s">
        <v>1679</v>
      </c>
      <c r="E972" s="464" t="s">
        <v>3643</v>
      </c>
      <c r="F972" s="464" t="s">
        <v>3644</v>
      </c>
      <c r="G972" s="464" t="s">
        <v>3525</v>
      </c>
      <c r="H972" s="464" t="s">
        <v>1188</v>
      </c>
      <c r="I972" s="464" t="s">
        <v>1684</v>
      </c>
    </row>
    <row r="973" ht="15.95" customHeight="1">
      <c r="A973" s="464" t="s">
        <v>3674</v>
      </c>
      <c r="B973" s="464" t="s">
        <v>3662</v>
      </c>
      <c r="C973" s="464"/>
      <c r="D973" s="464" t="s">
        <v>1679</v>
      </c>
      <c r="E973" s="464" t="s">
        <v>3675</v>
      </c>
      <c r="F973" s="464" t="s">
        <v>3676</v>
      </c>
      <c r="G973" s="464" t="s">
        <v>3525</v>
      </c>
      <c r="H973" s="464" t="s">
        <v>1188</v>
      </c>
      <c r="I973" s="464" t="s">
        <v>1684</v>
      </c>
    </row>
    <row r="974" ht="15.95" customHeight="1">
      <c r="A974" s="464" t="s">
        <v>3677</v>
      </c>
      <c r="B974" s="464" t="s">
        <v>3634</v>
      </c>
      <c r="C974" s="464"/>
      <c r="D974" s="464" t="s">
        <v>1679</v>
      </c>
      <c r="E974" s="464" t="s">
        <v>3675</v>
      </c>
      <c r="F974" s="464" t="s">
        <v>3676</v>
      </c>
      <c r="G974" s="464" t="s">
        <v>3525</v>
      </c>
      <c r="H974" s="464" t="s">
        <v>1188</v>
      </c>
      <c r="I974" s="464" t="s">
        <v>1684</v>
      </c>
    </row>
    <row r="975" ht="15.95" customHeight="1">
      <c r="A975" s="464" t="s">
        <v>3678</v>
      </c>
      <c r="B975" s="464" t="s">
        <v>2107</v>
      </c>
      <c r="C975" s="464"/>
      <c r="D975" s="464" t="s">
        <v>1679</v>
      </c>
      <c r="E975" s="464" t="s">
        <v>3675</v>
      </c>
      <c r="F975" s="464" t="s">
        <v>3676</v>
      </c>
      <c r="G975" s="464" t="s">
        <v>3525</v>
      </c>
      <c r="H975" s="464" t="s">
        <v>1188</v>
      </c>
      <c r="I975" s="464" t="s">
        <v>1684</v>
      </c>
    </row>
    <row r="976" ht="15.95" customHeight="1">
      <c r="A976" s="464" t="s">
        <v>3679</v>
      </c>
      <c r="B976" s="464" t="s">
        <v>3619</v>
      </c>
      <c r="C976" s="464"/>
      <c r="D976" s="464" t="s">
        <v>1679</v>
      </c>
      <c r="E976" s="464" t="s">
        <v>3675</v>
      </c>
      <c r="F976" s="464" t="s">
        <v>3676</v>
      </c>
      <c r="G976" s="464" t="s">
        <v>3525</v>
      </c>
      <c r="H976" s="464" t="s">
        <v>1188</v>
      </c>
      <c r="I976" s="464" t="s">
        <v>1684</v>
      </c>
    </row>
    <row r="977" ht="15.95" customHeight="1">
      <c r="A977" s="464" t="s">
        <v>3680</v>
      </c>
      <c r="B977" s="464" t="s">
        <v>3636</v>
      </c>
      <c r="C977" s="464"/>
      <c r="D977" s="464" t="s">
        <v>1679</v>
      </c>
      <c r="E977" s="464" t="s">
        <v>3675</v>
      </c>
      <c r="F977" s="464" t="s">
        <v>3676</v>
      </c>
      <c r="G977" s="464" t="s">
        <v>3525</v>
      </c>
      <c r="H977" s="464" t="s">
        <v>1188</v>
      </c>
      <c r="I977" s="464" t="s">
        <v>1684</v>
      </c>
    </row>
    <row r="978" ht="15.95" customHeight="1">
      <c r="A978" s="464" t="s">
        <v>3681</v>
      </c>
      <c r="B978" s="464" t="s">
        <v>3641</v>
      </c>
      <c r="C978" s="464"/>
      <c r="D978" s="464" t="s">
        <v>1679</v>
      </c>
      <c r="E978" s="464" t="s">
        <v>3675</v>
      </c>
      <c r="F978" s="464" t="s">
        <v>3676</v>
      </c>
      <c r="G978" s="464" t="s">
        <v>3525</v>
      </c>
      <c r="H978" s="464" t="s">
        <v>1188</v>
      </c>
      <c r="I978" s="464" t="s">
        <v>1684</v>
      </c>
    </row>
    <row r="979" ht="15.95" customHeight="1">
      <c r="A979" s="464" t="s">
        <v>3682</v>
      </c>
      <c r="B979" s="464" t="s">
        <v>1278</v>
      </c>
      <c r="C979" s="464"/>
      <c r="D979" s="464" t="s">
        <v>1679</v>
      </c>
      <c r="E979" s="464" t="s">
        <v>3675</v>
      </c>
      <c r="F979" s="464" t="s">
        <v>3676</v>
      </c>
      <c r="G979" s="464" t="s">
        <v>3525</v>
      </c>
      <c r="H979" s="464" t="s">
        <v>1188</v>
      </c>
      <c r="I979" s="464" t="s">
        <v>1684</v>
      </c>
    </row>
    <row r="980" ht="15.95" customHeight="1">
      <c r="A980" s="464" t="s">
        <v>3683</v>
      </c>
      <c r="B980" s="464" t="s">
        <v>3632</v>
      </c>
      <c r="C980" s="464"/>
      <c r="D980" s="464" t="s">
        <v>1679</v>
      </c>
      <c r="E980" s="464" t="s">
        <v>3675</v>
      </c>
      <c r="F980" s="464" t="s">
        <v>3676</v>
      </c>
      <c r="G980" s="464" t="s">
        <v>3525</v>
      </c>
      <c r="H980" s="464" t="s">
        <v>1188</v>
      </c>
      <c r="I980" s="464" t="s">
        <v>1684</v>
      </c>
    </row>
    <row r="981" ht="15.95" customHeight="1">
      <c r="A981" s="464" t="s">
        <v>3684</v>
      </c>
      <c r="B981" s="464" t="s">
        <v>3630</v>
      </c>
      <c r="C981" s="464"/>
      <c r="D981" s="464" t="s">
        <v>1679</v>
      </c>
      <c r="E981" s="464" t="s">
        <v>3675</v>
      </c>
      <c r="F981" s="464" t="s">
        <v>3676</v>
      </c>
      <c r="G981" s="464" t="s">
        <v>3525</v>
      </c>
      <c r="H981" s="464" t="s">
        <v>1188</v>
      </c>
      <c r="I981" s="464" t="s">
        <v>1684</v>
      </c>
    </row>
    <row r="982" ht="15.95" customHeight="1">
      <c r="A982" s="464" t="s">
        <v>3685</v>
      </c>
      <c r="B982" s="464" t="s">
        <v>1270</v>
      </c>
      <c r="C982" s="464"/>
      <c r="D982" s="464" t="s">
        <v>1679</v>
      </c>
      <c r="E982" s="464" t="s">
        <v>3675</v>
      </c>
      <c r="F982" s="464" t="s">
        <v>3676</v>
      </c>
      <c r="G982" s="464" t="s">
        <v>3525</v>
      </c>
      <c r="H982" s="464" t="s">
        <v>1188</v>
      </c>
      <c r="I982" s="464" t="s">
        <v>1684</v>
      </c>
    </row>
    <row r="983" ht="15.95" customHeight="1">
      <c r="A983" s="464" t="s">
        <v>3686</v>
      </c>
      <c r="B983" s="464" t="s">
        <v>3658</v>
      </c>
      <c r="C983" s="464"/>
      <c r="D983" s="464" t="s">
        <v>1679</v>
      </c>
      <c r="E983" s="464" t="s">
        <v>3675</v>
      </c>
      <c r="F983" s="464" t="s">
        <v>3676</v>
      </c>
      <c r="G983" s="464" t="s">
        <v>3525</v>
      </c>
      <c r="H983" s="464" t="s">
        <v>1188</v>
      </c>
      <c r="I983" s="464" t="s">
        <v>1684</v>
      </c>
    </row>
    <row r="984" ht="15.95" customHeight="1">
      <c r="A984" s="464" t="s">
        <v>3687</v>
      </c>
      <c r="B984" s="464" t="s">
        <v>3688</v>
      </c>
      <c r="C984" s="464"/>
      <c r="D984" s="464" t="s">
        <v>1679</v>
      </c>
      <c r="E984" s="464" t="s">
        <v>3675</v>
      </c>
      <c r="F984" s="464" t="s">
        <v>3676</v>
      </c>
      <c r="G984" s="464" t="s">
        <v>3525</v>
      </c>
      <c r="H984" s="464" t="s">
        <v>1188</v>
      </c>
      <c r="I984" s="464" t="s">
        <v>1684</v>
      </c>
    </row>
    <row r="985" ht="15.95" customHeight="1">
      <c r="A985" s="464" t="s">
        <v>3689</v>
      </c>
      <c r="B985" s="464" t="s">
        <v>3690</v>
      </c>
      <c r="C985" s="464"/>
      <c r="D985" s="464" t="s">
        <v>1679</v>
      </c>
      <c r="E985" s="464" t="s">
        <v>3675</v>
      </c>
      <c r="F985" s="464" t="s">
        <v>3676</v>
      </c>
      <c r="G985" s="464" t="s">
        <v>3525</v>
      </c>
      <c r="H985" s="464" t="s">
        <v>1188</v>
      </c>
      <c r="I985" s="464" t="s">
        <v>1684</v>
      </c>
    </row>
    <row r="986" ht="15.95" customHeight="1">
      <c r="A986" s="464" t="s">
        <v>3691</v>
      </c>
      <c r="B986" s="464" t="s">
        <v>3627</v>
      </c>
      <c r="C986" s="464"/>
      <c r="D986" s="464" t="s">
        <v>1679</v>
      </c>
      <c r="E986" s="464" t="s">
        <v>3675</v>
      </c>
      <c r="F986" s="464" t="s">
        <v>3676</v>
      </c>
      <c r="G986" s="464" t="s">
        <v>3525</v>
      </c>
      <c r="H986" s="464" t="s">
        <v>1188</v>
      </c>
      <c r="I986" s="464" t="s">
        <v>1684</v>
      </c>
    </row>
    <row r="987" ht="15.95" customHeight="1">
      <c r="A987" s="464" t="s">
        <v>3692</v>
      </c>
      <c r="B987" s="464" t="s">
        <v>1284</v>
      </c>
      <c r="C987" s="464"/>
      <c r="D987" s="464" t="s">
        <v>1679</v>
      </c>
      <c r="E987" s="464" t="s">
        <v>3675</v>
      </c>
      <c r="F987" s="464" t="s">
        <v>3676</v>
      </c>
      <c r="G987" s="464" t="s">
        <v>3525</v>
      </c>
      <c r="H987" s="464" t="s">
        <v>1188</v>
      </c>
      <c r="I987" s="464" t="s">
        <v>1684</v>
      </c>
    </row>
    <row r="988" ht="15.95" customHeight="1">
      <c r="A988" s="464" t="s">
        <v>3693</v>
      </c>
      <c r="B988" s="464" t="s">
        <v>3694</v>
      </c>
      <c r="C988" s="464"/>
      <c r="D988" s="464" t="s">
        <v>1679</v>
      </c>
      <c r="E988" s="464" t="s">
        <v>3695</v>
      </c>
      <c r="F988" s="464" t="s">
        <v>3696</v>
      </c>
      <c r="G988" s="464" t="s">
        <v>3525</v>
      </c>
      <c r="H988" s="464" t="s">
        <v>1188</v>
      </c>
      <c r="I988" s="464" t="s">
        <v>1684</v>
      </c>
    </row>
    <row r="989" ht="15.95" customHeight="1">
      <c r="A989" s="464" t="s">
        <v>3697</v>
      </c>
      <c r="B989" s="464" t="s">
        <v>3698</v>
      </c>
      <c r="C989" s="464"/>
      <c r="D989" s="464" t="s">
        <v>1679</v>
      </c>
      <c r="E989" s="464" t="s">
        <v>3695</v>
      </c>
      <c r="F989" s="464" t="s">
        <v>3696</v>
      </c>
      <c r="G989" s="464" t="s">
        <v>3525</v>
      </c>
      <c r="H989" s="464" t="s">
        <v>1188</v>
      </c>
      <c r="I989" s="464" t="s">
        <v>1684</v>
      </c>
    </row>
    <row r="990" ht="15.95" customHeight="1">
      <c r="A990" s="464" t="s">
        <v>3699</v>
      </c>
      <c r="B990" s="464" t="s">
        <v>3700</v>
      </c>
      <c r="C990" s="464"/>
      <c r="D990" s="464" t="s">
        <v>1679</v>
      </c>
      <c r="E990" s="464" t="s">
        <v>3695</v>
      </c>
      <c r="F990" s="464" t="s">
        <v>3696</v>
      </c>
      <c r="G990" s="464" t="s">
        <v>3525</v>
      </c>
      <c r="H990" s="464" t="s">
        <v>1188</v>
      </c>
      <c r="I990" s="464" t="s">
        <v>1684</v>
      </c>
    </row>
    <row r="991" ht="15.95" customHeight="1">
      <c r="A991" s="464" t="s">
        <v>3701</v>
      </c>
      <c r="B991" s="464" t="s">
        <v>3702</v>
      </c>
      <c r="C991" s="464"/>
      <c r="D991" s="464" t="s">
        <v>1679</v>
      </c>
      <c r="E991" s="464" t="s">
        <v>3695</v>
      </c>
      <c r="F991" s="464" t="s">
        <v>3696</v>
      </c>
      <c r="G991" s="464" t="s">
        <v>3525</v>
      </c>
      <c r="H991" s="464" t="s">
        <v>1188</v>
      </c>
      <c r="I991" s="464" t="s">
        <v>1684</v>
      </c>
    </row>
    <row r="992" ht="15.95" customHeight="1">
      <c r="A992" s="464" t="s">
        <v>3703</v>
      </c>
      <c r="B992" s="464" t="s">
        <v>3704</v>
      </c>
      <c r="C992" s="464"/>
      <c r="D992" s="464" t="s">
        <v>1679</v>
      </c>
      <c r="E992" s="464" t="s">
        <v>3695</v>
      </c>
      <c r="F992" s="464" t="s">
        <v>3696</v>
      </c>
      <c r="G992" s="464" t="s">
        <v>3525</v>
      </c>
      <c r="H992" s="464" t="s">
        <v>1188</v>
      </c>
      <c r="I992" s="464" t="s">
        <v>1684</v>
      </c>
    </row>
    <row r="993" ht="15.95" customHeight="1">
      <c r="A993" s="464" t="s">
        <v>3705</v>
      </c>
      <c r="B993" s="464" t="s">
        <v>3706</v>
      </c>
      <c r="C993" s="464"/>
      <c r="D993" s="464" t="s">
        <v>1679</v>
      </c>
      <c r="E993" s="464" t="s">
        <v>3695</v>
      </c>
      <c r="F993" s="464" t="s">
        <v>3696</v>
      </c>
      <c r="G993" s="464" t="s">
        <v>3525</v>
      </c>
      <c r="H993" s="464" t="s">
        <v>1188</v>
      </c>
      <c r="I993" s="464" t="s">
        <v>1684</v>
      </c>
    </row>
    <row r="994" ht="15.95" customHeight="1">
      <c r="A994" s="464" t="s">
        <v>3707</v>
      </c>
      <c r="B994" s="464" t="s">
        <v>3708</v>
      </c>
      <c r="C994" s="464"/>
      <c r="D994" s="464" t="s">
        <v>1679</v>
      </c>
      <c r="E994" s="464" t="s">
        <v>3695</v>
      </c>
      <c r="F994" s="464" t="s">
        <v>3696</v>
      </c>
      <c r="G994" s="464" t="s">
        <v>3525</v>
      </c>
      <c r="H994" s="464" t="s">
        <v>1188</v>
      </c>
      <c r="I994" s="464" t="s">
        <v>1684</v>
      </c>
    </row>
    <row r="995" ht="15.95" customHeight="1">
      <c r="A995" s="464" t="s">
        <v>3709</v>
      </c>
      <c r="B995" s="464" t="s">
        <v>3710</v>
      </c>
      <c r="C995" s="464"/>
      <c r="D995" s="464" t="s">
        <v>1679</v>
      </c>
      <c r="E995" s="464" t="s">
        <v>3695</v>
      </c>
      <c r="F995" s="464" t="s">
        <v>3696</v>
      </c>
      <c r="G995" s="464" t="s">
        <v>3525</v>
      </c>
      <c r="H995" s="464" t="s">
        <v>1188</v>
      </c>
      <c r="I995" s="464" t="s">
        <v>1684</v>
      </c>
    </row>
    <row r="996" ht="15.95" customHeight="1">
      <c r="A996" s="464" t="s">
        <v>3711</v>
      </c>
      <c r="B996" s="464" t="s">
        <v>3712</v>
      </c>
      <c r="C996" s="464"/>
      <c r="D996" s="464" t="s">
        <v>1679</v>
      </c>
      <c r="E996" s="464" t="s">
        <v>3695</v>
      </c>
      <c r="F996" s="464" t="s">
        <v>3696</v>
      </c>
      <c r="G996" s="464" t="s">
        <v>3525</v>
      </c>
      <c r="H996" s="464" t="s">
        <v>1188</v>
      </c>
      <c r="I996" s="464" t="s">
        <v>1684</v>
      </c>
    </row>
    <row r="997" ht="15.95" customHeight="1">
      <c r="A997" s="464" t="s">
        <v>3713</v>
      </c>
      <c r="B997" s="464" t="s">
        <v>3714</v>
      </c>
      <c r="C997" s="464"/>
      <c r="D997" s="464" t="s">
        <v>1679</v>
      </c>
      <c r="E997" s="464" t="s">
        <v>3695</v>
      </c>
      <c r="F997" s="464" t="s">
        <v>3696</v>
      </c>
      <c r="G997" s="464" t="s">
        <v>3525</v>
      </c>
      <c r="H997" s="464" t="s">
        <v>1188</v>
      </c>
      <c r="I997" s="464" t="s">
        <v>1684</v>
      </c>
    </row>
    <row r="998" ht="15.95" customHeight="1">
      <c r="A998" s="464" t="s">
        <v>3715</v>
      </c>
      <c r="B998" s="464" t="s">
        <v>3716</v>
      </c>
      <c r="C998" s="464"/>
      <c r="D998" s="464" t="s">
        <v>1679</v>
      </c>
      <c r="E998" s="464" t="s">
        <v>3695</v>
      </c>
      <c r="F998" s="464" t="s">
        <v>3696</v>
      </c>
      <c r="G998" s="464" t="s">
        <v>3525</v>
      </c>
      <c r="H998" s="464" t="s">
        <v>1188</v>
      </c>
      <c r="I998" s="464" t="s">
        <v>1684</v>
      </c>
    </row>
    <row r="999" ht="15.95" customHeight="1">
      <c r="A999" s="464" t="s">
        <v>3717</v>
      </c>
      <c r="B999" s="464" t="s">
        <v>3634</v>
      </c>
      <c r="C999" s="464"/>
      <c r="D999" s="464" t="s">
        <v>1679</v>
      </c>
      <c r="E999" s="464" t="s">
        <v>3718</v>
      </c>
      <c r="F999" s="464" t="s">
        <v>3719</v>
      </c>
      <c r="G999" s="464" t="s">
        <v>3525</v>
      </c>
      <c r="H999" s="464" t="s">
        <v>1188</v>
      </c>
      <c r="I999" s="464" t="s">
        <v>1684</v>
      </c>
    </row>
    <row r="1000" ht="15.95" customHeight="1">
      <c r="A1000" s="464" t="s">
        <v>3720</v>
      </c>
      <c r="B1000" s="464" t="s">
        <v>3630</v>
      </c>
      <c r="C1000" s="464"/>
      <c r="D1000" s="464" t="s">
        <v>1679</v>
      </c>
      <c r="E1000" s="464" t="s">
        <v>3718</v>
      </c>
      <c r="F1000" s="464" t="s">
        <v>3719</v>
      </c>
      <c r="G1000" s="464" t="s">
        <v>3525</v>
      </c>
      <c r="H1000" s="464" t="s">
        <v>1188</v>
      </c>
      <c r="I1000" s="464" t="s">
        <v>1684</v>
      </c>
    </row>
    <row r="1001" ht="15.95" customHeight="1">
      <c r="A1001" s="464" t="s">
        <v>3721</v>
      </c>
      <c r="B1001" s="464" t="s">
        <v>3690</v>
      </c>
      <c r="C1001" s="464"/>
      <c r="D1001" s="464" t="s">
        <v>1679</v>
      </c>
      <c r="E1001" s="464" t="s">
        <v>3718</v>
      </c>
      <c r="F1001" s="464" t="s">
        <v>3719</v>
      </c>
      <c r="G1001" s="464" t="s">
        <v>3525</v>
      </c>
      <c r="H1001" s="464" t="s">
        <v>1188</v>
      </c>
      <c r="I1001" s="464" t="s">
        <v>1684</v>
      </c>
    </row>
    <row r="1002" ht="15.95" customHeight="1">
      <c r="A1002" s="464" t="s">
        <v>3722</v>
      </c>
      <c r="B1002" s="464" t="s">
        <v>3632</v>
      </c>
      <c r="C1002" s="464"/>
      <c r="D1002" s="464" t="s">
        <v>1679</v>
      </c>
      <c r="E1002" s="464" t="s">
        <v>3718</v>
      </c>
      <c r="F1002" s="464" t="s">
        <v>3719</v>
      </c>
      <c r="G1002" s="464" t="s">
        <v>3525</v>
      </c>
      <c r="H1002" s="464" t="s">
        <v>1188</v>
      </c>
      <c r="I1002" s="464" t="s">
        <v>1684</v>
      </c>
    </row>
    <row r="1003" ht="15.95" customHeight="1">
      <c r="A1003" s="464" t="s">
        <v>3723</v>
      </c>
      <c r="B1003" s="464" t="s">
        <v>3641</v>
      </c>
      <c r="C1003" s="464"/>
      <c r="D1003" s="464" t="s">
        <v>1679</v>
      </c>
      <c r="E1003" s="464" t="s">
        <v>3718</v>
      </c>
      <c r="F1003" s="464" t="s">
        <v>3719</v>
      </c>
      <c r="G1003" s="464" t="s">
        <v>3525</v>
      </c>
      <c r="H1003" s="464" t="s">
        <v>1188</v>
      </c>
      <c r="I1003" s="464" t="s">
        <v>1684</v>
      </c>
    </row>
    <row r="1004" ht="15.95" customHeight="1">
      <c r="A1004" s="464" t="s">
        <v>3724</v>
      </c>
      <c r="B1004" s="464" t="s">
        <v>3636</v>
      </c>
      <c r="C1004" s="464"/>
      <c r="D1004" s="464" t="s">
        <v>1679</v>
      </c>
      <c r="E1004" s="464" t="s">
        <v>3718</v>
      </c>
      <c r="F1004" s="464" t="s">
        <v>3719</v>
      </c>
      <c r="G1004" s="464" t="s">
        <v>3525</v>
      </c>
      <c r="H1004" s="464" t="s">
        <v>1188</v>
      </c>
      <c r="I1004" s="464" t="s">
        <v>1684</v>
      </c>
    </row>
    <row r="1005" ht="15.95" customHeight="1">
      <c r="A1005" s="464" t="s">
        <v>3725</v>
      </c>
      <c r="B1005" s="464" t="s">
        <v>3662</v>
      </c>
      <c r="C1005" s="464"/>
      <c r="D1005" s="464" t="s">
        <v>1679</v>
      </c>
      <c r="E1005" s="464" t="s">
        <v>3718</v>
      </c>
      <c r="F1005" s="464" t="s">
        <v>3719</v>
      </c>
      <c r="G1005" s="464" t="s">
        <v>3525</v>
      </c>
      <c r="H1005" s="464" t="s">
        <v>1188</v>
      </c>
      <c r="I1005" s="464" t="s">
        <v>1684</v>
      </c>
    </row>
    <row r="1006" ht="15.95" customHeight="1">
      <c r="A1006" s="464" t="s">
        <v>3726</v>
      </c>
      <c r="B1006" s="464" t="s">
        <v>3688</v>
      </c>
      <c r="C1006" s="464"/>
      <c r="D1006" s="464" t="s">
        <v>1679</v>
      </c>
      <c r="E1006" s="464" t="s">
        <v>3718</v>
      </c>
      <c r="F1006" s="464" t="s">
        <v>3719</v>
      </c>
      <c r="G1006" s="464" t="s">
        <v>3525</v>
      </c>
      <c r="H1006" s="464" t="s">
        <v>1188</v>
      </c>
      <c r="I1006" s="464" t="s">
        <v>1684</v>
      </c>
    </row>
    <row r="1007" ht="15.95" customHeight="1">
      <c r="A1007" s="464" t="s">
        <v>3727</v>
      </c>
      <c r="B1007" s="464" t="s">
        <v>1284</v>
      </c>
      <c r="C1007" s="464"/>
      <c r="D1007" s="464" t="s">
        <v>1679</v>
      </c>
      <c r="E1007" s="464" t="s">
        <v>3718</v>
      </c>
      <c r="F1007" s="464" t="s">
        <v>3719</v>
      </c>
      <c r="G1007" s="464" t="s">
        <v>3525</v>
      </c>
      <c r="H1007" s="464" t="s">
        <v>1188</v>
      </c>
      <c r="I1007" s="464" t="s">
        <v>1684</v>
      </c>
    </row>
    <row r="1008" ht="15.95" customHeight="1">
      <c r="A1008" s="464" t="s">
        <v>3728</v>
      </c>
      <c r="B1008" s="464" t="s">
        <v>1270</v>
      </c>
      <c r="C1008" s="464"/>
      <c r="D1008" s="464" t="s">
        <v>1679</v>
      </c>
      <c r="E1008" s="464" t="s">
        <v>3718</v>
      </c>
      <c r="F1008" s="464" t="s">
        <v>3719</v>
      </c>
      <c r="G1008" s="464" t="s">
        <v>3525</v>
      </c>
      <c r="H1008" s="464" t="s">
        <v>1188</v>
      </c>
      <c r="I1008" s="464" t="s">
        <v>1684</v>
      </c>
    </row>
    <row r="1009" ht="15.95" customHeight="1">
      <c r="A1009" s="464" t="s">
        <v>3729</v>
      </c>
      <c r="B1009" s="464" t="s">
        <v>1278</v>
      </c>
      <c r="C1009" s="464"/>
      <c r="D1009" s="464" t="s">
        <v>1679</v>
      </c>
      <c r="E1009" s="464" t="s">
        <v>3718</v>
      </c>
      <c r="F1009" s="464" t="s">
        <v>3719</v>
      </c>
      <c r="G1009" s="464" t="s">
        <v>3525</v>
      </c>
      <c r="H1009" s="464" t="s">
        <v>1188</v>
      </c>
      <c r="I1009" s="464" t="s">
        <v>1684</v>
      </c>
    </row>
    <row r="1010" ht="15.95" customHeight="1">
      <c r="A1010" s="464" t="s">
        <v>3730</v>
      </c>
      <c r="B1010" s="464" t="s">
        <v>3621</v>
      </c>
      <c r="C1010" s="464"/>
      <c r="D1010" s="464" t="s">
        <v>1679</v>
      </c>
      <c r="E1010" s="464" t="s">
        <v>3718</v>
      </c>
      <c r="F1010" s="464" t="s">
        <v>3719</v>
      </c>
      <c r="G1010" s="464" t="s">
        <v>3525</v>
      </c>
      <c r="H1010" s="464" t="s">
        <v>1188</v>
      </c>
      <c r="I1010" s="464" t="s">
        <v>1684</v>
      </c>
    </row>
    <row r="1011" ht="15.95" customHeight="1">
      <c r="A1011" s="464" t="s">
        <v>3731</v>
      </c>
      <c r="B1011" s="464" t="s">
        <v>3627</v>
      </c>
      <c r="C1011" s="464"/>
      <c r="D1011" s="464" t="s">
        <v>1679</v>
      </c>
      <c r="E1011" s="464" t="s">
        <v>3718</v>
      </c>
      <c r="F1011" s="464" t="s">
        <v>3719</v>
      </c>
      <c r="G1011" s="464" t="s">
        <v>3525</v>
      </c>
      <c r="H1011" s="464" t="s">
        <v>1188</v>
      </c>
      <c r="I1011" s="464" t="s">
        <v>1684</v>
      </c>
    </row>
    <row r="1012" ht="15.95" customHeight="1">
      <c r="A1012" s="464" t="s">
        <v>3732</v>
      </c>
      <c r="B1012" s="464" t="s">
        <v>2107</v>
      </c>
      <c r="C1012" s="464"/>
      <c r="D1012" s="464" t="s">
        <v>1679</v>
      </c>
      <c r="E1012" s="464" t="s">
        <v>3718</v>
      </c>
      <c r="F1012" s="464" t="s">
        <v>3719</v>
      </c>
      <c r="G1012" s="464" t="s">
        <v>3525</v>
      </c>
      <c r="H1012" s="464" t="s">
        <v>1188</v>
      </c>
      <c r="I1012" s="464" t="s">
        <v>1684</v>
      </c>
    </row>
    <row r="1013" ht="15.95" customHeight="1">
      <c r="A1013" s="464" t="s">
        <v>3733</v>
      </c>
      <c r="B1013" s="464" t="s">
        <v>3619</v>
      </c>
      <c r="C1013" s="464"/>
      <c r="D1013" s="464" t="s">
        <v>1679</v>
      </c>
      <c r="E1013" s="464" t="s">
        <v>3718</v>
      </c>
      <c r="F1013" s="464" t="s">
        <v>3719</v>
      </c>
      <c r="G1013" s="464" t="s">
        <v>3525</v>
      </c>
      <c r="H1013" s="464" t="s">
        <v>1188</v>
      </c>
      <c r="I1013" s="464" t="s">
        <v>1684</v>
      </c>
    </row>
    <row r="1014" ht="15.95" customHeight="1">
      <c r="A1014" s="464" t="s">
        <v>3734</v>
      </c>
      <c r="B1014" s="464" t="s">
        <v>3735</v>
      </c>
      <c r="C1014" s="464"/>
      <c r="D1014" s="464" t="s">
        <v>1679</v>
      </c>
      <c r="E1014" s="464" t="s">
        <v>3736</v>
      </c>
      <c r="F1014" s="464" t="s">
        <v>3737</v>
      </c>
      <c r="G1014" s="464" t="s">
        <v>3525</v>
      </c>
      <c r="H1014" s="464" t="s">
        <v>1188</v>
      </c>
      <c r="I1014" s="464" t="s">
        <v>1684</v>
      </c>
    </row>
    <row r="1015" ht="15.95" customHeight="1">
      <c r="A1015" s="464" t="s">
        <v>3738</v>
      </c>
      <c r="B1015" s="464" t="s">
        <v>2992</v>
      </c>
      <c r="C1015" s="464"/>
      <c r="D1015" s="464" t="s">
        <v>1679</v>
      </c>
      <c r="E1015" s="464" t="s">
        <v>3736</v>
      </c>
      <c r="F1015" s="464" t="s">
        <v>3737</v>
      </c>
      <c r="G1015" s="464" t="s">
        <v>3525</v>
      </c>
      <c r="H1015" s="464" t="s">
        <v>1188</v>
      </c>
      <c r="I1015" s="464" t="s">
        <v>1684</v>
      </c>
    </row>
    <row r="1016" ht="15.95" customHeight="1">
      <c r="A1016" s="464" t="s">
        <v>3739</v>
      </c>
      <c r="B1016" s="464" t="s">
        <v>2974</v>
      </c>
      <c r="C1016" s="464"/>
      <c r="D1016" s="464" t="s">
        <v>1679</v>
      </c>
      <c r="E1016" s="464" t="s">
        <v>3736</v>
      </c>
      <c r="F1016" s="464" t="s">
        <v>3737</v>
      </c>
      <c r="G1016" s="464" t="s">
        <v>3525</v>
      </c>
      <c r="H1016" s="464" t="s">
        <v>1188</v>
      </c>
      <c r="I1016" s="464" t="s">
        <v>1684</v>
      </c>
    </row>
    <row r="1017" ht="15.95" customHeight="1">
      <c r="A1017" s="464" t="s">
        <v>3740</v>
      </c>
      <c r="B1017" s="464" t="s">
        <v>3741</v>
      </c>
      <c r="C1017" s="464"/>
      <c r="D1017" s="464" t="s">
        <v>1679</v>
      </c>
      <c r="E1017" s="464" t="s">
        <v>3736</v>
      </c>
      <c r="F1017" s="464" t="s">
        <v>3737</v>
      </c>
      <c r="G1017" s="464" t="s">
        <v>3525</v>
      </c>
      <c r="H1017" s="464" t="s">
        <v>1188</v>
      </c>
      <c r="I1017" s="464" t="s">
        <v>1684</v>
      </c>
    </row>
    <row r="1018" ht="15.95" customHeight="1">
      <c r="A1018" s="464" t="s">
        <v>3742</v>
      </c>
      <c r="B1018" s="464" t="s">
        <v>3743</v>
      </c>
      <c r="C1018" s="464"/>
      <c r="D1018" s="464" t="s">
        <v>1679</v>
      </c>
      <c r="E1018" s="464" t="s">
        <v>3736</v>
      </c>
      <c r="F1018" s="464" t="s">
        <v>3737</v>
      </c>
      <c r="G1018" s="464" t="s">
        <v>3525</v>
      </c>
      <c r="H1018" s="464" t="s">
        <v>1188</v>
      </c>
      <c r="I1018" s="464" t="s">
        <v>1684</v>
      </c>
    </row>
    <row r="1019" ht="15.95" customHeight="1">
      <c r="A1019" s="464" t="s">
        <v>3744</v>
      </c>
      <c r="B1019" s="464" t="s">
        <v>3745</v>
      </c>
      <c r="C1019" s="464"/>
      <c r="D1019" s="464" t="s">
        <v>1679</v>
      </c>
      <c r="E1019" s="464" t="s">
        <v>3736</v>
      </c>
      <c r="F1019" s="464" t="s">
        <v>3737</v>
      </c>
      <c r="G1019" s="464" t="s">
        <v>3525</v>
      </c>
      <c r="H1019" s="464" t="s">
        <v>1188</v>
      </c>
      <c r="I1019" s="464" t="s">
        <v>1684</v>
      </c>
    </row>
    <row r="1020" ht="15.95" customHeight="1">
      <c r="A1020" s="464" t="s">
        <v>3746</v>
      </c>
      <c r="B1020" s="464" t="s">
        <v>3747</v>
      </c>
      <c r="C1020" s="464"/>
      <c r="D1020" s="464" t="s">
        <v>1679</v>
      </c>
      <c r="E1020" s="464" t="s">
        <v>3736</v>
      </c>
      <c r="F1020" s="464" t="s">
        <v>3737</v>
      </c>
      <c r="G1020" s="464" t="s">
        <v>3525</v>
      </c>
      <c r="H1020" s="464" t="s">
        <v>1188</v>
      </c>
      <c r="I1020" s="464" t="s">
        <v>1684</v>
      </c>
    </row>
    <row r="1021" ht="15.95" customHeight="1">
      <c r="A1021" s="464" t="s">
        <v>3748</v>
      </c>
      <c r="B1021" s="464" t="s">
        <v>3749</v>
      </c>
      <c r="C1021" s="464"/>
      <c r="D1021" s="464" t="s">
        <v>1679</v>
      </c>
      <c r="E1021" s="464" t="s">
        <v>3736</v>
      </c>
      <c r="F1021" s="464" t="s">
        <v>3737</v>
      </c>
      <c r="G1021" s="464" t="s">
        <v>3525</v>
      </c>
      <c r="H1021" s="464" t="s">
        <v>1188</v>
      </c>
      <c r="I1021" s="464" t="s">
        <v>1684</v>
      </c>
    </row>
    <row r="1022" ht="15.95" customHeight="1">
      <c r="A1022" s="464" t="s">
        <v>3750</v>
      </c>
      <c r="B1022" s="464" t="s">
        <v>3751</v>
      </c>
      <c r="C1022" s="464"/>
      <c r="D1022" s="464" t="s">
        <v>1679</v>
      </c>
      <c r="E1022" s="464" t="s">
        <v>3736</v>
      </c>
      <c r="F1022" s="464" t="s">
        <v>3737</v>
      </c>
      <c r="G1022" s="464" t="s">
        <v>3525</v>
      </c>
      <c r="H1022" s="464" t="s">
        <v>1188</v>
      </c>
      <c r="I1022" s="464" t="s">
        <v>1684</v>
      </c>
    </row>
    <row r="1023" ht="15.95" customHeight="1">
      <c r="A1023" s="464" t="s">
        <v>3752</v>
      </c>
      <c r="B1023" s="464" t="s">
        <v>3753</v>
      </c>
      <c r="C1023" s="464"/>
      <c r="D1023" s="464" t="s">
        <v>1679</v>
      </c>
      <c r="E1023" s="464" t="s">
        <v>3736</v>
      </c>
      <c r="F1023" s="464" t="s">
        <v>3737</v>
      </c>
      <c r="G1023" s="464" t="s">
        <v>3525</v>
      </c>
      <c r="H1023" s="464" t="s">
        <v>1188</v>
      </c>
      <c r="I1023" s="464" t="s">
        <v>1684</v>
      </c>
    </row>
    <row r="1024" ht="15.95" customHeight="1">
      <c r="A1024" s="464" t="s">
        <v>3754</v>
      </c>
      <c r="B1024" s="464" t="s">
        <v>3755</v>
      </c>
      <c r="C1024" s="464"/>
      <c r="D1024" s="464" t="s">
        <v>1679</v>
      </c>
      <c r="E1024" s="464" t="s">
        <v>3736</v>
      </c>
      <c r="F1024" s="464" t="s">
        <v>3737</v>
      </c>
      <c r="G1024" s="464" t="s">
        <v>3525</v>
      </c>
      <c r="H1024" s="464" t="s">
        <v>1188</v>
      </c>
      <c r="I1024" s="464" t="s">
        <v>1684</v>
      </c>
    </row>
    <row r="1025" ht="15.95" customHeight="1">
      <c r="A1025" s="464" t="s">
        <v>3756</v>
      </c>
      <c r="B1025" s="464" t="s">
        <v>3688</v>
      </c>
      <c r="C1025" s="464"/>
      <c r="D1025" s="464" t="s">
        <v>1679</v>
      </c>
      <c r="E1025" s="464" t="s">
        <v>3757</v>
      </c>
      <c r="F1025" s="464" t="s">
        <v>3758</v>
      </c>
      <c r="G1025" s="464" t="s">
        <v>3525</v>
      </c>
      <c r="H1025" s="464" t="s">
        <v>1188</v>
      </c>
      <c r="I1025" s="464" t="s">
        <v>1684</v>
      </c>
    </row>
    <row r="1026" ht="15.95" customHeight="1">
      <c r="A1026" s="464" t="s">
        <v>3759</v>
      </c>
      <c r="B1026" s="464" t="s">
        <v>3632</v>
      </c>
      <c r="C1026" s="464"/>
      <c r="D1026" s="464" t="s">
        <v>1679</v>
      </c>
      <c r="E1026" s="464" t="s">
        <v>3757</v>
      </c>
      <c r="F1026" s="464" t="s">
        <v>3758</v>
      </c>
      <c r="G1026" s="464" t="s">
        <v>3525</v>
      </c>
      <c r="H1026" s="464" t="s">
        <v>1188</v>
      </c>
      <c r="I1026" s="464" t="s">
        <v>1684</v>
      </c>
    </row>
    <row r="1027" ht="15.95" customHeight="1">
      <c r="A1027" s="464" t="s">
        <v>3760</v>
      </c>
      <c r="B1027" s="464" t="s">
        <v>3627</v>
      </c>
      <c r="C1027" s="464"/>
      <c r="D1027" s="464" t="s">
        <v>1679</v>
      </c>
      <c r="E1027" s="464" t="s">
        <v>3757</v>
      </c>
      <c r="F1027" s="464" t="s">
        <v>3758</v>
      </c>
      <c r="G1027" s="464" t="s">
        <v>3525</v>
      </c>
      <c r="H1027" s="464" t="s">
        <v>1188</v>
      </c>
      <c r="I1027" s="464" t="s">
        <v>1684</v>
      </c>
    </row>
    <row r="1028" ht="15.95" customHeight="1">
      <c r="A1028" s="464" t="s">
        <v>3761</v>
      </c>
      <c r="B1028" s="464" t="s">
        <v>2107</v>
      </c>
      <c r="C1028" s="464"/>
      <c r="D1028" s="464" t="s">
        <v>1679</v>
      </c>
      <c r="E1028" s="464" t="s">
        <v>3757</v>
      </c>
      <c r="F1028" s="464" t="s">
        <v>3758</v>
      </c>
      <c r="G1028" s="464" t="s">
        <v>3525</v>
      </c>
      <c r="H1028" s="464" t="s">
        <v>1188</v>
      </c>
      <c r="I1028" s="464" t="s">
        <v>1684</v>
      </c>
    </row>
    <row r="1029" ht="15.95" customHeight="1">
      <c r="A1029" s="464" t="s">
        <v>3762</v>
      </c>
      <c r="B1029" s="464" t="s">
        <v>1278</v>
      </c>
      <c r="C1029" s="464"/>
      <c r="D1029" s="464" t="s">
        <v>1679</v>
      </c>
      <c r="E1029" s="464" t="s">
        <v>3757</v>
      </c>
      <c r="F1029" s="464" t="s">
        <v>3758</v>
      </c>
      <c r="G1029" s="464" t="s">
        <v>3525</v>
      </c>
      <c r="H1029" s="464" t="s">
        <v>1188</v>
      </c>
      <c r="I1029" s="464" t="s">
        <v>1684</v>
      </c>
    </row>
    <row r="1030" ht="15.95" customHeight="1">
      <c r="A1030" s="464" t="s">
        <v>3763</v>
      </c>
      <c r="B1030" s="464" t="s">
        <v>3619</v>
      </c>
      <c r="C1030" s="464"/>
      <c r="D1030" s="464" t="s">
        <v>1679</v>
      </c>
      <c r="E1030" s="464" t="s">
        <v>3757</v>
      </c>
      <c r="F1030" s="464" t="s">
        <v>3758</v>
      </c>
      <c r="G1030" s="464" t="s">
        <v>3525</v>
      </c>
      <c r="H1030" s="464" t="s">
        <v>1188</v>
      </c>
      <c r="I1030" s="464" t="s">
        <v>1684</v>
      </c>
    </row>
    <row r="1031" ht="15.95" customHeight="1">
      <c r="A1031" s="464" t="s">
        <v>3764</v>
      </c>
      <c r="B1031" s="464" t="s">
        <v>3658</v>
      </c>
      <c r="C1031" s="464"/>
      <c r="D1031" s="464" t="s">
        <v>1679</v>
      </c>
      <c r="E1031" s="464" t="s">
        <v>3757</v>
      </c>
      <c r="F1031" s="464" t="s">
        <v>3758</v>
      </c>
      <c r="G1031" s="464" t="s">
        <v>3525</v>
      </c>
      <c r="H1031" s="464" t="s">
        <v>1188</v>
      </c>
      <c r="I1031" s="464" t="s">
        <v>1684</v>
      </c>
    </row>
    <row r="1032" ht="15.95" customHeight="1">
      <c r="A1032" s="464" t="s">
        <v>3765</v>
      </c>
      <c r="B1032" s="464" t="s">
        <v>3690</v>
      </c>
      <c r="C1032" s="464"/>
      <c r="D1032" s="464" t="s">
        <v>1679</v>
      </c>
      <c r="E1032" s="464" t="s">
        <v>3757</v>
      </c>
      <c r="F1032" s="464" t="s">
        <v>3758</v>
      </c>
      <c r="G1032" s="464" t="s">
        <v>3525</v>
      </c>
      <c r="H1032" s="464" t="s">
        <v>1188</v>
      </c>
      <c r="I1032" s="464" t="s">
        <v>1684</v>
      </c>
    </row>
    <row r="1033" ht="15.95" customHeight="1">
      <c r="A1033" s="464" t="s">
        <v>3766</v>
      </c>
      <c r="B1033" s="464" t="s">
        <v>1270</v>
      </c>
      <c r="C1033" s="464"/>
      <c r="D1033" s="464" t="s">
        <v>1679</v>
      </c>
      <c r="E1033" s="464" t="s">
        <v>3757</v>
      </c>
      <c r="F1033" s="464" t="s">
        <v>3758</v>
      </c>
      <c r="G1033" s="464" t="s">
        <v>3525</v>
      </c>
      <c r="H1033" s="464" t="s">
        <v>1188</v>
      </c>
      <c r="I1033" s="464" t="s">
        <v>1684</v>
      </c>
    </row>
    <row r="1034" ht="15.95" customHeight="1">
      <c r="A1034" s="464" t="s">
        <v>3767</v>
      </c>
      <c r="B1034" s="464" t="s">
        <v>3634</v>
      </c>
      <c r="C1034" s="464"/>
      <c r="D1034" s="464" t="s">
        <v>1679</v>
      </c>
      <c r="E1034" s="464" t="s">
        <v>3757</v>
      </c>
      <c r="F1034" s="464" t="s">
        <v>3758</v>
      </c>
      <c r="G1034" s="464" t="s">
        <v>3525</v>
      </c>
      <c r="H1034" s="464" t="s">
        <v>1188</v>
      </c>
      <c r="I1034" s="464" t="s">
        <v>1684</v>
      </c>
    </row>
    <row r="1035" ht="15.95" customHeight="1">
      <c r="A1035" s="464" t="s">
        <v>3768</v>
      </c>
      <c r="B1035" s="464" t="s">
        <v>3630</v>
      </c>
      <c r="C1035" s="464"/>
      <c r="D1035" s="464" t="s">
        <v>1679</v>
      </c>
      <c r="E1035" s="464" t="s">
        <v>3757</v>
      </c>
      <c r="F1035" s="464" t="s">
        <v>3758</v>
      </c>
      <c r="G1035" s="464" t="s">
        <v>3525</v>
      </c>
      <c r="H1035" s="464" t="s">
        <v>1188</v>
      </c>
      <c r="I1035" s="464" t="s">
        <v>1684</v>
      </c>
    </row>
    <row r="1036" ht="15.95" customHeight="1">
      <c r="A1036" s="464" t="s">
        <v>3769</v>
      </c>
      <c r="B1036" s="464" t="s">
        <v>3641</v>
      </c>
      <c r="C1036" s="464"/>
      <c r="D1036" s="464" t="s">
        <v>1679</v>
      </c>
      <c r="E1036" s="464" t="s">
        <v>3757</v>
      </c>
      <c r="F1036" s="464" t="s">
        <v>3758</v>
      </c>
      <c r="G1036" s="464" t="s">
        <v>3525</v>
      </c>
      <c r="H1036" s="464" t="s">
        <v>1188</v>
      </c>
      <c r="I1036" s="464" t="s">
        <v>1684</v>
      </c>
    </row>
    <row r="1037" ht="15.95" customHeight="1">
      <c r="A1037" s="464" t="s">
        <v>3770</v>
      </c>
      <c r="B1037" s="464" t="s">
        <v>3662</v>
      </c>
      <c r="C1037" s="464"/>
      <c r="D1037" s="464" t="s">
        <v>1679</v>
      </c>
      <c r="E1037" s="464" t="s">
        <v>3757</v>
      </c>
      <c r="F1037" s="464" t="s">
        <v>3758</v>
      </c>
      <c r="G1037" s="464" t="s">
        <v>3525</v>
      </c>
      <c r="H1037" s="464" t="s">
        <v>1188</v>
      </c>
      <c r="I1037" s="464" t="s">
        <v>1684</v>
      </c>
    </row>
    <row r="1038" ht="15.95" customHeight="1">
      <c r="A1038" s="464" t="s">
        <v>3771</v>
      </c>
      <c r="B1038" s="464" t="s">
        <v>3636</v>
      </c>
      <c r="C1038" s="464"/>
      <c r="D1038" s="464" t="s">
        <v>1679</v>
      </c>
      <c r="E1038" s="464" t="s">
        <v>3757</v>
      </c>
      <c r="F1038" s="464" t="s">
        <v>3758</v>
      </c>
      <c r="G1038" s="464" t="s">
        <v>3525</v>
      </c>
      <c r="H1038" s="464" t="s">
        <v>1188</v>
      </c>
      <c r="I1038" s="464" t="s">
        <v>1684</v>
      </c>
    </row>
    <row r="1039" ht="15.95" customHeight="1">
      <c r="A1039" s="464" t="s">
        <v>3772</v>
      </c>
      <c r="B1039" s="464" t="s">
        <v>1284</v>
      </c>
      <c r="C1039" s="464"/>
      <c r="D1039" s="464" t="s">
        <v>1679</v>
      </c>
      <c r="E1039" s="464" t="s">
        <v>3773</v>
      </c>
      <c r="F1039" s="464" t="s">
        <v>3774</v>
      </c>
      <c r="G1039" s="464" t="s">
        <v>3525</v>
      </c>
      <c r="H1039" s="464" t="s">
        <v>1188</v>
      </c>
      <c r="I1039" s="464" t="s">
        <v>1684</v>
      </c>
    </row>
    <row r="1040" ht="15.95" customHeight="1">
      <c r="A1040" s="464" t="s">
        <v>3775</v>
      </c>
      <c r="B1040" s="464" t="s">
        <v>3619</v>
      </c>
      <c r="C1040" s="464"/>
      <c r="D1040" s="464" t="s">
        <v>1679</v>
      </c>
      <c r="E1040" s="464" t="s">
        <v>3773</v>
      </c>
      <c r="F1040" s="464" t="s">
        <v>3774</v>
      </c>
      <c r="G1040" s="464" t="s">
        <v>3525</v>
      </c>
      <c r="H1040" s="464" t="s">
        <v>1188</v>
      </c>
      <c r="I1040" s="464" t="s">
        <v>1684</v>
      </c>
    </row>
    <row r="1041" ht="15.95" customHeight="1">
      <c r="A1041" s="464" t="s">
        <v>3776</v>
      </c>
      <c r="B1041" s="464" t="s">
        <v>3627</v>
      </c>
      <c r="C1041" s="464"/>
      <c r="D1041" s="464" t="s">
        <v>1679</v>
      </c>
      <c r="E1041" s="464" t="s">
        <v>3773</v>
      </c>
      <c r="F1041" s="464" t="s">
        <v>3774</v>
      </c>
      <c r="G1041" s="464" t="s">
        <v>3525</v>
      </c>
      <c r="H1041" s="464" t="s">
        <v>1188</v>
      </c>
      <c r="I1041" s="464" t="s">
        <v>1684</v>
      </c>
    </row>
    <row r="1042" ht="15.95" customHeight="1">
      <c r="A1042" s="464" t="s">
        <v>3777</v>
      </c>
      <c r="B1042" s="464" t="s">
        <v>2107</v>
      </c>
      <c r="C1042" s="464"/>
      <c r="D1042" s="464" t="s">
        <v>1679</v>
      </c>
      <c r="E1042" s="464" t="s">
        <v>3773</v>
      </c>
      <c r="F1042" s="464" t="s">
        <v>3774</v>
      </c>
      <c r="G1042" s="464" t="s">
        <v>3525</v>
      </c>
      <c r="H1042" s="464" t="s">
        <v>1188</v>
      </c>
      <c r="I1042" s="464" t="s">
        <v>1684</v>
      </c>
    </row>
    <row r="1043" ht="15.95" customHeight="1">
      <c r="A1043" s="464" t="s">
        <v>3778</v>
      </c>
      <c r="B1043" s="464" t="s">
        <v>1278</v>
      </c>
      <c r="C1043" s="464"/>
      <c r="D1043" s="464" t="s">
        <v>1679</v>
      </c>
      <c r="E1043" s="464" t="s">
        <v>3773</v>
      </c>
      <c r="F1043" s="464" t="s">
        <v>3774</v>
      </c>
      <c r="G1043" s="464" t="s">
        <v>3525</v>
      </c>
      <c r="H1043" s="464" t="s">
        <v>1188</v>
      </c>
      <c r="I1043" s="464" t="s">
        <v>1684</v>
      </c>
    </row>
    <row r="1044" ht="15.95" customHeight="1">
      <c r="A1044" s="464" t="s">
        <v>3779</v>
      </c>
      <c r="B1044" s="464" t="s">
        <v>1270</v>
      </c>
      <c r="C1044" s="464"/>
      <c r="D1044" s="464" t="s">
        <v>1679</v>
      </c>
      <c r="E1044" s="464" t="s">
        <v>3773</v>
      </c>
      <c r="F1044" s="464" t="s">
        <v>3774</v>
      </c>
      <c r="G1044" s="464" t="s">
        <v>3525</v>
      </c>
      <c r="H1044" s="464" t="s">
        <v>1188</v>
      </c>
      <c r="I1044" s="464" t="s">
        <v>1684</v>
      </c>
    </row>
    <row r="1045" ht="15.95" customHeight="1">
      <c r="A1045" s="464" t="s">
        <v>3780</v>
      </c>
      <c r="B1045" s="464" t="s">
        <v>3690</v>
      </c>
      <c r="C1045" s="464"/>
      <c r="D1045" s="464" t="s">
        <v>1679</v>
      </c>
      <c r="E1045" s="464" t="s">
        <v>3773</v>
      </c>
      <c r="F1045" s="464" t="s">
        <v>3774</v>
      </c>
      <c r="G1045" s="464" t="s">
        <v>3525</v>
      </c>
      <c r="H1045" s="464" t="s">
        <v>1188</v>
      </c>
      <c r="I1045" s="464" t="s">
        <v>1684</v>
      </c>
    </row>
    <row r="1046" ht="15.95" customHeight="1">
      <c r="A1046" s="464" t="s">
        <v>3781</v>
      </c>
      <c r="B1046" s="464" t="s">
        <v>3636</v>
      </c>
      <c r="C1046" s="464"/>
      <c r="D1046" s="464" t="s">
        <v>1679</v>
      </c>
      <c r="E1046" s="464" t="s">
        <v>3773</v>
      </c>
      <c r="F1046" s="464" t="s">
        <v>3774</v>
      </c>
      <c r="G1046" s="464" t="s">
        <v>3525</v>
      </c>
      <c r="H1046" s="464" t="s">
        <v>1188</v>
      </c>
      <c r="I1046" s="464" t="s">
        <v>1684</v>
      </c>
    </row>
    <row r="1047" ht="15.95" customHeight="1">
      <c r="A1047" s="464" t="s">
        <v>3782</v>
      </c>
      <c r="B1047" s="464" t="s">
        <v>3688</v>
      </c>
      <c r="C1047" s="464"/>
      <c r="D1047" s="464" t="s">
        <v>1679</v>
      </c>
      <c r="E1047" s="464" t="s">
        <v>3773</v>
      </c>
      <c r="F1047" s="464" t="s">
        <v>3774</v>
      </c>
      <c r="G1047" s="464" t="s">
        <v>3525</v>
      </c>
      <c r="H1047" s="464" t="s">
        <v>1188</v>
      </c>
      <c r="I1047" s="464" t="s">
        <v>1684</v>
      </c>
    </row>
    <row r="1048" ht="15.95" customHeight="1">
      <c r="A1048" s="464" t="s">
        <v>3783</v>
      </c>
      <c r="B1048" s="464" t="s">
        <v>3662</v>
      </c>
      <c r="C1048" s="464"/>
      <c r="D1048" s="464" t="s">
        <v>1679</v>
      </c>
      <c r="E1048" s="464" t="s">
        <v>3773</v>
      </c>
      <c r="F1048" s="464" t="s">
        <v>3774</v>
      </c>
      <c r="G1048" s="464" t="s">
        <v>3525</v>
      </c>
      <c r="H1048" s="464" t="s">
        <v>1188</v>
      </c>
      <c r="I1048" s="464" t="s">
        <v>1684</v>
      </c>
    </row>
    <row r="1049" ht="15.95" customHeight="1">
      <c r="A1049" s="464" t="s">
        <v>3784</v>
      </c>
      <c r="B1049" s="464" t="s">
        <v>3634</v>
      </c>
      <c r="C1049" s="464"/>
      <c r="D1049" s="464" t="s">
        <v>1679</v>
      </c>
      <c r="E1049" s="464" t="s">
        <v>3773</v>
      </c>
      <c r="F1049" s="464" t="s">
        <v>3774</v>
      </c>
      <c r="G1049" s="464" t="s">
        <v>3525</v>
      </c>
      <c r="H1049" s="464" t="s">
        <v>1188</v>
      </c>
      <c r="I1049" s="464" t="s">
        <v>1684</v>
      </c>
    </row>
    <row r="1050" ht="15.95" customHeight="1">
      <c r="A1050" s="464" t="s">
        <v>3785</v>
      </c>
      <c r="B1050" s="464" t="s">
        <v>3632</v>
      </c>
      <c r="C1050" s="464"/>
      <c r="D1050" s="464" t="s">
        <v>1679</v>
      </c>
      <c r="E1050" s="464" t="s">
        <v>3773</v>
      </c>
      <c r="F1050" s="464" t="s">
        <v>3774</v>
      </c>
      <c r="G1050" s="464" t="s">
        <v>3525</v>
      </c>
      <c r="H1050" s="464" t="s">
        <v>1188</v>
      </c>
      <c r="I1050" s="464" t="s">
        <v>1684</v>
      </c>
    </row>
    <row r="1051" ht="15.95" customHeight="1">
      <c r="A1051" s="464" t="s">
        <v>3786</v>
      </c>
      <c r="B1051" s="464" t="s">
        <v>3630</v>
      </c>
      <c r="C1051" s="464"/>
      <c r="D1051" s="464" t="s">
        <v>1679</v>
      </c>
      <c r="E1051" s="464" t="s">
        <v>3773</v>
      </c>
      <c r="F1051" s="464" t="s">
        <v>3774</v>
      </c>
      <c r="G1051" s="464" t="s">
        <v>3525</v>
      </c>
      <c r="H1051" s="464" t="s">
        <v>1188</v>
      </c>
      <c r="I1051" s="464" t="s">
        <v>1684</v>
      </c>
    </row>
    <row r="1052" ht="15.95" customHeight="1">
      <c r="A1052" s="464" t="s">
        <v>3787</v>
      </c>
      <c r="B1052" s="464" t="s">
        <v>3658</v>
      </c>
      <c r="C1052" s="464"/>
      <c r="D1052" s="464" t="s">
        <v>1679</v>
      </c>
      <c r="E1052" s="464" t="s">
        <v>3773</v>
      </c>
      <c r="F1052" s="464" t="s">
        <v>3774</v>
      </c>
      <c r="G1052" s="464" t="s">
        <v>3525</v>
      </c>
      <c r="H1052" s="464" t="s">
        <v>1188</v>
      </c>
      <c r="I1052" s="464" t="s">
        <v>1684</v>
      </c>
    </row>
    <row r="1053" ht="15.95" customHeight="1">
      <c r="A1053" s="464" t="s">
        <v>3788</v>
      </c>
      <c r="B1053" s="464" t="s">
        <v>3641</v>
      </c>
      <c r="C1053" s="464"/>
      <c r="D1053" s="464" t="s">
        <v>1679</v>
      </c>
      <c r="E1053" s="464" t="s">
        <v>3773</v>
      </c>
      <c r="F1053" s="464" t="s">
        <v>3774</v>
      </c>
      <c r="G1053" s="464" t="s">
        <v>3525</v>
      </c>
      <c r="H1053" s="464" t="s">
        <v>1188</v>
      </c>
      <c r="I1053" s="464" t="s">
        <v>1684</v>
      </c>
    </row>
    <row r="1054" ht="15.95" customHeight="1">
      <c r="A1054" s="464" t="s">
        <v>3789</v>
      </c>
      <c r="B1054" s="464" t="s">
        <v>1284</v>
      </c>
      <c r="C1054" s="464"/>
      <c r="D1054" s="464" t="s">
        <v>1679</v>
      </c>
      <c r="E1054" s="464" t="s">
        <v>3790</v>
      </c>
      <c r="F1054" s="464" t="s">
        <v>3791</v>
      </c>
      <c r="G1054" s="464" t="s">
        <v>3525</v>
      </c>
      <c r="H1054" s="464" t="s">
        <v>1188</v>
      </c>
      <c r="I1054" s="464" t="s">
        <v>1684</v>
      </c>
    </row>
    <row r="1055" ht="15.95" customHeight="1">
      <c r="A1055" s="464" t="s">
        <v>3792</v>
      </c>
      <c r="B1055" s="464" t="s">
        <v>3630</v>
      </c>
      <c r="C1055" s="464"/>
      <c r="D1055" s="464" t="s">
        <v>1679</v>
      </c>
      <c r="E1055" s="464" t="s">
        <v>3790</v>
      </c>
      <c r="F1055" s="464" t="s">
        <v>3791</v>
      </c>
      <c r="G1055" s="464" t="s">
        <v>3525</v>
      </c>
      <c r="H1055" s="464" t="s">
        <v>1188</v>
      </c>
      <c r="I1055" s="464" t="s">
        <v>1684</v>
      </c>
    </row>
    <row r="1056" ht="15.95" customHeight="1">
      <c r="A1056" s="464" t="s">
        <v>3793</v>
      </c>
      <c r="B1056" s="464" t="s">
        <v>3627</v>
      </c>
      <c r="C1056" s="464"/>
      <c r="D1056" s="464" t="s">
        <v>1679</v>
      </c>
      <c r="E1056" s="464" t="s">
        <v>3790</v>
      </c>
      <c r="F1056" s="464" t="s">
        <v>3791</v>
      </c>
      <c r="G1056" s="464" t="s">
        <v>3525</v>
      </c>
      <c r="H1056" s="464" t="s">
        <v>1188</v>
      </c>
      <c r="I1056" s="464" t="s">
        <v>1684</v>
      </c>
    </row>
    <row r="1057" ht="15.95" customHeight="1">
      <c r="A1057" s="464" t="s">
        <v>3794</v>
      </c>
      <c r="B1057" s="464" t="s">
        <v>1278</v>
      </c>
      <c r="C1057" s="464"/>
      <c r="D1057" s="464" t="s">
        <v>1679</v>
      </c>
      <c r="E1057" s="464" t="s">
        <v>3790</v>
      </c>
      <c r="F1057" s="464" t="s">
        <v>3791</v>
      </c>
      <c r="G1057" s="464" t="s">
        <v>3525</v>
      </c>
      <c r="H1057" s="464" t="s">
        <v>1188</v>
      </c>
      <c r="I1057" s="464" t="s">
        <v>1684</v>
      </c>
    </row>
    <row r="1058" ht="15.95" customHeight="1">
      <c r="A1058" s="464" t="s">
        <v>3795</v>
      </c>
      <c r="B1058" s="464" t="s">
        <v>3641</v>
      </c>
      <c r="C1058" s="464"/>
      <c r="D1058" s="464" t="s">
        <v>1679</v>
      </c>
      <c r="E1058" s="464" t="s">
        <v>3790</v>
      </c>
      <c r="F1058" s="464" t="s">
        <v>3791</v>
      </c>
      <c r="G1058" s="464" t="s">
        <v>3525</v>
      </c>
      <c r="H1058" s="464" t="s">
        <v>1188</v>
      </c>
      <c r="I1058" s="464" t="s">
        <v>1684</v>
      </c>
    </row>
    <row r="1059" ht="15.95" customHeight="1">
      <c r="A1059" s="464" t="s">
        <v>3796</v>
      </c>
      <c r="B1059" s="464" t="s">
        <v>1270</v>
      </c>
      <c r="C1059" s="464"/>
      <c r="D1059" s="464" t="s">
        <v>1679</v>
      </c>
      <c r="E1059" s="464" t="s">
        <v>3790</v>
      </c>
      <c r="F1059" s="464" t="s">
        <v>3791</v>
      </c>
      <c r="G1059" s="464" t="s">
        <v>3525</v>
      </c>
      <c r="H1059" s="464" t="s">
        <v>1188</v>
      </c>
      <c r="I1059" s="464" t="s">
        <v>1684</v>
      </c>
    </row>
    <row r="1060" ht="15.95" customHeight="1">
      <c r="A1060" s="464" t="s">
        <v>3797</v>
      </c>
      <c r="B1060" s="464" t="s">
        <v>3619</v>
      </c>
      <c r="C1060" s="464"/>
      <c r="D1060" s="464" t="s">
        <v>1679</v>
      </c>
      <c r="E1060" s="464" t="s">
        <v>3790</v>
      </c>
      <c r="F1060" s="464" t="s">
        <v>3791</v>
      </c>
      <c r="G1060" s="464" t="s">
        <v>3525</v>
      </c>
      <c r="H1060" s="464" t="s">
        <v>1188</v>
      </c>
      <c r="I1060" s="464" t="s">
        <v>1684</v>
      </c>
    </row>
    <row r="1061" ht="15.95" customHeight="1">
      <c r="A1061" s="464" t="s">
        <v>3798</v>
      </c>
      <c r="B1061" s="464" t="s">
        <v>3688</v>
      </c>
      <c r="C1061" s="464"/>
      <c r="D1061" s="464" t="s">
        <v>1679</v>
      </c>
      <c r="E1061" s="464" t="s">
        <v>3790</v>
      </c>
      <c r="F1061" s="464" t="s">
        <v>3791</v>
      </c>
      <c r="G1061" s="464" t="s">
        <v>3525</v>
      </c>
      <c r="H1061" s="464" t="s">
        <v>1188</v>
      </c>
      <c r="I1061" s="464" t="s">
        <v>1684</v>
      </c>
    </row>
    <row r="1062" ht="15.95" customHeight="1">
      <c r="A1062" s="464" t="s">
        <v>3799</v>
      </c>
      <c r="B1062" s="464" t="s">
        <v>3690</v>
      </c>
      <c r="C1062" s="464"/>
      <c r="D1062" s="464" t="s">
        <v>1679</v>
      </c>
      <c r="E1062" s="464" t="s">
        <v>3790</v>
      </c>
      <c r="F1062" s="464" t="s">
        <v>3791</v>
      </c>
      <c r="G1062" s="464" t="s">
        <v>3525</v>
      </c>
      <c r="H1062" s="464" t="s">
        <v>1188</v>
      </c>
      <c r="I1062" s="464" t="s">
        <v>1684</v>
      </c>
    </row>
    <row r="1063" ht="15.95" customHeight="1">
      <c r="A1063" s="464" t="s">
        <v>3800</v>
      </c>
      <c r="B1063" s="464" t="s">
        <v>2107</v>
      </c>
      <c r="C1063" s="464"/>
      <c r="D1063" s="464" t="s">
        <v>1679</v>
      </c>
      <c r="E1063" s="464" t="s">
        <v>3790</v>
      </c>
      <c r="F1063" s="464" t="s">
        <v>3791</v>
      </c>
      <c r="G1063" s="464" t="s">
        <v>3525</v>
      </c>
      <c r="H1063" s="464" t="s">
        <v>1188</v>
      </c>
      <c r="I1063" s="464" t="s">
        <v>1684</v>
      </c>
    </row>
    <row r="1064" ht="15.95" customHeight="1">
      <c r="A1064" s="464" t="s">
        <v>3801</v>
      </c>
      <c r="B1064" s="464" t="s">
        <v>3632</v>
      </c>
      <c r="C1064" s="464"/>
      <c r="D1064" s="464" t="s">
        <v>1679</v>
      </c>
      <c r="E1064" s="464" t="s">
        <v>3790</v>
      </c>
      <c r="F1064" s="464" t="s">
        <v>3791</v>
      </c>
      <c r="G1064" s="464" t="s">
        <v>3525</v>
      </c>
      <c r="H1064" s="464" t="s">
        <v>1188</v>
      </c>
      <c r="I1064" s="464" t="s">
        <v>1684</v>
      </c>
    </row>
    <row r="1065" ht="15.95" customHeight="1">
      <c r="A1065" s="464" t="s">
        <v>3802</v>
      </c>
      <c r="B1065" s="464" t="s">
        <v>3658</v>
      </c>
      <c r="C1065" s="464"/>
      <c r="D1065" s="464" t="s">
        <v>1679</v>
      </c>
      <c r="E1065" s="464" t="s">
        <v>3790</v>
      </c>
      <c r="F1065" s="464" t="s">
        <v>3791</v>
      </c>
      <c r="G1065" s="464" t="s">
        <v>3525</v>
      </c>
      <c r="H1065" s="464" t="s">
        <v>1188</v>
      </c>
      <c r="I1065" s="464" t="s">
        <v>1684</v>
      </c>
    </row>
    <row r="1066" ht="15.95" customHeight="1">
      <c r="A1066" s="464" t="s">
        <v>3803</v>
      </c>
      <c r="B1066" s="464" t="s">
        <v>3634</v>
      </c>
      <c r="C1066" s="464"/>
      <c r="D1066" s="464" t="s">
        <v>1679</v>
      </c>
      <c r="E1066" s="464" t="s">
        <v>3790</v>
      </c>
      <c r="F1066" s="464" t="s">
        <v>3791</v>
      </c>
      <c r="G1066" s="464" t="s">
        <v>3525</v>
      </c>
      <c r="H1066" s="464" t="s">
        <v>1188</v>
      </c>
      <c r="I1066" s="464" t="s">
        <v>1684</v>
      </c>
    </row>
    <row r="1067" ht="15.95" customHeight="1">
      <c r="A1067" s="464" t="s">
        <v>3804</v>
      </c>
      <c r="B1067" s="464" t="s">
        <v>3636</v>
      </c>
      <c r="C1067" s="464"/>
      <c r="D1067" s="464" t="s">
        <v>1679</v>
      </c>
      <c r="E1067" s="464" t="s">
        <v>3790</v>
      </c>
      <c r="F1067" s="464" t="s">
        <v>3791</v>
      </c>
      <c r="G1067" s="464" t="s">
        <v>3525</v>
      </c>
      <c r="H1067" s="464" t="s">
        <v>1188</v>
      </c>
      <c r="I1067" s="464" t="s">
        <v>1684</v>
      </c>
    </row>
    <row r="1068" ht="15.95" customHeight="1">
      <c r="A1068" s="464" t="s">
        <v>3805</v>
      </c>
      <c r="B1068" s="464" t="s">
        <v>3662</v>
      </c>
      <c r="C1068" s="464"/>
      <c r="D1068" s="464" t="s">
        <v>1679</v>
      </c>
      <c r="E1068" s="464" t="s">
        <v>3790</v>
      </c>
      <c r="F1068" s="464" t="s">
        <v>3791</v>
      </c>
      <c r="G1068" s="464" t="s">
        <v>3525</v>
      </c>
      <c r="H1068" s="464" t="s">
        <v>1188</v>
      </c>
      <c r="I1068" s="464" t="s">
        <v>1684</v>
      </c>
    </row>
    <row r="1069" ht="15.95" customHeight="1">
      <c r="A1069" s="464" t="s">
        <v>3806</v>
      </c>
      <c r="B1069" s="464" t="s">
        <v>3624</v>
      </c>
      <c r="C1069" s="464"/>
      <c r="D1069" s="464" t="s">
        <v>1679</v>
      </c>
      <c r="E1069" s="464" t="s">
        <v>3790</v>
      </c>
      <c r="F1069" s="464" t="s">
        <v>3791</v>
      </c>
      <c r="G1069" s="464" t="s">
        <v>3525</v>
      </c>
      <c r="H1069" s="464" t="s">
        <v>1188</v>
      </c>
      <c r="I1069" s="464" t="s">
        <v>1684</v>
      </c>
    </row>
    <row r="1070" ht="15.95" customHeight="1">
      <c r="A1070" s="464" t="s">
        <v>3807</v>
      </c>
      <c r="B1070" s="464" t="s">
        <v>2107</v>
      </c>
      <c r="C1070" s="464"/>
      <c r="D1070" s="464" t="s">
        <v>1679</v>
      </c>
      <c r="E1070" s="464" t="s">
        <v>3808</v>
      </c>
      <c r="F1070" s="464" t="s">
        <v>3809</v>
      </c>
      <c r="G1070" s="464" t="s">
        <v>3525</v>
      </c>
      <c r="H1070" s="464" t="s">
        <v>1188</v>
      </c>
      <c r="I1070" s="464" t="s">
        <v>1684</v>
      </c>
    </row>
    <row r="1071" ht="15.95" customHeight="1">
      <c r="A1071" s="464" t="s">
        <v>3810</v>
      </c>
      <c r="B1071" s="464" t="s">
        <v>3619</v>
      </c>
      <c r="C1071" s="464"/>
      <c r="D1071" s="464" t="s">
        <v>1679</v>
      </c>
      <c r="E1071" s="464" t="s">
        <v>3808</v>
      </c>
      <c r="F1071" s="464" t="s">
        <v>3809</v>
      </c>
      <c r="G1071" s="464" t="s">
        <v>3525</v>
      </c>
      <c r="H1071" s="464" t="s">
        <v>1188</v>
      </c>
      <c r="I1071" s="464" t="s">
        <v>1684</v>
      </c>
    </row>
    <row r="1072" ht="15.95" customHeight="1">
      <c r="A1072" s="464" t="s">
        <v>3811</v>
      </c>
      <c r="B1072" s="464" t="s">
        <v>3690</v>
      </c>
      <c r="C1072" s="464"/>
      <c r="D1072" s="464" t="s">
        <v>1679</v>
      </c>
      <c r="E1072" s="464" t="s">
        <v>3808</v>
      </c>
      <c r="F1072" s="464" t="s">
        <v>3809</v>
      </c>
      <c r="G1072" s="464" t="s">
        <v>3525</v>
      </c>
      <c r="H1072" s="464" t="s">
        <v>1188</v>
      </c>
      <c r="I1072" s="464" t="s">
        <v>1684</v>
      </c>
    </row>
    <row r="1073" ht="15.95" customHeight="1">
      <c r="A1073" s="464" t="s">
        <v>3812</v>
      </c>
      <c r="B1073" s="464" t="s">
        <v>3658</v>
      </c>
      <c r="C1073" s="464"/>
      <c r="D1073" s="464" t="s">
        <v>1679</v>
      </c>
      <c r="E1073" s="464" t="s">
        <v>3808</v>
      </c>
      <c r="F1073" s="464" t="s">
        <v>3809</v>
      </c>
      <c r="G1073" s="464" t="s">
        <v>3525</v>
      </c>
      <c r="H1073" s="464" t="s">
        <v>1188</v>
      </c>
      <c r="I1073" s="464" t="s">
        <v>1684</v>
      </c>
    </row>
    <row r="1074" ht="15.95" customHeight="1">
      <c r="A1074" s="464" t="s">
        <v>3813</v>
      </c>
      <c r="B1074" s="464" t="s">
        <v>3688</v>
      </c>
      <c r="C1074" s="464"/>
      <c r="D1074" s="464" t="s">
        <v>1679</v>
      </c>
      <c r="E1074" s="464" t="s">
        <v>3808</v>
      </c>
      <c r="F1074" s="464" t="s">
        <v>3809</v>
      </c>
      <c r="G1074" s="464" t="s">
        <v>3525</v>
      </c>
      <c r="H1074" s="464" t="s">
        <v>1188</v>
      </c>
      <c r="I1074" s="464" t="s">
        <v>1684</v>
      </c>
    </row>
    <row r="1075" ht="15.95" customHeight="1">
      <c r="A1075" s="464" t="s">
        <v>3814</v>
      </c>
      <c r="B1075" s="464" t="s">
        <v>1270</v>
      </c>
      <c r="C1075" s="464"/>
      <c r="D1075" s="464" t="s">
        <v>1679</v>
      </c>
      <c r="E1075" s="464" t="s">
        <v>3808</v>
      </c>
      <c r="F1075" s="464" t="s">
        <v>3809</v>
      </c>
      <c r="G1075" s="464" t="s">
        <v>3525</v>
      </c>
      <c r="H1075" s="464" t="s">
        <v>1188</v>
      </c>
      <c r="I1075" s="464" t="s">
        <v>1684</v>
      </c>
    </row>
    <row r="1076" ht="15.95" customHeight="1">
      <c r="A1076" s="464" t="s">
        <v>3815</v>
      </c>
      <c r="B1076" s="464" t="s">
        <v>3630</v>
      </c>
      <c r="C1076" s="464"/>
      <c r="D1076" s="464" t="s">
        <v>1679</v>
      </c>
      <c r="E1076" s="464" t="s">
        <v>3808</v>
      </c>
      <c r="F1076" s="464" t="s">
        <v>3809</v>
      </c>
      <c r="G1076" s="464" t="s">
        <v>3525</v>
      </c>
      <c r="H1076" s="464" t="s">
        <v>1188</v>
      </c>
      <c r="I1076" s="464" t="s">
        <v>1684</v>
      </c>
    </row>
    <row r="1077" ht="15.95" customHeight="1">
      <c r="A1077" s="464" t="s">
        <v>3816</v>
      </c>
      <c r="B1077" s="464" t="s">
        <v>3817</v>
      </c>
      <c r="C1077" s="464"/>
      <c r="D1077" s="464" t="s">
        <v>1679</v>
      </c>
      <c r="E1077" s="464" t="s">
        <v>3808</v>
      </c>
      <c r="F1077" s="464" t="s">
        <v>3809</v>
      </c>
      <c r="G1077" s="464" t="s">
        <v>3525</v>
      </c>
      <c r="H1077" s="464" t="s">
        <v>1188</v>
      </c>
      <c r="I1077" s="464" t="s">
        <v>1684</v>
      </c>
    </row>
    <row r="1078" ht="15.95" customHeight="1">
      <c r="A1078" s="464" t="s">
        <v>3818</v>
      </c>
      <c r="B1078" s="464" t="s">
        <v>3627</v>
      </c>
      <c r="C1078" s="464"/>
      <c r="D1078" s="464" t="s">
        <v>1679</v>
      </c>
      <c r="E1078" s="464" t="s">
        <v>3808</v>
      </c>
      <c r="F1078" s="464" t="s">
        <v>3809</v>
      </c>
      <c r="G1078" s="464" t="s">
        <v>3525</v>
      </c>
      <c r="H1078" s="464" t="s">
        <v>1188</v>
      </c>
      <c r="I1078" s="464" t="s">
        <v>1684</v>
      </c>
    </row>
    <row r="1079" ht="15.95" customHeight="1">
      <c r="A1079" s="464" t="s">
        <v>3819</v>
      </c>
      <c r="B1079" s="464" t="s">
        <v>3634</v>
      </c>
      <c r="C1079" s="464"/>
      <c r="D1079" s="464" t="s">
        <v>1679</v>
      </c>
      <c r="E1079" s="464" t="s">
        <v>3808</v>
      </c>
      <c r="F1079" s="464" t="s">
        <v>3809</v>
      </c>
      <c r="G1079" s="464" t="s">
        <v>3525</v>
      </c>
      <c r="H1079" s="464" t="s">
        <v>1188</v>
      </c>
      <c r="I1079" s="464" t="s">
        <v>1684</v>
      </c>
    </row>
    <row r="1080" ht="15.95" customHeight="1">
      <c r="A1080" s="464" t="s">
        <v>3820</v>
      </c>
      <c r="B1080" s="464" t="s">
        <v>3641</v>
      </c>
      <c r="C1080" s="464"/>
      <c r="D1080" s="464" t="s">
        <v>1679</v>
      </c>
      <c r="E1080" s="464" t="s">
        <v>3808</v>
      </c>
      <c r="F1080" s="464" t="s">
        <v>3809</v>
      </c>
      <c r="G1080" s="464" t="s">
        <v>3525</v>
      </c>
      <c r="H1080" s="464" t="s">
        <v>1188</v>
      </c>
      <c r="I1080" s="464" t="s">
        <v>1684</v>
      </c>
    </row>
    <row r="1081" ht="15.95" customHeight="1">
      <c r="A1081" s="464" t="s">
        <v>3821</v>
      </c>
      <c r="B1081" s="464" t="s">
        <v>3624</v>
      </c>
      <c r="C1081" s="464"/>
      <c r="D1081" s="464" t="s">
        <v>1679</v>
      </c>
      <c r="E1081" s="464" t="s">
        <v>3808</v>
      </c>
      <c r="F1081" s="464" t="s">
        <v>3809</v>
      </c>
      <c r="G1081" s="464" t="s">
        <v>3525</v>
      </c>
      <c r="H1081" s="464" t="s">
        <v>1188</v>
      </c>
      <c r="I1081" s="464" t="s">
        <v>1684</v>
      </c>
    </row>
    <row r="1082" ht="15.95" customHeight="1">
      <c r="A1082" s="464" t="s">
        <v>3822</v>
      </c>
      <c r="B1082" s="464" t="s">
        <v>3662</v>
      </c>
      <c r="C1082" s="464"/>
      <c r="D1082" s="464" t="s">
        <v>1679</v>
      </c>
      <c r="E1082" s="464" t="s">
        <v>3808</v>
      </c>
      <c r="F1082" s="464" t="s">
        <v>3809</v>
      </c>
      <c r="G1082" s="464" t="s">
        <v>3525</v>
      </c>
      <c r="H1082" s="464" t="s">
        <v>1188</v>
      </c>
      <c r="I1082" s="464" t="s">
        <v>1684</v>
      </c>
    </row>
    <row r="1083" ht="15.95" customHeight="1">
      <c r="A1083" s="464" t="s">
        <v>3823</v>
      </c>
      <c r="B1083" s="464" t="s">
        <v>1284</v>
      </c>
      <c r="C1083" s="464"/>
      <c r="D1083" s="464" t="s">
        <v>1679</v>
      </c>
      <c r="E1083" s="464" t="s">
        <v>3808</v>
      </c>
      <c r="F1083" s="464" t="s">
        <v>3809</v>
      </c>
      <c r="G1083" s="464" t="s">
        <v>3525</v>
      </c>
      <c r="H1083" s="464" t="s">
        <v>1188</v>
      </c>
      <c r="I1083" s="464" t="s">
        <v>1684</v>
      </c>
    </row>
    <row r="1084" ht="15.95" customHeight="1">
      <c r="A1084" s="464" t="s">
        <v>3824</v>
      </c>
      <c r="B1084" s="464" t="s">
        <v>3636</v>
      </c>
      <c r="C1084" s="464"/>
      <c r="D1084" s="464" t="s">
        <v>1679</v>
      </c>
      <c r="E1084" s="464" t="s">
        <v>3808</v>
      </c>
      <c r="F1084" s="464" t="s">
        <v>3809</v>
      </c>
      <c r="G1084" s="464" t="s">
        <v>3525</v>
      </c>
      <c r="H1084" s="464" t="s">
        <v>1188</v>
      </c>
      <c r="I1084" s="464" t="s">
        <v>1684</v>
      </c>
    </row>
    <row r="1085" ht="15.95" customHeight="1">
      <c r="A1085" s="464" t="s">
        <v>3825</v>
      </c>
      <c r="B1085" s="464" t="s">
        <v>3634</v>
      </c>
      <c r="C1085" s="464"/>
      <c r="D1085" s="464" t="s">
        <v>1679</v>
      </c>
      <c r="E1085" s="464" t="s">
        <v>3826</v>
      </c>
      <c r="F1085" s="464" t="s">
        <v>3827</v>
      </c>
      <c r="G1085" s="464" t="s">
        <v>3525</v>
      </c>
      <c r="H1085" s="464" t="s">
        <v>1188</v>
      </c>
      <c r="I1085" s="464" t="s">
        <v>1684</v>
      </c>
    </row>
    <row r="1086" ht="15.95" customHeight="1">
      <c r="A1086" s="464" t="s">
        <v>3828</v>
      </c>
      <c r="B1086" s="464" t="s">
        <v>3690</v>
      </c>
      <c r="C1086" s="464"/>
      <c r="D1086" s="464" t="s">
        <v>1679</v>
      </c>
      <c r="E1086" s="464" t="s">
        <v>3826</v>
      </c>
      <c r="F1086" s="464" t="s">
        <v>3827</v>
      </c>
      <c r="G1086" s="464" t="s">
        <v>3525</v>
      </c>
      <c r="H1086" s="464" t="s">
        <v>1188</v>
      </c>
      <c r="I1086" s="464" t="s">
        <v>1684</v>
      </c>
    </row>
    <row r="1087" ht="15.95" customHeight="1">
      <c r="A1087" s="464" t="s">
        <v>3829</v>
      </c>
      <c r="B1087" s="464" t="s">
        <v>3641</v>
      </c>
      <c r="C1087" s="464"/>
      <c r="D1087" s="464" t="s">
        <v>1679</v>
      </c>
      <c r="E1087" s="464" t="s">
        <v>3826</v>
      </c>
      <c r="F1087" s="464" t="s">
        <v>3827</v>
      </c>
      <c r="G1087" s="464" t="s">
        <v>3525</v>
      </c>
      <c r="H1087" s="464" t="s">
        <v>1188</v>
      </c>
      <c r="I1087" s="464" t="s">
        <v>1684</v>
      </c>
    </row>
    <row r="1088" ht="15.95" customHeight="1">
      <c r="A1088" s="464" t="s">
        <v>3830</v>
      </c>
      <c r="B1088" s="464" t="s">
        <v>2107</v>
      </c>
      <c r="C1088" s="464"/>
      <c r="D1088" s="464" t="s">
        <v>1679</v>
      </c>
      <c r="E1088" s="464" t="s">
        <v>3826</v>
      </c>
      <c r="F1088" s="464" t="s">
        <v>3827</v>
      </c>
      <c r="G1088" s="464" t="s">
        <v>3525</v>
      </c>
      <c r="H1088" s="464" t="s">
        <v>1188</v>
      </c>
      <c r="I1088" s="464" t="s">
        <v>1684</v>
      </c>
    </row>
    <row r="1089" ht="15.95" customHeight="1">
      <c r="A1089" s="464" t="s">
        <v>3831</v>
      </c>
      <c r="B1089" s="464" t="s">
        <v>3662</v>
      </c>
      <c r="C1089" s="464"/>
      <c r="D1089" s="464" t="s">
        <v>1679</v>
      </c>
      <c r="E1089" s="464" t="s">
        <v>3826</v>
      </c>
      <c r="F1089" s="464" t="s">
        <v>3827</v>
      </c>
      <c r="G1089" s="464" t="s">
        <v>3525</v>
      </c>
      <c r="H1089" s="464" t="s">
        <v>1188</v>
      </c>
      <c r="I1089" s="464" t="s">
        <v>1684</v>
      </c>
    </row>
    <row r="1090" ht="15.95" customHeight="1">
      <c r="A1090" s="464" t="s">
        <v>3832</v>
      </c>
      <c r="B1090" s="464" t="s">
        <v>3688</v>
      </c>
      <c r="C1090" s="464"/>
      <c r="D1090" s="464" t="s">
        <v>1679</v>
      </c>
      <c r="E1090" s="464" t="s">
        <v>3826</v>
      </c>
      <c r="F1090" s="464" t="s">
        <v>3827</v>
      </c>
      <c r="G1090" s="464" t="s">
        <v>3525</v>
      </c>
      <c r="H1090" s="464" t="s">
        <v>1188</v>
      </c>
      <c r="I1090" s="464" t="s">
        <v>1684</v>
      </c>
    </row>
    <row r="1091" ht="15.95" customHeight="1">
      <c r="A1091" s="464" t="s">
        <v>3833</v>
      </c>
      <c r="B1091" s="464" t="s">
        <v>1284</v>
      </c>
      <c r="C1091" s="464"/>
      <c r="D1091" s="464" t="s">
        <v>1679</v>
      </c>
      <c r="E1091" s="464" t="s">
        <v>3826</v>
      </c>
      <c r="F1091" s="464" t="s">
        <v>3827</v>
      </c>
      <c r="G1091" s="464" t="s">
        <v>3525</v>
      </c>
      <c r="H1091" s="464" t="s">
        <v>1188</v>
      </c>
      <c r="I1091" s="464" t="s">
        <v>1684</v>
      </c>
    </row>
    <row r="1092" ht="15.95" customHeight="1">
      <c r="A1092" s="464" t="s">
        <v>3834</v>
      </c>
      <c r="B1092" s="464" t="s">
        <v>3632</v>
      </c>
      <c r="C1092" s="464"/>
      <c r="D1092" s="464" t="s">
        <v>1679</v>
      </c>
      <c r="E1092" s="464" t="s">
        <v>3826</v>
      </c>
      <c r="F1092" s="464" t="s">
        <v>3827</v>
      </c>
      <c r="G1092" s="464" t="s">
        <v>3525</v>
      </c>
      <c r="H1092" s="464" t="s">
        <v>1188</v>
      </c>
      <c r="I1092" s="464" t="s">
        <v>1684</v>
      </c>
    </row>
    <row r="1093" ht="15.95" customHeight="1">
      <c r="A1093" s="464" t="s">
        <v>3835</v>
      </c>
      <c r="B1093" s="464" t="s">
        <v>3636</v>
      </c>
      <c r="C1093" s="464"/>
      <c r="D1093" s="464" t="s">
        <v>1679</v>
      </c>
      <c r="E1093" s="464" t="s">
        <v>3826</v>
      </c>
      <c r="F1093" s="464" t="s">
        <v>3827</v>
      </c>
      <c r="G1093" s="464" t="s">
        <v>3525</v>
      </c>
      <c r="H1093" s="464" t="s">
        <v>1188</v>
      </c>
      <c r="I1093" s="464" t="s">
        <v>1684</v>
      </c>
    </row>
    <row r="1094" ht="15.95" customHeight="1">
      <c r="A1094" s="464" t="s">
        <v>3836</v>
      </c>
      <c r="B1094" s="464" t="s">
        <v>1278</v>
      </c>
      <c r="C1094" s="464"/>
      <c r="D1094" s="464" t="s">
        <v>1679</v>
      </c>
      <c r="E1094" s="464" t="s">
        <v>3826</v>
      </c>
      <c r="F1094" s="464" t="s">
        <v>3827</v>
      </c>
      <c r="G1094" s="464" t="s">
        <v>3525</v>
      </c>
      <c r="H1094" s="464" t="s">
        <v>1188</v>
      </c>
      <c r="I1094" s="464" t="s">
        <v>1684</v>
      </c>
    </row>
    <row r="1095" ht="15.95" customHeight="1">
      <c r="A1095" s="464" t="s">
        <v>3837</v>
      </c>
      <c r="B1095" s="464" t="s">
        <v>3627</v>
      </c>
      <c r="C1095" s="464"/>
      <c r="D1095" s="464" t="s">
        <v>1679</v>
      </c>
      <c r="E1095" s="464" t="s">
        <v>3826</v>
      </c>
      <c r="F1095" s="464" t="s">
        <v>3827</v>
      </c>
      <c r="G1095" s="464" t="s">
        <v>3525</v>
      </c>
      <c r="H1095" s="464" t="s">
        <v>1188</v>
      </c>
      <c r="I1095" s="464" t="s">
        <v>1684</v>
      </c>
    </row>
    <row r="1096" ht="15.95" customHeight="1">
      <c r="A1096" s="464" t="s">
        <v>3838</v>
      </c>
      <c r="B1096" s="464" t="s">
        <v>3630</v>
      </c>
      <c r="C1096" s="464"/>
      <c r="D1096" s="464" t="s">
        <v>1679</v>
      </c>
      <c r="E1096" s="464" t="s">
        <v>3826</v>
      </c>
      <c r="F1096" s="464" t="s">
        <v>3827</v>
      </c>
      <c r="G1096" s="464" t="s">
        <v>3525</v>
      </c>
      <c r="H1096" s="464" t="s">
        <v>1188</v>
      </c>
      <c r="I1096" s="464" t="s">
        <v>1684</v>
      </c>
    </row>
    <row r="1097" ht="15.95" customHeight="1">
      <c r="A1097" s="464" t="s">
        <v>3839</v>
      </c>
      <c r="B1097" s="464" t="s">
        <v>3658</v>
      </c>
      <c r="C1097" s="464"/>
      <c r="D1097" s="464" t="s">
        <v>1679</v>
      </c>
      <c r="E1097" s="464" t="s">
        <v>3826</v>
      </c>
      <c r="F1097" s="464" t="s">
        <v>3827</v>
      </c>
      <c r="G1097" s="464" t="s">
        <v>3525</v>
      </c>
      <c r="H1097" s="464" t="s">
        <v>1188</v>
      </c>
      <c r="I1097" s="464" t="s">
        <v>1684</v>
      </c>
    </row>
    <row r="1098" ht="15.95" customHeight="1">
      <c r="A1098" s="464" t="s">
        <v>3840</v>
      </c>
      <c r="B1098" s="464" t="s">
        <v>1270</v>
      </c>
      <c r="C1098" s="464"/>
      <c r="D1098" s="464" t="s">
        <v>1679</v>
      </c>
      <c r="E1098" s="464" t="s">
        <v>3826</v>
      </c>
      <c r="F1098" s="464" t="s">
        <v>3827</v>
      </c>
      <c r="G1098" s="464" t="s">
        <v>3525</v>
      </c>
      <c r="H1098" s="464" t="s">
        <v>1188</v>
      </c>
      <c r="I1098" s="464" t="s">
        <v>1684</v>
      </c>
    </row>
    <row r="1099" ht="15.95" customHeight="1">
      <c r="A1099" s="464" t="s">
        <v>3841</v>
      </c>
      <c r="B1099" s="464" t="s">
        <v>3619</v>
      </c>
      <c r="C1099" s="464"/>
      <c r="D1099" s="464" t="s">
        <v>1679</v>
      </c>
      <c r="E1099" s="464" t="s">
        <v>3826</v>
      </c>
      <c r="F1099" s="464" t="s">
        <v>3827</v>
      </c>
      <c r="G1099" s="464" t="s">
        <v>3525</v>
      </c>
      <c r="H1099" s="464" t="s">
        <v>1188</v>
      </c>
      <c r="I1099" s="464" t="s">
        <v>1684</v>
      </c>
    </row>
    <row r="1100" ht="15.95" customHeight="1">
      <c r="A1100" s="464" t="s">
        <v>3842</v>
      </c>
      <c r="B1100" s="464" t="s">
        <v>3627</v>
      </c>
      <c r="C1100" s="464"/>
      <c r="D1100" s="464" t="s">
        <v>1679</v>
      </c>
      <c r="E1100" s="464" t="s">
        <v>3843</v>
      </c>
      <c r="F1100" s="464" t="s">
        <v>3844</v>
      </c>
      <c r="G1100" s="464" t="s">
        <v>3525</v>
      </c>
      <c r="H1100" s="464" t="s">
        <v>1188</v>
      </c>
      <c r="I1100" s="464" t="s">
        <v>1684</v>
      </c>
    </row>
    <row r="1101" ht="15.95" customHeight="1">
      <c r="A1101" s="464" t="s">
        <v>3845</v>
      </c>
      <c r="B1101" s="464" t="s">
        <v>3619</v>
      </c>
      <c r="C1101" s="464"/>
      <c r="D1101" s="464" t="s">
        <v>1679</v>
      </c>
      <c r="E1101" s="464" t="s">
        <v>3843</v>
      </c>
      <c r="F1101" s="464" t="s">
        <v>3844</v>
      </c>
      <c r="G1101" s="464" t="s">
        <v>3525</v>
      </c>
      <c r="H1101" s="464" t="s">
        <v>1188</v>
      </c>
      <c r="I1101" s="464" t="s">
        <v>1684</v>
      </c>
    </row>
    <row r="1102" ht="15.95" customHeight="1">
      <c r="A1102" s="464" t="s">
        <v>3846</v>
      </c>
      <c r="B1102" s="464" t="s">
        <v>3690</v>
      </c>
      <c r="C1102" s="464"/>
      <c r="D1102" s="464" t="s">
        <v>1679</v>
      </c>
      <c r="E1102" s="464" t="s">
        <v>3843</v>
      </c>
      <c r="F1102" s="464" t="s">
        <v>3844</v>
      </c>
      <c r="G1102" s="464" t="s">
        <v>3525</v>
      </c>
      <c r="H1102" s="464" t="s">
        <v>1188</v>
      </c>
      <c r="I1102" s="464" t="s">
        <v>1684</v>
      </c>
    </row>
    <row r="1103" ht="15.95" customHeight="1">
      <c r="A1103" s="464" t="s">
        <v>3847</v>
      </c>
      <c r="B1103" s="464" t="s">
        <v>3658</v>
      </c>
      <c r="C1103" s="464"/>
      <c r="D1103" s="464" t="s">
        <v>1679</v>
      </c>
      <c r="E1103" s="464" t="s">
        <v>3843</v>
      </c>
      <c r="F1103" s="464" t="s">
        <v>3844</v>
      </c>
      <c r="G1103" s="464" t="s">
        <v>3525</v>
      </c>
      <c r="H1103" s="464" t="s">
        <v>1188</v>
      </c>
      <c r="I1103" s="464" t="s">
        <v>1684</v>
      </c>
    </row>
    <row r="1104" ht="15.95" customHeight="1">
      <c r="A1104" s="464" t="s">
        <v>3848</v>
      </c>
      <c r="B1104" s="464" t="s">
        <v>2107</v>
      </c>
      <c r="C1104" s="464"/>
      <c r="D1104" s="464" t="s">
        <v>1679</v>
      </c>
      <c r="E1104" s="464" t="s">
        <v>3843</v>
      </c>
      <c r="F1104" s="464" t="s">
        <v>3844</v>
      </c>
      <c r="G1104" s="464" t="s">
        <v>3525</v>
      </c>
      <c r="H1104" s="464" t="s">
        <v>1188</v>
      </c>
      <c r="I1104" s="464" t="s">
        <v>1684</v>
      </c>
    </row>
    <row r="1105" ht="15.95" customHeight="1">
      <c r="A1105" s="464" t="s">
        <v>3849</v>
      </c>
      <c r="B1105" s="464" t="s">
        <v>3630</v>
      </c>
      <c r="C1105" s="464"/>
      <c r="D1105" s="464" t="s">
        <v>1679</v>
      </c>
      <c r="E1105" s="464" t="s">
        <v>3843</v>
      </c>
      <c r="F1105" s="464" t="s">
        <v>3844</v>
      </c>
      <c r="G1105" s="464" t="s">
        <v>3525</v>
      </c>
      <c r="H1105" s="464" t="s">
        <v>1188</v>
      </c>
      <c r="I1105" s="464" t="s">
        <v>1684</v>
      </c>
    </row>
    <row r="1106" ht="15.95" customHeight="1">
      <c r="A1106" s="464" t="s">
        <v>3850</v>
      </c>
      <c r="B1106" s="464" t="s">
        <v>1278</v>
      </c>
      <c r="C1106" s="464"/>
      <c r="D1106" s="464" t="s">
        <v>1679</v>
      </c>
      <c r="E1106" s="464" t="s">
        <v>3843</v>
      </c>
      <c r="F1106" s="464" t="s">
        <v>3844</v>
      </c>
      <c r="G1106" s="464" t="s">
        <v>3525</v>
      </c>
      <c r="H1106" s="464" t="s">
        <v>1188</v>
      </c>
      <c r="I1106" s="464" t="s">
        <v>1684</v>
      </c>
    </row>
    <row r="1107" ht="15.95" customHeight="1">
      <c r="A1107" s="464" t="s">
        <v>3851</v>
      </c>
      <c r="B1107" s="464" t="s">
        <v>3662</v>
      </c>
      <c r="C1107" s="464"/>
      <c r="D1107" s="464" t="s">
        <v>1679</v>
      </c>
      <c r="E1107" s="464" t="s">
        <v>3843</v>
      </c>
      <c r="F1107" s="464" t="s">
        <v>3844</v>
      </c>
      <c r="G1107" s="464" t="s">
        <v>3525</v>
      </c>
      <c r="H1107" s="464" t="s">
        <v>1188</v>
      </c>
      <c r="I1107" s="464" t="s">
        <v>1684</v>
      </c>
    </row>
    <row r="1108" ht="15.95" customHeight="1">
      <c r="A1108" s="464" t="s">
        <v>3852</v>
      </c>
      <c r="B1108" s="464" t="s">
        <v>3636</v>
      </c>
      <c r="C1108" s="464"/>
      <c r="D1108" s="464" t="s">
        <v>1679</v>
      </c>
      <c r="E1108" s="464" t="s">
        <v>3843</v>
      </c>
      <c r="F1108" s="464" t="s">
        <v>3844</v>
      </c>
      <c r="G1108" s="464" t="s">
        <v>3525</v>
      </c>
      <c r="H1108" s="464" t="s">
        <v>1188</v>
      </c>
      <c r="I1108" s="464" t="s">
        <v>1684</v>
      </c>
    </row>
    <row r="1109" ht="15.95" customHeight="1">
      <c r="A1109" s="464" t="s">
        <v>3853</v>
      </c>
      <c r="B1109" s="464" t="s">
        <v>3634</v>
      </c>
      <c r="C1109" s="464"/>
      <c r="D1109" s="464" t="s">
        <v>1679</v>
      </c>
      <c r="E1109" s="464" t="s">
        <v>3843</v>
      </c>
      <c r="F1109" s="464" t="s">
        <v>3844</v>
      </c>
      <c r="G1109" s="464" t="s">
        <v>3525</v>
      </c>
      <c r="H1109" s="464" t="s">
        <v>1188</v>
      </c>
      <c r="I1109" s="464" t="s">
        <v>1684</v>
      </c>
    </row>
    <row r="1110" ht="15.95" customHeight="1">
      <c r="A1110" s="464" t="s">
        <v>3854</v>
      </c>
      <c r="B1110" s="464" t="s">
        <v>3688</v>
      </c>
      <c r="C1110" s="464"/>
      <c r="D1110" s="464" t="s">
        <v>1679</v>
      </c>
      <c r="E1110" s="464" t="s">
        <v>3843</v>
      </c>
      <c r="F1110" s="464" t="s">
        <v>3844</v>
      </c>
      <c r="G1110" s="464" t="s">
        <v>3525</v>
      </c>
      <c r="H1110" s="464" t="s">
        <v>1188</v>
      </c>
      <c r="I1110" s="464" t="s">
        <v>1684</v>
      </c>
    </row>
    <row r="1111" ht="15.95" customHeight="1">
      <c r="A1111" s="464" t="s">
        <v>3855</v>
      </c>
      <c r="B1111" s="464" t="s">
        <v>3641</v>
      </c>
      <c r="C1111" s="464"/>
      <c r="D1111" s="464" t="s">
        <v>1679</v>
      </c>
      <c r="E1111" s="464" t="s">
        <v>3843</v>
      </c>
      <c r="F1111" s="464" t="s">
        <v>3844</v>
      </c>
      <c r="G1111" s="464" t="s">
        <v>3525</v>
      </c>
      <c r="H1111" s="464" t="s">
        <v>1188</v>
      </c>
      <c r="I1111" s="464" t="s">
        <v>1684</v>
      </c>
    </row>
    <row r="1112" ht="15.95" customHeight="1">
      <c r="A1112" s="464" t="s">
        <v>3856</v>
      </c>
      <c r="B1112" s="464" t="s">
        <v>3632</v>
      </c>
      <c r="C1112" s="464"/>
      <c r="D1112" s="464" t="s">
        <v>1679</v>
      </c>
      <c r="E1112" s="464" t="s">
        <v>3843</v>
      </c>
      <c r="F1112" s="464" t="s">
        <v>3844</v>
      </c>
      <c r="G1112" s="464" t="s">
        <v>3525</v>
      </c>
      <c r="H1112" s="464" t="s">
        <v>1188</v>
      </c>
      <c r="I1112" s="464" t="s">
        <v>1684</v>
      </c>
    </row>
    <row r="1113" ht="15.95" customHeight="1">
      <c r="A1113" s="464" t="s">
        <v>3857</v>
      </c>
      <c r="B1113" s="464" t="s">
        <v>1270</v>
      </c>
      <c r="C1113" s="464"/>
      <c r="D1113" s="464" t="s">
        <v>1679</v>
      </c>
      <c r="E1113" s="464" t="s">
        <v>3843</v>
      </c>
      <c r="F1113" s="464" t="s">
        <v>3844</v>
      </c>
      <c r="G1113" s="464" t="s">
        <v>3525</v>
      </c>
      <c r="H1113" s="464" t="s">
        <v>1188</v>
      </c>
      <c r="I1113" s="464" t="s">
        <v>1684</v>
      </c>
    </row>
    <row r="1114" ht="15.95" customHeight="1">
      <c r="A1114" s="464" t="s">
        <v>3858</v>
      </c>
      <c r="B1114" s="464" t="s">
        <v>3688</v>
      </c>
      <c r="C1114" s="464"/>
      <c r="D1114" s="464" t="s">
        <v>1679</v>
      </c>
      <c r="E1114" s="464" t="s">
        <v>3859</v>
      </c>
      <c r="F1114" s="464" t="s">
        <v>3860</v>
      </c>
      <c r="G1114" s="464" t="s">
        <v>3525</v>
      </c>
      <c r="H1114" s="464" t="s">
        <v>1188</v>
      </c>
      <c r="I1114" s="464" t="s">
        <v>1684</v>
      </c>
    </row>
    <row r="1115" ht="15.95" customHeight="1">
      <c r="A1115" s="464" t="s">
        <v>3861</v>
      </c>
      <c r="B1115" s="464" t="s">
        <v>3662</v>
      </c>
      <c r="C1115" s="464"/>
      <c r="D1115" s="464" t="s">
        <v>1679</v>
      </c>
      <c r="E1115" s="464" t="s">
        <v>3859</v>
      </c>
      <c r="F1115" s="464" t="s">
        <v>3860</v>
      </c>
      <c r="G1115" s="464" t="s">
        <v>3525</v>
      </c>
      <c r="H1115" s="464" t="s">
        <v>1188</v>
      </c>
      <c r="I1115" s="464" t="s">
        <v>1684</v>
      </c>
    </row>
    <row r="1116" ht="15.95" customHeight="1">
      <c r="A1116" s="464" t="s">
        <v>3862</v>
      </c>
      <c r="B1116" s="464" t="s">
        <v>3636</v>
      </c>
      <c r="C1116" s="464"/>
      <c r="D1116" s="464" t="s">
        <v>1679</v>
      </c>
      <c r="E1116" s="464" t="s">
        <v>3859</v>
      </c>
      <c r="F1116" s="464" t="s">
        <v>3860</v>
      </c>
      <c r="G1116" s="464" t="s">
        <v>3525</v>
      </c>
      <c r="H1116" s="464" t="s">
        <v>1188</v>
      </c>
      <c r="I1116" s="464" t="s">
        <v>1684</v>
      </c>
    </row>
    <row r="1117" ht="15.95" customHeight="1">
      <c r="A1117" s="464" t="s">
        <v>3863</v>
      </c>
      <c r="B1117" s="464" t="s">
        <v>3641</v>
      </c>
      <c r="C1117" s="464"/>
      <c r="D1117" s="464" t="s">
        <v>1679</v>
      </c>
      <c r="E1117" s="464" t="s">
        <v>3859</v>
      </c>
      <c r="F1117" s="464" t="s">
        <v>3860</v>
      </c>
      <c r="G1117" s="464" t="s">
        <v>3525</v>
      </c>
      <c r="H1117" s="464" t="s">
        <v>1188</v>
      </c>
      <c r="I1117" s="464" t="s">
        <v>1684</v>
      </c>
    </row>
    <row r="1118" ht="15.95" customHeight="1">
      <c r="A1118" s="464" t="s">
        <v>3864</v>
      </c>
      <c r="B1118" s="464" t="s">
        <v>1278</v>
      </c>
      <c r="C1118" s="464"/>
      <c r="D1118" s="464" t="s">
        <v>1679</v>
      </c>
      <c r="E1118" s="464" t="s">
        <v>3859</v>
      </c>
      <c r="F1118" s="464" t="s">
        <v>3860</v>
      </c>
      <c r="G1118" s="464" t="s">
        <v>3525</v>
      </c>
      <c r="H1118" s="464" t="s">
        <v>1188</v>
      </c>
      <c r="I1118" s="464" t="s">
        <v>1684</v>
      </c>
    </row>
    <row r="1119" ht="15.95" customHeight="1">
      <c r="A1119" s="464" t="s">
        <v>3865</v>
      </c>
      <c r="B1119" s="464" t="s">
        <v>3690</v>
      </c>
      <c r="C1119" s="464"/>
      <c r="D1119" s="464" t="s">
        <v>1679</v>
      </c>
      <c r="E1119" s="464" t="s">
        <v>3859</v>
      </c>
      <c r="F1119" s="464" t="s">
        <v>3860</v>
      </c>
      <c r="G1119" s="464" t="s">
        <v>3525</v>
      </c>
      <c r="H1119" s="464" t="s">
        <v>1188</v>
      </c>
      <c r="I1119" s="464" t="s">
        <v>1684</v>
      </c>
    </row>
    <row r="1120" ht="15.95" customHeight="1">
      <c r="A1120" s="464" t="s">
        <v>3866</v>
      </c>
      <c r="B1120" s="464" t="s">
        <v>1270</v>
      </c>
      <c r="C1120" s="464"/>
      <c r="D1120" s="464" t="s">
        <v>1679</v>
      </c>
      <c r="E1120" s="464" t="s">
        <v>3859</v>
      </c>
      <c r="F1120" s="464" t="s">
        <v>3860</v>
      </c>
      <c r="G1120" s="464" t="s">
        <v>3525</v>
      </c>
      <c r="H1120" s="464" t="s">
        <v>1188</v>
      </c>
      <c r="I1120" s="464" t="s">
        <v>1684</v>
      </c>
    </row>
    <row r="1121" ht="15.95" customHeight="1">
      <c r="A1121" s="464" t="s">
        <v>3867</v>
      </c>
      <c r="B1121" s="464" t="s">
        <v>3634</v>
      </c>
      <c r="C1121" s="464"/>
      <c r="D1121" s="464" t="s">
        <v>1679</v>
      </c>
      <c r="E1121" s="464" t="s">
        <v>3859</v>
      </c>
      <c r="F1121" s="464" t="s">
        <v>3860</v>
      </c>
      <c r="G1121" s="464" t="s">
        <v>3525</v>
      </c>
      <c r="H1121" s="464" t="s">
        <v>1188</v>
      </c>
      <c r="I1121" s="464" t="s">
        <v>1684</v>
      </c>
    </row>
    <row r="1122" ht="15.95" customHeight="1">
      <c r="A1122" s="464" t="s">
        <v>3868</v>
      </c>
      <c r="B1122" s="464" t="s">
        <v>3619</v>
      </c>
      <c r="C1122" s="464"/>
      <c r="D1122" s="464" t="s">
        <v>1679</v>
      </c>
      <c r="E1122" s="464" t="s">
        <v>3859</v>
      </c>
      <c r="F1122" s="464" t="s">
        <v>3860</v>
      </c>
      <c r="G1122" s="464" t="s">
        <v>3525</v>
      </c>
      <c r="H1122" s="464" t="s">
        <v>1188</v>
      </c>
      <c r="I1122" s="464" t="s">
        <v>1684</v>
      </c>
    </row>
    <row r="1123" ht="15.95" customHeight="1">
      <c r="A1123" s="464" t="s">
        <v>3869</v>
      </c>
      <c r="B1123" s="464" t="s">
        <v>2107</v>
      </c>
      <c r="C1123" s="464"/>
      <c r="D1123" s="464" t="s">
        <v>1679</v>
      </c>
      <c r="E1123" s="464" t="s">
        <v>3859</v>
      </c>
      <c r="F1123" s="464" t="s">
        <v>3860</v>
      </c>
      <c r="G1123" s="464" t="s">
        <v>3525</v>
      </c>
      <c r="H1123" s="464" t="s">
        <v>1188</v>
      </c>
      <c r="I1123" s="464" t="s">
        <v>1684</v>
      </c>
    </row>
    <row r="1124" ht="15.95" customHeight="1">
      <c r="A1124" s="464" t="s">
        <v>3870</v>
      </c>
      <c r="B1124" s="464" t="s">
        <v>3630</v>
      </c>
      <c r="C1124" s="464"/>
      <c r="D1124" s="464" t="s">
        <v>1679</v>
      </c>
      <c r="E1124" s="464" t="s">
        <v>3859</v>
      </c>
      <c r="F1124" s="464" t="s">
        <v>3860</v>
      </c>
      <c r="G1124" s="464" t="s">
        <v>3525</v>
      </c>
      <c r="H1124" s="464" t="s">
        <v>1188</v>
      </c>
      <c r="I1124" s="464" t="s">
        <v>1684</v>
      </c>
    </row>
    <row r="1125" ht="15.95" customHeight="1">
      <c r="A1125" s="464" t="s">
        <v>3871</v>
      </c>
      <c r="B1125" s="464" t="s">
        <v>3627</v>
      </c>
      <c r="C1125" s="464"/>
      <c r="D1125" s="464" t="s">
        <v>1679</v>
      </c>
      <c r="E1125" s="464" t="s">
        <v>3859</v>
      </c>
      <c r="F1125" s="464" t="s">
        <v>3860</v>
      </c>
      <c r="G1125" s="464" t="s">
        <v>3525</v>
      </c>
      <c r="H1125" s="464" t="s">
        <v>1188</v>
      </c>
      <c r="I1125" s="464" t="s">
        <v>1684</v>
      </c>
    </row>
    <row r="1126" ht="15.95" customHeight="1">
      <c r="A1126" s="464" t="s">
        <v>3872</v>
      </c>
      <c r="B1126" s="464" t="s">
        <v>3658</v>
      </c>
      <c r="C1126" s="464"/>
      <c r="D1126" s="464" t="s">
        <v>1679</v>
      </c>
      <c r="E1126" s="464" t="s">
        <v>3859</v>
      </c>
      <c r="F1126" s="464" t="s">
        <v>3860</v>
      </c>
      <c r="G1126" s="464" t="s">
        <v>3525</v>
      </c>
      <c r="H1126" s="464" t="s">
        <v>1188</v>
      </c>
      <c r="I1126" s="464" t="s">
        <v>1684</v>
      </c>
    </row>
    <row r="1127" ht="15.95" customHeight="1">
      <c r="A1127" s="464" t="s">
        <v>3873</v>
      </c>
      <c r="B1127" s="464" t="s">
        <v>1284</v>
      </c>
      <c r="C1127" s="464"/>
      <c r="D1127" s="464" t="s">
        <v>1679</v>
      </c>
      <c r="E1127" s="464" t="s">
        <v>3859</v>
      </c>
      <c r="F1127" s="464" t="s">
        <v>3860</v>
      </c>
      <c r="G1127" s="464" t="s">
        <v>3525</v>
      </c>
      <c r="H1127" s="464" t="s">
        <v>1188</v>
      </c>
      <c r="I1127" s="464" t="s">
        <v>1684</v>
      </c>
    </row>
    <row r="1128" ht="15.95" customHeight="1">
      <c r="A1128" s="464" t="s">
        <v>3874</v>
      </c>
      <c r="B1128" s="464" t="s">
        <v>3624</v>
      </c>
      <c r="C1128" s="464"/>
      <c r="D1128" s="464" t="s">
        <v>1679</v>
      </c>
      <c r="E1128" s="464" t="s">
        <v>3859</v>
      </c>
      <c r="F1128" s="464" t="s">
        <v>3860</v>
      </c>
      <c r="G1128" s="464" t="s">
        <v>3525</v>
      </c>
      <c r="H1128" s="464" t="s">
        <v>1188</v>
      </c>
      <c r="I1128" s="464" t="s">
        <v>1684</v>
      </c>
    </row>
    <row r="1129" ht="15.95" customHeight="1">
      <c r="A1129" s="464" t="s">
        <v>3875</v>
      </c>
      <c r="B1129" s="464" t="s">
        <v>3632</v>
      </c>
      <c r="C1129" s="464"/>
      <c r="D1129" s="464" t="s">
        <v>1679</v>
      </c>
      <c r="E1129" s="464" t="s">
        <v>3859</v>
      </c>
      <c r="F1129" s="464" t="s">
        <v>3860</v>
      </c>
      <c r="G1129" s="464" t="s">
        <v>3525</v>
      </c>
      <c r="H1129" s="464" t="s">
        <v>1188</v>
      </c>
      <c r="I1129" s="464" t="s">
        <v>1684</v>
      </c>
    </row>
    <row r="1130" ht="15.95" customHeight="1">
      <c r="A1130" s="464" t="s">
        <v>3876</v>
      </c>
      <c r="B1130" s="464" t="s">
        <v>3877</v>
      </c>
      <c r="C1130" s="464"/>
      <c r="D1130" s="464" t="s">
        <v>1679</v>
      </c>
      <c r="E1130" s="464" t="s">
        <v>3878</v>
      </c>
      <c r="F1130" s="464" t="s">
        <v>3879</v>
      </c>
      <c r="G1130" s="464" t="s">
        <v>3525</v>
      </c>
      <c r="H1130" s="464" t="s">
        <v>1188</v>
      </c>
      <c r="I1130" s="464" t="s">
        <v>1684</v>
      </c>
    </row>
    <row r="1131" ht="15.95" customHeight="1">
      <c r="A1131" s="464" t="s">
        <v>3880</v>
      </c>
      <c r="B1131" s="464" t="s">
        <v>3881</v>
      </c>
      <c r="C1131" s="464"/>
      <c r="D1131" s="464" t="s">
        <v>1679</v>
      </c>
      <c r="E1131" s="464" t="s">
        <v>3878</v>
      </c>
      <c r="F1131" s="464" t="s">
        <v>3879</v>
      </c>
      <c r="G1131" s="464" t="s">
        <v>3525</v>
      </c>
      <c r="H1131" s="464" t="s">
        <v>1188</v>
      </c>
      <c r="I1131" s="464" t="s">
        <v>1684</v>
      </c>
    </row>
    <row r="1132" ht="15.95" customHeight="1">
      <c r="A1132" s="464" t="s">
        <v>3882</v>
      </c>
      <c r="B1132" s="464" t="s">
        <v>1190</v>
      </c>
      <c r="C1132" s="464"/>
      <c r="D1132" s="464" t="s">
        <v>1679</v>
      </c>
      <c r="E1132" s="464" t="s">
        <v>3878</v>
      </c>
      <c r="F1132" s="464" t="s">
        <v>3879</v>
      </c>
      <c r="G1132" s="464" t="s">
        <v>3525</v>
      </c>
      <c r="H1132" s="464" t="s">
        <v>1188</v>
      </c>
      <c r="I1132" s="464" t="s">
        <v>1684</v>
      </c>
    </row>
    <row r="1133" ht="15.95" customHeight="1">
      <c r="A1133" s="464" t="s">
        <v>3883</v>
      </c>
      <c r="B1133" s="464" t="s">
        <v>3884</v>
      </c>
      <c r="C1133" s="464"/>
      <c r="D1133" s="464" t="s">
        <v>1679</v>
      </c>
      <c r="E1133" s="464" t="s">
        <v>3878</v>
      </c>
      <c r="F1133" s="464" t="s">
        <v>3879</v>
      </c>
      <c r="G1133" s="464" t="s">
        <v>3525</v>
      </c>
      <c r="H1133" s="464" t="s">
        <v>1188</v>
      </c>
      <c r="I1133" s="464" t="s">
        <v>1684</v>
      </c>
    </row>
    <row r="1134" ht="15.95" customHeight="1">
      <c r="A1134" s="464" t="s">
        <v>3885</v>
      </c>
      <c r="B1134" s="464" t="s">
        <v>1205</v>
      </c>
      <c r="C1134" s="464"/>
      <c r="D1134" s="464" t="s">
        <v>1679</v>
      </c>
      <c r="E1134" s="464" t="s">
        <v>3878</v>
      </c>
      <c r="F1134" s="464" t="s">
        <v>3879</v>
      </c>
      <c r="G1134" s="464" t="s">
        <v>3525</v>
      </c>
      <c r="H1134" s="464" t="s">
        <v>1188</v>
      </c>
      <c r="I1134" s="464" t="s">
        <v>1684</v>
      </c>
    </row>
    <row r="1135" ht="15.95" customHeight="1">
      <c r="A1135" s="464" t="s">
        <v>3886</v>
      </c>
      <c r="B1135" s="464" t="s">
        <v>3887</v>
      </c>
      <c r="C1135" s="464"/>
      <c r="D1135" s="464" t="s">
        <v>1679</v>
      </c>
      <c r="E1135" s="464" t="s">
        <v>3878</v>
      </c>
      <c r="F1135" s="464" t="s">
        <v>3879</v>
      </c>
      <c r="G1135" s="464" t="s">
        <v>3525</v>
      </c>
      <c r="H1135" s="464" t="s">
        <v>1188</v>
      </c>
      <c r="I1135" s="464" t="s">
        <v>1684</v>
      </c>
    </row>
    <row r="1136" ht="15.95" customHeight="1">
      <c r="A1136" s="464" t="s">
        <v>3888</v>
      </c>
      <c r="B1136" s="464" t="s">
        <v>3889</v>
      </c>
      <c r="C1136" s="464"/>
      <c r="D1136" s="464" t="s">
        <v>1679</v>
      </c>
      <c r="E1136" s="464" t="s">
        <v>3878</v>
      </c>
      <c r="F1136" s="464" t="s">
        <v>3879</v>
      </c>
      <c r="G1136" s="464" t="s">
        <v>3525</v>
      </c>
      <c r="H1136" s="464" t="s">
        <v>1188</v>
      </c>
      <c r="I1136" s="464" t="s">
        <v>1684</v>
      </c>
    </row>
    <row r="1137" ht="15.95" customHeight="1">
      <c r="A1137" s="464" t="s">
        <v>3890</v>
      </c>
      <c r="B1137" s="464" t="s">
        <v>1217</v>
      </c>
      <c r="C1137" s="464"/>
      <c r="D1137" s="464" t="s">
        <v>1679</v>
      </c>
      <c r="E1137" s="464" t="s">
        <v>3878</v>
      </c>
      <c r="F1137" s="464" t="s">
        <v>3879</v>
      </c>
      <c r="G1137" s="464" t="s">
        <v>3525</v>
      </c>
      <c r="H1137" s="464" t="s">
        <v>1188</v>
      </c>
      <c r="I1137" s="464" t="s">
        <v>1684</v>
      </c>
    </row>
    <row r="1138" ht="15.95" customHeight="1">
      <c r="A1138" s="464" t="s">
        <v>3891</v>
      </c>
      <c r="B1138" s="464" t="s">
        <v>1209</v>
      </c>
      <c r="C1138" s="464"/>
      <c r="D1138" s="464" t="s">
        <v>1679</v>
      </c>
      <c r="E1138" s="464" t="s">
        <v>3878</v>
      </c>
      <c r="F1138" s="464" t="s">
        <v>3879</v>
      </c>
      <c r="G1138" s="464" t="s">
        <v>3525</v>
      </c>
      <c r="H1138" s="464" t="s">
        <v>1188</v>
      </c>
      <c r="I1138" s="464" t="s">
        <v>1684</v>
      </c>
    </row>
    <row r="1139" ht="15.95" customHeight="1">
      <c r="A1139" s="464" t="s">
        <v>3892</v>
      </c>
      <c r="B1139" s="464" t="s">
        <v>3893</v>
      </c>
      <c r="C1139" s="464"/>
      <c r="D1139" s="464" t="s">
        <v>1679</v>
      </c>
      <c r="E1139" s="464" t="s">
        <v>3878</v>
      </c>
      <c r="F1139" s="464" t="s">
        <v>3879</v>
      </c>
      <c r="G1139" s="464" t="s">
        <v>3525</v>
      </c>
      <c r="H1139" s="464" t="s">
        <v>1188</v>
      </c>
      <c r="I1139" s="464" t="s">
        <v>1684</v>
      </c>
    </row>
    <row r="1140" ht="15.95" customHeight="1">
      <c r="A1140" s="464" t="s">
        <v>3894</v>
      </c>
      <c r="B1140" s="464" t="s">
        <v>1258</v>
      </c>
      <c r="C1140" s="464"/>
      <c r="D1140" s="464" t="s">
        <v>1679</v>
      </c>
      <c r="E1140" s="464" t="s">
        <v>3895</v>
      </c>
      <c r="F1140" s="464" t="s">
        <v>3896</v>
      </c>
      <c r="G1140" s="464" t="s">
        <v>3525</v>
      </c>
      <c r="H1140" s="464" t="s">
        <v>1188</v>
      </c>
      <c r="I1140" s="464" t="s">
        <v>1684</v>
      </c>
    </row>
    <row r="1141" ht="15.95" customHeight="1">
      <c r="A1141" s="464" t="s">
        <v>3897</v>
      </c>
      <c r="B1141" s="464" t="s">
        <v>3898</v>
      </c>
      <c r="C1141" s="464"/>
      <c r="D1141" s="464" t="s">
        <v>1679</v>
      </c>
      <c r="E1141" s="464" t="s">
        <v>3895</v>
      </c>
      <c r="F1141" s="464" t="s">
        <v>3896</v>
      </c>
      <c r="G1141" s="464" t="s">
        <v>3525</v>
      </c>
      <c r="H1141" s="464" t="s">
        <v>1188</v>
      </c>
      <c r="I1141" s="464" t="s">
        <v>1684</v>
      </c>
    </row>
    <row r="1142" ht="15.95" customHeight="1">
      <c r="A1142" s="464" t="s">
        <v>3899</v>
      </c>
      <c r="B1142" s="464" t="s">
        <v>3900</v>
      </c>
      <c r="C1142" s="464"/>
      <c r="D1142" s="464" t="s">
        <v>1679</v>
      </c>
      <c r="E1142" s="464" t="s">
        <v>3895</v>
      </c>
      <c r="F1142" s="464" t="s">
        <v>3896</v>
      </c>
      <c r="G1142" s="464" t="s">
        <v>3525</v>
      </c>
      <c r="H1142" s="464" t="s">
        <v>1188</v>
      </c>
      <c r="I1142" s="464" t="s">
        <v>1684</v>
      </c>
    </row>
    <row r="1143" ht="15.95" customHeight="1">
      <c r="A1143" s="464" t="s">
        <v>3901</v>
      </c>
      <c r="B1143" s="464" t="s">
        <v>1254</v>
      </c>
      <c r="C1143" s="464"/>
      <c r="D1143" s="464" t="s">
        <v>1679</v>
      </c>
      <c r="E1143" s="464" t="s">
        <v>3895</v>
      </c>
      <c r="F1143" s="464" t="s">
        <v>3896</v>
      </c>
      <c r="G1143" s="464" t="s">
        <v>3525</v>
      </c>
      <c r="H1143" s="464" t="s">
        <v>1188</v>
      </c>
      <c r="I1143" s="464" t="s">
        <v>1684</v>
      </c>
    </row>
    <row r="1144" ht="15.95" customHeight="1">
      <c r="A1144" s="464" t="s">
        <v>3902</v>
      </c>
      <c r="B1144" s="464" t="s">
        <v>1256</v>
      </c>
      <c r="C1144" s="464"/>
      <c r="D1144" s="464" t="s">
        <v>1679</v>
      </c>
      <c r="E1144" s="464" t="s">
        <v>3895</v>
      </c>
      <c r="F1144" s="464" t="s">
        <v>3896</v>
      </c>
      <c r="G1144" s="464" t="s">
        <v>3525</v>
      </c>
      <c r="H1144" s="464" t="s">
        <v>1188</v>
      </c>
      <c r="I1144" s="464" t="s">
        <v>1684</v>
      </c>
    </row>
    <row r="1145" ht="15.95" customHeight="1">
      <c r="A1145" s="464" t="s">
        <v>3903</v>
      </c>
      <c r="B1145" s="464" t="s">
        <v>1255</v>
      </c>
      <c r="C1145" s="464"/>
      <c r="D1145" s="464" t="s">
        <v>1679</v>
      </c>
      <c r="E1145" s="464" t="s">
        <v>3895</v>
      </c>
      <c r="F1145" s="464" t="s">
        <v>3896</v>
      </c>
      <c r="G1145" s="464" t="s">
        <v>3525</v>
      </c>
      <c r="H1145" s="464" t="s">
        <v>1188</v>
      </c>
      <c r="I1145" s="464" t="s">
        <v>1684</v>
      </c>
    </row>
    <row r="1146" ht="15.95" customHeight="1">
      <c r="A1146" s="464" t="s">
        <v>3904</v>
      </c>
      <c r="B1146" s="464" t="s">
        <v>1259</v>
      </c>
      <c r="C1146" s="464"/>
      <c r="D1146" s="464" t="s">
        <v>1679</v>
      </c>
      <c r="E1146" s="464" t="s">
        <v>3895</v>
      </c>
      <c r="F1146" s="464" t="s">
        <v>3896</v>
      </c>
      <c r="G1146" s="464" t="s">
        <v>3525</v>
      </c>
      <c r="H1146" s="464" t="s">
        <v>1188</v>
      </c>
      <c r="I1146" s="464" t="s">
        <v>1684</v>
      </c>
    </row>
    <row r="1147" ht="15.95" customHeight="1">
      <c r="A1147" s="464" t="s">
        <v>3905</v>
      </c>
      <c r="B1147" s="464" t="s">
        <v>2428</v>
      </c>
      <c r="C1147" s="464"/>
      <c r="D1147" s="464" t="s">
        <v>1679</v>
      </c>
      <c r="E1147" s="464" t="s">
        <v>3895</v>
      </c>
      <c r="F1147" s="464" t="s">
        <v>3896</v>
      </c>
      <c r="G1147" s="464" t="s">
        <v>3525</v>
      </c>
      <c r="H1147" s="464" t="s">
        <v>1188</v>
      </c>
      <c r="I1147" s="464" t="s">
        <v>1684</v>
      </c>
    </row>
    <row r="1148" ht="15.95" customHeight="1">
      <c r="A1148" s="464" t="s">
        <v>3906</v>
      </c>
      <c r="B1148" s="464" t="s">
        <v>3031</v>
      </c>
      <c r="C1148" s="464"/>
      <c r="D1148" s="464" t="s">
        <v>1679</v>
      </c>
      <c r="E1148" s="464" t="s">
        <v>3895</v>
      </c>
      <c r="F1148" s="464" t="s">
        <v>3896</v>
      </c>
      <c r="G1148" s="464" t="s">
        <v>3525</v>
      </c>
      <c r="H1148" s="464" t="s">
        <v>1188</v>
      </c>
      <c r="I1148" s="464" t="s">
        <v>1684</v>
      </c>
    </row>
    <row r="1149" ht="15.95" customHeight="1">
      <c r="A1149" s="464" t="s">
        <v>3907</v>
      </c>
      <c r="B1149" s="464" t="s">
        <v>1260</v>
      </c>
      <c r="C1149" s="464"/>
      <c r="D1149" s="464" t="s">
        <v>1679</v>
      </c>
      <c r="E1149" s="464" t="s">
        <v>3895</v>
      </c>
      <c r="F1149" s="464" t="s">
        <v>3896</v>
      </c>
      <c r="G1149" s="464" t="s">
        <v>3525</v>
      </c>
      <c r="H1149" s="464" t="s">
        <v>1188</v>
      </c>
      <c r="I1149" s="464" t="s">
        <v>1684</v>
      </c>
    </row>
    <row r="1150" ht="15.95" customHeight="1">
      <c r="A1150" s="464" t="s">
        <v>3908</v>
      </c>
      <c r="B1150" s="464" t="s">
        <v>3909</v>
      </c>
      <c r="C1150" s="464"/>
      <c r="D1150" s="464" t="s">
        <v>1738</v>
      </c>
      <c r="E1150" s="464" t="s">
        <v>3910</v>
      </c>
      <c r="F1150" s="464" t="s">
        <v>3911</v>
      </c>
      <c r="G1150" s="464" t="s">
        <v>3525</v>
      </c>
      <c r="H1150" s="464" t="s">
        <v>1188</v>
      </c>
      <c r="I1150" s="464" t="s">
        <v>1684</v>
      </c>
    </row>
    <row r="1151" ht="15.95" customHeight="1">
      <c r="A1151" s="464" t="s">
        <v>3912</v>
      </c>
      <c r="B1151" s="464" t="s">
        <v>3913</v>
      </c>
      <c r="C1151" s="464"/>
      <c r="D1151" s="464" t="s">
        <v>1709</v>
      </c>
      <c r="E1151" s="464" t="s">
        <v>3910</v>
      </c>
      <c r="F1151" s="464" t="s">
        <v>3911</v>
      </c>
      <c r="G1151" s="464" t="s">
        <v>3525</v>
      </c>
      <c r="H1151" s="464" t="s">
        <v>1188</v>
      </c>
      <c r="I1151" s="464" t="s">
        <v>1684</v>
      </c>
    </row>
    <row r="1152" ht="15.95" customHeight="1">
      <c r="A1152" s="464" t="s">
        <v>3914</v>
      </c>
      <c r="B1152" s="464" t="s">
        <v>2528</v>
      </c>
      <c r="C1152" s="464"/>
      <c r="D1152" s="464" t="s">
        <v>1709</v>
      </c>
      <c r="E1152" s="464" t="s">
        <v>3910</v>
      </c>
      <c r="F1152" s="464" t="s">
        <v>3911</v>
      </c>
      <c r="G1152" s="464" t="s">
        <v>3525</v>
      </c>
      <c r="H1152" s="464" t="s">
        <v>1188</v>
      </c>
      <c r="I1152" s="464" t="s">
        <v>1684</v>
      </c>
    </row>
    <row r="1153" ht="15.95" customHeight="1">
      <c r="A1153" s="464" t="s">
        <v>3915</v>
      </c>
      <c r="B1153" s="464" t="s">
        <v>3916</v>
      </c>
      <c r="C1153" s="464"/>
      <c r="D1153" s="464" t="s">
        <v>1709</v>
      </c>
      <c r="E1153" s="464" t="s">
        <v>3910</v>
      </c>
      <c r="F1153" s="464" t="s">
        <v>3911</v>
      </c>
      <c r="G1153" s="464" t="s">
        <v>3525</v>
      </c>
      <c r="H1153" s="464" t="s">
        <v>1188</v>
      </c>
      <c r="I1153" s="464" t="s">
        <v>1684</v>
      </c>
    </row>
    <row r="1154" ht="15.95" customHeight="1">
      <c r="A1154" s="464" t="s">
        <v>3917</v>
      </c>
      <c r="B1154" s="464" t="s">
        <v>3918</v>
      </c>
      <c r="C1154" s="464"/>
      <c r="D1154" s="464" t="s">
        <v>1709</v>
      </c>
      <c r="E1154" s="464" t="s">
        <v>3910</v>
      </c>
      <c r="F1154" s="464" t="s">
        <v>3911</v>
      </c>
      <c r="G1154" s="464" t="s">
        <v>3525</v>
      </c>
      <c r="H1154" s="464" t="s">
        <v>1188</v>
      </c>
      <c r="I1154" s="464" t="s">
        <v>1684</v>
      </c>
    </row>
    <row r="1155" ht="15.95" customHeight="1">
      <c r="A1155" s="464" t="s">
        <v>3919</v>
      </c>
      <c r="B1155" s="464" t="s">
        <v>3920</v>
      </c>
      <c r="C1155" s="464"/>
      <c r="D1155" s="464" t="s">
        <v>1709</v>
      </c>
      <c r="E1155" s="464" t="s">
        <v>3910</v>
      </c>
      <c r="F1155" s="464" t="s">
        <v>3911</v>
      </c>
      <c r="G1155" s="464" t="s">
        <v>3525</v>
      </c>
      <c r="H1155" s="464" t="s">
        <v>1188</v>
      </c>
      <c r="I1155" s="464" t="s">
        <v>1684</v>
      </c>
    </row>
    <row r="1156" ht="15.95" customHeight="1">
      <c r="A1156" s="464" t="s">
        <v>3921</v>
      </c>
      <c r="B1156" s="464" t="s">
        <v>3922</v>
      </c>
      <c r="C1156" s="464"/>
      <c r="D1156" s="464" t="s">
        <v>1709</v>
      </c>
      <c r="E1156" s="464" t="s">
        <v>3910</v>
      </c>
      <c r="F1156" s="464" t="s">
        <v>3911</v>
      </c>
      <c r="G1156" s="464" t="s">
        <v>3525</v>
      </c>
      <c r="H1156" s="464" t="s">
        <v>1188</v>
      </c>
      <c r="I1156" s="464" t="s">
        <v>1684</v>
      </c>
    </row>
    <row r="1157" ht="15.95" customHeight="1">
      <c r="A1157" s="464" t="s">
        <v>3923</v>
      </c>
      <c r="B1157" s="464" t="s">
        <v>3924</v>
      </c>
      <c r="C1157" s="464"/>
      <c r="D1157" s="464" t="s">
        <v>1709</v>
      </c>
      <c r="E1157" s="464" t="s">
        <v>3910</v>
      </c>
      <c r="F1157" s="464" t="s">
        <v>3911</v>
      </c>
      <c r="G1157" s="464" t="s">
        <v>3525</v>
      </c>
      <c r="H1157" s="464" t="s">
        <v>1188</v>
      </c>
      <c r="I1157" s="464" t="s">
        <v>1684</v>
      </c>
    </row>
    <row r="1158" ht="15.95" customHeight="1">
      <c r="A1158" s="464" t="s">
        <v>3925</v>
      </c>
      <c r="B1158" s="464" t="s">
        <v>3926</v>
      </c>
      <c r="C1158" s="464"/>
      <c r="D1158" s="464" t="s">
        <v>1709</v>
      </c>
      <c r="E1158" s="464" t="s">
        <v>3910</v>
      </c>
      <c r="F1158" s="464" t="s">
        <v>3911</v>
      </c>
      <c r="G1158" s="464" t="s">
        <v>3525</v>
      </c>
      <c r="H1158" s="464" t="s">
        <v>1188</v>
      </c>
      <c r="I1158" s="464" t="s">
        <v>1684</v>
      </c>
    </row>
    <row r="1159" ht="15.95" customHeight="1">
      <c r="A1159" s="464" t="s">
        <v>3927</v>
      </c>
      <c r="B1159" s="464" t="s">
        <v>3928</v>
      </c>
      <c r="C1159" s="464"/>
      <c r="D1159" s="464" t="s">
        <v>1709</v>
      </c>
      <c r="E1159" s="464" t="s">
        <v>3910</v>
      </c>
      <c r="F1159" s="464" t="s">
        <v>3911</v>
      </c>
      <c r="G1159" s="464" t="s">
        <v>3525</v>
      </c>
      <c r="H1159" s="464" t="s">
        <v>1188</v>
      </c>
      <c r="I1159" s="464" t="s">
        <v>1684</v>
      </c>
    </row>
    <row r="1160" ht="15.95" customHeight="1">
      <c r="A1160" s="464" t="s">
        <v>3929</v>
      </c>
      <c r="B1160" s="464" t="s">
        <v>2782</v>
      </c>
      <c r="C1160" s="464"/>
      <c r="D1160" s="464" t="s">
        <v>1709</v>
      </c>
      <c r="E1160" s="464" t="s">
        <v>3910</v>
      </c>
      <c r="F1160" s="464" t="s">
        <v>3911</v>
      </c>
      <c r="G1160" s="464" t="s">
        <v>3525</v>
      </c>
      <c r="H1160" s="464" t="s">
        <v>1188</v>
      </c>
      <c r="I1160" s="464" t="s">
        <v>1684</v>
      </c>
    </row>
    <row r="1161" ht="15.95" customHeight="1">
      <c r="A1161" s="464" t="s">
        <v>3930</v>
      </c>
      <c r="B1161" s="464" t="s">
        <v>3931</v>
      </c>
      <c r="C1161" s="464"/>
      <c r="D1161" s="464" t="s">
        <v>1709</v>
      </c>
      <c r="E1161" s="464" t="s">
        <v>3910</v>
      </c>
      <c r="F1161" s="464" t="s">
        <v>3911</v>
      </c>
      <c r="G1161" s="464" t="s">
        <v>3525</v>
      </c>
      <c r="H1161" s="464" t="s">
        <v>1188</v>
      </c>
      <c r="I1161" s="464" t="s">
        <v>1684</v>
      </c>
    </row>
    <row r="1162" ht="15.95" customHeight="1">
      <c r="A1162" s="464" t="s">
        <v>3932</v>
      </c>
      <c r="B1162" s="464" t="s">
        <v>3933</v>
      </c>
      <c r="C1162" s="464"/>
      <c r="D1162" s="464" t="s">
        <v>1709</v>
      </c>
      <c r="E1162" s="464" t="s">
        <v>3910</v>
      </c>
      <c r="F1162" s="464" t="s">
        <v>3911</v>
      </c>
      <c r="G1162" s="464" t="s">
        <v>3525</v>
      </c>
      <c r="H1162" s="464" t="s">
        <v>1188</v>
      </c>
      <c r="I1162" s="464" t="s">
        <v>1684</v>
      </c>
    </row>
    <row r="1163" ht="15.95" customHeight="1">
      <c r="A1163" s="464" t="s">
        <v>3934</v>
      </c>
      <c r="B1163" s="464" t="s">
        <v>3935</v>
      </c>
      <c r="C1163" s="464"/>
      <c r="D1163" s="464" t="s">
        <v>1709</v>
      </c>
      <c r="E1163" s="464" t="s">
        <v>3910</v>
      </c>
      <c r="F1163" s="464" t="s">
        <v>3911</v>
      </c>
      <c r="G1163" s="464" t="s">
        <v>3525</v>
      </c>
      <c r="H1163" s="464" t="s">
        <v>1188</v>
      </c>
      <c r="I1163" s="464" t="s">
        <v>1684</v>
      </c>
    </row>
    <row r="1164" ht="15.95" customHeight="1">
      <c r="A1164" s="464" t="s">
        <v>3936</v>
      </c>
      <c r="B1164" s="464" t="s">
        <v>3937</v>
      </c>
      <c r="C1164" s="464"/>
      <c r="D1164" s="464" t="s">
        <v>1709</v>
      </c>
      <c r="E1164" s="464" t="s">
        <v>3910</v>
      </c>
      <c r="F1164" s="464" t="s">
        <v>3911</v>
      </c>
      <c r="G1164" s="464" t="s">
        <v>3525</v>
      </c>
      <c r="H1164" s="464" t="s">
        <v>1188</v>
      </c>
      <c r="I1164" s="464" t="s">
        <v>1684</v>
      </c>
    </row>
    <row r="1165" ht="15.95" customHeight="1">
      <c r="A1165" s="464" t="s">
        <v>3938</v>
      </c>
      <c r="B1165" s="464" t="s">
        <v>3939</v>
      </c>
      <c r="C1165" s="464"/>
      <c r="D1165" s="464" t="s">
        <v>1709</v>
      </c>
      <c r="E1165" s="464" t="s">
        <v>3910</v>
      </c>
      <c r="F1165" s="464" t="s">
        <v>3911</v>
      </c>
      <c r="G1165" s="464" t="s">
        <v>3525</v>
      </c>
      <c r="H1165" s="464" t="s">
        <v>1188</v>
      </c>
      <c r="I1165" s="464" t="s">
        <v>1684</v>
      </c>
    </row>
    <row r="1166" ht="15.95" customHeight="1">
      <c r="A1166" s="464" t="s">
        <v>3940</v>
      </c>
      <c r="B1166" s="464" t="s">
        <v>1910</v>
      </c>
      <c r="C1166" s="464"/>
      <c r="D1166" s="464" t="s">
        <v>1709</v>
      </c>
      <c r="E1166" s="464" t="s">
        <v>3910</v>
      </c>
      <c r="F1166" s="464" t="s">
        <v>3911</v>
      </c>
      <c r="G1166" s="464" t="s">
        <v>3525</v>
      </c>
      <c r="H1166" s="464" t="s">
        <v>1188</v>
      </c>
      <c r="I1166" s="464" t="s">
        <v>1684</v>
      </c>
    </row>
    <row r="1167" ht="15.95" customHeight="1">
      <c r="A1167" s="464" t="s">
        <v>3941</v>
      </c>
      <c r="B1167" s="464" t="s">
        <v>3942</v>
      </c>
      <c r="C1167" s="464"/>
      <c r="D1167" s="464" t="s">
        <v>1709</v>
      </c>
      <c r="E1167" s="464" t="s">
        <v>3910</v>
      </c>
      <c r="F1167" s="464" t="s">
        <v>3911</v>
      </c>
      <c r="G1167" s="464" t="s">
        <v>3525</v>
      </c>
      <c r="H1167" s="464" t="s">
        <v>1188</v>
      </c>
      <c r="I1167" s="464" t="s">
        <v>1684</v>
      </c>
    </row>
    <row r="1168" ht="15.95" customHeight="1">
      <c r="A1168" s="464" t="s">
        <v>3943</v>
      </c>
      <c r="B1168" s="464" t="s">
        <v>3008</v>
      </c>
      <c r="C1168" s="464"/>
      <c r="D1168" s="464" t="s">
        <v>1709</v>
      </c>
      <c r="E1168" s="464" t="s">
        <v>3910</v>
      </c>
      <c r="F1168" s="464" t="s">
        <v>3911</v>
      </c>
      <c r="G1168" s="464" t="s">
        <v>3525</v>
      </c>
      <c r="H1168" s="464" t="s">
        <v>1188</v>
      </c>
      <c r="I1168" s="464" t="s">
        <v>1684</v>
      </c>
    </row>
    <row r="1169" ht="15.95" customHeight="1">
      <c r="A1169" s="464" t="s">
        <v>3944</v>
      </c>
      <c r="B1169" s="464" t="s">
        <v>3945</v>
      </c>
      <c r="C1169" s="464"/>
      <c r="D1169" s="464" t="s">
        <v>1709</v>
      </c>
      <c r="E1169" s="464" t="s">
        <v>3910</v>
      </c>
      <c r="F1169" s="464" t="s">
        <v>3911</v>
      </c>
      <c r="G1169" s="464" t="s">
        <v>3525</v>
      </c>
      <c r="H1169" s="464" t="s">
        <v>1188</v>
      </c>
      <c r="I1169" s="464" t="s">
        <v>1684</v>
      </c>
    </row>
    <row r="1170" ht="15.95" customHeight="1">
      <c r="A1170" s="464" t="s">
        <v>3946</v>
      </c>
      <c r="B1170" s="464" t="s">
        <v>3947</v>
      </c>
      <c r="C1170" s="464"/>
      <c r="D1170" s="464" t="s">
        <v>1709</v>
      </c>
      <c r="E1170" s="464" t="s">
        <v>3910</v>
      </c>
      <c r="F1170" s="464" t="s">
        <v>3911</v>
      </c>
      <c r="G1170" s="464" t="s">
        <v>3525</v>
      </c>
      <c r="H1170" s="464" t="s">
        <v>1188</v>
      </c>
      <c r="I1170" s="464" t="s">
        <v>1684</v>
      </c>
    </row>
    <row r="1171" ht="15.95" customHeight="1">
      <c r="A1171" s="464" t="s">
        <v>3948</v>
      </c>
      <c r="B1171" s="464" t="s">
        <v>3949</v>
      </c>
      <c r="C1171" s="464"/>
      <c r="D1171" s="464" t="s">
        <v>1738</v>
      </c>
      <c r="E1171" s="464" t="s">
        <v>3950</v>
      </c>
      <c r="F1171" s="464" t="s">
        <v>3951</v>
      </c>
      <c r="G1171" s="464" t="s">
        <v>3525</v>
      </c>
      <c r="H1171" s="464" t="s">
        <v>1188</v>
      </c>
      <c r="I1171" s="464" t="s">
        <v>1684</v>
      </c>
    </row>
    <row r="1172" ht="15.95" customHeight="1">
      <c r="A1172" s="464" t="s">
        <v>3952</v>
      </c>
      <c r="B1172" s="464" t="s">
        <v>2546</v>
      </c>
      <c r="C1172" s="464"/>
      <c r="D1172" s="464" t="s">
        <v>1709</v>
      </c>
      <c r="E1172" s="464" t="s">
        <v>3950</v>
      </c>
      <c r="F1172" s="464" t="s">
        <v>3951</v>
      </c>
      <c r="G1172" s="464" t="s">
        <v>3525</v>
      </c>
      <c r="H1172" s="464" t="s">
        <v>1188</v>
      </c>
      <c r="I1172" s="464" t="s">
        <v>1684</v>
      </c>
    </row>
    <row r="1173" ht="15.95" customHeight="1">
      <c r="A1173" s="464" t="s">
        <v>3953</v>
      </c>
      <c r="B1173" s="464" t="s">
        <v>3954</v>
      </c>
      <c r="C1173" s="464"/>
      <c r="D1173" s="464" t="s">
        <v>1709</v>
      </c>
      <c r="E1173" s="464" t="s">
        <v>3950</v>
      </c>
      <c r="F1173" s="464" t="s">
        <v>3951</v>
      </c>
      <c r="G1173" s="464" t="s">
        <v>3525</v>
      </c>
      <c r="H1173" s="464" t="s">
        <v>1188</v>
      </c>
      <c r="I1173" s="464" t="s">
        <v>1684</v>
      </c>
    </row>
    <row r="1174" ht="15.95" customHeight="1">
      <c r="A1174" s="464" t="s">
        <v>3955</v>
      </c>
      <c r="B1174" s="464" t="s">
        <v>3956</v>
      </c>
      <c r="C1174" s="464"/>
      <c r="D1174" s="464" t="s">
        <v>1709</v>
      </c>
      <c r="E1174" s="464" t="s">
        <v>3950</v>
      </c>
      <c r="F1174" s="464" t="s">
        <v>3951</v>
      </c>
      <c r="G1174" s="464" t="s">
        <v>3525</v>
      </c>
      <c r="H1174" s="464" t="s">
        <v>1188</v>
      </c>
      <c r="I1174" s="464" t="s">
        <v>1684</v>
      </c>
    </row>
    <row r="1175" ht="15.95" customHeight="1">
      <c r="A1175" s="464" t="s">
        <v>3957</v>
      </c>
      <c r="B1175" s="464" t="s">
        <v>3958</v>
      </c>
      <c r="C1175" s="464"/>
      <c r="D1175" s="464" t="s">
        <v>1709</v>
      </c>
      <c r="E1175" s="464" t="s">
        <v>3950</v>
      </c>
      <c r="F1175" s="464" t="s">
        <v>3951</v>
      </c>
      <c r="G1175" s="464" t="s">
        <v>3525</v>
      </c>
      <c r="H1175" s="464" t="s">
        <v>1188</v>
      </c>
      <c r="I1175" s="464" t="s">
        <v>1684</v>
      </c>
    </row>
    <row r="1176" ht="15.95" customHeight="1">
      <c r="A1176" s="464" t="s">
        <v>3959</v>
      </c>
      <c r="B1176" s="464" t="s">
        <v>3960</v>
      </c>
      <c r="C1176" s="464"/>
      <c r="D1176" s="464" t="s">
        <v>1709</v>
      </c>
      <c r="E1176" s="464" t="s">
        <v>3950</v>
      </c>
      <c r="F1176" s="464" t="s">
        <v>3951</v>
      </c>
      <c r="G1176" s="464" t="s">
        <v>3525</v>
      </c>
      <c r="H1176" s="464" t="s">
        <v>1188</v>
      </c>
      <c r="I1176" s="464" t="s">
        <v>1684</v>
      </c>
    </row>
    <row r="1177" ht="15.95" customHeight="1">
      <c r="A1177" s="464" t="s">
        <v>3961</v>
      </c>
      <c r="B1177" s="464" t="s">
        <v>3962</v>
      </c>
      <c r="C1177" s="464"/>
      <c r="D1177" s="464" t="s">
        <v>1709</v>
      </c>
      <c r="E1177" s="464" t="s">
        <v>3950</v>
      </c>
      <c r="F1177" s="464" t="s">
        <v>3951</v>
      </c>
      <c r="G1177" s="464" t="s">
        <v>3525</v>
      </c>
      <c r="H1177" s="464" t="s">
        <v>1188</v>
      </c>
      <c r="I1177" s="464" t="s">
        <v>1684</v>
      </c>
    </row>
    <row r="1178" ht="15.95" customHeight="1">
      <c r="A1178" s="464" t="s">
        <v>3963</v>
      </c>
      <c r="B1178" s="464" t="s">
        <v>2089</v>
      </c>
      <c r="C1178" s="464"/>
      <c r="D1178" s="464" t="s">
        <v>1709</v>
      </c>
      <c r="E1178" s="464" t="s">
        <v>3950</v>
      </c>
      <c r="F1178" s="464" t="s">
        <v>3951</v>
      </c>
      <c r="G1178" s="464" t="s">
        <v>3525</v>
      </c>
      <c r="H1178" s="464" t="s">
        <v>1188</v>
      </c>
      <c r="I1178" s="464" t="s">
        <v>1684</v>
      </c>
    </row>
    <row r="1179" ht="15.95" customHeight="1">
      <c r="A1179" s="464" t="s">
        <v>3964</v>
      </c>
      <c r="B1179" s="464" t="s">
        <v>3965</v>
      </c>
      <c r="C1179" s="464"/>
      <c r="D1179" s="464" t="s">
        <v>1709</v>
      </c>
      <c r="E1179" s="464" t="s">
        <v>3950</v>
      </c>
      <c r="F1179" s="464" t="s">
        <v>3951</v>
      </c>
      <c r="G1179" s="464" t="s">
        <v>3525</v>
      </c>
      <c r="H1179" s="464" t="s">
        <v>1188</v>
      </c>
      <c r="I1179" s="464" t="s">
        <v>1684</v>
      </c>
    </row>
    <row r="1180" ht="15.95" customHeight="1">
      <c r="A1180" s="464" t="s">
        <v>3966</v>
      </c>
      <c r="B1180" s="464" t="s">
        <v>3967</v>
      </c>
      <c r="C1180" s="464"/>
      <c r="D1180" s="464" t="s">
        <v>1709</v>
      </c>
      <c r="E1180" s="464" t="s">
        <v>3950</v>
      </c>
      <c r="F1180" s="464" t="s">
        <v>3951</v>
      </c>
      <c r="G1180" s="464" t="s">
        <v>3525</v>
      </c>
      <c r="H1180" s="464" t="s">
        <v>1188</v>
      </c>
      <c r="I1180" s="464" t="s">
        <v>1684</v>
      </c>
    </row>
    <row r="1181" ht="15.95" customHeight="1">
      <c r="A1181" s="464" t="s">
        <v>3968</v>
      </c>
      <c r="B1181" s="464" t="s">
        <v>3969</v>
      </c>
      <c r="C1181" s="464"/>
      <c r="D1181" s="464" t="s">
        <v>1709</v>
      </c>
      <c r="E1181" s="464" t="s">
        <v>3950</v>
      </c>
      <c r="F1181" s="464" t="s">
        <v>3951</v>
      </c>
      <c r="G1181" s="464" t="s">
        <v>3525</v>
      </c>
      <c r="H1181" s="464" t="s">
        <v>1188</v>
      </c>
      <c r="I1181" s="464" t="s">
        <v>1684</v>
      </c>
    </row>
    <row r="1182" ht="15.95" customHeight="1">
      <c r="A1182" s="464" t="s">
        <v>3970</v>
      </c>
      <c r="B1182" s="464" t="s">
        <v>3971</v>
      </c>
      <c r="C1182" s="464"/>
      <c r="D1182" s="464" t="s">
        <v>1709</v>
      </c>
      <c r="E1182" s="464" t="s">
        <v>3950</v>
      </c>
      <c r="F1182" s="464" t="s">
        <v>3951</v>
      </c>
      <c r="G1182" s="464" t="s">
        <v>3525</v>
      </c>
      <c r="H1182" s="464" t="s">
        <v>1188</v>
      </c>
      <c r="I1182" s="464" t="s">
        <v>1684</v>
      </c>
    </row>
    <row r="1183" ht="15.95" customHeight="1">
      <c r="A1183" s="464" t="s">
        <v>3972</v>
      </c>
      <c r="B1183" s="464" t="s">
        <v>3973</v>
      </c>
      <c r="C1183" s="464"/>
      <c r="D1183" s="464" t="s">
        <v>1738</v>
      </c>
      <c r="E1183" s="464" t="s">
        <v>3974</v>
      </c>
      <c r="F1183" s="464" t="s">
        <v>3975</v>
      </c>
      <c r="G1183" s="464" t="s">
        <v>3525</v>
      </c>
      <c r="H1183" s="464" t="s">
        <v>1188</v>
      </c>
      <c r="I1183" s="464" t="s">
        <v>1684</v>
      </c>
    </row>
    <row r="1184" ht="15.95" customHeight="1">
      <c r="A1184" s="464" t="s">
        <v>3976</v>
      </c>
      <c r="B1184" s="464" t="s">
        <v>3977</v>
      </c>
      <c r="C1184" s="464"/>
      <c r="D1184" s="464" t="s">
        <v>1709</v>
      </c>
      <c r="E1184" s="464" t="s">
        <v>3974</v>
      </c>
      <c r="F1184" s="464" t="s">
        <v>3975</v>
      </c>
      <c r="G1184" s="464" t="s">
        <v>3525</v>
      </c>
      <c r="H1184" s="464" t="s">
        <v>1188</v>
      </c>
      <c r="I1184" s="464" t="s">
        <v>1684</v>
      </c>
    </row>
    <row r="1185" ht="15.95" customHeight="1">
      <c r="A1185" s="464" t="s">
        <v>3978</v>
      </c>
      <c r="B1185" s="464" t="s">
        <v>3979</v>
      </c>
      <c r="C1185" s="464"/>
      <c r="D1185" s="464" t="s">
        <v>1709</v>
      </c>
      <c r="E1185" s="464" t="s">
        <v>3974</v>
      </c>
      <c r="F1185" s="464" t="s">
        <v>3975</v>
      </c>
      <c r="G1185" s="464" t="s">
        <v>3525</v>
      </c>
      <c r="H1185" s="464" t="s">
        <v>1188</v>
      </c>
      <c r="I1185" s="464" t="s">
        <v>1684</v>
      </c>
    </row>
    <row r="1186" ht="15.95" customHeight="1">
      <c r="A1186" s="464" t="s">
        <v>3980</v>
      </c>
      <c r="B1186" s="464" t="s">
        <v>3981</v>
      </c>
      <c r="C1186" s="464"/>
      <c r="D1186" s="464" t="s">
        <v>1709</v>
      </c>
      <c r="E1186" s="464" t="s">
        <v>3974</v>
      </c>
      <c r="F1186" s="464" t="s">
        <v>3975</v>
      </c>
      <c r="G1186" s="464" t="s">
        <v>3525</v>
      </c>
      <c r="H1186" s="464" t="s">
        <v>1188</v>
      </c>
      <c r="I1186" s="464" t="s">
        <v>1684</v>
      </c>
    </row>
    <row r="1187" ht="15.95" customHeight="1">
      <c r="A1187" s="464" t="s">
        <v>3982</v>
      </c>
      <c r="B1187" s="464" t="s">
        <v>3160</v>
      </c>
      <c r="C1187" s="464"/>
      <c r="D1187" s="464" t="s">
        <v>1709</v>
      </c>
      <c r="E1187" s="464" t="s">
        <v>3974</v>
      </c>
      <c r="F1187" s="464" t="s">
        <v>3975</v>
      </c>
      <c r="G1187" s="464" t="s">
        <v>3525</v>
      </c>
      <c r="H1187" s="464" t="s">
        <v>1188</v>
      </c>
      <c r="I1187" s="464" t="s">
        <v>1684</v>
      </c>
    </row>
    <row r="1188" ht="15.95" customHeight="1">
      <c r="A1188" s="464" t="s">
        <v>3983</v>
      </c>
      <c r="B1188" s="464" t="s">
        <v>3984</v>
      </c>
      <c r="C1188" s="464"/>
      <c r="D1188" s="464" t="s">
        <v>1709</v>
      </c>
      <c r="E1188" s="464" t="s">
        <v>3974</v>
      </c>
      <c r="F1188" s="464" t="s">
        <v>3975</v>
      </c>
      <c r="G1188" s="464" t="s">
        <v>3525</v>
      </c>
      <c r="H1188" s="464" t="s">
        <v>1188</v>
      </c>
      <c r="I1188" s="464" t="s">
        <v>1684</v>
      </c>
    </row>
    <row r="1189" ht="15.95" customHeight="1">
      <c r="A1189" s="464" t="s">
        <v>3985</v>
      </c>
      <c r="B1189" s="464" t="s">
        <v>3986</v>
      </c>
      <c r="C1189" s="464"/>
      <c r="D1189" s="464" t="s">
        <v>1709</v>
      </c>
      <c r="E1189" s="464" t="s">
        <v>3974</v>
      </c>
      <c r="F1189" s="464" t="s">
        <v>3975</v>
      </c>
      <c r="G1189" s="464" t="s">
        <v>3525</v>
      </c>
      <c r="H1189" s="464" t="s">
        <v>1188</v>
      </c>
      <c r="I1189" s="464" t="s">
        <v>1684</v>
      </c>
    </row>
    <row r="1190" ht="15.95" customHeight="1">
      <c r="A1190" s="464" t="s">
        <v>3987</v>
      </c>
      <c r="B1190" s="464" t="s">
        <v>3988</v>
      </c>
      <c r="C1190" s="464"/>
      <c r="D1190" s="464" t="s">
        <v>1709</v>
      </c>
      <c r="E1190" s="464" t="s">
        <v>3974</v>
      </c>
      <c r="F1190" s="464" t="s">
        <v>3975</v>
      </c>
      <c r="G1190" s="464" t="s">
        <v>3525</v>
      </c>
      <c r="H1190" s="464" t="s">
        <v>1188</v>
      </c>
      <c r="I1190" s="464" t="s">
        <v>1684</v>
      </c>
    </row>
    <row r="1191" ht="15.95" customHeight="1">
      <c r="A1191" s="464" t="s">
        <v>3989</v>
      </c>
      <c r="B1191" s="464" t="s">
        <v>3990</v>
      </c>
      <c r="C1191" s="464"/>
      <c r="D1191" s="464" t="s">
        <v>1709</v>
      </c>
      <c r="E1191" s="464" t="s">
        <v>3974</v>
      </c>
      <c r="F1191" s="464" t="s">
        <v>3975</v>
      </c>
      <c r="G1191" s="464" t="s">
        <v>3525</v>
      </c>
      <c r="H1191" s="464" t="s">
        <v>1188</v>
      </c>
      <c r="I1191" s="464" t="s">
        <v>1684</v>
      </c>
    </row>
    <row r="1192" ht="15.95" customHeight="1">
      <c r="A1192" s="464" t="s">
        <v>3991</v>
      </c>
      <c r="B1192" s="464" t="s">
        <v>1894</v>
      </c>
      <c r="C1192" s="464"/>
      <c r="D1192" s="464" t="s">
        <v>1709</v>
      </c>
      <c r="E1192" s="464" t="s">
        <v>3974</v>
      </c>
      <c r="F1192" s="464" t="s">
        <v>3975</v>
      </c>
      <c r="G1192" s="464" t="s">
        <v>3525</v>
      </c>
      <c r="H1192" s="464" t="s">
        <v>1188</v>
      </c>
      <c r="I1192" s="464" t="s">
        <v>1684</v>
      </c>
    </row>
    <row r="1193" ht="15.95" customHeight="1">
      <c r="A1193" s="464" t="s">
        <v>3992</v>
      </c>
      <c r="B1193" s="464" t="s">
        <v>3993</v>
      </c>
      <c r="C1193" s="464"/>
      <c r="D1193" s="464" t="s">
        <v>1709</v>
      </c>
      <c r="E1193" s="464" t="s">
        <v>3974</v>
      </c>
      <c r="F1193" s="464" t="s">
        <v>3975</v>
      </c>
      <c r="G1193" s="464" t="s">
        <v>3525</v>
      </c>
      <c r="H1193" s="464" t="s">
        <v>1188</v>
      </c>
      <c r="I1193" s="464" t="s">
        <v>1684</v>
      </c>
    </row>
    <row r="1194" ht="15.95" customHeight="1">
      <c r="A1194" s="464" t="s">
        <v>3994</v>
      </c>
      <c r="B1194" s="464" t="s">
        <v>3995</v>
      </c>
      <c r="C1194" s="464"/>
      <c r="D1194" s="464" t="s">
        <v>1709</v>
      </c>
      <c r="E1194" s="464" t="s">
        <v>3974</v>
      </c>
      <c r="F1194" s="464" t="s">
        <v>3975</v>
      </c>
      <c r="G1194" s="464" t="s">
        <v>3525</v>
      </c>
      <c r="H1194" s="464" t="s">
        <v>1188</v>
      </c>
      <c r="I1194" s="464" t="s">
        <v>1684</v>
      </c>
    </row>
    <row r="1195" ht="15.95" customHeight="1">
      <c r="A1195" s="464" t="s">
        <v>3996</v>
      </c>
      <c r="B1195" s="464" t="s">
        <v>3997</v>
      </c>
      <c r="C1195" s="464"/>
      <c r="D1195" s="464" t="s">
        <v>1709</v>
      </c>
      <c r="E1195" s="464" t="s">
        <v>3974</v>
      </c>
      <c r="F1195" s="464" t="s">
        <v>3975</v>
      </c>
      <c r="G1195" s="464" t="s">
        <v>3525</v>
      </c>
      <c r="H1195" s="464" t="s">
        <v>1188</v>
      </c>
      <c r="I1195" s="464" t="s">
        <v>1684</v>
      </c>
    </row>
    <row r="1196" ht="15.95" customHeight="1">
      <c r="A1196" s="464" t="s">
        <v>3998</v>
      </c>
      <c r="B1196" s="464" t="s">
        <v>3999</v>
      </c>
      <c r="C1196" s="464"/>
      <c r="D1196" s="464" t="s">
        <v>1709</v>
      </c>
      <c r="E1196" s="464" t="s">
        <v>3974</v>
      </c>
      <c r="F1196" s="464" t="s">
        <v>3975</v>
      </c>
      <c r="G1196" s="464" t="s">
        <v>3525</v>
      </c>
      <c r="H1196" s="464" t="s">
        <v>1188</v>
      </c>
      <c r="I1196" s="464" t="s">
        <v>1684</v>
      </c>
    </row>
    <row r="1197" ht="15.95" customHeight="1">
      <c r="A1197" s="464" t="s">
        <v>4000</v>
      </c>
      <c r="B1197" s="464" t="s">
        <v>4001</v>
      </c>
      <c r="C1197" s="464"/>
      <c r="D1197" s="464" t="s">
        <v>1709</v>
      </c>
      <c r="E1197" s="464" t="s">
        <v>3974</v>
      </c>
      <c r="F1197" s="464" t="s">
        <v>3975</v>
      </c>
      <c r="G1197" s="464" t="s">
        <v>3525</v>
      </c>
      <c r="H1197" s="464" t="s">
        <v>1188</v>
      </c>
      <c r="I1197" s="464" t="s">
        <v>1684</v>
      </c>
    </row>
    <row r="1198" ht="15.95" customHeight="1">
      <c r="A1198" s="464" t="s">
        <v>4002</v>
      </c>
      <c r="B1198" s="464" t="s">
        <v>4003</v>
      </c>
      <c r="C1198" s="464"/>
      <c r="D1198" s="464" t="s">
        <v>1709</v>
      </c>
      <c r="E1198" s="464" t="s">
        <v>3974</v>
      </c>
      <c r="F1198" s="464" t="s">
        <v>3975</v>
      </c>
      <c r="G1198" s="464" t="s">
        <v>3525</v>
      </c>
      <c r="H1198" s="464" t="s">
        <v>1188</v>
      </c>
      <c r="I1198" s="464" t="s">
        <v>1684</v>
      </c>
    </row>
    <row r="1199" ht="15.95" customHeight="1">
      <c r="A1199" s="464" t="s">
        <v>4004</v>
      </c>
      <c r="B1199" s="464" t="s">
        <v>4005</v>
      </c>
      <c r="C1199" s="464"/>
      <c r="D1199" s="464" t="s">
        <v>1738</v>
      </c>
      <c r="E1199" s="464" t="s">
        <v>4006</v>
      </c>
      <c r="F1199" s="464" t="s">
        <v>4007</v>
      </c>
      <c r="G1199" s="464" t="s">
        <v>3525</v>
      </c>
      <c r="H1199" s="464" t="s">
        <v>1188</v>
      </c>
      <c r="I1199" s="464" t="s">
        <v>1684</v>
      </c>
    </row>
    <row r="1200" ht="15.95" customHeight="1">
      <c r="A1200" s="464" t="s">
        <v>4008</v>
      </c>
      <c r="B1200" s="464" t="s">
        <v>4009</v>
      </c>
      <c r="C1200" s="464"/>
      <c r="D1200" s="464" t="s">
        <v>1709</v>
      </c>
      <c r="E1200" s="464" t="s">
        <v>4006</v>
      </c>
      <c r="F1200" s="464" t="s">
        <v>4007</v>
      </c>
      <c r="G1200" s="464" t="s">
        <v>3525</v>
      </c>
      <c r="H1200" s="464" t="s">
        <v>1188</v>
      </c>
      <c r="I1200" s="464" t="s">
        <v>1684</v>
      </c>
    </row>
    <row r="1201" ht="15.95" customHeight="1">
      <c r="A1201" s="464" t="s">
        <v>4010</v>
      </c>
      <c r="B1201" s="464" t="s">
        <v>2360</v>
      </c>
      <c r="C1201" s="464"/>
      <c r="D1201" s="464" t="s">
        <v>1709</v>
      </c>
      <c r="E1201" s="464" t="s">
        <v>4006</v>
      </c>
      <c r="F1201" s="464" t="s">
        <v>4007</v>
      </c>
      <c r="G1201" s="464" t="s">
        <v>3525</v>
      </c>
      <c r="H1201" s="464" t="s">
        <v>1188</v>
      </c>
      <c r="I1201" s="464" t="s">
        <v>1684</v>
      </c>
    </row>
    <row r="1202" ht="15.95" customHeight="1">
      <c r="A1202" s="464" t="s">
        <v>4011</v>
      </c>
      <c r="B1202" s="464" t="s">
        <v>4012</v>
      </c>
      <c r="C1202" s="464"/>
      <c r="D1202" s="464" t="s">
        <v>1709</v>
      </c>
      <c r="E1202" s="464" t="s">
        <v>4006</v>
      </c>
      <c r="F1202" s="464" t="s">
        <v>4007</v>
      </c>
      <c r="G1202" s="464" t="s">
        <v>3525</v>
      </c>
      <c r="H1202" s="464" t="s">
        <v>1188</v>
      </c>
      <c r="I1202" s="464" t="s">
        <v>1684</v>
      </c>
    </row>
    <row r="1203" ht="15.95" customHeight="1">
      <c r="A1203" s="464" t="s">
        <v>4013</v>
      </c>
      <c r="B1203" s="464" t="s">
        <v>3135</v>
      </c>
      <c r="C1203" s="464"/>
      <c r="D1203" s="464" t="s">
        <v>1709</v>
      </c>
      <c r="E1203" s="464" t="s">
        <v>4006</v>
      </c>
      <c r="F1203" s="464" t="s">
        <v>4007</v>
      </c>
      <c r="G1203" s="464" t="s">
        <v>3525</v>
      </c>
      <c r="H1203" s="464" t="s">
        <v>1188</v>
      </c>
      <c r="I1203" s="464" t="s">
        <v>1684</v>
      </c>
    </row>
    <row r="1204" ht="15.95" customHeight="1">
      <c r="A1204" s="464" t="s">
        <v>4014</v>
      </c>
      <c r="B1204" s="464" t="s">
        <v>4015</v>
      </c>
      <c r="C1204" s="464"/>
      <c r="D1204" s="464" t="s">
        <v>1709</v>
      </c>
      <c r="E1204" s="464" t="s">
        <v>4006</v>
      </c>
      <c r="F1204" s="464" t="s">
        <v>4007</v>
      </c>
      <c r="G1204" s="464" t="s">
        <v>3525</v>
      </c>
      <c r="H1204" s="464" t="s">
        <v>1188</v>
      </c>
      <c r="I1204" s="464" t="s">
        <v>1684</v>
      </c>
    </row>
    <row r="1205" ht="15.95" customHeight="1">
      <c r="A1205" s="464" t="s">
        <v>4016</v>
      </c>
      <c r="B1205" s="464" t="s">
        <v>3346</v>
      </c>
      <c r="C1205" s="464"/>
      <c r="D1205" s="464" t="s">
        <v>1709</v>
      </c>
      <c r="E1205" s="464" t="s">
        <v>4006</v>
      </c>
      <c r="F1205" s="464" t="s">
        <v>4007</v>
      </c>
      <c r="G1205" s="464" t="s">
        <v>3525</v>
      </c>
      <c r="H1205" s="464" t="s">
        <v>1188</v>
      </c>
      <c r="I1205" s="464" t="s">
        <v>1684</v>
      </c>
    </row>
    <row r="1206" ht="15.95" customHeight="1">
      <c r="A1206" s="464" t="s">
        <v>4017</v>
      </c>
      <c r="B1206" s="464" t="s">
        <v>4018</v>
      </c>
      <c r="C1206" s="464"/>
      <c r="D1206" s="464" t="s">
        <v>1738</v>
      </c>
      <c r="E1206" s="464" t="s">
        <v>4019</v>
      </c>
      <c r="F1206" s="464" t="s">
        <v>4020</v>
      </c>
      <c r="G1206" s="464" t="s">
        <v>3525</v>
      </c>
      <c r="H1206" s="464" t="s">
        <v>1188</v>
      </c>
      <c r="I1206" s="464" t="s">
        <v>1684</v>
      </c>
    </row>
    <row r="1207" ht="15.95" customHeight="1">
      <c r="A1207" s="464" t="s">
        <v>4021</v>
      </c>
      <c r="B1207" s="464" t="s">
        <v>4022</v>
      </c>
      <c r="C1207" s="464"/>
      <c r="D1207" s="464" t="s">
        <v>1709</v>
      </c>
      <c r="E1207" s="464" t="s">
        <v>4019</v>
      </c>
      <c r="F1207" s="464" t="s">
        <v>4020</v>
      </c>
      <c r="G1207" s="464" t="s">
        <v>3525</v>
      </c>
      <c r="H1207" s="464" t="s">
        <v>1188</v>
      </c>
      <c r="I1207" s="464" t="s">
        <v>1684</v>
      </c>
    </row>
    <row r="1208" ht="15.95" customHeight="1">
      <c r="A1208" s="464" t="s">
        <v>4023</v>
      </c>
      <c r="B1208" s="464" t="s">
        <v>4024</v>
      </c>
      <c r="C1208" s="464"/>
      <c r="D1208" s="464" t="s">
        <v>1709</v>
      </c>
      <c r="E1208" s="464" t="s">
        <v>4019</v>
      </c>
      <c r="F1208" s="464" t="s">
        <v>4020</v>
      </c>
      <c r="G1208" s="464" t="s">
        <v>3525</v>
      </c>
      <c r="H1208" s="464" t="s">
        <v>1188</v>
      </c>
      <c r="I1208" s="464" t="s">
        <v>1684</v>
      </c>
    </row>
    <row r="1209" ht="15.95" customHeight="1">
      <c r="A1209" s="464" t="s">
        <v>4025</v>
      </c>
      <c r="B1209" s="464" t="s">
        <v>4026</v>
      </c>
      <c r="C1209" s="464"/>
      <c r="D1209" s="464" t="s">
        <v>1709</v>
      </c>
      <c r="E1209" s="464" t="s">
        <v>4019</v>
      </c>
      <c r="F1209" s="464" t="s">
        <v>4020</v>
      </c>
      <c r="G1209" s="464" t="s">
        <v>3525</v>
      </c>
      <c r="H1209" s="464" t="s">
        <v>1188</v>
      </c>
      <c r="I1209" s="464" t="s">
        <v>1684</v>
      </c>
    </row>
    <row r="1210" ht="15.95" customHeight="1">
      <c r="A1210" s="464" t="s">
        <v>4027</v>
      </c>
      <c r="B1210" s="464" t="s">
        <v>4028</v>
      </c>
      <c r="C1210" s="464"/>
      <c r="D1210" s="464" t="s">
        <v>1709</v>
      </c>
      <c r="E1210" s="464" t="s">
        <v>4019</v>
      </c>
      <c r="F1210" s="464" t="s">
        <v>4020</v>
      </c>
      <c r="G1210" s="464" t="s">
        <v>3525</v>
      </c>
      <c r="H1210" s="464" t="s">
        <v>1188</v>
      </c>
      <c r="I1210" s="464" t="s">
        <v>1684</v>
      </c>
    </row>
    <row r="1211" ht="15.95" customHeight="1">
      <c r="A1211" s="464" t="s">
        <v>4029</v>
      </c>
      <c r="B1211" s="464" t="s">
        <v>2888</v>
      </c>
      <c r="C1211" s="464"/>
      <c r="D1211" s="464" t="s">
        <v>1709</v>
      </c>
      <c r="E1211" s="464" t="s">
        <v>4019</v>
      </c>
      <c r="F1211" s="464" t="s">
        <v>4020</v>
      </c>
      <c r="G1211" s="464" t="s">
        <v>3525</v>
      </c>
      <c r="H1211" s="464" t="s">
        <v>1188</v>
      </c>
      <c r="I1211" s="464" t="s">
        <v>1684</v>
      </c>
    </row>
    <row r="1212" ht="15.95" customHeight="1">
      <c r="A1212" s="464" t="s">
        <v>4030</v>
      </c>
      <c r="B1212" s="464" t="s">
        <v>4031</v>
      </c>
      <c r="C1212" s="464"/>
      <c r="D1212" s="464" t="s">
        <v>1709</v>
      </c>
      <c r="E1212" s="464" t="s">
        <v>4019</v>
      </c>
      <c r="F1212" s="464" t="s">
        <v>4020</v>
      </c>
      <c r="G1212" s="464" t="s">
        <v>3525</v>
      </c>
      <c r="H1212" s="464" t="s">
        <v>1188</v>
      </c>
      <c r="I1212" s="464" t="s">
        <v>1684</v>
      </c>
    </row>
    <row r="1213" ht="15.95" customHeight="1">
      <c r="A1213" s="464" t="s">
        <v>4032</v>
      </c>
      <c r="B1213" s="464" t="s">
        <v>2115</v>
      </c>
      <c r="C1213" s="464"/>
      <c r="D1213" s="464" t="s">
        <v>1679</v>
      </c>
      <c r="E1213" s="464" t="s">
        <v>4033</v>
      </c>
      <c r="F1213" s="464" t="s">
        <v>4034</v>
      </c>
      <c r="G1213" s="464" t="s">
        <v>4035</v>
      </c>
      <c r="H1213" s="464" t="s">
        <v>4036</v>
      </c>
      <c r="I1213" s="464" t="s">
        <v>1684</v>
      </c>
    </row>
    <row r="1214" ht="15.95" customHeight="1">
      <c r="A1214" s="464" t="s">
        <v>4037</v>
      </c>
      <c r="B1214" s="464" t="s">
        <v>2110</v>
      </c>
      <c r="C1214" s="464"/>
      <c r="D1214" s="464" t="s">
        <v>1679</v>
      </c>
      <c r="E1214" s="464" t="s">
        <v>4033</v>
      </c>
      <c r="F1214" s="464" t="s">
        <v>4034</v>
      </c>
      <c r="G1214" s="464" t="s">
        <v>4035</v>
      </c>
      <c r="H1214" s="464" t="s">
        <v>4036</v>
      </c>
      <c r="I1214" s="464" t="s">
        <v>1684</v>
      </c>
    </row>
    <row r="1215" ht="15.95" customHeight="1">
      <c r="A1215" s="464" t="s">
        <v>4038</v>
      </c>
      <c r="B1215" s="464" t="s">
        <v>1282</v>
      </c>
      <c r="C1215" s="464"/>
      <c r="D1215" s="464" t="s">
        <v>1679</v>
      </c>
      <c r="E1215" s="464" t="s">
        <v>4033</v>
      </c>
      <c r="F1215" s="464" t="s">
        <v>4034</v>
      </c>
      <c r="G1215" s="464" t="s">
        <v>4035</v>
      </c>
      <c r="H1215" s="464" t="s">
        <v>4036</v>
      </c>
      <c r="I1215" s="464" t="s">
        <v>1684</v>
      </c>
    </row>
    <row r="1216" ht="15.95" customHeight="1">
      <c r="A1216" s="464" t="s">
        <v>4039</v>
      </c>
      <c r="B1216" s="464" t="s">
        <v>4040</v>
      </c>
      <c r="C1216" s="464"/>
      <c r="D1216" s="464" t="s">
        <v>1679</v>
      </c>
      <c r="E1216" s="464" t="s">
        <v>4033</v>
      </c>
      <c r="F1216" s="464" t="s">
        <v>4034</v>
      </c>
      <c r="G1216" s="464" t="s">
        <v>4035</v>
      </c>
      <c r="H1216" s="464" t="s">
        <v>4036</v>
      </c>
      <c r="I1216" s="464" t="s">
        <v>1684</v>
      </c>
    </row>
    <row r="1217" ht="15.95" customHeight="1">
      <c r="A1217" s="464" t="s">
        <v>4041</v>
      </c>
      <c r="B1217" s="464" t="s">
        <v>1287</v>
      </c>
      <c r="C1217" s="464"/>
      <c r="D1217" s="464" t="s">
        <v>1679</v>
      </c>
      <c r="E1217" s="464" t="s">
        <v>4033</v>
      </c>
      <c r="F1217" s="464" t="s">
        <v>4034</v>
      </c>
      <c r="G1217" s="464" t="s">
        <v>4035</v>
      </c>
      <c r="H1217" s="464" t="s">
        <v>4036</v>
      </c>
      <c r="I1217" s="464" t="s">
        <v>1684</v>
      </c>
    </row>
    <row r="1218" ht="15.95" customHeight="1">
      <c r="A1218" s="464" t="s">
        <v>4042</v>
      </c>
      <c r="B1218" s="464" t="s">
        <v>1269</v>
      </c>
      <c r="C1218" s="464"/>
      <c r="D1218" s="464" t="s">
        <v>1679</v>
      </c>
      <c r="E1218" s="464" t="s">
        <v>4033</v>
      </c>
      <c r="F1218" s="464" t="s">
        <v>4034</v>
      </c>
      <c r="G1218" s="464" t="s">
        <v>4035</v>
      </c>
      <c r="H1218" s="464" t="s">
        <v>4036</v>
      </c>
      <c r="I1218" s="464" t="s">
        <v>1684</v>
      </c>
    </row>
    <row r="1219" ht="15.95" customHeight="1">
      <c r="A1219" s="464" t="s">
        <v>4043</v>
      </c>
      <c r="B1219" s="464" t="s">
        <v>1281</v>
      </c>
      <c r="C1219" s="464"/>
      <c r="D1219" s="464" t="s">
        <v>1679</v>
      </c>
      <c r="E1219" s="464" t="s">
        <v>4033</v>
      </c>
      <c r="F1219" s="464" t="s">
        <v>4034</v>
      </c>
      <c r="G1219" s="464" t="s">
        <v>4035</v>
      </c>
      <c r="H1219" s="464" t="s">
        <v>4036</v>
      </c>
      <c r="I1219" s="464" t="s">
        <v>1684</v>
      </c>
    </row>
    <row r="1220" ht="15.95" customHeight="1">
      <c r="A1220" s="464" t="s">
        <v>4044</v>
      </c>
      <c r="B1220" s="464" t="s">
        <v>2113</v>
      </c>
      <c r="C1220" s="464"/>
      <c r="D1220" s="464" t="s">
        <v>1679</v>
      </c>
      <c r="E1220" s="464" t="s">
        <v>4033</v>
      </c>
      <c r="F1220" s="464" t="s">
        <v>4034</v>
      </c>
      <c r="G1220" s="464" t="s">
        <v>4035</v>
      </c>
      <c r="H1220" s="464" t="s">
        <v>4036</v>
      </c>
      <c r="I1220" s="464" t="s">
        <v>1684</v>
      </c>
    </row>
    <row r="1221" ht="15.95" customHeight="1">
      <c r="A1221" s="464" t="s">
        <v>4045</v>
      </c>
      <c r="B1221" s="464" t="s">
        <v>4046</v>
      </c>
      <c r="C1221" s="464"/>
      <c r="D1221" s="464" t="s">
        <v>1709</v>
      </c>
      <c r="E1221" s="464" t="s">
        <v>4033</v>
      </c>
      <c r="F1221" s="464" t="s">
        <v>4034</v>
      </c>
      <c r="G1221" s="464" t="s">
        <v>4035</v>
      </c>
      <c r="H1221" s="464" t="s">
        <v>4036</v>
      </c>
      <c r="I1221" s="464" t="s">
        <v>1684</v>
      </c>
    </row>
    <row r="1222" ht="15.95" customHeight="1">
      <c r="A1222" s="464" t="s">
        <v>4047</v>
      </c>
      <c r="B1222" s="464" t="s">
        <v>4048</v>
      </c>
      <c r="C1222" s="464"/>
      <c r="D1222" s="464" t="s">
        <v>1709</v>
      </c>
      <c r="E1222" s="464" t="s">
        <v>4033</v>
      </c>
      <c r="F1222" s="464" t="s">
        <v>4034</v>
      </c>
      <c r="G1222" s="464" t="s">
        <v>4035</v>
      </c>
      <c r="H1222" s="464" t="s">
        <v>4036</v>
      </c>
      <c r="I1222" s="464" t="s">
        <v>1684</v>
      </c>
    </row>
    <row r="1223" ht="15.95" customHeight="1">
      <c r="A1223" s="464" t="s">
        <v>4049</v>
      </c>
      <c r="B1223" s="464" t="s">
        <v>4050</v>
      </c>
      <c r="C1223" s="464"/>
      <c r="D1223" s="464" t="s">
        <v>1709</v>
      </c>
      <c r="E1223" s="464" t="s">
        <v>4033</v>
      </c>
      <c r="F1223" s="464" t="s">
        <v>4034</v>
      </c>
      <c r="G1223" s="464" t="s">
        <v>4035</v>
      </c>
      <c r="H1223" s="464" t="s">
        <v>4036</v>
      </c>
      <c r="I1223" s="464" t="s">
        <v>1684</v>
      </c>
    </row>
    <row r="1224" ht="15.95" customHeight="1">
      <c r="A1224" s="464" t="s">
        <v>4051</v>
      </c>
      <c r="B1224" s="464" t="s">
        <v>4052</v>
      </c>
      <c r="C1224" s="464"/>
      <c r="D1224" s="464" t="s">
        <v>1709</v>
      </c>
      <c r="E1224" s="464" t="s">
        <v>4033</v>
      </c>
      <c r="F1224" s="464" t="s">
        <v>4034</v>
      </c>
      <c r="G1224" s="464" t="s">
        <v>4035</v>
      </c>
      <c r="H1224" s="464" t="s">
        <v>4036</v>
      </c>
      <c r="I1224" s="464" t="s">
        <v>1684</v>
      </c>
    </row>
    <row r="1225" ht="15.95" customHeight="1">
      <c r="A1225" s="464" t="s">
        <v>4053</v>
      </c>
      <c r="B1225" s="464" t="s">
        <v>4054</v>
      </c>
      <c r="C1225" s="464"/>
      <c r="D1225" s="464" t="s">
        <v>1679</v>
      </c>
      <c r="E1225" s="464" t="s">
        <v>4033</v>
      </c>
      <c r="F1225" s="464" t="s">
        <v>4034</v>
      </c>
      <c r="G1225" s="464" t="s">
        <v>4035</v>
      </c>
      <c r="H1225" s="464" t="s">
        <v>4036</v>
      </c>
      <c r="I1225" s="464" t="s">
        <v>1684</v>
      </c>
    </row>
    <row r="1226" ht="15.95" customHeight="1">
      <c r="A1226" s="464" t="s">
        <v>4055</v>
      </c>
      <c r="B1226" s="464" t="s">
        <v>4056</v>
      </c>
      <c r="C1226" s="464"/>
      <c r="D1226" s="464" t="s">
        <v>1709</v>
      </c>
      <c r="E1226" s="464" t="s">
        <v>4033</v>
      </c>
      <c r="F1226" s="464" t="s">
        <v>4034</v>
      </c>
      <c r="G1226" s="464" t="s">
        <v>4035</v>
      </c>
      <c r="H1226" s="464" t="s">
        <v>4036</v>
      </c>
      <c r="I1226" s="464" t="s">
        <v>1684</v>
      </c>
    </row>
    <row r="1227" ht="15.95" customHeight="1">
      <c r="A1227" s="464" t="s">
        <v>4057</v>
      </c>
      <c r="B1227" s="464" t="s">
        <v>1287</v>
      </c>
      <c r="C1227" s="464"/>
      <c r="D1227" s="464" t="s">
        <v>1679</v>
      </c>
      <c r="E1227" s="464" t="s">
        <v>4058</v>
      </c>
      <c r="F1227" s="464" t="s">
        <v>4059</v>
      </c>
      <c r="G1227" s="464" t="s">
        <v>4035</v>
      </c>
      <c r="H1227" s="464" t="s">
        <v>4036</v>
      </c>
      <c r="I1227" s="464" t="s">
        <v>1684</v>
      </c>
    </row>
    <row r="1228" ht="15.95" customHeight="1">
      <c r="A1228" s="464" t="s">
        <v>4060</v>
      </c>
      <c r="B1228" s="464" t="s">
        <v>2110</v>
      </c>
      <c r="C1228" s="464"/>
      <c r="D1228" s="464" t="s">
        <v>1679</v>
      </c>
      <c r="E1228" s="464" t="s">
        <v>4058</v>
      </c>
      <c r="F1228" s="464" t="s">
        <v>4059</v>
      </c>
      <c r="G1228" s="464" t="s">
        <v>4035</v>
      </c>
      <c r="H1228" s="464" t="s">
        <v>4036</v>
      </c>
      <c r="I1228" s="464" t="s">
        <v>1684</v>
      </c>
    </row>
    <row r="1229" ht="15.95" customHeight="1">
      <c r="A1229" s="464" t="s">
        <v>4061</v>
      </c>
      <c r="B1229" s="464" t="s">
        <v>4062</v>
      </c>
      <c r="C1229" s="464"/>
      <c r="D1229" s="464" t="s">
        <v>1709</v>
      </c>
      <c r="E1229" s="464" t="s">
        <v>4058</v>
      </c>
      <c r="F1229" s="464" t="s">
        <v>4059</v>
      </c>
      <c r="G1229" s="464" t="s">
        <v>4035</v>
      </c>
      <c r="H1229" s="464" t="s">
        <v>4036</v>
      </c>
      <c r="I1229" s="464" t="s">
        <v>1684</v>
      </c>
    </row>
    <row r="1230" ht="15.95" customHeight="1">
      <c r="A1230" s="464" t="s">
        <v>4063</v>
      </c>
      <c r="B1230" s="464" t="s">
        <v>4064</v>
      </c>
      <c r="C1230" s="464"/>
      <c r="D1230" s="464" t="s">
        <v>1709</v>
      </c>
      <c r="E1230" s="464" t="s">
        <v>4058</v>
      </c>
      <c r="F1230" s="464" t="s">
        <v>4059</v>
      </c>
      <c r="G1230" s="464" t="s">
        <v>4035</v>
      </c>
      <c r="H1230" s="464" t="s">
        <v>4036</v>
      </c>
      <c r="I1230" s="464" t="s">
        <v>1684</v>
      </c>
    </row>
    <row r="1231" ht="15.95" customHeight="1">
      <c r="A1231" s="464" t="s">
        <v>4065</v>
      </c>
      <c r="B1231" s="464" t="s">
        <v>1942</v>
      </c>
      <c r="C1231" s="464"/>
      <c r="D1231" s="464" t="s">
        <v>1709</v>
      </c>
      <c r="E1231" s="464" t="s">
        <v>4058</v>
      </c>
      <c r="F1231" s="464" t="s">
        <v>4059</v>
      </c>
      <c r="G1231" s="464" t="s">
        <v>4035</v>
      </c>
      <c r="H1231" s="464" t="s">
        <v>4036</v>
      </c>
      <c r="I1231" s="464" t="s">
        <v>1684</v>
      </c>
    </row>
    <row r="1232" ht="15.95" customHeight="1">
      <c r="A1232" s="464" t="s">
        <v>4066</v>
      </c>
      <c r="B1232" s="464" t="s">
        <v>4067</v>
      </c>
      <c r="C1232" s="464"/>
      <c r="D1232" s="464" t="s">
        <v>1709</v>
      </c>
      <c r="E1232" s="464" t="s">
        <v>4058</v>
      </c>
      <c r="F1232" s="464" t="s">
        <v>4059</v>
      </c>
      <c r="G1232" s="464" t="s">
        <v>4035</v>
      </c>
      <c r="H1232" s="464" t="s">
        <v>4036</v>
      </c>
      <c r="I1232" s="464" t="s">
        <v>1684</v>
      </c>
    </row>
    <row r="1233" ht="15.95" customHeight="1">
      <c r="A1233" s="464" t="s">
        <v>4068</v>
      </c>
      <c r="B1233" s="464" t="s">
        <v>1269</v>
      </c>
      <c r="C1233" s="464"/>
      <c r="D1233" s="464" t="s">
        <v>1679</v>
      </c>
      <c r="E1233" s="464" t="s">
        <v>4058</v>
      </c>
      <c r="F1233" s="464" t="s">
        <v>4059</v>
      </c>
      <c r="G1233" s="464" t="s">
        <v>4035</v>
      </c>
      <c r="H1233" s="464" t="s">
        <v>4036</v>
      </c>
      <c r="I1233" s="464" t="s">
        <v>1684</v>
      </c>
    </row>
    <row r="1234" ht="15.95" customHeight="1">
      <c r="A1234" s="464" t="s">
        <v>4069</v>
      </c>
      <c r="B1234" s="464" t="s">
        <v>4070</v>
      </c>
      <c r="C1234" s="464"/>
      <c r="D1234" s="464" t="s">
        <v>1709</v>
      </c>
      <c r="E1234" s="464" t="s">
        <v>4058</v>
      </c>
      <c r="F1234" s="464" t="s">
        <v>4059</v>
      </c>
      <c r="G1234" s="464" t="s">
        <v>4035</v>
      </c>
      <c r="H1234" s="464" t="s">
        <v>4036</v>
      </c>
      <c r="I1234" s="464" t="s">
        <v>1684</v>
      </c>
    </row>
    <row r="1235" ht="15.95" customHeight="1">
      <c r="A1235" s="464" t="s">
        <v>4071</v>
      </c>
      <c r="B1235" s="464" t="s">
        <v>4072</v>
      </c>
      <c r="C1235" s="464"/>
      <c r="D1235" s="464" t="s">
        <v>1738</v>
      </c>
      <c r="E1235" s="464" t="s">
        <v>4073</v>
      </c>
      <c r="F1235" s="464" t="s">
        <v>4074</v>
      </c>
      <c r="G1235" s="464" t="s">
        <v>4035</v>
      </c>
      <c r="H1235" s="464" t="s">
        <v>4036</v>
      </c>
      <c r="I1235" s="464" t="s">
        <v>1684</v>
      </c>
    </row>
    <row r="1236" ht="15.95" customHeight="1">
      <c r="A1236" s="464" t="s">
        <v>4075</v>
      </c>
      <c r="B1236" s="464" t="s">
        <v>4076</v>
      </c>
      <c r="C1236" s="464"/>
      <c r="D1236" s="464" t="s">
        <v>1709</v>
      </c>
      <c r="E1236" s="464" t="s">
        <v>4073</v>
      </c>
      <c r="F1236" s="464" t="s">
        <v>4074</v>
      </c>
      <c r="G1236" s="464" t="s">
        <v>4035</v>
      </c>
      <c r="H1236" s="464" t="s">
        <v>4036</v>
      </c>
      <c r="I1236" s="464" t="s">
        <v>1684</v>
      </c>
    </row>
    <row r="1237" ht="15.95" customHeight="1">
      <c r="A1237" s="464" t="s">
        <v>4077</v>
      </c>
      <c r="B1237" s="464" t="s">
        <v>4078</v>
      </c>
      <c r="C1237" s="464"/>
      <c r="D1237" s="464" t="s">
        <v>1709</v>
      </c>
      <c r="E1237" s="464" t="s">
        <v>4073</v>
      </c>
      <c r="F1237" s="464" t="s">
        <v>4074</v>
      </c>
      <c r="G1237" s="464" t="s">
        <v>4035</v>
      </c>
      <c r="H1237" s="464" t="s">
        <v>4036</v>
      </c>
      <c r="I1237" s="464" t="s">
        <v>1684</v>
      </c>
    </row>
    <row r="1238" ht="15.95" customHeight="1">
      <c r="A1238" s="464" t="s">
        <v>4079</v>
      </c>
      <c r="B1238" s="464" t="s">
        <v>4080</v>
      </c>
      <c r="C1238" s="464"/>
      <c r="D1238" s="464" t="s">
        <v>1709</v>
      </c>
      <c r="E1238" s="464" t="s">
        <v>4073</v>
      </c>
      <c r="F1238" s="464" t="s">
        <v>4074</v>
      </c>
      <c r="G1238" s="464" t="s">
        <v>4035</v>
      </c>
      <c r="H1238" s="464" t="s">
        <v>4036</v>
      </c>
      <c r="I1238" s="464" t="s">
        <v>1684</v>
      </c>
    </row>
    <row r="1239" ht="15.95" customHeight="1">
      <c r="A1239" s="464" t="s">
        <v>4081</v>
      </c>
      <c r="B1239" s="464" t="s">
        <v>4070</v>
      </c>
      <c r="C1239" s="464"/>
      <c r="D1239" s="464" t="s">
        <v>1709</v>
      </c>
      <c r="E1239" s="464" t="s">
        <v>4073</v>
      </c>
      <c r="F1239" s="464" t="s">
        <v>4074</v>
      </c>
      <c r="G1239" s="464" t="s">
        <v>4035</v>
      </c>
      <c r="H1239" s="464" t="s">
        <v>4036</v>
      </c>
      <c r="I1239" s="464" t="s">
        <v>1684</v>
      </c>
    </row>
    <row r="1240" ht="15.95" customHeight="1">
      <c r="A1240" s="464" t="s">
        <v>4082</v>
      </c>
      <c r="B1240" s="464" t="s">
        <v>4083</v>
      </c>
      <c r="C1240" s="464"/>
      <c r="D1240" s="464" t="s">
        <v>1709</v>
      </c>
      <c r="E1240" s="464" t="s">
        <v>4073</v>
      </c>
      <c r="F1240" s="464" t="s">
        <v>4074</v>
      </c>
      <c r="G1240" s="464" t="s">
        <v>4035</v>
      </c>
      <c r="H1240" s="464" t="s">
        <v>4036</v>
      </c>
      <c r="I1240" s="464" t="s">
        <v>1684</v>
      </c>
    </row>
    <row r="1241" ht="15.95" customHeight="1">
      <c r="A1241" s="464" t="s">
        <v>4084</v>
      </c>
      <c r="B1241" s="464" t="s">
        <v>4085</v>
      </c>
      <c r="C1241" s="464"/>
      <c r="D1241" s="464" t="s">
        <v>1709</v>
      </c>
      <c r="E1241" s="464" t="s">
        <v>4073</v>
      </c>
      <c r="F1241" s="464" t="s">
        <v>4074</v>
      </c>
      <c r="G1241" s="464" t="s">
        <v>4035</v>
      </c>
      <c r="H1241" s="464" t="s">
        <v>4036</v>
      </c>
      <c r="I1241" s="464" t="s">
        <v>1684</v>
      </c>
    </row>
    <row r="1242" ht="15.95" customHeight="1">
      <c r="A1242" s="464" t="s">
        <v>4086</v>
      </c>
      <c r="B1242" s="464" t="s">
        <v>4087</v>
      </c>
      <c r="C1242" s="464"/>
      <c r="D1242" s="464" t="s">
        <v>1709</v>
      </c>
      <c r="E1242" s="464" t="s">
        <v>4073</v>
      </c>
      <c r="F1242" s="464" t="s">
        <v>4074</v>
      </c>
      <c r="G1242" s="464" t="s">
        <v>4035</v>
      </c>
      <c r="H1242" s="464" t="s">
        <v>4036</v>
      </c>
      <c r="I1242" s="464" t="s">
        <v>1684</v>
      </c>
    </row>
    <row r="1243" ht="15.95" customHeight="1">
      <c r="A1243" s="464" t="s">
        <v>4088</v>
      </c>
      <c r="B1243" s="464" t="s">
        <v>4089</v>
      </c>
      <c r="C1243" s="464"/>
      <c r="D1243" s="464" t="s">
        <v>1709</v>
      </c>
      <c r="E1243" s="464" t="s">
        <v>4073</v>
      </c>
      <c r="F1243" s="464" t="s">
        <v>4074</v>
      </c>
      <c r="G1243" s="464" t="s">
        <v>4035</v>
      </c>
      <c r="H1243" s="464" t="s">
        <v>4036</v>
      </c>
      <c r="I1243" s="464" t="s">
        <v>1684</v>
      </c>
    </row>
    <row r="1244" ht="15.95" customHeight="1">
      <c r="A1244" s="464" t="s">
        <v>4090</v>
      </c>
      <c r="B1244" s="464" t="s">
        <v>4091</v>
      </c>
      <c r="C1244" s="464"/>
      <c r="D1244" s="464" t="s">
        <v>1709</v>
      </c>
      <c r="E1244" s="464" t="s">
        <v>4073</v>
      </c>
      <c r="F1244" s="464" t="s">
        <v>4074</v>
      </c>
      <c r="G1244" s="464" t="s">
        <v>4035</v>
      </c>
      <c r="H1244" s="464" t="s">
        <v>4036</v>
      </c>
      <c r="I1244" s="464" t="s">
        <v>1684</v>
      </c>
    </row>
    <row r="1245" ht="15.95" customHeight="1">
      <c r="A1245" s="464" t="s">
        <v>4092</v>
      </c>
      <c r="B1245" s="464" t="s">
        <v>4093</v>
      </c>
      <c r="C1245" s="464"/>
      <c r="D1245" s="464" t="s">
        <v>1709</v>
      </c>
      <c r="E1245" s="464" t="s">
        <v>4073</v>
      </c>
      <c r="F1245" s="464" t="s">
        <v>4074</v>
      </c>
      <c r="G1245" s="464" t="s">
        <v>4035</v>
      </c>
      <c r="H1245" s="464" t="s">
        <v>4036</v>
      </c>
      <c r="I1245" s="464" t="s">
        <v>1684</v>
      </c>
    </row>
    <row r="1246" ht="15.95" customHeight="1">
      <c r="A1246" s="464" t="s">
        <v>4094</v>
      </c>
      <c r="B1246" s="464" t="s">
        <v>4095</v>
      </c>
      <c r="C1246" s="464"/>
      <c r="D1246" s="464" t="s">
        <v>1709</v>
      </c>
      <c r="E1246" s="464" t="s">
        <v>4073</v>
      </c>
      <c r="F1246" s="464" t="s">
        <v>4074</v>
      </c>
      <c r="G1246" s="464" t="s">
        <v>4035</v>
      </c>
      <c r="H1246" s="464" t="s">
        <v>4036</v>
      </c>
      <c r="I1246" s="464" t="s">
        <v>1684</v>
      </c>
    </row>
    <row r="1247" ht="15.95" customHeight="1">
      <c r="A1247" s="464" t="s">
        <v>4096</v>
      </c>
      <c r="B1247" s="464" t="s">
        <v>4097</v>
      </c>
      <c r="C1247" s="464"/>
      <c r="D1247" s="464" t="s">
        <v>1738</v>
      </c>
      <c r="E1247" s="464" t="s">
        <v>4098</v>
      </c>
      <c r="F1247" s="464" t="s">
        <v>4099</v>
      </c>
      <c r="G1247" s="464" t="s">
        <v>4035</v>
      </c>
      <c r="H1247" s="464" t="s">
        <v>4036</v>
      </c>
      <c r="I1247" s="464" t="s">
        <v>1684</v>
      </c>
    </row>
    <row r="1248" ht="15.95" customHeight="1">
      <c r="A1248" s="464" t="s">
        <v>4100</v>
      </c>
      <c r="B1248" s="464" t="s">
        <v>4101</v>
      </c>
      <c r="C1248" s="464"/>
      <c r="D1248" s="464" t="s">
        <v>1709</v>
      </c>
      <c r="E1248" s="464" t="s">
        <v>4098</v>
      </c>
      <c r="F1248" s="464" t="s">
        <v>4099</v>
      </c>
      <c r="G1248" s="464" t="s">
        <v>4035</v>
      </c>
      <c r="H1248" s="464" t="s">
        <v>4036</v>
      </c>
      <c r="I1248" s="464" t="s">
        <v>1684</v>
      </c>
    </row>
    <row r="1249" ht="15.95" customHeight="1">
      <c r="A1249" s="464" t="s">
        <v>4102</v>
      </c>
      <c r="B1249" s="464" t="s">
        <v>4103</v>
      </c>
      <c r="C1249" s="464"/>
      <c r="D1249" s="464" t="s">
        <v>1709</v>
      </c>
      <c r="E1249" s="464" t="s">
        <v>4098</v>
      </c>
      <c r="F1249" s="464" t="s">
        <v>4099</v>
      </c>
      <c r="G1249" s="464" t="s">
        <v>4035</v>
      </c>
      <c r="H1249" s="464" t="s">
        <v>4036</v>
      </c>
      <c r="I1249" s="464" t="s">
        <v>1684</v>
      </c>
    </row>
    <row r="1250" ht="15.95" customHeight="1">
      <c r="A1250" s="464" t="s">
        <v>4104</v>
      </c>
      <c r="B1250" s="464" t="s">
        <v>4105</v>
      </c>
      <c r="C1250" s="464"/>
      <c r="D1250" s="464" t="s">
        <v>1709</v>
      </c>
      <c r="E1250" s="464" t="s">
        <v>4098</v>
      </c>
      <c r="F1250" s="464" t="s">
        <v>4099</v>
      </c>
      <c r="G1250" s="464" t="s">
        <v>4035</v>
      </c>
      <c r="H1250" s="464" t="s">
        <v>4036</v>
      </c>
      <c r="I1250" s="464" t="s">
        <v>1684</v>
      </c>
    </row>
    <row r="1251" ht="15.95" customHeight="1">
      <c r="A1251" s="464" t="s">
        <v>4106</v>
      </c>
      <c r="B1251" s="464" t="s">
        <v>4107</v>
      </c>
      <c r="C1251" s="464"/>
      <c r="D1251" s="464" t="s">
        <v>1709</v>
      </c>
      <c r="E1251" s="464" t="s">
        <v>4098</v>
      </c>
      <c r="F1251" s="464" t="s">
        <v>4099</v>
      </c>
      <c r="G1251" s="464" t="s">
        <v>4035</v>
      </c>
      <c r="H1251" s="464" t="s">
        <v>4036</v>
      </c>
      <c r="I1251" s="464" t="s">
        <v>1684</v>
      </c>
    </row>
    <row r="1252" ht="15.95" customHeight="1">
      <c r="A1252" s="464" t="s">
        <v>4108</v>
      </c>
      <c r="B1252" s="464" t="s">
        <v>4109</v>
      </c>
      <c r="C1252" s="464"/>
      <c r="D1252" s="464" t="s">
        <v>1709</v>
      </c>
      <c r="E1252" s="464" t="s">
        <v>4098</v>
      </c>
      <c r="F1252" s="464" t="s">
        <v>4099</v>
      </c>
      <c r="G1252" s="464" t="s">
        <v>4035</v>
      </c>
      <c r="H1252" s="464" t="s">
        <v>4036</v>
      </c>
      <c r="I1252" s="464" t="s">
        <v>1684</v>
      </c>
    </row>
    <row r="1253" ht="15.95" customHeight="1">
      <c r="A1253" s="464" t="s">
        <v>4110</v>
      </c>
      <c r="B1253" s="464" t="s">
        <v>4111</v>
      </c>
      <c r="C1253" s="464"/>
      <c r="D1253" s="464" t="s">
        <v>1709</v>
      </c>
      <c r="E1253" s="464" t="s">
        <v>4098</v>
      </c>
      <c r="F1253" s="464" t="s">
        <v>4099</v>
      </c>
      <c r="G1253" s="464" t="s">
        <v>4035</v>
      </c>
      <c r="H1253" s="464" t="s">
        <v>4036</v>
      </c>
      <c r="I1253" s="464" t="s">
        <v>1684</v>
      </c>
    </row>
    <row r="1254" ht="15.95" customHeight="1">
      <c r="A1254" s="464" t="s">
        <v>4112</v>
      </c>
      <c r="B1254" s="464" t="s">
        <v>4113</v>
      </c>
      <c r="C1254" s="464"/>
      <c r="D1254" s="464" t="s">
        <v>1709</v>
      </c>
      <c r="E1254" s="464" t="s">
        <v>4098</v>
      </c>
      <c r="F1254" s="464" t="s">
        <v>4099</v>
      </c>
      <c r="G1254" s="464" t="s">
        <v>4035</v>
      </c>
      <c r="H1254" s="464" t="s">
        <v>4036</v>
      </c>
      <c r="I1254" s="464" t="s">
        <v>1684</v>
      </c>
    </row>
    <row r="1255" ht="15.95" customHeight="1">
      <c r="A1255" s="464" t="s">
        <v>4114</v>
      </c>
      <c r="B1255" s="464" t="s">
        <v>4115</v>
      </c>
      <c r="C1255" s="464"/>
      <c r="D1255" s="464" t="s">
        <v>1709</v>
      </c>
      <c r="E1255" s="464" t="s">
        <v>4098</v>
      </c>
      <c r="F1255" s="464" t="s">
        <v>4099</v>
      </c>
      <c r="G1255" s="464" t="s">
        <v>4035</v>
      </c>
      <c r="H1255" s="464" t="s">
        <v>4036</v>
      </c>
      <c r="I1255" s="464" t="s">
        <v>1684</v>
      </c>
    </row>
    <row r="1256" ht="15.95" customHeight="1">
      <c r="A1256" s="464" t="s">
        <v>4116</v>
      </c>
      <c r="B1256" s="464" t="s">
        <v>4117</v>
      </c>
      <c r="C1256" s="464"/>
      <c r="D1256" s="464" t="s">
        <v>1709</v>
      </c>
      <c r="E1256" s="464" t="s">
        <v>4098</v>
      </c>
      <c r="F1256" s="464" t="s">
        <v>4099</v>
      </c>
      <c r="G1256" s="464" t="s">
        <v>4035</v>
      </c>
      <c r="H1256" s="464" t="s">
        <v>4036</v>
      </c>
      <c r="I1256" s="464" t="s">
        <v>1684</v>
      </c>
    </row>
    <row r="1257" ht="15.95" customHeight="1">
      <c r="A1257" s="464" t="s">
        <v>4118</v>
      </c>
      <c r="B1257" s="464" t="s">
        <v>4119</v>
      </c>
      <c r="C1257" s="464"/>
      <c r="D1257" s="464" t="s">
        <v>1709</v>
      </c>
      <c r="E1257" s="464" t="s">
        <v>4120</v>
      </c>
      <c r="F1257" s="464" t="s">
        <v>4121</v>
      </c>
      <c r="G1257" s="464" t="s">
        <v>4035</v>
      </c>
      <c r="H1257" s="464" t="s">
        <v>4036</v>
      </c>
      <c r="I1257" s="464" t="s">
        <v>1684</v>
      </c>
    </row>
    <row r="1258" ht="15.95" customHeight="1">
      <c r="A1258" s="464" t="s">
        <v>4122</v>
      </c>
      <c r="B1258" s="464" t="s">
        <v>1908</v>
      </c>
      <c r="C1258" s="464"/>
      <c r="D1258" s="464" t="s">
        <v>1709</v>
      </c>
      <c r="E1258" s="464" t="s">
        <v>4120</v>
      </c>
      <c r="F1258" s="464" t="s">
        <v>4121</v>
      </c>
      <c r="G1258" s="464" t="s">
        <v>4035</v>
      </c>
      <c r="H1258" s="464" t="s">
        <v>4036</v>
      </c>
      <c r="I1258" s="464" t="s">
        <v>1684</v>
      </c>
    </row>
    <row r="1259" ht="15.95" customHeight="1">
      <c r="A1259" s="464" t="s">
        <v>4123</v>
      </c>
      <c r="B1259" s="464" t="s">
        <v>4124</v>
      </c>
      <c r="C1259" s="464"/>
      <c r="D1259" s="464" t="s">
        <v>1709</v>
      </c>
      <c r="E1259" s="464" t="s">
        <v>4120</v>
      </c>
      <c r="F1259" s="464" t="s">
        <v>4121</v>
      </c>
      <c r="G1259" s="464" t="s">
        <v>4035</v>
      </c>
      <c r="H1259" s="464" t="s">
        <v>4036</v>
      </c>
      <c r="I1259" s="464" t="s">
        <v>1684</v>
      </c>
    </row>
    <row r="1260" ht="15.95" customHeight="1">
      <c r="A1260" s="464" t="s">
        <v>4125</v>
      </c>
      <c r="B1260" s="464" t="s">
        <v>4126</v>
      </c>
      <c r="C1260" s="464"/>
      <c r="D1260" s="464" t="s">
        <v>1709</v>
      </c>
      <c r="E1260" s="464" t="s">
        <v>4120</v>
      </c>
      <c r="F1260" s="464" t="s">
        <v>4121</v>
      </c>
      <c r="G1260" s="464" t="s">
        <v>4035</v>
      </c>
      <c r="H1260" s="464" t="s">
        <v>4036</v>
      </c>
      <c r="I1260" s="464" t="s">
        <v>1684</v>
      </c>
    </row>
    <row r="1261" ht="15.95" customHeight="1">
      <c r="A1261" s="464" t="s">
        <v>4127</v>
      </c>
      <c r="B1261" s="464" t="s">
        <v>4128</v>
      </c>
      <c r="C1261" s="464"/>
      <c r="D1261" s="464" t="s">
        <v>1709</v>
      </c>
      <c r="E1261" s="464" t="s">
        <v>4120</v>
      </c>
      <c r="F1261" s="464" t="s">
        <v>4121</v>
      </c>
      <c r="G1261" s="464" t="s">
        <v>4035</v>
      </c>
      <c r="H1261" s="464" t="s">
        <v>4036</v>
      </c>
      <c r="I1261" s="464" t="s">
        <v>1684</v>
      </c>
    </row>
    <row r="1262" ht="15.95" customHeight="1">
      <c r="A1262" s="464" t="s">
        <v>4129</v>
      </c>
      <c r="B1262" s="464" t="s">
        <v>2004</v>
      </c>
      <c r="C1262" s="464"/>
      <c r="D1262" s="464" t="s">
        <v>1709</v>
      </c>
      <c r="E1262" s="464" t="s">
        <v>4120</v>
      </c>
      <c r="F1262" s="464" t="s">
        <v>4121</v>
      </c>
      <c r="G1262" s="464" t="s">
        <v>4035</v>
      </c>
      <c r="H1262" s="464" t="s">
        <v>4036</v>
      </c>
      <c r="I1262" s="464" t="s">
        <v>1684</v>
      </c>
    </row>
    <row r="1263" ht="15.95" customHeight="1">
      <c r="A1263" s="464" t="s">
        <v>4130</v>
      </c>
      <c r="B1263" s="464" t="s">
        <v>2012</v>
      </c>
      <c r="C1263" s="464"/>
      <c r="D1263" s="464" t="s">
        <v>1709</v>
      </c>
      <c r="E1263" s="464" t="s">
        <v>4120</v>
      </c>
      <c r="F1263" s="464" t="s">
        <v>4121</v>
      </c>
      <c r="G1263" s="464" t="s">
        <v>4035</v>
      </c>
      <c r="H1263" s="464" t="s">
        <v>4036</v>
      </c>
      <c r="I1263" s="464" t="s">
        <v>1684</v>
      </c>
    </row>
    <row r="1264" ht="15.95" customHeight="1">
      <c r="A1264" s="464" t="s">
        <v>4131</v>
      </c>
      <c r="B1264" s="464" t="s">
        <v>4132</v>
      </c>
      <c r="C1264" s="464"/>
      <c r="D1264" s="464" t="s">
        <v>1738</v>
      </c>
      <c r="E1264" s="464" t="s">
        <v>4133</v>
      </c>
      <c r="F1264" s="464" t="s">
        <v>4134</v>
      </c>
      <c r="G1264" s="464" t="s">
        <v>4035</v>
      </c>
      <c r="H1264" s="464" t="s">
        <v>4036</v>
      </c>
      <c r="I1264" s="464" t="s">
        <v>1684</v>
      </c>
    </row>
    <row r="1265" ht="15.95" customHeight="1">
      <c r="A1265" s="464" t="s">
        <v>4135</v>
      </c>
      <c r="B1265" s="464" t="s">
        <v>4136</v>
      </c>
      <c r="C1265" s="464"/>
      <c r="D1265" s="464" t="s">
        <v>1709</v>
      </c>
      <c r="E1265" s="464" t="s">
        <v>4133</v>
      </c>
      <c r="F1265" s="464" t="s">
        <v>4134</v>
      </c>
      <c r="G1265" s="464" t="s">
        <v>4035</v>
      </c>
      <c r="H1265" s="464" t="s">
        <v>4036</v>
      </c>
      <c r="I1265" s="464" t="s">
        <v>1684</v>
      </c>
    </row>
    <row r="1266" ht="15.95" customHeight="1">
      <c r="A1266" s="464" t="s">
        <v>4137</v>
      </c>
      <c r="B1266" s="464" t="s">
        <v>4138</v>
      </c>
      <c r="C1266" s="464"/>
      <c r="D1266" s="464" t="s">
        <v>1709</v>
      </c>
      <c r="E1266" s="464" t="s">
        <v>4133</v>
      </c>
      <c r="F1266" s="464" t="s">
        <v>4134</v>
      </c>
      <c r="G1266" s="464" t="s">
        <v>4035</v>
      </c>
      <c r="H1266" s="464" t="s">
        <v>4036</v>
      </c>
      <c r="I1266" s="464" t="s">
        <v>1684</v>
      </c>
    </row>
    <row r="1267" ht="15.95" customHeight="1">
      <c r="A1267" s="464" t="s">
        <v>4139</v>
      </c>
      <c r="B1267" s="464" t="s">
        <v>4140</v>
      </c>
      <c r="C1267" s="464"/>
      <c r="D1267" s="464" t="s">
        <v>1709</v>
      </c>
      <c r="E1267" s="464" t="s">
        <v>4133</v>
      </c>
      <c r="F1267" s="464" t="s">
        <v>4134</v>
      </c>
      <c r="G1267" s="464" t="s">
        <v>4035</v>
      </c>
      <c r="H1267" s="464" t="s">
        <v>4036</v>
      </c>
      <c r="I1267" s="464" t="s">
        <v>1684</v>
      </c>
    </row>
    <row r="1268" ht="15.95" customHeight="1">
      <c r="A1268" s="464" t="s">
        <v>4141</v>
      </c>
      <c r="B1268" s="464" t="s">
        <v>2004</v>
      </c>
      <c r="C1268" s="464"/>
      <c r="D1268" s="464" t="s">
        <v>1709</v>
      </c>
      <c r="E1268" s="464" t="s">
        <v>4133</v>
      </c>
      <c r="F1268" s="464" t="s">
        <v>4134</v>
      </c>
      <c r="G1268" s="464" t="s">
        <v>4035</v>
      </c>
      <c r="H1268" s="464" t="s">
        <v>4036</v>
      </c>
      <c r="I1268" s="464" t="s">
        <v>1684</v>
      </c>
    </row>
    <row r="1269" ht="15.95" customHeight="1">
      <c r="A1269" s="464" t="s">
        <v>4142</v>
      </c>
      <c r="B1269" s="464" t="s">
        <v>4143</v>
      </c>
      <c r="C1269" s="464"/>
      <c r="D1269" s="464" t="s">
        <v>1709</v>
      </c>
      <c r="E1269" s="464" t="s">
        <v>4133</v>
      </c>
      <c r="F1269" s="464" t="s">
        <v>4134</v>
      </c>
      <c r="G1269" s="464" t="s">
        <v>4035</v>
      </c>
      <c r="H1269" s="464" t="s">
        <v>4036</v>
      </c>
      <c r="I1269" s="464" t="s">
        <v>1684</v>
      </c>
    </row>
    <row r="1270" ht="15.95" customHeight="1">
      <c r="A1270" s="464" t="s">
        <v>4144</v>
      </c>
      <c r="B1270" s="464" t="s">
        <v>4145</v>
      </c>
      <c r="C1270" s="464"/>
      <c r="D1270" s="464" t="s">
        <v>1709</v>
      </c>
      <c r="E1270" s="464" t="s">
        <v>4133</v>
      </c>
      <c r="F1270" s="464" t="s">
        <v>4134</v>
      </c>
      <c r="G1270" s="464" t="s">
        <v>4035</v>
      </c>
      <c r="H1270" s="464" t="s">
        <v>4036</v>
      </c>
      <c r="I1270" s="464" t="s">
        <v>1684</v>
      </c>
    </row>
    <row r="1271" ht="15.95" customHeight="1">
      <c r="A1271" s="464" t="s">
        <v>4146</v>
      </c>
      <c r="B1271" s="464" t="s">
        <v>4147</v>
      </c>
      <c r="C1271" s="464"/>
      <c r="D1271" s="464" t="s">
        <v>1709</v>
      </c>
      <c r="E1271" s="464" t="s">
        <v>4133</v>
      </c>
      <c r="F1271" s="464" t="s">
        <v>4134</v>
      </c>
      <c r="G1271" s="464" t="s">
        <v>4035</v>
      </c>
      <c r="H1271" s="464" t="s">
        <v>4036</v>
      </c>
      <c r="I1271" s="464" t="s">
        <v>1684</v>
      </c>
    </row>
    <row r="1272" ht="15.95" customHeight="1">
      <c r="A1272" s="464" t="s">
        <v>4148</v>
      </c>
      <c r="B1272" s="464" t="s">
        <v>2012</v>
      </c>
      <c r="C1272" s="464"/>
      <c r="D1272" s="464" t="s">
        <v>1709</v>
      </c>
      <c r="E1272" s="464" t="s">
        <v>4133</v>
      </c>
      <c r="F1272" s="464" t="s">
        <v>4134</v>
      </c>
      <c r="G1272" s="464" t="s">
        <v>4035</v>
      </c>
      <c r="H1272" s="464" t="s">
        <v>4036</v>
      </c>
      <c r="I1272" s="464" t="s">
        <v>1684</v>
      </c>
    </row>
    <row r="1273" ht="15.95" customHeight="1">
      <c r="A1273" s="464" t="s">
        <v>4149</v>
      </c>
      <c r="B1273" s="464" t="s">
        <v>1881</v>
      </c>
      <c r="C1273" s="464"/>
      <c r="D1273" s="464" t="s">
        <v>1709</v>
      </c>
      <c r="E1273" s="464" t="s">
        <v>4133</v>
      </c>
      <c r="F1273" s="464" t="s">
        <v>4134</v>
      </c>
      <c r="G1273" s="464" t="s">
        <v>4035</v>
      </c>
      <c r="H1273" s="464" t="s">
        <v>4036</v>
      </c>
      <c r="I1273" s="464" t="s">
        <v>1684</v>
      </c>
    </row>
    <row r="1274" ht="15.95" customHeight="1">
      <c r="A1274" s="464" t="s">
        <v>4150</v>
      </c>
      <c r="B1274" s="464" t="s">
        <v>4151</v>
      </c>
      <c r="C1274" s="464"/>
      <c r="D1274" s="464" t="s">
        <v>1709</v>
      </c>
      <c r="E1274" s="464" t="s">
        <v>4133</v>
      </c>
      <c r="F1274" s="464" t="s">
        <v>4134</v>
      </c>
      <c r="G1274" s="464" t="s">
        <v>4035</v>
      </c>
      <c r="H1274" s="464" t="s">
        <v>4036</v>
      </c>
      <c r="I1274" s="464" t="s">
        <v>1684</v>
      </c>
    </row>
    <row r="1275" ht="15.95" customHeight="1">
      <c r="A1275" s="464" t="s">
        <v>4152</v>
      </c>
      <c r="B1275" s="464" t="s">
        <v>4153</v>
      </c>
      <c r="C1275" s="464"/>
      <c r="D1275" s="464" t="s">
        <v>1709</v>
      </c>
      <c r="E1275" s="464" t="s">
        <v>4133</v>
      </c>
      <c r="F1275" s="464" t="s">
        <v>4134</v>
      </c>
      <c r="G1275" s="464" t="s">
        <v>4035</v>
      </c>
      <c r="H1275" s="464" t="s">
        <v>4036</v>
      </c>
      <c r="I1275" s="464" t="s">
        <v>1684</v>
      </c>
    </row>
    <row r="1276" ht="15.95" customHeight="1">
      <c r="A1276" s="464" t="s">
        <v>4154</v>
      </c>
      <c r="B1276" s="464" t="s">
        <v>2563</v>
      </c>
      <c r="C1276" s="464"/>
      <c r="D1276" s="464" t="s">
        <v>1709</v>
      </c>
      <c r="E1276" s="464" t="s">
        <v>4133</v>
      </c>
      <c r="F1276" s="464" t="s">
        <v>4134</v>
      </c>
      <c r="G1276" s="464" t="s">
        <v>4035</v>
      </c>
      <c r="H1276" s="464" t="s">
        <v>4036</v>
      </c>
      <c r="I1276" s="464" t="s">
        <v>1684</v>
      </c>
    </row>
    <row r="1277" ht="15.95" customHeight="1">
      <c r="A1277" s="464" t="s">
        <v>4155</v>
      </c>
      <c r="B1277" s="464" t="s">
        <v>4156</v>
      </c>
      <c r="C1277" s="464"/>
      <c r="D1277" s="464" t="s">
        <v>1738</v>
      </c>
      <c r="E1277" s="464" t="s">
        <v>4157</v>
      </c>
      <c r="F1277" s="464" t="s">
        <v>4158</v>
      </c>
      <c r="G1277" s="464" t="s">
        <v>4035</v>
      </c>
      <c r="H1277" s="464" t="s">
        <v>4036</v>
      </c>
      <c r="I1277" s="464" t="s">
        <v>1684</v>
      </c>
    </row>
    <row r="1278" ht="15.95" customHeight="1">
      <c r="A1278" s="464" t="s">
        <v>4159</v>
      </c>
      <c r="B1278" s="464" t="s">
        <v>2546</v>
      </c>
      <c r="C1278" s="464"/>
      <c r="D1278" s="464" t="s">
        <v>1709</v>
      </c>
      <c r="E1278" s="464" t="s">
        <v>4157</v>
      </c>
      <c r="F1278" s="464" t="s">
        <v>4158</v>
      </c>
      <c r="G1278" s="464" t="s">
        <v>4035</v>
      </c>
      <c r="H1278" s="464" t="s">
        <v>4036</v>
      </c>
      <c r="I1278" s="464" t="s">
        <v>1684</v>
      </c>
    </row>
    <row r="1279" ht="15.95" customHeight="1">
      <c r="A1279" s="464" t="s">
        <v>4160</v>
      </c>
      <c r="B1279" s="464" t="s">
        <v>4161</v>
      </c>
      <c r="C1279" s="464"/>
      <c r="D1279" s="464" t="s">
        <v>1709</v>
      </c>
      <c r="E1279" s="464" t="s">
        <v>4157</v>
      </c>
      <c r="F1279" s="464" t="s">
        <v>4158</v>
      </c>
      <c r="G1279" s="464" t="s">
        <v>4035</v>
      </c>
      <c r="H1279" s="464" t="s">
        <v>4036</v>
      </c>
      <c r="I1279" s="464" t="s">
        <v>1684</v>
      </c>
    </row>
    <row r="1280" ht="15.95" customHeight="1">
      <c r="A1280" s="464" t="s">
        <v>4162</v>
      </c>
      <c r="B1280" s="464" t="s">
        <v>4163</v>
      </c>
      <c r="C1280" s="464"/>
      <c r="D1280" s="464" t="s">
        <v>1709</v>
      </c>
      <c r="E1280" s="464" t="s">
        <v>4157</v>
      </c>
      <c r="F1280" s="464" t="s">
        <v>4158</v>
      </c>
      <c r="G1280" s="464" t="s">
        <v>4035</v>
      </c>
      <c r="H1280" s="464" t="s">
        <v>4036</v>
      </c>
      <c r="I1280" s="464" t="s">
        <v>1684</v>
      </c>
    </row>
    <row r="1281" ht="15.95" customHeight="1">
      <c r="A1281" s="464" t="s">
        <v>4164</v>
      </c>
      <c r="B1281" s="464" t="s">
        <v>3162</v>
      </c>
      <c r="C1281" s="464"/>
      <c r="D1281" s="464" t="s">
        <v>1709</v>
      </c>
      <c r="E1281" s="464" t="s">
        <v>4157</v>
      </c>
      <c r="F1281" s="464" t="s">
        <v>4158</v>
      </c>
      <c r="G1281" s="464" t="s">
        <v>4035</v>
      </c>
      <c r="H1281" s="464" t="s">
        <v>4036</v>
      </c>
      <c r="I1281" s="464" t="s">
        <v>1684</v>
      </c>
    </row>
    <row r="1282" ht="15.95" customHeight="1">
      <c r="A1282" s="464" t="s">
        <v>4165</v>
      </c>
      <c r="B1282" s="464" t="s">
        <v>4166</v>
      </c>
      <c r="C1282" s="464"/>
      <c r="D1282" s="464" t="s">
        <v>1709</v>
      </c>
      <c r="E1282" s="464" t="s">
        <v>4157</v>
      </c>
      <c r="F1282" s="464" t="s">
        <v>4158</v>
      </c>
      <c r="G1282" s="464" t="s">
        <v>4035</v>
      </c>
      <c r="H1282" s="464" t="s">
        <v>4036</v>
      </c>
      <c r="I1282" s="464" t="s">
        <v>1684</v>
      </c>
    </row>
    <row r="1283" ht="15.95" customHeight="1">
      <c r="A1283" s="464" t="s">
        <v>4167</v>
      </c>
      <c r="B1283" s="464" t="s">
        <v>4168</v>
      </c>
      <c r="C1283" s="464"/>
      <c r="D1283" s="464" t="s">
        <v>1709</v>
      </c>
      <c r="E1283" s="464" t="s">
        <v>4157</v>
      </c>
      <c r="F1283" s="464" t="s">
        <v>4158</v>
      </c>
      <c r="G1283" s="464" t="s">
        <v>4035</v>
      </c>
      <c r="H1283" s="464" t="s">
        <v>4036</v>
      </c>
      <c r="I1283" s="464" t="s">
        <v>1684</v>
      </c>
    </row>
    <row r="1284" ht="15.95" customHeight="1">
      <c r="A1284" s="464" t="s">
        <v>4169</v>
      </c>
      <c r="B1284" s="464" t="s">
        <v>4170</v>
      </c>
      <c r="C1284" s="464"/>
      <c r="D1284" s="464" t="s">
        <v>1709</v>
      </c>
      <c r="E1284" s="464" t="s">
        <v>4157</v>
      </c>
      <c r="F1284" s="464" t="s">
        <v>4158</v>
      </c>
      <c r="G1284" s="464" t="s">
        <v>4035</v>
      </c>
      <c r="H1284" s="464" t="s">
        <v>4036</v>
      </c>
      <c r="I1284" s="464" t="s">
        <v>1684</v>
      </c>
    </row>
    <row r="1285" ht="15.95" customHeight="1">
      <c r="A1285" s="464" t="s">
        <v>4171</v>
      </c>
      <c r="B1285" s="464" t="s">
        <v>4172</v>
      </c>
      <c r="C1285" s="464"/>
      <c r="D1285" s="464" t="s">
        <v>1709</v>
      </c>
      <c r="E1285" s="464" t="s">
        <v>4157</v>
      </c>
      <c r="F1285" s="464" t="s">
        <v>4158</v>
      </c>
      <c r="G1285" s="464" t="s">
        <v>4035</v>
      </c>
      <c r="H1285" s="464" t="s">
        <v>4036</v>
      </c>
      <c r="I1285" s="464" t="s">
        <v>1684</v>
      </c>
    </row>
    <row r="1286" ht="15.95" customHeight="1">
      <c r="A1286" s="464" t="s">
        <v>4173</v>
      </c>
      <c r="B1286" s="464" t="s">
        <v>2685</v>
      </c>
      <c r="C1286" s="464"/>
      <c r="D1286" s="464" t="s">
        <v>1709</v>
      </c>
      <c r="E1286" s="464" t="s">
        <v>4157</v>
      </c>
      <c r="F1286" s="464" t="s">
        <v>4158</v>
      </c>
      <c r="G1286" s="464" t="s">
        <v>4035</v>
      </c>
      <c r="H1286" s="464" t="s">
        <v>4036</v>
      </c>
      <c r="I1286" s="464" t="s">
        <v>1684</v>
      </c>
    </row>
    <row r="1287" ht="15.95" customHeight="1">
      <c r="A1287" s="464" t="s">
        <v>4174</v>
      </c>
      <c r="B1287" s="464" t="s">
        <v>4028</v>
      </c>
      <c r="C1287" s="464"/>
      <c r="D1287" s="464" t="s">
        <v>1709</v>
      </c>
      <c r="E1287" s="464" t="s">
        <v>4157</v>
      </c>
      <c r="F1287" s="464" t="s">
        <v>4158</v>
      </c>
      <c r="G1287" s="464" t="s">
        <v>4035</v>
      </c>
      <c r="H1287" s="464" t="s">
        <v>4036</v>
      </c>
      <c r="I1287" s="464" t="s">
        <v>1684</v>
      </c>
    </row>
    <row r="1288" ht="15.95" customHeight="1">
      <c r="A1288" s="464" t="s">
        <v>4175</v>
      </c>
      <c r="B1288" s="464" t="s">
        <v>4176</v>
      </c>
      <c r="C1288" s="464"/>
      <c r="D1288" s="464" t="s">
        <v>1738</v>
      </c>
      <c r="E1288" s="464" t="s">
        <v>4177</v>
      </c>
      <c r="F1288" s="464" t="s">
        <v>4178</v>
      </c>
      <c r="G1288" s="464" t="s">
        <v>4035</v>
      </c>
      <c r="H1288" s="464" t="s">
        <v>4036</v>
      </c>
      <c r="I1288" s="464" t="s">
        <v>1684</v>
      </c>
    </row>
    <row r="1289" ht="15.95" customHeight="1">
      <c r="A1289" s="464" t="s">
        <v>4179</v>
      </c>
      <c r="B1289" s="464" t="s">
        <v>4180</v>
      </c>
      <c r="C1289" s="464"/>
      <c r="D1289" s="464" t="s">
        <v>1709</v>
      </c>
      <c r="E1289" s="464" t="s">
        <v>4177</v>
      </c>
      <c r="F1289" s="464" t="s">
        <v>4178</v>
      </c>
      <c r="G1289" s="464" t="s">
        <v>4035</v>
      </c>
      <c r="H1289" s="464" t="s">
        <v>4036</v>
      </c>
      <c r="I1289" s="464" t="s">
        <v>1684</v>
      </c>
    </row>
    <row r="1290" ht="15.95" customHeight="1">
      <c r="A1290" s="464" t="s">
        <v>4181</v>
      </c>
      <c r="B1290" s="464" t="s">
        <v>4182</v>
      </c>
      <c r="C1290" s="464"/>
      <c r="D1290" s="464" t="s">
        <v>1709</v>
      </c>
      <c r="E1290" s="464" t="s">
        <v>4177</v>
      </c>
      <c r="F1290" s="464" t="s">
        <v>4178</v>
      </c>
      <c r="G1290" s="464" t="s">
        <v>4035</v>
      </c>
      <c r="H1290" s="464" t="s">
        <v>4036</v>
      </c>
      <c r="I1290" s="464" t="s">
        <v>1684</v>
      </c>
    </row>
    <row r="1291" ht="15.95" customHeight="1">
      <c r="A1291" s="464" t="s">
        <v>4183</v>
      </c>
      <c r="B1291" s="464" t="s">
        <v>4184</v>
      </c>
      <c r="C1291" s="464"/>
      <c r="D1291" s="464" t="s">
        <v>1709</v>
      </c>
      <c r="E1291" s="464" t="s">
        <v>4177</v>
      </c>
      <c r="F1291" s="464" t="s">
        <v>4178</v>
      </c>
      <c r="G1291" s="464" t="s">
        <v>4035</v>
      </c>
      <c r="H1291" s="464" t="s">
        <v>4036</v>
      </c>
      <c r="I1291" s="464" t="s">
        <v>1684</v>
      </c>
    </row>
    <row r="1292" ht="15.95" customHeight="1">
      <c r="A1292" s="464" t="s">
        <v>4185</v>
      </c>
      <c r="B1292" s="464" t="s">
        <v>4186</v>
      </c>
      <c r="C1292" s="464"/>
      <c r="D1292" s="464" t="s">
        <v>1709</v>
      </c>
      <c r="E1292" s="464" t="s">
        <v>4177</v>
      </c>
      <c r="F1292" s="464" t="s">
        <v>4178</v>
      </c>
      <c r="G1292" s="464" t="s">
        <v>4035</v>
      </c>
      <c r="H1292" s="464" t="s">
        <v>4036</v>
      </c>
      <c r="I1292" s="464" t="s">
        <v>1684</v>
      </c>
    </row>
    <row r="1293" ht="15.95" customHeight="1">
      <c r="A1293" s="464" t="s">
        <v>4187</v>
      </c>
      <c r="B1293" s="464" t="s">
        <v>4188</v>
      </c>
      <c r="C1293" s="464"/>
      <c r="D1293" s="464" t="s">
        <v>1709</v>
      </c>
      <c r="E1293" s="464" t="s">
        <v>4177</v>
      </c>
      <c r="F1293" s="464" t="s">
        <v>4178</v>
      </c>
      <c r="G1293" s="464" t="s">
        <v>4035</v>
      </c>
      <c r="H1293" s="464" t="s">
        <v>4036</v>
      </c>
      <c r="I1293" s="464" t="s">
        <v>1684</v>
      </c>
    </row>
    <row r="1294" ht="15.95" customHeight="1">
      <c r="A1294" s="464" t="s">
        <v>4189</v>
      </c>
      <c r="B1294" s="464" t="s">
        <v>4190</v>
      </c>
      <c r="C1294" s="464"/>
      <c r="D1294" s="464" t="s">
        <v>1709</v>
      </c>
      <c r="E1294" s="464" t="s">
        <v>4177</v>
      </c>
      <c r="F1294" s="464" t="s">
        <v>4178</v>
      </c>
      <c r="G1294" s="464" t="s">
        <v>4035</v>
      </c>
      <c r="H1294" s="464" t="s">
        <v>4036</v>
      </c>
      <c r="I1294" s="464" t="s">
        <v>1684</v>
      </c>
    </row>
    <row r="1295" ht="15.95" customHeight="1">
      <c r="A1295" s="464" t="s">
        <v>4191</v>
      </c>
      <c r="B1295" s="464" t="s">
        <v>4192</v>
      </c>
      <c r="C1295" s="464"/>
      <c r="D1295" s="464" t="s">
        <v>1709</v>
      </c>
      <c r="E1295" s="464" t="s">
        <v>4177</v>
      </c>
      <c r="F1295" s="464" t="s">
        <v>4178</v>
      </c>
      <c r="G1295" s="464" t="s">
        <v>4035</v>
      </c>
      <c r="H1295" s="464" t="s">
        <v>4036</v>
      </c>
      <c r="I1295" s="464" t="s">
        <v>1684</v>
      </c>
    </row>
    <row r="1296" ht="15.95" customHeight="1">
      <c r="A1296" s="464" t="s">
        <v>4193</v>
      </c>
      <c r="B1296" s="464" t="s">
        <v>4194</v>
      </c>
      <c r="C1296" s="464"/>
      <c r="D1296" s="464" t="s">
        <v>1709</v>
      </c>
      <c r="E1296" s="464" t="s">
        <v>4177</v>
      </c>
      <c r="F1296" s="464" t="s">
        <v>4178</v>
      </c>
      <c r="G1296" s="464" t="s">
        <v>4035</v>
      </c>
      <c r="H1296" s="464" t="s">
        <v>4036</v>
      </c>
      <c r="I1296" s="464" t="s">
        <v>1684</v>
      </c>
    </row>
    <row r="1297" ht="15.95" customHeight="1">
      <c r="A1297" s="464" t="s">
        <v>4195</v>
      </c>
      <c r="B1297" s="464" t="s">
        <v>4196</v>
      </c>
      <c r="C1297" s="464"/>
      <c r="D1297" s="464" t="s">
        <v>1709</v>
      </c>
      <c r="E1297" s="464" t="s">
        <v>4177</v>
      </c>
      <c r="F1297" s="464" t="s">
        <v>4178</v>
      </c>
      <c r="G1297" s="464" t="s">
        <v>4035</v>
      </c>
      <c r="H1297" s="464" t="s">
        <v>4036</v>
      </c>
      <c r="I1297" s="464" t="s">
        <v>1684</v>
      </c>
    </row>
    <row r="1298" ht="15.95" customHeight="1">
      <c r="A1298" s="464" t="s">
        <v>4197</v>
      </c>
      <c r="B1298" s="464" t="s">
        <v>4198</v>
      </c>
      <c r="C1298" s="464"/>
      <c r="D1298" s="464" t="s">
        <v>1709</v>
      </c>
      <c r="E1298" s="464" t="s">
        <v>4177</v>
      </c>
      <c r="F1298" s="464" t="s">
        <v>4178</v>
      </c>
      <c r="G1298" s="464" t="s">
        <v>4035</v>
      </c>
      <c r="H1298" s="464" t="s">
        <v>4036</v>
      </c>
      <c r="I1298" s="464" t="s">
        <v>1684</v>
      </c>
    </row>
    <row r="1299" ht="15.95" customHeight="1">
      <c r="A1299" s="464" t="s">
        <v>4199</v>
      </c>
      <c r="B1299" s="464" t="s">
        <v>4200</v>
      </c>
      <c r="C1299" s="464"/>
      <c r="D1299" s="464" t="s">
        <v>1738</v>
      </c>
      <c r="E1299" s="464" t="s">
        <v>4201</v>
      </c>
      <c r="F1299" s="464" t="s">
        <v>4202</v>
      </c>
      <c r="G1299" s="464" t="s">
        <v>4035</v>
      </c>
      <c r="H1299" s="464" t="s">
        <v>4036</v>
      </c>
      <c r="I1299" s="464" t="s">
        <v>1684</v>
      </c>
    </row>
    <row r="1300" ht="15.95" customHeight="1">
      <c r="A1300" s="464" t="s">
        <v>4203</v>
      </c>
      <c r="B1300" s="464" t="s">
        <v>4204</v>
      </c>
      <c r="C1300" s="464"/>
      <c r="D1300" s="464" t="s">
        <v>1738</v>
      </c>
      <c r="E1300" s="464" t="s">
        <v>4201</v>
      </c>
      <c r="F1300" s="464" t="s">
        <v>4202</v>
      </c>
      <c r="G1300" s="464" t="s">
        <v>4035</v>
      </c>
      <c r="H1300" s="464" t="s">
        <v>4036</v>
      </c>
      <c r="I1300" s="464" t="s">
        <v>1684</v>
      </c>
    </row>
    <row r="1301" ht="15.95" customHeight="1">
      <c r="A1301" s="464" t="s">
        <v>4205</v>
      </c>
      <c r="B1301" s="464" t="s">
        <v>4206</v>
      </c>
      <c r="C1301" s="464"/>
      <c r="D1301" s="464" t="s">
        <v>1738</v>
      </c>
      <c r="E1301" s="464" t="s">
        <v>4201</v>
      </c>
      <c r="F1301" s="464" t="s">
        <v>4202</v>
      </c>
      <c r="G1301" s="464" t="s">
        <v>4035</v>
      </c>
      <c r="H1301" s="464" t="s">
        <v>4036</v>
      </c>
      <c r="I1301" s="464" t="s">
        <v>1684</v>
      </c>
    </row>
    <row r="1302" ht="15.95" customHeight="1">
      <c r="A1302" s="464" t="s">
        <v>4207</v>
      </c>
      <c r="B1302" s="464" t="s">
        <v>4208</v>
      </c>
      <c r="C1302" s="464"/>
      <c r="D1302" s="464" t="s">
        <v>1709</v>
      </c>
      <c r="E1302" s="464" t="s">
        <v>4201</v>
      </c>
      <c r="F1302" s="464" t="s">
        <v>4202</v>
      </c>
      <c r="G1302" s="464" t="s">
        <v>4035</v>
      </c>
      <c r="H1302" s="464" t="s">
        <v>4036</v>
      </c>
      <c r="I1302" s="464" t="s">
        <v>1684</v>
      </c>
    </row>
    <row r="1303" ht="15.95" customHeight="1">
      <c r="A1303" s="464" t="s">
        <v>4209</v>
      </c>
      <c r="B1303" s="464" t="s">
        <v>4210</v>
      </c>
      <c r="C1303" s="464"/>
      <c r="D1303" s="464" t="s">
        <v>1709</v>
      </c>
      <c r="E1303" s="464" t="s">
        <v>4201</v>
      </c>
      <c r="F1303" s="464" t="s">
        <v>4202</v>
      </c>
      <c r="G1303" s="464" t="s">
        <v>4035</v>
      </c>
      <c r="H1303" s="464" t="s">
        <v>4036</v>
      </c>
      <c r="I1303" s="464" t="s">
        <v>1684</v>
      </c>
    </row>
    <row r="1304" ht="15.95" customHeight="1">
      <c r="A1304" s="464" t="s">
        <v>4211</v>
      </c>
      <c r="B1304" s="464" t="s">
        <v>4212</v>
      </c>
      <c r="C1304" s="464"/>
      <c r="D1304" s="464" t="s">
        <v>1709</v>
      </c>
      <c r="E1304" s="464" t="s">
        <v>4201</v>
      </c>
      <c r="F1304" s="464" t="s">
        <v>4202</v>
      </c>
      <c r="G1304" s="464" t="s">
        <v>4035</v>
      </c>
      <c r="H1304" s="464" t="s">
        <v>4036</v>
      </c>
      <c r="I1304" s="464" t="s">
        <v>1684</v>
      </c>
    </row>
    <row r="1305" ht="15.95" customHeight="1">
      <c r="A1305" s="464" t="s">
        <v>4213</v>
      </c>
      <c r="B1305" s="464" t="s">
        <v>3021</v>
      </c>
      <c r="C1305" s="464"/>
      <c r="D1305" s="464" t="s">
        <v>1709</v>
      </c>
      <c r="E1305" s="464" t="s">
        <v>4201</v>
      </c>
      <c r="F1305" s="464" t="s">
        <v>4202</v>
      </c>
      <c r="G1305" s="464" t="s">
        <v>4035</v>
      </c>
      <c r="H1305" s="464" t="s">
        <v>4036</v>
      </c>
      <c r="I1305" s="464" t="s">
        <v>1684</v>
      </c>
    </row>
    <row r="1306" ht="15.95" customHeight="1">
      <c r="A1306" s="464" t="s">
        <v>4214</v>
      </c>
      <c r="B1306" s="464" t="s">
        <v>3075</v>
      </c>
      <c r="C1306" s="464"/>
      <c r="D1306" s="464" t="s">
        <v>1709</v>
      </c>
      <c r="E1306" s="464" t="s">
        <v>4201</v>
      </c>
      <c r="F1306" s="464" t="s">
        <v>4202</v>
      </c>
      <c r="G1306" s="464" t="s">
        <v>4035</v>
      </c>
      <c r="H1306" s="464" t="s">
        <v>4036</v>
      </c>
      <c r="I1306" s="464" t="s">
        <v>1684</v>
      </c>
    </row>
    <row r="1307" ht="15.95" customHeight="1">
      <c r="A1307" s="464" t="s">
        <v>4215</v>
      </c>
      <c r="B1307" s="464" t="s">
        <v>4216</v>
      </c>
      <c r="C1307" s="464"/>
      <c r="D1307" s="464" t="s">
        <v>1709</v>
      </c>
      <c r="E1307" s="464" t="s">
        <v>4201</v>
      </c>
      <c r="F1307" s="464" t="s">
        <v>4202</v>
      </c>
      <c r="G1307" s="464" t="s">
        <v>4035</v>
      </c>
      <c r="H1307" s="464" t="s">
        <v>4036</v>
      </c>
      <c r="I1307" s="464" t="s">
        <v>1684</v>
      </c>
    </row>
    <row r="1308" ht="15.95" customHeight="1">
      <c r="A1308" s="464" t="s">
        <v>4217</v>
      </c>
      <c r="B1308" s="464" t="s">
        <v>4218</v>
      </c>
      <c r="C1308" s="464"/>
      <c r="D1308" s="464" t="s">
        <v>1709</v>
      </c>
      <c r="E1308" s="464" t="s">
        <v>4201</v>
      </c>
      <c r="F1308" s="464" t="s">
        <v>4202</v>
      </c>
      <c r="G1308" s="464" t="s">
        <v>4035</v>
      </c>
      <c r="H1308" s="464" t="s">
        <v>4036</v>
      </c>
      <c r="I1308" s="464" t="s">
        <v>1684</v>
      </c>
    </row>
    <row r="1309" ht="15.95" customHeight="1">
      <c r="A1309" s="464" t="s">
        <v>4219</v>
      </c>
      <c r="B1309" s="464" t="s">
        <v>2697</v>
      </c>
      <c r="C1309" s="464"/>
      <c r="D1309" s="464" t="s">
        <v>1709</v>
      </c>
      <c r="E1309" s="464" t="s">
        <v>4201</v>
      </c>
      <c r="F1309" s="464" t="s">
        <v>4202</v>
      </c>
      <c r="G1309" s="464" t="s">
        <v>4035</v>
      </c>
      <c r="H1309" s="464" t="s">
        <v>4036</v>
      </c>
      <c r="I1309" s="464" t="s">
        <v>1684</v>
      </c>
    </row>
    <row r="1310" ht="15.95" customHeight="1">
      <c r="A1310" s="464" t="s">
        <v>4220</v>
      </c>
      <c r="B1310" s="464" t="s">
        <v>4221</v>
      </c>
      <c r="C1310" s="464"/>
      <c r="D1310" s="464" t="s">
        <v>1709</v>
      </c>
      <c r="E1310" s="464" t="s">
        <v>4201</v>
      </c>
      <c r="F1310" s="464" t="s">
        <v>4202</v>
      </c>
      <c r="G1310" s="464" t="s">
        <v>4035</v>
      </c>
      <c r="H1310" s="464" t="s">
        <v>4036</v>
      </c>
      <c r="I1310" s="464" t="s">
        <v>1684</v>
      </c>
    </row>
    <row r="1311" ht="15.95" customHeight="1">
      <c r="A1311" s="464" t="s">
        <v>4222</v>
      </c>
      <c r="B1311" s="464" t="s">
        <v>4223</v>
      </c>
      <c r="C1311" s="464"/>
      <c r="D1311" s="464" t="s">
        <v>1709</v>
      </c>
      <c r="E1311" s="464" t="s">
        <v>4201</v>
      </c>
      <c r="F1311" s="464" t="s">
        <v>4202</v>
      </c>
      <c r="G1311" s="464" t="s">
        <v>4035</v>
      </c>
      <c r="H1311" s="464" t="s">
        <v>4036</v>
      </c>
      <c r="I1311" s="464" t="s">
        <v>1684</v>
      </c>
    </row>
    <row r="1312" ht="15.95" customHeight="1">
      <c r="A1312" s="464" t="s">
        <v>4224</v>
      </c>
      <c r="B1312" s="464" t="s">
        <v>4225</v>
      </c>
      <c r="C1312" s="464"/>
      <c r="D1312" s="464" t="s">
        <v>1709</v>
      </c>
      <c r="E1312" s="464" t="s">
        <v>4201</v>
      </c>
      <c r="F1312" s="464" t="s">
        <v>4202</v>
      </c>
      <c r="G1312" s="464" t="s">
        <v>4035</v>
      </c>
      <c r="H1312" s="464" t="s">
        <v>4036</v>
      </c>
      <c r="I1312" s="464" t="s">
        <v>1684</v>
      </c>
    </row>
    <row r="1313" ht="15.95" customHeight="1">
      <c r="A1313" s="464" t="s">
        <v>4226</v>
      </c>
      <c r="B1313" s="464" t="s">
        <v>4227</v>
      </c>
      <c r="C1313" s="464"/>
      <c r="D1313" s="464" t="s">
        <v>1709</v>
      </c>
      <c r="E1313" s="464" t="s">
        <v>4201</v>
      </c>
      <c r="F1313" s="464" t="s">
        <v>4202</v>
      </c>
      <c r="G1313" s="464" t="s">
        <v>4035</v>
      </c>
      <c r="H1313" s="464" t="s">
        <v>4036</v>
      </c>
      <c r="I1313" s="464" t="s">
        <v>1684</v>
      </c>
    </row>
    <row r="1314" ht="15.95" customHeight="1">
      <c r="A1314" s="464" t="s">
        <v>4228</v>
      </c>
      <c r="B1314" s="464" t="s">
        <v>4229</v>
      </c>
      <c r="C1314" s="464"/>
      <c r="D1314" s="464" t="s">
        <v>1709</v>
      </c>
      <c r="E1314" s="464" t="s">
        <v>4201</v>
      </c>
      <c r="F1314" s="464" t="s">
        <v>4202</v>
      </c>
      <c r="G1314" s="464" t="s">
        <v>4035</v>
      </c>
      <c r="H1314" s="464" t="s">
        <v>4036</v>
      </c>
      <c r="I1314" s="464" t="s">
        <v>1684</v>
      </c>
    </row>
    <row r="1315" ht="15.95" customHeight="1">
      <c r="A1315" s="464" t="s">
        <v>4230</v>
      </c>
      <c r="B1315" s="464" t="s">
        <v>4231</v>
      </c>
      <c r="C1315" s="464"/>
      <c r="D1315" s="464" t="s">
        <v>1709</v>
      </c>
      <c r="E1315" s="464" t="s">
        <v>4201</v>
      </c>
      <c r="F1315" s="464" t="s">
        <v>4202</v>
      </c>
      <c r="G1315" s="464" t="s">
        <v>4035</v>
      </c>
      <c r="H1315" s="464" t="s">
        <v>4036</v>
      </c>
      <c r="I1315" s="464" t="s">
        <v>1684</v>
      </c>
    </row>
    <row r="1316" ht="15.95" customHeight="1">
      <c r="A1316" s="464" t="s">
        <v>4232</v>
      </c>
      <c r="B1316" s="464" t="s">
        <v>4233</v>
      </c>
      <c r="C1316" s="464"/>
      <c r="D1316" s="464" t="s">
        <v>1709</v>
      </c>
      <c r="E1316" s="464" t="s">
        <v>4201</v>
      </c>
      <c r="F1316" s="464" t="s">
        <v>4202</v>
      </c>
      <c r="G1316" s="464" t="s">
        <v>4035</v>
      </c>
      <c r="H1316" s="464" t="s">
        <v>4036</v>
      </c>
      <c r="I1316" s="464" t="s">
        <v>1684</v>
      </c>
    </row>
    <row r="1317" ht="15.95" customHeight="1">
      <c r="A1317" s="464" t="s">
        <v>4234</v>
      </c>
      <c r="B1317" s="464" t="s">
        <v>4235</v>
      </c>
      <c r="C1317" s="464"/>
      <c r="D1317" s="464" t="s">
        <v>1709</v>
      </c>
      <c r="E1317" s="464" t="s">
        <v>4201</v>
      </c>
      <c r="F1317" s="464" t="s">
        <v>4202</v>
      </c>
      <c r="G1317" s="464" t="s">
        <v>4035</v>
      </c>
      <c r="H1317" s="464" t="s">
        <v>4036</v>
      </c>
      <c r="I1317" s="464" t="s">
        <v>1684</v>
      </c>
    </row>
    <row r="1318" ht="15.95" customHeight="1">
      <c r="A1318" s="464" t="s">
        <v>4236</v>
      </c>
      <c r="B1318" s="464" t="s">
        <v>4237</v>
      </c>
      <c r="C1318" s="464"/>
      <c r="D1318" s="464" t="s">
        <v>1709</v>
      </c>
      <c r="E1318" s="464" t="s">
        <v>4201</v>
      </c>
      <c r="F1318" s="464" t="s">
        <v>4202</v>
      </c>
      <c r="G1318" s="464" t="s">
        <v>4035</v>
      </c>
      <c r="H1318" s="464" t="s">
        <v>4036</v>
      </c>
      <c r="I1318" s="464" t="s">
        <v>1684</v>
      </c>
    </row>
    <row r="1319" ht="15.95" customHeight="1">
      <c r="A1319" s="464" t="s">
        <v>4238</v>
      </c>
      <c r="B1319" s="464" t="s">
        <v>4239</v>
      </c>
      <c r="C1319" s="464"/>
      <c r="D1319" s="464" t="s">
        <v>1738</v>
      </c>
      <c r="E1319" s="464" t="s">
        <v>4240</v>
      </c>
      <c r="F1319" s="464" t="s">
        <v>4241</v>
      </c>
      <c r="G1319" s="464" t="s">
        <v>4035</v>
      </c>
      <c r="H1319" s="464" t="s">
        <v>4036</v>
      </c>
      <c r="I1319" s="464" t="s">
        <v>1684</v>
      </c>
    </row>
    <row r="1320" ht="15.95" customHeight="1">
      <c r="A1320" s="464" t="s">
        <v>4242</v>
      </c>
      <c r="B1320" s="464" t="s">
        <v>4243</v>
      </c>
      <c r="C1320" s="464"/>
      <c r="D1320" s="464" t="s">
        <v>1709</v>
      </c>
      <c r="E1320" s="464" t="s">
        <v>4240</v>
      </c>
      <c r="F1320" s="464" t="s">
        <v>4241</v>
      </c>
      <c r="G1320" s="464" t="s">
        <v>4035</v>
      </c>
      <c r="H1320" s="464" t="s">
        <v>4036</v>
      </c>
      <c r="I1320" s="464" t="s">
        <v>1684</v>
      </c>
    </row>
    <row r="1321" ht="15.95" customHeight="1">
      <c r="A1321" s="464" t="s">
        <v>4244</v>
      </c>
      <c r="B1321" s="464" t="s">
        <v>4245</v>
      </c>
      <c r="C1321" s="464"/>
      <c r="D1321" s="464" t="s">
        <v>1709</v>
      </c>
      <c r="E1321" s="464" t="s">
        <v>4240</v>
      </c>
      <c r="F1321" s="464" t="s">
        <v>4241</v>
      </c>
      <c r="G1321" s="464" t="s">
        <v>4035</v>
      </c>
      <c r="H1321" s="464" t="s">
        <v>4036</v>
      </c>
      <c r="I1321" s="464" t="s">
        <v>1684</v>
      </c>
    </row>
    <row r="1322" ht="15.95" customHeight="1">
      <c r="A1322" s="464" t="s">
        <v>4246</v>
      </c>
      <c r="B1322" s="464" t="s">
        <v>4247</v>
      </c>
      <c r="C1322" s="464"/>
      <c r="D1322" s="464" t="s">
        <v>1709</v>
      </c>
      <c r="E1322" s="464" t="s">
        <v>4240</v>
      </c>
      <c r="F1322" s="464" t="s">
        <v>4241</v>
      </c>
      <c r="G1322" s="464" t="s">
        <v>4035</v>
      </c>
      <c r="H1322" s="464" t="s">
        <v>4036</v>
      </c>
      <c r="I1322" s="464" t="s">
        <v>1684</v>
      </c>
    </row>
    <row r="1323" ht="15.95" customHeight="1">
      <c r="A1323" s="464" t="s">
        <v>4248</v>
      </c>
      <c r="B1323" s="464" t="s">
        <v>4249</v>
      </c>
      <c r="C1323" s="464"/>
      <c r="D1323" s="464" t="s">
        <v>1709</v>
      </c>
      <c r="E1323" s="464" t="s">
        <v>4240</v>
      </c>
      <c r="F1323" s="464" t="s">
        <v>4241</v>
      </c>
      <c r="G1323" s="464" t="s">
        <v>4035</v>
      </c>
      <c r="H1323" s="464" t="s">
        <v>4036</v>
      </c>
      <c r="I1323" s="464" t="s">
        <v>1684</v>
      </c>
    </row>
    <row r="1324" ht="15.95" customHeight="1">
      <c r="A1324" s="464" t="s">
        <v>4250</v>
      </c>
      <c r="B1324" s="464" t="s">
        <v>2563</v>
      </c>
      <c r="C1324" s="464"/>
      <c r="D1324" s="464" t="s">
        <v>1709</v>
      </c>
      <c r="E1324" s="464" t="s">
        <v>4240</v>
      </c>
      <c r="F1324" s="464" t="s">
        <v>4241</v>
      </c>
      <c r="G1324" s="464" t="s">
        <v>4035</v>
      </c>
      <c r="H1324" s="464" t="s">
        <v>4036</v>
      </c>
      <c r="I1324" s="464" t="s">
        <v>1684</v>
      </c>
    </row>
    <row r="1325" ht="15.95" customHeight="1">
      <c r="A1325" s="464" t="s">
        <v>4251</v>
      </c>
      <c r="B1325" s="464" t="s">
        <v>4252</v>
      </c>
      <c r="C1325" s="464"/>
      <c r="D1325" s="464" t="s">
        <v>1709</v>
      </c>
      <c r="E1325" s="464" t="s">
        <v>4240</v>
      </c>
      <c r="F1325" s="464" t="s">
        <v>4241</v>
      </c>
      <c r="G1325" s="464" t="s">
        <v>4035</v>
      </c>
      <c r="H1325" s="464" t="s">
        <v>4036</v>
      </c>
      <c r="I1325" s="464" t="s">
        <v>1684</v>
      </c>
    </row>
    <row r="1326" ht="15.95" customHeight="1">
      <c r="A1326" s="464" t="s">
        <v>4253</v>
      </c>
      <c r="B1326" s="464" t="s">
        <v>2807</v>
      </c>
      <c r="C1326" s="464"/>
      <c r="D1326" s="464" t="s">
        <v>1709</v>
      </c>
      <c r="E1326" s="464" t="s">
        <v>4240</v>
      </c>
      <c r="F1326" s="464" t="s">
        <v>4241</v>
      </c>
      <c r="G1326" s="464" t="s">
        <v>4035</v>
      </c>
      <c r="H1326" s="464" t="s">
        <v>4036</v>
      </c>
      <c r="I1326" s="464" t="s">
        <v>1684</v>
      </c>
    </row>
    <row r="1327" ht="15.95" customHeight="1">
      <c r="A1327" s="464" t="s">
        <v>4254</v>
      </c>
      <c r="B1327" s="464" t="s">
        <v>4255</v>
      </c>
      <c r="C1327" s="464"/>
      <c r="D1327" s="464" t="s">
        <v>1709</v>
      </c>
      <c r="E1327" s="464" t="s">
        <v>4240</v>
      </c>
      <c r="F1327" s="464" t="s">
        <v>4241</v>
      </c>
      <c r="G1327" s="464" t="s">
        <v>4035</v>
      </c>
      <c r="H1327" s="464" t="s">
        <v>4036</v>
      </c>
      <c r="I1327" s="464" t="s">
        <v>1684</v>
      </c>
    </row>
    <row r="1328" ht="15.95" customHeight="1">
      <c r="A1328" s="464" t="s">
        <v>4256</v>
      </c>
      <c r="B1328" s="464" t="s">
        <v>4257</v>
      </c>
      <c r="C1328" s="464"/>
      <c r="D1328" s="464" t="s">
        <v>1709</v>
      </c>
      <c r="E1328" s="464" t="s">
        <v>4240</v>
      </c>
      <c r="F1328" s="464" t="s">
        <v>4241</v>
      </c>
      <c r="G1328" s="464" t="s">
        <v>4035</v>
      </c>
      <c r="H1328" s="464" t="s">
        <v>4036</v>
      </c>
      <c r="I1328" s="464" t="s">
        <v>1684</v>
      </c>
    </row>
    <row r="1329" ht="15.95" customHeight="1">
      <c r="A1329" s="464" t="s">
        <v>4258</v>
      </c>
      <c r="B1329" s="464" t="s">
        <v>2455</v>
      </c>
      <c r="C1329" s="464"/>
      <c r="D1329" s="464" t="s">
        <v>1709</v>
      </c>
      <c r="E1329" s="464" t="s">
        <v>4240</v>
      </c>
      <c r="F1329" s="464" t="s">
        <v>4241</v>
      </c>
      <c r="G1329" s="464" t="s">
        <v>4035</v>
      </c>
      <c r="H1329" s="464" t="s">
        <v>4036</v>
      </c>
      <c r="I1329" s="464" t="s">
        <v>1684</v>
      </c>
    </row>
    <row r="1330" ht="15.95" customHeight="1">
      <c r="A1330" s="464" t="s">
        <v>4259</v>
      </c>
      <c r="B1330" s="464" t="s">
        <v>4260</v>
      </c>
      <c r="C1330" s="464"/>
      <c r="D1330" s="464" t="s">
        <v>1709</v>
      </c>
      <c r="E1330" s="464" t="s">
        <v>4240</v>
      </c>
      <c r="F1330" s="464" t="s">
        <v>4241</v>
      </c>
      <c r="G1330" s="464" t="s">
        <v>4035</v>
      </c>
      <c r="H1330" s="464" t="s">
        <v>4036</v>
      </c>
      <c r="I1330" s="464" t="s">
        <v>1684</v>
      </c>
    </row>
    <row r="1331" ht="15.95" customHeight="1">
      <c r="A1331" s="464" t="s">
        <v>4261</v>
      </c>
      <c r="B1331" s="464" t="s">
        <v>2775</v>
      </c>
      <c r="C1331" s="464"/>
      <c r="D1331" s="464" t="s">
        <v>1709</v>
      </c>
      <c r="E1331" s="464" t="s">
        <v>4240</v>
      </c>
      <c r="F1331" s="464" t="s">
        <v>4241</v>
      </c>
      <c r="G1331" s="464" t="s">
        <v>4035</v>
      </c>
      <c r="H1331" s="464" t="s">
        <v>4036</v>
      </c>
      <c r="I1331" s="464" t="s">
        <v>1684</v>
      </c>
    </row>
    <row r="1332" ht="15.95" customHeight="1">
      <c r="A1332" s="464" t="s">
        <v>4262</v>
      </c>
      <c r="B1332" s="464" t="s">
        <v>4263</v>
      </c>
      <c r="C1332" s="464"/>
      <c r="D1332" s="464" t="s">
        <v>1709</v>
      </c>
      <c r="E1332" s="464" t="s">
        <v>4240</v>
      </c>
      <c r="F1332" s="464" t="s">
        <v>4241</v>
      </c>
      <c r="G1332" s="464" t="s">
        <v>4035</v>
      </c>
      <c r="H1332" s="464" t="s">
        <v>4036</v>
      </c>
      <c r="I1332" s="464" t="s">
        <v>1684</v>
      </c>
    </row>
    <row r="1333" ht="15.95" customHeight="1">
      <c r="A1333" s="464" t="s">
        <v>4264</v>
      </c>
      <c r="B1333" s="464" t="s">
        <v>4265</v>
      </c>
      <c r="C1333" s="464"/>
      <c r="D1333" s="464" t="s">
        <v>1709</v>
      </c>
      <c r="E1333" s="464" t="s">
        <v>4240</v>
      </c>
      <c r="F1333" s="464" t="s">
        <v>4241</v>
      </c>
      <c r="G1333" s="464" t="s">
        <v>4035</v>
      </c>
      <c r="H1333" s="464" t="s">
        <v>4036</v>
      </c>
      <c r="I1333" s="464" t="s">
        <v>1684</v>
      </c>
    </row>
    <row r="1334" ht="15.95" customHeight="1">
      <c r="A1334" s="464" t="s">
        <v>4266</v>
      </c>
      <c r="B1334" s="464" t="s">
        <v>4267</v>
      </c>
      <c r="C1334" s="464"/>
      <c r="D1334" s="464" t="s">
        <v>1738</v>
      </c>
      <c r="E1334" s="464" t="s">
        <v>4268</v>
      </c>
      <c r="F1334" s="464" t="s">
        <v>4269</v>
      </c>
      <c r="G1334" s="464" t="s">
        <v>4035</v>
      </c>
      <c r="H1334" s="464" t="s">
        <v>4036</v>
      </c>
      <c r="I1334" s="464" t="s">
        <v>1684</v>
      </c>
    </row>
    <row r="1335" ht="15.95" customHeight="1">
      <c r="A1335" s="464" t="s">
        <v>4270</v>
      </c>
      <c r="B1335" s="464" t="s">
        <v>4271</v>
      </c>
      <c r="C1335" s="464"/>
      <c r="D1335" s="464" t="s">
        <v>1709</v>
      </c>
      <c r="E1335" s="464" t="s">
        <v>4268</v>
      </c>
      <c r="F1335" s="464" t="s">
        <v>4269</v>
      </c>
      <c r="G1335" s="464" t="s">
        <v>4035</v>
      </c>
      <c r="H1335" s="464" t="s">
        <v>4036</v>
      </c>
      <c r="I1335" s="464" t="s">
        <v>1684</v>
      </c>
    </row>
    <row r="1336" ht="15.95" customHeight="1">
      <c r="A1336" s="464" t="s">
        <v>4272</v>
      </c>
      <c r="B1336" s="464" t="s">
        <v>2012</v>
      </c>
      <c r="C1336" s="464"/>
      <c r="D1336" s="464" t="s">
        <v>1709</v>
      </c>
      <c r="E1336" s="464" t="s">
        <v>4268</v>
      </c>
      <c r="F1336" s="464" t="s">
        <v>4269</v>
      </c>
      <c r="G1336" s="464" t="s">
        <v>4035</v>
      </c>
      <c r="H1336" s="464" t="s">
        <v>4036</v>
      </c>
      <c r="I1336" s="464" t="s">
        <v>1684</v>
      </c>
    </row>
    <row r="1337" ht="15.95" customHeight="1">
      <c r="A1337" s="464" t="s">
        <v>4273</v>
      </c>
      <c r="B1337" s="464" t="s">
        <v>2805</v>
      </c>
      <c r="C1337" s="464"/>
      <c r="D1337" s="464" t="s">
        <v>1709</v>
      </c>
      <c r="E1337" s="464" t="s">
        <v>4268</v>
      </c>
      <c r="F1337" s="464" t="s">
        <v>4269</v>
      </c>
      <c r="G1337" s="464" t="s">
        <v>4035</v>
      </c>
      <c r="H1337" s="464" t="s">
        <v>4036</v>
      </c>
      <c r="I1337" s="464" t="s">
        <v>1684</v>
      </c>
    </row>
    <row r="1338" ht="15.95" customHeight="1">
      <c r="A1338" s="464" t="s">
        <v>4274</v>
      </c>
      <c r="B1338" s="464" t="s">
        <v>4275</v>
      </c>
      <c r="C1338" s="464"/>
      <c r="D1338" s="464" t="s">
        <v>1709</v>
      </c>
      <c r="E1338" s="464" t="s">
        <v>4268</v>
      </c>
      <c r="F1338" s="464" t="s">
        <v>4269</v>
      </c>
      <c r="G1338" s="464" t="s">
        <v>4035</v>
      </c>
      <c r="H1338" s="464" t="s">
        <v>4036</v>
      </c>
      <c r="I1338" s="464" t="s">
        <v>1684</v>
      </c>
    </row>
    <row r="1339" ht="15.95" customHeight="1">
      <c r="A1339" s="464" t="s">
        <v>4276</v>
      </c>
      <c r="B1339" s="464" t="s">
        <v>1990</v>
      </c>
      <c r="C1339" s="464"/>
      <c r="D1339" s="464" t="s">
        <v>1709</v>
      </c>
      <c r="E1339" s="464" t="s">
        <v>4268</v>
      </c>
      <c r="F1339" s="464" t="s">
        <v>4269</v>
      </c>
      <c r="G1339" s="464" t="s">
        <v>4035</v>
      </c>
      <c r="H1339" s="464" t="s">
        <v>4036</v>
      </c>
      <c r="I1339" s="464" t="s">
        <v>1684</v>
      </c>
    </row>
    <row r="1340" ht="15.95" customHeight="1">
      <c r="A1340" s="464" t="s">
        <v>4277</v>
      </c>
      <c r="B1340" s="464" t="s">
        <v>1920</v>
      </c>
      <c r="C1340" s="464"/>
      <c r="D1340" s="464" t="s">
        <v>1709</v>
      </c>
      <c r="E1340" s="464" t="s">
        <v>4268</v>
      </c>
      <c r="F1340" s="464" t="s">
        <v>4269</v>
      </c>
      <c r="G1340" s="464" t="s">
        <v>4035</v>
      </c>
      <c r="H1340" s="464" t="s">
        <v>4036</v>
      </c>
      <c r="I1340" s="464" t="s">
        <v>1684</v>
      </c>
    </row>
    <row r="1341" ht="15.95" customHeight="1">
      <c r="A1341" s="464" t="s">
        <v>4278</v>
      </c>
      <c r="B1341" s="464" t="s">
        <v>4279</v>
      </c>
      <c r="C1341" s="464"/>
      <c r="D1341" s="464" t="s">
        <v>1709</v>
      </c>
      <c r="E1341" s="464" t="s">
        <v>4268</v>
      </c>
      <c r="F1341" s="464" t="s">
        <v>4269</v>
      </c>
      <c r="G1341" s="464" t="s">
        <v>4035</v>
      </c>
      <c r="H1341" s="464" t="s">
        <v>4036</v>
      </c>
      <c r="I1341" s="464" t="s">
        <v>1684</v>
      </c>
    </row>
    <row r="1342" ht="15.95" customHeight="1">
      <c r="A1342" s="464" t="s">
        <v>4280</v>
      </c>
      <c r="B1342" s="464" t="s">
        <v>4281</v>
      </c>
      <c r="C1342" s="464"/>
      <c r="D1342" s="464" t="s">
        <v>1709</v>
      </c>
      <c r="E1342" s="464" t="s">
        <v>4268</v>
      </c>
      <c r="F1342" s="464" t="s">
        <v>4269</v>
      </c>
      <c r="G1342" s="464" t="s">
        <v>4035</v>
      </c>
      <c r="H1342" s="464" t="s">
        <v>4036</v>
      </c>
      <c r="I1342" s="464" t="s">
        <v>1684</v>
      </c>
    </row>
    <row r="1343" ht="15.95" customHeight="1">
      <c r="A1343" s="464" t="s">
        <v>4282</v>
      </c>
      <c r="B1343" s="464" t="s">
        <v>1908</v>
      </c>
      <c r="C1343" s="464"/>
      <c r="D1343" s="464" t="s">
        <v>1709</v>
      </c>
      <c r="E1343" s="464" t="s">
        <v>4268</v>
      </c>
      <c r="F1343" s="464" t="s">
        <v>4269</v>
      </c>
      <c r="G1343" s="464" t="s">
        <v>4035</v>
      </c>
      <c r="H1343" s="464" t="s">
        <v>4036</v>
      </c>
      <c r="I1343" s="464" t="s">
        <v>1684</v>
      </c>
    </row>
    <row r="1344" ht="15.95" customHeight="1">
      <c r="A1344" s="464" t="s">
        <v>4283</v>
      </c>
      <c r="B1344" s="464" t="s">
        <v>4284</v>
      </c>
      <c r="C1344" s="464"/>
      <c r="D1344" s="464" t="s">
        <v>1709</v>
      </c>
      <c r="E1344" s="464" t="s">
        <v>4268</v>
      </c>
      <c r="F1344" s="464" t="s">
        <v>4269</v>
      </c>
      <c r="G1344" s="464" t="s">
        <v>4035</v>
      </c>
      <c r="H1344" s="464" t="s">
        <v>4036</v>
      </c>
      <c r="I1344" s="464" t="s">
        <v>1684</v>
      </c>
    </row>
    <row r="1345" ht="15.95" customHeight="1">
      <c r="A1345" s="464" t="s">
        <v>4285</v>
      </c>
      <c r="B1345" s="464" t="s">
        <v>4286</v>
      </c>
      <c r="C1345" s="464"/>
      <c r="D1345" s="464" t="s">
        <v>1709</v>
      </c>
      <c r="E1345" s="464" t="s">
        <v>4268</v>
      </c>
      <c r="F1345" s="464" t="s">
        <v>4269</v>
      </c>
      <c r="G1345" s="464" t="s">
        <v>4035</v>
      </c>
      <c r="H1345" s="464" t="s">
        <v>4036</v>
      </c>
      <c r="I1345" s="464" t="s">
        <v>1684</v>
      </c>
    </row>
    <row r="1346" ht="15.95" customHeight="1">
      <c r="A1346" s="464" t="s">
        <v>4287</v>
      </c>
      <c r="B1346" s="464" t="s">
        <v>2004</v>
      </c>
      <c r="C1346" s="464"/>
      <c r="D1346" s="464" t="s">
        <v>1709</v>
      </c>
      <c r="E1346" s="464" t="s">
        <v>4268</v>
      </c>
      <c r="F1346" s="464" t="s">
        <v>4269</v>
      </c>
      <c r="G1346" s="464" t="s">
        <v>4035</v>
      </c>
      <c r="H1346" s="464" t="s">
        <v>4036</v>
      </c>
      <c r="I1346" s="464" t="s">
        <v>1684</v>
      </c>
    </row>
    <row r="1347" ht="15.95" customHeight="1">
      <c r="A1347" s="464" t="s">
        <v>4288</v>
      </c>
      <c r="B1347" s="464" t="s">
        <v>4289</v>
      </c>
      <c r="C1347" s="464"/>
      <c r="D1347" s="464" t="s">
        <v>1738</v>
      </c>
      <c r="E1347" s="464" t="s">
        <v>4290</v>
      </c>
      <c r="F1347" s="464" t="s">
        <v>4291</v>
      </c>
      <c r="G1347" s="464" t="s">
        <v>4035</v>
      </c>
      <c r="H1347" s="464" t="s">
        <v>4036</v>
      </c>
      <c r="I1347" s="464" t="s">
        <v>1684</v>
      </c>
    </row>
    <row r="1348" ht="15.95" customHeight="1">
      <c r="A1348" s="464" t="s">
        <v>4292</v>
      </c>
      <c r="B1348" s="464" t="s">
        <v>4198</v>
      </c>
      <c r="C1348" s="464"/>
      <c r="D1348" s="464" t="s">
        <v>1709</v>
      </c>
      <c r="E1348" s="464" t="s">
        <v>4290</v>
      </c>
      <c r="F1348" s="464" t="s">
        <v>4291</v>
      </c>
      <c r="G1348" s="464" t="s">
        <v>4035</v>
      </c>
      <c r="H1348" s="464" t="s">
        <v>4036</v>
      </c>
      <c r="I1348" s="464" t="s">
        <v>1684</v>
      </c>
    </row>
    <row r="1349" ht="15.95" customHeight="1">
      <c r="A1349" s="464" t="s">
        <v>4293</v>
      </c>
      <c r="B1349" s="464" t="s">
        <v>4294</v>
      </c>
      <c r="C1349" s="464"/>
      <c r="D1349" s="464" t="s">
        <v>1709</v>
      </c>
      <c r="E1349" s="464" t="s">
        <v>4290</v>
      </c>
      <c r="F1349" s="464" t="s">
        <v>4291</v>
      </c>
      <c r="G1349" s="464" t="s">
        <v>4035</v>
      </c>
      <c r="H1349" s="464" t="s">
        <v>4036</v>
      </c>
      <c r="I1349" s="464" t="s">
        <v>1684</v>
      </c>
    </row>
    <row r="1350" ht="15.95" customHeight="1">
      <c r="A1350" s="464" t="s">
        <v>4295</v>
      </c>
      <c r="B1350" s="464" t="s">
        <v>4296</v>
      </c>
      <c r="C1350" s="464"/>
      <c r="D1350" s="464" t="s">
        <v>1709</v>
      </c>
      <c r="E1350" s="464" t="s">
        <v>4290</v>
      </c>
      <c r="F1350" s="464" t="s">
        <v>4291</v>
      </c>
      <c r="G1350" s="464" t="s">
        <v>4035</v>
      </c>
      <c r="H1350" s="464" t="s">
        <v>4036</v>
      </c>
      <c r="I1350" s="464" t="s">
        <v>1684</v>
      </c>
    </row>
    <row r="1351" ht="15.95" customHeight="1">
      <c r="A1351" s="464" t="s">
        <v>4297</v>
      </c>
      <c r="B1351" s="464" t="s">
        <v>4298</v>
      </c>
      <c r="C1351" s="464"/>
      <c r="D1351" s="464" t="s">
        <v>1709</v>
      </c>
      <c r="E1351" s="464" t="s">
        <v>4290</v>
      </c>
      <c r="F1351" s="464" t="s">
        <v>4291</v>
      </c>
      <c r="G1351" s="464" t="s">
        <v>4035</v>
      </c>
      <c r="H1351" s="464" t="s">
        <v>4036</v>
      </c>
      <c r="I1351" s="464" t="s">
        <v>1684</v>
      </c>
    </row>
    <row r="1352" ht="15.95" customHeight="1">
      <c r="A1352" s="464" t="s">
        <v>4299</v>
      </c>
      <c r="B1352" s="464" t="s">
        <v>4300</v>
      </c>
      <c r="C1352" s="464"/>
      <c r="D1352" s="464" t="s">
        <v>1709</v>
      </c>
      <c r="E1352" s="464" t="s">
        <v>4290</v>
      </c>
      <c r="F1352" s="464" t="s">
        <v>4291</v>
      </c>
      <c r="G1352" s="464" t="s">
        <v>4035</v>
      </c>
      <c r="H1352" s="464" t="s">
        <v>4036</v>
      </c>
      <c r="I1352" s="464" t="s">
        <v>1684</v>
      </c>
    </row>
    <row r="1353" ht="15.95" customHeight="1">
      <c r="A1353" s="464" t="s">
        <v>4301</v>
      </c>
      <c r="B1353" s="464" t="s">
        <v>4302</v>
      </c>
      <c r="C1353" s="464"/>
      <c r="D1353" s="464" t="s">
        <v>1709</v>
      </c>
      <c r="E1353" s="464" t="s">
        <v>4290</v>
      </c>
      <c r="F1353" s="464" t="s">
        <v>4291</v>
      </c>
      <c r="G1353" s="464" t="s">
        <v>4035</v>
      </c>
      <c r="H1353" s="464" t="s">
        <v>4036</v>
      </c>
      <c r="I1353" s="464" t="s">
        <v>1684</v>
      </c>
    </row>
    <row r="1354" ht="15.95" customHeight="1">
      <c r="A1354" s="464" t="s">
        <v>4303</v>
      </c>
      <c r="B1354" s="464" t="s">
        <v>4304</v>
      </c>
      <c r="C1354" s="464"/>
      <c r="D1354" s="464" t="s">
        <v>1709</v>
      </c>
      <c r="E1354" s="464" t="s">
        <v>4290</v>
      </c>
      <c r="F1354" s="464" t="s">
        <v>4291</v>
      </c>
      <c r="G1354" s="464" t="s">
        <v>4035</v>
      </c>
      <c r="H1354" s="464" t="s">
        <v>4036</v>
      </c>
      <c r="I1354" s="464" t="s">
        <v>1684</v>
      </c>
    </row>
    <row r="1355" ht="15.95" customHeight="1">
      <c r="A1355" s="464" t="s">
        <v>4305</v>
      </c>
      <c r="B1355" s="464" t="s">
        <v>4306</v>
      </c>
      <c r="C1355" s="464"/>
      <c r="D1355" s="464" t="s">
        <v>1709</v>
      </c>
      <c r="E1355" s="464" t="s">
        <v>4290</v>
      </c>
      <c r="F1355" s="464" t="s">
        <v>4291</v>
      </c>
      <c r="G1355" s="464" t="s">
        <v>4035</v>
      </c>
      <c r="H1355" s="464" t="s">
        <v>4036</v>
      </c>
      <c r="I1355" s="464" t="s">
        <v>1684</v>
      </c>
    </row>
    <row r="1356" ht="15.95" customHeight="1">
      <c r="A1356" s="464" t="s">
        <v>4307</v>
      </c>
      <c r="B1356" s="464" t="s">
        <v>2028</v>
      </c>
      <c r="C1356" s="464"/>
      <c r="D1356" s="464" t="s">
        <v>1709</v>
      </c>
      <c r="E1356" s="464" t="s">
        <v>4290</v>
      </c>
      <c r="F1356" s="464" t="s">
        <v>4291</v>
      </c>
      <c r="G1356" s="464" t="s">
        <v>4035</v>
      </c>
      <c r="H1356" s="464" t="s">
        <v>4036</v>
      </c>
      <c r="I1356" s="464" t="s">
        <v>1684</v>
      </c>
    </row>
    <row r="1357" ht="15.95" customHeight="1">
      <c r="A1357" s="464" t="s">
        <v>4308</v>
      </c>
      <c r="B1357" s="464" t="s">
        <v>4309</v>
      </c>
      <c r="C1357" s="464"/>
      <c r="D1357" s="464" t="s">
        <v>1709</v>
      </c>
      <c r="E1357" s="464" t="s">
        <v>4290</v>
      </c>
      <c r="F1357" s="464" t="s">
        <v>4291</v>
      </c>
      <c r="G1357" s="464" t="s">
        <v>4035</v>
      </c>
      <c r="H1357" s="464" t="s">
        <v>4036</v>
      </c>
      <c r="I1357" s="464" t="s">
        <v>1684</v>
      </c>
    </row>
    <row r="1358" ht="15.95" customHeight="1">
      <c r="A1358" s="464" t="s">
        <v>4310</v>
      </c>
      <c r="B1358" s="464" t="s">
        <v>4311</v>
      </c>
      <c r="C1358" s="464"/>
      <c r="D1358" s="464" t="s">
        <v>1738</v>
      </c>
      <c r="E1358" s="464" t="s">
        <v>4312</v>
      </c>
      <c r="F1358" s="464" t="s">
        <v>4313</v>
      </c>
      <c r="G1358" s="464" t="s">
        <v>4035</v>
      </c>
      <c r="H1358" s="464" t="s">
        <v>4036</v>
      </c>
      <c r="I1358" s="464" t="s">
        <v>1684</v>
      </c>
    </row>
    <row r="1359" ht="15.95" customHeight="1">
      <c r="A1359" s="464" t="s">
        <v>4314</v>
      </c>
      <c r="B1359" s="464" t="s">
        <v>4315</v>
      </c>
      <c r="C1359" s="464"/>
      <c r="D1359" s="464" t="s">
        <v>1709</v>
      </c>
      <c r="E1359" s="464" t="s">
        <v>4312</v>
      </c>
      <c r="F1359" s="464" t="s">
        <v>4313</v>
      </c>
      <c r="G1359" s="464" t="s">
        <v>4035</v>
      </c>
      <c r="H1359" s="464" t="s">
        <v>4036</v>
      </c>
      <c r="I1359" s="464" t="s">
        <v>1684</v>
      </c>
    </row>
    <row r="1360" ht="15.95" customHeight="1">
      <c r="A1360" s="464" t="s">
        <v>4316</v>
      </c>
      <c r="B1360" s="464" t="s">
        <v>4317</v>
      </c>
      <c r="C1360" s="464"/>
      <c r="D1360" s="464" t="s">
        <v>1709</v>
      </c>
      <c r="E1360" s="464" t="s">
        <v>4312</v>
      </c>
      <c r="F1360" s="464" t="s">
        <v>4313</v>
      </c>
      <c r="G1360" s="464" t="s">
        <v>4035</v>
      </c>
      <c r="H1360" s="464" t="s">
        <v>4036</v>
      </c>
      <c r="I1360" s="464" t="s">
        <v>1684</v>
      </c>
    </row>
    <row r="1361" ht="15.95" customHeight="1">
      <c r="A1361" s="464" t="s">
        <v>4318</v>
      </c>
      <c r="B1361" s="464" t="s">
        <v>4319</v>
      </c>
      <c r="C1361" s="464"/>
      <c r="D1361" s="464" t="s">
        <v>1709</v>
      </c>
      <c r="E1361" s="464" t="s">
        <v>4312</v>
      </c>
      <c r="F1361" s="464" t="s">
        <v>4313</v>
      </c>
      <c r="G1361" s="464" t="s">
        <v>4035</v>
      </c>
      <c r="H1361" s="464" t="s">
        <v>4036</v>
      </c>
      <c r="I1361" s="464" t="s">
        <v>1684</v>
      </c>
    </row>
    <row r="1362" ht="15.95" customHeight="1">
      <c r="A1362" s="464" t="s">
        <v>4320</v>
      </c>
      <c r="B1362" s="464" t="s">
        <v>4321</v>
      </c>
      <c r="C1362" s="464"/>
      <c r="D1362" s="464" t="s">
        <v>1709</v>
      </c>
      <c r="E1362" s="464" t="s">
        <v>4312</v>
      </c>
      <c r="F1362" s="464" t="s">
        <v>4313</v>
      </c>
      <c r="G1362" s="464" t="s">
        <v>4035</v>
      </c>
      <c r="H1362" s="464" t="s">
        <v>4036</v>
      </c>
      <c r="I1362" s="464" t="s">
        <v>1684</v>
      </c>
    </row>
    <row r="1363" ht="15.95" customHeight="1">
      <c r="A1363" s="464" t="s">
        <v>4322</v>
      </c>
      <c r="B1363" s="464" t="s">
        <v>2888</v>
      </c>
      <c r="C1363" s="464"/>
      <c r="D1363" s="464" t="s">
        <v>1709</v>
      </c>
      <c r="E1363" s="464" t="s">
        <v>4312</v>
      </c>
      <c r="F1363" s="464" t="s">
        <v>4313</v>
      </c>
      <c r="G1363" s="464" t="s">
        <v>4035</v>
      </c>
      <c r="H1363" s="464" t="s">
        <v>4036</v>
      </c>
      <c r="I1363" s="464" t="s">
        <v>1684</v>
      </c>
    </row>
    <row r="1364" ht="15.95" customHeight="1">
      <c r="A1364" s="464" t="s">
        <v>4323</v>
      </c>
      <c r="B1364" s="464" t="s">
        <v>4324</v>
      </c>
      <c r="C1364" s="464"/>
      <c r="D1364" s="464" t="s">
        <v>1709</v>
      </c>
      <c r="E1364" s="464" t="s">
        <v>4312</v>
      </c>
      <c r="F1364" s="464" t="s">
        <v>4313</v>
      </c>
      <c r="G1364" s="464" t="s">
        <v>4035</v>
      </c>
      <c r="H1364" s="464" t="s">
        <v>4036</v>
      </c>
      <c r="I1364" s="464" t="s">
        <v>1684</v>
      </c>
    </row>
    <row r="1365" ht="15.95" customHeight="1">
      <c r="A1365" s="464" t="s">
        <v>4325</v>
      </c>
      <c r="B1365" s="464" t="s">
        <v>3390</v>
      </c>
      <c r="C1365" s="464"/>
      <c r="D1365" s="464" t="s">
        <v>1709</v>
      </c>
      <c r="E1365" s="464" t="s">
        <v>4312</v>
      </c>
      <c r="F1365" s="464" t="s">
        <v>4313</v>
      </c>
      <c r="G1365" s="464" t="s">
        <v>4035</v>
      </c>
      <c r="H1365" s="464" t="s">
        <v>4036</v>
      </c>
      <c r="I1365" s="464" t="s">
        <v>1684</v>
      </c>
    </row>
    <row r="1366" ht="15.95" customHeight="1">
      <c r="A1366" s="464" t="s">
        <v>4326</v>
      </c>
      <c r="B1366" s="464" t="s">
        <v>4327</v>
      </c>
      <c r="C1366" s="464"/>
      <c r="D1366" s="464" t="s">
        <v>1709</v>
      </c>
      <c r="E1366" s="464" t="s">
        <v>4312</v>
      </c>
      <c r="F1366" s="464" t="s">
        <v>4313</v>
      </c>
      <c r="G1366" s="464" t="s">
        <v>4035</v>
      </c>
      <c r="H1366" s="464" t="s">
        <v>4036</v>
      </c>
      <c r="I1366" s="464" t="s">
        <v>1684</v>
      </c>
    </row>
    <row r="1367" ht="15.95" customHeight="1">
      <c r="A1367" s="464" t="s">
        <v>4328</v>
      </c>
      <c r="B1367" s="464" t="s">
        <v>4329</v>
      </c>
      <c r="C1367" s="464"/>
      <c r="D1367" s="464" t="s">
        <v>1709</v>
      </c>
      <c r="E1367" s="464" t="s">
        <v>4312</v>
      </c>
      <c r="F1367" s="464" t="s">
        <v>4313</v>
      </c>
      <c r="G1367" s="464" t="s">
        <v>4035</v>
      </c>
      <c r="H1367" s="464" t="s">
        <v>4036</v>
      </c>
      <c r="I1367" s="464" t="s">
        <v>1684</v>
      </c>
    </row>
    <row r="1368" ht="15.95" customHeight="1">
      <c r="A1368" s="464" t="s">
        <v>4330</v>
      </c>
      <c r="B1368" s="464" t="s">
        <v>4331</v>
      </c>
      <c r="C1368" s="464"/>
      <c r="D1368" s="464" t="s">
        <v>1709</v>
      </c>
      <c r="E1368" s="464" t="s">
        <v>4312</v>
      </c>
      <c r="F1368" s="464" t="s">
        <v>4313</v>
      </c>
      <c r="G1368" s="464" t="s">
        <v>4035</v>
      </c>
      <c r="H1368" s="464" t="s">
        <v>4036</v>
      </c>
      <c r="I1368" s="464" t="s">
        <v>1684</v>
      </c>
    </row>
    <row r="1369" ht="15.95" customHeight="1">
      <c r="A1369" s="464" t="s">
        <v>4332</v>
      </c>
      <c r="B1369" s="464" t="s">
        <v>4333</v>
      </c>
      <c r="C1369" s="464"/>
      <c r="D1369" s="464" t="s">
        <v>1709</v>
      </c>
      <c r="E1369" s="464" t="s">
        <v>4312</v>
      </c>
      <c r="F1369" s="464" t="s">
        <v>4313</v>
      </c>
      <c r="G1369" s="464" t="s">
        <v>4035</v>
      </c>
      <c r="H1369" s="464" t="s">
        <v>4036</v>
      </c>
      <c r="I1369" s="464" t="s">
        <v>1684</v>
      </c>
    </row>
    <row r="1370" ht="15.95" customHeight="1">
      <c r="A1370" s="464" t="s">
        <v>4334</v>
      </c>
      <c r="B1370" s="464" t="s">
        <v>4335</v>
      </c>
      <c r="C1370" s="464"/>
      <c r="D1370" s="464" t="s">
        <v>1709</v>
      </c>
      <c r="E1370" s="464" t="s">
        <v>4312</v>
      </c>
      <c r="F1370" s="464" t="s">
        <v>4313</v>
      </c>
      <c r="G1370" s="464" t="s">
        <v>4035</v>
      </c>
      <c r="H1370" s="464" t="s">
        <v>4036</v>
      </c>
      <c r="I1370" s="464" t="s">
        <v>1684</v>
      </c>
    </row>
    <row r="1371" ht="15.95" customHeight="1">
      <c r="A1371" s="464" t="s">
        <v>4336</v>
      </c>
      <c r="B1371" s="464" t="s">
        <v>4337</v>
      </c>
      <c r="C1371" s="464"/>
      <c r="D1371" s="464" t="s">
        <v>1709</v>
      </c>
      <c r="E1371" s="464" t="s">
        <v>4312</v>
      </c>
      <c r="F1371" s="464" t="s">
        <v>4313</v>
      </c>
      <c r="G1371" s="464" t="s">
        <v>4035</v>
      </c>
      <c r="H1371" s="464" t="s">
        <v>4036</v>
      </c>
      <c r="I1371" s="464" t="s">
        <v>1684</v>
      </c>
    </row>
    <row r="1372" ht="15.95" customHeight="1">
      <c r="A1372" s="464" t="s">
        <v>4338</v>
      </c>
      <c r="B1372" s="464" t="s">
        <v>2784</v>
      </c>
      <c r="C1372" s="464"/>
      <c r="D1372" s="464" t="s">
        <v>1709</v>
      </c>
      <c r="E1372" s="464" t="s">
        <v>4312</v>
      </c>
      <c r="F1372" s="464" t="s">
        <v>4313</v>
      </c>
      <c r="G1372" s="464" t="s">
        <v>4035</v>
      </c>
      <c r="H1372" s="464" t="s">
        <v>4036</v>
      </c>
      <c r="I1372" s="464" t="s">
        <v>1684</v>
      </c>
    </row>
    <row r="1373" ht="15.95" customHeight="1">
      <c r="A1373" s="464" t="s">
        <v>4339</v>
      </c>
      <c r="B1373" s="464" t="s">
        <v>4340</v>
      </c>
      <c r="C1373" s="464"/>
      <c r="D1373" s="464" t="s">
        <v>1709</v>
      </c>
      <c r="E1373" s="464" t="s">
        <v>4312</v>
      </c>
      <c r="F1373" s="464" t="s">
        <v>4313</v>
      </c>
      <c r="G1373" s="464" t="s">
        <v>4035</v>
      </c>
      <c r="H1373" s="464" t="s">
        <v>4036</v>
      </c>
      <c r="I1373" s="464" t="s">
        <v>1684</v>
      </c>
    </row>
    <row r="1374" ht="15.95" customHeight="1">
      <c r="A1374" s="464" t="s">
        <v>4341</v>
      </c>
      <c r="B1374" s="464" t="s">
        <v>4342</v>
      </c>
      <c r="C1374" s="464"/>
      <c r="D1374" s="464" t="s">
        <v>1709</v>
      </c>
      <c r="E1374" s="464" t="s">
        <v>4312</v>
      </c>
      <c r="F1374" s="464" t="s">
        <v>4313</v>
      </c>
      <c r="G1374" s="464" t="s">
        <v>4035</v>
      </c>
      <c r="H1374" s="464" t="s">
        <v>4036</v>
      </c>
      <c r="I1374" s="464" t="s">
        <v>1684</v>
      </c>
    </row>
    <row r="1375" ht="15.95" customHeight="1">
      <c r="A1375" s="464" t="s">
        <v>4343</v>
      </c>
      <c r="B1375" s="464" t="s">
        <v>4344</v>
      </c>
      <c r="C1375" s="464"/>
      <c r="D1375" s="464" t="s">
        <v>1738</v>
      </c>
      <c r="E1375" s="464" t="s">
        <v>4345</v>
      </c>
      <c r="F1375" s="464" t="s">
        <v>4346</v>
      </c>
      <c r="G1375" s="464" t="s">
        <v>4035</v>
      </c>
      <c r="H1375" s="464" t="s">
        <v>4036</v>
      </c>
      <c r="I1375" s="464" t="s">
        <v>1684</v>
      </c>
    </row>
    <row r="1376" ht="15.95" customHeight="1">
      <c r="A1376" s="464" t="s">
        <v>4347</v>
      </c>
      <c r="B1376" s="464" t="s">
        <v>4348</v>
      </c>
      <c r="C1376" s="464"/>
      <c r="D1376" s="464" t="s">
        <v>1709</v>
      </c>
      <c r="E1376" s="464" t="s">
        <v>4345</v>
      </c>
      <c r="F1376" s="464" t="s">
        <v>4346</v>
      </c>
      <c r="G1376" s="464" t="s">
        <v>4035</v>
      </c>
      <c r="H1376" s="464" t="s">
        <v>4036</v>
      </c>
      <c r="I1376" s="464" t="s">
        <v>1684</v>
      </c>
    </row>
    <row r="1377" ht="15.95" customHeight="1">
      <c r="A1377" s="464" t="s">
        <v>4349</v>
      </c>
      <c r="B1377" s="464" t="s">
        <v>4350</v>
      </c>
      <c r="C1377" s="464"/>
      <c r="D1377" s="464" t="s">
        <v>1709</v>
      </c>
      <c r="E1377" s="464" t="s">
        <v>4345</v>
      </c>
      <c r="F1377" s="464" t="s">
        <v>4346</v>
      </c>
      <c r="G1377" s="464" t="s">
        <v>4035</v>
      </c>
      <c r="H1377" s="464" t="s">
        <v>4036</v>
      </c>
      <c r="I1377" s="464" t="s">
        <v>1684</v>
      </c>
    </row>
    <row r="1378" ht="15.95" customHeight="1">
      <c r="A1378" s="464" t="s">
        <v>4351</v>
      </c>
      <c r="B1378" s="464" t="s">
        <v>4352</v>
      </c>
      <c r="C1378" s="464"/>
      <c r="D1378" s="464" t="s">
        <v>1709</v>
      </c>
      <c r="E1378" s="464" t="s">
        <v>4345</v>
      </c>
      <c r="F1378" s="464" t="s">
        <v>4346</v>
      </c>
      <c r="G1378" s="464" t="s">
        <v>4035</v>
      </c>
      <c r="H1378" s="464" t="s">
        <v>4036</v>
      </c>
      <c r="I1378" s="464" t="s">
        <v>1684</v>
      </c>
    </row>
    <row r="1379" ht="15.95" customHeight="1">
      <c r="A1379" s="464" t="s">
        <v>4353</v>
      </c>
      <c r="B1379" s="464" t="s">
        <v>4354</v>
      </c>
      <c r="C1379" s="464"/>
      <c r="D1379" s="464" t="s">
        <v>1709</v>
      </c>
      <c r="E1379" s="464" t="s">
        <v>4345</v>
      </c>
      <c r="F1379" s="464" t="s">
        <v>4346</v>
      </c>
      <c r="G1379" s="464" t="s">
        <v>4035</v>
      </c>
      <c r="H1379" s="464" t="s">
        <v>4036</v>
      </c>
      <c r="I1379" s="464" t="s">
        <v>1684</v>
      </c>
    </row>
    <row r="1380" ht="15.95" customHeight="1">
      <c r="A1380" s="464" t="s">
        <v>4355</v>
      </c>
      <c r="B1380" s="464" t="s">
        <v>1785</v>
      </c>
      <c r="C1380" s="464"/>
      <c r="D1380" s="464" t="s">
        <v>1709</v>
      </c>
      <c r="E1380" s="464" t="s">
        <v>4345</v>
      </c>
      <c r="F1380" s="464" t="s">
        <v>4346</v>
      </c>
      <c r="G1380" s="464" t="s">
        <v>4035</v>
      </c>
      <c r="H1380" s="464" t="s">
        <v>4036</v>
      </c>
      <c r="I1380" s="464" t="s">
        <v>1684</v>
      </c>
    </row>
    <row r="1381" ht="15.95" customHeight="1">
      <c r="A1381" s="464" t="s">
        <v>4356</v>
      </c>
      <c r="B1381" s="464" t="s">
        <v>4357</v>
      </c>
      <c r="C1381" s="464"/>
      <c r="D1381" s="464" t="s">
        <v>1709</v>
      </c>
      <c r="E1381" s="464" t="s">
        <v>4345</v>
      </c>
      <c r="F1381" s="464" t="s">
        <v>4346</v>
      </c>
      <c r="G1381" s="464" t="s">
        <v>4035</v>
      </c>
      <c r="H1381" s="464" t="s">
        <v>4036</v>
      </c>
      <c r="I1381" s="464" t="s">
        <v>1684</v>
      </c>
    </row>
    <row r="1382" ht="15.95" customHeight="1">
      <c r="A1382" s="464" t="s">
        <v>4358</v>
      </c>
      <c r="B1382" s="464" t="s">
        <v>4359</v>
      </c>
      <c r="C1382" s="464"/>
      <c r="D1382" s="464" t="s">
        <v>1709</v>
      </c>
      <c r="E1382" s="464" t="s">
        <v>4345</v>
      </c>
      <c r="F1382" s="464" t="s">
        <v>4346</v>
      </c>
      <c r="G1382" s="464" t="s">
        <v>4035</v>
      </c>
      <c r="H1382" s="464" t="s">
        <v>4036</v>
      </c>
      <c r="I1382" s="464" t="s">
        <v>1684</v>
      </c>
    </row>
    <row r="1383" ht="15.95" customHeight="1">
      <c r="A1383" s="464" t="s">
        <v>4360</v>
      </c>
      <c r="B1383" s="464" t="s">
        <v>4361</v>
      </c>
      <c r="C1383" s="464"/>
      <c r="D1383" s="464" t="s">
        <v>1709</v>
      </c>
      <c r="E1383" s="464" t="s">
        <v>4345</v>
      </c>
      <c r="F1383" s="464" t="s">
        <v>4346</v>
      </c>
      <c r="G1383" s="464" t="s">
        <v>4035</v>
      </c>
      <c r="H1383" s="464" t="s">
        <v>4036</v>
      </c>
      <c r="I1383" s="464" t="s">
        <v>1684</v>
      </c>
    </row>
    <row r="1384" ht="15.95" customHeight="1">
      <c r="A1384" s="464" t="s">
        <v>4362</v>
      </c>
      <c r="B1384" s="464" t="s">
        <v>4363</v>
      </c>
      <c r="C1384" s="464"/>
      <c r="D1384" s="464" t="s">
        <v>1709</v>
      </c>
      <c r="E1384" s="464" t="s">
        <v>4345</v>
      </c>
      <c r="F1384" s="464" t="s">
        <v>4346</v>
      </c>
      <c r="G1384" s="464" t="s">
        <v>4035</v>
      </c>
      <c r="H1384" s="464" t="s">
        <v>4036</v>
      </c>
      <c r="I1384" s="464" t="s">
        <v>1684</v>
      </c>
    </row>
    <row r="1385" ht="15.95" customHeight="1">
      <c r="A1385" s="464" t="s">
        <v>4364</v>
      </c>
      <c r="B1385" s="464" t="s">
        <v>4365</v>
      </c>
      <c r="C1385" s="464"/>
      <c r="D1385" s="464" t="s">
        <v>1709</v>
      </c>
      <c r="E1385" s="464" t="s">
        <v>4345</v>
      </c>
      <c r="F1385" s="464" t="s">
        <v>4346</v>
      </c>
      <c r="G1385" s="464" t="s">
        <v>4035</v>
      </c>
      <c r="H1385" s="464" t="s">
        <v>4036</v>
      </c>
      <c r="I1385" s="464" t="s">
        <v>1684</v>
      </c>
    </row>
    <row r="1386" ht="15.95" customHeight="1">
      <c r="A1386" s="464" t="s">
        <v>4366</v>
      </c>
      <c r="B1386" s="464" t="s">
        <v>4367</v>
      </c>
      <c r="C1386" s="464"/>
      <c r="D1386" s="464" t="s">
        <v>1709</v>
      </c>
      <c r="E1386" s="464" t="s">
        <v>4345</v>
      </c>
      <c r="F1386" s="464" t="s">
        <v>4346</v>
      </c>
      <c r="G1386" s="464" t="s">
        <v>4035</v>
      </c>
      <c r="H1386" s="464" t="s">
        <v>4036</v>
      </c>
      <c r="I1386" s="464" t="s">
        <v>1684</v>
      </c>
    </row>
    <row r="1387" ht="15.95" customHeight="1">
      <c r="A1387" s="464" t="s">
        <v>4368</v>
      </c>
      <c r="B1387" s="464" t="s">
        <v>4369</v>
      </c>
      <c r="C1387" s="464"/>
      <c r="D1387" s="464" t="s">
        <v>1709</v>
      </c>
      <c r="E1387" s="464" t="s">
        <v>4345</v>
      </c>
      <c r="F1387" s="464" t="s">
        <v>4346</v>
      </c>
      <c r="G1387" s="464" t="s">
        <v>4035</v>
      </c>
      <c r="H1387" s="464" t="s">
        <v>4036</v>
      </c>
      <c r="I1387" s="464" t="s">
        <v>1684</v>
      </c>
    </row>
    <row r="1388" ht="15.95" customHeight="1">
      <c r="A1388" s="464" t="s">
        <v>4370</v>
      </c>
      <c r="B1388" s="464" t="s">
        <v>3299</v>
      </c>
      <c r="C1388" s="464"/>
      <c r="D1388" s="464" t="s">
        <v>1709</v>
      </c>
      <c r="E1388" s="464" t="s">
        <v>4345</v>
      </c>
      <c r="F1388" s="464" t="s">
        <v>4346</v>
      </c>
      <c r="G1388" s="464" t="s">
        <v>4035</v>
      </c>
      <c r="H1388" s="464" t="s">
        <v>4036</v>
      </c>
      <c r="I1388" s="464" t="s">
        <v>1684</v>
      </c>
    </row>
    <row r="1389" ht="15.95" customHeight="1">
      <c r="A1389" s="464" t="s">
        <v>4371</v>
      </c>
      <c r="B1389" s="464" t="s">
        <v>4372</v>
      </c>
      <c r="C1389" s="464"/>
      <c r="D1389" s="464" t="s">
        <v>1709</v>
      </c>
      <c r="E1389" s="464" t="s">
        <v>4345</v>
      </c>
      <c r="F1389" s="464" t="s">
        <v>4346</v>
      </c>
      <c r="G1389" s="464" t="s">
        <v>4035</v>
      </c>
      <c r="H1389" s="464" t="s">
        <v>4036</v>
      </c>
      <c r="I1389" s="464" t="s">
        <v>1684</v>
      </c>
    </row>
    <row r="1390" ht="15.95" customHeight="1">
      <c r="A1390" s="464" t="s">
        <v>4373</v>
      </c>
      <c r="B1390" s="464" t="s">
        <v>3956</v>
      </c>
      <c r="C1390" s="464"/>
      <c r="D1390" s="464" t="s">
        <v>1709</v>
      </c>
      <c r="E1390" s="464" t="s">
        <v>4345</v>
      </c>
      <c r="F1390" s="464" t="s">
        <v>4346</v>
      </c>
      <c r="G1390" s="464" t="s">
        <v>4035</v>
      </c>
      <c r="H1390" s="464" t="s">
        <v>4036</v>
      </c>
      <c r="I1390" s="464" t="s">
        <v>1684</v>
      </c>
    </row>
    <row r="1391" ht="15.95" customHeight="1">
      <c r="A1391" s="464" t="s">
        <v>4374</v>
      </c>
      <c r="B1391" s="464" t="s">
        <v>4375</v>
      </c>
      <c r="C1391" s="464"/>
      <c r="D1391" s="464" t="s">
        <v>1709</v>
      </c>
      <c r="E1391" s="464" t="s">
        <v>4345</v>
      </c>
      <c r="F1391" s="464" t="s">
        <v>4346</v>
      </c>
      <c r="G1391" s="464" t="s">
        <v>4035</v>
      </c>
      <c r="H1391" s="464" t="s">
        <v>4036</v>
      </c>
      <c r="I1391" s="464" t="s">
        <v>1684</v>
      </c>
    </row>
    <row r="1392" ht="15.95" customHeight="1">
      <c r="A1392" s="464" t="s">
        <v>4376</v>
      </c>
      <c r="B1392" s="464" t="s">
        <v>4377</v>
      </c>
      <c r="C1392" s="464"/>
      <c r="D1392" s="464" t="s">
        <v>1738</v>
      </c>
      <c r="E1392" s="464" t="s">
        <v>4378</v>
      </c>
      <c r="F1392" s="464" t="s">
        <v>2724</v>
      </c>
      <c r="G1392" s="464" t="s">
        <v>4035</v>
      </c>
      <c r="H1392" s="464" t="s">
        <v>4036</v>
      </c>
      <c r="I1392" s="464" t="s">
        <v>1684</v>
      </c>
    </row>
    <row r="1393" ht="15.95" customHeight="1">
      <c r="A1393" s="464" t="s">
        <v>4379</v>
      </c>
      <c r="B1393" s="464" t="s">
        <v>4380</v>
      </c>
      <c r="C1393" s="464"/>
      <c r="D1393" s="464" t="s">
        <v>1709</v>
      </c>
      <c r="E1393" s="464" t="s">
        <v>4378</v>
      </c>
      <c r="F1393" s="464" t="s">
        <v>2724</v>
      </c>
      <c r="G1393" s="464" t="s">
        <v>4035</v>
      </c>
      <c r="H1393" s="464" t="s">
        <v>4036</v>
      </c>
      <c r="I1393" s="464" t="s">
        <v>1684</v>
      </c>
    </row>
    <row r="1394" ht="15.95" customHeight="1">
      <c r="A1394" s="464" t="s">
        <v>4381</v>
      </c>
      <c r="B1394" s="464" t="s">
        <v>1910</v>
      </c>
      <c r="C1394" s="464"/>
      <c r="D1394" s="464" t="s">
        <v>1709</v>
      </c>
      <c r="E1394" s="464" t="s">
        <v>4378</v>
      </c>
      <c r="F1394" s="464" t="s">
        <v>2724</v>
      </c>
      <c r="G1394" s="464" t="s">
        <v>4035</v>
      </c>
      <c r="H1394" s="464" t="s">
        <v>4036</v>
      </c>
      <c r="I1394" s="464" t="s">
        <v>1684</v>
      </c>
    </row>
    <row r="1395" ht="15.95" customHeight="1">
      <c r="A1395" s="464" t="s">
        <v>4382</v>
      </c>
      <c r="B1395" s="464" t="s">
        <v>4383</v>
      </c>
      <c r="C1395" s="464"/>
      <c r="D1395" s="464" t="s">
        <v>1709</v>
      </c>
      <c r="E1395" s="464" t="s">
        <v>4378</v>
      </c>
      <c r="F1395" s="464" t="s">
        <v>2724</v>
      </c>
      <c r="G1395" s="464" t="s">
        <v>4035</v>
      </c>
      <c r="H1395" s="464" t="s">
        <v>4036</v>
      </c>
      <c r="I1395" s="464" t="s">
        <v>1684</v>
      </c>
    </row>
    <row r="1396" ht="15.95" customHeight="1">
      <c r="A1396" s="464" t="s">
        <v>4384</v>
      </c>
      <c r="B1396" s="464" t="s">
        <v>4385</v>
      </c>
      <c r="C1396" s="464"/>
      <c r="D1396" s="464" t="s">
        <v>1709</v>
      </c>
      <c r="E1396" s="464" t="s">
        <v>4378</v>
      </c>
      <c r="F1396" s="464" t="s">
        <v>2724</v>
      </c>
      <c r="G1396" s="464" t="s">
        <v>4035</v>
      </c>
      <c r="H1396" s="464" t="s">
        <v>4036</v>
      </c>
      <c r="I1396" s="464" t="s">
        <v>1684</v>
      </c>
    </row>
    <row r="1397" ht="15.95" customHeight="1">
      <c r="A1397" s="464" t="s">
        <v>4386</v>
      </c>
      <c r="B1397" s="464" t="s">
        <v>4387</v>
      </c>
      <c r="C1397" s="464"/>
      <c r="D1397" s="464" t="s">
        <v>1709</v>
      </c>
      <c r="E1397" s="464" t="s">
        <v>4378</v>
      </c>
      <c r="F1397" s="464" t="s">
        <v>2724</v>
      </c>
      <c r="G1397" s="464" t="s">
        <v>4035</v>
      </c>
      <c r="H1397" s="464" t="s">
        <v>4036</v>
      </c>
      <c r="I1397" s="464" t="s">
        <v>1684</v>
      </c>
    </row>
    <row r="1398" ht="15.95" customHeight="1">
      <c r="A1398" s="464" t="s">
        <v>4388</v>
      </c>
      <c r="B1398" s="464" t="s">
        <v>2248</v>
      </c>
      <c r="C1398" s="464"/>
      <c r="D1398" s="464" t="s">
        <v>1709</v>
      </c>
      <c r="E1398" s="464" t="s">
        <v>4378</v>
      </c>
      <c r="F1398" s="464" t="s">
        <v>2724</v>
      </c>
      <c r="G1398" s="464" t="s">
        <v>4035</v>
      </c>
      <c r="H1398" s="464" t="s">
        <v>4036</v>
      </c>
      <c r="I1398" s="464" t="s">
        <v>1684</v>
      </c>
    </row>
    <row r="1399" ht="15.95" customHeight="1">
      <c r="A1399" s="464" t="s">
        <v>4389</v>
      </c>
      <c r="B1399" s="464" t="s">
        <v>4390</v>
      </c>
      <c r="C1399" s="464"/>
      <c r="D1399" s="464" t="s">
        <v>1709</v>
      </c>
      <c r="E1399" s="464" t="s">
        <v>4378</v>
      </c>
      <c r="F1399" s="464" t="s">
        <v>2724</v>
      </c>
      <c r="G1399" s="464" t="s">
        <v>4035</v>
      </c>
      <c r="H1399" s="464" t="s">
        <v>4036</v>
      </c>
      <c r="I1399" s="464" t="s">
        <v>1684</v>
      </c>
    </row>
    <row r="1400" ht="15.95" customHeight="1">
      <c r="A1400" s="464" t="s">
        <v>4391</v>
      </c>
      <c r="B1400" s="464" t="s">
        <v>4392</v>
      </c>
      <c r="C1400" s="464"/>
      <c r="D1400" s="464" t="s">
        <v>1709</v>
      </c>
      <c r="E1400" s="464" t="s">
        <v>4378</v>
      </c>
      <c r="F1400" s="464" t="s">
        <v>2724</v>
      </c>
      <c r="G1400" s="464" t="s">
        <v>4035</v>
      </c>
      <c r="H1400" s="464" t="s">
        <v>4036</v>
      </c>
      <c r="I1400" s="464" t="s">
        <v>1684</v>
      </c>
    </row>
    <row r="1401" ht="15.95" customHeight="1">
      <c r="A1401" s="464" t="s">
        <v>4393</v>
      </c>
      <c r="B1401" s="464" t="s">
        <v>4394</v>
      </c>
      <c r="C1401" s="464"/>
      <c r="D1401" s="464" t="s">
        <v>1709</v>
      </c>
      <c r="E1401" s="464" t="s">
        <v>4378</v>
      </c>
      <c r="F1401" s="464" t="s">
        <v>2724</v>
      </c>
      <c r="G1401" s="464" t="s">
        <v>4035</v>
      </c>
      <c r="H1401" s="464" t="s">
        <v>4036</v>
      </c>
      <c r="I1401" s="464" t="s">
        <v>1684</v>
      </c>
    </row>
    <row r="1402" ht="15.95" customHeight="1">
      <c r="A1402" s="464" t="s">
        <v>4395</v>
      </c>
      <c r="B1402" s="464" t="s">
        <v>4396</v>
      </c>
      <c r="C1402" s="464"/>
      <c r="D1402" s="464" t="s">
        <v>1709</v>
      </c>
      <c r="E1402" s="464" t="s">
        <v>4378</v>
      </c>
      <c r="F1402" s="464" t="s">
        <v>2724</v>
      </c>
      <c r="G1402" s="464" t="s">
        <v>4035</v>
      </c>
      <c r="H1402" s="464" t="s">
        <v>4036</v>
      </c>
      <c r="I1402" s="464" t="s">
        <v>1684</v>
      </c>
    </row>
    <row r="1403" ht="15.95" customHeight="1">
      <c r="A1403" s="464" t="s">
        <v>4397</v>
      </c>
      <c r="B1403" s="464" t="s">
        <v>4398</v>
      </c>
      <c r="C1403" s="464"/>
      <c r="D1403" s="464" t="s">
        <v>1709</v>
      </c>
      <c r="E1403" s="464" t="s">
        <v>4378</v>
      </c>
      <c r="F1403" s="464" t="s">
        <v>2724</v>
      </c>
      <c r="G1403" s="464" t="s">
        <v>4035</v>
      </c>
      <c r="H1403" s="464" t="s">
        <v>4036</v>
      </c>
      <c r="I1403" s="464" t="s">
        <v>1684</v>
      </c>
    </row>
    <row r="1404" ht="15.95" customHeight="1">
      <c r="A1404" s="464" t="s">
        <v>4399</v>
      </c>
      <c r="B1404" s="464" t="s">
        <v>4400</v>
      </c>
      <c r="C1404" s="464"/>
      <c r="D1404" s="464" t="s">
        <v>1709</v>
      </c>
      <c r="E1404" s="464" t="s">
        <v>4378</v>
      </c>
      <c r="F1404" s="464" t="s">
        <v>2724</v>
      </c>
      <c r="G1404" s="464" t="s">
        <v>4035</v>
      </c>
      <c r="H1404" s="464" t="s">
        <v>4036</v>
      </c>
      <c r="I1404" s="464" t="s">
        <v>1684</v>
      </c>
    </row>
    <row r="1405" ht="15.95" customHeight="1">
      <c r="A1405" s="464" t="s">
        <v>4401</v>
      </c>
      <c r="B1405" s="464" t="s">
        <v>2115</v>
      </c>
      <c r="C1405" s="464"/>
      <c r="D1405" s="464" t="s">
        <v>1679</v>
      </c>
      <c r="E1405" s="464" t="s">
        <v>4402</v>
      </c>
      <c r="F1405" s="464" t="s">
        <v>4403</v>
      </c>
      <c r="G1405" s="464" t="s">
        <v>4404</v>
      </c>
      <c r="H1405" s="464" t="s">
        <v>4405</v>
      </c>
      <c r="I1405" s="464" t="s">
        <v>1684</v>
      </c>
    </row>
    <row r="1406" ht="15.95" customHeight="1">
      <c r="A1406" s="464" t="s">
        <v>4406</v>
      </c>
      <c r="B1406" s="464" t="s">
        <v>1282</v>
      </c>
      <c r="C1406" s="464"/>
      <c r="D1406" s="464" t="s">
        <v>1679</v>
      </c>
      <c r="E1406" s="464" t="s">
        <v>4402</v>
      </c>
      <c r="F1406" s="464" t="s">
        <v>4403</v>
      </c>
      <c r="G1406" s="464" t="s">
        <v>4404</v>
      </c>
      <c r="H1406" s="464" t="s">
        <v>4405</v>
      </c>
      <c r="I1406" s="464" t="s">
        <v>1684</v>
      </c>
    </row>
    <row r="1407" ht="15.95" customHeight="1">
      <c r="A1407" s="464" t="s">
        <v>4407</v>
      </c>
      <c r="B1407" s="464" t="s">
        <v>1281</v>
      </c>
      <c r="C1407" s="464"/>
      <c r="D1407" s="464" t="s">
        <v>1679</v>
      </c>
      <c r="E1407" s="464" t="s">
        <v>4402</v>
      </c>
      <c r="F1407" s="464" t="s">
        <v>4403</v>
      </c>
      <c r="G1407" s="464" t="s">
        <v>4404</v>
      </c>
      <c r="H1407" s="464" t="s">
        <v>4405</v>
      </c>
      <c r="I1407" s="464" t="s">
        <v>1684</v>
      </c>
    </row>
    <row r="1408" ht="15.95" customHeight="1">
      <c r="A1408" s="464" t="s">
        <v>4408</v>
      </c>
      <c r="B1408" s="464" t="s">
        <v>1269</v>
      </c>
      <c r="C1408" s="464"/>
      <c r="D1408" s="464" t="s">
        <v>1679</v>
      </c>
      <c r="E1408" s="464" t="s">
        <v>4402</v>
      </c>
      <c r="F1408" s="464" t="s">
        <v>4403</v>
      </c>
      <c r="G1408" s="464" t="s">
        <v>4404</v>
      </c>
      <c r="H1408" s="464" t="s">
        <v>4405</v>
      </c>
      <c r="I1408" s="464" t="s">
        <v>1684</v>
      </c>
    </row>
    <row r="1409" ht="15.95" customHeight="1">
      <c r="A1409" s="464" t="s">
        <v>4409</v>
      </c>
      <c r="B1409" s="464" t="s">
        <v>1287</v>
      </c>
      <c r="C1409" s="464"/>
      <c r="D1409" s="464" t="s">
        <v>1679</v>
      </c>
      <c r="E1409" s="464" t="s">
        <v>4402</v>
      </c>
      <c r="F1409" s="464" t="s">
        <v>4403</v>
      </c>
      <c r="G1409" s="464" t="s">
        <v>4404</v>
      </c>
      <c r="H1409" s="464" t="s">
        <v>4405</v>
      </c>
      <c r="I1409" s="464" t="s">
        <v>1684</v>
      </c>
    </row>
    <row r="1410" ht="15.95" customHeight="1">
      <c r="A1410" s="464" t="s">
        <v>4410</v>
      </c>
      <c r="B1410" s="464" t="s">
        <v>2110</v>
      </c>
      <c r="C1410" s="464"/>
      <c r="D1410" s="464" t="s">
        <v>1679</v>
      </c>
      <c r="E1410" s="464" t="s">
        <v>4402</v>
      </c>
      <c r="F1410" s="464" t="s">
        <v>4403</v>
      </c>
      <c r="G1410" s="464" t="s">
        <v>4404</v>
      </c>
      <c r="H1410" s="464" t="s">
        <v>4405</v>
      </c>
      <c r="I1410" s="464" t="s">
        <v>1684</v>
      </c>
    </row>
    <row r="1411" ht="15.95" customHeight="1">
      <c r="A1411" s="464" t="s">
        <v>4411</v>
      </c>
      <c r="B1411" s="464" t="s">
        <v>1279</v>
      </c>
      <c r="C1411" s="464"/>
      <c r="D1411" s="464" t="s">
        <v>1679</v>
      </c>
      <c r="E1411" s="464" t="s">
        <v>4402</v>
      </c>
      <c r="F1411" s="464" t="s">
        <v>4403</v>
      </c>
      <c r="G1411" s="464" t="s">
        <v>4404</v>
      </c>
      <c r="H1411" s="464" t="s">
        <v>4405</v>
      </c>
      <c r="I1411" s="464" t="s">
        <v>1684</v>
      </c>
    </row>
    <row r="1412" ht="15.95" customHeight="1">
      <c r="A1412" s="464" t="s">
        <v>4412</v>
      </c>
      <c r="B1412" s="464" t="s">
        <v>2113</v>
      </c>
      <c r="C1412" s="464"/>
      <c r="D1412" s="464" t="s">
        <v>1679</v>
      </c>
      <c r="E1412" s="464" t="s">
        <v>4402</v>
      </c>
      <c r="F1412" s="464" t="s">
        <v>4403</v>
      </c>
      <c r="G1412" s="464" t="s">
        <v>4404</v>
      </c>
      <c r="H1412" s="464" t="s">
        <v>4405</v>
      </c>
      <c r="I1412" s="464" t="s">
        <v>1684</v>
      </c>
    </row>
    <row r="1413" ht="15.95" customHeight="1">
      <c r="A1413" s="464" t="s">
        <v>4413</v>
      </c>
      <c r="B1413" s="464" t="s">
        <v>1266</v>
      </c>
      <c r="C1413" s="464"/>
      <c r="D1413" s="464" t="s">
        <v>1679</v>
      </c>
      <c r="E1413" s="464" t="s">
        <v>4402</v>
      </c>
      <c r="F1413" s="464" t="s">
        <v>4403</v>
      </c>
      <c r="G1413" s="464" t="s">
        <v>4404</v>
      </c>
      <c r="H1413" s="464" t="s">
        <v>4405</v>
      </c>
      <c r="I1413" s="464" t="s">
        <v>1684</v>
      </c>
    </row>
    <row r="1414" ht="15.95" customHeight="1">
      <c r="A1414" s="464" t="s">
        <v>4414</v>
      </c>
      <c r="B1414" s="464" t="s">
        <v>1270</v>
      </c>
      <c r="C1414" s="464"/>
      <c r="D1414" s="464" t="s">
        <v>1679</v>
      </c>
      <c r="E1414" s="464" t="s">
        <v>4402</v>
      </c>
      <c r="F1414" s="464" t="s">
        <v>4403</v>
      </c>
      <c r="G1414" s="464" t="s">
        <v>4404</v>
      </c>
      <c r="H1414" s="464" t="s">
        <v>4405</v>
      </c>
      <c r="I1414" s="464" t="s">
        <v>1684</v>
      </c>
    </row>
    <row r="1415" ht="15.95" customHeight="1">
      <c r="A1415" s="464" t="s">
        <v>4415</v>
      </c>
      <c r="B1415" s="464" t="s">
        <v>4416</v>
      </c>
      <c r="C1415" s="464"/>
      <c r="D1415" s="464" t="s">
        <v>1679</v>
      </c>
      <c r="E1415" s="464" t="s">
        <v>4402</v>
      </c>
      <c r="F1415" s="464" t="s">
        <v>4403</v>
      </c>
      <c r="G1415" s="464" t="s">
        <v>4404</v>
      </c>
      <c r="H1415" s="464" t="s">
        <v>4405</v>
      </c>
      <c r="I1415" s="464" t="s">
        <v>1684</v>
      </c>
    </row>
    <row r="1416" ht="15.95" customHeight="1">
      <c r="A1416" s="464" t="s">
        <v>4417</v>
      </c>
      <c r="B1416" s="464" t="s">
        <v>4418</v>
      </c>
      <c r="C1416" s="464"/>
      <c r="D1416" s="464" t="s">
        <v>1709</v>
      </c>
      <c r="E1416" s="464" t="s">
        <v>4402</v>
      </c>
      <c r="F1416" s="464" t="s">
        <v>4403</v>
      </c>
      <c r="G1416" s="464" t="s">
        <v>4404</v>
      </c>
      <c r="H1416" s="464" t="s">
        <v>4405</v>
      </c>
      <c r="I1416" s="464" t="s">
        <v>1684</v>
      </c>
    </row>
    <row r="1417" ht="15.95" customHeight="1">
      <c r="A1417" s="464" t="s">
        <v>4419</v>
      </c>
      <c r="B1417" s="464" t="s">
        <v>3928</v>
      </c>
      <c r="C1417" s="464"/>
      <c r="D1417" s="464" t="s">
        <v>1709</v>
      </c>
      <c r="E1417" s="464" t="s">
        <v>4402</v>
      </c>
      <c r="F1417" s="464" t="s">
        <v>4403</v>
      </c>
      <c r="G1417" s="464" t="s">
        <v>4404</v>
      </c>
      <c r="H1417" s="464" t="s">
        <v>4405</v>
      </c>
      <c r="I1417" s="464" t="s">
        <v>1684</v>
      </c>
    </row>
    <row r="1418" ht="15.95" customHeight="1">
      <c r="A1418" s="464" t="s">
        <v>4420</v>
      </c>
      <c r="B1418" s="464" t="s">
        <v>4421</v>
      </c>
      <c r="C1418" s="464"/>
      <c r="D1418" s="464" t="s">
        <v>1709</v>
      </c>
      <c r="E1418" s="464" t="s">
        <v>4402</v>
      </c>
      <c r="F1418" s="464" t="s">
        <v>4403</v>
      </c>
      <c r="G1418" s="464" t="s">
        <v>4404</v>
      </c>
      <c r="H1418" s="464" t="s">
        <v>4405</v>
      </c>
      <c r="I1418" s="464" t="s">
        <v>1684</v>
      </c>
    </row>
    <row r="1419" ht="15.95" customHeight="1">
      <c r="A1419" s="464" t="s">
        <v>4422</v>
      </c>
      <c r="B1419" s="464" t="s">
        <v>4423</v>
      </c>
      <c r="C1419" s="464"/>
      <c r="D1419" s="464" t="s">
        <v>1709</v>
      </c>
      <c r="E1419" s="464" t="s">
        <v>4402</v>
      </c>
      <c r="F1419" s="464" t="s">
        <v>4403</v>
      </c>
      <c r="G1419" s="464" t="s">
        <v>4404</v>
      </c>
      <c r="H1419" s="464" t="s">
        <v>4405</v>
      </c>
      <c r="I1419" s="464" t="s">
        <v>1684</v>
      </c>
    </row>
    <row r="1420" ht="15.95" customHeight="1">
      <c r="A1420" s="464" t="s">
        <v>4424</v>
      </c>
      <c r="B1420" s="464" t="s">
        <v>2782</v>
      </c>
      <c r="C1420" s="464"/>
      <c r="D1420" s="464" t="s">
        <v>1709</v>
      </c>
      <c r="E1420" s="464" t="s">
        <v>4402</v>
      </c>
      <c r="F1420" s="464" t="s">
        <v>4403</v>
      </c>
      <c r="G1420" s="464" t="s">
        <v>4404</v>
      </c>
      <c r="H1420" s="464" t="s">
        <v>4405</v>
      </c>
      <c r="I1420" s="464" t="s">
        <v>1684</v>
      </c>
    </row>
    <row r="1421" ht="15.95" customHeight="1">
      <c r="A1421" s="464" t="s">
        <v>4425</v>
      </c>
      <c r="B1421" s="464" t="s">
        <v>4426</v>
      </c>
      <c r="C1421" s="464"/>
      <c r="D1421" s="464" t="s">
        <v>1709</v>
      </c>
      <c r="E1421" s="464" t="s">
        <v>4402</v>
      </c>
      <c r="F1421" s="464" t="s">
        <v>4403</v>
      </c>
      <c r="G1421" s="464" t="s">
        <v>4404</v>
      </c>
      <c r="H1421" s="464" t="s">
        <v>4405</v>
      </c>
      <c r="I1421" s="464" t="s">
        <v>1684</v>
      </c>
    </row>
    <row r="1422" ht="15.95" customHeight="1">
      <c r="A1422" s="464" t="s">
        <v>4427</v>
      </c>
      <c r="B1422" s="464" t="s">
        <v>1269</v>
      </c>
      <c r="C1422" s="464"/>
      <c r="D1422" s="464" t="s">
        <v>1679</v>
      </c>
      <c r="E1422" s="464" t="s">
        <v>4428</v>
      </c>
      <c r="F1422" s="464" t="s">
        <v>4429</v>
      </c>
      <c r="G1422" s="464" t="s">
        <v>4404</v>
      </c>
      <c r="H1422" s="464" t="s">
        <v>4405</v>
      </c>
      <c r="I1422" s="464" t="s">
        <v>1684</v>
      </c>
    </row>
    <row r="1423" ht="15.95" customHeight="1">
      <c r="A1423" s="464" t="s">
        <v>4430</v>
      </c>
      <c r="B1423" s="464" t="s">
        <v>2110</v>
      </c>
      <c r="C1423" s="464"/>
      <c r="D1423" s="464" t="s">
        <v>1679</v>
      </c>
      <c r="E1423" s="464" t="s">
        <v>4428</v>
      </c>
      <c r="F1423" s="464" t="s">
        <v>4429</v>
      </c>
      <c r="G1423" s="464" t="s">
        <v>4404</v>
      </c>
      <c r="H1423" s="464" t="s">
        <v>4405</v>
      </c>
      <c r="I1423" s="464" t="s">
        <v>1684</v>
      </c>
    </row>
    <row r="1424" ht="15.95" customHeight="1">
      <c r="A1424" s="464" t="s">
        <v>4431</v>
      </c>
      <c r="B1424" s="464" t="s">
        <v>1282</v>
      </c>
      <c r="C1424" s="464"/>
      <c r="D1424" s="464" t="s">
        <v>1679</v>
      </c>
      <c r="E1424" s="464" t="s">
        <v>4428</v>
      </c>
      <c r="F1424" s="464" t="s">
        <v>4429</v>
      </c>
      <c r="G1424" s="464" t="s">
        <v>4404</v>
      </c>
      <c r="H1424" s="464" t="s">
        <v>4405</v>
      </c>
      <c r="I1424" s="464" t="s">
        <v>1684</v>
      </c>
    </row>
    <row r="1425" ht="15.95" customHeight="1">
      <c r="A1425" s="464" t="s">
        <v>4432</v>
      </c>
      <c r="B1425" s="464" t="s">
        <v>1287</v>
      </c>
      <c r="C1425" s="464"/>
      <c r="D1425" s="464" t="s">
        <v>1679</v>
      </c>
      <c r="E1425" s="464" t="s">
        <v>4428</v>
      </c>
      <c r="F1425" s="464" t="s">
        <v>4429</v>
      </c>
      <c r="G1425" s="464" t="s">
        <v>4404</v>
      </c>
      <c r="H1425" s="464" t="s">
        <v>4405</v>
      </c>
      <c r="I1425" s="464" t="s">
        <v>1684</v>
      </c>
    </row>
    <row r="1426" ht="15.95" customHeight="1">
      <c r="A1426" s="464" t="s">
        <v>4433</v>
      </c>
      <c r="B1426" s="464" t="s">
        <v>2115</v>
      </c>
      <c r="C1426" s="464"/>
      <c r="D1426" s="464" t="s">
        <v>1679</v>
      </c>
      <c r="E1426" s="464" t="s">
        <v>4428</v>
      </c>
      <c r="F1426" s="464" t="s">
        <v>4429</v>
      </c>
      <c r="G1426" s="464" t="s">
        <v>4404</v>
      </c>
      <c r="H1426" s="464" t="s">
        <v>4405</v>
      </c>
      <c r="I1426" s="464" t="s">
        <v>1684</v>
      </c>
    </row>
    <row r="1427" ht="15.95" customHeight="1">
      <c r="A1427" s="464" t="s">
        <v>4434</v>
      </c>
      <c r="B1427" s="464" t="s">
        <v>2629</v>
      </c>
      <c r="C1427" s="464"/>
      <c r="D1427" s="464" t="s">
        <v>1709</v>
      </c>
      <c r="E1427" s="464" t="s">
        <v>4428</v>
      </c>
      <c r="F1427" s="464" t="s">
        <v>4429</v>
      </c>
      <c r="G1427" s="464" t="s">
        <v>4404</v>
      </c>
      <c r="H1427" s="464" t="s">
        <v>4405</v>
      </c>
      <c r="I1427" s="464" t="s">
        <v>1684</v>
      </c>
    </row>
    <row r="1428" ht="15.95" customHeight="1">
      <c r="A1428" s="464" t="s">
        <v>4435</v>
      </c>
      <c r="B1428" s="464" t="s">
        <v>2805</v>
      </c>
      <c r="C1428" s="464"/>
      <c r="D1428" s="464" t="s">
        <v>1709</v>
      </c>
      <c r="E1428" s="464" t="s">
        <v>4428</v>
      </c>
      <c r="F1428" s="464" t="s">
        <v>4429</v>
      </c>
      <c r="G1428" s="464" t="s">
        <v>4404</v>
      </c>
      <c r="H1428" s="464" t="s">
        <v>4405</v>
      </c>
      <c r="I1428" s="464" t="s">
        <v>1684</v>
      </c>
    </row>
    <row r="1429" ht="15.95" customHeight="1">
      <c r="A1429" s="464" t="s">
        <v>4436</v>
      </c>
      <c r="B1429" s="464" t="s">
        <v>4437</v>
      </c>
      <c r="C1429" s="464"/>
      <c r="D1429" s="464" t="s">
        <v>1709</v>
      </c>
      <c r="E1429" s="464" t="s">
        <v>4428</v>
      </c>
      <c r="F1429" s="464" t="s">
        <v>4429</v>
      </c>
      <c r="G1429" s="464" t="s">
        <v>4404</v>
      </c>
      <c r="H1429" s="464" t="s">
        <v>4405</v>
      </c>
      <c r="I1429" s="464" t="s">
        <v>1684</v>
      </c>
    </row>
    <row r="1430" ht="15.95" customHeight="1">
      <c r="A1430" s="464" t="s">
        <v>4438</v>
      </c>
      <c r="B1430" s="464" t="s">
        <v>2888</v>
      </c>
      <c r="C1430" s="464"/>
      <c r="D1430" s="464" t="s">
        <v>1709</v>
      </c>
      <c r="E1430" s="464" t="s">
        <v>4428</v>
      </c>
      <c r="F1430" s="464" t="s">
        <v>4429</v>
      </c>
      <c r="G1430" s="464" t="s">
        <v>4404</v>
      </c>
      <c r="H1430" s="464" t="s">
        <v>4405</v>
      </c>
      <c r="I1430" s="464" t="s">
        <v>1684</v>
      </c>
    </row>
    <row r="1431" ht="15.95" customHeight="1">
      <c r="A1431" s="464" t="s">
        <v>4439</v>
      </c>
      <c r="B1431" s="464" t="s">
        <v>4440</v>
      </c>
      <c r="C1431" s="464"/>
      <c r="D1431" s="464" t="s">
        <v>1709</v>
      </c>
      <c r="E1431" s="464" t="s">
        <v>4428</v>
      </c>
      <c r="F1431" s="464" t="s">
        <v>4429</v>
      </c>
      <c r="G1431" s="464" t="s">
        <v>4404</v>
      </c>
      <c r="H1431" s="464" t="s">
        <v>4405</v>
      </c>
      <c r="I1431" s="464" t="s">
        <v>1684</v>
      </c>
    </row>
    <row r="1432" ht="15.95" customHeight="1">
      <c r="A1432" s="464" t="s">
        <v>4441</v>
      </c>
      <c r="B1432" s="464" t="s">
        <v>4442</v>
      </c>
      <c r="C1432" s="464"/>
      <c r="D1432" s="464" t="s">
        <v>1709</v>
      </c>
      <c r="E1432" s="464" t="s">
        <v>4428</v>
      </c>
      <c r="F1432" s="464" t="s">
        <v>4429</v>
      </c>
      <c r="G1432" s="464" t="s">
        <v>4404</v>
      </c>
      <c r="H1432" s="464" t="s">
        <v>4405</v>
      </c>
      <c r="I1432" s="464" t="s">
        <v>1684</v>
      </c>
    </row>
    <row r="1433" ht="15.95" customHeight="1">
      <c r="A1433" s="464" t="s">
        <v>4443</v>
      </c>
      <c r="B1433" s="464" t="s">
        <v>4444</v>
      </c>
      <c r="C1433" s="464"/>
      <c r="D1433" s="464" t="s">
        <v>1709</v>
      </c>
      <c r="E1433" s="464" t="s">
        <v>4428</v>
      </c>
      <c r="F1433" s="464" t="s">
        <v>4429</v>
      </c>
      <c r="G1433" s="464" t="s">
        <v>4404</v>
      </c>
      <c r="H1433" s="464" t="s">
        <v>4405</v>
      </c>
      <c r="I1433" s="464" t="s">
        <v>1684</v>
      </c>
    </row>
    <row r="1434" ht="15.95" customHeight="1">
      <c r="A1434" s="464" t="s">
        <v>4445</v>
      </c>
      <c r="B1434" s="464" t="s">
        <v>1287</v>
      </c>
      <c r="C1434" s="464"/>
      <c r="D1434" s="464" t="s">
        <v>1679</v>
      </c>
      <c r="E1434" s="464" t="s">
        <v>4446</v>
      </c>
      <c r="F1434" s="464" t="s">
        <v>4447</v>
      </c>
      <c r="G1434" s="464" t="s">
        <v>4404</v>
      </c>
      <c r="H1434" s="464" t="s">
        <v>4405</v>
      </c>
      <c r="I1434" s="464" t="s">
        <v>1684</v>
      </c>
    </row>
    <row r="1435" ht="15.95" customHeight="1">
      <c r="A1435" s="464" t="s">
        <v>4448</v>
      </c>
      <c r="B1435" s="464" t="s">
        <v>2110</v>
      </c>
      <c r="C1435" s="464"/>
      <c r="D1435" s="464" t="s">
        <v>1679</v>
      </c>
      <c r="E1435" s="464" t="s">
        <v>4446</v>
      </c>
      <c r="F1435" s="464" t="s">
        <v>4447</v>
      </c>
      <c r="G1435" s="464" t="s">
        <v>4404</v>
      </c>
      <c r="H1435" s="464" t="s">
        <v>4405</v>
      </c>
      <c r="I1435" s="464" t="s">
        <v>1684</v>
      </c>
    </row>
    <row r="1436" ht="15.95" customHeight="1">
      <c r="A1436" s="464" t="s">
        <v>4449</v>
      </c>
      <c r="B1436" s="464" t="s">
        <v>1269</v>
      </c>
      <c r="C1436" s="464"/>
      <c r="D1436" s="464" t="s">
        <v>1679</v>
      </c>
      <c r="E1436" s="464" t="s">
        <v>4446</v>
      </c>
      <c r="F1436" s="464" t="s">
        <v>4447</v>
      </c>
      <c r="G1436" s="464" t="s">
        <v>4404</v>
      </c>
      <c r="H1436" s="464" t="s">
        <v>4405</v>
      </c>
      <c r="I1436" s="464" t="s">
        <v>1684</v>
      </c>
    </row>
    <row r="1437" ht="15.95" customHeight="1">
      <c r="A1437" s="464" t="s">
        <v>4450</v>
      </c>
      <c r="B1437" s="464" t="s">
        <v>1282</v>
      </c>
      <c r="C1437" s="464"/>
      <c r="D1437" s="464" t="s">
        <v>1679</v>
      </c>
      <c r="E1437" s="464" t="s">
        <v>4446</v>
      </c>
      <c r="F1437" s="464" t="s">
        <v>4447</v>
      </c>
      <c r="G1437" s="464" t="s">
        <v>4404</v>
      </c>
      <c r="H1437" s="464" t="s">
        <v>4405</v>
      </c>
      <c r="I1437" s="464" t="s">
        <v>1684</v>
      </c>
    </row>
    <row r="1438" ht="15.95" customHeight="1">
      <c r="A1438" s="464" t="s">
        <v>4451</v>
      </c>
      <c r="B1438" s="464" t="s">
        <v>2115</v>
      </c>
      <c r="C1438" s="464"/>
      <c r="D1438" s="464" t="s">
        <v>1679</v>
      </c>
      <c r="E1438" s="464" t="s">
        <v>4446</v>
      </c>
      <c r="F1438" s="464" t="s">
        <v>4447</v>
      </c>
      <c r="G1438" s="464" t="s">
        <v>4404</v>
      </c>
      <c r="H1438" s="464" t="s">
        <v>4405</v>
      </c>
      <c r="I1438" s="464" t="s">
        <v>1684</v>
      </c>
    </row>
    <row r="1439" ht="15.95" customHeight="1">
      <c r="A1439" s="464" t="s">
        <v>4452</v>
      </c>
      <c r="B1439" s="464" t="s">
        <v>4453</v>
      </c>
      <c r="C1439" s="464"/>
      <c r="D1439" s="464" t="s">
        <v>1709</v>
      </c>
      <c r="E1439" s="464" t="s">
        <v>4446</v>
      </c>
      <c r="F1439" s="464" t="s">
        <v>4447</v>
      </c>
      <c r="G1439" s="464" t="s">
        <v>4404</v>
      </c>
      <c r="H1439" s="464" t="s">
        <v>4405</v>
      </c>
      <c r="I1439" s="464" t="s">
        <v>1684</v>
      </c>
    </row>
    <row r="1440" ht="15.95" customHeight="1">
      <c r="A1440" s="464" t="s">
        <v>4454</v>
      </c>
      <c r="B1440" s="464" t="s">
        <v>4455</v>
      </c>
      <c r="C1440" s="464"/>
      <c r="D1440" s="464" t="s">
        <v>1709</v>
      </c>
      <c r="E1440" s="464" t="s">
        <v>4446</v>
      </c>
      <c r="F1440" s="464" t="s">
        <v>4447</v>
      </c>
      <c r="G1440" s="464" t="s">
        <v>4404</v>
      </c>
      <c r="H1440" s="464" t="s">
        <v>4405</v>
      </c>
      <c r="I1440" s="464" t="s">
        <v>1684</v>
      </c>
    </row>
    <row r="1441" ht="15.95" customHeight="1">
      <c r="A1441" s="464" t="s">
        <v>4456</v>
      </c>
      <c r="B1441" s="464" t="s">
        <v>4457</v>
      </c>
      <c r="C1441" s="464"/>
      <c r="D1441" s="464" t="s">
        <v>1709</v>
      </c>
      <c r="E1441" s="464" t="s">
        <v>4446</v>
      </c>
      <c r="F1441" s="464" t="s">
        <v>4447</v>
      </c>
      <c r="G1441" s="464" t="s">
        <v>4404</v>
      </c>
      <c r="H1441" s="464" t="s">
        <v>4405</v>
      </c>
      <c r="I1441" s="464" t="s">
        <v>1684</v>
      </c>
    </row>
    <row r="1442" ht="15.95" customHeight="1">
      <c r="A1442" s="464" t="s">
        <v>4458</v>
      </c>
      <c r="B1442" s="464" t="s">
        <v>2697</v>
      </c>
      <c r="C1442" s="464"/>
      <c r="D1442" s="464" t="s">
        <v>1709</v>
      </c>
      <c r="E1442" s="464" t="s">
        <v>4446</v>
      </c>
      <c r="F1442" s="464" t="s">
        <v>4447</v>
      </c>
      <c r="G1442" s="464" t="s">
        <v>4404</v>
      </c>
      <c r="H1442" s="464" t="s">
        <v>4405</v>
      </c>
      <c r="I1442" s="464" t="s">
        <v>1684</v>
      </c>
    </row>
    <row r="1443" ht="15.95" customHeight="1">
      <c r="A1443" s="464" t="s">
        <v>4459</v>
      </c>
      <c r="B1443" s="464" t="s">
        <v>1881</v>
      </c>
      <c r="C1443" s="464"/>
      <c r="D1443" s="464" t="s">
        <v>1709</v>
      </c>
      <c r="E1443" s="464" t="s">
        <v>4446</v>
      </c>
      <c r="F1443" s="464" t="s">
        <v>4447</v>
      </c>
      <c r="G1443" s="464" t="s">
        <v>4404</v>
      </c>
      <c r="H1443" s="464" t="s">
        <v>4405</v>
      </c>
      <c r="I1443" s="464" t="s">
        <v>1684</v>
      </c>
    </row>
    <row r="1444" ht="15.95" customHeight="1">
      <c r="A1444" s="464" t="s">
        <v>4460</v>
      </c>
      <c r="B1444" s="464" t="s">
        <v>2253</v>
      </c>
      <c r="C1444" s="464"/>
      <c r="D1444" s="464" t="s">
        <v>1709</v>
      </c>
      <c r="E1444" s="464" t="s">
        <v>4446</v>
      </c>
      <c r="F1444" s="464" t="s">
        <v>4447</v>
      </c>
      <c r="G1444" s="464" t="s">
        <v>4404</v>
      </c>
      <c r="H1444" s="464" t="s">
        <v>4405</v>
      </c>
      <c r="I1444" s="464" t="s">
        <v>1684</v>
      </c>
    </row>
    <row r="1445" ht="15.95" customHeight="1">
      <c r="A1445" s="464" t="s">
        <v>4461</v>
      </c>
      <c r="B1445" s="464" t="s">
        <v>4462</v>
      </c>
      <c r="C1445" s="464"/>
      <c r="D1445" s="464" t="s">
        <v>1679</v>
      </c>
      <c r="E1445" s="464" t="s">
        <v>4446</v>
      </c>
      <c r="F1445" s="464" t="s">
        <v>4447</v>
      </c>
      <c r="G1445" s="464" t="s">
        <v>4404</v>
      </c>
      <c r="H1445" s="464" t="s">
        <v>4405</v>
      </c>
      <c r="I1445" s="464" t="s">
        <v>1684</v>
      </c>
    </row>
    <row r="1446" ht="15.95" customHeight="1">
      <c r="A1446" s="464" t="s">
        <v>4463</v>
      </c>
      <c r="B1446" s="464" t="s">
        <v>4464</v>
      </c>
      <c r="C1446" s="464"/>
      <c r="D1446" s="464" t="s">
        <v>1709</v>
      </c>
      <c r="E1446" s="464" t="s">
        <v>4446</v>
      </c>
      <c r="F1446" s="464" t="s">
        <v>4447</v>
      </c>
      <c r="G1446" s="464" t="s">
        <v>4404</v>
      </c>
      <c r="H1446" s="464" t="s">
        <v>4405</v>
      </c>
      <c r="I1446" s="464" t="s">
        <v>1684</v>
      </c>
    </row>
    <row r="1447" ht="15.95" customHeight="1">
      <c r="A1447" s="464" t="s">
        <v>4465</v>
      </c>
      <c r="B1447" s="464" t="s">
        <v>2518</v>
      </c>
      <c r="C1447" s="464"/>
      <c r="D1447" s="464" t="s">
        <v>1709</v>
      </c>
      <c r="E1447" s="464" t="s">
        <v>4446</v>
      </c>
      <c r="F1447" s="464" t="s">
        <v>4447</v>
      </c>
      <c r="G1447" s="464" t="s">
        <v>4404</v>
      </c>
      <c r="H1447" s="464" t="s">
        <v>4405</v>
      </c>
      <c r="I1447" s="464" t="s">
        <v>1684</v>
      </c>
    </row>
    <row r="1448" ht="15.95" customHeight="1">
      <c r="A1448" s="464" t="s">
        <v>4466</v>
      </c>
      <c r="B1448" s="464" t="s">
        <v>4467</v>
      </c>
      <c r="C1448" s="464"/>
      <c r="D1448" s="464" t="s">
        <v>1709</v>
      </c>
      <c r="E1448" s="464" t="s">
        <v>4446</v>
      </c>
      <c r="F1448" s="464" t="s">
        <v>4447</v>
      </c>
      <c r="G1448" s="464" t="s">
        <v>4404</v>
      </c>
      <c r="H1448" s="464" t="s">
        <v>4405</v>
      </c>
      <c r="I1448" s="464" t="s">
        <v>1684</v>
      </c>
    </row>
    <row r="1449" ht="15.95" customHeight="1">
      <c r="A1449" s="464" t="s">
        <v>4468</v>
      </c>
      <c r="B1449" s="464" t="s">
        <v>2801</v>
      </c>
      <c r="C1449" s="464"/>
      <c r="D1449" s="464" t="s">
        <v>1709</v>
      </c>
      <c r="E1449" s="464" t="s">
        <v>4446</v>
      </c>
      <c r="F1449" s="464" t="s">
        <v>4447</v>
      </c>
      <c r="G1449" s="464" t="s">
        <v>4404</v>
      </c>
      <c r="H1449" s="464" t="s">
        <v>4405</v>
      </c>
      <c r="I1449" s="464" t="s">
        <v>1684</v>
      </c>
    </row>
    <row r="1450" ht="15.95" customHeight="1">
      <c r="A1450" s="464" t="s">
        <v>4469</v>
      </c>
      <c r="B1450" s="464" t="s">
        <v>4470</v>
      </c>
      <c r="C1450" s="464"/>
      <c r="D1450" s="464" t="s">
        <v>1738</v>
      </c>
      <c r="E1450" s="464" t="s">
        <v>4471</v>
      </c>
      <c r="F1450" s="464" t="s">
        <v>4472</v>
      </c>
      <c r="G1450" s="464" t="s">
        <v>4404</v>
      </c>
      <c r="H1450" s="464" t="s">
        <v>4405</v>
      </c>
      <c r="I1450" s="464" t="s">
        <v>1684</v>
      </c>
    </row>
    <row r="1451" ht="15.95" customHeight="1">
      <c r="A1451" s="464" t="s">
        <v>4473</v>
      </c>
      <c r="B1451" s="464" t="s">
        <v>4474</v>
      </c>
      <c r="C1451" s="464"/>
      <c r="D1451" s="464" t="s">
        <v>1709</v>
      </c>
      <c r="E1451" s="464" t="s">
        <v>4471</v>
      </c>
      <c r="F1451" s="464" t="s">
        <v>4472</v>
      </c>
      <c r="G1451" s="464" t="s">
        <v>4404</v>
      </c>
      <c r="H1451" s="464" t="s">
        <v>4405</v>
      </c>
      <c r="I1451" s="464" t="s">
        <v>1684</v>
      </c>
    </row>
    <row r="1452" ht="15.95" customHeight="1">
      <c r="A1452" s="464" t="s">
        <v>4475</v>
      </c>
      <c r="B1452" s="464" t="s">
        <v>2652</v>
      </c>
      <c r="C1452" s="464"/>
      <c r="D1452" s="464" t="s">
        <v>1709</v>
      </c>
      <c r="E1452" s="464" t="s">
        <v>4471</v>
      </c>
      <c r="F1452" s="464" t="s">
        <v>4472</v>
      </c>
      <c r="G1452" s="464" t="s">
        <v>4404</v>
      </c>
      <c r="H1452" s="464" t="s">
        <v>4405</v>
      </c>
      <c r="I1452" s="464" t="s">
        <v>1684</v>
      </c>
    </row>
    <row r="1453" ht="15.95" customHeight="1">
      <c r="A1453" s="464" t="s">
        <v>4476</v>
      </c>
      <c r="B1453" s="464" t="s">
        <v>4477</v>
      </c>
      <c r="C1453" s="464"/>
      <c r="D1453" s="464" t="s">
        <v>1709</v>
      </c>
      <c r="E1453" s="464" t="s">
        <v>4471</v>
      </c>
      <c r="F1453" s="464" t="s">
        <v>4472</v>
      </c>
      <c r="G1453" s="464" t="s">
        <v>4404</v>
      </c>
      <c r="H1453" s="464" t="s">
        <v>4405</v>
      </c>
      <c r="I1453" s="464" t="s">
        <v>1684</v>
      </c>
    </row>
    <row r="1454" ht="15.95" customHeight="1">
      <c r="A1454" s="464" t="s">
        <v>4478</v>
      </c>
      <c r="B1454" s="464" t="s">
        <v>4247</v>
      </c>
      <c r="C1454" s="464"/>
      <c r="D1454" s="464" t="s">
        <v>1709</v>
      </c>
      <c r="E1454" s="464" t="s">
        <v>4471</v>
      </c>
      <c r="F1454" s="464" t="s">
        <v>4472</v>
      </c>
      <c r="G1454" s="464" t="s">
        <v>4404</v>
      </c>
      <c r="H1454" s="464" t="s">
        <v>4405</v>
      </c>
      <c r="I1454" s="464" t="s">
        <v>1684</v>
      </c>
    </row>
    <row r="1455" ht="15.95" customHeight="1">
      <c r="A1455" s="464" t="s">
        <v>4479</v>
      </c>
      <c r="B1455" s="464" t="s">
        <v>4480</v>
      </c>
      <c r="C1455" s="464"/>
      <c r="D1455" s="464" t="s">
        <v>1709</v>
      </c>
      <c r="E1455" s="464" t="s">
        <v>4471</v>
      </c>
      <c r="F1455" s="464" t="s">
        <v>4472</v>
      </c>
      <c r="G1455" s="464" t="s">
        <v>4404</v>
      </c>
      <c r="H1455" s="464" t="s">
        <v>4405</v>
      </c>
      <c r="I1455" s="464" t="s">
        <v>1684</v>
      </c>
    </row>
    <row r="1456" ht="15.95" customHeight="1">
      <c r="A1456" s="464" t="s">
        <v>4481</v>
      </c>
      <c r="B1456" s="464" t="s">
        <v>4482</v>
      </c>
      <c r="C1456" s="464"/>
      <c r="D1456" s="464" t="s">
        <v>1709</v>
      </c>
      <c r="E1456" s="464" t="s">
        <v>4471</v>
      </c>
      <c r="F1456" s="464" t="s">
        <v>4472</v>
      </c>
      <c r="G1456" s="464" t="s">
        <v>4404</v>
      </c>
      <c r="H1456" s="464" t="s">
        <v>4405</v>
      </c>
      <c r="I1456" s="464" t="s">
        <v>1684</v>
      </c>
    </row>
    <row r="1457" ht="15.95" customHeight="1">
      <c r="A1457" s="464" t="s">
        <v>4483</v>
      </c>
      <c r="B1457" s="464" t="s">
        <v>4083</v>
      </c>
      <c r="C1457" s="464"/>
      <c r="D1457" s="464" t="s">
        <v>1709</v>
      </c>
      <c r="E1457" s="464" t="s">
        <v>4471</v>
      </c>
      <c r="F1457" s="464" t="s">
        <v>4472</v>
      </c>
      <c r="G1457" s="464" t="s">
        <v>4404</v>
      </c>
      <c r="H1457" s="464" t="s">
        <v>4405</v>
      </c>
      <c r="I1457" s="464" t="s">
        <v>1684</v>
      </c>
    </row>
    <row r="1458" ht="15.95" customHeight="1">
      <c r="A1458" s="464" t="s">
        <v>4484</v>
      </c>
      <c r="B1458" s="464" t="s">
        <v>4485</v>
      </c>
      <c r="C1458" s="464"/>
      <c r="D1458" s="464" t="s">
        <v>1709</v>
      </c>
      <c r="E1458" s="464" t="s">
        <v>4471</v>
      </c>
      <c r="F1458" s="464" t="s">
        <v>4472</v>
      </c>
      <c r="G1458" s="464" t="s">
        <v>4404</v>
      </c>
      <c r="H1458" s="464" t="s">
        <v>4405</v>
      </c>
      <c r="I1458" s="464" t="s">
        <v>1684</v>
      </c>
    </row>
    <row r="1459" ht="15.95" customHeight="1">
      <c r="A1459" s="464" t="s">
        <v>4486</v>
      </c>
      <c r="B1459" s="464" t="s">
        <v>4487</v>
      </c>
      <c r="C1459" s="464"/>
      <c r="D1459" s="464" t="s">
        <v>1709</v>
      </c>
      <c r="E1459" s="464" t="s">
        <v>4471</v>
      </c>
      <c r="F1459" s="464" t="s">
        <v>4472</v>
      </c>
      <c r="G1459" s="464" t="s">
        <v>4404</v>
      </c>
      <c r="H1459" s="464" t="s">
        <v>4405</v>
      </c>
      <c r="I1459" s="464" t="s">
        <v>1684</v>
      </c>
    </row>
    <row r="1460" ht="15.95" customHeight="1">
      <c r="A1460" s="464" t="s">
        <v>4488</v>
      </c>
      <c r="B1460" s="464" t="s">
        <v>4489</v>
      </c>
      <c r="C1460" s="464"/>
      <c r="D1460" s="464" t="s">
        <v>1709</v>
      </c>
      <c r="E1460" s="464" t="s">
        <v>4471</v>
      </c>
      <c r="F1460" s="464" t="s">
        <v>4472</v>
      </c>
      <c r="G1460" s="464" t="s">
        <v>4404</v>
      </c>
      <c r="H1460" s="464" t="s">
        <v>4405</v>
      </c>
      <c r="I1460" s="464" t="s">
        <v>1684</v>
      </c>
    </row>
    <row r="1461" ht="15.95" customHeight="1">
      <c r="A1461" s="464" t="s">
        <v>4490</v>
      </c>
      <c r="B1461" s="464" t="s">
        <v>4491</v>
      </c>
      <c r="C1461" s="464"/>
      <c r="D1461" s="464" t="s">
        <v>1709</v>
      </c>
      <c r="E1461" s="464" t="s">
        <v>4471</v>
      </c>
      <c r="F1461" s="464" t="s">
        <v>4472</v>
      </c>
      <c r="G1461" s="464" t="s">
        <v>4404</v>
      </c>
      <c r="H1461" s="464" t="s">
        <v>4405</v>
      </c>
      <c r="I1461" s="464" t="s">
        <v>1684</v>
      </c>
    </row>
    <row r="1462" ht="15.95" customHeight="1">
      <c r="A1462" s="464" t="s">
        <v>4492</v>
      </c>
      <c r="B1462" s="464" t="s">
        <v>4493</v>
      </c>
      <c r="C1462" s="464"/>
      <c r="D1462" s="464" t="s">
        <v>1709</v>
      </c>
      <c r="E1462" s="464" t="s">
        <v>4471</v>
      </c>
      <c r="F1462" s="464" t="s">
        <v>4472</v>
      </c>
      <c r="G1462" s="464" t="s">
        <v>4404</v>
      </c>
      <c r="H1462" s="464" t="s">
        <v>4405</v>
      </c>
      <c r="I1462" s="464" t="s">
        <v>1684</v>
      </c>
    </row>
    <row r="1463" ht="15.95" customHeight="1">
      <c r="A1463" s="464" t="s">
        <v>4494</v>
      </c>
      <c r="B1463" s="464" t="s">
        <v>4495</v>
      </c>
      <c r="C1463" s="464"/>
      <c r="D1463" s="464" t="s">
        <v>1738</v>
      </c>
      <c r="E1463" s="464" t="s">
        <v>4496</v>
      </c>
      <c r="F1463" s="464" t="s">
        <v>4497</v>
      </c>
      <c r="G1463" s="464" t="s">
        <v>4404</v>
      </c>
      <c r="H1463" s="464" t="s">
        <v>4405</v>
      </c>
      <c r="I1463" s="464" t="s">
        <v>1684</v>
      </c>
    </row>
    <row r="1464" ht="15.95" customHeight="1">
      <c r="A1464" s="464" t="s">
        <v>4498</v>
      </c>
      <c r="B1464" s="464" t="s">
        <v>4499</v>
      </c>
      <c r="C1464" s="464"/>
      <c r="D1464" s="464" t="s">
        <v>1709</v>
      </c>
      <c r="E1464" s="464" t="s">
        <v>4496</v>
      </c>
      <c r="F1464" s="464" t="s">
        <v>4497</v>
      </c>
      <c r="G1464" s="464" t="s">
        <v>4404</v>
      </c>
      <c r="H1464" s="464" t="s">
        <v>4405</v>
      </c>
      <c r="I1464" s="464" t="s">
        <v>1684</v>
      </c>
    </row>
    <row r="1465" ht="15.95" customHeight="1">
      <c r="A1465" s="464" t="s">
        <v>4500</v>
      </c>
      <c r="B1465" s="464" t="s">
        <v>4501</v>
      </c>
      <c r="C1465" s="464"/>
      <c r="D1465" s="464" t="s">
        <v>1709</v>
      </c>
      <c r="E1465" s="464" t="s">
        <v>4496</v>
      </c>
      <c r="F1465" s="464" t="s">
        <v>4497</v>
      </c>
      <c r="G1465" s="464" t="s">
        <v>4404</v>
      </c>
      <c r="H1465" s="464" t="s">
        <v>4405</v>
      </c>
      <c r="I1465" s="464" t="s">
        <v>1684</v>
      </c>
    </row>
    <row r="1466" ht="15.95" customHeight="1">
      <c r="A1466" s="464" t="s">
        <v>4502</v>
      </c>
      <c r="B1466" s="464" t="s">
        <v>4503</v>
      </c>
      <c r="C1466" s="464"/>
      <c r="D1466" s="464" t="s">
        <v>1709</v>
      </c>
      <c r="E1466" s="464" t="s">
        <v>4496</v>
      </c>
      <c r="F1466" s="464" t="s">
        <v>4497</v>
      </c>
      <c r="G1466" s="464" t="s">
        <v>4404</v>
      </c>
      <c r="H1466" s="464" t="s">
        <v>4405</v>
      </c>
      <c r="I1466" s="464" t="s">
        <v>1684</v>
      </c>
    </row>
    <row r="1467" ht="15.95" customHeight="1">
      <c r="A1467" s="464" t="s">
        <v>4504</v>
      </c>
      <c r="B1467" s="464" t="s">
        <v>4505</v>
      </c>
      <c r="C1467" s="464"/>
      <c r="D1467" s="464" t="s">
        <v>1709</v>
      </c>
      <c r="E1467" s="464" t="s">
        <v>4496</v>
      </c>
      <c r="F1467" s="464" t="s">
        <v>4497</v>
      </c>
      <c r="G1467" s="464" t="s">
        <v>4404</v>
      </c>
      <c r="H1467" s="464" t="s">
        <v>4405</v>
      </c>
      <c r="I1467" s="464" t="s">
        <v>1684</v>
      </c>
    </row>
    <row r="1468" ht="15.95" customHeight="1">
      <c r="A1468" s="464" t="s">
        <v>4506</v>
      </c>
      <c r="B1468" s="464" t="s">
        <v>4507</v>
      </c>
      <c r="C1468" s="464"/>
      <c r="D1468" s="464" t="s">
        <v>1709</v>
      </c>
      <c r="E1468" s="464" t="s">
        <v>4496</v>
      </c>
      <c r="F1468" s="464" t="s">
        <v>4497</v>
      </c>
      <c r="G1468" s="464" t="s">
        <v>4404</v>
      </c>
      <c r="H1468" s="464" t="s">
        <v>4405</v>
      </c>
      <c r="I1468" s="464" t="s">
        <v>1684</v>
      </c>
    </row>
    <row r="1469" ht="15.95" customHeight="1">
      <c r="A1469" s="464" t="s">
        <v>4508</v>
      </c>
      <c r="B1469" s="464" t="s">
        <v>4509</v>
      </c>
      <c r="C1469" s="464"/>
      <c r="D1469" s="464" t="s">
        <v>1709</v>
      </c>
      <c r="E1469" s="464" t="s">
        <v>4496</v>
      </c>
      <c r="F1469" s="464" t="s">
        <v>4497</v>
      </c>
      <c r="G1469" s="464" t="s">
        <v>4404</v>
      </c>
      <c r="H1469" s="464" t="s">
        <v>4405</v>
      </c>
      <c r="I1469" s="464" t="s">
        <v>1684</v>
      </c>
    </row>
    <row r="1470" ht="15.95" customHeight="1">
      <c r="A1470" s="464" t="s">
        <v>4510</v>
      </c>
      <c r="B1470" s="464" t="s">
        <v>4511</v>
      </c>
      <c r="C1470" s="464"/>
      <c r="D1470" s="464" t="s">
        <v>1709</v>
      </c>
      <c r="E1470" s="464" t="s">
        <v>4496</v>
      </c>
      <c r="F1470" s="464" t="s">
        <v>4497</v>
      </c>
      <c r="G1470" s="464" t="s">
        <v>4404</v>
      </c>
      <c r="H1470" s="464" t="s">
        <v>4405</v>
      </c>
      <c r="I1470" s="464" t="s">
        <v>1684</v>
      </c>
    </row>
    <row r="1471" ht="15.95" customHeight="1">
      <c r="A1471" s="464" t="s">
        <v>4512</v>
      </c>
      <c r="B1471" s="464" t="s">
        <v>4513</v>
      </c>
      <c r="C1471" s="464"/>
      <c r="D1471" s="464" t="s">
        <v>1709</v>
      </c>
      <c r="E1471" s="464" t="s">
        <v>4496</v>
      </c>
      <c r="F1471" s="464" t="s">
        <v>4497</v>
      </c>
      <c r="G1471" s="464" t="s">
        <v>4404</v>
      </c>
      <c r="H1471" s="464" t="s">
        <v>4405</v>
      </c>
      <c r="I1471" s="464" t="s">
        <v>1684</v>
      </c>
    </row>
    <row r="1472" ht="15.95" customHeight="1">
      <c r="A1472" s="464" t="s">
        <v>4514</v>
      </c>
      <c r="B1472" s="464" t="s">
        <v>4515</v>
      </c>
      <c r="C1472" s="464"/>
      <c r="D1472" s="464" t="s">
        <v>1709</v>
      </c>
      <c r="E1472" s="464" t="s">
        <v>4496</v>
      </c>
      <c r="F1472" s="464" t="s">
        <v>4497</v>
      </c>
      <c r="G1472" s="464" t="s">
        <v>4404</v>
      </c>
      <c r="H1472" s="464" t="s">
        <v>4405</v>
      </c>
      <c r="I1472" s="464" t="s">
        <v>1684</v>
      </c>
    </row>
    <row r="1473" ht="15.95" customHeight="1">
      <c r="A1473" s="464" t="s">
        <v>4516</v>
      </c>
      <c r="B1473" s="464" t="s">
        <v>4517</v>
      </c>
      <c r="C1473" s="464"/>
      <c r="D1473" s="464" t="s">
        <v>1709</v>
      </c>
      <c r="E1473" s="464" t="s">
        <v>4496</v>
      </c>
      <c r="F1473" s="464" t="s">
        <v>4497</v>
      </c>
      <c r="G1473" s="464" t="s">
        <v>4404</v>
      </c>
      <c r="H1473" s="464" t="s">
        <v>4405</v>
      </c>
      <c r="I1473" s="464" t="s">
        <v>1684</v>
      </c>
    </row>
    <row r="1474" ht="15.95" customHeight="1">
      <c r="A1474" s="464" t="s">
        <v>4518</v>
      </c>
      <c r="B1474" s="464" t="s">
        <v>4519</v>
      </c>
      <c r="C1474" s="464"/>
      <c r="D1474" s="464" t="s">
        <v>1709</v>
      </c>
      <c r="E1474" s="464" t="s">
        <v>4496</v>
      </c>
      <c r="F1474" s="464" t="s">
        <v>4497</v>
      </c>
      <c r="G1474" s="464" t="s">
        <v>4404</v>
      </c>
      <c r="H1474" s="464" t="s">
        <v>4405</v>
      </c>
      <c r="I1474" s="464" t="s">
        <v>1684</v>
      </c>
    </row>
    <row r="1475" ht="15.95" customHeight="1">
      <c r="A1475" s="464" t="s">
        <v>4520</v>
      </c>
      <c r="B1475" s="464" t="s">
        <v>4521</v>
      </c>
      <c r="C1475" s="464"/>
      <c r="D1475" s="464" t="s">
        <v>1709</v>
      </c>
      <c r="E1475" s="464" t="s">
        <v>4496</v>
      </c>
      <c r="F1475" s="464" t="s">
        <v>4497</v>
      </c>
      <c r="G1475" s="464" t="s">
        <v>4404</v>
      </c>
      <c r="H1475" s="464" t="s">
        <v>4405</v>
      </c>
      <c r="I1475" s="464" t="s">
        <v>1684</v>
      </c>
    </row>
    <row r="1476" ht="15.95" customHeight="1">
      <c r="A1476" s="464" t="s">
        <v>4522</v>
      </c>
      <c r="B1476" s="464" t="s">
        <v>4523</v>
      </c>
      <c r="C1476" s="464"/>
      <c r="D1476" s="464" t="s">
        <v>1709</v>
      </c>
      <c r="E1476" s="464" t="s">
        <v>4496</v>
      </c>
      <c r="F1476" s="464" t="s">
        <v>4497</v>
      </c>
      <c r="G1476" s="464" t="s">
        <v>4404</v>
      </c>
      <c r="H1476" s="464" t="s">
        <v>4405</v>
      </c>
      <c r="I1476" s="464" t="s">
        <v>1684</v>
      </c>
    </row>
    <row r="1477" ht="15.95" customHeight="1">
      <c r="A1477" s="464" t="s">
        <v>4524</v>
      </c>
      <c r="B1477" s="464" t="s">
        <v>4525</v>
      </c>
      <c r="C1477" s="464"/>
      <c r="D1477" s="464" t="s">
        <v>1709</v>
      </c>
      <c r="E1477" s="464" t="s">
        <v>4496</v>
      </c>
      <c r="F1477" s="464" t="s">
        <v>4497</v>
      </c>
      <c r="G1477" s="464" t="s">
        <v>4404</v>
      </c>
      <c r="H1477" s="464" t="s">
        <v>4405</v>
      </c>
      <c r="I1477" s="464" t="s">
        <v>1684</v>
      </c>
    </row>
    <row r="1478" ht="15.95" customHeight="1">
      <c r="A1478" s="464" t="s">
        <v>4526</v>
      </c>
      <c r="B1478" s="464" t="s">
        <v>4527</v>
      </c>
      <c r="C1478" s="464"/>
      <c r="D1478" s="464" t="s">
        <v>1709</v>
      </c>
      <c r="E1478" s="464" t="s">
        <v>4496</v>
      </c>
      <c r="F1478" s="464" t="s">
        <v>4497</v>
      </c>
      <c r="G1478" s="464" t="s">
        <v>4404</v>
      </c>
      <c r="H1478" s="464" t="s">
        <v>4405</v>
      </c>
      <c r="I1478" s="464" t="s">
        <v>1684</v>
      </c>
    </row>
    <row r="1479" ht="15.95" customHeight="1">
      <c r="A1479" s="464" t="s">
        <v>4528</v>
      </c>
      <c r="B1479" s="464" t="s">
        <v>4529</v>
      </c>
      <c r="C1479" s="464"/>
      <c r="D1479" s="464" t="s">
        <v>1709</v>
      </c>
      <c r="E1479" s="464" t="s">
        <v>4496</v>
      </c>
      <c r="F1479" s="464" t="s">
        <v>4497</v>
      </c>
      <c r="G1479" s="464" t="s">
        <v>4404</v>
      </c>
      <c r="H1479" s="464" t="s">
        <v>4405</v>
      </c>
      <c r="I1479" s="464" t="s">
        <v>1684</v>
      </c>
    </row>
    <row r="1480" ht="15.95" customHeight="1">
      <c r="A1480" s="464" t="s">
        <v>4530</v>
      </c>
      <c r="B1480" s="464" t="s">
        <v>4531</v>
      </c>
      <c r="C1480" s="464"/>
      <c r="D1480" s="464" t="s">
        <v>1709</v>
      </c>
      <c r="E1480" s="464" t="s">
        <v>4496</v>
      </c>
      <c r="F1480" s="464" t="s">
        <v>4497</v>
      </c>
      <c r="G1480" s="464" t="s">
        <v>4404</v>
      </c>
      <c r="H1480" s="464" t="s">
        <v>4405</v>
      </c>
      <c r="I1480" s="464" t="s">
        <v>1684</v>
      </c>
    </row>
    <row r="1481" ht="15.95" customHeight="1">
      <c r="A1481" s="464" t="s">
        <v>4532</v>
      </c>
      <c r="B1481" s="464" t="s">
        <v>4533</v>
      </c>
      <c r="C1481" s="464"/>
      <c r="D1481" s="464" t="s">
        <v>1709</v>
      </c>
      <c r="E1481" s="464" t="s">
        <v>4496</v>
      </c>
      <c r="F1481" s="464" t="s">
        <v>4497</v>
      </c>
      <c r="G1481" s="464" t="s">
        <v>4404</v>
      </c>
      <c r="H1481" s="464" t="s">
        <v>4405</v>
      </c>
      <c r="I1481" s="464" t="s">
        <v>1684</v>
      </c>
    </row>
    <row r="1482" ht="15.95" customHeight="1">
      <c r="A1482" s="464" t="s">
        <v>4534</v>
      </c>
      <c r="B1482" s="464" t="s">
        <v>2532</v>
      </c>
      <c r="C1482" s="464"/>
      <c r="D1482" s="464" t="s">
        <v>1709</v>
      </c>
      <c r="E1482" s="464" t="s">
        <v>4496</v>
      </c>
      <c r="F1482" s="464" t="s">
        <v>4497</v>
      </c>
      <c r="G1482" s="464" t="s">
        <v>4404</v>
      </c>
      <c r="H1482" s="464" t="s">
        <v>4405</v>
      </c>
      <c r="I1482" s="464" t="s">
        <v>1684</v>
      </c>
    </row>
    <row r="1483" ht="15.95" customHeight="1">
      <c r="A1483" s="464" t="s">
        <v>4535</v>
      </c>
      <c r="B1483" s="464" t="s">
        <v>4536</v>
      </c>
      <c r="C1483" s="464"/>
      <c r="D1483" s="464" t="s">
        <v>1709</v>
      </c>
      <c r="E1483" s="464" t="s">
        <v>4496</v>
      </c>
      <c r="F1483" s="464" t="s">
        <v>4497</v>
      </c>
      <c r="G1483" s="464" t="s">
        <v>4404</v>
      </c>
      <c r="H1483" s="464" t="s">
        <v>4405</v>
      </c>
      <c r="I1483" s="464" t="s">
        <v>1684</v>
      </c>
    </row>
    <row r="1484" ht="15.95" customHeight="1">
      <c r="A1484" s="464" t="s">
        <v>4537</v>
      </c>
      <c r="B1484" s="464" t="s">
        <v>2205</v>
      </c>
      <c r="C1484" s="464"/>
      <c r="D1484" s="464" t="s">
        <v>1709</v>
      </c>
      <c r="E1484" s="464" t="s">
        <v>4496</v>
      </c>
      <c r="F1484" s="464" t="s">
        <v>4497</v>
      </c>
      <c r="G1484" s="464" t="s">
        <v>4404</v>
      </c>
      <c r="H1484" s="464" t="s">
        <v>4405</v>
      </c>
      <c r="I1484" s="464" t="s">
        <v>1684</v>
      </c>
    </row>
    <row r="1485" ht="15.95" customHeight="1">
      <c r="A1485" s="464" t="s">
        <v>4538</v>
      </c>
      <c r="B1485" s="464" t="s">
        <v>4539</v>
      </c>
      <c r="C1485" s="464"/>
      <c r="D1485" s="464" t="s">
        <v>1709</v>
      </c>
      <c r="E1485" s="464" t="s">
        <v>4496</v>
      </c>
      <c r="F1485" s="464" t="s">
        <v>4497</v>
      </c>
      <c r="G1485" s="464" t="s">
        <v>4404</v>
      </c>
      <c r="H1485" s="464" t="s">
        <v>4405</v>
      </c>
      <c r="I1485" s="464" t="s">
        <v>1684</v>
      </c>
    </row>
    <row r="1486" ht="15.95" customHeight="1">
      <c r="A1486" s="464" t="s">
        <v>4540</v>
      </c>
      <c r="B1486" s="464" t="s">
        <v>4541</v>
      </c>
      <c r="C1486" s="464"/>
      <c r="D1486" s="464" t="s">
        <v>1709</v>
      </c>
      <c r="E1486" s="464" t="s">
        <v>4496</v>
      </c>
      <c r="F1486" s="464" t="s">
        <v>4497</v>
      </c>
      <c r="G1486" s="464" t="s">
        <v>4404</v>
      </c>
      <c r="H1486" s="464" t="s">
        <v>4405</v>
      </c>
      <c r="I1486" s="464" t="s">
        <v>1684</v>
      </c>
    </row>
    <row r="1487" ht="15.95" customHeight="1">
      <c r="A1487" s="464" t="s">
        <v>4542</v>
      </c>
      <c r="B1487" s="464" t="s">
        <v>3466</v>
      </c>
      <c r="C1487" s="464"/>
      <c r="D1487" s="464" t="s">
        <v>1709</v>
      </c>
      <c r="E1487" s="464" t="s">
        <v>4496</v>
      </c>
      <c r="F1487" s="464" t="s">
        <v>4497</v>
      </c>
      <c r="G1487" s="464" t="s">
        <v>4404</v>
      </c>
      <c r="H1487" s="464" t="s">
        <v>4405</v>
      </c>
      <c r="I1487" s="464" t="s">
        <v>1684</v>
      </c>
    </row>
    <row r="1488" ht="15.95" customHeight="1">
      <c r="A1488" s="464" t="s">
        <v>4543</v>
      </c>
      <c r="B1488" s="464" t="s">
        <v>4544</v>
      </c>
      <c r="C1488" s="464"/>
      <c r="D1488" s="464" t="s">
        <v>1709</v>
      </c>
      <c r="E1488" s="464" t="s">
        <v>4545</v>
      </c>
      <c r="F1488" s="464" t="s">
        <v>4546</v>
      </c>
      <c r="G1488" s="464" t="s">
        <v>4404</v>
      </c>
      <c r="H1488" s="464" t="s">
        <v>4405</v>
      </c>
      <c r="I1488" s="464" t="s">
        <v>1684</v>
      </c>
    </row>
    <row r="1489" ht="15.95" customHeight="1">
      <c r="A1489" s="464" t="s">
        <v>4547</v>
      </c>
      <c r="B1489" s="464" t="s">
        <v>4548</v>
      </c>
      <c r="C1489" s="464"/>
      <c r="D1489" s="464" t="s">
        <v>1709</v>
      </c>
      <c r="E1489" s="464" t="s">
        <v>4545</v>
      </c>
      <c r="F1489" s="464" t="s">
        <v>4546</v>
      </c>
      <c r="G1489" s="464" t="s">
        <v>4404</v>
      </c>
      <c r="H1489" s="464" t="s">
        <v>4405</v>
      </c>
      <c r="I1489" s="464" t="s">
        <v>1684</v>
      </c>
    </row>
    <row r="1490" ht="15.95" customHeight="1">
      <c r="A1490" s="464" t="s">
        <v>4549</v>
      </c>
      <c r="B1490" s="464" t="s">
        <v>3193</v>
      </c>
      <c r="C1490" s="464"/>
      <c r="D1490" s="464" t="s">
        <v>1709</v>
      </c>
      <c r="E1490" s="464" t="s">
        <v>4545</v>
      </c>
      <c r="F1490" s="464" t="s">
        <v>4546</v>
      </c>
      <c r="G1490" s="464" t="s">
        <v>4404</v>
      </c>
      <c r="H1490" s="464" t="s">
        <v>4405</v>
      </c>
      <c r="I1490" s="464" t="s">
        <v>1684</v>
      </c>
    </row>
    <row r="1491" ht="15.95" customHeight="1">
      <c r="A1491" s="464" t="s">
        <v>4550</v>
      </c>
      <c r="B1491" s="464" t="s">
        <v>4551</v>
      </c>
      <c r="C1491" s="464"/>
      <c r="D1491" s="464" t="s">
        <v>1709</v>
      </c>
      <c r="E1491" s="464" t="s">
        <v>4545</v>
      </c>
      <c r="F1491" s="464" t="s">
        <v>4546</v>
      </c>
      <c r="G1491" s="464" t="s">
        <v>4404</v>
      </c>
      <c r="H1491" s="464" t="s">
        <v>4405</v>
      </c>
      <c r="I1491" s="464" t="s">
        <v>1684</v>
      </c>
    </row>
    <row r="1492" ht="15.95" customHeight="1">
      <c r="A1492" s="464" t="s">
        <v>4552</v>
      </c>
      <c r="B1492" s="464" t="s">
        <v>4553</v>
      </c>
      <c r="C1492" s="464"/>
      <c r="D1492" s="464" t="s">
        <v>1709</v>
      </c>
      <c r="E1492" s="464" t="s">
        <v>4545</v>
      </c>
      <c r="F1492" s="464" t="s">
        <v>4546</v>
      </c>
      <c r="G1492" s="464" t="s">
        <v>4404</v>
      </c>
      <c r="H1492" s="464" t="s">
        <v>4405</v>
      </c>
      <c r="I1492" s="464" t="s">
        <v>1684</v>
      </c>
    </row>
    <row r="1493" ht="15.95" customHeight="1">
      <c r="A1493" s="464" t="s">
        <v>4554</v>
      </c>
      <c r="B1493" s="464" t="s">
        <v>4555</v>
      </c>
      <c r="C1493" s="464"/>
      <c r="D1493" s="464" t="s">
        <v>1709</v>
      </c>
      <c r="E1493" s="464" t="s">
        <v>4545</v>
      </c>
      <c r="F1493" s="464" t="s">
        <v>4546</v>
      </c>
      <c r="G1493" s="464" t="s">
        <v>4404</v>
      </c>
      <c r="H1493" s="464" t="s">
        <v>4405</v>
      </c>
      <c r="I1493" s="464" t="s">
        <v>1684</v>
      </c>
    </row>
    <row r="1494" ht="15.95" customHeight="1">
      <c r="A1494" s="464" t="s">
        <v>4556</v>
      </c>
      <c r="B1494" s="464" t="s">
        <v>4557</v>
      </c>
      <c r="C1494" s="464"/>
      <c r="D1494" s="464" t="s">
        <v>1709</v>
      </c>
      <c r="E1494" s="464" t="s">
        <v>4545</v>
      </c>
      <c r="F1494" s="464" t="s">
        <v>4546</v>
      </c>
      <c r="G1494" s="464" t="s">
        <v>4404</v>
      </c>
      <c r="H1494" s="464" t="s">
        <v>4405</v>
      </c>
      <c r="I1494" s="464" t="s">
        <v>1684</v>
      </c>
    </row>
    <row r="1495" ht="15.95" customHeight="1">
      <c r="A1495" s="464" t="s">
        <v>4558</v>
      </c>
      <c r="B1495" s="464" t="s">
        <v>2916</v>
      </c>
      <c r="C1495" s="464"/>
      <c r="D1495" s="464" t="s">
        <v>1709</v>
      </c>
      <c r="E1495" s="464" t="s">
        <v>4545</v>
      </c>
      <c r="F1495" s="464" t="s">
        <v>4546</v>
      </c>
      <c r="G1495" s="464" t="s">
        <v>4404</v>
      </c>
      <c r="H1495" s="464" t="s">
        <v>4405</v>
      </c>
      <c r="I1495" s="464" t="s">
        <v>1684</v>
      </c>
    </row>
    <row r="1496" ht="15.95" customHeight="1">
      <c r="A1496" s="464" t="s">
        <v>4559</v>
      </c>
      <c r="B1496" s="464" t="s">
        <v>4560</v>
      </c>
      <c r="C1496" s="464"/>
      <c r="D1496" s="464" t="s">
        <v>1709</v>
      </c>
      <c r="E1496" s="464" t="s">
        <v>4545</v>
      </c>
      <c r="F1496" s="464" t="s">
        <v>4546</v>
      </c>
      <c r="G1496" s="464" t="s">
        <v>4404</v>
      </c>
      <c r="H1496" s="464" t="s">
        <v>4405</v>
      </c>
      <c r="I1496" s="464" t="s">
        <v>1684</v>
      </c>
    </row>
    <row r="1497" ht="15.95" customHeight="1">
      <c r="A1497" s="464" t="s">
        <v>4561</v>
      </c>
      <c r="B1497" s="464" t="s">
        <v>4562</v>
      </c>
      <c r="C1497" s="464"/>
      <c r="D1497" s="464" t="s">
        <v>1709</v>
      </c>
      <c r="E1497" s="464" t="s">
        <v>4545</v>
      </c>
      <c r="F1497" s="464" t="s">
        <v>4546</v>
      </c>
      <c r="G1497" s="464" t="s">
        <v>4404</v>
      </c>
      <c r="H1497" s="464" t="s">
        <v>4405</v>
      </c>
      <c r="I1497" s="464" t="s">
        <v>1684</v>
      </c>
    </row>
    <row r="1498" ht="15.95" customHeight="1">
      <c r="A1498" s="464" t="s">
        <v>4563</v>
      </c>
      <c r="B1498" s="464" t="s">
        <v>4564</v>
      </c>
      <c r="C1498" s="464"/>
      <c r="D1498" s="464" t="s">
        <v>1709</v>
      </c>
      <c r="E1498" s="464" t="s">
        <v>4545</v>
      </c>
      <c r="F1498" s="464" t="s">
        <v>4546</v>
      </c>
      <c r="G1498" s="464" t="s">
        <v>4404</v>
      </c>
      <c r="H1498" s="464" t="s">
        <v>4405</v>
      </c>
      <c r="I1498" s="464" t="s">
        <v>1684</v>
      </c>
    </row>
    <row r="1499" ht="15.95" customHeight="1">
      <c r="A1499" s="464" t="s">
        <v>4565</v>
      </c>
      <c r="B1499" s="464" t="s">
        <v>4566</v>
      </c>
      <c r="C1499" s="464"/>
      <c r="D1499" s="464" t="s">
        <v>1709</v>
      </c>
      <c r="E1499" s="464" t="s">
        <v>4545</v>
      </c>
      <c r="F1499" s="464" t="s">
        <v>4546</v>
      </c>
      <c r="G1499" s="464" t="s">
        <v>4404</v>
      </c>
      <c r="H1499" s="464" t="s">
        <v>4405</v>
      </c>
      <c r="I1499" s="464" t="s">
        <v>1684</v>
      </c>
    </row>
    <row r="1500" ht="15.95" customHeight="1">
      <c r="A1500" s="464" t="s">
        <v>4567</v>
      </c>
      <c r="B1500" s="464" t="s">
        <v>4568</v>
      </c>
      <c r="C1500" s="464"/>
      <c r="D1500" s="464" t="s">
        <v>1709</v>
      </c>
      <c r="E1500" s="464" t="s">
        <v>4545</v>
      </c>
      <c r="F1500" s="464" t="s">
        <v>4546</v>
      </c>
      <c r="G1500" s="464" t="s">
        <v>4404</v>
      </c>
      <c r="H1500" s="464" t="s">
        <v>4405</v>
      </c>
      <c r="I1500" s="464" t="s">
        <v>1684</v>
      </c>
    </row>
    <row r="1501" ht="15.95" customHeight="1">
      <c r="A1501" s="464" t="s">
        <v>4569</v>
      </c>
      <c r="B1501" s="464" t="s">
        <v>2674</v>
      </c>
      <c r="C1501" s="464"/>
      <c r="D1501" s="464" t="s">
        <v>1709</v>
      </c>
      <c r="E1501" s="464" t="s">
        <v>4545</v>
      </c>
      <c r="F1501" s="464" t="s">
        <v>4546</v>
      </c>
      <c r="G1501" s="464" t="s">
        <v>4404</v>
      </c>
      <c r="H1501" s="464" t="s">
        <v>4405</v>
      </c>
      <c r="I1501" s="464" t="s">
        <v>1684</v>
      </c>
    </row>
    <row r="1502" ht="15.95" customHeight="1">
      <c r="A1502" s="464" t="s">
        <v>4570</v>
      </c>
      <c r="B1502" s="464" t="s">
        <v>4571</v>
      </c>
      <c r="C1502" s="464"/>
      <c r="D1502" s="464" t="s">
        <v>1709</v>
      </c>
      <c r="E1502" s="464" t="s">
        <v>4545</v>
      </c>
      <c r="F1502" s="464" t="s">
        <v>4546</v>
      </c>
      <c r="G1502" s="464" t="s">
        <v>4404</v>
      </c>
      <c r="H1502" s="464" t="s">
        <v>4405</v>
      </c>
      <c r="I1502" s="464" t="s">
        <v>1684</v>
      </c>
    </row>
    <row r="1503" ht="15.95" customHeight="1">
      <c r="A1503" s="464" t="s">
        <v>4572</v>
      </c>
      <c r="B1503" s="464" t="s">
        <v>4573</v>
      </c>
      <c r="C1503" s="464"/>
      <c r="D1503" s="464" t="s">
        <v>1709</v>
      </c>
      <c r="E1503" s="464" t="s">
        <v>4545</v>
      </c>
      <c r="F1503" s="464" t="s">
        <v>4546</v>
      </c>
      <c r="G1503" s="464" t="s">
        <v>4404</v>
      </c>
      <c r="H1503" s="464" t="s">
        <v>4405</v>
      </c>
      <c r="I1503" s="464" t="s">
        <v>1684</v>
      </c>
    </row>
    <row r="1504" ht="15.95" customHeight="1">
      <c r="A1504" s="464" t="s">
        <v>4574</v>
      </c>
      <c r="B1504" s="464" t="s">
        <v>4575</v>
      </c>
      <c r="C1504" s="464"/>
      <c r="D1504" s="464" t="s">
        <v>1738</v>
      </c>
      <c r="E1504" s="464" t="s">
        <v>4576</v>
      </c>
      <c r="F1504" s="464" t="s">
        <v>2724</v>
      </c>
      <c r="G1504" s="464" t="s">
        <v>4404</v>
      </c>
      <c r="H1504" s="464" t="s">
        <v>4405</v>
      </c>
      <c r="I1504" s="464" t="s">
        <v>1684</v>
      </c>
    </row>
    <row r="1505" ht="15.95" customHeight="1">
      <c r="A1505" s="464" t="s">
        <v>4577</v>
      </c>
      <c r="B1505" s="464" t="s">
        <v>4578</v>
      </c>
      <c r="C1505" s="464"/>
      <c r="D1505" s="464" t="s">
        <v>1709</v>
      </c>
      <c r="E1505" s="464" t="s">
        <v>4576</v>
      </c>
      <c r="F1505" s="464" t="s">
        <v>2724</v>
      </c>
      <c r="G1505" s="464" t="s">
        <v>4404</v>
      </c>
      <c r="H1505" s="464" t="s">
        <v>4405</v>
      </c>
      <c r="I1505" s="464" t="s">
        <v>1684</v>
      </c>
    </row>
    <row r="1506" ht="15.95" customHeight="1">
      <c r="A1506" s="464" t="s">
        <v>4579</v>
      </c>
      <c r="B1506" s="464" t="s">
        <v>4580</v>
      </c>
      <c r="C1506" s="464"/>
      <c r="D1506" s="464" t="s">
        <v>1709</v>
      </c>
      <c r="E1506" s="464" t="s">
        <v>4576</v>
      </c>
      <c r="F1506" s="464" t="s">
        <v>2724</v>
      </c>
      <c r="G1506" s="464" t="s">
        <v>4404</v>
      </c>
      <c r="H1506" s="464" t="s">
        <v>4405</v>
      </c>
      <c r="I1506" s="464" t="s">
        <v>1684</v>
      </c>
    </row>
    <row r="1507" ht="15.95" customHeight="1">
      <c r="A1507" s="464" t="s">
        <v>4581</v>
      </c>
      <c r="B1507" s="464" t="s">
        <v>4582</v>
      </c>
      <c r="C1507" s="464"/>
      <c r="D1507" s="464" t="s">
        <v>1709</v>
      </c>
      <c r="E1507" s="464" t="s">
        <v>4576</v>
      </c>
      <c r="F1507" s="464" t="s">
        <v>2724</v>
      </c>
      <c r="G1507" s="464" t="s">
        <v>4404</v>
      </c>
      <c r="H1507" s="464" t="s">
        <v>4405</v>
      </c>
      <c r="I1507" s="464" t="s">
        <v>1684</v>
      </c>
    </row>
    <row r="1508" ht="15.95" customHeight="1">
      <c r="A1508" s="464" t="s">
        <v>4583</v>
      </c>
      <c r="B1508" s="464" t="s">
        <v>4584</v>
      </c>
      <c r="C1508" s="464"/>
      <c r="D1508" s="464" t="s">
        <v>1709</v>
      </c>
      <c r="E1508" s="464" t="s">
        <v>4576</v>
      </c>
      <c r="F1508" s="464" t="s">
        <v>2724</v>
      </c>
      <c r="G1508" s="464" t="s">
        <v>4404</v>
      </c>
      <c r="H1508" s="464" t="s">
        <v>4405</v>
      </c>
      <c r="I1508" s="464" t="s">
        <v>1684</v>
      </c>
    </row>
    <row r="1509" ht="15.95" customHeight="1">
      <c r="A1509" s="464" t="s">
        <v>4585</v>
      </c>
      <c r="B1509" s="464" t="s">
        <v>4586</v>
      </c>
      <c r="C1509" s="464"/>
      <c r="D1509" s="464" t="s">
        <v>1709</v>
      </c>
      <c r="E1509" s="464" t="s">
        <v>4576</v>
      </c>
      <c r="F1509" s="464" t="s">
        <v>2724</v>
      </c>
      <c r="G1509" s="464" t="s">
        <v>4404</v>
      </c>
      <c r="H1509" s="464" t="s">
        <v>4405</v>
      </c>
      <c r="I1509" s="464" t="s">
        <v>1684</v>
      </c>
    </row>
    <row r="1510" ht="15.95" customHeight="1">
      <c r="A1510" s="464" t="s">
        <v>4587</v>
      </c>
      <c r="B1510" s="464" t="s">
        <v>4588</v>
      </c>
      <c r="C1510" s="464"/>
      <c r="D1510" s="464" t="s">
        <v>1709</v>
      </c>
      <c r="E1510" s="464" t="s">
        <v>4576</v>
      </c>
      <c r="F1510" s="464" t="s">
        <v>2724</v>
      </c>
      <c r="G1510" s="464" t="s">
        <v>4404</v>
      </c>
      <c r="H1510" s="464" t="s">
        <v>4405</v>
      </c>
      <c r="I1510" s="464" t="s">
        <v>1684</v>
      </c>
    </row>
    <row r="1511" ht="15.95" customHeight="1">
      <c r="A1511" s="464" t="s">
        <v>4589</v>
      </c>
      <c r="B1511" s="464" t="s">
        <v>4590</v>
      </c>
      <c r="C1511" s="464"/>
      <c r="D1511" s="464" t="s">
        <v>1709</v>
      </c>
      <c r="E1511" s="464" t="s">
        <v>4576</v>
      </c>
      <c r="F1511" s="464" t="s">
        <v>2724</v>
      </c>
      <c r="G1511" s="464" t="s">
        <v>4404</v>
      </c>
      <c r="H1511" s="464" t="s">
        <v>4405</v>
      </c>
      <c r="I1511" s="464" t="s">
        <v>1684</v>
      </c>
    </row>
    <row r="1512" ht="15.95" customHeight="1">
      <c r="A1512" s="464" t="s">
        <v>4591</v>
      </c>
      <c r="B1512" s="464" t="s">
        <v>3954</v>
      </c>
      <c r="C1512" s="464"/>
      <c r="D1512" s="464" t="s">
        <v>1709</v>
      </c>
      <c r="E1512" s="464" t="s">
        <v>4576</v>
      </c>
      <c r="F1512" s="464" t="s">
        <v>2724</v>
      </c>
      <c r="G1512" s="464" t="s">
        <v>4404</v>
      </c>
      <c r="H1512" s="464" t="s">
        <v>4405</v>
      </c>
      <c r="I1512" s="464" t="s">
        <v>1684</v>
      </c>
    </row>
    <row r="1513" ht="15.95" customHeight="1">
      <c r="A1513" s="464" t="s">
        <v>4592</v>
      </c>
      <c r="B1513" s="464" t="s">
        <v>4593</v>
      </c>
      <c r="C1513" s="464"/>
      <c r="D1513" s="464" t="s">
        <v>1709</v>
      </c>
      <c r="E1513" s="464" t="s">
        <v>4576</v>
      </c>
      <c r="F1513" s="464" t="s">
        <v>2724</v>
      </c>
      <c r="G1513" s="464" t="s">
        <v>4404</v>
      </c>
      <c r="H1513" s="464" t="s">
        <v>4405</v>
      </c>
      <c r="I1513" s="464" t="s">
        <v>1684</v>
      </c>
    </row>
    <row r="1514" ht="15.95" customHeight="1">
      <c r="A1514" s="464" t="s">
        <v>4594</v>
      </c>
      <c r="B1514" s="464" t="s">
        <v>3214</v>
      </c>
      <c r="C1514" s="464"/>
      <c r="D1514" s="464" t="s">
        <v>1709</v>
      </c>
      <c r="E1514" s="464" t="s">
        <v>4576</v>
      </c>
      <c r="F1514" s="464" t="s">
        <v>2724</v>
      </c>
      <c r="G1514" s="464" t="s">
        <v>4404</v>
      </c>
      <c r="H1514" s="464" t="s">
        <v>4405</v>
      </c>
      <c r="I1514" s="464" t="s">
        <v>1684</v>
      </c>
    </row>
    <row r="1515" ht="15.95" customHeight="1">
      <c r="A1515" s="464" t="s">
        <v>4595</v>
      </c>
      <c r="B1515" s="464" t="s">
        <v>4319</v>
      </c>
      <c r="C1515" s="464"/>
      <c r="D1515" s="464" t="s">
        <v>1709</v>
      </c>
      <c r="E1515" s="464" t="s">
        <v>4576</v>
      </c>
      <c r="F1515" s="464" t="s">
        <v>2724</v>
      </c>
      <c r="G1515" s="464" t="s">
        <v>4404</v>
      </c>
      <c r="H1515" s="464" t="s">
        <v>4405</v>
      </c>
      <c r="I1515" s="464" t="s">
        <v>1684</v>
      </c>
    </row>
    <row r="1516" ht="15.95" customHeight="1">
      <c r="A1516" s="464" t="s">
        <v>4596</v>
      </c>
      <c r="B1516" s="464" t="s">
        <v>4597</v>
      </c>
      <c r="C1516" s="464"/>
      <c r="D1516" s="464" t="s">
        <v>1709</v>
      </c>
      <c r="E1516" s="464" t="s">
        <v>4576</v>
      </c>
      <c r="F1516" s="464" t="s">
        <v>2724</v>
      </c>
      <c r="G1516" s="464" t="s">
        <v>4404</v>
      </c>
      <c r="H1516" s="464" t="s">
        <v>4405</v>
      </c>
      <c r="I1516" s="464" t="s">
        <v>1684</v>
      </c>
    </row>
    <row r="1517" ht="15.95" customHeight="1">
      <c r="A1517" s="464" t="s">
        <v>4598</v>
      </c>
      <c r="B1517" s="464" t="s">
        <v>3299</v>
      </c>
      <c r="C1517" s="464"/>
      <c r="D1517" s="464" t="s">
        <v>1709</v>
      </c>
      <c r="E1517" s="464" t="s">
        <v>4576</v>
      </c>
      <c r="F1517" s="464" t="s">
        <v>2724</v>
      </c>
      <c r="G1517" s="464" t="s">
        <v>4404</v>
      </c>
      <c r="H1517" s="464" t="s">
        <v>4405</v>
      </c>
      <c r="I1517" s="464" t="s">
        <v>1684</v>
      </c>
    </row>
    <row r="1518" ht="15.95" customHeight="1">
      <c r="A1518" s="464" t="s">
        <v>4599</v>
      </c>
      <c r="B1518" s="464" t="s">
        <v>2629</v>
      </c>
      <c r="C1518" s="464"/>
      <c r="D1518" s="464" t="s">
        <v>1709</v>
      </c>
      <c r="E1518" s="464" t="s">
        <v>4576</v>
      </c>
      <c r="F1518" s="464" t="s">
        <v>2724</v>
      </c>
      <c r="G1518" s="464" t="s">
        <v>4404</v>
      </c>
      <c r="H1518" s="464" t="s">
        <v>4405</v>
      </c>
      <c r="I1518" s="464" t="s">
        <v>1684</v>
      </c>
    </row>
    <row r="1519" ht="15.95" customHeight="1">
      <c r="A1519" s="464" t="s">
        <v>4600</v>
      </c>
      <c r="B1519" s="464" t="s">
        <v>4601</v>
      </c>
      <c r="C1519" s="464"/>
      <c r="D1519" s="464" t="s">
        <v>1709</v>
      </c>
      <c r="E1519" s="464" t="s">
        <v>4576</v>
      </c>
      <c r="F1519" s="464" t="s">
        <v>2724</v>
      </c>
      <c r="G1519" s="464" t="s">
        <v>4404</v>
      </c>
      <c r="H1519" s="464" t="s">
        <v>4405</v>
      </c>
      <c r="I1519" s="464" t="s">
        <v>1684</v>
      </c>
    </row>
    <row r="1520" ht="15.95" customHeight="1">
      <c r="A1520" s="464" t="s">
        <v>4602</v>
      </c>
      <c r="B1520" s="464" t="s">
        <v>3162</v>
      </c>
      <c r="C1520" s="464"/>
      <c r="D1520" s="464" t="s">
        <v>1709</v>
      </c>
      <c r="E1520" s="464" t="s">
        <v>4576</v>
      </c>
      <c r="F1520" s="464" t="s">
        <v>2724</v>
      </c>
      <c r="G1520" s="464" t="s">
        <v>4404</v>
      </c>
      <c r="H1520" s="464" t="s">
        <v>4405</v>
      </c>
      <c r="I1520" s="464" t="s">
        <v>1684</v>
      </c>
    </row>
    <row r="1521" ht="15.95" customHeight="1">
      <c r="A1521" s="464" t="s">
        <v>4603</v>
      </c>
      <c r="B1521" s="464" t="s">
        <v>4604</v>
      </c>
      <c r="C1521" s="464"/>
      <c r="D1521" s="464" t="s">
        <v>1709</v>
      </c>
      <c r="E1521" s="464" t="s">
        <v>4576</v>
      </c>
      <c r="F1521" s="464" t="s">
        <v>2724</v>
      </c>
      <c r="G1521" s="464" t="s">
        <v>4404</v>
      </c>
      <c r="H1521" s="464" t="s">
        <v>4405</v>
      </c>
      <c r="I1521" s="464" t="s">
        <v>1684</v>
      </c>
    </row>
    <row r="1522" ht="15.95" customHeight="1">
      <c r="A1522" s="464" t="s">
        <v>4605</v>
      </c>
      <c r="B1522" s="464" t="s">
        <v>4606</v>
      </c>
      <c r="C1522" s="464"/>
      <c r="D1522" s="464" t="s">
        <v>1709</v>
      </c>
      <c r="E1522" s="464" t="s">
        <v>4576</v>
      </c>
      <c r="F1522" s="464" t="s">
        <v>2724</v>
      </c>
      <c r="G1522" s="464" t="s">
        <v>4404</v>
      </c>
      <c r="H1522" s="464" t="s">
        <v>4405</v>
      </c>
      <c r="I1522" s="464" t="s">
        <v>1684</v>
      </c>
    </row>
    <row r="1523" ht="15.95" customHeight="1">
      <c r="A1523" s="464" t="s">
        <v>4607</v>
      </c>
      <c r="B1523" s="464" t="s">
        <v>4255</v>
      </c>
      <c r="C1523" s="464"/>
      <c r="D1523" s="464" t="s">
        <v>1709</v>
      </c>
      <c r="E1523" s="464" t="s">
        <v>4576</v>
      </c>
      <c r="F1523" s="464" t="s">
        <v>2724</v>
      </c>
      <c r="G1523" s="464" t="s">
        <v>4404</v>
      </c>
      <c r="H1523" s="464" t="s">
        <v>4405</v>
      </c>
      <c r="I1523" s="464" t="s">
        <v>1684</v>
      </c>
    </row>
    <row r="1524" ht="15.95" customHeight="1">
      <c r="A1524" s="464" t="s">
        <v>4608</v>
      </c>
      <c r="B1524" s="464" t="s">
        <v>4609</v>
      </c>
      <c r="C1524" s="464"/>
      <c r="D1524" s="464" t="s">
        <v>1709</v>
      </c>
      <c r="E1524" s="464" t="s">
        <v>4576</v>
      </c>
      <c r="F1524" s="464" t="s">
        <v>2724</v>
      </c>
      <c r="G1524" s="464" t="s">
        <v>4404</v>
      </c>
      <c r="H1524" s="464" t="s">
        <v>4405</v>
      </c>
      <c r="I1524" s="464" t="s">
        <v>1684</v>
      </c>
    </row>
    <row r="1525" ht="15.95" customHeight="1">
      <c r="A1525" s="464" t="s">
        <v>4610</v>
      </c>
      <c r="B1525" s="464" t="s">
        <v>4611</v>
      </c>
      <c r="C1525" s="464"/>
      <c r="D1525" s="464" t="s">
        <v>1709</v>
      </c>
      <c r="E1525" s="464" t="s">
        <v>4576</v>
      </c>
      <c r="F1525" s="464" t="s">
        <v>2724</v>
      </c>
      <c r="G1525" s="464" t="s">
        <v>4404</v>
      </c>
      <c r="H1525" s="464" t="s">
        <v>4405</v>
      </c>
      <c r="I1525" s="464" t="s">
        <v>1684</v>
      </c>
    </row>
    <row r="1526" ht="15.95" customHeight="1">
      <c r="A1526" s="464" t="s">
        <v>4612</v>
      </c>
      <c r="B1526" s="464" t="s">
        <v>4613</v>
      </c>
      <c r="C1526" s="464"/>
      <c r="D1526" s="464" t="s">
        <v>1709</v>
      </c>
      <c r="E1526" s="464" t="s">
        <v>4576</v>
      </c>
      <c r="F1526" s="464" t="s">
        <v>2724</v>
      </c>
      <c r="G1526" s="464" t="s">
        <v>4404</v>
      </c>
      <c r="H1526" s="464" t="s">
        <v>4405</v>
      </c>
      <c r="I1526" s="464" t="s">
        <v>1684</v>
      </c>
    </row>
    <row r="1527" ht="15.95" customHeight="1">
      <c r="A1527" s="464" t="s">
        <v>4614</v>
      </c>
      <c r="B1527" s="464" t="s">
        <v>4615</v>
      </c>
      <c r="C1527" s="464"/>
      <c r="D1527" s="464" t="s">
        <v>1738</v>
      </c>
      <c r="E1527" s="464" t="s">
        <v>4616</v>
      </c>
      <c r="F1527" s="464" t="s">
        <v>4617</v>
      </c>
      <c r="G1527" s="464" t="s">
        <v>4404</v>
      </c>
      <c r="H1527" s="464" t="s">
        <v>4405</v>
      </c>
      <c r="I1527" s="464" t="s">
        <v>1684</v>
      </c>
    </row>
    <row r="1528" ht="15.95" customHeight="1">
      <c r="A1528" s="464" t="s">
        <v>4618</v>
      </c>
      <c r="B1528" s="464" t="s">
        <v>3222</v>
      </c>
      <c r="C1528" s="464"/>
      <c r="D1528" s="464" t="s">
        <v>1709</v>
      </c>
      <c r="E1528" s="464" t="s">
        <v>4616</v>
      </c>
      <c r="F1528" s="464" t="s">
        <v>4617</v>
      </c>
      <c r="G1528" s="464" t="s">
        <v>4404</v>
      </c>
      <c r="H1528" s="464" t="s">
        <v>4405</v>
      </c>
      <c r="I1528" s="464" t="s">
        <v>1684</v>
      </c>
    </row>
    <row r="1529" ht="15.95" customHeight="1">
      <c r="A1529" s="464" t="s">
        <v>4619</v>
      </c>
      <c r="B1529" s="464" t="s">
        <v>4620</v>
      </c>
      <c r="C1529" s="464"/>
      <c r="D1529" s="464" t="s">
        <v>1709</v>
      </c>
      <c r="E1529" s="464" t="s">
        <v>4616</v>
      </c>
      <c r="F1529" s="464" t="s">
        <v>4617</v>
      </c>
      <c r="G1529" s="464" t="s">
        <v>4404</v>
      </c>
      <c r="H1529" s="464" t="s">
        <v>4405</v>
      </c>
      <c r="I1529" s="464" t="s">
        <v>1684</v>
      </c>
    </row>
    <row r="1530" ht="15.95" customHeight="1">
      <c r="A1530" s="464" t="s">
        <v>4621</v>
      </c>
      <c r="B1530" s="464" t="s">
        <v>4622</v>
      </c>
      <c r="C1530" s="464"/>
      <c r="D1530" s="464" t="s">
        <v>1709</v>
      </c>
      <c r="E1530" s="464" t="s">
        <v>4616</v>
      </c>
      <c r="F1530" s="464" t="s">
        <v>4617</v>
      </c>
      <c r="G1530" s="464" t="s">
        <v>4404</v>
      </c>
      <c r="H1530" s="464" t="s">
        <v>4405</v>
      </c>
      <c r="I1530" s="464" t="s">
        <v>1684</v>
      </c>
    </row>
    <row r="1531" ht="15.95" customHeight="1">
      <c r="A1531" s="464" t="s">
        <v>4623</v>
      </c>
      <c r="B1531" s="464" t="s">
        <v>4624</v>
      </c>
      <c r="C1531" s="464"/>
      <c r="D1531" s="464" t="s">
        <v>1709</v>
      </c>
      <c r="E1531" s="464" t="s">
        <v>4616</v>
      </c>
      <c r="F1531" s="464" t="s">
        <v>4617</v>
      </c>
      <c r="G1531" s="464" t="s">
        <v>4404</v>
      </c>
      <c r="H1531" s="464" t="s">
        <v>4405</v>
      </c>
      <c r="I1531" s="464" t="s">
        <v>1684</v>
      </c>
    </row>
    <row r="1532" ht="15.95" customHeight="1">
      <c r="A1532" s="464" t="s">
        <v>4625</v>
      </c>
      <c r="B1532" s="464" t="s">
        <v>4626</v>
      </c>
      <c r="C1532" s="464"/>
      <c r="D1532" s="464" t="s">
        <v>1709</v>
      </c>
      <c r="E1532" s="464" t="s">
        <v>4616</v>
      </c>
      <c r="F1532" s="464" t="s">
        <v>4617</v>
      </c>
      <c r="G1532" s="464" t="s">
        <v>4404</v>
      </c>
      <c r="H1532" s="464" t="s">
        <v>4405</v>
      </c>
      <c r="I1532" s="464" t="s">
        <v>1684</v>
      </c>
    </row>
    <row r="1533" ht="15.95" customHeight="1">
      <c r="A1533" s="464" t="s">
        <v>4627</v>
      </c>
      <c r="B1533" s="464" t="s">
        <v>4628</v>
      </c>
      <c r="C1533" s="464"/>
      <c r="D1533" s="464" t="s">
        <v>1709</v>
      </c>
      <c r="E1533" s="464" t="s">
        <v>4616</v>
      </c>
      <c r="F1533" s="464" t="s">
        <v>4617</v>
      </c>
      <c r="G1533" s="464" t="s">
        <v>4404</v>
      </c>
      <c r="H1533" s="464" t="s">
        <v>4405</v>
      </c>
      <c r="I1533" s="464" t="s">
        <v>1684</v>
      </c>
    </row>
    <row r="1534" ht="15.95" customHeight="1">
      <c r="A1534" s="464" t="s">
        <v>4629</v>
      </c>
      <c r="B1534" s="464" t="s">
        <v>2540</v>
      </c>
      <c r="C1534" s="464"/>
      <c r="D1534" s="464" t="s">
        <v>1709</v>
      </c>
      <c r="E1534" s="464" t="s">
        <v>4616</v>
      </c>
      <c r="F1534" s="464" t="s">
        <v>4617</v>
      </c>
      <c r="G1534" s="464" t="s">
        <v>4404</v>
      </c>
      <c r="H1534" s="464" t="s">
        <v>4405</v>
      </c>
      <c r="I1534" s="464" t="s">
        <v>1684</v>
      </c>
    </row>
    <row r="1535" ht="15.95" customHeight="1">
      <c r="A1535" s="464" t="s">
        <v>4630</v>
      </c>
      <c r="B1535" s="464" t="s">
        <v>4631</v>
      </c>
      <c r="C1535" s="464"/>
      <c r="D1535" s="464" t="s">
        <v>1709</v>
      </c>
      <c r="E1535" s="464" t="s">
        <v>4616</v>
      </c>
      <c r="F1535" s="464" t="s">
        <v>4617</v>
      </c>
      <c r="G1535" s="464" t="s">
        <v>4404</v>
      </c>
      <c r="H1535" s="464" t="s">
        <v>4405</v>
      </c>
      <c r="I1535" s="464" t="s">
        <v>1684</v>
      </c>
    </row>
    <row r="1536" ht="15.95" customHeight="1">
      <c r="A1536" s="464" t="s">
        <v>4632</v>
      </c>
      <c r="B1536" s="464" t="s">
        <v>4633</v>
      </c>
      <c r="C1536" s="464"/>
      <c r="D1536" s="464" t="s">
        <v>1709</v>
      </c>
      <c r="E1536" s="464" t="s">
        <v>4616</v>
      </c>
      <c r="F1536" s="464" t="s">
        <v>4617</v>
      </c>
      <c r="G1536" s="464" t="s">
        <v>4404</v>
      </c>
      <c r="H1536" s="464" t="s">
        <v>4405</v>
      </c>
      <c r="I1536" s="464" t="s">
        <v>1684</v>
      </c>
    </row>
    <row r="1537" ht="15.95" customHeight="1">
      <c r="A1537" s="464" t="s">
        <v>4634</v>
      </c>
      <c r="B1537" s="464" t="s">
        <v>4635</v>
      </c>
      <c r="C1537" s="464"/>
      <c r="D1537" s="464" t="s">
        <v>1709</v>
      </c>
      <c r="E1537" s="464" t="s">
        <v>4616</v>
      </c>
      <c r="F1537" s="464" t="s">
        <v>4617</v>
      </c>
      <c r="G1537" s="464" t="s">
        <v>4404</v>
      </c>
      <c r="H1537" s="464" t="s">
        <v>4405</v>
      </c>
      <c r="I1537" s="464" t="s">
        <v>1684</v>
      </c>
    </row>
    <row r="1538" ht="15.95" customHeight="1">
      <c r="A1538" s="464" t="s">
        <v>4636</v>
      </c>
      <c r="B1538" s="464" t="s">
        <v>4637</v>
      </c>
      <c r="C1538" s="464"/>
      <c r="D1538" s="464" t="s">
        <v>1709</v>
      </c>
      <c r="E1538" s="464" t="s">
        <v>4616</v>
      </c>
      <c r="F1538" s="464" t="s">
        <v>4617</v>
      </c>
      <c r="G1538" s="464" t="s">
        <v>4404</v>
      </c>
      <c r="H1538" s="464" t="s">
        <v>4405</v>
      </c>
      <c r="I1538" s="464" t="s">
        <v>1684</v>
      </c>
    </row>
    <row r="1539" ht="15.95" customHeight="1">
      <c r="A1539" s="464" t="s">
        <v>4638</v>
      </c>
      <c r="B1539" s="464" t="s">
        <v>4639</v>
      </c>
      <c r="C1539" s="464"/>
      <c r="D1539" s="464" t="s">
        <v>1709</v>
      </c>
      <c r="E1539" s="464" t="s">
        <v>4616</v>
      </c>
      <c r="F1539" s="464" t="s">
        <v>4617</v>
      </c>
      <c r="G1539" s="464" t="s">
        <v>4404</v>
      </c>
      <c r="H1539" s="464" t="s">
        <v>4405</v>
      </c>
      <c r="I1539" s="464" t="s">
        <v>1684</v>
      </c>
    </row>
    <row r="1540" ht="15.95" customHeight="1">
      <c r="A1540" s="464" t="s">
        <v>4640</v>
      </c>
      <c r="B1540" s="464" t="s">
        <v>4641</v>
      </c>
      <c r="C1540" s="464"/>
      <c r="D1540" s="464" t="s">
        <v>1709</v>
      </c>
      <c r="E1540" s="464" t="s">
        <v>4616</v>
      </c>
      <c r="F1540" s="464" t="s">
        <v>4617</v>
      </c>
      <c r="G1540" s="464" t="s">
        <v>4404</v>
      </c>
      <c r="H1540" s="464" t="s">
        <v>4405</v>
      </c>
      <c r="I1540" s="464" t="s">
        <v>1684</v>
      </c>
    </row>
    <row r="1541" ht="15.95" customHeight="1">
      <c r="A1541" s="464" t="s">
        <v>4642</v>
      </c>
      <c r="B1541" s="464" t="s">
        <v>4643</v>
      </c>
      <c r="C1541" s="464"/>
      <c r="D1541" s="464" t="s">
        <v>1709</v>
      </c>
      <c r="E1541" s="464" t="s">
        <v>4616</v>
      </c>
      <c r="F1541" s="464" t="s">
        <v>4617</v>
      </c>
      <c r="G1541" s="464" t="s">
        <v>4404</v>
      </c>
      <c r="H1541" s="464" t="s">
        <v>4405</v>
      </c>
      <c r="I1541" s="464" t="s">
        <v>1684</v>
      </c>
    </row>
    <row r="1542" ht="15.95" customHeight="1">
      <c r="A1542" s="464" t="s">
        <v>4644</v>
      </c>
      <c r="B1542" s="464" t="s">
        <v>4645</v>
      </c>
      <c r="C1542" s="464"/>
      <c r="D1542" s="464" t="s">
        <v>1709</v>
      </c>
      <c r="E1542" s="464" t="s">
        <v>4616</v>
      </c>
      <c r="F1542" s="464" t="s">
        <v>4617</v>
      </c>
      <c r="G1542" s="464" t="s">
        <v>4404</v>
      </c>
      <c r="H1542" s="464" t="s">
        <v>4405</v>
      </c>
      <c r="I1542" s="464" t="s">
        <v>1684</v>
      </c>
    </row>
    <row r="1543" ht="15.95" customHeight="1">
      <c r="A1543" s="464" t="s">
        <v>4646</v>
      </c>
      <c r="B1543" s="464" t="s">
        <v>3278</v>
      </c>
      <c r="C1543" s="464"/>
      <c r="D1543" s="464" t="s">
        <v>1709</v>
      </c>
      <c r="E1543" s="464" t="s">
        <v>4616</v>
      </c>
      <c r="F1543" s="464" t="s">
        <v>4617</v>
      </c>
      <c r="G1543" s="464" t="s">
        <v>4404</v>
      </c>
      <c r="H1543" s="464" t="s">
        <v>4405</v>
      </c>
      <c r="I1543" s="464" t="s">
        <v>1684</v>
      </c>
    </row>
    <row r="1544" ht="15.95" customHeight="1">
      <c r="A1544" s="464" t="s">
        <v>4647</v>
      </c>
      <c r="B1544" s="464" t="s">
        <v>4648</v>
      </c>
      <c r="C1544" s="464"/>
      <c r="D1544" s="464" t="s">
        <v>1709</v>
      </c>
      <c r="E1544" s="464" t="s">
        <v>4616</v>
      </c>
      <c r="F1544" s="464" t="s">
        <v>4617</v>
      </c>
      <c r="G1544" s="464" t="s">
        <v>4404</v>
      </c>
      <c r="H1544" s="464" t="s">
        <v>4405</v>
      </c>
      <c r="I1544" s="464" t="s">
        <v>1684</v>
      </c>
    </row>
    <row r="1545" ht="15.95" customHeight="1">
      <c r="A1545" s="464" t="s">
        <v>4649</v>
      </c>
      <c r="B1545" s="464" t="s">
        <v>4650</v>
      </c>
      <c r="C1545" s="464"/>
      <c r="D1545" s="464" t="s">
        <v>1709</v>
      </c>
      <c r="E1545" s="464" t="s">
        <v>4616</v>
      </c>
      <c r="F1545" s="464" t="s">
        <v>4617</v>
      </c>
      <c r="G1545" s="464" t="s">
        <v>4404</v>
      </c>
      <c r="H1545" s="464" t="s">
        <v>4405</v>
      </c>
      <c r="I1545" s="464" t="s">
        <v>1684</v>
      </c>
    </row>
    <row r="1546" ht="15.95" customHeight="1">
      <c r="A1546" s="464" t="s">
        <v>4651</v>
      </c>
      <c r="B1546" s="464" t="s">
        <v>4652</v>
      </c>
      <c r="C1546" s="464"/>
      <c r="D1546" s="464" t="s">
        <v>1738</v>
      </c>
      <c r="E1546" s="464" t="s">
        <v>4653</v>
      </c>
      <c r="F1546" s="464" t="s">
        <v>4654</v>
      </c>
      <c r="G1546" s="464" t="s">
        <v>4404</v>
      </c>
      <c r="H1546" s="464" t="s">
        <v>4405</v>
      </c>
      <c r="I1546" s="464" t="s">
        <v>1684</v>
      </c>
    </row>
    <row r="1547" ht="15.95" customHeight="1">
      <c r="A1547" s="464" t="s">
        <v>4655</v>
      </c>
      <c r="B1547" s="464" t="s">
        <v>4656</v>
      </c>
      <c r="C1547" s="464"/>
      <c r="D1547" s="464" t="s">
        <v>1709</v>
      </c>
      <c r="E1547" s="464" t="s">
        <v>4653</v>
      </c>
      <c r="F1547" s="464" t="s">
        <v>4654</v>
      </c>
      <c r="G1547" s="464" t="s">
        <v>4404</v>
      </c>
      <c r="H1547" s="464" t="s">
        <v>4405</v>
      </c>
      <c r="I1547" s="464" t="s">
        <v>1684</v>
      </c>
    </row>
    <row r="1548" ht="15.95" customHeight="1">
      <c r="A1548" s="464" t="s">
        <v>4657</v>
      </c>
      <c r="B1548" s="464" t="s">
        <v>4555</v>
      </c>
      <c r="C1548" s="464"/>
      <c r="D1548" s="464" t="s">
        <v>1709</v>
      </c>
      <c r="E1548" s="464" t="s">
        <v>4653</v>
      </c>
      <c r="F1548" s="464" t="s">
        <v>4654</v>
      </c>
      <c r="G1548" s="464" t="s">
        <v>4404</v>
      </c>
      <c r="H1548" s="464" t="s">
        <v>4405</v>
      </c>
      <c r="I1548" s="464" t="s">
        <v>1684</v>
      </c>
    </row>
    <row r="1549" ht="15.95" customHeight="1">
      <c r="A1549" s="464" t="s">
        <v>4658</v>
      </c>
      <c r="B1549" s="464" t="s">
        <v>4659</v>
      </c>
      <c r="C1549" s="464"/>
      <c r="D1549" s="464" t="s">
        <v>1709</v>
      </c>
      <c r="E1549" s="464" t="s">
        <v>4653</v>
      </c>
      <c r="F1549" s="464" t="s">
        <v>4654</v>
      </c>
      <c r="G1549" s="464" t="s">
        <v>4404</v>
      </c>
      <c r="H1549" s="464" t="s">
        <v>4405</v>
      </c>
      <c r="I1549" s="464" t="s">
        <v>1684</v>
      </c>
    </row>
    <row r="1550" ht="15.95" customHeight="1">
      <c r="A1550" s="464" t="s">
        <v>4660</v>
      </c>
      <c r="B1550" s="464" t="s">
        <v>4661</v>
      </c>
      <c r="C1550" s="464"/>
      <c r="D1550" s="464" t="s">
        <v>1709</v>
      </c>
      <c r="E1550" s="464" t="s">
        <v>4653</v>
      </c>
      <c r="F1550" s="464" t="s">
        <v>4654</v>
      </c>
      <c r="G1550" s="464" t="s">
        <v>4404</v>
      </c>
      <c r="H1550" s="464" t="s">
        <v>4405</v>
      </c>
      <c r="I1550" s="464" t="s">
        <v>1684</v>
      </c>
    </row>
    <row r="1551" ht="15.95" customHeight="1">
      <c r="A1551" s="464" t="s">
        <v>4662</v>
      </c>
      <c r="B1551" s="464" t="s">
        <v>4663</v>
      </c>
      <c r="C1551" s="464"/>
      <c r="D1551" s="464" t="s">
        <v>1709</v>
      </c>
      <c r="E1551" s="464" t="s">
        <v>4653</v>
      </c>
      <c r="F1551" s="464" t="s">
        <v>4654</v>
      </c>
      <c r="G1551" s="464" t="s">
        <v>4404</v>
      </c>
      <c r="H1551" s="464" t="s">
        <v>4405</v>
      </c>
      <c r="I1551" s="464" t="s">
        <v>1684</v>
      </c>
    </row>
    <row r="1552" ht="15.95" customHeight="1">
      <c r="A1552" s="464" t="s">
        <v>4664</v>
      </c>
      <c r="B1552" s="464" t="s">
        <v>4665</v>
      </c>
      <c r="C1552" s="464"/>
      <c r="D1552" s="464" t="s">
        <v>1709</v>
      </c>
      <c r="E1552" s="464" t="s">
        <v>4653</v>
      </c>
      <c r="F1552" s="464" t="s">
        <v>4654</v>
      </c>
      <c r="G1552" s="464" t="s">
        <v>4404</v>
      </c>
      <c r="H1552" s="464" t="s">
        <v>4405</v>
      </c>
      <c r="I1552" s="464" t="s">
        <v>1684</v>
      </c>
    </row>
    <row r="1553" ht="15.95" customHeight="1">
      <c r="A1553" s="464" t="s">
        <v>4666</v>
      </c>
      <c r="B1553" s="464" t="s">
        <v>4062</v>
      </c>
      <c r="C1553" s="464"/>
      <c r="D1553" s="464" t="s">
        <v>1709</v>
      </c>
      <c r="E1553" s="464" t="s">
        <v>4653</v>
      </c>
      <c r="F1553" s="464" t="s">
        <v>4654</v>
      </c>
      <c r="G1553" s="464" t="s">
        <v>4404</v>
      </c>
      <c r="H1553" s="464" t="s">
        <v>4405</v>
      </c>
      <c r="I1553" s="464" t="s">
        <v>1684</v>
      </c>
    </row>
    <row r="1554" ht="15.95" customHeight="1">
      <c r="A1554" s="464" t="s">
        <v>4667</v>
      </c>
      <c r="B1554" s="464" t="s">
        <v>4668</v>
      </c>
      <c r="C1554" s="464"/>
      <c r="D1554" s="464" t="s">
        <v>1709</v>
      </c>
      <c r="E1554" s="464" t="s">
        <v>4653</v>
      </c>
      <c r="F1554" s="464" t="s">
        <v>4654</v>
      </c>
      <c r="G1554" s="464" t="s">
        <v>4404</v>
      </c>
      <c r="H1554" s="464" t="s">
        <v>4405</v>
      </c>
      <c r="I1554" s="464" t="s">
        <v>1684</v>
      </c>
    </row>
    <row r="1555" ht="15.95" customHeight="1">
      <c r="A1555" s="464" t="s">
        <v>4669</v>
      </c>
      <c r="B1555" s="464" t="s">
        <v>2751</v>
      </c>
      <c r="C1555" s="464"/>
      <c r="D1555" s="464" t="s">
        <v>1709</v>
      </c>
      <c r="E1555" s="464" t="s">
        <v>4653</v>
      </c>
      <c r="F1555" s="464" t="s">
        <v>4654</v>
      </c>
      <c r="G1555" s="464" t="s">
        <v>4404</v>
      </c>
      <c r="H1555" s="464" t="s">
        <v>4405</v>
      </c>
      <c r="I1555" s="464" t="s">
        <v>1684</v>
      </c>
    </row>
    <row r="1556" ht="15.95" customHeight="1">
      <c r="A1556" s="464" t="s">
        <v>4670</v>
      </c>
      <c r="B1556" s="464" t="s">
        <v>1942</v>
      </c>
      <c r="C1556" s="464"/>
      <c r="D1556" s="464" t="s">
        <v>1709</v>
      </c>
      <c r="E1556" s="464" t="s">
        <v>4653</v>
      </c>
      <c r="F1556" s="464" t="s">
        <v>4654</v>
      </c>
      <c r="G1556" s="464" t="s">
        <v>4404</v>
      </c>
      <c r="H1556" s="464" t="s">
        <v>4405</v>
      </c>
      <c r="I1556" s="464" t="s">
        <v>1684</v>
      </c>
    </row>
    <row r="1557" ht="15.95" customHeight="1">
      <c r="A1557" s="464" t="s">
        <v>4671</v>
      </c>
      <c r="B1557" s="464" t="s">
        <v>4672</v>
      </c>
      <c r="C1557" s="464"/>
      <c r="D1557" s="464" t="s">
        <v>1709</v>
      </c>
      <c r="E1557" s="464" t="s">
        <v>4653</v>
      </c>
      <c r="F1557" s="464" t="s">
        <v>4654</v>
      </c>
      <c r="G1557" s="464" t="s">
        <v>4404</v>
      </c>
      <c r="H1557" s="464" t="s">
        <v>4405</v>
      </c>
      <c r="I1557" s="464" t="s">
        <v>1684</v>
      </c>
    </row>
    <row r="1558" ht="15.95" customHeight="1">
      <c r="A1558" s="464" t="s">
        <v>4673</v>
      </c>
      <c r="B1558" s="464" t="s">
        <v>2622</v>
      </c>
      <c r="C1558" s="464"/>
      <c r="D1558" s="464" t="s">
        <v>1709</v>
      </c>
      <c r="E1558" s="464" t="s">
        <v>4653</v>
      </c>
      <c r="F1558" s="464" t="s">
        <v>4654</v>
      </c>
      <c r="G1558" s="464" t="s">
        <v>4404</v>
      </c>
      <c r="H1558" s="464" t="s">
        <v>4405</v>
      </c>
      <c r="I1558" s="464" t="s">
        <v>1684</v>
      </c>
    </row>
    <row r="1559" ht="15.95" customHeight="1">
      <c r="A1559" s="464" t="s">
        <v>4674</v>
      </c>
      <c r="B1559" s="464" t="s">
        <v>4675</v>
      </c>
      <c r="C1559" s="464"/>
      <c r="D1559" s="464" t="s">
        <v>1738</v>
      </c>
      <c r="E1559" s="464" t="s">
        <v>4676</v>
      </c>
      <c r="F1559" s="464" t="s">
        <v>4677</v>
      </c>
      <c r="G1559" s="464" t="s">
        <v>4404</v>
      </c>
      <c r="H1559" s="464" t="s">
        <v>4405</v>
      </c>
      <c r="I1559" s="464" t="s">
        <v>1684</v>
      </c>
    </row>
    <row r="1560" ht="15.95" customHeight="1">
      <c r="A1560" s="464" t="s">
        <v>4678</v>
      </c>
      <c r="B1560" s="464" t="s">
        <v>4679</v>
      </c>
      <c r="C1560" s="464"/>
      <c r="D1560" s="464" t="s">
        <v>1709</v>
      </c>
      <c r="E1560" s="464" t="s">
        <v>4676</v>
      </c>
      <c r="F1560" s="464" t="s">
        <v>4677</v>
      </c>
      <c r="G1560" s="464" t="s">
        <v>4404</v>
      </c>
      <c r="H1560" s="464" t="s">
        <v>4405</v>
      </c>
      <c r="I1560" s="464" t="s">
        <v>1684</v>
      </c>
    </row>
    <row r="1561" ht="15.95" customHeight="1">
      <c r="A1561" s="464" t="s">
        <v>4680</v>
      </c>
      <c r="B1561" s="464" t="s">
        <v>1883</v>
      </c>
      <c r="C1561" s="464"/>
      <c r="D1561" s="464" t="s">
        <v>1709</v>
      </c>
      <c r="E1561" s="464" t="s">
        <v>4676</v>
      </c>
      <c r="F1561" s="464" t="s">
        <v>4677</v>
      </c>
      <c r="G1561" s="464" t="s">
        <v>4404</v>
      </c>
      <c r="H1561" s="464" t="s">
        <v>4405</v>
      </c>
      <c r="I1561" s="464" t="s">
        <v>1684</v>
      </c>
    </row>
    <row r="1562" ht="15.95" customHeight="1">
      <c r="A1562" s="464" t="s">
        <v>4681</v>
      </c>
      <c r="B1562" s="464" t="s">
        <v>4682</v>
      </c>
      <c r="C1562" s="464"/>
      <c r="D1562" s="464" t="s">
        <v>1709</v>
      </c>
      <c r="E1562" s="464" t="s">
        <v>4676</v>
      </c>
      <c r="F1562" s="464" t="s">
        <v>4677</v>
      </c>
      <c r="G1562" s="464" t="s">
        <v>4404</v>
      </c>
      <c r="H1562" s="464" t="s">
        <v>4405</v>
      </c>
      <c r="I1562" s="464" t="s">
        <v>1684</v>
      </c>
    </row>
    <row r="1563" ht="15.95" customHeight="1">
      <c r="A1563" s="464" t="s">
        <v>4683</v>
      </c>
      <c r="B1563" s="464" t="s">
        <v>4684</v>
      </c>
      <c r="C1563" s="464"/>
      <c r="D1563" s="464" t="s">
        <v>1738</v>
      </c>
      <c r="E1563" s="464" t="s">
        <v>4676</v>
      </c>
      <c r="F1563" s="464" t="s">
        <v>4677</v>
      </c>
      <c r="G1563" s="464" t="s">
        <v>4404</v>
      </c>
      <c r="H1563" s="464" t="s">
        <v>4405</v>
      </c>
      <c r="I1563" s="464" t="s">
        <v>1684</v>
      </c>
    </row>
    <row r="1564" ht="15.95" customHeight="1">
      <c r="A1564" s="464" t="s">
        <v>4685</v>
      </c>
      <c r="B1564" s="464" t="s">
        <v>4172</v>
      </c>
      <c r="C1564" s="464"/>
      <c r="D1564" s="464" t="s">
        <v>1709</v>
      </c>
      <c r="E1564" s="464" t="s">
        <v>4676</v>
      </c>
      <c r="F1564" s="464" t="s">
        <v>4677</v>
      </c>
      <c r="G1564" s="464" t="s">
        <v>4404</v>
      </c>
      <c r="H1564" s="464" t="s">
        <v>4405</v>
      </c>
      <c r="I1564" s="464" t="s">
        <v>1684</v>
      </c>
    </row>
    <row r="1565" ht="15.95" customHeight="1">
      <c r="A1565" s="464" t="s">
        <v>4686</v>
      </c>
      <c r="B1565" s="464" t="s">
        <v>4687</v>
      </c>
      <c r="C1565" s="464"/>
      <c r="D1565" s="464" t="s">
        <v>1709</v>
      </c>
      <c r="E1565" s="464" t="s">
        <v>4676</v>
      </c>
      <c r="F1565" s="464" t="s">
        <v>4677</v>
      </c>
      <c r="G1565" s="464" t="s">
        <v>4404</v>
      </c>
      <c r="H1565" s="464" t="s">
        <v>4405</v>
      </c>
      <c r="I1565" s="464" t="s">
        <v>1684</v>
      </c>
    </row>
    <row r="1566" ht="15.95" customHeight="1">
      <c r="A1566" s="464" t="s">
        <v>4688</v>
      </c>
      <c r="B1566" s="464" t="s">
        <v>2685</v>
      </c>
      <c r="C1566" s="464"/>
      <c r="D1566" s="464" t="s">
        <v>1709</v>
      </c>
      <c r="E1566" s="464" t="s">
        <v>4676</v>
      </c>
      <c r="F1566" s="464" t="s">
        <v>4677</v>
      </c>
      <c r="G1566" s="464" t="s">
        <v>4404</v>
      </c>
      <c r="H1566" s="464" t="s">
        <v>4405</v>
      </c>
      <c r="I1566" s="464" t="s">
        <v>1684</v>
      </c>
    </row>
    <row r="1567" ht="15.95" customHeight="1">
      <c r="A1567" s="464" t="s">
        <v>4689</v>
      </c>
      <c r="B1567" s="464" t="s">
        <v>4690</v>
      </c>
      <c r="C1567" s="464"/>
      <c r="D1567" s="464" t="s">
        <v>1709</v>
      </c>
      <c r="E1567" s="464" t="s">
        <v>4676</v>
      </c>
      <c r="F1567" s="464" t="s">
        <v>4677</v>
      </c>
      <c r="G1567" s="464" t="s">
        <v>4404</v>
      </c>
      <c r="H1567" s="464" t="s">
        <v>4405</v>
      </c>
      <c r="I1567" s="464" t="s">
        <v>1684</v>
      </c>
    </row>
    <row r="1568" ht="15.95" customHeight="1">
      <c r="A1568" s="464" t="s">
        <v>4691</v>
      </c>
      <c r="B1568" s="464" t="s">
        <v>4692</v>
      </c>
      <c r="C1568" s="464"/>
      <c r="D1568" s="464" t="s">
        <v>1709</v>
      </c>
      <c r="E1568" s="464" t="s">
        <v>4676</v>
      </c>
      <c r="F1568" s="464" t="s">
        <v>4677</v>
      </c>
      <c r="G1568" s="464" t="s">
        <v>4404</v>
      </c>
      <c r="H1568" s="464" t="s">
        <v>4405</v>
      </c>
      <c r="I1568" s="464" t="s">
        <v>1684</v>
      </c>
    </row>
    <row r="1569" ht="15.95" customHeight="1">
      <c r="A1569" s="464" t="s">
        <v>4693</v>
      </c>
      <c r="B1569" s="464" t="s">
        <v>4694</v>
      </c>
      <c r="C1569" s="464"/>
      <c r="D1569" s="464" t="s">
        <v>1709</v>
      </c>
      <c r="E1569" s="464" t="s">
        <v>4676</v>
      </c>
      <c r="F1569" s="464" t="s">
        <v>4677</v>
      </c>
      <c r="G1569" s="464" t="s">
        <v>4404</v>
      </c>
      <c r="H1569" s="464" t="s">
        <v>4405</v>
      </c>
      <c r="I1569" s="464" t="s">
        <v>1684</v>
      </c>
    </row>
    <row r="1570" ht="15.95" customHeight="1">
      <c r="A1570" s="464" t="s">
        <v>4695</v>
      </c>
      <c r="B1570" s="464" t="s">
        <v>1735</v>
      </c>
      <c r="C1570" s="464"/>
      <c r="D1570" s="464" t="s">
        <v>1709</v>
      </c>
      <c r="E1570" s="464" t="s">
        <v>4676</v>
      </c>
      <c r="F1570" s="464" t="s">
        <v>4677</v>
      </c>
      <c r="G1570" s="464" t="s">
        <v>4404</v>
      </c>
      <c r="H1570" s="464" t="s">
        <v>4405</v>
      </c>
      <c r="I1570" s="464" t="s">
        <v>1684</v>
      </c>
    </row>
    <row r="1571" ht="15.95" customHeight="1">
      <c r="A1571" s="464" t="s">
        <v>4696</v>
      </c>
      <c r="B1571" s="464" t="s">
        <v>2012</v>
      </c>
      <c r="C1571" s="464"/>
      <c r="D1571" s="464" t="s">
        <v>1709</v>
      </c>
      <c r="E1571" s="464" t="s">
        <v>4676</v>
      </c>
      <c r="F1571" s="464" t="s">
        <v>4677</v>
      </c>
      <c r="G1571" s="464" t="s">
        <v>4404</v>
      </c>
      <c r="H1571" s="464" t="s">
        <v>4405</v>
      </c>
      <c r="I1571" s="464" t="s">
        <v>1684</v>
      </c>
    </row>
    <row r="1572" ht="15.95" customHeight="1">
      <c r="A1572" s="464" t="s">
        <v>4697</v>
      </c>
      <c r="B1572" s="464" t="s">
        <v>4698</v>
      </c>
      <c r="C1572" s="464"/>
      <c r="D1572" s="464" t="s">
        <v>1709</v>
      </c>
      <c r="E1572" s="464" t="s">
        <v>4699</v>
      </c>
      <c r="F1572" s="464" t="s">
        <v>4700</v>
      </c>
      <c r="G1572" s="464" t="s">
        <v>4404</v>
      </c>
      <c r="H1572" s="464" t="s">
        <v>4405</v>
      </c>
      <c r="I1572" s="464" t="s">
        <v>1684</v>
      </c>
    </row>
    <row r="1573" ht="15.95" customHeight="1">
      <c r="A1573" s="464" t="s">
        <v>4701</v>
      </c>
      <c r="B1573" s="464" t="s">
        <v>2697</v>
      </c>
      <c r="C1573" s="464"/>
      <c r="D1573" s="464" t="s">
        <v>1709</v>
      </c>
      <c r="E1573" s="464" t="s">
        <v>4699</v>
      </c>
      <c r="F1573" s="464" t="s">
        <v>4700</v>
      </c>
      <c r="G1573" s="464" t="s">
        <v>4404</v>
      </c>
      <c r="H1573" s="464" t="s">
        <v>4405</v>
      </c>
      <c r="I1573" s="464" t="s">
        <v>1684</v>
      </c>
    </row>
    <row r="1574" ht="15.95" customHeight="1">
      <c r="A1574" s="464" t="s">
        <v>4702</v>
      </c>
      <c r="B1574" s="464" t="s">
        <v>3351</v>
      </c>
      <c r="C1574" s="464"/>
      <c r="D1574" s="464" t="s">
        <v>1709</v>
      </c>
      <c r="E1574" s="464" t="s">
        <v>4699</v>
      </c>
      <c r="F1574" s="464" t="s">
        <v>4700</v>
      </c>
      <c r="G1574" s="464" t="s">
        <v>4404</v>
      </c>
      <c r="H1574" s="464" t="s">
        <v>4405</v>
      </c>
      <c r="I1574" s="464" t="s">
        <v>1684</v>
      </c>
    </row>
    <row r="1575" ht="15.95" customHeight="1">
      <c r="A1575" s="464" t="s">
        <v>4703</v>
      </c>
      <c r="B1575" s="464" t="s">
        <v>4704</v>
      </c>
      <c r="C1575" s="464"/>
      <c r="D1575" s="464" t="s">
        <v>1709</v>
      </c>
      <c r="E1575" s="464" t="s">
        <v>4699</v>
      </c>
      <c r="F1575" s="464" t="s">
        <v>4700</v>
      </c>
      <c r="G1575" s="464" t="s">
        <v>4404</v>
      </c>
      <c r="H1575" s="464" t="s">
        <v>4405</v>
      </c>
      <c r="I1575" s="464" t="s">
        <v>1684</v>
      </c>
    </row>
    <row r="1576" ht="15.95" customHeight="1">
      <c r="A1576" s="464" t="s">
        <v>4705</v>
      </c>
      <c r="B1576" s="464" t="s">
        <v>3353</v>
      </c>
      <c r="C1576" s="464"/>
      <c r="D1576" s="464" t="s">
        <v>1709</v>
      </c>
      <c r="E1576" s="464" t="s">
        <v>4699</v>
      </c>
      <c r="F1576" s="464" t="s">
        <v>4700</v>
      </c>
      <c r="G1576" s="464" t="s">
        <v>4404</v>
      </c>
      <c r="H1576" s="464" t="s">
        <v>4405</v>
      </c>
      <c r="I1576" s="464" t="s">
        <v>1684</v>
      </c>
    </row>
    <row r="1577" ht="15.95" customHeight="1">
      <c r="A1577" s="464" t="s">
        <v>4706</v>
      </c>
      <c r="B1577" s="464" t="s">
        <v>3177</v>
      </c>
      <c r="C1577" s="464"/>
      <c r="D1577" s="464" t="s">
        <v>1709</v>
      </c>
      <c r="E1577" s="464" t="s">
        <v>4699</v>
      </c>
      <c r="F1577" s="464" t="s">
        <v>4700</v>
      </c>
      <c r="G1577" s="464" t="s">
        <v>4404</v>
      </c>
      <c r="H1577" s="464" t="s">
        <v>4405</v>
      </c>
      <c r="I1577" s="464" t="s">
        <v>1684</v>
      </c>
    </row>
    <row r="1578" ht="15.95" customHeight="1">
      <c r="A1578" s="464" t="s">
        <v>4707</v>
      </c>
      <c r="B1578" s="464" t="s">
        <v>4708</v>
      </c>
      <c r="C1578" s="464"/>
      <c r="D1578" s="464" t="s">
        <v>1679</v>
      </c>
      <c r="E1578" s="464" t="s">
        <v>4709</v>
      </c>
      <c r="F1578" s="464" t="s">
        <v>4710</v>
      </c>
      <c r="G1578" s="464" t="s">
        <v>4711</v>
      </c>
      <c r="H1578" s="464" t="s">
        <v>4712</v>
      </c>
      <c r="I1578" s="464" t="s">
        <v>1684</v>
      </c>
    </row>
    <row r="1579" ht="15.95" customHeight="1">
      <c r="A1579" s="464" t="s">
        <v>4713</v>
      </c>
      <c r="B1579" s="464" t="s">
        <v>2852</v>
      </c>
      <c r="C1579" s="464"/>
      <c r="D1579" s="464" t="s">
        <v>1679</v>
      </c>
      <c r="E1579" s="464" t="s">
        <v>4709</v>
      </c>
      <c r="F1579" s="464" t="s">
        <v>4710</v>
      </c>
      <c r="G1579" s="464" t="s">
        <v>4711</v>
      </c>
      <c r="H1579" s="464" t="s">
        <v>4712</v>
      </c>
      <c r="I1579" s="464" t="s">
        <v>1684</v>
      </c>
    </row>
    <row r="1580" ht="15.95" customHeight="1">
      <c r="A1580" s="464" t="s">
        <v>4714</v>
      </c>
      <c r="B1580" s="464" t="s">
        <v>1279</v>
      </c>
      <c r="C1580" s="464"/>
      <c r="D1580" s="464" t="s">
        <v>1679</v>
      </c>
      <c r="E1580" s="464" t="s">
        <v>4709</v>
      </c>
      <c r="F1580" s="464" t="s">
        <v>4710</v>
      </c>
      <c r="G1580" s="464" t="s">
        <v>4711</v>
      </c>
      <c r="H1580" s="464" t="s">
        <v>4712</v>
      </c>
      <c r="I1580" s="464" t="s">
        <v>1684</v>
      </c>
    </row>
    <row r="1581" ht="15.95" customHeight="1">
      <c r="A1581" s="464" t="s">
        <v>4715</v>
      </c>
      <c r="B1581" s="464" t="s">
        <v>2113</v>
      </c>
      <c r="C1581" s="464"/>
      <c r="D1581" s="464" t="s">
        <v>1679</v>
      </c>
      <c r="E1581" s="464" t="s">
        <v>4709</v>
      </c>
      <c r="F1581" s="464" t="s">
        <v>4710</v>
      </c>
      <c r="G1581" s="464" t="s">
        <v>4711</v>
      </c>
      <c r="H1581" s="464" t="s">
        <v>4712</v>
      </c>
      <c r="I1581" s="464" t="s">
        <v>1684</v>
      </c>
    </row>
    <row r="1582" ht="15.95" customHeight="1">
      <c r="A1582" s="464" t="s">
        <v>4716</v>
      </c>
      <c r="B1582" s="464" t="s">
        <v>1282</v>
      </c>
      <c r="C1582" s="464"/>
      <c r="D1582" s="464" t="s">
        <v>1679</v>
      </c>
      <c r="E1582" s="464" t="s">
        <v>4709</v>
      </c>
      <c r="F1582" s="464" t="s">
        <v>4710</v>
      </c>
      <c r="G1582" s="464" t="s">
        <v>4711</v>
      </c>
      <c r="H1582" s="464" t="s">
        <v>4712</v>
      </c>
      <c r="I1582" s="464" t="s">
        <v>1684</v>
      </c>
    </row>
    <row r="1583" ht="15.95" customHeight="1">
      <c r="A1583" s="464" t="s">
        <v>4717</v>
      </c>
      <c r="B1583" s="464" t="s">
        <v>2115</v>
      </c>
      <c r="C1583" s="464"/>
      <c r="D1583" s="464" t="s">
        <v>1679</v>
      </c>
      <c r="E1583" s="464" t="s">
        <v>4709</v>
      </c>
      <c r="F1583" s="464" t="s">
        <v>4710</v>
      </c>
      <c r="G1583" s="464" t="s">
        <v>4711</v>
      </c>
      <c r="H1583" s="464" t="s">
        <v>4712</v>
      </c>
      <c r="I1583" s="464" t="s">
        <v>1684</v>
      </c>
    </row>
    <row r="1584" ht="15.95" customHeight="1">
      <c r="A1584" s="464" t="s">
        <v>4718</v>
      </c>
      <c r="B1584" s="464" t="s">
        <v>1287</v>
      </c>
      <c r="C1584" s="464"/>
      <c r="D1584" s="464" t="s">
        <v>1679</v>
      </c>
      <c r="E1584" s="464" t="s">
        <v>4709</v>
      </c>
      <c r="F1584" s="464" t="s">
        <v>4710</v>
      </c>
      <c r="G1584" s="464" t="s">
        <v>4711</v>
      </c>
      <c r="H1584" s="464" t="s">
        <v>4712</v>
      </c>
      <c r="I1584" s="464" t="s">
        <v>1684</v>
      </c>
    </row>
    <row r="1585" ht="15.95" customHeight="1">
      <c r="A1585" s="464" t="s">
        <v>4719</v>
      </c>
      <c r="B1585" s="464" t="s">
        <v>1269</v>
      </c>
      <c r="C1585" s="464"/>
      <c r="D1585" s="464" t="s">
        <v>1679</v>
      </c>
      <c r="E1585" s="464" t="s">
        <v>4709</v>
      </c>
      <c r="F1585" s="464" t="s">
        <v>4710</v>
      </c>
      <c r="G1585" s="464" t="s">
        <v>4711</v>
      </c>
      <c r="H1585" s="464" t="s">
        <v>4712</v>
      </c>
      <c r="I1585" s="464" t="s">
        <v>1684</v>
      </c>
    </row>
    <row r="1586" ht="15.95" customHeight="1">
      <c r="A1586" s="464" t="s">
        <v>4720</v>
      </c>
      <c r="B1586" s="464" t="s">
        <v>2110</v>
      </c>
      <c r="C1586" s="464"/>
      <c r="D1586" s="464" t="s">
        <v>1679</v>
      </c>
      <c r="E1586" s="464" t="s">
        <v>4709</v>
      </c>
      <c r="F1586" s="464" t="s">
        <v>4710</v>
      </c>
      <c r="G1586" s="464" t="s">
        <v>4711</v>
      </c>
      <c r="H1586" s="464" t="s">
        <v>4712</v>
      </c>
      <c r="I1586" s="464" t="s">
        <v>1684</v>
      </c>
    </row>
    <row r="1587" ht="15.95" customHeight="1">
      <c r="A1587" s="464" t="s">
        <v>4721</v>
      </c>
      <c r="B1587" s="464" t="s">
        <v>1281</v>
      </c>
      <c r="C1587" s="464"/>
      <c r="D1587" s="464" t="s">
        <v>1679</v>
      </c>
      <c r="E1587" s="464" t="s">
        <v>4709</v>
      </c>
      <c r="F1587" s="464" t="s">
        <v>4710</v>
      </c>
      <c r="G1587" s="464" t="s">
        <v>4711</v>
      </c>
      <c r="H1587" s="464" t="s">
        <v>4712</v>
      </c>
      <c r="I1587" s="464" t="s">
        <v>1684</v>
      </c>
    </row>
    <row r="1588" ht="15.95" customHeight="1">
      <c r="A1588" s="464" t="s">
        <v>4722</v>
      </c>
      <c r="B1588" s="464" t="s">
        <v>4723</v>
      </c>
      <c r="C1588" s="464"/>
      <c r="D1588" s="464" t="s">
        <v>1709</v>
      </c>
      <c r="E1588" s="464" t="s">
        <v>4709</v>
      </c>
      <c r="F1588" s="464" t="s">
        <v>4710</v>
      </c>
      <c r="G1588" s="464" t="s">
        <v>4711</v>
      </c>
      <c r="H1588" s="464" t="s">
        <v>4712</v>
      </c>
      <c r="I1588" s="464" t="s">
        <v>1684</v>
      </c>
    </row>
    <row r="1589" ht="15.95" customHeight="1">
      <c r="A1589" s="464" t="s">
        <v>4724</v>
      </c>
      <c r="B1589" s="464" t="s">
        <v>4725</v>
      </c>
      <c r="C1589" s="464"/>
      <c r="D1589" s="464" t="s">
        <v>1709</v>
      </c>
      <c r="E1589" s="464" t="s">
        <v>4709</v>
      </c>
      <c r="F1589" s="464" t="s">
        <v>4710</v>
      </c>
      <c r="G1589" s="464" t="s">
        <v>4711</v>
      </c>
      <c r="H1589" s="464" t="s">
        <v>4712</v>
      </c>
      <c r="I1589" s="464" t="s">
        <v>1684</v>
      </c>
    </row>
    <row r="1590" ht="15.95" customHeight="1">
      <c r="A1590" s="464" t="s">
        <v>4726</v>
      </c>
      <c r="B1590" s="464" t="s">
        <v>4555</v>
      </c>
      <c r="C1590" s="464"/>
      <c r="D1590" s="464" t="s">
        <v>1709</v>
      </c>
      <c r="E1590" s="464" t="s">
        <v>4709</v>
      </c>
      <c r="F1590" s="464" t="s">
        <v>4710</v>
      </c>
      <c r="G1590" s="464" t="s">
        <v>4711</v>
      </c>
      <c r="H1590" s="464" t="s">
        <v>4712</v>
      </c>
      <c r="I1590" s="464" t="s">
        <v>1684</v>
      </c>
    </row>
    <row r="1591" ht="15.95" customHeight="1">
      <c r="A1591" s="464" t="s">
        <v>4727</v>
      </c>
      <c r="B1591" s="464" t="s">
        <v>4728</v>
      </c>
      <c r="C1591" s="464"/>
      <c r="D1591" s="464" t="s">
        <v>1709</v>
      </c>
      <c r="E1591" s="464" t="s">
        <v>4709</v>
      </c>
      <c r="F1591" s="464" t="s">
        <v>4710</v>
      </c>
      <c r="G1591" s="464" t="s">
        <v>4711</v>
      </c>
      <c r="H1591" s="464" t="s">
        <v>4712</v>
      </c>
      <c r="I1591" s="464" t="s">
        <v>1684</v>
      </c>
    </row>
    <row r="1592" ht="15.95" customHeight="1">
      <c r="A1592" s="464" t="s">
        <v>4729</v>
      </c>
      <c r="B1592" s="464" t="s">
        <v>4730</v>
      </c>
      <c r="C1592" s="464"/>
      <c r="D1592" s="464" t="s">
        <v>1709</v>
      </c>
      <c r="E1592" s="464" t="s">
        <v>4709</v>
      </c>
      <c r="F1592" s="464" t="s">
        <v>4710</v>
      </c>
      <c r="G1592" s="464" t="s">
        <v>4711</v>
      </c>
      <c r="H1592" s="464" t="s">
        <v>4712</v>
      </c>
      <c r="I1592" s="464" t="s">
        <v>1684</v>
      </c>
    </row>
    <row r="1593" ht="15.95" customHeight="1">
      <c r="A1593" s="464" t="s">
        <v>4731</v>
      </c>
      <c r="B1593" s="464" t="s">
        <v>4553</v>
      </c>
      <c r="C1593" s="464"/>
      <c r="D1593" s="464" t="s">
        <v>1709</v>
      </c>
      <c r="E1593" s="464" t="s">
        <v>4709</v>
      </c>
      <c r="F1593" s="464" t="s">
        <v>4710</v>
      </c>
      <c r="G1593" s="464" t="s">
        <v>4711</v>
      </c>
      <c r="H1593" s="464" t="s">
        <v>4712</v>
      </c>
      <c r="I1593" s="464" t="s">
        <v>1684</v>
      </c>
    </row>
    <row r="1594" ht="15.95" customHeight="1">
      <c r="A1594" s="464" t="s">
        <v>4732</v>
      </c>
      <c r="B1594" s="464" t="s">
        <v>4733</v>
      </c>
      <c r="C1594" s="464"/>
      <c r="D1594" s="464" t="s">
        <v>1709</v>
      </c>
      <c r="E1594" s="464" t="s">
        <v>4709</v>
      </c>
      <c r="F1594" s="464" t="s">
        <v>4710</v>
      </c>
      <c r="G1594" s="464" t="s">
        <v>4711</v>
      </c>
      <c r="H1594" s="464" t="s">
        <v>4712</v>
      </c>
      <c r="I1594" s="464" t="s">
        <v>1684</v>
      </c>
    </row>
    <row r="1595" ht="15.95" customHeight="1">
      <c r="A1595" s="464" t="s">
        <v>4734</v>
      </c>
      <c r="B1595" s="464" t="s">
        <v>2722</v>
      </c>
      <c r="C1595" s="464"/>
      <c r="D1595" s="464" t="s">
        <v>1738</v>
      </c>
      <c r="E1595" s="464" t="s">
        <v>4735</v>
      </c>
      <c r="F1595" s="464" t="s">
        <v>2724</v>
      </c>
      <c r="G1595" s="464" t="s">
        <v>4711</v>
      </c>
      <c r="H1595" s="464" t="s">
        <v>4712</v>
      </c>
      <c r="I1595" s="464" t="s">
        <v>1684</v>
      </c>
    </row>
    <row r="1596" ht="15.95" customHeight="1">
      <c r="A1596" s="464" t="s">
        <v>4736</v>
      </c>
      <c r="B1596" s="464" t="s">
        <v>4737</v>
      </c>
      <c r="C1596" s="464"/>
      <c r="D1596" s="464" t="s">
        <v>1709</v>
      </c>
      <c r="E1596" s="464" t="s">
        <v>4735</v>
      </c>
      <c r="F1596" s="464" t="s">
        <v>2724</v>
      </c>
      <c r="G1596" s="464" t="s">
        <v>4711</v>
      </c>
      <c r="H1596" s="464" t="s">
        <v>4712</v>
      </c>
      <c r="I1596" s="464" t="s">
        <v>1684</v>
      </c>
    </row>
    <row r="1597" ht="15.95" customHeight="1">
      <c r="A1597" s="464" t="s">
        <v>4738</v>
      </c>
      <c r="B1597" s="464" t="s">
        <v>4739</v>
      </c>
      <c r="C1597" s="464"/>
      <c r="D1597" s="464" t="s">
        <v>1709</v>
      </c>
      <c r="E1597" s="464" t="s">
        <v>4735</v>
      </c>
      <c r="F1597" s="464" t="s">
        <v>2724</v>
      </c>
      <c r="G1597" s="464" t="s">
        <v>4711</v>
      </c>
      <c r="H1597" s="464" t="s">
        <v>4712</v>
      </c>
      <c r="I1597" s="464" t="s">
        <v>1684</v>
      </c>
    </row>
    <row r="1598" ht="15.95" customHeight="1">
      <c r="A1598" s="464" t="s">
        <v>4740</v>
      </c>
      <c r="B1598" s="464" t="s">
        <v>4741</v>
      </c>
      <c r="C1598" s="464"/>
      <c r="D1598" s="464" t="s">
        <v>1709</v>
      </c>
      <c r="E1598" s="464" t="s">
        <v>4735</v>
      </c>
      <c r="F1598" s="464" t="s">
        <v>2724</v>
      </c>
      <c r="G1598" s="464" t="s">
        <v>4711</v>
      </c>
      <c r="H1598" s="464" t="s">
        <v>4712</v>
      </c>
      <c r="I1598" s="464" t="s">
        <v>1684</v>
      </c>
    </row>
    <row r="1599" ht="15.95" customHeight="1">
      <c r="A1599" s="464" t="s">
        <v>4742</v>
      </c>
      <c r="B1599" s="464" t="s">
        <v>4743</v>
      </c>
      <c r="C1599" s="464"/>
      <c r="D1599" s="464" t="s">
        <v>1709</v>
      </c>
      <c r="E1599" s="464" t="s">
        <v>4735</v>
      </c>
      <c r="F1599" s="464" t="s">
        <v>2724</v>
      </c>
      <c r="G1599" s="464" t="s">
        <v>4711</v>
      </c>
      <c r="H1599" s="464" t="s">
        <v>4712</v>
      </c>
      <c r="I1599" s="464" t="s">
        <v>1684</v>
      </c>
    </row>
    <row r="1600" ht="15.95" customHeight="1">
      <c r="A1600" s="464" t="s">
        <v>4744</v>
      </c>
      <c r="B1600" s="464" t="s">
        <v>4745</v>
      </c>
      <c r="C1600" s="464"/>
      <c r="D1600" s="464" t="s">
        <v>1709</v>
      </c>
      <c r="E1600" s="464" t="s">
        <v>4735</v>
      </c>
      <c r="F1600" s="464" t="s">
        <v>2724</v>
      </c>
      <c r="G1600" s="464" t="s">
        <v>4711</v>
      </c>
      <c r="H1600" s="464" t="s">
        <v>4712</v>
      </c>
      <c r="I1600" s="464" t="s">
        <v>1684</v>
      </c>
    </row>
    <row r="1601" ht="15.95" customHeight="1">
      <c r="A1601" s="464" t="s">
        <v>4746</v>
      </c>
      <c r="B1601" s="464" t="s">
        <v>3197</v>
      </c>
      <c r="C1601" s="464"/>
      <c r="D1601" s="464" t="s">
        <v>1709</v>
      </c>
      <c r="E1601" s="464" t="s">
        <v>4735</v>
      </c>
      <c r="F1601" s="464" t="s">
        <v>2724</v>
      </c>
      <c r="G1601" s="464" t="s">
        <v>4711</v>
      </c>
      <c r="H1601" s="464" t="s">
        <v>4712</v>
      </c>
      <c r="I1601" s="464" t="s">
        <v>1684</v>
      </c>
    </row>
    <row r="1602" ht="15.95" customHeight="1">
      <c r="A1602" s="464" t="s">
        <v>4747</v>
      </c>
      <c r="B1602" s="464" t="s">
        <v>4748</v>
      </c>
      <c r="C1602" s="464"/>
      <c r="D1602" s="464" t="s">
        <v>1709</v>
      </c>
      <c r="E1602" s="464" t="s">
        <v>4735</v>
      </c>
      <c r="F1602" s="464" t="s">
        <v>2724</v>
      </c>
      <c r="G1602" s="464" t="s">
        <v>4711</v>
      </c>
      <c r="H1602" s="464" t="s">
        <v>4712</v>
      </c>
      <c r="I1602" s="464" t="s">
        <v>1684</v>
      </c>
    </row>
    <row r="1603" ht="15.95" customHeight="1">
      <c r="A1603" s="464" t="s">
        <v>4749</v>
      </c>
      <c r="B1603" s="464" t="s">
        <v>4750</v>
      </c>
      <c r="C1603" s="464"/>
      <c r="D1603" s="464" t="s">
        <v>1709</v>
      </c>
      <c r="E1603" s="464" t="s">
        <v>4735</v>
      </c>
      <c r="F1603" s="464" t="s">
        <v>2724</v>
      </c>
      <c r="G1603" s="464" t="s">
        <v>4711</v>
      </c>
      <c r="H1603" s="464" t="s">
        <v>4712</v>
      </c>
      <c r="I1603" s="464" t="s">
        <v>1684</v>
      </c>
    </row>
    <row r="1604" ht="15.95" customHeight="1">
      <c r="A1604" s="464" t="s">
        <v>4751</v>
      </c>
      <c r="B1604" s="464" t="s">
        <v>3288</v>
      </c>
      <c r="C1604" s="464"/>
      <c r="D1604" s="464" t="s">
        <v>1709</v>
      </c>
      <c r="E1604" s="464" t="s">
        <v>4735</v>
      </c>
      <c r="F1604" s="464" t="s">
        <v>2724</v>
      </c>
      <c r="G1604" s="464" t="s">
        <v>4711</v>
      </c>
      <c r="H1604" s="464" t="s">
        <v>4712</v>
      </c>
      <c r="I1604" s="464" t="s">
        <v>1684</v>
      </c>
    </row>
    <row r="1605" ht="15.95" customHeight="1">
      <c r="A1605" s="464" t="s">
        <v>4752</v>
      </c>
      <c r="B1605" s="464" t="s">
        <v>3080</v>
      </c>
      <c r="C1605" s="464"/>
      <c r="D1605" s="464" t="s">
        <v>1709</v>
      </c>
      <c r="E1605" s="464" t="s">
        <v>4735</v>
      </c>
      <c r="F1605" s="464" t="s">
        <v>2724</v>
      </c>
      <c r="G1605" s="464" t="s">
        <v>4711</v>
      </c>
      <c r="H1605" s="464" t="s">
        <v>4712</v>
      </c>
      <c r="I1605" s="464" t="s">
        <v>1684</v>
      </c>
    </row>
    <row r="1606" ht="15.95" customHeight="1">
      <c r="A1606" s="464" t="s">
        <v>4753</v>
      </c>
      <c r="B1606" s="464" t="s">
        <v>4754</v>
      </c>
      <c r="C1606" s="464"/>
      <c r="D1606" s="464" t="s">
        <v>1709</v>
      </c>
      <c r="E1606" s="464" t="s">
        <v>4735</v>
      </c>
      <c r="F1606" s="464" t="s">
        <v>2724</v>
      </c>
      <c r="G1606" s="464" t="s">
        <v>4711</v>
      </c>
      <c r="H1606" s="464" t="s">
        <v>4712</v>
      </c>
      <c r="I1606" s="464" t="s">
        <v>1684</v>
      </c>
    </row>
    <row r="1607" ht="15.95" customHeight="1">
      <c r="A1607" s="464" t="s">
        <v>4755</v>
      </c>
      <c r="B1607" s="464" t="s">
        <v>4756</v>
      </c>
      <c r="C1607" s="464"/>
      <c r="D1607" s="464" t="s">
        <v>1709</v>
      </c>
      <c r="E1607" s="464" t="s">
        <v>4735</v>
      </c>
      <c r="F1607" s="464" t="s">
        <v>2724</v>
      </c>
      <c r="G1607" s="464" t="s">
        <v>4711</v>
      </c>
      <c r="H1607" s="464" t="s">
        <v>4712</v>
      </c>
      <c r="I1607" s="464" t="s">
        <v>1684</v>
      </c>
    </row>
    <row r="1608" ht="15.95" customHeight="1">
      <c r="A1608" s="464" t="s">
        <v>4757</v>
      </c>
      <c r="B1608" s="464" t="s">
        <v>2697</v>
      </c>
      <c r="C1608" s="464"/>
      <c r="D1608" s="464" t="s">
        <v>1709</v>
      </c>
      <c r="E1608" s="464" t="s">
        <v>4735</v>
      </c>
      <c r="F1608" s="464" t="s">
        <v>2724</v>
      </c>
      <c r="G1608" s="464" t="s">
        <v>4711</v>
      </c>
      <c r="H1608" s="464" t="s">
        <v>4712</v>
      </c>
      <c r="I1608" s="464" t="s">
        <v>1684</v>
      </c>
    </row>
    <row r="1609" ht="15.95" customHeight="1">
      <c r="A1609" s="464" t="s">
        <v>4758</v>
      </c>
      <c r="B1609" s="464" t="s">
        <v>4759</v>
      </c>
      <c r="C1609" s="464"/>
      <c r="D1609" s="464" t="s">
        <v>1709</v>
      </c>
      <c r="E1609" s="464" t="s">
        <v>4735</v>
      </c>
      <c r="F1609" s="464" t="s">
        <v>2724</v>
      </c>
      <c r="G1609" s="464" t="s">
        <v>4711</v>
      </c>
      <c r="H1609" s="464" t="s">
        <v>4712</v>
      </c>
      <c r="I1609" s="464" t="s">
        <v>1684</v>
      </c>
    </row>
    <row r="1610" ht="15.95" customHeight="1">
      <c r="A1610" s="464" t="s">
        <v>4760</v>
      </c>
      <c r="B1610" s="464" t="s">
        <v>2782</v>
      </c>
      <c r="C1610" s="464"/>
      <c r="D1610" s="464" t="s">
        <v>1709</v>
      </c>
      <c r="E1610" s="464" t="s">
        <v>4735</v>
      </c>
      <c r="F1610" s="464" t="s">
        <v>2724</v>
      </c>
      <c r="G1610" s="464" t="s">
        <v>4711</v>
      </c>
      <c r="H1610" s="464" t="s">
        <v>4712</v>
      </c>
      <c r="I1610" s="464" t="s">
        <v>1684</v>
      </c>
    </row>
    <row r="1611" ht="15.95" customHeight="1">
      <c r="A1611" s="464" t="s">
        <v>4761</v>
      </c>
      <c r="B1611" s="464" t="s">
        <v>4762</v>
      </c>
      <c r="C1611" s="464"/>
      <c r="D1611" s="464" t="s">
        <v>1709</v>
      </c>
      <c r="E1611" s="464" t="s">
        <v>4735</v>
      </c>
      <c r="F1611" s="464" t="s">
        <v>2724</v>
      </c>
      <c r="G1611" s="464" t="s">
        <v>4711</v>
      </c>
      <c r="H1611" s="464" t="s">
        <v>4712</v>
      </c>
      <c r="I1611" s="464" t="s">
        <v>1684</v>
      </c>
    </row>
    <row r="1612" ht="15.95" customHeight="1">
      <c r="A1612" s="464" t="s">
        <v>4763</v>
      </c>
      <c r="B1612" s="464" t="s">
        <v>4764</v>
      </c>
      <c r="C1612" s="464"/>
      <c r="D1612" s="464" t="s">
        <v>1709</v>
      </c>
      <c r="E1612" s="464" t="s">
        <v>4735</v>
      </c>
      <c r="F1612" s="464" t="s">
        <v>2724</v>
      </c>
      <c r="G1612" s="464" t="s">
        <v>4711</v>
      </c>
      <c r="H1612" s="464" t="s">
        <v>4712</v>
      </c>
      <c r="I1612" s="464" t="s">
        <v>1684</v>
      </c>
    </row>
    <row r="1613" ht="15.95" customHeight="1">
      <c r="A1613" s="464" t="s">
        <v>4765</v>
      </c>
      <c r="B1613" s="464" t="s">
        <v>4766</v>
      </c>
      <c r="C1613" s="464"/>
      <c r="D1613" s="464" t="s">
        <v>1709</v>
      </c>
      <c r="E1613" s="464" t="s">
        <v>4735</v>
      </c>
      <c r="F1613" s="464" t="s">
        <v>2724</v>
      </c>
      <c r="G1613" s="464" t="s">
        <v>4711</v>
      </c>
      <c r="H1613" s="464" t="s">
        <v>4712</v>
      </c>
      <c r="I1613" s="464" t="s">
        <v>1684</v>
      </c>
    </row>
    <row r="1614" ht="15.95" customHeight="1">
      <c r="A1614" s="464" t="s">
        <v>4767</v>
      </c>
      <c r="B1614" s="464" t="s">
        <v>4768</v>
      </c>
      <c r="C1614" s="464"/>
      <c r="D1614" s="464" t="s">
        <v>1709</v>
      </c>
      <c r="E1614" s="464" t="s">
        <v>4735</v>
      </c>
      <c r="F1614" s="464" t="s">
        <v>2724</v>
      </c>
      <c r="G1614" s="464" t="s">
        <v>4711</v>
      </c>
      <c r="H1614" s="464" t="s">
        <v>4712</v>
      </c>
      <c r="I1614" s="464" t="s">
        <v>1684</v>
      </c>
    </row>
    <row r="1615" ht="15.95" customHeight="1">
      <c r="A1615" s="464" t="s">
        <v>4769</v>
      </c>
      <c r="B1615" s="464" t="s">
        <v>4770</v>
      </c>
      <c r="C1615" s="464"/>
      <c r="D1615" s="464" t="s">
        <v>1709</v>
      </c>
      <c r="E1615" s="464" t="s">
        <v>4735</v>
      </c>
      <c r="F1615" s="464" t="s">
        <v>2724</v>
      </c>
      <c r="G1615" s="464" t="s">
        <v>4711</v>
      </c>
      <c r="H1615" s="464" t="s">
        <v>4712</v>
      </c>
      <c r="I1615" s="464" t="s">
        <v>1684</v>
      </c>
    </row>
    <row r="1616" ht="15.95" customHeight="1">
      <c r="A1616" s="464" t="s">
        <v>4771</v>
      </c>
      <c r="B1616" s="464" t="s">
        <v>4772</v>
      </c>
      <c r="C1616" s="464"/>
      <c r="D1616" s="464" t="s">
        <v>1709</v>
      </c>
      <c r="E1616" s="464" t="s">
        <v>4735</v>
      </c>
      <c r="F1616" s="464" t="s">
        <v>2724</v>
      </c>
      <c r="G1616" s="464" t="s">
        <v>4711</v>
      </c>
      <c r="H1616" s="464" t="s">
        <v>4712</v>
      </c>
      <c r="I1616" s="464" t="s">
        <v>1684</v>
      </c>
    </row>
    <row r="1617" ht="15.95" customHeight="1">
      <c r="A1617" s="464" t="s">
        <v>4773</v>
      </c>
      <c r="B1617" s="464" t="s">
        <v>4774</v>
      </c>
      <c r="C1617" s="464"/>
      <c r="D1617" s="464" t="s">
        <v>1738</v>
      </c>
      <c r="E1617" s="464" t="s">
        <v>4775</v>
      </c>
      <c r="F1617" s="464" t="s">
        <v>4776</v>
      </c>
      <c r="G1617" s="464" t="s">
        <v>4711</v>
      </c>
      <c r="H1617" s="464" t="s">
        <v>4712</v>
      </c>
      <c r="I1617" s="464" t="s">
        <v>1684</v>
      </c>
    </row>
    <row r="1618" ht="15.95" customHeight="1">
      <c r="A1618" s="464" t="s">
        <v>4777</v>
      </c>
      <c r="B1618" s="464" t="s">
        <v>4778</v>
      </c>
      <c r="C1618" s="464"/>
      <c r="D1618" s="464" t="s">
        <v>1709</v>
      </c>
      <c r="E1618" s="464" t="s">
        <v>4775</v>
      </c>
      <c r="F1618" s="464" t="s">
        <v>4776</v>
      </c>
      <c r="G1618" s="464" t="s">
        <v>4711</v>
      </c>
      <c r="H1618" s="464" t="s">
        <v>4712</v>
      </c>
      <c r="I1618" s="464" t="s">
        <v>1684</v>
      </c>
    </row>
    <row r="1619" ht="15.95" customHeight="1">
      <c r="A1619" s="464" t="s">
        <v>4779</v>
      </c>
      <c r="B1619" s="464" t="s">
        <v>4780</v>
      </c>
      <c r="C1619" s="464"/>
      <c r="D1619" s="464" t="s">
        <v>1709</v>
      </c>
      <c r="E1619" s="464" t="s">
        <v>4775</v>
      </c>
      <c r="F1619" s="464" t="s">
        <v>4776</v>
      </c>
      <c r="G1619" s="464" t="s">
        <v>4711</v>
      </c>
      <c r="H1619" s="464" t="s">
        <v>4712</v>
      </c>
      <c r="I1619" s="464" t="s">
        <v>1684</v>
      </c>
    </row>
    <row r="1620" ht="15.95" customHeight="1">
      <c r="A1620" s="464" t="s">
        <v>4781</v>
      </c>
      <c r="B1620" s="464" t="s">
        <v>4111</v>
      </c>
      <c r="C1620" s="464"/>
      <c r="D1620" s="464" t="s">
        <v>1709</v>
      </c>
      <c r="E1620" s="464" t="s">
        <v>4775</v>
      </c>
      <c r="F1620" s="464" t="s">
        <v>4776</v>
      </c>
      <c r="G1620" s="464" t="s">
        <v>4711</v>
      </c>
      <c r="H1620" s="464" t="s">
        <v>4712</v>
      </c>
      <c r="I1620" s="464" t="s">
        <v>1684</v>
      </c>
    </row>
    <row r="1621" ht="15.95" customHeight="1">
      <c r="A1621" s="464" t="s">
        <v>4782</v>
      </c>
      <c r="B1621" s="464" t="s">
        <v>4783</v>
      </c>
      <c r="C1621" s="464"/>
      <c r="D1621" s="464" t="s">
        <v>1709</v>
      </c>
      <c r="E1621" s="464" t="s">
        <v>4775</v>
      </c>
      <c r="F1621" s="464" t="s">
        <v>4776</v>
      </c>
      <c r="G1621" s="464" t="s">
        <v>4711</v>
      </c>
      <c r="H1621" s="464" t="s">
        <v>4712</v>
      </c>
      <c r="I1621" s="464" t="s">
        <v>1684</v>
      </c>
    </row>
    <row r="1622" ht="15.95" customHeight="1">
      <c r="A1622" s="464" t="s">
        <v>4784</v>
      </c>
      <c r="B1622" s="464" t="s">
        <v>4015</v>
      </c>
      <c r="C1622" s="464"/>
      <c r="D1622" s="464" t="s">
        <v>1709</v>
      </c>
      <c r="E1622" s="464" t="s">
        <v>4775</v>
      </c>
      <c r="F1622" s="464" t="s">
        <v>4776</v>
      </c>
      <c r="G1622" s="464" t="s">
        <v>4711</v>
      </c>
      <c r="H1622" s="464" t="s">
        <v>4712</v>
      </c>
      <c r="I1622" s="464" t="s">
        <v>1684</v>
      </c>
    </row>
    <row r="1623" ht="15.95" customHeight="1">
      <c r="A1623" s="464" t="s">
        <v>4785</v>
      </c>
      <c r="B1623" s="464" t="s">
        <v>2191</v>
      </c>
      <c r="C1623" s="464"/>
      <c r="D1623" s="464" t="s">
        <v>1709</v>
      </c>
      <c r="E1623" s="464" t="s">
        <v>4775</v>
      </c>
      <c r="F1623" s="464" t="s">
        <v>4776</v>
      </c>
      <c r="G1623" s="464" t="s">
        <v>4711</v>
      </c>
      <c r="H1623" s="464" t="s">
        <v>4712</v>
      </c>
      <c r="I1623" s="464" t="s">
        <v>1684</v>
      </c>
    </row>
    <row r="1624" ht="15.95" customHeight="1">
      <c r="A1624" s="464" t="s">
        <v>4786</v>
      </c>
      <c r="B1624" s="464" t="s">
        <v>4787</v>
      </c>
      <c r="C1624" s="464"/>
      <c r="D1624" s="464" t="s">
        <v>1709</v>
      </c>
      <c r="E1624" s="464" t="s">
        <v>4775</v>
      </c>
      <c r="F1624" s="464" t="s">
        <v>4776</v>
      </c>
      <c r="G1624" s="464" t="s">
        <v>4711</v>
      </c>
      <c r="H1624" s="464" t="s">
        <v>4712</v>
      </c>
      <c r="I1624" s="464" t="s">
        <v>1684</v>
      </c>
    </row>
    <row r="1625" ht="15.95" customHeight="1">
      <c r="A1625" s="464" t="s">
        <v>4788</v>
      </c>
      <c r="B1625" s="464" t="s">
        <v>4789</v>
      </c>
      <c r="C1625" s="464"/>
      <c r="D1625" s="464" t="s">
        <v>1709</v>
      </c>
      <c r="E1625" s="464" t="s">
        <v>4775</v>
      </c>
      <c r="F1625" s="464" t="s">
        <v>4776</v>
      </c>
      <c r="G1625" s="464" t="s">
        <v>4711</v>
      </c>
      <c r="H1625" s="464" t="s">
        <v>4712</v>
      </c>
      <c r="I1625" s="464" t="s">
        <v>1684</v>
      </c>
    </row>
    <row r="1626" ht="15.95" customHeight="1">
      <c r="A1626" s="464" t="s">
        <v>4790</v>
      </c>
      <c r="B1626" s="464" t="s">
        <v>2937</v>
      </c>
      <c r="C1626" s="464"/>
      <c r="D1626" s="464" t="s">
        <v>1709</v>
      </c>
      <c r="E1626" s="464" t="s">
        <v>4775</v>
      </c>
      <c r="F1626" s="464" t="s">
        <v>4776</v>
      </c>
      <c r="G1626" s="464" t="s">
        <v>4711</v>
      </c>
      <c r="H1626" s="464" t="s">
        <v>4712</v>
      </c>
      <c r="I1626" s="464" t="s">
        <v>1684</v>
      </c>
    </row>
    <row r="1627" ht="15.95" customHeight="1">
      <c r="A1627" s="464" t="s">
        <v>4791</v>
      </c>
      <c r="B1627" s="464" t="s">
        <v>4792</v>
      </c>
      <c r="C1627" s="464"/>
      <c r="D1627" s="464" t="s">
        <v>1709</v>
      </c>
      <c r="E1627" s="464" t="s">
        <v>4775</v>
      </c>
      <c r="F1627" s="464" t="s">
        <v>4776</v>
      </c>
      <c r="G1627" s="464" t="s">
        <v>4711</v>
      </c>
      <c r="H1627" s="464" t="s">
        <v>4712</v>
      </c>
      <c r="I1627" s="464" t="s">
        <v>1684</v>
      </c>
    </row>
    <row r="1628" ht="15.95" customHeight="1">
      <c r="A1628" s="464" t="s">
        <v>4793</v>
      </c>
      <c r="B1628" s="464" t="s">
        <v>4794</v>
      </c>
      <c r="C1628" s="464"/>
      <c r="D1628" s="464" t="s">
        <v>1738</v>
      </c>
      <c r="E1628" s="464" t="s">
        <v>4795</v>
      </c>
      <c r="F1628" s="464" t="s">
        <v>4796</v>
      </c>
      <c r="G1628" s="464" t="s">
        <v>4711</v>
      </c>
      <c r="H1628" s="464" t="s">
        <v>4712</v>
      </c>
      <c r="I1628" s="464" t="s">
        <v>1684</v>
      </c>
    </row>
    <row r="1629" ht="15.95" customHeight="1">
      <c r="A1629" s="464" t="s">
        <v>4797</v>
      </c>
      <c r="B1629" s="464" t="s">
        <v>4798</v>
      </c>
      <c r="C1629" s="464"/>
      <c r="D1629" s="464" t="s">
        <v>1709</v>
      </c>
      <c r="E1629" s="464" t="s">
        <v>4795</v>
      </c>
      <c r="F1629" s="464" t="s">
        <v>4796</v>
      </c>
      <c r="G1629" s="464" t="s">
        <v>4711</v>
      </c>
      <c r="H1629" s="464" t="s">
        <v>4712</v>
      </c>
      <c r="I1629" s="464" t="s">
        <v>1684</v>
      </c>
    </row>
    <row r="1630" ht="15.95" customHeight="1">
      <c r="A1630" s="464" t="s">
        <v>4799</v>
      </c>
      <c r="B1630" s="464" t="s">
        <v>4800</v>
      </c>
      <c r="C1630" s="464"/>
      <c r="D1630" s="464" t="s">
        <v>1709</v>
      </c>
      <c r="E1630" s="464" t="s">
        <v>4795</v>
      </c>
      <c r="F1630" s="464" t="s">
        <v>4796</v>
      </c>
      <c r="G1630" s="464" t="s">
        <v>4711</v>
      </c>
      <c r="H1630" s="464" t="s">
        <v>4712</v>
      </c>
      <c r="I1630" s="464" t="s">
        <v>1684</v>
      </c>
    </row>
    <row r="1631" ht="15.95" customHeight="1">
      <c r="A1631" s="464" t="s">
        <v>4801</v>
      </c>
      <c r="B1631" s="464" t="s">
        <v>2253</v>
      </c>
      <c r="C1631" s="464"/>
      <c r="D1631" s="464" t="s">
        <v>1709</v>
      </c>
      <c r="E1631" s="464" t="s">
        <v>4795</v>
      </c>
      <c r="F1631" s="464" t="s">
        <v>4796</v>
      </c>
      <c r="G1631" s="464" t="s">
        <v>4711</v>
      </c>
      <c r="H1631" s="464" t="s">
        <v>4712</v>
      </c>
      <c r="I1631" s="464" t="s">
        <v>1684</v>
      </c>
    </row>
    <row r="1632" ht="15.95" customHeight="1">
      <c r="A1632" s="464" t="s">
        <v>4802</v>
      </c>
      <c r="B1632" s="464" t="s">
        <v>3931</v>
      </c>
      <c r="C1632" s="464"/>
      <c r="D1632" s="464" t="s">
        <v>1709</v>
      </c>
      <c r="E1632" s="464" t="s">
        <v>4795</v>
      </c>
      <c r="F1632" s="464" t="s">
        <v>4796</v>
      </c>
      <c r="G1632" s="464" t="s">
        <v>4711</v>
      </c>
      <c r="H1632" s="464" t="s">
        <v>4712</v>
      </c>
      <c r="I1632" s="464" t="s">
        <v>1684</v>
      </c>
    </row>
    <row r="1633" ht="15.95" customHeight="1">
      <c r="A1633" s="464" t="s">
        <v>4803</v>
      </c>
      <c r="B1633" s="464" t="s">
        <v>4804</v>
      </c>
      <c r="C1633" s="464"/>
      <c r="D1633" s="464" t="s">
        <v>1709</v>
      </c>
      <c r="E1633" s="464" t="s">
        <v>4795</v>
      </c>
      <c r="F1633" s="464" t="s">
        <v>4796</v>
      </c>
      <c r="G1633" s="464" t="s">
        <v>4711</v>
      </c>
      <c r="H1633" s="464" t="s">
        <v>4712</v>
      </c>
      <c r="I1633" s="464" t="s">
        <v>1684</v>
      </c>
    </row>
    <row r="1634" ht="15.95" customHeight="1">
      <c r="A1634" s="464" t="s">
        <v>4805</v>
      </c>
      <c r="B1634" s="464" t="s">
        <v>2807</v>
      </c>
      <c r="C1634" s="464"/>
      <c r="D1634" s="464" t="s">
        <v>1709</v>
      </c>
      <c r="E1634" s="464" t="s">
        <v>4795</v>
      </c>
      <c r="F1634" s="464" t="s">
        <v>4796</v>
      </c>
      <c r="G1634" s="464" t="s">
        <v>4711</v>
      </c>
      <c r="H1634" s="464" t="s">
        <v>4712</v>
      </c>
      <c r="I1634" s="464" t="s">
        <v>1684</v>
      </c>
    </row>
    <row r="1635" ht="15.95" customHeight="1">
      <c r="A1635" s="464" t="s">
        <v>4806</v>
      </c>
      <c r="B1635" s="464" t="s">
        <v>4807</v>
      </c>
      <c r="C1635" s="464"/>
      <c r="D1635" s="464" t="s">
        <v>1709</v>
      </c>
      <c r="E1635" s="464" t="s">
        <v>4795</v>
      </c>
      <c r="F1635" s="464" t="s">
        <v>4796</v>
      </c>
      <c r="G1635" s="464" t="s">
        <v>4711</v>
      </c>
      <c r="H1635" s="464" t="s">
        <v>4712</v>
      </c>
      <c r="I1635" s="464" t="s">
        <v>1684</v>
      </c>
    </row>
    <row r="1636" ht="15.95" customHeight="1">
      <c r="A1636" s="464" t="s">
        <v>4808</v>
      </c>
      <c r="B1636" s="464" t="s">
        <v>4809</v>
      </c>
      <c r="C1636" s="464"/>
      <c r="D1636" s="464" t="s">
        <v>1709</v>
      </c>
      <c r="E1636" s="464" t="s">
        <v>4795</v>
      </c>
      <c r="F1636" s="464" t="s">
        <v>4796</v>
      </c>
      <c r="G1636" s="464" t="s">
        <v>4711</v>
      </c>
      <c r="H1636" s="464" t="s">
        <v>4712</v>
      </c>
      <c r="I1636" s="464" t="s">
        <v>1684</v>
      </c>
    </row>
    <row r="1637" ht="15.95" customHeight="1">
      <c r="A1637" s="464" t="s">
        <v>4810</v>
      </c>
      <c r="B1637" s="464" t="s">
        <v>4811</v>
      </c>
      <c r="C1637" s="464"/>
      <c r="D1637" s="464" t="s">
        <v>1709</v>
      </c>
      <c r="E1637" s="464" t="s">
        <v>4795</v>
      </c>
      <c r="F1637" s="464" t="s">
        <v>4796</v>
      </c>
      <c r="G1637" s="464" t="s">
        <v>4711</v>
      </c>
      <c r="H1637" s="464" t="s">
        <v>4712</v>
      </c>
      <c r="I1637" s="464" t="s">
        <v>1684</v>
      </c>
    </row>
    <row r="1638" ht="15.95" customHeight="1">
      <c r="A1638" s="464" t="s">
        <v>4812</v>
      </c>
      <c r="B1638" s="464" t="s">
        <v>4444</v>
      </c>
      <c r="C1638" s="464"/>
      <c r="D1638" s="464" t="s">
        <v>1709</v>
      </c>
      <c r="E1638" s="464" t="s">
        <v>4795</v>
      </c>
      <c r="F1638" s="464" t="s">
        <v>4796</v>
      </c>
      <c r="G1638" s="464" t="s">
        <v>4711</v>
      </c>
      <c r="H1638" s="464" t="s">
        <v>4712</v>
      </c>
      <c r="I1638" s="464" t="s">
        <v>1684</v>
      </c>
    </row>
    <row r="1639" ht="15.95" customHeight="1">
      <c r="A1639" s="464" t="s">
        <v>4813</v>
      </c>
      <c r="B1639" s="464" t="s">
        <v>4814</v>
      </c>
      <c r="C1639" s="464"/>
      <c r="D1639" s="464" t="s">
        <v>1709</v>
      </c>
      <c r="E1639" s="464" t="s">
        <v>4795</v>
      </c>
      <c r="F1639" s="464" t="s">
        <v>4796</v>
      </c>
      <c r="G1639" s="464" t="s">
        <v>4711</v>
      </c>
      <c r="H1639" s="464" t="s">
        <v>4712</v>
      </c>
      <c r="I1639" s="464" t="s">
        <v>1684</v>
      </c>
    </row>
    <row r="1640" ht="15.95" customHeight="1">
      <c r="A1640" s="464" t="s">
        <v>4815</v>
      </c>
      <c r="B1640" s="464" t="s">
        <v>4816</v>
      </c>
      <c r="C1640" s="464"/>
      <c r="D1640" s="464" t="s">
        <v>1709</v>
      </c>
      <c r="E1640" s="464" t="s">
        <v>4795</v>
      </c>
      <c r="F1640" s="464" t="s">
        <v>4796</v>
      </c>
      <c r="G1640" s="464" t="s">
        <v>4711</v>
      </c>
      <c r="H1640" s="464" t="s">
        <v>4712</v>
      </c>
      <c r="I1640" s="464" t="s">
        <v>1684</v>
      </c>
    </row>
    <row r="1641" ht="15.95" customHeight="1">
      <c r="A1641" s="464" t="s">
        <v>4817</v>
      </c>
      <c r="B1641" s="464" t="s">
        <v>2534</v>
      </c>
      <c r="C1641" s="464"/>
      <c r="D1641" s="464" t="s">
        <v>1709</v>
      </c>
      <c r="E1641" s="464" t="s">
        <v>4795</v>
      </c>
      <c r="F1641" s="464" t="s">
        <v>4796</v>
      </c>
      <c r="G1641" s="464" t="s">
        <v>4711</v>
      </c>
      <c r="H1641" s="464" t="s">
        <v>4712</v>
      </c>
      <c r="I1641" s="464" t="s">
        <v>1684</v>
      </c>
    </row>
    <row r="1642" ht="15.95" customHeight="1">
      <c r="A1642" s="464" t="s">
        <v>4818</v>
      </c>
      <c r="B1642" s="464" t="s">
        <v>4819</v>
      </c>
      <c r="C1642" s="464"/>
      <c r="D1642" s="464" t="s">
        <v>1709</v>
      </c>
      <c r="E1642" s="464" t="s">
        <v>4795</v>
      </c>
      <c r="F1642" s="464" t="s">
        <v>4796</v>
      </c>
      <c r="G1642" s="464" t="s">
        <v>4711</v>
      </c>
      <c r="H1642" s="464" t="s">
        <v>4712</v>
      </c>
      <c r="I1642" s="464" t="s">
        <v>1684</v>
      </c>
    </row>
    <row r="1643" ht="15.95" customHeight="1">
      <c r="A1643" s="464" t="s">
        <v>4820</v>
      </c>
      <c r="B1643" s="464" t="s">
        <v>4557</v>
      </c>
      <c r="C1643" s="464"/>
      <c r="D1643" s="464" t="s">
        <v>1709</v>
      </c>
      <c r="E1643" s="464" t="s">
        <v>4795</v>
      </c>
      <c r="F1643" s="464" t="s">
        <v>4796</v>
      </c>
      <c r="G1643" s="464" t="s">
        <v>4711</v>
      </c>
      <c r="H1643" s="464" t="s">
        <v>4712</v>
      </c>
      <c r="I1643" s="464" t="s">
        <v>1684</v>
      </c>
    </row>
    <row r="1644" ht="15.95" customHeight="1">
      <c r="A1644" s="464" t="s">
        <v>4821</v>
      </c>
      <c r="B1644" s="464" t="s">
        <v>4822</v>
      </c>
      <c r="C1644" s="464"/>
      <c r="D1644" s="464" t="s">
        <v>1709</v>
      </c>
      <c r="E1644" s="464" t="s">
        <v>4795</v>
      </c>
      <c r="F1644" s="464" t="s">
        <v>4796</v>
      </c>
      <c r="G1644" s="464" t="s">
        <v>4711</v>
      </c>
      <c r="H1644" s="464" t="s">
        <v>4712</v>
      </c>
      <c r="I1644" s="464" t="s">
        <v>1684</v>
      </c>
    </row>
    <row r="1645" ht="15.95" customHeight="1">
      <c r="A1645" s="464" t="s">
        <v>4823</v>
      </c>
      <c r="B1645" s="464" t="s">
        <v>4824</v>
      </c>
      <c r="C1645" s="464"/>
      <c r="D1645" s="464" t="s">
        <v>1738</v>
      </c>
      <c r="E1645" s="464" t="s">
        <v>4825</v>
      </c>
      <c r="F1645" s="464" t="s">
        <v>4826</v>
      </c>
      <c r="G1645" s="464" t="s">
        <v>4711</v>
      </c>
      <c r="H1645" s="464" t="s">
        <v>4712</v>
      </c>
      <c r="I1645" s="464" t="s">
        <v>1684</v>
      </c>
    </row>
    <row r="1646" ht="15.95" customHeight="1">
      <c r="A1646" s="464" t="s">
        <v>4827</v>
      </c>
      <c r="B1646" s="464" t="s">
        <v>1860</v>
      </c>
      <c r="C1646" s="464"/>
      <c r="D1646" s="464" t="s">
        <v>1709</v>
      </c>
      <c r="E1646" s="464" t="s">
        <v>4825</v>
      </c>
      <c r="F1646" s="464" t="s">
        <v>4826</v>
      </c>
      <c r="G1646" s="464" t="s">
        <v>4711</v>
      </c>
      <c r="H1646" s="464" t="s">
        <v>4712</v>
      </c>
      <c r="I1646" s="464" t="s">
        <v>1684</v>
      </c>
    </row>
    <row r="1647" ht="15.95" customHeight="1">
      <c r="A1647" s="464" t="s">
        <v>4828</v>
      </c>
      <c r="B1647" s="464" t="s">
        <v>4829</v>
      </c>
      <c r="C1647" s="464"/>
      <c r="D1647" s="464" t="s">
        <v>1709</v>
      </c>
      <c r="E1647" s="464" t="s">
        <v>4825</v>
      </c>
      <c r="F1647" s="464" t="s">
        <v>4826</v>
      </c>
      <c r="G1647" s="464" t="s">
        <v>4711</v>
      </c>
      <c r="H1647" s="464" t="s">
        <v>4712</v>
      </c>
      <c r="I1647" s="464" t="s">
        <v>1684</v>
      </c>
    </row>
    <row r="1648" ht="15.95" customHeight="1">
      <c r="A1648" s="464" t="s">
        <v>4830</v>
      </c>
      <c r="B1648" s="464" t="s">
        <v>1990</v>
      </c>
      <c r="C1648" s="464"/>
      <c r="D1648" s="464" t="s">
        <v>1709</v>
      </c>
      <c r="E1648" s="464" t="s">
        <v>4825</v>
      </c>
      <c r="F1648" s="464" t="s">
        <v>4826</v>
      </c>
      <c r="G1648" s="464" t="s">
        <v>4711</v>
      </c>
      <c r="H1648" s="464" t="s">
        <v>4712</v>
      </c>
      <c r="I1648" s="464" t="s">
        <v>1684</v>
      </c>
    </row>
    <row r="1649" ht="15.95" customHeight="1">
      <c r="A1649" s="464" t="s">
        <v>4831</v>
      </c>
      <c r="B1649" s="464" t="s">
        <v>4832</v>
      </c>
      <c r="C1649" s="464"/>
      <c r="D1649" s="464" t="s">
        <v>1709</v>
      </c>
      <c r="E1649" s="464" t="s">
        <v>4825</v>
      </c>
      <c r="F1649" s="464" t="s">
        <v>4826</v>
      </c>
      <c r="G1649" s="464" t="s">
        <v>4711</v>
      </c>
      <c r="H1649" s="464" t="s">
        <v>4712</v>
      </c>
      <c r="I1649" s="464" t="s">
        <v>1684</v>
      </c>
    </row>
    <row r="1650" ht="15.95" customHeight="1">
      <c r="A1650" s="464" t="s">
        <v>4833</v>
      </c>
      <c r="B1650" s="464" t="s">
        <v>4249</v>
      </c>
      <c r="C1650" s="464"/>
      <c r="D1650" s="464" t="s">
        <v>1709</v>
      </c>
      <c r="E1650" s="464" t="s">
        <v>4825</v>
      </c>
      <c r="F1650" s="464" t="s">
        <v>4826</v>
      </c>
      <c r="G1650" s="464" t="s">
        <v>4711</v>
      </c>
      <c r="H1650" s="464" t="s">
        <v>4712</v>
      </c>
      <c r="I1650" s="464" t="s">
        <v>1684</v>
      </c>
    </row>
    <row r="1651" ht="15.95" customHeight="1">
      <c r="A1651" s="464" t="s">
        <v>4834</v>
      </c>
      <c r="B1651" s="464" t="s">
        <v>4835</v>
      </c>
      <c r="C1651" s="464"/>
      <c r="D1651" s="464" t="s">
        <v>1709</v>
      </c>
      <c r="E1651" s="464" t="s">
        <v>4825</v>
      </c>
      <c r="F1651" s="464" t="s">
        <v>4826</v>
      </c>
      <c r="G1651" s="464" t="s">
        <v>4711</v>
      </c>
      <c r="H1651" s="464" t="s">
        <v>4712</v>
      </c>
      <c r="I1651" s="464" t="s">
        <v>1684</v>
      </c>
    </row>
    <row r="1652" ht="15.95" customHeight="1">
      <c r="A1652" s="464" t="s">
        <v>4836</v>
      </c>
      <c r="B1652" s="464" t="s">
        <v>4837</v>
      </c>
      <c r="C1652" s="464"/>
      <c r="D1652" s="464" t="s">
        <v>1709</v>
      </c>
      <c r="E1652" s="464" t="s">
        <v>4825</v>
      </c>
      <c r="F1652" s="464" t="s">
        <v>4826</v>
      </c>
      <c r="G1652" s="464" t="s">
        <v>4711</v>
      </c>
      <c r="H1652" s="464" t="s">
        <v>4712</v>
      </c>
      <c r="I1652" s="464" t="s">
        <v>1684</v>
      </c>
    </row>
    <row r="1653" ht="15.95" customHeight="1">
      <c r="A1653" s="464" t="s">
        <v>4838</v>
      </c>
      <c r="B1653" s="464" t="s">
        <v>4839</v>
      </c>
      <c r="C1653" s="464"/>
      <c r="D1653" s="464" t="s">
        <v>1709</v>
      </c>
      <c r="E1653" s="464" t="s">
        <v>4825</v>
      </c>
      <c r="F1653" s="464" t="s">
        <v>4826</v>
      </c>
      <c r="G1653" s="464" t="s">
        <v>4711</v>
      </c>
      <c r="H1653" s="464" t="s">
        <v>4712</v>
      </c>
      <c r="I1653" s="464" t="s">
        <v>1684</v>
      </c>
    </row>
    <row r="1654" ht="15.95" customHeight="1">
      <c r="A1654" s="464" t="s">
        <v>4840</v>
      </c>
      <c r="B1654" s="464" t="s">
        <v>4841</v>
      </c>
      <c r="C1654" s="464"/>
      <c r="D1654" s="464" t="s">
        <v>1709</v>
      </c>
      <c r="E1654" s="464" t="s">
        <v>4825</v>
      </c>
      <c r="F1654" s="464" t="s">
        <v>4826</v>
      </c>
      <c r="G1654" s="464" t="s">
        <v>4711</v>
      </c>
      <c r="H1654" s="464" t="s">
        <v>4712</v>
      </c>
      <c r="I1654" s="464" t="s">
        <v>1684</v>
      </c>
    </row>
    <row r="1655" ht="15.95" customHeight="1">
      <c r="A1655" s="464" t="s">
        <v>4842</v>
      </c>
      <c r="B1655" s="464" t="s">
        <v>4843</v>
      </c>
      <c r="C1655" s="464"/>
      <c r="D1655" s="464" t="s">
        <v>1709</v>
      </c>
      <c r="E1655" s="464" t="s">
        <v>4825</v>
      </c>
      <c r="F1655" s="464" t="s">
        <v>4826</v>
      </c>
      <c r="G1655" s="464" t="s">
        <v>4711</v>
      </c>
      <c r="H1655" s="464" t="s">
        <v>4712</v>
      </c>
      <c r="I1655" s="464" t="s">
        <v>1684</v>
      </c>
    </row>
    <row r="1656" ht="15.95" customHeight="1">
      <c r="A1656" s="464" t="s">
        <v>4844</v>
      </c>
      <c r="B1656" s="464" t="s">
        <v>3167</v>
      </c>
      <c r="C1656" s="464"/>
      <c r="D1656" s="464" t="s">
        <v>1709</v>
      </c>
      <c r="E1656" s="464" t="s">
        <v>4825</v>
      </c>
      <c r="F1656" s="464" t="s">
        <v>4826</v>
      </c>
      <c r="G1656" s="464" t="s">
        <v>4711</v>
      </c>
      <c r="H1656" s="464" t="s">
        <v>4712</v>
      </c>
      <c r="I1656" s="464" t="s">
        <v>1684</v>
      </c>
    </row>
    <row r="1657" ht="15.95" customHeight="1">
      <c r="A1657" s="464" t="s">
        <v>4845</v>
      </c>
      <c r="B1657" s="464" t="s">
        <v>4846</v>
      </c>
      <c r="C1657" s="464"/>
      <c r="D1657" s="464" t="s">
        <v>1709</v>
      </c>
      <c r="E1657" s="464" t="s">
        <v>4825</v>
      </c>
      <c r="F1657" s="464" t="s">
        <v>4826</v>
      </c>
      <c r="G1657" s="464" t="s">
        <v>4711</v>
      </c>
      <c r="H1657" s="464" t="s">
        <v>4712</v>
      </c>
      <c r="I1657" s="464" t="s">
        <v>1684</v>
      </c>
    </row>
    <row r="1658" ht="15.95" customHeight="1">
      <c r="A1658" s="464" t="s">
        <v>4847</v>
      </c>
      <c r="B1658" s="464" t="s">
        <v>4848</v>
      </c>
      <c r="C1658" s="464"/>
      <c r="D1658" s="464" t="s">
        <v>1709</v>
      </c>
      <c r="E1658" s="464" t="s">
        <v>4825</v>
      </c>
      <c r="F1658" s="464" t="s">
        <v>4826</v>
      </c>
      <c r="G1658" s="464" t="s">
        <v>4711</v>
      </c>
      <c r="H1658" s="464" t="s">
        <v>4712</v>
      </c>
      <c r="I1658" s="464" t="s">
        <v>1684</v>
      </c>
    </row>
    <row r="1659" ht="15.95" customHeight="1">
      <c r="A1659" s="464" t="s">
        <v>4849</v>
      </c>
      <c r="B1659" s="464" t="s">
        <v>3497</v>
      </c>
      <c r="C1659" s="464"/>
      <c r="D1659" s="464" t="s">
        <v>1709</v>
      </c>
      <c r="E1659" s="464" t="s">
        <v>4825</v>
      </c>
      <c r="F1659" s="464" t="s">
        <v>4826</v>
      </c>
      <c r="G1659" s="464" t="s">
        <v>4711</v>
      </c>
      <c r="H1659" s="464" t="s">
        <v>4712</v>
      </c>
      <c r="I1659" s="464" t="s">
        <v>1684</v>
      </c>
    </row>
    <row r="1660" ht="15.95" customHeight="1">
      <c r="A1660" s="464" t="s">
        <v>4850</v>
      </c>
      <c r="B1660" s="464" t="s">
        <v>4851</v>
      </c>
      <c r="C1660" s="464"/>
      <c r="D1660" s="464" t="s">
        <v>1709</v>
      </c>
      <c r="E1660" s="464" t="s">
        <v>4825</v>
      </c>
      <c r="F1660" s="464" t="s">
        <v>4826</v>
      </c>
      <c r="G1660" s="464" t="s">
        <v>4711</v>
      </c>
      <c r="H1660" s="464" t="s">
        <v>4712</v>
      </c>
      <c r="I1660" s="464" t="s">
        <v>1684</v>
      </c>
    </row>
    <row r="1661" ht="15.95" customHeight="1">
      <c r="A1661" s="464" t="s">
        <v>4852</v>
      </c>
      <c r="B1661" s="464" t="s">
        <v>4190</v>
      </c>
      <c r="C1661" s="464"/>
      <c r="D1661" s="464" t="s">
        <v>1709</v>
      </c>
      <c r="E1661" s="464" t="s">
        <v>4825</v>
      </c>
      <c r="F1661" s="464" t="s">
        <v>4826</v>
      </c>
      <c r="G1661" s="464" t="s">
        <v>4711</v>
      </c>
      <c r="H1661" s="464" t="s">
        <v>4712</v>
      </c>
      <c r="I1661" s="464" t="s">
        <v>1684</v>
      </c>
    </row>
    <row r="1662" ht="15.95" customHeight="1">
      <c r="A1662" s="464" t="s">
        <v>4853</v>
      </c>
      <c r="B1662" s="464" t="s">
        <v>2205</v>
      </c>
      <c r="C1662" s="464"/>
      <c r="D1662" s="464" t="s">
        <v>1709</v>
      </c>
      <c r="E1662" s="464" t="s">
        <v>4825</v>
      </c>
      <c r="F1662" s="464" t="s">
        <v>4826</v>
      </c>
      <c r="G1662" s="464" t="s">
        <v>4711</v>
      </c>
      <c r="H1662" s="464" t="s">
        <v>4712</v>
      </c>
      <c r="I1662" s="464" t="s">
        <v>1684</v>
      </c>
    </row>
    <row r="1663" ht="15.95" customHeight="1">
      <c r="A1663" s="464" t="s">
        <v>4854</v>
      </c>
      <c r="B1663" s="464" t="s">
        <v>4855</v>
      </c>
      <c r="C1663" s="464"/>
      <c r="D1663" s="464" t="s">
        <v>1709</v>
      </c>
      <c r="E1663" s="464" t="s">
        <v>4825</v>
      </c>
      <c r="F1663" s="464" t="s">
        <v>4826</v>
      </c>
      <c r="G1663" s="464" t="s">
        <v>4711</v>
      </c>
      <c r="H1663" s="464" t="s">
        <v>4712</v>
      </c>
      <c r="I1663" s="464" t="s">
        <v>1684</v>
      </c>
    </row>
    <row r="1664" ht="15.95" customHeight="1">
      <c r="A1664" s="464" t="s">
        <v>4856</v>
      </c>
      <c r="B1664" s="464" t="s">
        <v>4857</v>
      </c>
      <c r="C1664" s="464"/>
      <c r="D1664" s="464" t="s">
        <v>1709</v>
      </c>
      <c r="E1664" s="464" t="s">
        <v>4825</v>
      </c>
      <c r="F1664" s="464" t="s">
        <v>4826</v>
      </c>
      <c r="G1664" s="464" t="s">
        <v>4711</v>
      </c>
      <c r="H1664" s="464" t="s">
        <v>4712</v>
      </c>
      <c r="I1664" s="464" t="s">
        <v>1684</v>
      </c>
    </row>
    <row r="1665" ht="15.95" customHeight="1">
      <c r="A1665" s="464" t="s">
        <v>4858</v>
      </c>
      <c r="B1665" s="464" t="s">
        <v>4859</v>
      </c>
      <c r="C1665" s="464"/>
      <c r="D1665" s="464" t="s">
        <v>1709</v>
      </c>
      <c r="E1665" s="464" t="s">
        <v>4825</v>
      </c>
      <c r="F1665" s="464" t="s">
        <v>4826</v>
      </c>
      <c r="G1665" s="464" t="s">
        <v>4711</v>
      </c>
      <c r="H1665" s="464" t="s">
        <v>4712</v>
      </c>
      <c r="I1665" s="464" t="s">
        <v>1684</v>
      </c>
    </row>
    <row r="1666" ht="15.95" customHeight="1">
      <c r="A1666" s="464" t="s">
        <v>4860</v>
      </c>
      <c r="B1666" s="464" t="s">
        <v>4861</v>
      </c>
      <c r="C1666" s="464"/>
      <c r="D1666" s="464" t="s">
        <v>1709</v>
      </c>
      <c r="E1666" s="464" t="s">
        <v>4825</v>
      </c>
      <c r="F1666" s="464" t="s">
        <v>4826</v>
      </c>
      <c r="G1666" s="464" t="s">
        <v>4711</v>
      </c>
      <c r="H1666" s="464" t="s">
        <v>4712</v>
      </c>
      <c r="I1666" s="464" t="s">
        <v>1684</v>
      </c>
    </row>
    <row r="1667" ht="15.95" customHeight="1">
      <c r="A1667" s="464" t="s">
        <v>4862</v>
      </c>
      <c r="B1667" s="464" t="s">
        <v>4863</v>
      </c>
      <c r="C1667" s="464"/>
      <c r="D1667" s="464" t="s">
        <v>1738</v>
      </c>
      <c r="E1667" s="464" t="s">
        <v>4864</v>
      </c>
      <c r="F1667" s="464" t="s">
        <v>4865</v>
      </c>
      <c r="G1667" s="464" t="s">
        <v>4711</v>
      </c>
      <c r="H1667" s="464" t="s">
        <v>4712</v>
      </c>
      <c r="I1667" s="464" t="s">
        <v>1684</v>
      </c>
    </row>
    <row r="1668" ht="15.95" customHeight="1">
      <c r="A1668" s="464" t="s">
        <v>4866</v>
      </c>
      <c r="B1668" s="464" t="s">
        <v>4588</v>
      </c>
      <c r="C1668" s="464"/>
      <c r="D1668" s="464" t="s">
        <v>1709</v>
      </c>
      <c r="E1668" s="464" t="s">
        <v>4864</v>
      </c>
      <c r="F1668" s="464" t="s">
        <v>4865</v>
      </c>
      <c r="G1668" s="464" t="s">
        <v>4711</v>
      </c>
      <c r="H1668" s="464" t="s">
        <v>4712</v>
      </c>
      <c r="I1668" s="464" t="s">
        <v>1684</v>
      </c>
    </row>
    <row r="1669" ht="15.95" customHeight="1">
      <c r="A1669" s="464" t="s">
        <v>4867</v>
      </c>
      <c r="B1669" s="464" t="s">
        <v>4319</v>
      </c>
      <c r="C1669" s="464"/>
      <c r="D1669" s="464" t="s">
        <v>1709</v>
      </c>
      <c r="E1669" s="464" t="s">
        <v>4864</v>
      </c>
      <c r="F1669" s="464" t="s">
        <v>4865</v>
      </c>
      <c r="G1669" s="464" t="s">
        <v>4711</v>
      </c>
      <c r="H1669" s="464" t="s">
        <v>4712</v>
      </c>
      <c r="I1669" s="464" t="s">
        <v>1684</v>
      </c>
    </row>
    <row r="1670" ht="15.95" customHeight="1">
      <c r="A1670" s="464" t="s">
        <v>4868</v>
      </c>
      <c r="B1670" s="464" t="s">
        <v>2888</v>
      </c>
      <c r="C1670" s="464"/>
      <c r="D1670" s="464" t="s">
        <v>1709</v>
      </c>
      <c r="E1670" s="464" t="s">
        <v>4864</v>
      </c>
      <c r="F1670" s="464" t="s">
        <v>4865</v>
      </c>
      <c r="G1670" s="464" t="s">
        <v>4711</v>
      </c>
      <c r="H1670" s="464" t="s">
        <v>4712</v>
      </c>
      <c r="I1670" s="464" t="s">
        <v>1684</v>
      </c>
    </row>
    <row r="1671" ht="15.95" customHeight="1">
      <c r="A1671" s="464" t="s">
        <v>4869</v>
      </c>
      <c r="B1671" s="464" t="s">
        <v>4870</v>
      </c>
      <c r="C1671" s="464"/>
      <c r="D1671" s="464" t="s">
        <v>1709</v>
      </c>
      <c r="E1671" s="464" t="s">
        <v>4864</v>
      </c>
      <c r="F1671" s="464" t="s">
        <v>4865</v>
      </c>
      <c r="G1671" s="464" t="s">
        <v>4711</v>
      </c>
      <c r="H1671" s="464" t="s">
        <v>4712</v>
      </c>
      <c r="I1671" s="464" t="s">
        <v>1684</v>
      </c>
    </row>
    <row r="1672" ht="15.95" customHeight="1">
      <c r="A1672" s="464" t="s">
        <v>4871</v>
      </c>
      <c r="B1672" s="464" t="s">
        <v>4872</v>
      </c>
      <c r="C1672" s="464"/>
      <c r="D1672" s="464" t="s">
        <v>1709</v>
      </c>
      <c r="E1672" s="464" t="s">
        <v>4864</v>
      </c>
      <c r="F1672" s="464" t="s">
        <v>4865</v>
      </c>
      <c r="G1672" s="464" t="s">
        <v>4711</v>
      </c>
      <c r="H1672" s="464" t="s">
        <v>4712</v>
      </c>
      <c r="I1672" s="464" t="s">
        <v>1684</v>
      </c>
    </row>
    <row r="1673" ht="15.95" customHeight="1">
      <c r="A1673" s="464" t="s">
        <v>4873</v>
      </c>
      <c r="B1673" s="464" t="s">
        <v>4874</v>
      </c>
      <c r="C1673" s="464"/>
      <c r="D1673" s="464" t="s">
        <v>1709</v>
      </c>
      <c r="E1673" s="464" t="s">
        <v>4864</v>
      </c>
      <c r="F1673" s="464" t="s">
        <v>4865</v>
      </c>
      <c r="G1673" s="464" t="s">
        <v>4711</v>
      </c>
      <c r="H1673" s="464" t="s">
        <v>4712</v>
      </c>
      <c r="I1673" s="464" t="s">
        <v>1684</v>
      </c>
    </row>
    <row r="1674" ht="15.95" customHeight="1">
      <c r="A1674" s="464" t="s">
        <v>4875</v>
      </c>
      <c r="B1674" s="464" t="s">
        <v>4876</v>
      </c>
      <c r="C1674" s="464"/>
      <c r="D1674" s="464" t="s">
        <v>1709</v>
      </c>
      <c r="E1674" s="464" t="s">
        <v>4864</v>
      </c>
      <c r="F1674" s="464" t="s">
        <v>4865</v>
      </c>
      <c r="G1674" s="464" t="s">
        <v>4711</v>
      </c>
      <c r="H1674" s="464" t="s">
        <v>4712</v>
      </c>
      <c r="I1674" s="464" t="s">
        <v>1684</v>
      </c>
    </row>
    <row r="1675" ht="15.95" customHeight="1">
      <c r="A1675" s="464" t="s">
        <v>4877</v>
      </c>
      <c r="B1675" s="464" t="s">
        <v>4878</v>
      </c>
      <c r="C1675" s="464"/>
      <c r="D1675" s="464" t="s">
        <v>1709</v>
      </c>
      <c r="E1675" s="464" t="s">
        <v>4864</v>
      </c>
      <c r="F1675" s="464" t="s">
        <v>4865</v>
      </c>
      <c r="G1675" s="464" t="s">
        <v>4711</v>
      </c>
      <c r="H1675" s="464" t="s">
        <v>4712</v>
      </c>
      <c r="I1675" s="464" t="s">
        <v>1684</v>
      </c>
    </row>
    <row r="1676" ht="15.95" customHeight="1">
      <c r="A1676" s="464" t="s">
        <v>4879</v>
      </c>
      <c r="B1676" s="464" t="s">
        <v>2489</v>
      </c>
      <c r="C1676" s="464"/>
      <c r="D1676" s="464" t="s">
        <v>1709</v>
      </c>
      <c r="E1676" s="464" t="s">
        <v>4864</v>
      </c>
      <c r="F1676" s="464" t="s">
        <v>4865</v>
      </c>
      <c r="G1676" s="464" t="s">
        <v>4711</v>
      </c>
      <c r="H1676" s="464" t="s">
        <v>4712</v>
      </c>
      <c r="I1676" s="464" t="s">
        <v>1684</v>
      </c>
    </row>
    <row r="1677" ht="15.95" customHeight="1">
      <c r="A1677" s="464" t="s">
        <v>4880</v>
      </c>
      <c r="B1677" s="464" t="s">
        <v>4881</v>
      </c>
      <c r="C1677" s="464"/>
      <c r="D1677" s="464" t="s">
        <v>1709</v>
      </c>
      <c r="E1677" s="464" t="s">
        <v>4864</v>
      </c>
      <c r="F1677" s="464" t="s">
        <v>4865</v>
      </c>
      <c r="G1677" s="464" t="s">
        <v>4711</v>
      </c>
      <c r="H1677" s="464" t="s">
        <v>4712</v>
      </c>
      <c r="I1677" s="464" t="s">
        <v>1684</v>
      </c>
    </row>
    <row r="1678" ht="15.95" customHeight="1">
      <c r="A1678" s="464" t="s">
        <v>4882</v>
      </c>
      <c r="B1678" s="464" t="s">
        <v>4883</v>
      </c>
      <c r="C1678" s="464"/>
      <c r="D1678" s="464" t="s">
        <v>1709</v>
      </c>
      <c r="E1678" s="464" t="s">
        <v>4864</v>
      </c>
      <c r="F1678" s="464" t="s">
        <v>4865</v>
      </c>
      <c r="G1678" s="464" t="s">
        <v>4711</v>
      </c>
      <c r="H1678" s="464" t="s">
        <v>4712</v>
      </c>
      <c r="I1678" s="464" t="s">
        <v>1684</v>
      </c>
    </row>
    <row r="1679" ht="15.95" customHeight="1">
      <c r="A1679" s="464" t="s">
        <v>4884</v>
      </c>
      <c r="B1679" s="464" t="s">
        <v>4885</v>
      </c>
      <c r="C1679" s="464"/>
      <c r="D1679" s="464" t="s">
        <v>1709</v>
      </c>
      <c r="E1679" s="464" t="s">
        <v>4864</v>
      </c>
      <c r="F1679" s="464" t="s">
        <v>4865</v>
      </c>
      <c r="G1679" s="464" t="s">
        <v>4711</v>
      </c>
      <c r="H1679" s="464" t="s">
        <v>4712</v>
      </c>
      <c r="I1679" s="464" t="s">
        <v>1684</v>
      </c>
    </row>
    <row r="1680" ht="15.95" customHeight="1">
      <c r="A1680" s="464" t="s">
        <v>4886</v>
      </c>
      <c r="B1680" s="464" t="s">
        <v>4887</v>
      </c>
      <c r="C1680" s="464"/>
      <c r="D1680" s="464" t="s">
        <v>1709</v>
      </c>
      <c r="E1680" s="464" t="s">
        <v>4864</v>
      </c>
      <c r="F1680" s="464" t="s">
        <v>4865</v>
      </c>
      <c r="G1680" s="464" t="s">
        <v>4711</v>
      </c>
      <c r="H1680" s="464" t="s">
        <v>4712</v>
      </c>
      <c r="I1680" s="464" t="s">
        <v>1684</v>
      </c>
    </row>
    <row r="1681" ht="15.95" customHeight="1">
      <c r="A1681" s="464" t="s">
        <v>4888</v>
      </c>
      <c r="B1681" s="464" t="s">
        <v>2469</v>
      </c>
      <c r="C1681" s="464"/>
      <c r="D1681" s="464" t="s">
        <v>1709</v>
      </c>
      <c r="E1681" s="464" t="s">
        <v>4864</v>
      </c>
      <c r="F1681" s="464" t="s">
        <v>4865</v>
      </c>
      <c r="G1681" s="464" t="s">
        <v>4711</v>
      </c>
      <c r="H1681" s="464" t="s">
        <v>4712</v>
      </c>
      <c r="I1681" s="464" t="s">
        <v>1684</v>
      </c>
    </row>
    <row r="1682" ht="15.95" customHeight="1">
      <c r="A1682" s="464" t="s">
        <v>4889</v>
      </c>
      <c r="B1682" s="464" t="s">
        <v>4062</v>
      </c>
      <c r="C1682" s="464"/>
      <c r="D1682" s="464" t="s">
        <v>1709</v>
      </c>
      <c r="E1682" s="464" t="s">
        <v>4864</v>
      </c>
      <c r="F1682" s="464" t="s">
        <v>4865</v>
      </c>
      <c r="G1682" s="464" t="s">
        <v>4711</v>
      </c>
      <c r="H1682" s="464" t="s">
        <v>4712</v>
      </c>
      <c r="I1682" s="464" t="s">
        <v>1684</v>
      </c>
    </row>
    <row r="1683" ht="15.95" customHeight="1">
      <c r="A1683" s="464" t="s">
        <v>4890</v>
      </c>
      <c r="B1683" s="464" t="s">
        <v>4891</v>
      </c>
      <c r="C1683" s="464"/>
      <c r="D1683" s="464" t="s">
        <v>1709</v>
      </c>
      <c r="E1683" s="464" t="s">
        <v>4864</v>
      </c>
      <c r="F1683" s="464" t="s">
        <v>4865</v>
      </c>
      <c r="G1683" s="464" t="s">
        <v>4711</v>
      </c>
      <c r="H1683" s="464" t="s">
        <v>4712</v>
      </c>
      <c r="I1683" s="464" t="s">
        <v>1684</v>
      </c>
    </row>
    <row r="1684" ht="15.95" customHeight="1">
      <c r="A1684" s="464" t="s">
        <v>4892</v>
      </c>
      <c r="B1684" s="464" t="s">
        <v>3270</v>
      </c>
      <c r="C1684" s="464"/>
      <c r="D1684" s="464" t="s">
        <v>1709</v>
      </c>
      <c r="E1684" s="464" t="s">
        <v>4864</v>
      </c>
      <c r="F1684" s="464" t="s">
        <v>4865</v>
      </c>
      <c r="G1684" s="464" t="s">
        <v>4711</v>
      </c>
      <c r="H1684" s="464" t="s">
        <v>4712</v>
      </c>
      <c r="I1684" s="464" t="s">
        <v>1684</v>
      </c>
    </row>
    <row r="1685" ht="15.95" customHeight="1">
      <c r="A1685" s="464" t="s">
        <v>4893</v>
      </c>
      <c r="B1685" s="464" t="s">
        <v>4163</v>
      </c>
      <c r="C1685" s="464"/>
      <c r="D1685" s="464" t="s">
        <v>1709</v>
      </c>
      <c r="E1685" s="464" t="s">
        <v>4864</v>
      </c>
      <c r="F1685" s="464" t="s">
        <v>4865</v>
      </c>
      <c r="G1685" s="464" t="s">
        <v>4711</v>
      </c>
      <c r="H1685" s="464" t="s">
        <v>4712</v>
      </c>
      <c r="I1685" s="464" t="s">
        <v>1684</v>
      </c>
    </row>
    <row r="1686" ht="15.95" customHeight="1">
      <c r="A1686" s="464" t="s">
        <v>4894</v>
      </c>
      <c r="B1686" s="464" t="s">
        <v>4895</v>
      </c>
      <c r="C1686" s="464"/>
      <c r="D1686" s="464" t="s">
        <v>1709</v>
      </c>
      <c r="E1686" s="464" t="s">
        <v>4864</v>
      </c>
      <c r="F1686" s="464" t="s">
        <v>4865</v>
      </c>
      <c r="G1686" s="464" t="s">
        <v>4711</v>
      </c>
      <c r="H1686" s="464" t="s">
        <v>4712</v>
      </c>
      <c r="I1686" s="464" t="s">
        <v>1684</v>
      </c>
    </row>
    <row r="1687" ht="15.95" customHeight="1">
      <c r="A1687" s="464" t="s">
        <v>4896</v>
      </c>
      <c r="B1687" s="464" t="s">
        <v>4897</v>
      </c>
      <c r="C1687" s="464"/>
      <c r="D1687" s="464" t="s">
        <v>1738</v>
      </c>
      <c r="E1687" s="464" t="s">
        <v>4898</v>
      </c>
      <c r="F1687" s="464" t="s">
        <v>4899</v>
      </c>
      <c r="G1687" s="464" t="s">
        <v>4711</v>
      </c>
      <c r="H1687" s="464" t="s">
        <v>4712</v>
      </c>
      <c r="I1687" s="464" t="s">
        <v>1684</v>
      </c>
    </row>
    <row r="1688" ht="15.95" customHeight="1">
      <c r="A1688" s="464" t="s">
        <v>4900</v>
      </c>
      <c r="B1688" s="464" t="s">
        <v>3021</v>
      </c>
      <c r="C1688" s="464"/>
      <c r="D1688" s="464" t="s">
        <v>1709</v>
      </c>
      <c r="E1688" s="464" t="s">
        <v>4898</v>
      </c>
      <c r="F1688" s="464" t="s">
        <v>4899</v>
      </c>
      <c r="G1688" s="464" t="s">
        <v>4711</v>
      </c>
      <c r="H1688" s="464" t="s">
        <v>4712</v>
      </c>
      <c r="I1688" s="464" t="s">
        <v>1684</v>
      </c>
    </row>
    <row r="1689" ht="15.95" customHeight="1">
      <c r="A1689" s="464" t="s">
        <v>4901</v>
      </c>
      <c r="B1689" s="464" t="s">
        <v>4902</v>
      </c>
      <c r="C1689" s="464"/>
      <c r="D1689" s="464" t="s">
        <v>1709</v>
      </c>
      <c r="E1689" s="464" t="s">
        <v>4898</v>
      </c>
      <c r="F1689" s="464" t="s">
        <v>4899</v>
      </c>
      <c r="G1689" s="464" t="s">
        <v>4711</v>
      </c>
      <c r="H1689" s="464" t="s">
        <v>4712</v>
      </c>
      <c r="I1689" s="464" t="s">
        <v>1684</v>
      </c>
    </row>
    <row r="1690" ht="15.95" customHeight="1">
      <c r="A1690" s="464" t="s">
        <v>4903</v>
      </c>
      <c r="B1690" s="464" t="s">
        <v>2089</v>
      </c>
      <c r="C1690" s="464"/>
      <c r="D1690" s="464" t="s">
        <v>1709</v>
      </c>
      <c r="E1690" s="464" t="s">
        <v>4898</v>
      </c>
      <c r="F1690" s="464" t="s">
        <v>4899</v>
      </c>
      <c r="G1690" s="464" t="s">
        <v>4711</v>
      </c>
      <c r="H1690" s="464" t="s">
        <v>4712</v>
      </c>
      <c r="I1690" s="464" t="s">
        <v>1684</v>
      </c>
    </row>
    <row r="1691" ht="15.95" customHeight="1">
      <c r="A1691" s="464" t="s">
        <v>4904</v>
      </c>
      <c r="B1691" s="464" t="s">
        <v>4905</v>
      </c>
      <c r="C1691" s="464"/>
      <c r="D1691" s="464" t="s">
        <v>1709</v>
      </c>
      <c r="E1691" s="464" t="s">
        <v>4898</v>
      </c>
      <c r="F1691" s="464" t="s">
        <v>4899</v>
      </c>
      <c r="G1691" s="464" t="s">
        <v>4711</v>
      </c>
      <c r="H1691" s="464" t="s">
        <v>4712</v>
      </c>
      <c r="I1691" s="464" t="s">
        <v>1684</v>
      </c>
    </row>
    <row r="1692" ht="15.95" customHeight="1">
      <c r="A1692" s="464" t="s">
        <v>4906</v>
      </c>
      <c r="B1692" s="464" t="s">
        <v>4907</v>
      </c>
      <c r="C1692" s="464"/>
      <c r="D1692" s="464" t="s">
        <v>1709</v>
      </c>
      <c r="E1692" s="464" t="s">
        <v>4898</v>
      </c>
      <c r="F1692" s="464" t="s">
        <v>4899</v>
      </c>
      <c r="G1692" s="464" t="s">
        <v>4711</v>
      </c>
      <c r="H1692" s="464" t="s">
        <v>4712</v>
      </c>
      <c r="I1692" s="464" t="s">
        <v>1684</v>
      </c>
    </row>
    <row r="1693" ht="15.95" customHeight="1">
      <c r="A1693" s="464" t="s">
        <v>4908</v>
      </c>
      <c r="B1693" s="464" t="s">
        <v>4909</v>
      </c>
      <c r="C1693" s="464"/>
      <c r="D1693" s="464" t="s">
        <v>1709</v>
      </c>
      <c r="E1693" s="464" t="s">
        <v>4898</v>
      </c>
      <c r="F1693" s="464" t="s">
        <v>4899</v>
      </c>
      <c r="G1693" s="464" t="s">
        <v>4711</v>
      </c>
      <c r="H1693" s="464" t="s">
        <v>4712</v>
      </c>
      <c r="I1693" s="464" t="s">
        <v>1684</v>
      </c>
    </row>
    <row r="1694" ht="15.95" customHeight="1">
      <c r="A1694" s="464" t="s">
        <v>4910</v>
      </c>
      <c r="B1694" s="464" t="s">
        <v>1990</v>
      </c>
      <c r="C1694" s="464"/>
      <c r="D1694" s="464" t="s">
        <v>1709</v>
      </c>
      <c r="E1694" s="464" t="s">
        <v>4898</v>
      </c>
      <c r="F1694" s="464" t="s">
        <v>4899</v>
      </c>
      <c r="G1694" s="464" t="s">
        <v>4711</v>
      </c>
      <c r="H1694" s="464" t="s">
        <v>4712</v>
      </c>
      <c r="I1694" s="464" t="s">
        <v>1684</v>
      </c>
    </row>
    <row r="1695" ht="15.95" customHeight="1">
      <c r="A1695" s="464" t="s">
        <v>4911</v>
      </c>
      <c r="B1695" s="464" t="s">
        <v>4912</v>
      </c>
      <c r="C1695" s="464"/>
      <c r="D1695" s="464" t="s">
        <v>1709</v>
      </c>
      <c r="E1695" s="464" t="s">
        <v>4898</v>
      </c>
      <c r="F1695" s="464" t="s">
        <v>4899</v>
      </c>
      <c r="G1695" s="464" t="s">
        <v>4711</v>
      </c>
      <c r="H1695" s="464" t="s">
        <v>4712</v>
      </c>
      <c r="I1695" s="464" t="s">
        <v>1684</v>
      </c>
    </row>
    <row r="1696" ht="15.95" customHeight="1">
      <c r="A1696" s="464" t="s">
        <v>4913</v>
      </c>
      <c r="B1696" s="464" t="s">
        <v>4333</v>
      </c>
      <c r="C1696" s="464"/>
      <c r="D1696" s="464" t="s">
        <v>1709</v>
      </c>
      <c r="E1696" s="464" t="s">
        <v>4898</v>
      </c>
      <c r="F1696" s="464" t="s">
        <v>4899</v>
      </c>
      <c r="G1696" s="464" t="s">
        <v>4711</v>
      </c>
      <c r="H1696" s="464" t="s">
        <v>4712</v>
      </c>
      <c r="I1696" s="464" t="s">
        <v>1684</v>
      </c>
    </row>
    <row r="1697" ht="15.95" customHeight="1">
      <c r="A1697" s="464" t="s">
        <v>4914</v>
      </c>
      <c r="B1697" s="464" t="s">
        <v>4915</v>
      </c>
      <c r="C1697" s="464"/>
      <c r="D1697" s="464" t="s">
        <v>1709</v>
      </c>
      <c r="E1697" s="464" t="s">
        <v>4898</v>
      </c>
      <c r="F1697" s="464" t="s">
        <v>4899</v>
      </c>
      <c r="G1697" s="464" t="s">
        <v>4711</v>
      </c>
      <c r="H1697" s="464" t="s">
        <v>4712</v>
      </c>
      <c r="I1697" s="464" t="s">
        <v>1684</v>
      </c>
    </row>
    <row r="1698" ht="15.95" customHeight="1">
      <c r="A1698" s="464" t="s">
        <v>4916</v>
      </c>
      <c r="B1698" s="464" t="s">
        <v>4917</v>
      </c>
      <c r="C1698" s="464"/>
      <c r="D1698" s="464" t="s">
        <v>1709</v>
      </c>
      <c r="E1698" s="464" t="s">
        <v>4898</v>
      </c>
      <c r="F1698" s="464" t="s">
        <v>4899</v>
      </c>
      <c r="G1698" s="464" t="s">
        <v>4711</v>
      </c>
      <c r="H1698" s="464" t="s">
        <v>4712</v>
      </c>
      <c r="I1698" s="464" t="s">
        <v>1684</v>
      </c>
    </row>
    <row r="1699" ht="15.95" customHeight="1">
      <c r="A1699" s="464" t="s">
        <v>4918</v>
      </c>
      <c r="B1699" s="464" t="s">
        <v>4919</v>
      </c>
      <c r="C1699" s="464"/>
      <c r="D1699" s="464" t="s">
        <v>1709</v>
      </c>
      <c r="E1699" s="464" t="s">
        <v>4898</v>
      </c>
      <c r="F1699" s="464" t="s">
        <v>4899</v>
      </c>
      <c r="G1699" s="464" t="s">
        <v>4711</v>
      </c>
      <c r="H1699" s="464" t="s">
        <v>4712</v>
      </c>
      <c r="I1699" s="464" t="s">
        <v>1684</v>
      </c>
    </row>
    <row r="1700" ht="15.95" customHeight="1">
      <c r="A1700" s="464" t="s">
        <v>4920</v>
      </c>
      <c r="B1700" s="464" t="s">
        <v>4921</v>
      </c>
      <c r="C1700" s="464"/>
      <c r="D1700" s="464" t="s">
        <v>1709</v>
      </c>
      <c r="E1700" s="464" t="s">
        <v>4898</v>
      </c>
      <c r="F1700" s="464" t="s">
        <v>4899</v>
      </c>
      <c r="G1700" s="464" t="s">
        <v>4711</v>
      </c>
      <c r="H1700" s="464" t="s">
        <v>4712</v>
      </c>
      <c r="I1700" s="464" t="s">
        <v>1684</v>
      </c>
    </row>
    <row r="1701" ht="15.95" customHeight="1">
      <c r="A1701" s="464" t="s">
        <v>4922</v>
      </c>
      <c r="B1701" s="464" t="s">
        <v>2296</v>
      </c>
      <c r="C1701" s="464"/>
      <c r="D1701" s="464" t="s">
        <v>1709</v>
      </c>
      <c r="E1701" s="464" t="s">
        <v>4898</v>
      </c>
      <c r="F1701" s="464" t="s">
        <v>4899</v>
      </c>
      <c r="G1701" s="464" t="s">
        <v>4711</v>
      </c>
      <c r="H1701" s="464" t="s">
        <v>4712</v>
      </c>
      <c r="I1701" s="464" t="s">
        <v>1684</v>
      </c>
    </row>
    <row r="1702" ht="15.95" customHeight="1">
      <c r="A1702" s="464" t="s">
        <v>4923</v>
      </c>
      <c r="B1702" s="464" t="s">
        <v>2532</v>
      </c>
      <c r="C1702" s="464"/>
      <c r="D1702" s="464" t="s">
        <v>1709</v>
      </c>
      <c r="E1702" s="464" t="s">
        <v>4898</v>
      </c>
      <c r="F1702" s="464" t="s">
        <v>4899</v>
      </c>
      <c r="G1702" s="464" t="s">
        <v>4711</v>
      </c>
      <c r="H1702" s="464" t="s">
        <v>4712</v>
      </c>
      <c r="I1702" s="464" t="s">
        <v>1684</v>
      </c>
    </row>
    <row r="1703" ht="15.95" customHeight="1">
      <c r="A1703" s="464" t="s">
        <v>4924</v>
      </c>
      <c r="B1703" s="464" t="s">
        <v>4925</v>
      </c>
      <c r="C1703" s="464"/>
      <c r="D1703" s="464" t="s">
        <v>1709</v>
      </c>
      <c r="E1703" s="464" t="s">
        <v>4898</v>
      </c>
      <c r="F1703" s="464" t="s">
        <v>4899</v>
      </c>
      <c r="G1703" s="464" t="s">
        <v>4711</v>
      </c>
      <c r="H1703" s="464" t="s">
        <v>4712</v>
      </c>
      <c r="I1703" s="464" t="s">
        <v>1684</v>
      </c>
    </row>
    <row r="1704" ht="15.95" customHeight="1">
      <c r="A1704" s="464" t="s">
        <v>4926</v>
      </c>
      <c r="B1704" s="464" t="s">
        <v>4766</v>
      </c>
      <c r="C1704" s="464"/>
      <c r="D1704" s="464" t="s">
        <v>1709</v>
      </c>
      <c r="E1704" s="464" t="s">
        <v>4898</v>
      </c>
      <c r="F1704" s="464" t="s">
        <v>4899</v>
      </c>
      <c r="G1704" s="464" t="s">
        <v>4711</v>
      </c>
      <c r="H1704" s="464" t="s">
        <v>4712</v>
      </c>
      <c r="I1704" s="464" t="s">
        <v>1684</v>
      </c>
    </row>
    <row r="1705" ht="15.95" customHeight="1">
      <c r="A1705" s="464" t="s">
        <v>4927</v>
      </c>
      <c r="B1705" s="464" t="s">
        <v>2937</v>
      </c>
      <c r="C1705" s="464"/>
      <c r="D1705" s="464" t="s">
        <v>1709</v>
      </c>
      <c r="E1705" s="464" t="s">
        <v>4898</v>
      </c>
      <c r="F1705" s="464" t="s">
        <v>4899</v>
      </c>
      <c r="G1705" s="464" t="s">
        <v>4711</v>
      </c>
      <c r="H1705" s="464" t="s">
        <v>4712</v>
      </c>
      <c r="I1705" s="464" t="s">
        <v>1684</v>
      </c>
    </row>
    <row r="1706" ht="15.95" customHeight="1">
      <c r="A1706" s="464" t="s">
        <v>4928</v>
      </c>
      <c r="B1706" s="464" t="s">
        <v>4929</v>
      </c>
      <c r="C1706" s="464"/>
      <c r="D1706" s="464" t="s">
        <v>1709</v>
      </c>
      <c r="E1706" s="464" t="s">
        <v>4898</v>
      </c>
      <c r="F1706" s="464" t="s">
        <v>4899</v>
      </c>
      <c r="G1706" s="464" t="s">
        <v>4711</v>
      </c>
      <c r="H1706" s="464" t="s">
        <v>4712</v>
      </c>
      <c r="I1706" s="464" t="s">
        <v>1684</v>
      </c>
    </row>
    <row r="1707" ht="15.95" customHeight="1">
      <c r="A1707" s="464" t="s">
        <v>4930</v>
      </c>
      <c r="B1707" s="464" t="s">
        <v>4931</v>
      </c>
      <c r="C1707" s="464"/>
      <c r="D1707" s="464" t="s">
        <v>1709</v>
      </c>
      <c r="E1707" s="464" t="s">
        <v>4898</v>
      </c>
      <c r="F1707" s="464" t="s">
        <v>4899</v>
      </c>
      <c r="G1707" s="464" t="s">
        <v>4711</v>
      </c>
      <c r="H1707" s="464" t="s">
        <v>4712</v>
      </c>
      <c r="I1707" s="464" t="s">
        <v>1684</v>
      </c>
    </row>
    <row r="1708" ht="15.95" customHeight="1">
      <c r="A1708" s="464" t="s">
        <v>4932</v>
      </c>
      <c r="B1708" s="464" t="s">
        <v>4933</v>
      </c>
      <c r="C1708" s="464"/>
      <c r="D1708" s="464" t="s">
        <v>1709</v>
      </c>
      <c r="E1708" s="464" t="s">
        <v>4898</v>
      </c>
      <c r="F1708" s="464" t="s">
        <v>4899</v>
      </c>
      <c r="G1708" s="464" t="s">
        <v>4711</v>
      </c>
      <c r="H1708" s="464" t="s">
        <v>4712</v>
      </c>
      <c r="I1708" s="464" t="s">
        <v>1684</v>
      </c>
    </row>
    <row r="1709" ht="15.95" customHeight="1">
      <c r="A1709" s="464" t="s">
        <v>4934</v>
      </c>
      <c r="B1709" s="464" t="s">
        <v>4935</v>
      </c>
      <c r="C1709" s="464"/>
      <c r="D1709" s="464" t="s">
        <v>1709</v>
      </c>
      <c r="E1709" s="464" t="s">
        <v>4898</v>
      </c>
      <c r="F1709" s="464" t="s">
        <v>4899</v>
      </c>
      <c r="G1709" s="464" t="s">
        <v>4711</v>
      </c>
      <c r="H1709" s="464" t="s">
        <v>4712</v>
      </c>
      <c r="I1709" s="464" t="s">
        <v>1684</v>
      </c>
    </row>
    <row r="1710" ht="15.95" customHeight="1">
      <c r="A1710" s="464" t="s">
        <v>4936</v>
      </c>
      <c r="B1710" s="464" t="s">
        <v>4937</v>
      </c>
      <c r="C1710" s="464"/>
      <c r="D1710" s="464" t="s">
        <v>1709</v>
      </c>
      <c r="E1710" s="464" t="s">
        <v>4898</v>
      </c>
      <c r="F1710" s="464" t="s">
        <v>4899</v>
      </c>
      <c r="G1710" s="464" t="s">
        <v>4711</v>
      </c>
      <c r="H1710" s="464" t="s">
        <v>4712</v>
      </c>
      <c r="I1710" s="464" t="s">
        <v>1684</v>
      </c>
    </row>
    <row r="1711" ht="15.95" customHeight="1">
      <c r="A1711" s="464" t="s">
        <v>4938</v>
      </c>
      <c r="B1711" s="464" t="s">
        <v>4939</v>
      </c>
      <c r="C1711" s="464"/>
      <c r="D1711" s="464" t="s">
        <v>1738</v>
      </c>
      <c r="E1711" s="464" t="s">
        <v>4940</v>
      </c>
      <c r="F1711" s="464" t="s">
        <v>4941</v>
      </c>
      <c r="G1711" s="464" t="s">
        <v>4711</v>
      </c>
      <c r="H1711" s="464" t="s">
        <v>4712</v>
      </c>
      <c r="I1711" s="464" t="s">
        <v>1684</v>
      </c>
    </row>
    <row r="1712" ht="15.95" customHeight="1">
      <c r="A1712" s="464" t="s">
        <v>4942</v>
      </c>
      <c r="B1712" s="464" t="s">
        <v>4943</v>
      </c>
      <c r="C1712" s="464"/>
      <c r="D1712" s="464" t="s">
        <v>1709</v>
      </c>
      <c r="E1712" s="464" t="s">
        <v>4940</v>
      </c>
      <c r="F1712" s="464" t="s">
        <v>4941</v>
      </c>
      <c r="G1712" s="464" t="s">
        <v>4711</v>
      </c>
      <c r="H1712" s="464" t="s">
        <v>4712</v>
      </c>
      <c r="I1712" s="464" t="s">
        <v>1684</v>
      </c>
    </row>
    <row r="1713" ht="15.95" customHeight="1">
      <c r="A1713" s="464" t="s">
        <v>4944</v>
      </c>
      <c r="B1713" s="464" t="s">
        <v>4945</v>
      </c>
      <c r="C1713" s="464"/>
      <c r="D1713" s="464" t="s">
        <v>1709</v>
      </c>
      <c r="E1713" s="464" t="s">
        <v>4940</v>
      </c>
      <c r="F1713" s="464" t="s">
        <v>4941</v>
      </c>
      <c r="G1713" s="464" t="s">
        <v>4711</v>
      </c>
      <c r="H1713" s="464" t="s">
        <v>4712</v>
      </c>
      <c r="I1713" s="464" t="s">
        <v>1684</v>
      </c>
    </row>
    <row r="1714" ht="15.95" customHeight="1">
      <c r="A1714" s="464" t="s">
        <v>4946</v>
      </c>
      <c r="B1714" s="464" t="s">
        <v>4947</v>
      </c>
      <c r="C1714" s="464"/>
      <c r="D1714" s="464" t="s">
        <v>1709</v>
      </c>
      <c r="E1714" s="464" t="s">
        <v>4940</v>
      </c>
      <c r="F1714" s="464" t="s">
        <v>4941</v>
      </c>
      <c r="G1714" s="464" t="s">
        <v>4711</v>
      </c>
      <c r="H1714" s="464" t="s">
        <v>4712</v>
      </c>
      <c r="I1714" s="464" t="s">
        <v>1684</v>
      </c>
    </row>
    <row r="1715" ht="15.95" customHeight="1">
      <c r="A1715" s="464" t="s">
        <v>4948</v>
      </c>
      <c r="B1715" s="464" t="s">
        <v>2674</v>
      </c>
      <c r="C1715" s="464"/>
      <c r="D1715" s="464" t="s">
        <v>1709</v>
      </c>
      <c r="E1715" s="464" t="s">
        <v>4940</v>
      </c>
      <c r="F1715" s="464" t="s">
        <v>4941</v>
      </c>
      <c r="G1715" s="464" t="s">
        <v>4711</v>
      </c>
      <c r="H1715" s="464" t="s">
        <v>4712</v>
      </c>
      <c r="I1715" s="464" t="s">
        <v>1684</v>
      </c>
    </row>
    <row r="1716" ht="15.95" customHeight="1">
      <c r="A1716" s="464" t="s">
        <v>4949</v>
      </c>
      <c r="B1716" s="464" t="s">
        <v>4950</v>
      </c>
      <c r="C1716" s="464"/>
      <c r="D1716" s="464" t="s">
        <v>1709</v>
      </c>
      <c r="E1716" s="464" t="s">
        <v>4940</v>
      </c>
      <c r="F1716" s="464" t="s">
        <v>4941</v>
      </c>
      <c r="G1716" s="464" t="s">
        <v>4711</v>
      </c>
      <c r="H1716" s="464" t="s">
        <v>4712</v>
      </c>
      <c r="I1716" s="464" t="s">
        <v>1684</v>
      </c>
    </row>
    <row r="1717" ht="15.95" customHeight="1">
      <c r="A1717" s="464" t="s">
        <v>4951</v>
      </c>
      <c r="B1717" s="464" t="s">
        <v>2807</v>
      </c>
      <c r="C1717" s="464"/>
      <c r="D1717" s="464" t="s">
        <v>1709</v>
      </c>
      <c r="E1717" s="464" t="s">
        <v>4940</v>
      </c>
      <c r="F1717" s="464" t="s">
        <v>4941</v>
      </c>
      <c r="G1717" s="464" t="s">
        <v>4711</v>
      </c>
      <c r="H1717" s="464" t="s">
        <v>4712</v>
      </c>
      <c r="I1717" s="464" t="s">
        <v>1684</v>
      </c>
    </row>
    <row r="1718" ht="15.95" customHeight="1">
      <c r="A1718" s="464" t="s">
        <v>4952</v>
      </c>
      <c r="B1718" s="464" t="s">
        <v>4953</v>
      </c>
      <c r="C1718" s="464"/>
      <c r="D1718" s="464" t="s">
        <v>1709</v>
      </c>
      <c r="E1718" s="464" t="s">
        <v>4940</v>
      </c>
      <c r="F1718" s="464" t="s">
        <v>4941</v>
      </c>
      <c r="G1718" s="464" t="s">
        <v>4711</v>
      </c>
      <c r="H1718" s="464" t="s">
        <v>4712</v>
      </c>
      <c r="I1718" s="464" t="s">
        <v>1684</v>
      </c>
    </row>
    <row r="1719" ht="15.95" customHeight="1">
      <c r="A1719" s="464" t="s">
        <v>4954</v>
      </c>
      <c r="B1719" s="464" t="s">
        <v>4955</v>
      </c>
      <c r="C1719" s="464"/>
      <c r="D1719" s="464" t="s">
        <v>1709</v>
      </c>
      <c r="E1719" s="464" t="s">
        <v>4940</v>
      </c>
      <c r="F1719" s="464" t="s">
        <v>4941</v>
      </c>
      <c r="G1719" s="464" t="s">
        <v>4711</v>
      </c>
      <c r="H1719" s="464" t="s">
        <v>4712</v>
      </c>
      <c r="I1719" s="464" t="s">
        <v>1684</v>
      </c>
    </row>
    <row r="1720" ht="15.95" customHeight="1">
      <c r="A1720" s="464" t="s">
        <v>4956</v>
      </c>
      <c r="B1720" s="464" t="s">
        <v>2906</v>
      </c>
      <c r="C1720" s="464"/>
      <c r="D1720" s="464" t="s">
        <v>1709</v>
      </c>
      <c r="E1720" s="464" t="s">
        <v>4940</v>
      </c>
      <c r="F1720" s="464" t="s">
        <v>4941</v>
      </c>
      <c r="G1720" s="464" t="s">
        <v>4711</v>
      </c>
      <c r="H1720" s="464" t="s">
        <v>4712</v>
      </c>
      <c r="I1720" s="464" t="s">
        <v>1684</v>
      </c>
    </row>
    <row r="1721" ht="15.95" customHeight="1">
      <c r="A1721" s="464" t="s">
        <v>4957</v>
      </c>
      <c r="B1721" s="464" t="s">
        <v>1908</v>
      </c>
      <c r="C1721" s="464"/>
      <c r="D1721" s="464" t="s">
        <v>1709</v>
      </c>
      <c r="E1721" s="464" t="s">
        <v>4940</v>
      </c>
      <c r="F1721" s="464" t="s">
        <v>4941</v>
      </c>
      <c r="G1721" s="464" t="s">
        <v>4711</v>
      </c>
      <c r="H1721" s="464" t="s">
        <v>4712</v>
      </c>
      <c r="I1721" s="464" t="s">
        <v>1684</v>
      </c>
    </row>
    <row r="1722" ht="15.95" customHeight="1">
      <c r="A1722" s="464" t="s">
        <v>4958</v>
      </c>
      <c r="B1722" s="464" t="s">
        <v>4959</v>
      </c>
      <c r="C1722" s="464"/>
      <c r="D1722" s="464" t="s">
        <v>1709</v>
      </c>
      <c r="E1722" s="464" t="s">
        <v>4940</v>
      </c>
      <c r="F1722" s="464" t="s">
        <v>4941</v>
      </c>
      <c r="G1722" s="464" t="s">
        <v>4711</v>
      </c>
      <c r="H1722" s="464" t="s">
        <v>4712</v>
      </c>
      <c r="I1722" s="464" t="s">
        <v>1684</v>
      </c>
    </row>
    <row r="1723" ht="15.95" customHeight="1">
      <c r="A1723" s="464" t="s">
        <v>4960</v>
      </c>
      <c r="B1723" s="464" t="s">
        <v>4961</v>
      </c>
      <c r="C1723" s="464"/>
      <c r="D1723" s="464" t="s">
        <v>1709</v>
      </c>
      <c r="E1723" s="464" t="s">
        <v>4940</v>
      </c>
      <c r="F1723" s="464" t="s">
        <v>4941</v>
      </c>
      <c r="G1723" s="464" t="s">
        <v>4711</v>
      </c>
      <c r="H1723" s="464" t="s">
        <v>4712</v>
      </c>
      <c r="I1723" s="464" t="s">
        <v>1684</v>
      </c>
    </row>
    <row r="1724" ht="15.95" customHeight="1">
      <c r="A1724" s="464" t="s">
        <v>4962</v>
      </c>
      <c r="B1724" s="464" t="s">
        <v>4963</v>
      </c>
      <c r="C1724" s="464"/>
      <c r="D1724" s="464" t="s">
        <v>1709</v>
      </c>
      <c r="E1724" s="464" t="s">
        <v>4940</v>
      </c>
      <c r="F1724" s="464" t="s">
        <v>4941</v>
      </c>
      <c r="G1724" s="464" t="s">
        <v>4711</v>
      </c>
      <c r="H1724" s="464" t="s">
        <v>4712</v>
      </c>
      <c r="I1724" s="464" t="s">
        <v>1684</v>
      </c>
    </row>
    <row r="1725" ht="15.95" customHeight="1">
      <c r="A1725" s="464" t="s">
        <v>4964</v>
      </c>
      <c r="B1725" s="464" t="s">
        <v>2366</v>
      </c>
      <c r="C1725" s="464"/>
      <c r="D1725" s="464" t="s">
        <v>1709</v>
      </c>
      <c r="E1725" s="464" t="s">
        <v>4940</v>
      </c>
      <c r="F1725" s="464" t="s">
        <v>4941</v>
      </c>
      <c r="G1725" s="464" t="s">
        <v>4711</v>
      </c>
      <c r="H1725" s="464" t="s">
        <v>4712</v>
      </c>
      <c r="I1725" s="464" t="s">
        <v>1684</v>
      </c>
    </row>
    <row r="1726" ht="15.95" customHeight="1">
      <c r="A1726" s="464" t="s">
        <v>4965</v>
      </c>
      <c r="B1726" s="464" t="s">
        <v>4966</v>
      </c>
      <c r="C1726" s="464"/>
      <c r="D1726" s="464" t="s">
        <v>1709</v>
      </c>
      <c r="E1726" s="464" t="s">
        <v>4940</v>
      </c>
      <c r="F1726" s="464" t="s">
        <v>4941</v>
      </c>
      <c r="G1726" s="464" t="s">
        <v>4711</v>
      </c>
      <c r="H1726" s="464" t="s">
        <v>4712</v>
      </c>
      <c r="I1726" s="464" t="s">
        <v>1684</v>
      </c>
    </row>
    <row r="1727" ht="15.95" customHeight="1">
      <c r="A1727" s="464" t="s">
        <v>4967</v>
      </c>
      <c r="B1727" s="464" t="s">
        <v>4968</v>
      </c>
      <c r="C1727" s="464"/>
      <c r="D1727" s="464" t="s">
        <v>1709</v>
      </c>
      <c r="E1727" s="464" t="s">
        <v>4940</v>
      </c>
      <c r="F1727" s="464" t="s">
        <v>4941</v>
      </c>
      <c r="G1727" s="464" t="s">
        <v>4711</v>
      </c>
      <c r="H1727" s="464" t="s">
        <v>4712</v>
      </c>
      <c r="I1727" s="464" t="s">
        <v>1684</v>
      </c>
    </row>
    <row r="1728" ht="15.95" customHeight="1">
      <c r="A1728" s="464" t="s">
        <v>4969</v>
      </c>
      <c r="B1728" s="464" t="s">
        <v>4281</v>
      </c>
      <c r="C1728" s="464"/>
      <c r="D1728" s="464" t="s">
        <v>1709</v>
      </c>
      <c r="E1728" s="464" t="s">
        <v>4940</v>
      </c>
      <c r="F1728" s="464" t="s">
        <v>4941</v>
      </c>
      <c r="G1728" s="464" t="s">
        <v>4711</v>
      </c>
      <c r="H1728" s="464" t="s">
        <v>4712</v>
      </c>
      <c r="I1728" s="464" t="s">
        <v>1684</v>
      </c>
    </row>
    <row r="1729" ht="15.95" customHeight="1">
      <c r="A1729" s="464" t="s">
        <v>4970</v>
      </c>
      <c r="B1729" s="464" t="s">
        <v>4480</v>
      </c>
      <c r="C1729" s="464"/>
      <c r="D1729" s="464" t="s">
        <v>1709</v>
      </c>
      <c r="E1729" s="464" t="s">
        <v>4971</v>
      </c>
      <c r="F1729" s="464" t="s">
        <v>4972</v>
      </c>
      <c r="G1729" s="464" t="s">
        <v>4711</v>
      </c>
      <c r="H1729" s="464" t="s">
        <v>4712</v>
      </c>
      <c r="I1729" s="464" t="s">
        <v>1684</v>
      </c>
    </row>
    <row r="1730" ht="15.95" customHeight="1">
      <c r="A1730" s="464" t="s">
        <v>4973</v>
      </c>
      <c r="B1730" s="464" t="s">
        <v>4974</v>
      </c>
      <c r="C1730" s="464"/>
      <c r="D1730" s="464" t="s">
        <v>1709</v>
      </c>
      <c r="E1730" s="464" t="s">
        <v>4971</v>
      </c>
      <c r="F1730" s="464" t="s">
        <v>4972</v>
      </c>
      <c r="G1730" s="464" t="s">
        <v>4711</v>
      </c>
      <c r="H1730" s="464" t="s">
        <v>4712</v>
      </c>
      <c r="I1730" s="464" t="s">
        <v>1684</v>
      </c>
    </row>
    <row r="1731" ht="15.95" customHeight="1">
      <c r="A1731" s="464" t="s">
        <v>4975</v>
      </c>
      <c r="B1731" s="464" t="s">
        <v>4976</v>
      </c>
      <c r="C1731" s="464"/>
      <c r="D1731" s="464" t="s">
        <v>1709</v>
      </c>
      <c r="E1731" s="464" t="s">
        <v>4971</v>
      </c>
      <c r="F1731" s="464" t="s">
        <v>4972</v>
      </c>
      <c r="G1731" s="464" t="s">
        <v>4711</v>
      </c>
      <c r="H1731" s="464" t="s">
        <v>4712</v>
      </c>
      <c r="I1731" s="464" t="s">
        <v>1684</v>
      </c>
    </row>
    <row r="1732" ht="15.95" customHeight="1">
      <c r="A1732" s="464" t="s">
        <v>4977</v>
      </c>
      <c r="B1732" s="464" t="s">
        <v>4978</v>
      </c>
      <c r="C1732" s="464"/>
      <c r="D1732" s="464" t="s">
        <v>1709</v>
      </c>
      <c r="E1732" s="464" t="s">
        <v>4971</v>
      </c>
      <c r="F1732" s="464" t="s">
        <v>4972</v>
      </c>
      <c r="G1732" s="464" t="s">
        <v>4711</v>
      </c>
      <c r="H1732" s="464" t="s">
        <v>4712</v>
      </c>
      <c r="I1732" s="464" t="s">
        <v>1684</v>
      </c>
    </row>
    <row r="1733" ht="15.95" customHeight="1">
      <c r="A1733" s="464" t="s">
        <v>4979</v>
      </c>
      <c r="B1733" s="464" t="s">
        <v>4980</v>
      </c>
      <c r="C1733" s="464"/>
      <c r="D1733" s="464" t="s">
        <v>1709</v>
      </c>
      <c r="E1733" s="464" t="s">
        <v>4971</v>
      </c>
      <c r="F1733" s="464" t="s">
        <v>4972</v>
      </c>
      <c r="G1733" s="464" t="s">
        <v>4711</v>
      </c>
      <c r="H1733" s="464" t="s">
        <v>4712</v>
      </c>
      <c r="I1733" s="464" t="s">
        <v>1684</v>
      </c>
    </row>
    <row r="1734" ht="15.95" customHeight="1">
      <c r="A1734" s="464" t="s">
        <v>4981</v>
      </c>
      <c r="B1734" s="464" t="s">
        <v>4982</v>
      </c>
      <c r="C1734" s="464"/>
      <c r="D1734" s="464" t="s">
        <v>1709</v>
      </c>
      <c r="E1734" s="464" t="s">
        <v>4971</v>
      </c>
      <c r="F1734" s="464" t="s">
        <v>4972</v>
      </c>
      <c r="G1734" s="464" t="s">
        <v>4711</v>
      </c>
      <c r="H1734" s="464" t="s">
        <v>4712</v>
      </c>
      <c r="I1734" s="464" t="s">
        <v>1684</v>
      </c>
    </row>
    <row r="1735" ht="15.95" customHeight="1">
      <c r="A1735" s="464" t="s">
        <v>4983</v>
      </c>
      <c r="B1735" s="464" t="s">
        <v>4984</v>
      </c>
      <c r="C1735" s="464"/>
      <c r="D1735" s="464" t="s">
        <v>1709</v>
      </c>
      <c r="E1735" s="464" t="s">
        <v>4971</v>
      </c>
      <c r="F1735" s="464" t="s">
        <v>4972</v>
      </c>
      <c r="G1735" s="464" t="s">
        <v>4711</v>
      </c>
      <c r="H1735" s="464" t="s">
        <v>4712</v>
      </c>
      <c r="I1735" s="464" t="s">
        <v>1684</v>
      </c>
    </row>
    <row r="1736" ht="15.95" customHeight="1">
      <c r="A1736" s="464" t="s">
        <v>4985</v>
      </c>
      <c r="B1736" s="464" t="s">
        <v>4986</v>
      </c>
      <c r="C1736" s="464"/>
      <c r="D1736" s="464" t="s">
        <v>1709</v>
      </c>
      <c r="E1736" s="464" t="s">
        <v>4971</v>
      </c>
      <c r="F1736" s="464" t="s">
        <v>4972</v>
      </c>
      <c r="G1736" s="464" t="s">
        <v>4711</v>
      </c>
      <c r="H1736" s="464" t="s">
        <v>4712</v>
      </c>
      <c r="I1736" s="464" t="s">
        <v>1684</v>
      </c>
    </row>
    <row r="1737" ht="15.95" customHeight="1">
      <c r="A1737" s="464" t="s">
        <v>4987</v>
      </c>
      <c r="B1737" s="464" t="s">
        <v>4988</v>
      </c>
      <c r="C1737" s="464"/>
      <c r="D1737" s="464" t="s">
        <v>1709</v>
      </c>
      <c r="E1737" s="464" t="s">
        <v>4971</v>
      </c>
      <c r="F1737" s="464" t="s">
        <v>4972</v>
      </c>
      <c r="G1737" s="464" t="s">
        <v>4711</v>
      </c>
      <c r="H1737" s="464" t="s">
        <v>4712</v>
      </c>
      <c r="I1737" s="464" t="s">
        <v>1684</v>
      </c>
    </row>
    <row r="1738" ht="15.95" customHeight="1">
      <c r="A1738" s="464" t="s">
        <v>4989</v>
      </c>
      <c r="B1738" s="464" t="s">
        <v>4990</v>
      </c>
      <c r="C1738" s="464"/>
      <c r="D1738" s="464" t="s">
        <v>1709</v>
      </c>
      <c r="E1738" s="464" t="s">
        <v>4971</v>
      </c>
      <c r="F1738" s="464" t="s">
        <v>4972</v>
      </c>
      <c r="G1738" s="464" t="s">
        <v>4711</v>
      </c>
      <c r="H1738" s="464" t="s">
        <v>4712</v>
      </c>
      <c r="I1738" s="464" t="s">
        <v>1684</v>
      </c>
    </row>
    <row r="1739" ht="15.95" customHeight="1">
      <c r="A1739" s="464" t="s">
        <v>4991</v>
      </c>
      <c r="B1739" s="464" t="s">
        <v>1881</v>
      </c>
      <c r="C1739" s="464"/>
      <c r="D1739" s="464" t="s">
        <v>1709</v>
      </c>
      <c r="E1739" s="464" t="s">
        <v>4971</v>
      </c>
      <c r="F1739" s="464" t="s">
        <v>4972</v>
      </c>
      <c r="G1739" s="464" t="s">
        <v>4711</v>
      </c>
      <c r="H1739" s="464" t="s">
        <v>4712</v>
      </c>
      <c r="I1739" s="464" t="s">
        <v>1684</v>
      </c>
    </row>
    <row r="1740" ht="15.95" customHeight="1">
      <c r="A1740" s="464" t="s">
        <v>4992</v>
      </c>
      <c r="B1740" s="464" t="s">
        <v>4993</v>
      </c>
      <c r="C1740" s="464"/>
      <c r="D1740" s="464" t="s">
        <v>1709</v>
      </c>
      <c r="E1740" s="464" t="s">
        <v>4971</v>
      </c>
      <c r="F1740" s="464" t="s">
        <v>4972</v>
      </c>
      <c r="G1740" s="464" t="s">
        <v>4711</v>
      </c>
      <c r="H1740" s="464" t="s">
        <v>4712</v>
      </c>
      <c r="I1740" s="464" t="s">
        <v>1684</v>
      </c>
    </row>
    <row r="1741" ht="15.95" customHeight="1">
      <c r="A1741" s="464" t="s">
        <v>4994</v>
      </c>
      <c r="B1741" s="464" t="s">
        <v>4995</v>
      </c>
      <c r="C1741" s="464"/>
      <c r="D1741" s="464" t="s">
        <v>1709</v>
      </c>
      <c r="E1741" s="464" t="s">
        <v>4971</v>
      </c>
      <c r="F1741" s="464" t="s">
        <v>4972</v>
      </c>
      <c r="G1741" s="464" t="s">
        <v>4711</v>
      </c>
      <c r="H1741" s="464" t="s">
        <v>4712</v>
      </c>
      <c r="I1741" s="464" t="s">
        <v>1684</v>
      </c>
    </row>
    <row r="1742" ht="15.95" customHeight="1">
      <c r="A1742" s="464" t="s">
        <v>4996</v>
      </c>
      <c r="B1742" s="464" t="s">
        <v>1282</v>
      </c>
      <c r="C1742" s="464"/>
      <c r="D1742" s="464" t="s">
        <v>1679</v>
      </c>
      <c r="E1742" s="464" t="s">
        <v>4997</v>
      </c>
      <c r="F1742" s="464" t="s">
        <v>4998</v>
      </c>
      <c r="G1742" s="464" t="s">
        <v>4999</v>
      </c>
      <c r="H1742" s="464" t="s">
        <v>5000</v>
      </c>
      <c r="I1742" s="464" t="s">
        <v>1684</v>
      </c>
    </row>
    <row r="1743" ht="15.95" customHeight="1">
      <c r="A1743" s="464" t="s">
        <v>5001</v>
      </c>
      <c r="B1743" s="464" t="s">
        <v>1287</v>
      </c>
      <c r="C1743" s="464"/>
      <c r="D1743" s="464" t="s">
        <v>1679</v>
      </c>
      <c r="E1743" s="464" t="s">
        <v>4997</v>
      </c>
      <c r="F1743" s="464" t="s">
        <v>4998</v>
      </c>
      <c r="G1743" s="464" t="s">
        <v>4999</v>
      </c>
      <c r="H1743" s="464" t="s">
        <v>5000</v>
      </c>
      <c r="I1743" s="464" t="s">
        <v>1684</v>
      </c>
    </row>
    <row r="1744" ht="15.95" customHeight="1">
      <c r="A1744" s="464" t="s">
        <v>5002</v>
      </c>
      <c r="B1744" s="464" t="s">
        <v>1269</v>
      </c>
      <c r="C1744" s="464"/>
      <c r="D1744" s="464" t="s">
        <v>1679</v>
      </c>
      <c r="E1744" s="464" t="s">
        <v>4997</v>
      </c>
      <c r="F1744" s="464" t="s">
        <v>4998</v>
      </c>
      <c r="G1744" s="464" t="s">
        <v>4999</v>
      </c>
      <c r="H1744" s="464" t="s">
        <v>5000</v>
      </c>
      <c r="I1744" s="464" t="s">
        <v>1684</v>
      </c>
    </row>
    <row r="1745" ht="15.95" customHeight="1">
      <c r="A1745" s="464" t="s">
        <v>5003</v>
      </c>
      <c r="B1745" s="464" t="s">
        <v>2110</v>
      </c>
      <c r="C1745" s="464"/>
      <c r="D1745" s="464" t="s">
        <v>1679</v>
      </c>
      <c r="E1745" s="464" t="s">
        <v>4997</v>
      </c>
      <c r="F1745" s="464" t="s">
        <v>4998</v>
      </c>
      <c r="G1745" s="464" t="s">
        <v>4999</v>
      </c>
      <c r="H1745" s="464" t="s">
        <v>5000</v>
      </c>
      <c r="I1745" s="464" t="s">
        <v>1684</v>
      </c>
    </row>
    <row r="1746" ht="15.95" customHeight="1">
      <c r="A1746" s="464" t="s">
        <v>5004</v>
      </c>
      <c r="B1746" s="464" t="s">
        <v>2115</v>
      </c>
      <c r="C1746" s="464"/>
      <c r="D1746" s="464" t="s">
        <v>1679</v>
      </c>
      <c r="E1746" s="464" t="s">
        <v>4997</v>
      </c>
      <c r="F1746" s="464" t="s">
        <v>4998</v>
      </c>
      <c r="G1746" s="464" t="s">
        <v>4999</v>
      </c>
      <c r="H1746" s="464" t="s">
        <v>5000</v>
      </c>
      <c r="I1746" s="464" t="s">
        <v>1684</v>
      </c>
    </row>
    <row r="1747" ht="15.95" customHeight="1">
      <c r="A1747" s="464" t="s">
        <v>5005</v>
      </c>
      <c r="B1747" s="464" t="s">
        <v>2113</v>
      </c>
      <c r="C1747" s="464"/>
      <c r="D1747" s="464" t="s">
        <v>1679</v>
      </c>
      <c r="E1747" s="464" t="s">
        <v>4997</v>
      </c>
      <c r="F1747" s="464" t="s">
        <v>4998</v>
      </c>
      <c r="G1747" s="464" t="s">
        <v>4999</v>
      </c>
      <c r="H1747" s="464" t="s">
        <v>5000</v>
      </c>
      <c r="I1747" s="464" t="s">
        <v>1684</v>
      </c>
    </row>
    <row r="1748" ht="15.95" customHeight="1">
      <c r="A1748" s="464" t="s">
        <v>5006</v>
      </c>
      <c r="B1748" s="464" t="s">
        <v>1281</v>
      </c>
      <c r="C1748" s="464"/>
      <c r="D1748" s="464" t="s">
        <v>1679</v>
      </c>
      <c r="E1748" s="464" t="s">
        <v>4997</v>
      </c>
      <c r="F1748" s="464" t="s">
        <v>4998</v>
      </c>
      <c r="G1748" s="464" t="s">
        <v>4999</v>
      </c>
      <c r="H1748" s="464" t="s">
        <v>5000</v>
      </c>
      <c r="I1748" s="464" t="s">
        <v>1684</v>
      </c>
    </row>
    <row r="1749" ht="15.95" customHeight="1">
      <c r="A1749" s="464" t="s">
        <v>5007</v>
      </c>
      <c r="B1749" s="464" t="s">
        <v>1279</v>
      </c>
      <c r="C1749" s="464"/>
      <c r="D1749" s="464" t="s">
        <v>1679</v>
      </c>
      <c r="E1749" s="464" t="s">
        <v>4997</v>
      </c>
      <c r="F1749" s="464" t="s">
        <v>4998</v>
      </c>
      <c r="G1749" s="464" t="s">
        <v>4999</v>
      </c>
      <c r="H1749" s="464" t="s">
        <v>5000</v>
      </c>
      <c r="I1749" s="464" t="s">
        <v>1684</v>
      </c>
    </row>
    <row r="1750" ht="15.95" customHeight="1">
      <c r="A1750" s="464" t="s">
        <v>5008</v>
      </c>
      <c r="B1750" s="464" t="s">
        <v>1266</v>
      </c>
      <c r="C1750" s="464"/>
      <c r="D1750" s="464" t="s">
        <v>1679</v>
      </c>
      <c r="E1750" s="464" t="s">
        <v>4997</v>
      </c>
      <c r="F1750" s="464" t="s">
        <v>4998</v>
      </c>
      <c r="G1750" s="464" t="s">
        <v>4999</v>
      </c>
      <c r="H1750" s="464" t="s">
        <v>5000</v>
      </c>
      <c r="I1750" s="464" t="s">
        <v>1684</v>
      </c>
    </row>
    <row r="1751" ht="15.95" customHeight="1">
      <c r="A1751" s="464" t="s">
        <v>5009</v>
      </c>
      <c r="B1751" s="464" t="s">
        <v>3291</v>
      </c>
      <c r="C1751" s="464"/>
      <c r="D1751" s="464" t="s">
        <v>1709</v>
      </c>
      <c r="E1751" s="464" t="s">
        <v>4997</v>
      </c>
      <c r="F1751" s="464" t="s">
        <v>4998</v>
      </c>
      <c r="G1751" s="464" t="s">
        <v>4999</v>
      </c>
      <c r="H1751" s="464" t="s">
        <v>5000</v>
      </c>
      <c r="I1751" s="464" t="s">
        <v>1684</v>
      </c>
    </row>
    <row r="1752" ht="15.95" customHeight="1">
      <c r="A1752" s="464" t="s">
        <v>5010</v>
      </c>
      <c r="B1752" s="464" t="s">
        <v>5011</v>
      </c>
      <c r="C1752" s="464"/>
      <c r="D1752" s="464" t="s">
        <v>1738</v>
      </c>
      <c r="E1752" s="464" t="s">
        <v>5012</v>
      </c>
      <c r="F1752" s="464" t="s">
        <v>5013</v>
      </c>
      <c r="G1752" s="464" t="s">
        <v>4999</v>
      </c>
      <c r="H1752" s="464" t="s">
        <v>5000</v>
      </c>
      <c r="I1752" s="464" t="s">
        <v>1684</v>
      </c>
    </row>
    <row r="1753" ht="15.95" customHeight="1">
      <c r="A1753" s="464" t="s">
        <v>5014</v>
      </c>
      <c r="B1753" s="464" t="s">
        <v>5015</v>
      </c>
      <c r="C1753" s="464"/>
      <c r="D1753" s="464" t="s">
        <v>1709</v>
      </c>
      <c r="E1753" s="464" t="s">
        <v>5012</v>
      </c>
      <c r="F1753" s="464" t="s">
        <v>5013</v>
      </c>
      <c r="G1753" s="464" t="s">
        <v>4999</v>
      </c>
      <c r="H1753" s="464" t="s">
        <v>5000</v>
      </c>
      <c r="I1753" s="464" t="s">
        <v>1684</v>
      </c>
    </row>
    <row r="1754" ht="15.95" customHeight="1">
      <c r="A1754" s="464" t="s">
        <v>5016</v>
      </c>
      <c r="B1754" s="464" t="s">
        <v>5017</v>
      </c>
      <c r="C1754" s="464"/>
      <c r="D1754" s="464" t="s">
        <v>1709</v>
      </c>
      <c r="E1754" s="464" t="s">
        <v>5012</v>
      </c>
      <c r="F1754" s="464" t="s">
        <v>5013</v>
      </c>
      <c r="G1754" s="464" t="s">
        <v>4999</v>
      </c>
      <c r="H1754" s="464" t="s">
        <v>5000</v>
      </c>
      <c r="I1754" s="464" t="s">
        <v>1684</v>
      </c>
    </row>
    <row r="1755" ht="15.95" customHeight="1">
      <c r="A1755" s="464" t="s">
        <v>5018</v>
      </c>
      <c r="B1755" s="464" t="s">
        <v>5019</v>
      </c>
      <c r="C1755" s="464"/>
      <c r="D1755" s="464" t="s">
        <v>1709</v>
      </c>
      <c r="E1755" s="464" t="s">
        <v>5012</v>
      </c>
      <c r="F1755" s="464" t="s">
        <v>5013</v>
      </c>
      <c r="G1755" s="464" t="s">
        <v>4999</v>
      </c>
      <c r="H1755" s="464" t="s">
        <v>5000</v>
      </c>
      <c r="I1755" s="464" t="s">
        <v>1684</v>
      </c>
    </row>
    <row r="1756" ht="15.95" customHeight="1">
      <c r="A1756" s="464" t="s">
        <v>5020</v>
      </c>
      <c r="B1756" s="464" t="s">
        <v>5021</v>
      </c>
      <c r="C1756" s="464"/>
      <c r="D1756" s="464" t="s">
        <v>1709</v>
      </c>
      <c r="E1756" s="464" t="s">
        <v>5012</v>
      </c>
      <c r="F1756" s="464" t="s">
        <v>5013</v>
      </c>
      <c r="G1756" s="464" t="s">
        <v>4999</v>
      </c>
      <c r="H1756" s="464" t="s">
        <v>5000</v>
      </c>
      <c r="I1756" s="464" t="s">
        <v>1684</v>
      </c>
    </row>
    <row r="1757" ht="15.95" customHeight="1">
      <c r="A1757" s="464" t="s">
        <v>5022</v>
      </c>
      <c r="B1757" s="464" t="s">
        <v>3157</v>
      </c>
      <c r="C1757" s="464"/>
      <c r="D1757" s="464" t="s">
        <v>1709</v>
      </c>
      <c r="E1757" s="464" t="s">
        <v>5012</v>
      </c>
      <c r="F1757" s="464" t="s">
        <v>5013</v>
      </c>
      <c r="G1757" s="464" t="s">
        <v>4999</v>
      </c>
      <c r="H1757" s="464" t="s">
        <v>5000</v>
      </c>
      <c r="I1757" s="464" t="s">
        <v>1684</v>
      </c>
    </row>
    <row r="1758" ht="15.95" customHeight="1">
      <c r="A1758" s="464" t="s">
        <v>5023</v>
      </c>
      <c r="B1758" s="464" t="s">
        <v>1881</v>
      </c>
      <c r="C1758" s="464"/>
      <c r="D1758" s="464" t="s">
        <v>1709</v>
      </c>
      <c r="E1758" s="464" t="s">
        <v>5012</v>
      </c>
      <c r="F1758" s="464" t="s">
        <v>5013</v>
      </c>
      <c r="G1758" s="464" t="s">
        <v>4999</v>
      </c>
      <c r="H1758" s="464" t="s">
        <v>5000</v>
      </c>
      <c r="I1758" s="464" t="s">
        <v>1684</v>
      </c>
    </row>
    <row r="1759" ht="15.95" customHeight="1">
      <c r="A1759" s="464" t="s">
        <v>5024</v>
      </c>
      <c r="B1759" s="464" t="s">
        <v>4555</v>
      </c>
      <c r="C1759" s="464"/>
      <c r="D1759" s="464" t="s">
        <v>1709</v>
      </c>
      <c r="E1759" s="464" t="s">
        <v>5012</v>
      </c>
      <c r="F1759" s="464" t="s">
        <v>5013</v>
      </c>
      <c r="G1759" s="464" t="s">
        <v>4999</v>
      </c>
      <c r="H1759" s="464" t="s">
        <v>5000</v>
      </c>
      <c r="I1759" s="464" t="s">
        <v>1684</v>
      </c>
    </row>
    <row r="1760" ht="15.95" customHeight="1">
      <c r="A1760" s="464" t="s">
        <v>5025</v>
      </c>
      <c r="B1760" s="464" t="s">
        <v>5026</v>
      </c>
      <c r="C1760" s="464"/>
      <c r="D1760" s="464" t="s">
        <v>1709</v>
      </c>
      <c r="E1760" s="464" t="s">
        <v>5012</v>
      </c>
      <c r="F1760" s="464" t="s">
        <v>5013</v>
      </c>
      <c r="G1760" s="464" t="s">
        <v>4999</v>
      </c>
      <c r="H1760" s="464" t="s">
        <v>5000</v>
      </c>
      <c r="I1760" s="464" t="s">
        <v>1684</v>
      </c>
    </row>
    <row r="1761" ht="15.95" customHeight="1">
      <c r="A1761" s="464" t="s">
        <v>5027</v>
      </c>
      <c r="B1761" s="464" t="s">
        <v>5028</v>
      </c>
      <c r="C1761" s="464"/>
      <c r="D1761" s="464" t="s">
        <v>1709</v>
      </c>
      <c r="E1761" s="464" t="s">
        <v>5012</v>
      </c>
      <c r="F1761" s="464" t="s">
        <v>5013</v>
      </c>
      <c r="G1761" s="464" t="s">
        <v>4999</v>
      </c>
      <c r="H1761" s="464" t="s">
        <v>5000</v>
      </c>
      <c r="I1761" s="464" t="s">
        <v>1684</v>
      </c>
    </row>
    <row r="1762" ht="15.95" customHeight="1">
      <c r="A1762" s="464" t="s">
        <v>5029</v>
      </c>
      <c r="B1762" s="464" t="s">
        <v>3344</v>
      </c>
      <c r="C1762" s="464"/>
      <c r="D1762" s="464" t="s">
        <v>1709</v>
      </c>
      <c r="E1762" s="464" t="s">
        <v>5012</v>
      </c>
      <c r="F1762" s="464" t="s">
        <v>5013</v>
      </c>
      <c r="G1762" s="464" t="s">
        <v>4999</v>
      </c>
      <c r="H1762" s="464" t="s">
        <v>5000</v>
      </c>
      <c r="I1762" s="464" t="s">
        <v>1684</v>
      </c>
    </row>
    <row r="1763" ht="15.95" customHeight="1">
      <c r="A1763" s="464" t="s">
        <v>5030</v>
      </c>
      <c r="B1763" s="464" t="s">
        <v>5031</v>
      </c>
      <c r="C1763" s="464"/>
      <c r="D1763" s="464" t="s">
        <v>1709</v>
      </c>
      <c r="E1763" s="464" t="s">
        <v>5012</v>
      </c>
      <c r="F1763" s="464" t="s">
        <v>5013</v>
      </c>
      <c r="G1763" s="464" t="s">
        <v>4999</v>
      </c>
      <c r="H1763" s="464" t="s">
        <v>5000</v>
      </c>
      <c r="I1763" s="464" t="s">
        <v>1684</v>
      </c>
    </row>
    <row r="1764" ht="15.95" customHeight="1">
      <c r="A1764" s="464" t="s">
        <v>5032</v>
      </c>
      <c r="B1764" s="464" t="s">
        <v>5033</v>
      </c>
      <c r="C1764" s="464"/>
      <c r="D1764" s="464" t="s">
        <v>1709</v>
      </c>
      <c r="E1764" s="464" t="s">
        <v>5012</v>
      </c>
      <c r="F1764" s="464" t="s">
        <v>5013</v>
      </c>
      <c r="G1764" s="464" t="s">
        <v>4999</v>
      </c>
      <c r="H1764" s="464" t="s">
        <v>5000</v>
      </c>
      <c r="I1764" s="464" t="s">
        <v>1684</v>
      </c>
    </row>
    <row r="1765" ht="15.95" customHeight="1">
      <c r="A1765" s="464" t="s">
        <v>5034</v>
      </c>
      <c r="B1765" s="464" t="s">
        <v>5035</v>
      </c>
      <c r="C1765" s="464"/>
      <c r="D1765" s="464" t="s">
        <v>1709</v>
      </c>
      <c r="E1765" s="464" t="s">
        <v>5012</v>
      </c>
      <c r="F1765" s="464" t="s">
        <v>5013</v>
      </c>
      <c r="G1765" s="464" t="s">
        <v>4999</v>
      </c>
      <c r="H1765" s="464" t="s">
        <v>5000</v>
      </c>
      <c r="I1765" s="464" t="s">
        <v>1684</v>
      </c>
    </row>
    <row r="1766" ht="15.95" customHeight="1">
      <c r="A1766" s="464" t="s">
        <v>5036</v>
      </c>
      <c r="B1766" s="464" t="s">
        <v>5037</v>
      </c>
      <c r="C1766" s="464"/>
      <c r="D1766" s="464" t="s">
        <v>1738</v>
      </c>
      <c r="E1766" s="464" t="s">
        <v>5038</v>
      </c>
      <c r="F1766" s="464" t="s">
        <v>5039</v>
      </c>
      <c r="G1766" s="464" t="s">
        <v>4999</v>
      </c>
      <c r="H1766" s="464" t="s">
        <v>5000</v>
      </c>
      <c r="I1766" s="464" t="s">
        <v>1684</v>
      </c>
    </row>
    <row r="1767" ht="15.95" customHeight="1">
      <c r="A1767" s="464" t="s">
        <v>5040</v>
      </c>
      <c r="B1767" s="464" t="s">
        <v>5041</v>
      </c>
      <c r="C1767" s="464"/>
      <c r="D1767" s="464" t="s">
        <v>1709</v>
      </c>
      <c r="E1767" s="464" t="s">
        <v>5038</v>
      </c>
      <c r="F1767" s="464" t="s">
        <v>5039</v>
      </c>
      <c r="G1767" s="464" t="s">
        <v>4999</v>
      </c>
      <c r="H1767" s="464" t="s">
        <v>5000</v>
      </c>
      <c r="I1767" s="464" t="s">
        <v>1684</v>
      </c>
    </row>
    <row r="1768" ht="15.95" customHeight="1">
      <c r="A1768" s="464" t="s">
        <v>5042</v>
      </c>
      <c r="B1768" s="464" t="s">
        <v>5043</v>
      </c>
      <c r="C1768" s="464"/>
      <c r="D1768" s="464" t="s">
        <v>1709</v>
      </c>
      <c r="E1768" s="464" t="s">
        <v>5038</v>
      </c>
      <c r="F1768" s="464" t="s">
        <v>5039</v>
      </c>
      <c r="G1768" s="464" t="s">
        <v>4999</v>
      </c>
      <c r="H1768" s="464" t="s">
        <v>5000</v>
      </c>
      <c r="I1768" s="464" t="s">
        <v>1684</v>
      </c>
    </row>
    <row r="1769" ht="15.95" customHeight="1">
      <c r="A1769" s="464" t="s">
        <v>5044</v>
      </c>
      <c r="B1769" s="464" t="s">
        <v>5045</v>
      </c>
      <c r="C1769" s="464"/>
      <c r="D1769" s="464" t="s">
        <v>1709</v>
      </c>
      <c r="E1769" s="464" t="s">
        <v>5038</v>
      </c>
      <c r="F1769" s="464" t="s">
        <v>5039</v>
      </c>
      <c r="G1769" s="464" t="s">
        <v>4999</v>
      </c>
      <c r="H1769" s="464" t="s">
        <v>5000</v>
      </c>
      <c r="I1769" s="464" t="s">
        <v>1684</v>
      </c>
    </row>
    <row r="1770" ht="15.95" customHeight="1">
      <c r="A1770" s="464" t="s">
        <v>5046</v>
      </c>
      <c r="B1770" s="464" t="s">
        <v>5047</v>
      </c>
      <c r="C1770" s="464"/>
      <c r="D1770" s="464" t="s">
        <v>1709</v>
      </c>
      <c r="E1770" s="464" t="s">
        <v>5038</v>
      </c>
      <c r="F1770" s="464" t="s">
        <v>5039</v>
      </c>
      <c r="G1770" s="464" t="s">
        <v>4999</v>
      </c>
      <c r="H1770" s="464" t="s">
        <v>5000</v>
      </c>
      <c r="I1770" s="464" t="s">
        <v>1684</v>
      </c>
    </row>
    <row r="1771" ht="15.95" customHeight="1">
      <c r="A1771" s="464" t="s">
        <v>5048</v>
      </c>
      <c r="B1771" s="464" t="s">
        <v>5049</v>
      </c>
      <c r="C1771" s="464"/>
      <c r="D1771" s="464" t="s">
        <v>1709</v>
      </c>
      <c r="E1771" s="464" t="s">
        <v>5038</v>
      </c>
      <c r="F1771" s="464" t="s">
        <v>5039</v>
      </c>
      <c r="G1771" s="464" t="s">
        <v>4999</v>
      </c>
      <c r="H1771" s="464" t="s">
        <v>5000</v>
      </c>
      <c r="I1771" s="464" t="s">
        <v>1684</v>
      </c>
    </row>
    <row r="1772" ht="15.95" customHeight="1">
      <c r="A1772" s="464" t="s">
        <v>5050</v>
      </c>
      <c r="B1772" s="464" t="s">
        <v>1894</v>
      </c>
      <c r="C1772" s="464"/>
      <c r="D1772" s="464" t="s">
        <v>1709</v>
      </c>
      <c r="E1772" s="464" t="s">
        <v>5038</v>
      </c>
      <c r="F1772" s="464" t="s">
        <v>5039</v>
      </c>
      <c r="G1772" s="464" t="s">
        <v>4999</v>
      </c>
      <c r="H1772" s="464" t="s">
        <v>5000</v>
      </c>
      <c r="I1772" s="464" t="s">
        <v>1684</v>
      </c>
    </row>
    <row r="1773" ht="15.95" customHeight="1">
      <c r="A1773" s="464" t="s">
        <v>5051</v>
      </c>
      <c r="B1773" s="464" t="s">
        <v>5052</v>
      </c>
      <c r="C1773" s="464"/>
      <c r="D1773" s="464" t="s">
        <v>1709</v>
      </c>
      <c r="E1773" s="464" t="s">
        <v>5038</v>
      </c>
      <c r="F1773" s="464" t="s">
        <v>5039</v>
      </c>
      <c r="G1773" s="464" t="s">
        <v>4999</v>
      </c>
      <c r="H1773" s="464" t="s">
        <v>5000</v>
      </c>
      <c r="I1773" s="464" t="s">
        <v>1684</v>
      </c>
    </row>
    <row r="1774" ht="15.95" customHeight="1">
      <c r="A1774" s="464" t="s">
        <v>5053</v>
      </c>
      <c r="B1774" s="464" t="s">
        <v>5054</v>
      </c>
      <c r="C1774" s="464"/>
      <c r="D1774" s="464" t="s">
        <v>1709</v>
      </c>
      <c r="E1774" s="464" t="s">
        <v>5038</v>
      </c>
      <c r="F1774" s="464" t="s">
        <v>5039</v>
      </c>
      <c r="G1774" s="464" t="s">
        <v>4999</v>
      </c>
      <c r="H1774" s="464" t="s">
        <v>5000</v>
      </c>
      <c r="I1774" s="464" t="s">
        <v>1684</v>
      </c>
    </row>
    <row r="1775" ht="15.95" customHeight="1">
      <c r="A1775" s="464" t="s">
        <v>5055</v>
      </c>
      <c r="B1775" s="464" t="s">
        <v>5056</v>
      </c>
      <c r="C1775" s="464"/>
      <c r="D1775" s="464" t="s">
        <v>1709</v>
      </c>
      <c r="E1775" s="464" t="s">
        <v>5038</v>
      </c>
      <c r="F1775" s="464" t="s">
        <v>5039</v>
      </c>
      <c r="G1775" s="464" t="s">
        <v>4999</v>
      </c>
      <c r="H1775" s="464" t="s">
        <v>5000</v>
      </c>
      <c r="I1775" s="464" t="s">
        <v>1684</v>
      </c>
    </row>
    <row r="1776" ht="15.95" customHeight="1">
      <c r="A1776" s="464" t="s">
        <v>5057</v>
      </c>
      <c r="B1776" s="464" t="s">
        <v>3162</v>
      </c>
      <c r="C1776" s="464"/>
      <c r="D1776" s="464" t="s">
        <v>1709</v>
      </c>
      <c r="E1776" s="464" t="s">
        <v>5038</v>
      </c>
      <c r="F1776" s="464" t="s">
        <v>5039</v>
      </c>
      <c r="G1776" s="464" t="s">
        <v>4999</v>
      </c>
      <c r="H1776" s="464" t="s">
        <v>5000</v>
      </c>
      <c r="I1776" s="464" t="s">
        <v>1684</v>
      </c>
    </row>
    <row r="1777" ht="15.95" customHeight="1">
      <c r="A1777" s="464" t="s">
        <v>5058</v>
      </c>
      <c r="B1777" s="464" t="s">
        <v>5059</v>
      </c>
      <c r="C1777" s="464"/>
      <c r="D1777" s="464" t="s">
        <v>1738</v>
      </c>
      <c r="E1777" s="464" t="s">
        <v>5060</v>
      </c>
      <c r="F1777" s="464" t="s">
        <v>5061</v>
      </c>
      <c r="G1777" s="464" t="s">
        <v>4999</v>
      </c>
      <c r="H1777" s="464" t="s">
        <v>5000</v>
      </c>
      <c r="I1777" s="464" t="s">
        <v>1684</v>
      </c>
    </row>
    <row r="1778" ht="15.95" customHeight="1">
      <c r="A1778" s="464" t="s">
        <v>5062</v>
      </c>
      <c r="B1778" s="464" t="s">
        <v>5063</v>
      </c>
      <c r="C1778" s="464"/>
      <c r="D1778" s="464" t="s">
        <v>1738</v>
      </c>
      <c r="E1778" s="464" t="s">
        <v>5060</v>
      </c>
      <c r="F1778" s="464" t="s">
        <v>5061</v>
      </c>
      <c r="G1778" s="464" t="s">
        <v>4999</v>
      </c>
      <c r="H1778" s="464" t="s">
        <v>5000</v>
      </c>
      <c r="I1778" s="464" t="s">
        <v>1684</v>
      </c>
    </row>
    <row r="1779" ht="15.95" customHeight="1">
      <c r="A1779" s="464" t="s">
        <v>5064</v>
      </c>
      <c r="B1779" s="464" t="s">
        <v>5065</v>
      </c>
      <c r="C1779" s="464"/>
      <c r="D1779" s="464" t="s">
        <v>1709</v>
      </c>
      <c r="E1779" s="464" t="s">
        <v>5060</v>
      </c>
      <c r="F1779" s="464" t="s">
        <v>5061</v>
      </c>
      <c r="G1779" s="464" t="s">
        <v>4999</v>
      </c>
      <c r="H1779" s="464" t="s">
        <v>5000</v>
      </c>
      <c r="I1779" s="464" t="s">
        <v>1684</v>
      </c>
    </row>
    <row r="1780" ht="15.95" customHeight="1">
      <c r="A1780" s="464" t="s">
        <v>5066</v>
      </c>
      <c r="B1780" s="464" t="s">
        <v>5067</v>
      </c>
      <c r="C1780" s="464"/>
      <c r="D1780" s="464" t="s">
        <v>1709</v>
      </c>
      <c r="E1780" s="464" t="s">
        <v>5060</v>
      </c>
      <c r="F1780" s="464" t="s">
        <v>5061</v>
      </c>
      <c r="G1780" s="464" t="s">
        <v>4999</v>
      </c>
      <c r="H1780" s="464" t="s">
        <v>5000</v>
      </c>
      <c r="I1780" s="464" t="s">
        <v>1684</v>
      </c>
    </row>
    <row r="1781" ht="15.95" customHeight="1">
      <c r="A1781" s="464" t="s">
        <v>5068</v>
      </c>
      <c r="B1781" s="464" t="s">
        <v>5069</v>
      </c>
      <c r="C1781" s="464"/>
      <c r="D1781" s="464" t="s">
        <v>1709</v>
      </c>
      <c r="E1781" s="464" t="s">
        <v>5060</v>
      </c>
      <c r="F1781" s="464" t="s">
        <v>5061</v>
      </c>
      <c r="G1781" s="464" t="s">
        <v>4999</v>
      </c>
      <c r="H1781" s="464" t="s">
        <v>5000</v>
      </c>
      <c r="I1781" s="464" t="s">
        <v>1684</v>
      </c>
    </row>
    <row r="1782" ht="15.95" customHeight="1">
      <c r="A1782" s="464" t="s">
        <v>5070</v>
      </c>
      <c r="B1782" s="464" t="s">
        <v>4015</v>
      </c>
      <c r="C1782" s="464"/>
      <c r="D1782" s="464" t="s">
        <v>1709</v>
      </c>
      <c r="E1782" s="464" t="s">
        <v>5060</v>
      </c>
      <c r="F1782" s="464" t="s">
        <v>5061</v>
      </c>
      <c r="G1782" s="464" t="s">
        <v>4999</v>
      </c>
      <c r="H1782" s="464" t="s">
        <v>5000</v>
      </c>
      <c r="I1782" s="464" t="s">
        <v>1684</v>
      </c>
    </row>
    <row r="1783" ht="15.95" customHeight="1">
      <c r="A1783" s="464" t="s">
        <v>5071</v>
      </c>
      <c r="B1783" s="464" t="s">
        <v>5072</v>
      </c>
      <c r="C1783" s="464"/>
      <c r="D1783" s="464" t="s">
        <v>1709</v>
      </c>
      <c r="E1783" s="464" t="s">
        <v>5060</v>
      </c>
      <c r="F1783" s="464" t="s">
        <v>5061</v>
      </c>
      <c r="G1783" s="464" t="s">
        <v>4999</v>
      </c>
      <c r="H1783" s="464" t="s">
        <v>5000</v>
      </c>
      <c r="I1783" s="464" t="s">
        <v>1684</v>
      </c>
    </row>
    <row r="1784" ht="15.95" customHeight="1">
      <c r="A1784" s="464" t="s">
        <v>5073</v>
      </c>
      <c r="B1784" s="464" t="s">
        <v>5074</v>
      </c>
      <c r="C1784" s="464"/>
      <c r="D1784" s="464" t="s">
        <v>1709</v>
      </c>
      <c r="E1784" s="464" t="s">
        <v>5060</v>
      </c>
      <c r="F1784" s="464" t="s">
        <v>5061</v>
      </c>
      <c r="G1784" s="464" t="s">
        <v>4999</v>
      </c>
      <c r="H1784" s="464" t="s">
        <v>5000</v>
      </c>
      <c r="I1784" s="464" t="s">
        <v>1684</v>
      </c>
    </row>
    <row r="1785" ht="15.95" customHeight="1">
      <c r="A1785" s="464" t="s">
        <v>5075</v>
      </c>
      <c r="B1785" s="464" t="s">
        <v>5076</v>
      </c>
      <c r="C1785" s="464"/>
      <c r="D1785" s="464" t="s">
        <v>1709</v>
      </c>
      <c r="E1785" s="464" t="s">
        <v>5060</v>
      </c>
      <c r="F1785" s="464" t="s">
        <v>5061</v>
      </c>
      <c r="G1785" s="464" t="s">
        <v>4999</v>
      </c>
      <c r="H1785" s="464" t="s">
        <v>5000</v>
      </c>
      <c r="I1785" s="464" t="s">
        <v>1684</v>
      </c>
    </row>
    <row r="1786" ht="15.95" customHeight="1">
      <c r="A1786" s="464" t="s">
        <v>5077</v>
      </c>
      <c r="B1786" s="464" t="s">
        <v>5078</v>
      </c>
      <c r="C1786" s="464"/>
      <c r="D1786" s="464" t="s">
        <v>1709</v>
      </c>
      <c r="E1786" s="464" t="s">
        <v>5060</v>
      </c>
      <c r="F1786" s="464" t="s">
        <v>5061</v>
      </c>
      <c r="G1786" s="464" t="s">
        <v>4999</v>
      </c>
      <c r="H1786" s="464" t="s">
        <v>5000</v>
      </c>
      <c r="I1786" s="464" t="s">
        <v>1684</v>
      </c>
    </row>
    <row r="1787" ht="15.95" customHeight="1">
      <c r="A1787" s="464" t="s">
        <v>5079</v>
      </c>
      <c r="B1787" s="464" t="s">
        <v>2563</v>
      </c>
      <c r="C1787" s="464"/>
      <c r="D1787" s="464" t="s">
        <v>1709</v>
      </c>
      <c r="E1787" s="464" t="s">
        <v>5060</v>
      </c>
      <c r="F1787" s="464" t="s">
        <v>5061</v>
      </c>
      <c r="G1787" s="464" t="s">
        <v>4999</v>
      </c>
      <c r="H1787" s="464" t="s">
        <v>5000</v>
      </c>
      <c r="I1787" s="464" t="s">
        <v>1684</v>
      </c>
    </row>
    <row r="1788" ht="15.95" customHeight="1">
      <c r="A1788" s="464" t="s">
        <v>5080</v>
      </c>
      <c r="B1788" s="464" t="s">
        <v>2722</v>
      </c>
      <c r="C1788" s="464"/>
      <c r="D1788" s="464" t="s">
        <v>1738</v>
      </c>
      <c r="E1788" s="464" t="s">
        <v>5081</v>
      </c>
      <c r="F1788" s="464" t="s">
        <v>2724</v>
      </c>
      <c r="G1788" s="464" t="s">
        <v>4999</v>
      </c>
      <c r="H1788" s="464" t="s">
        <v>5000</v>
      </c>
      <c r="I1788" s="464" t="s">
        <v>1684</v>
      </c>
    </row>
    <row r="1789" ht="15.95" customHeight="1">
      <c r="A1789" s="464" t="s">
        <v>5082</v>
      </c>
      <c r="B1789" s="464" t="s">
        <v>5083</v>
      </c>
      <c r="C1789" s="464"/>
      <c r="D1789" s="464" t="s">
        <v>1709</v>
      </c>
      <c r="E1789" s="464" t="s">
        <v>5081</v>
      </c>
      <c r="F1789" s="464" t="s">
        <v>2724</v>
      </c>
      <c r="G1789" s="464" t="s">
        <v>4999</v>
      </c>
      <c r="H1789" s="464" t="s">
        <v>5000</v>
      </c>
      <c r="I1789" s="464" t="s">
        <v>1684</v>
      </c>
    </row>
    <row r="1790" ht="15.95" customHeight="1">
      <c r="A1790" s="464" t="s">
        <v>5084</v>
      </c>
      <c r="B1790" s="464" t="s">
        <v>4905</v>
      </c>
      <c r="C1790" s="464"/>
      <c r="D1790" s="464" t="s">
        <v>1709</v>
      </c>
      <c r="E1790" s="464" t="s">
        <v>5081</v>
      </c>
      <c r="F1790" s="464" t="s">
        <v>2724</v>
      </c>
      <c r="G1790" s="464" t="s">
        <v>4999</v>
      </c>
      <c r="H1790" s="464" t="s">
        <v>5000</v>
      </c>
      <c r="I1790" s="464" t="s">
        <v>1684</v>
      </c>
    </row>
    <row r="1791" ht="15.95" customHeight="1">
      <c r="A1791" s="464" t="s">
        <v>5085</v>
      </c>
      <c r="B1791" s="464" t="s">
        <v>5086</v>
      </c>
      <c r="C1791" s="464"/>
      <c r="D1791" s="464" t="s">
        <v>1709</v>
      </c>
      <c r="E1791" s="464" t="s">
        <v>5081</v>
      </c>
      <c r="F1791" s="464" t="s">
        <v>2724</v>
      </c>
      <c r="G1791" s="464" t="s">
        <v>4999</v>
      </c>
      <c r="H1791" s="464" t="s">
        <v>5000</v>
      </c>
      <c r="I1791" s="464" t="s">
        <v>1684</v>
      </c>
    </row>
    <row r="1792" ht="15.95" customHeight="1">
      <c r="A1792" s="464" t="s">
        <v>5087</v>
      </c>
      <c r="B1792" s="464" t="s">
        <v>5088</v>
      </c>
      <c r="C1792" s="464"/>
      <c r="D1792" s="464" t="s">
        <v>1709</v>
      </c>
      <c r="E1792" s="464" t="s">
        <v>5081</v>
      </c>
      <c r="F1792" s="464" t="s">
        <v>2724</v>
      </c>
      <c r="G1792" s="464" t="s">
        <v>4999</v>
      </c>
      <c r="H1792" s="464" t="s">
        <v>5000</v>
      </c>
      <c r="I1792" s="464" t="s">
        <v>1684</v>
      </c>
    </row>
    <row r="1793" ht="15.95" customHeight="1">
      <c r="A1793" s="464" t="s">
        <v>5089</v>
      </c>
      <c r="B1793" s="464" t="s">
        <v>4249</v>
      </c>
      <c r="C1793" s="464"/>
      <c r="D1793" s="464" t="s">
        <v>1709</v>
      </c>
      <c r="E1793" s="464" t="s">
        <v>5081</v>
      </c>
      <c r="F1793" s="464" t="s">
        <v>2724</v>
      </c>
      <c r="G1793" s="464" t="s">
        <v>4999</v>
      </c>
      <c r="H1793" s="464" t="s">
        <v>5000</v>
      </c>
      <c r="I1793" s="464" t="s">
        <v>1684</v>
      </c>
    </row>
    <row r="1794" ht="15.95" customHeight="1">
      <c r="A1794" s="464" t="s">
        <v>5090</v>
      </c>
      <c r="B1794" s="464" t="s">
        <v>5091</v>
      </c>
      <c r="C1794" s="464"/>
      <c r="D1794" s="464" t="s">
        <v>1709</v>
      </c>
      <c r="E1794" s="464" t="s">
        <v>5081</v>
      </c>
      <c r="F1794" s="464" t="s">
        <v>2724</v>
      </c>
      <c r="G1794" s="464" t="s">
        <v>4999</v>
      </c>
      <c r="H1794" s="464" t="s">
        <v>5000</v>
      </c>
      <c r="I1794" s="464" t="s">
        <v>1684</v>
      </c>
    </row>
    <row r="1795" ht="15.95" customHeight="1">
      <c r="A1795" s="464" t="s">
        <v>5092</v>
      </c>
      <c r="B1795" s="464" t="s">
        <v>5093</v>
      </c>
      <c r="C1795" s="464"/>
      <c r="D1795" s="464" t="s">
        <v>1709</v>
      </c>
      <c r="E1795" s="464" t="s">
        <v>5081</v>
      </c>
      <c r="F1795" s="464" t="s">
        <v>2724</v>
      </c>
      <c r="G1795" s="464" t="s">
        <v>4999</v>
      </c>
      <c r="H1795" s="464" t="s">
        <v>5000</v>
      </c>
      <c r="I1795" s="464" t="s">
        <v>1684</v>
      </c>
    </row>
    <row r="1796" ht="15.95" customHeight="1">
      <c r="A1796" s="464" t="s">
        <v>5094</v>
      </c>
      <c r="B1796" s="464" t="s">
        <v>5095</v>
      </c>
      <c r="C1796" s="464"/>
      <c r="D1796" s="464" t="s">
        <v>1709</v>
      </c>
      <c r="E1796" s="464" t="s">
        <v>5081</v>
      </c>
      <c r="F1796" s="464" t="s">
        <v>2724</v>
      </c>
      <c r="G1796" s="464" t="s">
        <v>4999</v>
      </c>
      <c r="H1796" s="464" t="s">
        <v>5000</v>
      </c>
      <c r="I1796" s="464" t="s">
        <v>1684</v>
      </c>
    </row>
    <row r="1797" ht="15.95" customHeight="1">
      <c r="A1797" s="464" t="s">
        <v>5096</v>
      </c>
      <c r="B1797" s="464" t="s">
        <v>4955</v>
      </c>
      <c r="C1797" s="464"/>
      <c r="D1797" s="464" t="s">
        <v>1709</v>
      </c>
      <c r="E1797" s="464" t="s">
        <v>5081</v>
      </c>
      <c r="F1797" s="464" t="s">
        <v>2724</v>
      </c>
      <c r="G1797" s="464" t="s">
        <v>4999</v>
      </c>
      <c r="H1797" s="464" t="s">
        <v>5000</v>
      </c>
      <c r="I1797" s="464" t="s">
        <v>1684</v>
      </c>
    </row>
    <row r="1798" ht="15.95" customHeight="1">
      <c r="A1798" s="464" t="s">
        <v>5097</v>
      </c>
      <c r="B1798" s="464" t="s">
        <v>5098</v>
      </c>
      <c r="C1798" s="464"/>
      <c r="D1798" s="464" t="s">
        <v>1709</v>
      </c>
      <c r="E1798" s="464" t="s">
        <v>5081</v>
      </c>
      <c r="F1798" s="464" t="s">
        <v>2724</v>
      </c>
      <c r="G1798" s="464" t="s">
        <v>4999</v>
      </c>
      <c r="H1798" s="464" t="s">
        <v>5000</v>
      </c>
      <c r="I1798" s="464" t="s">
        <v>1684</v>
      </c>
    </row>
    <row r="1799" ht="15.95" customHeight="1">
      <c r="A1799" s="464" t="s">
        <v>5099</v>
      </c>
      <c r="B1799" s="464" t="s">
        <v>5100</v>
      </c>
      <c r="C1799" s="464"/>
      <c r="D1799" s="464" t="s">
        <v>1709</v>
      </c>
      <c r="E1799" s="464" t="s">
        <v>5081</v>
      </c>
      <c r="F1799" s="464" t="s">
        <v>2724</v>
      </c>
      <c r="G1799" s="464" t="s">
        <v>4999</v>
      </c>
      <c r="H1799" s="464" t="s">
        <v>5000</v>
      </c>
      <c r="I1799" s="464" t="s">
        <v>1684</v>
      </c>
    </row>
    <row r="1800" ht="15.95" customHeight="1">
      <c r="A1800" s="464" t="s">
        <v>5101</v>
      </c>
      <c r="B1800" s="464" t="s">
        <v>1904</v>
      </c>
      <c r="C1800" s="464"/>
      <c r="D1800" s="464" t="s">
        <v>1709</v>
      </c>
      <c r="E1800" s="464" t="s">
        <v>5081</v>
      </c>
      <c r="F1800" s="464" t="s">
        <v>2724</v>
      </c>
      <c r="G1800" s="464" t="s">
        <v>4999</v>
      </c>
      <c r="H1800" s="464" t="s">
        <v>5000</v>
      </c>
      <c r="I1800" s="464" t="s">
        <v>1684</v>
      </c>
    </row>
    <row r="1801" ht="15.95" customHeight="1">
      <c r="A1801" s="464" t="s">
        <v>5102</v>
      </c>
      <c r="B1801" s="464" t="s">
        <v>2888</v>
      </c>
      <c r="C1801" s="464"/>
      <c r="D1801" s="464" t="s">
        <v>1709</v>
      </c>
      <c r="E1801" s="464" t="s">
        <v>5081</v>
      </c>
      <c r="F1801" s="464" t="s">
        <v>2724</v>
      </c>
      <c r="G1801" s="464" t="s">
        <v>4999</v>
      </c>
      <c r="H1801" s="464" t="s">
        <v>5000</v>
      </c>
      <c r="I1801" s="464" t="s">
        <v>1684</v>
      </c>
    </row>
    <row r="1802" ht="15.95" customHeight="1">
      <c r="A1802" s="464" t="s">
        <v>5103</v>
      </c>
      <c r="B1802" s="464" t="s">
        <v>5104</v>
      </c>
      <c r="C1802" s="464"/>
      <c r="D1802" s="464" t="s">
        <v>1738</v>
      </c>
      <c r="E1802" s="464" t="s">
        <v>5105</v>
      </c>
      <c r="F1802" s="464" t="s">
        <v>5106</v>
      </c>
      <c r="G1802" s="464" t="s">
        <v>4999</v>
      </c>
      <c r="H1802" s="464" t="s">
        <v>5000</v>
      </c>
      <c r="I1802" s="464" t="s">
        <v>1684</v>
      </c>
    </row>
    <row r="1803" ht="15.95" customHeight="1">
      <c r="A1803" s="464" t="s">
        <v>5107</v>
      </c>
      <c r="B1803" s="464" t="s">
        <v>5108</v>
      </c>
      <c r="C1803" s="464"/>
      <c r="D1803" s="464" t="s">
        <v>1738</v>
      </c>
      <c r="E1803" s="464" t="s">
        <v>5105</v>
      </c>
      <c r="F1803" s="464" t="s">
        <v>5106</v>
      </c>
      <c r="G1803" s="464" t="s">
        <v>4999</v>
      </c>
      <c r="H1803" s="464" t="s">
        <v>5000</v>
      </c>
      <c r="I1803" s="464" t="s">
        <v>1684</v>
      </c>
    </row>
    <row r="1804" ht="15.95" customHeight="1">
      <c r="A1804" s="464" t="s">
        <v>5109</v>
      </c>
      <c r="B1804" s="464" t="s">
        <v>5110</v>
      </c>
      <c r="C1804" s="464"/>
      <c r="D1804" s="464" t="s">
        <v>1709</v>
      </c>
      <c r="E1804" s="464" t="s">
        <v>5105</v>
      </c>
      <c r="F1804" s="464" t="s">
        <v>5106</v>
      </c>
      <c r="G1804" s="464" t="s">
        <v>4999</v>
      </c>
      <c r="H1804" s="464" t="s">
        <v>5000</v>
      </c>
      <c r="I1804" s="464" t="s">
        <v>1684</v>
      </c>
    </row>
    <row r="1805" ht="15.95" customHeight="1">
      <c r="A1805" s="464" t="s">
        <v>5111</v>
      </c>
      <c r="B1805" s="464" t="s">
        <v>5112</v>
      </c>
      <c r="C1805" s="464"/>
      <c r="D1805" s="464" t="s">
        <v>1709</v>
      </c>
      <c r="E1805" s="464" t="s">
        <v>5105</v>
      </c>
      <c r="F1805" s="464" t="s">
        <v>5106</v>
      </c>
      <c r="G1805" s="464" t="s">
        <v>4999</v>
      </c>
      <c r="H1805" s="464" t="s">
        <v>5000</v>
      </c>
      <c r="I1805" s="464" t="s">
        <v>1684</v>
      </c>
    </row>
    <row r="1806" ht="15.95" customHeight="1">
      <c r="A1806" s="464" t="s">
        <v>5113</v>
      </c>
      <c r="B1806" s="464" t="s">
        <v>4902</v>
      </c>
      <c r="C1806" s="464"/>
      <c r="D1806" s="464" t="s">
        <v>1709</v>
      </c>
      <c r="E1806" s="464" t="s">
        <v>5105</v>
      </c>
      <c r="F1806" s="464" t="s">
        <v>5106</v>
      </c>
      <c r="G1806" s="464" t="s">
        <v>4999</v>
      </c>
      <c r="H1806" s="464" t="s">
        <v>5000</v>
      </c>
      <c r="I1806" s="464" t="s">
        <v>1684</v>
      </c>
    </row>
    <row r="1807" ht="15.95" customHeight="1">
      <c r="A1807" s="464" t="s">
        <v>5114</v>
      </c>
      <c r="B1807" s="464" t="s">
        <v>4606</v>
      </c>
      <c r="C1807" s="464"/>
      <c r="D1807" s="464" t="s">
        <v>1709</v>
      </c>
      <c r="E1807" s="464" t="s">
        <v>5105</v>
      </c>
      <c r="F1807" s="464" t="s">
        <v>5106</v>
      </c>
      <c r="G1807" s="464" t="s">
        <v>4999</v>
      </c>
      <c r="H1807" s="464" t="s">
        <v>5000</v>
      </c>
      <c r="I1807" s="464" t="s">
        <v>1684</v>
      </c>
    </row>
    <row r="1808" ht="15.95" customHeight="1">
      <c r="A1808" s="464" t="s">
        <v>5115</v>
      </c>
      <c r="B1808" s="464" t="s">
        <v>5116</v>
      </c>
      <c r="C1808" s="464"/>
      <c r="D1808" s="464" t="s">
        <v>1709</v>
      </c>
      <c r="E1808" s="464" t="s">
        <v>5105</v>
      </c>
      <c r="F1808" s="464" t="s">
        <v>5106</v>
      </c>
      <c r="G1808" s="464" t="s">
        <v>4999</v>
      </c>
      <c r="H1808" s="464" t="s">
        <v>5000</v>
      </c>
      <c r="I1808" s="464" t="s">
        <v>1684</v>
      </c>
    </row>
    <row r="1809" ht="15.95" customHeight="1">
      <c r="A1809" s="464" t="s">
        <v>5117</v>
      </c>
      <c r="B1809" s="464" t="s">
        <v>3075</v>
      </c>
      <c r="C1809" s="464"/>
      <c r="D1809" s="464" t="s">
        <v>1709</v>
      </c>
      <c r="E1809" s="464" t="s">
        <v>5105</v>
      </c>
      <c r="F1809" s="464" t="s">
        <v>5106</v>
      </c>
      <c r="G1809" s="464" t="s">
        <v>4999</v>
      </c>
      <c r="H1809" s="464" t="s">
        <v>5000</v>
      </c>
      <c r="I1809" s="464" t="s">
        <v>1684</v>
      </c>
    </row>
    <row r="1810" ht="15.95" customHeight="1">
      <c r="A1810" s="464" t="s">
        <v>5118</v>
      </c>
      <c r="B1810" s="464" t="s">
        <v>1960</v>
      </c>
      <c r="C1810" s="464"/>
      <c r="D1810" s="464" t="s">
        <v>1709</v>
      </c>
      <c r="E1810" s="464" t="s">
        <v>5105</v>
      </c>
      <c r="F1810" s="464" t="s">
        <v>5106</v>
      </c>
      <c r="G1810" s="464" t="s">
        <v>4999</v>
      </c>
      <c r="H1810" s="464" t="s">
        <v>5000</v>
      </c>
      <c r="I1810" s="464" t="s">
        <v>1684</v>
      </c>
    </row>
    <row r="1811" ht="15.95" customHeight="1">
      <c r="A1811" s="464" t="s">
        <v>5119</v>
      </c>
      <c r="B1811" s="464" t="s">
        <v>3390</v>
      </c>
      <c r="C1811" s="464"/>
      <c r="D1811" s="464" t="s">
        <v>1709</v>
      </c>
      <c r="E1811" s="464" t="s">
        <v>5105</v>
      </c>
      <c r="F1811" s="464" t="s">
        <v>5106</v>
      </c>
      <c r="G1811" s="464" t="s">
        <v>4999</v>
      </c>
      <c r="H1811" s="464" t="s">
        <v>5000</v>
      </c>
      <c r="I1811" s="464" t="s">
        <v>1684</v>
      </c>
    </row>
    <row r="1812" ht="15.95" customHeight="1">
      <c r="A1812" s="464" t="s">
        <v>5120</v>
      </c>
      <c r="B1812" s="464" t="s">
        <v>5121</v>
      </c>
      <c r="C1812" s="464"/>
      <c r="D1812" s="464" t="s">
        <v>1709</v>
      </c>
      <c r="E1812" s="464" t="s">
        <v>5105</v>
      </c>
      <c r="F1812" s="464" t="s">
        <v>5106</v>
      </c>
      <c r="G1812" s="464" t="s">
        <v>4999</v>
      </c>
      <c r="H1812" s="464" t="s">
        <v>5000</v>
      </c>
      <c r="I1812" s="464" t="s">
        <v>1684</v>
      </c>
    </row>
    <row r="1813" ht="15.95" customHeight="1">
      <c r="A1813" s="464" t="s">
        <v>5122</v>
      </c>
      <c r="B1813" s="464" t="s">
        <v>5123</v>
      </c>
      <c r="C1813" s="464"/>
      <c r="D1813" s="464" t="s">
        <v>1709</v>
      </c>
      <c r="E1813" s="464" t="s">
        <v>5105</v>
      </c>
      <c r="F1813" s="464" t="s">
        <v>5106</v>
      </c>
      <c r="G1813" s="464" t="s">
        <v>4999</v>
      </c>
      <c r="H1813" s="464" t="s">
        <v>5000</v>
      </c>
      <c r="I1813" s="464" t="s">
        <v>1684</v>
      </c>
    </row>
    <row r="1814" ht="15.95" customHeight="1">
      <c r="A1814" s="464" t="s">
        <v>5124</v>
      </c>
      <c r="B1814" s="464" t="s">
        <v>5125</v>
      </c>
      <c r="C1814" s="464"/>
      <c r="D1814" s="464" t="s">
        <v>1709</v>
      </c>
      <c r="E1814" s="464" t="s">
        <v>5105</v>
      </c>
      <c r="F1814" s="464" t="s">
        <v>5106</v>
      </c>
      <c r="G1814" s="464" t="s">
        <v>4999</v>
      </c>
      <c r="H1814" s="464" t="s">
        <v>5000</v>
      </c>
      <c r="I1814" s="464" t="s">
        <v>1684</v>
      </c>
    </row>
    <row r="1815" ht="15.95" customHeight="1">
      <c r="A1815" s="464" t="s">
        <v>5126</v>
      </c>
      <c r="B1815" s="464" t="s">
        <v>5127</v>
      </c>
      <c r="C1815" s="464"/>
      <c r="D1815" s="464" t="s">
        <v>1709</v>
      </c>
      <c r="E1815" s="464" t="s">
        <v>5105</v>
      </c>
      <c r="F1815" s="464" t="s">
        <v>5106</v>
      </c>
      <c r="G1815" s="464" t="s">
        <v>4999</v>
      </c>
      <c r="H1815" s="464" t="s">
        <v>5000</v>
      </c>
      <c r="I1815" s="464" t="s">
        <v>1684</v>
      </c>
    </row>
    <row r="1816" ht="15.95" customHeight="1">
      <c r="A1816" s="464" t="s">
        <v>5128</v>
      </c>
      <c r="B1816" s="464" t="s">
        <v>5129</v>
      </c>
      <c r="C1816" s="464"/>
      <c r="D1816" s="464" t="s">
        <v>1709</v>
      </c>
      <c r="E1816" s="464" t="s">
        <v>5105</v>
      </c>
      <c r="F1816" s="464" t="s">
        <v>5106</v>
      </c>
      <c r="G1816" s="464" t="s">
        <v>4999</v>
      </c>
      <c r="H1816" s="464" t="s">
        <v>5000</v>
      </c>
      <c r="I1816" s="464" t="s">
        <v>1684</v>
      </c>
    </row>
    <row r="1817" ht="15.95" customHeight="1">
      <c r="A1817" s="464" t="s">
        <v>5130</v>
      </c>
      <c r="B1817" s="464" t="s">
        <v>5131</v>
      </c>
      <c r="C1817" s="464"/>
      <c r="D1817" s="464" t="s">
        <v>1738</v>
      </c>
      <c r="E1817" s="464" t="s">
        <v>5132</v>
      </c>
      <c r="F1817" s="464" t="s">
        <v>5133</v>
      </c>
      <c r="G1817" s="464" t="s">
        <v>4999</v>
      </c>
      <c r="H1817" s="464" t="s">
        <v>5000</v>
      </c>
      <c r="I1817" s="464" t="s">
        <v>1684</v>
      </c>
    </row>
    <row r="1818" ht="15.95" customHeight="1">
      <c r="A1818" s="464" t="s">
        <v>5134</v>
      </c>
      <c r="B1818" s="464" t="s">
        <v>5135</v>
      </c>
      <c r="C1818" s="464"/>
      <c r="D1818" s="464" t="s">
        <v>1738</v>
      </c>
      <c r="E1818" s="464" t="s">
        <v>5132</v>
      </c>
      <c r="F1818" s="464" t="s">
        <v>5133</v>
      </c>
      <c r="G1818" s="464" t="s">
        <v>4999</v>
      </c>
      <c r="H1818" s="464" t="s">
        <v>5000</v>
      </c>
      <c r="I1818" s="464" t="s">
        <v>1684</v>
      </c>
    </row>
    <row r="1819" ht="15.95" customHeight="1">
      <c r="A1819" s="464" t="s">
        <v>5136</v>
      </c>
      <c r="B1819" s="464" t="s">
        <v>3487</v>
      </c>
      <c r="C1819" s="464"/>
      <c r="D1819" s="464" t="s">
        <v>1709</v>
      </c>
      <c r="E1819" s="464" t="s">
        <v>5132</v>
      </c>
      <c r="F1819" s="464" t="s">
        <v>5133</v>
      </c>
      <c r="G1819" s="464" t="s">
        <v>4999</v>
      </c>
      <c r="H1819" s="464" t="s">
        <v>5000</v>
      </c>
      <c r="I1819" s="464" t="s">
        <v>1684</v>
      </c>
    </row>
    <row r="1820" ht="15.95" customHeight="1">
      <c r="A1820" s="464" t="s">
        <v>5137</v>
      </c>
      <c r="B1820" s="464" t="s">
        <v>5138</v>
      </c>
      <c r="C1820" s="464"/>
      <c r="D1820" s="464" t="s">
        <v>1709</v>
      </c>
      <c r="E1820" s="464" t="s">
        <v>5132</v>
      </c>
      <c r="F1820" s="464" t="s">
        <v>5133</v>
      </c>
      <c r="G1820" s="464" t="s">
        <v>4999</v>
      </c>
      <c r="H1820" s="464" t="s">
        <v>5000</v>
      </c>
      <c r="I1820" s="464" t="s">
        <v>1684</v>
      </c>
    </row>
    <row r="1821" ht="15.95" customHeight="1">
      <c r="A1821" s="464" t="s">
        <v>5139</v>
      </c>
      <c r="B1821" s="464" t="s">
        <v>5140</v>
      </c>
      <c r="C1821" s="464"/>
      <c r="D1821" s="464" t="s">
        <v>1709</v>
      </c>
      <c r="E1821" s="464" t="s">
        <v>5132</v>
      </c>
      <c r="F1821" s="464" t="s">
        <v>5133</v>
      </c>
      <c r="G1821" s="464" t="s">
        <v>4999</v>
      </c>
      <c r="H1821" s="464" t="s">
        <v>5000</v>
      </c>
      <c r="I1821" s="464" t="s">
        <v>1684</v>
      </c>
    </row>
    <row r="1822" ht="15.95" customHeight="1">
      <c r="A1822" s="464" t="s">
        <v>5141</v>
      </c>
      <c r="B1822" s="464" t="s">
        <v>5142</v>
      </c>
      <c r="C1822" s="464"/>
      <c r="D1822" s="464" t="s">
        <v>1709</v>
      </c>
      <c r="E1822" s="464" t="s">
        <v>5132</v>
      </c>
      <c r="F1822" s="464" t="s">
        <v>5133</v>
      </c>
      <c r="G1822" s="464" t="s">
        <v>4999</v>
      </c>
      <c r="H1822" s="464" t="s">
        <v>5000</v>
      </c>
      <c r="I1822" s="464" t="s">
        <v>1684</v>
      </c>
    </row>
    <row r="1823" ht="15.95" customHeight="1">
      <c r="A1823" s="464" t="s">
        <v>5143</v>
      </c>
      <c r="B1823" s="464" t="s">
        <v>5144</v>
      </c>
      <c r="C1823" s="464"/>
      <c r="D1823" s="464" t="s">
        <v>1709</v>
      </c>
      <c r="E1823" s="464" t="s">
        <v>5132</v>
      </c>
      <c r="F1823" s="464" t="s">
        <v>5133</v>
      </c>
      <c r="G1823" s="464" t="s">
        <v>4999</v>
      </c>
      <c r="H1823" s="464" t="s">
        <v>5000</v>
      </c>
      <c r="I1823" s="464" t="s">
        <v>1684</v>
      </c>
    </row>
    <row r="1824" ht="15.95" customHeight="1">
      <c r="A1824" s="464" t="s">
        <v>5145</v>
      </c>
      <c r="B1824" s="464" t="s">
        <v>5146</v>
      </c>
      <c r="C1824" s="464"/>
      <c r="D1824" s="464" t="s">
        <v>1709</v>
      </c>
      <c r="E1824" s="464" t="s">
        <v>5132</v>
      </c>
      <c r="F1824" s="464" t="s">
        <v>5133</v>
      </c>
      <c r="G1824" s="464" t="s">
        <v>4999</v>
      </c>
      <c r="H1824" s="464" t="s">
        <v>5000</v>
      </c>
      <c r="I1824" s="464" t="s">
        <v>1684</v>
      </c>
    </row>
    <row r="1825" ht="15.95" customHeight="1">
      <c r="A1825" s="464" t="s">
        <v>5147</v>
      </c>
      <c r="B1825" s="464" t="s">
        <v>4611</v>
      </c>
      <c r="C1825" s="464"/>
      <c r="D1825" s="464" t="s">
        <v>1709</v>
      </c>
      <c r="E1825" s="464" t="s">
        <v>5132</v>
      </c>
      <c r="F1825" s="464" t="s">
        <v>5133</v>
      </c>
      <c r="G1825" s="464" t="s">
        <v>4999</v>
      </c>
      <c r="H1825" s="464" t="s">
        <v>5000</v>
      </c>
      <c r="I1825" s="464" t="s">
        <v>1684</v>
      </c>
    </row>
    <row r="1826" ht="15.95" customHeight="1">
      <c r="A1826" s="464" t="s">
        <v>5148</v>
      </c>
      <c r="B1826" s="464" t="s">
        <v>3132</v>
      </c>
      <c r="C1826" s="464"/>
      <c r="D1826" s="464" t="s">
        <v>1709</v>
      </c>
      <c r="E1826" s="464" t="s">
        <v>5132</v>
      </c>
      <c r="F1826" s="464" t="s">
        <v>5133</v>
      </c>
      <c r="G1826" s="464" t="s">
        <v>4999</v>
      </c>
      <c r="H1826" s="464" t="s">
        <v>5000</v>
      </c>
      <c r="I1826" s="464" t="s">
        <v>1684</v>
      </c>
    </row>
    <row r="1827" ht="15.95" customHeight="1">
      <c r="A1827" s="464" t="s">
        <v>5149</v>
      </c>
      <c r="B1827" s="464" t="s">
        <v>5150</v>
      </c>
      <c r="C1827" s="464"/>
      <c r="D1827" s="464" t="s">
        <v>1709</v>
      </c>
      <c r="E1827" s="464" t="s">
        <v>5132</v>
      </c>
      <c r="F1827" s="464" t="s">
        <v>5133</v>
      </c>
      <c r="G1827" s="464" t="s">
        <v>4999</v>
      </c>
      <c r="H1827" s="464" t="s">
        <v>5000</v>
      </c>
      <c r="I1827" s="464" t="s">
        <v>1684</v>
      </c>
    </row>
    <row r="1828" ht="15.95" customHeight="1">
      <c r="A1828" s="464" t="s">
        <v>5151</v>
      </c>
      <c r="B1828" s="464" t="s">
        <v>5152</v>
      </c>
      <c r="C1828" s="464"/>
      <c r="D1828" s="464" t="s">
        <v>1709</v>
      </c>
      <c r="E1828" s="464" t="s">
        <v>5132</v>
      </c>
      <c r="F1828" s="464" t="s">
        <v>5133</v>
      </c>
      <c r="G1828" s="464" t="s">
        <v>4999</v>
      </c>
      <c r="H1828" s="464" t="s">
        <v>5000</v>
      </c>
      <c r="I1828" s="464" t="s">
        <v>1684</v>
      </c>
    </row>
    <row r="1829" ht="15.95" customHeight="1">
      <c r="A1829" s="464" t="s">
        <v>5153</v>
      </c>
      <c r="B1829" s="464" t="s">
        <v>5154</v>
      </c>
      <c r="C1829" s="464"/>
      <c r="D1829" s="464" t="s">
        <v>1709</v>
      </c>
      <c r="E1829" s="464" t="s">
        <v>5132</v>
      </c>
      <c r="F1829" s="464" t="s">
        <v>5133</v>
      </c>
      <c r="G1829" s="464" t="s">
        <v>4999</v>
      </c>
      <c r="H1829" s="464" t="s">
        <v>5000</v>
      </c>
      <c r="I1829" s="464" t="s">
        <v>1684</v>
      </c>
    </row>
    <row r="1830" ht="15.95" customHeight="1">
      <c r="A1830" s="464" t="s">
        <v>5155</v>
      </c>
      <c r="B1830" s="464" t="s">
        <v>2886</v>
      </c>
      <c r="C1830" s="464"/>
      <c r="D1830" s="464" t="s">
        <v>1709</v>
      </c>
      <c r="E1830" s="464" t="s">
        <v>5132</v>
      </c>
      <c r="F1830" s="464" t="s">
        <v>5133</v>
      </c>
      <c r="G1830" s="464" t="s">
        <v>4999</v>
      </c>
      <c r="H1830" s="464" t="s">
        <v>5000</v>
      </c>
      <c r="I1830" s="464" t="s">
        <v>1684</v>
      </c>
    </row>
    <row r="1831" ht="15.95" customHeight="1">
      <c r="A1831" s="464" t="s">
        <v>5156</v>
      </c>
      <c r="B1831" s="464" t="s">
        <v>5157</v>
      </c>
      <c r="C1831" s="464"/>
      <c r="D1831" s="464" t="s">
        <v>1709</v>
      </c>
      <c r="E1831" s="464" t="s">
        <v>5132</v>
      </c>
      <c r="F1831" s="464" t="s">
        <v>5133</v>
      </c>
      <c r="G1831" s="464" t="s">
        <v>4999</v>
      </c>
      <c r="H1831" s="464" t="s">
        <v>5000</v>
      </c>
      <c r="I1831" s="464" t="s">
        <v>1684</v>
      </c>
    </row>
    <row r="1832" ht="15.95" customHeight="1">
      <c r="A1832" s="464" t="s">
        <v>5158</v>
      </c>
      <c r="B1832" s="464" t="s">
        <v>4260</v>
      </c>
      <c r="C1832" s="464"/>
      <c r="D1832" s="464" t="s">
        <v>1709</v>
      </c>
      <c r="E1832" s="464" t="s">
        <v>5132</v>
      </c>
      <c r="F1832" s="464" t="s">
        <v>5133</v>
      </c>
      <c r="G1832" s="464" t="s">
        <v>4999</v>
      </c>
      <c r="H1832" s="464" t="s">
        <v>5000</v>
      </c>
      <c r="I1832" s="464" t="s">
        <v>1684</v>
      </c>
    </row>
    <row r="1833" ht="15.95" customHeight="1">
      <c r="A1833" s="464" t="s">
        <v>5159</v>
      </c>
      <c r="B1833" s="464" t="s">
        <v>2546</v>
      </c>
      <c r="C1833" s="464"/>
      <c r="D1833" s="464" t="s">
        <v>1709</v>
      </c>
      <c r="E1833" s="464" t="s">
        <v>5132</v>
      </c>
      <c r="F1833" s="464" t="s">
        <v>5133</v>
      </c>
      <c r="G1833" s="464" t="s">
        <v>4999</v>
      </c>
      <c r="H1833" s="464" t="s">
        <v>5000</v>
      </c>
      <c r="I1833" s="464" t="s">
        <v>1684</v>
      </c>
    </row>
    <row r="1834" ht="15.95" customHeight="1">
      <c r="A1834" s="464" t="s">
        <v>5160</v>
      </c>
      <c r="B1834" s="464" t="s">
        <v>5161</v>
      </c>
      <c r="C1834" s="464"/>
      <c r="D1834" s="464" t="s">
        <v>1709</v>
      </c>
      <c r="E1834" s="464" t="s">
        <v>5162</v>
      </c>
      <c r="F1834" s="464" t="s">
        <v>5163</v>
      </c>
      <c r="G1834" s="464" t="s">
        <v>4999</v>
      </c>
      <c r="H1834" s="464" t="s">
        <v>5000</v>
      </c>
      <c r="I1834" s="464" t="s">
        <v>1684</v>
      </c>
    </row>
    <row r="1835" ht="15.95" customHeight="1">
      <c r="A1835" s="464" t="s">
        <v>5164</v>
      </c>
      <c r="B1835" s="464" t="s">
        <v>5165</v>
      </c>
      <c r="C1835" s="464"/>
      <c r="D1835" s="464" t="s">
        <v>1709</v>
      </c>
      <c r="E1835" s="464" t="s">
        <v>5162</v>
      </c>
      <c r="F1835" s="464" t="s">
        <v>5163</v>
      </c>
      <c r="G1835" s="464" t="s">
        <v>4999</v>
      </c>
      <c r="H1835" s="464" t="s">
        <v>5000</v>
      </c>
      <c r="I1835" s="464" t="s">
        <v>1684</v>
      </c>
    </row>
    <row r="1836" ht="15.95" customHeight="1">
      <c r="A1836" s="464" t="s">
        <v>5166</v>
      </c>
      <c r="B1836" s="464" t="s">
        <v>3284</v>
      </c>
      <c r="C1836" s="464"/>
      <c r="D1836" s="464" t="s">
        <v>1738</v>
      </c>
      <c r="E1836" s="464" t="s">
        <v>5162</v>
      </c>
      <c r="F1836" s="464" t="s">
        <v>5163</v>
      </c>
      <c r="G1836" s="464" t="s">
        <v>4999</v>
      </c>
      <c r="H1836" s="464" t="s">
        <v>5000</v>
      </c>
      <c r="I1836" s="464" t="s">
        <v>1684</v>
      </c>
    </row>
    <row r="1837" ht="15.95" customHeight="1">
      <c r="A1837" s="464" t="s">
        <v>5167</v>
      </c>
      <c r="B1837" s="464" t="s">
        <v>2801</v>
      </c>
      <c r="C1837" s="464"/>
      <c r="D1837" s="464" t="s">
        <v>1709</v>
      </c>
      <c r="E1837" s="464" t="s">
        <v>5162</v>
      </c>
      <c r="F1837" s="464" t="s">
        <v>5163</v>
      </c>
      <c r="G1837" s="464" t="s">
        <v>4999</v>
      </c>
      <c r="H1837" s="464" t="s">
        <v>5000</v>
      </c>
      <c r="I1837" s="464" t="s">
        <v>1684</v>
      </c>
    </row>
    <row r="1838" ht="15.95" customHeight="1">
      <c r="A1838" s="464" t="s">
        <v>5168</v>
      </c>
      <c r="B1838" s="464" t="s">
        <v>5169</v>
      </c>
      <c r="C1838" s="464"/>
      <c r="D1838" s="464" t="s">
        <v>1709</v>
      </c>
      <c r="E1838" s="464" t="s">
        <v>5162</v>
      </c>
      <c r="F1838" s="464" t="s">
        <v>5163</v>
      </c>
      <c r="G1838" s="464" t="s">
        <v>4999</v>
      </c>
      <c r="H1838" s="464" t="s">
        <v>5000</v>
      </c>
      <c r="I1838" s="464" t="s">
        <v>1684</v>
      </c>
    </row>
    <row r="1839" ht="15.95" customHeight="1">
      <c r="A1839" s="464" t="s">
        <v>5170</v>
      </c>
      <c r="B1839" s="464" t="s">
        <v>2751</v>
      </c>
      <c r="C1839" s="464"/>
      <c r="D1839" s="464" t="s">
        <v>1709</v>
      </c>
      <c r="E1839" s="464" t="s">
        <v>5162</v>
      </c>
      <c r="F1839" s="464" t="s">
        <v>5163</v>
      </c>
      <c r="G1839" s="464" t="s">
        <v>4999</v>
      </c>
      <c r="H1839" s="464" t="s">
        <v>5000</v>
      </c>
      <c r="I1839" s="464" t="s">
        <v>1684</v>
      </c>
    </row>
    <row r="1840" ht="15.95" customHeight="1">
      <c r="A1840" s="464" t="s">
        <v>5171</v>
      </c>
      <c r="B1840" s="464" t="s">
        <v>5172</v>
      </c>
      <c r="C1840" s="464"/>
      <c r="D1840" s="464" t="s">
        <v>1709</v>
      </c>
      <c r="E1840" s="464" t="s">
        <v>5162</v>
      </c>
      <c r="F1840" s="464" t="s">
        <v>5163</v>
      </c>
      <c r="G1840" s="464" t="s">
        <v>4999</v>
      </c>
      <c r="H1840" s="464" t="s">
        <v>5000</v>
      </c>
      <c r="I1840" s="464" t="s">
        <v>1684</v>
      </c>
    </row>
    <row r="1841" ht="15.95" customHeight="1">
      <c r="A1841" s="464" t="s">
        <v>5173</v>
      </c>
      <c r="B1841" s="464" t="s">
        <v>1287</v>
      </c>
      <c r="C1841" s="464"/>
      <c r="D1841" s="464" t="s">
        <v>1679</v>
      </c>
      <c r="E1841" s="464" t="s">
        <v>5174</v>
      </c>
      <c r="F1841" s="464" t="s">
        <v>5175</v>
      </c>
      <c r="G1841" s="464" t="s">
        <v>4999</v>
      </c>
      <c r="H1841" s="464" t="s">
        <v>5000</v>
      </c>
      <c r="I1841" s="464" t="s">
        <v>1684</v>
      </c>
    </row>
    <row r="1842" ht="15.95" customHeight="1">
      <c r="A1842" s="464" t="s">
        <v>5176</v>
      </c>
      <c r="B1842" s="464" t="s">
        <v>5177</v>
      </c>
      <c r="C1842" s="464"/>
      <c r="D1842" s="464" t="s">
        <v>1709</v>
      </c>
      <c r="E1842" s="464" t="s">
        <v>5174</v>
      </c>
      <c r="F1842" s="464" t="s">
        <v>5175</v>
      </c>
      <c r="G1842" s="464" t="s">
        <v>4999</v>
      </c>
      <c r="H1842" s="464" t="s">
        <v>5000</v>
      </c>
      <c r="I1842" s="464" t="s">
        <v>1684</v>
      </c>
    </row>
    <row r="1843" ht="15.95" customHeight="1">
      <c r="A1843" s="464" t="s">
        <v>5178</v>
      </c>
      <c r="B1843" s="464" t="s">
        <v>2110</v>
      </c>
      <c r="C1843" s="464"/>
      <c r="D1843" s="464" t="s">
        <v>1679</v>
      </c>
      <c r="E1843" s="464" t="s">
        <v>5174</v>
      </c>
      <c r="F1843" s="464" t="s">
        <v>5175</v>
      </c>
      <c r="G1843" s="464" t="s">
        <v>4999</v>
      </c>
      <c r="H1843" s="464" t="s">
        <v>5000</v>
      </c>
      <c r="I1843" s="464" t="s">
        <v>1684</v>
      </c>
    </row>
    <row r="1844" ht="15.95" customHeight="1">
      <c r="A1844" s="464" t="s">
        <v>5179</v>
      </c>
      <c r="B1844" s="464" t="s">
        <v>5180</v>
      </c>
      <c r="C1844" s="464"/>
      <c r="D1844" s="464" t="s">
        <v>1709</v>
      </c>
      <c r="E1844" s="464" t="s">
        <v>5174</v>
      </c>
      <c r="F1844" s="464" t="s">
        <v>5175</v>
      </c>
      <c r="G1844" s="464" t="s">
        <v>4999</v>
      </c>
      <c r="H1844" s="464" t="s">
        <v>5000</v>
      </c>
      <c r="I1844" s="464" t="s">
        <v>1684</v>
      </c>
    </row>
    <row r="1845" ht="15.95" customHeight="1">
      <c r="A1845" s="464" t="s">
        <v>5181</v>
      </c>
      <c r="B1845" s="464" t="s">
        <v>5182</v>
      </c>
      <c r="C1845" s="464"/>
      <c r="D1845" s="464" t="s">
        <v>1709</v>
      </c>
      <c r="E1845" s="464" t="s">
        <v>5174</v>
      </c>
      <c r="F1845" s="464" t="s">
        <v>5175</v>
      </c>
      <c r="G1845" s="464" t="s">
        <v>4999</v>
      </c>
      <c r="H1845" s="464" t="s">
        <v>5000</v>
      </c>
      <c r="I1845" s="464" t="s">
        <v>1684</v>
      </c>
    </row>
    <row r="1846" ht="15.95" customHeight="1">
      <c r="A1846" s="464" t="s">
        <v>5183</v>
      </c>
      <c r="B1846" s="464" t="s">
        <v>5184</v>
      </c>
      <c r="C1846" s="464"/>
      <c r="D1846" s="464" t="s">
        <v>1709</v>
      </c>
      <c r="E1846" s="464" t="s">
        <v>5174</v>
      </c>
      <c r="F1846" s="464" t="s">
        <v>5175</v>
      </c>
      <c r="G1846" s="464" t="s">
        <v>4999</v>
      </c>
      <c r="H1846" s="464" t="s">
        <v>5000</v>
      </c>
      <c r="I1846" s="464" t="s">
        <v>1684</v>
      </c>
    </row>
    <row r="1847" ht="15.95" customHeight="1">
      <c r="A1847" s="464" t="s">
        <v>5185</v>
      </c>
      <c r="B1847" s="464" t="s">
        <v>2248</v>
      </c>
      <c r="C1847" s="464"/>
      <c r="D1847" s="464" t="s">
        <v>1709</v>
      </c>
      <c r="E1847" s="464" t="s">
        <v>5174</v>
      </c>
      <c r="F1847" s="464" t="s">
        <v>5175</v>
      </c>
      <c r="G1847" s="464" t="s">
        <v>4999</v>
      </c>
      <c r="H1847" s="464" t="s">
        <v>5000</v>
      </c>
      <c r="I1847" s="464" t="s">
        <v>1684</v>
      </c>
    </row>
    <row r="1848" ht="15.95" customHeight="1">
      <c r="A1848" s="464" t="s">
        <v>5186</v>
      </c>
      <c r="B1848" s="464" t="s">
        <v>1266</v>
      </c>
      <c r="C1848" s="464"/>
      <c r="D1848" s="464" t="s">
        <v>1679</v>
      </c>
      <c r="E1848" s="464" t="s">
        <v>5187</v>
      </c>
      <c r="F1848" s="464" t="s">
        <v>5188</v>
      </c>
      <c r="G1848" s="464" t="s">
        <v>5189</v>
      </c>
      <c r="H1848" s="464" t="s">
        <v>5190</v>
      </c>
      <c r="I1848" s="464" t="s">
        <v>1684</v>
      </c>
    </row>
    <row r="1849" ht="15.95" customHeight="1">
      <c r="A1849" s="464" t="s">
        <v>5191</v>
      </c>
      <c r="B1849" s="464" t="s">
        <v>2115</v>
      </c>
      <c r="C1849" s="464"/>
      <c r="D1849" s="464" t="s">
        <v>1679</v>
      </c>
      <c r="E1849" s="464" t="s">
        <v>5187</v>
      </c>
      <c r="F1849" s="464" t="s">
        <v>5188</v>
      </c>
      <c r="G1849" s="464" t="s">
        <v>5189</v>
      </c>
      <c r="H1849" s="464" t="s">
        <v>5190</v>
      </c>
      <c r="I1849" s="464" t="s">
        <v>1684</v>
      </c>
    </row>
    <row r="1850" ht="15.95" customHeight="1">
      <c r="A1850" s="464" t="s">
        <v>5192</v>
      </c>
      <c r="B1850" s="464" t="s">
        <v>1287</v>
      </c>
      <c r="C1850" s="464"/>
      <c r="D1850" s="464" t="s">
        <v>1679</v>
      </c>
      <c r="E1850" s="464" t="s">
        <v>5187</v>
      </c>
      <c r="F1850" s="464" t="s">
        <v>5188</v>
      </c>
      <c r="G1850" s="464" t="s">
        <v>5189</v>
      </c>
      <c r="H1850" s="464" t="s">
        <v>5190</v>
      </c>
      <c r="I1850" s="464" t="s">
        <v>1684</v>
      </c>
    </row>
    <row r="1851" ht="15.95" customHeight="1">
      <c r="A1851" s="464" t="s">
        <v>5193</v>
      </c>
      <c r="B1851" s="464" t="s">
        <v>2110</v>
      </c>
      <c r="C1851" s="464"/>
      <c r="D1851" s="464" t="s">
        <v>1679</v>
      </c>
      <c r="E1851" s="464" t="s">
        <v>5187</v>
      </c>
      <c r="F1851" s="464" t="s">
        <v>5188</v>
      </c>
      <c r="G1851" s="464" t="s">
        <v>5189</v>
      </c>
      <c r="H1851" s="464" t="s">
        <v>5190</v>
      </c>
      <c r="I1851" s="464" t="s">
        <v>1684</v>
      </c>
    </row>
    <row r="1852" ht="15.95" customHeight="1">
      <c r="A1852" s="464" t="s">
        <v>5194</v>
      </c>
      <c r="B1852" s="464" t="s">
        <v>1282</v>
      </c>
      <c r="C1852" s="464"/>
      <c r="D1852" s="464" t="s">
        <v>1679</v>
      </c>
      <c r="E1852" s="464" t="s">
        <v>5187</v>
      </c>
      <c r="F1852" s="464" t="s">
        <v>5188</v>
      </c>
      <c r="G1852" s="464" t="s">
        <v>5189</v>
      </c>
      <c r="H1852" s="464" t="s">
        <v>5190</v>
      </c>
      <c r="I1852" s="464" t="s">
        <v>1684</v>
      </c>
    </row>
    <row r="1853" ht="15.95" customHeight="1">
      <c r="A1853" s="464" t="s">
        <v>5195</v>
      </c>
      <c r="B1853" s="464" t="s">
        <v>1269</v>
      </c>
      <c r="C1853" s="464"/>
      <c r="D1853" s="464" t="s">
        <v>1679</v>
      </c>
      <c r="E1853" s="464" t="s">
        <v>5187</v>
      </c>
      <c r="F1853" s="464" t="s">
        <v>5188</v>
      </c>
      <c r="G1853" s="464" t="s">
        <v>5189</v>
      </c>
      <c r="H1853" s="464" t="s">
        <v>5190</v>
      </c>
      <c r="I1853" s="464" t="s">
        <v>1684</v>
      </c>
    </row>
    <row r="1854" ht="15.95" customHeight="1">
      <c r="A1854" s="464" t="s">
        <v>5196</v>
      </c>
      <c r="B1854" s="464" t="s">
        <v>1279</v>
      </c>
      <c r="C1854" s="464"/>
      <c r="D1854" s="464" t="s">
        <v>1679</v>
      </c>
      <c r="E1854" s="464" t="s">
        <v>5187</v>
      </c>
      <c r="F1854" s="464" t="s">
        <v>5188</v>
      </c>
      <c r="G1854" s="464" t="s">
        <v>5189</v>
      </c>
      <c r="H1854" s="464" t="s">
        <v>5190</v>
      </c>
      <c r="I1854" s="464" t="s">
        <v>1684</v>
      </c>
    </row>
    <row r="1855" ht="15.95" customHeight="1">
      <c r="A1855" s="464" t="s">
        <v>5197</v>
      </c>
      <c r="B1855" s="464" t="s">
        <v>5198</v>
      </c>
      <c r="C1855" s="464"/>
      <c r="D1855" s="464" t="s">
        <v>1709</v>
      </c>
      <c r="E1855" s="464" t="s">
        <v>5187</v>
      </c>
      <c r="F1855" s="464" t="s">
        <v>5188</v>
      </c>
      <c r="G1855" s="464" t="s">
        <v>5189</v>
      </c>
      <c r="H1855" s="464" t="s">
        <v>5190</v>
      </c>
      <c r="I1855" s="464" t="s">
        <v>1684</v>
      </c>
    </row>
    <row r="1856" ht="15.95" customHeight="1">
      <c r="A1856" s="464" t="s">
        <v>5199</v>
      </c>
      <c r="B1856" s="464" t="s">
        <v>2563</v>
      </c>
      <c r="C1856" s="464"/>
      <c r="D1856" s="464" t="s">
        <v>1709</v>
      </c>
      <c r="E1856" s="464" t="s">
        <v>5187</v>
      </c>
      <c r="F1856" s="464" t="s">
        <v>5188</v>
      </c>
      <c r="G1856" s="464" t="s">
        <v>5189</v>
      </c>
      <c r="H1856" s="464" t="s">
        <v>5190</v>
      </c>
      <c r="I1856" s="464" t="s">
        <v>1684</v>
      </c>
    </row>
    <row r="1857" ht="15.95" customHeight="1">
      <c r="A1857" s="464" t="s">
        <v>5200</v>
      </c>
      <c r="B1857" s="464" t="s">
        <v>2253</v>
      </c>
      <c r="C1857" s="464"/>
      <c r="D1857" s="464" t="s">
        <v>1709</v>
      </c>
      <c r="E1857" s="464" t="s">
        <v>5187</v>
      </c>
      <c r="F1857" s="464" t="s">
        <v>5188</v>
      </c>
      <c r="G1857" s="464" t="s">
        <v>5189</v>
      </c>
      <c r="H1857" s="464" t="s">
        <v>5190</v>
      </c>
      <c r="I1857" s="464" t="s">
        <v>1684</v>
      </c>
    </row>
    <row r="1858" ht="15.95" customHeight="1">
      <c r="A1858" s="464" t="s">
        <v>5201</v>
      </c>
      <c r="B1858" s="464" t="s">
        <v>5202</v>
      </c>
      <c r="C1858" s="464"/>
      <c r="D1858" s="464" t="s">
        <v>1709</v>
      </c>
      <c r="E1858" s="464" t="s">
        <v>5187</v>
      </c>
      <c r="F1858" s="464" t="s">
        <v>5188</v>
      </c>
      <c r="G1858" s="464" t="s">
        <v>5189</v>
      </c>
      <c r="H1858" s="464" t="s">
        <v>5190</v>
      </c>
      <c r="I1858" s="464" t="s">
        <v>1684</v>
      </c>
    </row>
    <row r="1859" ht="15.95" customHeight="1">
      <c r="A1859" s="464" t="s">
        <v>5203</v>
      </c>
      <c r="B1859" s="464" t="s">
        <v>5204</v>
      </c>
      <c r="C1859" s="464"/>
      <c r="D1859" s="464" t="s">
        <v>1738</v>
      </c>
      <c r="E1859" s="464" t="s">
        <v>5205</v>
      </c>
      <c r="F1859" s="464" t="s">
        <v>5206</v>
      </c>
      <c r="G1859" s="464" t="s">
        <v>5189</v>
      </c>
      <c r="H1859" s="464" t="s">
        <v>5190</v>
      </c>
      <c r="I1859" s="464" t="s">
        <v>1684</v>
      </c>
    </row>
    <row r="1860" ht="15.95" customHeight="1">
      <c r="A1860" s="464" t="s">
        <v>5207</v>
      </c>
      <c r="B1860" s="464" t="s">
        <v>5208</v>
      </c>
      <c r="C1860" s="464"/>
      <c r="D1860" s="464" t="s">
        <v>1709</v>
      </c>
      <c r="E1860" s="464" t="s">
        <v>5205</v>
      </c>
      <c r="F1860" s="464" t="s">
        <v>5206</v>
      </c>
      <c r="G1860" s="464" t="s">
        <v>5189</v>
      </c>
      <c r="H1860" s="464" t="s">
        <v>5190</v>
      </c>
      <c r="I1860" s="464" t="s">
        <v>1684</v>
      </c>
    </row>
    <row r="1861" ht="15.95" customHeight="1">
      <c r="A1861" s="464" t="s">
        <v>5209</v>
      </c>
      <c r="B1861" s="464" t="s">
        <v>5210</v>
      </c>
      <c r="C1861" s="464"/>
      <c r="D1861" s="464" t="s">
        <v>1709</v>
      </c>
      <c r="E1861" s="464" t="s">
        <v>5205</v>
      </c>
      <c r="F1861" s="464" t="s">
        <v>5206</v>
      </c>
      <c r="G1861" s="464" t="s">
        <v>5189</v>
      </c>
      <c r="H1861" s="464" t="s">
        <v>5190</v>
      </c>
      <c r="I1861" s="464" t="s">
        <v>1684</v>
      </c>
    </row>
    <row r="1862" ht="15.95" customHeight="1">
      <c r="A1862" s="464" t="s">
        <v>5211</v>
      </c>
      <c r="B1862" s="464" t="s">
        <v>2298</v>
      </c>
      <c r="C1862" s="464"/>
      <c r="D1862" s="464" t="s">
        <v>1709</v>
      </c>
      <c r="E1862" s="464" t="s">
        <v>5205</v>
      </c>
      <c r="F1862" s="464" t="s">
        <v>5206</v>
      </c>
      <c r="G1862" s="464" t="s">
        <v>5189</v>
      </c>
      <c r="H1862" s="464" t="s">
        <v>5190</v>
      </c>
      <c r="I1862" s="464" t="s">
        <v>1684</v>
      </c>
    </row>
    <row r="1863" ht="15.95" customHeight="1">
      <c r="A1863" s="464" t="s">
        <v>5212</v>
      </c>
      <c r="B1863" s="464" t="s">
        <v>2743</v>
      </c>
      <c r="C1863" s="464"/>
      <c r="D1863" s="464" t="s">
        <v>1709</v>
      </c>
      <c r="E1863" s="464" t="s">
        <v>5205</v>
      </c>
      <c r="F1863" s="464" t="s">
        <v>5206</v>
      </c>
      <c r="G1863" s="464" t="s">
        <v>5189</v>
      </c>
      <c r="H1863" s="464" t="s">
        <v>5190</v>
      </c>
      <c r="I1863" s="464" t="s">
        <v>1684</v>
      </c>
    </row>
    <row r="1864" ht="15.95" customHeight="1">
      <c r="A1864" s="464" t="s">
        <v>5213</v>
      </c>
      <c r="B1864" s="464" t="s">
        <v>5214</v>
      </c>
      <c r="C1864" s="464"/>
      <c r="D1864" s="464" t="s">
        <v>1709</v>
      </c>
      <c r="E1864" s="464" t="s">
        <v>5205</v>
      </c>
      <c r="F1864" s="464" t="s">
        <v>5206</v>
      </c>
      <c r="G1864" s="464" t="s">
        <v>5189</v>
      </c>
      <c r="H1864" s="464" t="s">
        <v>5190</v>
      </c>
      <c r="I1864" s="464" t="s">
        <v>1684</v>
      </c>
    </row>
    <row r="1865" ht="15.95" customHeight="1">
      <c r="A1865" s="464" t="s">
        <v>5215</v>
      </c>
      <c r="B1865" s="464" t="s">
        <v>3073</v>
      </c>
      <c r="C1865" s="464"/>
      <c r="D1865" s="464" t="s">
        <v>1709</v>
      </c>
      <c r="E1865" s="464" t="s">
        <v>5205</v>
      </c>
      <c r="F1865" s="464" t="s">
        <v>5206</v>
      </c>
      <c r="G1865" s="464" t="s">
        <v>5189</v>
      </c>
      <c r="H1865" s="464" t="s">
        <v>5190</v>
      </c>
      <c r="I1865" s="464" t="s">
        <v>1684</v>
      </c>
    </row>
    <row r="1866" ht="15.95" customHeight="1">
      <c r="A1866" s="464" t="s">
        <v>5216</v>
      </c>
      <c r="B1866" s="464" t="s">
        <v>1785</v>
      </c>
      <c r="C1866" s="464"/>
      <c r="D1866" s="464" t="s">
        <v>1709</v>
      </c>
      <c r="E1866" s="464" t="s">
        <v>5205</v>
      </c>
      <c r="F1866" s="464" t="s">
        <v>5206</v>
      </c>
      <c r="G1866" s="464" t="s">
        <v>5189</v>
      </c>
      <c r="H1866" s="464" t="s">
        <v>5190</v>
      </c>
      <c r="I1866" s="464" t="s">
        <v>1684</v>
      </c>
    </row>
    <row r="1867" ht="15.95" customHeight="1">
      <c r="A1867" s="464" t="s">
        <v>5217</v>
      </c>
      <c r="B1867" s="464" t="s">
        <v>2796</v>
      </c>
      <c r="C1867" s="464"/>
      <c r="D1867" s="464" t="s">
        <v>1709</v>
      </c>
      <c r="E1867" s="464" t="s">
        <v>5205</v>
      </c>
      <c r="F1867" s="464" t="s">
        <v>5206</v>
      </c>
      <c r="G1867" s="464" t="s">
        <v>5189</v>
      </c>
      <c r="H1867" s="464" t="s">
        <v>5190</v>
      </c>
      <c r="I1867" s="464" t="s">
        <v>1684</v>
      </c>
    </row>
    <row r="1868" ht="15.95" customHeight="1">
      <c r="A1868" s="464" t="s">
        <v>5218</v>
      </c>
      <c r="B1868" s="464" t="s">
        <v>4748</v>
      </c>
      <c r="C1868" s="464"/>
      <c r="D1868" s="464" t="s">
        <v>1709</v>
      </c>
      <c r="E1868" s="464" t="s">
        <v>5205</v>
      </c>
      <c r="F1868" s="464" t="s">
        <v>5206</v>
      </c>
      <c r="G1868" s="464" t="s">
        <v>5189</v>
      </c>
      <c r="H1868" s="464" t="s">
        <v>5190</v>
      </c>
      <c r="I1868" s="464" t="s">
        <v>1684</v>
      </c>
    </row>
    <row r="1869" ht="15.95" customHeight="1">
      <c r="A1869" s="464" t="s">
        <v>5219</v>
      </c>
      <c r="B1869" s="464" t="s">
        <v>2477</v>
      </c>
      <c r="C1869" s="464"/>
      <c r="D1869" s="464" t="s">
        <v>1709</v>
      </c>
      <c r="E1869" s="464" t="s">
        <v>5205</v>
      </c>
      <c r="F1869" s="464" t="s">
        <v>5206</v>
      </c>
      <c r="G1869" s="464" t="s">
        <v>5189</v>
      </c>
      <c r="H1869" s="464" t="s">
        <v>5190</v>
      </c>
      <c r="I1869" s="464" t="s">
        <v>1684</v>
      </c>
    </row>
    <row r="1870" ht="15.95" customHeight="1">
      <c r="A1870" s="464" t="s">
        <v>5220</v>
      </c>
      <c r="B1870" s="464" t="s">
        <v>3299</v>
      </c>
      <c r="C1870" s="464"/>
      <c r="D1870" s="464" t="s">
        <v>1709</v>
      </c>
      <c r="E1870" s="464" t="s">
        <v>5205</v>
      </c>
      <c r="F1870" s="464" t="s">
        <v>5206</v>
      </c>
      <c r="G1870" s="464" t="s">
        <v>5189</v>
      </c>
      <c r="H1870" s="464" t="s">
        <v>5190</v>
      </c>
      <c r="I1870" s="464" t="s">
        <v>1684</v>
      </c>
    </row>
    <row r="1871" ht="15.95" customHeight="1">
      <c r="A1871" s="464" t="s">
        <v>5221</v>
      </c>
      <c r="B1871" s="464" t="s">
        <v>5222</v>
      </c>
      <c r="C1871" s="464"/>
      <c r="D1871" s="464" t="s">
        <v>1709</v>
      </c>
      <c r="E1871" s="464" t="s">
        <v>5205</v>
      </c>
      <c r="F1871" s="464" t="s">
        <v>5206</v>
      </c>
      <c r="G1871" s="464" t="s">
        <v>5189</v>
      </c>
      <c r="H1871" s="464" t="s">
        <v>5190</v>
      </c>
      <c r="I1871" s="464" t="s">
        <v>1684</v>
      </c>
    </row>
    <row r="1872" ht="15.95" customHeight="1">
      <c r="A1872" s="464" t="s">
        <v>5223</v>
      </c>
      <c r="B1872" s="464" t="s">
        <v>5224</v>
      </c>
      <c r="C1872" s="464"/>
      <c r="D1872" s="464" t="s">
        <v>1709</v>
      </c>
      <c r="E1872" s="464" t="s">
        <v>5205</v>
      </c>
      <c r="F1872" s="464" t="s">
        <v>5206</v>
      </c>
      <c r="G1872" s="464" t="s">
        <v>5189</v>
      </c>
      <c r="H1872" s="464" t="s">
        <v>5190</v>
      </c>
      <c r="I1872" s="464" t="s">
        <v>1684</v>
      </c>
    </row>
    <row r="1873" ht="15.95" customHeight="1">
      <c r="A1873" s="464" t="s">
        <v>5225</v>
      </c>
      <c r="B1873" s="464" t="s">
        <v>1910</v>
      </c>
      <c r="C1873" s="464"/>
      <c r="D1873" s="464" t="s">
        <v>1709</v>
      </c>
      <c r="E1873" s="464" t="s">
        <v>5205</v>
      </c>
      <c r="F1873" s="464" t="s">
        <v>5206</v>
      </c>
      <c r="G1873" s="464" t="s">
        <v>5189</v>
      </c>
      <c r="H1873" s="464" t="s">
        <v>5190</v>
      </c>
      <c r="I1873" s="464" t="s">
        <v>1684</v>
      </c>
    </row>
    <row r="1874" ht="15.95" customHeight="1">
      <c r="A1874" s="464" t="s">
        <v>5226</v>
      </c>
      <c r="B1874" s="464" t="s">
        <v>5227</v>
      </c>
      <c r="C1874" s="464"/>
      <c r="D1874" s="464" t="s">
        <v>1738</v>
      </c>
      <c r="E1874" s="464" t="s">
        <v>5228</v>
      </c>
      <c r="F1874" s="464" t="s">
        <v>5229</v>
      </c>
      <c r="G1874" s="464" t="s">
        <v>5189</v>
      </c>
      <c r="H1874" s="464" t="s">
        <v>5190</v>
      </c>
      <c r="I1874" s="464" t="s">
        <v>1684</v>
      </c>
    </row>
    <row r="1875" ht="15.95" customHeight="1">
      <c r="A1875" s="464" t="s">
        <v>5230</v>
      </c>
      <c r="B1875" s="464" t="s">
        <v>4281</v>
      </c>
      <c r="C1875" s="464"/>
      <c r="D1875" s="464" t="s">
        <v>1709</v>
      </c>
      <c r="E1875" s="464" t="s">
        <v>5228</v>
      </c>
      <c r="F1875" s="464" t="s">
        <v>5229</v>
      </c>
      <c r="G1875" s="464" t="s">
        <v>5189</v>
      </c>
      <c r="H1875" s="464" t="s">
        <v>5190</v>
      </c>
      <c r="I1875" s="464" t="s">
        <v>1684</v>
      </c>
    </row>
    <row r="1876" ht="15.95" customHeight="1">
      <c r="A1876" s="464" t="s">
        <v>5231</v>
      </c>
      <c r="B1876" s="464" t="s">
        <v>4489</v>
      </c>
      <c r="C1876" s="464"/>
      <c r="D1876" s="464" t="s">
        <v>1709</v>
      </c>
      <c r="E1876" s="464" t="s">
        <v>5228</v>
      </c>
      <c r="F1876" s="464" t="s">
        <v>5229</v>
      </c>
      <c r="G1876" s="464" t="s">
        <v>5189</v>
      </c>
      <c r="H1876" s="464" t="s">
        <v>5190</v>
      </c>
      <c r="I1876" s="464" t="s">
        <v>1684</v>
      </c>
    </row>
    <row r="1877" ht="15.95" customHeight="1">
      <c r="A1877" s="464" t="s">
        <v>5232</v>
      </c>
      <c r="B1877" s="464" t="s">
        <v>3288</v>
      </c>
      <c r="C1877" s="464"/>
      <c r="D1877" s="464" t="s">
        <v>1709</v>
      </c>
      <c r="E1877" s="464" t="s">
        <v>5228</v>
      </c>
      <c r="F1877" s="464" t="s">
        <v>5229</v>
      </c>
      <c r="G1877" s="464" t="s">
        <v>5189</v>
      </c>
      <c r="H1877" s="464" t="s">
        <v>5190</v>
      </c>
      <c r="I1877" s="464" t="s">
        <v>1684</v>
      </c>
    </row>
    <row r="1878" ht="15.95" customHeight="1">
      <c r="A1878" s="464" t="s">
        <v>5233</v>
      </c>
      <c r="B1878" s="464" t="s">
        <v>5234</v>
      </c>
      <c r="C1878" s="464"/>
      <c r="D1878" s="464" t="s">
        <v>1709</v>
      </c>
      <c r="E1878" s="464" t="s">
        <v>5228</v>
      </c>
      <c r="F1878" s="464" t="s">
        <v>5229</v>
      </c>
      <c r="G1878" s="464" t="s">
        <v>5189</v>
      </c>
      <c r="H1878" s="464" t="s">
        <v>5190</v>
      </c>
      <c r="I1878" s="464" t="s">
        <v>1684</v>
      </c>
    </row>
    <row r="1879" ht="15.95" customHeight="1">
      <c r="A1879" s="464" t="s">
        <v>5235</v>
      </c>
      <c r="B1879" s="464" t="s">
        <v>3497</v>
      </c>
      <c r="C1879" s="464"/>
      <c r="D1879" s="464" t="s">
        <v>1709</v>
      </c>
      <c r="E1879" s="464" t="s">
        <v>5228</v>
      </c>
      <c r="F1879" s="464" t="s">
        <v>5229</v>
      </c>
      <c r="G1879" s="464" t="s">
        <v>5189</v>
      </c>
      <c r="H1879" s="464" t="s">
        <v>5190</v>
      </c>
      <c r="I1879" s="464" t="s">
        <v>1684</v>
      </c>
    </row>
    <row r="1880" ht="15.95" customHeight="1">
      <c r="A1880" s="464" t="s">
        <v>5236</v>
      </c>
      <c r="B1880" s="464" t="s">
        <v>4620</v>
      </c>
      <c r="C1880" s="464"/>
      <c r="D1880" s="464" t="s">
        <v>1709</v>
      </c>
      <c r="E1880" s="464" t="s">
        <v>5228</v>
      </c>
      <c r="F1880" s="464" t="s">
        <v>5229</v>
      </c>
      <c r="G1880" s="464" t="s">
        <v>5189</v>
      </c>
      <c r="H1880" s="464" t="s">
        <v>5190</v>
      </c>
      <c r="I1880" s="464" t="s">
        <v>1684</v>
      </c>
    </row>
    <row r="1881" ht="15.95" customHeight="1">
      <c r="A1881" s="464" t="s">
        <v>5237</v>
      </c>
      <c r="B1881" s="464" t="s">
        <v>5238</v>
      </c>
      <c r="C1881" s="464"/>
      <c r="D1881" s="464" t="s">
        <v>1709</v>
      </c>
      <c r="E1881" s="464" t="s">
        <v>5228</v>
      </c>
      <c r="F1881" s="464" t="s">
        <v>5229</v>
      </c>
      <c r="G1881" s="464" t="s">
        <v>5189</v>
      </c>
      <c r="H1881" s="464" t="s">
        <v>5190</v>
      </c>
      <c r="I1881" s="464" t="s">
        <v>1684</v>
      </c>
    </row>
    <row r="1882" ht="15.95" customHeight="1">
      <c r="A1882" s="464" t="s">
        <v>5239</v>
      </c>
      <c r="B1882" s="464" t="s">
        <v>5240</v>
      </c>
      <c r="C1882" s="464"/>
      <c r="D1882" s="464" t="s">
        <v>1709</v>
      </c>
      <c r="E1882" s="464" t="s">
        <v>5228</v>
      </c>
      <c r="F1882" s="464" t="s">
        <v>5229</v>
      </c>
      <c r="G1882" s="464" t="s">
        <v>5189</v>
      </c>
      <c r="H1882" s="464" t="s">
        <v>5190</v>
      </c>
      <c r="I1882" s="464" t="s">
        <v>1684</v>
      </c>
    </row>
    <row r="1883" ht="15.95" customHeight="1">
      <c r="A1883" s="464" t="s">
        <v>5241</v>
      </c>
      <c r="B1883" s="464" t="s">
        <v>5242</v>
      </c>
      <c r="C1883" s="464"/>
      <c r="D1883" s="464" t="s">
        <v>1709</v>
      </c>
      <c r="E1883" s="464" t="s">
        <v>5228</v>
      </c>
      <c r="F1883" s="464" t="s">
        <v>5229</v>
      </c>
      <c r="G1883" s="464" t="s">
        <v>5189</v>
      </c>
      <c r="H1883" s="464" t="s">
        <v>5190</v>
      </c>
      <c r="I1883" s="464" t="s">
        <v>1684</v>
      </c>
    </row>
    <row r="1884" ht="15.95" customHeight="1">
      <c r="A1884" s="464" t="s">
        <v>5243</v>
      </c>
      <c r="B1884" s="464" t="s">
        <v>3933</v>
      </c>
      <c r="C1884" s="464"/>
      <c r="D1884" s="464" t="s">
        <v>1709</v>
      </c>
      <c r="E1884" s="464" t="s">
        <v>5228</v>
      </c>
      <c r="F1884" s="464" t="s">
        <v>5229</v>
      </c>
      <c r="G1884" s="464" t="s">
        <v>5189</v>
      </c>
      <c r="H1884" s="464" t="s">
        <v>5190</v>
      </c>
      <c r="I1884" s="464" t="s">
        <v>1684</v>
      </c>
    </row>
    <row r="1885" ht="15.95" customHeight="1">
      <c r="A1885" s="464" t="s">
        <v>5244</v>
      </c>
      <c r="B1885" s="464" t="s">
        <v>2935</v>
      </c>
      <c r="C1885" s="464"/>
      <c r="D1885" s="464" t="s">
        <v>1709</v>
      </c>
      <c r="E1885" s="464" t="s">
        <v>5228</v>
      </c>
      <c r="F1885" s="464" t="s">
        <v>5229</v>
      </c>
      <c r="G1885" s="464" t="s">
        <v>5189</v>
      </c>
      <c r="H1885" s="464" t="s">
        <v>5190</v>
      </c>
      <c r="I1885" s="464" t="s">
        <v>1684</v>
      </c>
    </row>
    <row r="1886" ht="15.95" customHeight="1">
      <c r="A1886" s="464" t="s">
        <v>5245</v>
      </c>
      <c r="B1886" s="464" t="s">
        <v>5246</v>
      </c>
      <c r="C1886" s="464"/>
      <c r="D1886" s="464" t="s">
        <v>1709</v>
      </c>
      <c r="E1886" s="464" t="s">
        <v>5228</v>
      </c>
      <c r="F1886" s="464" t="s">
        <v>5229</v>
      </c>
      <c r="G1886" s="464" t="s">
        <v>5189</v>
      </c>
      <c r="H1886" s="464" t="s">
        <v>5190</v>
      </c>
      <c r="I1886" s="464" t="s">
        <v>1684</v>
      </c>
    </row>
    <row r="1887" ht="15.95" customHeight="1">
      <c r="A1887" s="464" t="s">
        <v>5247</v>
      </c>
      <c r="B1887" s="464" t="s">
        <v>5248</v>
      </c>
      <c r="C1887" s="464"/>
      <c r="D1887" s="464" t="s">
        <v>1738</v>
      </c>
      <c r="E1887" s="464" t="s">
        <v>5249</v>
      </c>
      <c r="F1887" s="464" t="s">
        <v>5250</v>
      </c>
      <c r="G1887" s="464" t="s">
        <v>5189</v>
      </c>
      <c r="H1887" s="464" t="s">
        <v>5190</v>
      </c>
      <c r="I1887" s="464" t="s">
        <v>1684</v>
      </c>
    </row>
    <row r="1888" ht="15.95" customHeight="1">
      <c r="A1888" s="464" t="s">
        <v>5251</v>
      </c>
      <c r="B1888" s="464" t="s">
        <v>5252</v>
      </c>
      <c r="C1888" s="464"/>
      <c r="D1888" s="464" t="s">
        <v>1709</v>
      </c>
      <c r="E1888" s="464" t="s">
        <v>5249</v>
      </c>
      <c r="F1888" s="464" t="s">
        <v>5250</v>
      </c>
      <c r="G1888" s="464" t="s">
        <v>5189</v>
      </c>
      <c r="H1888" s="464" t="s">
        <v>5190</v>
      </c>
      <c r="I1888" s="464" t="s">
        <v>1684</v>
      </c>
    </row>
    <row r="1889" ht="15.95" customHeight="1">
      <c r="A1889" s="464" t="s">
        <v>5253</v>
      </c>
      <c r="B1889" s="464" t="s">
        <v>5254</v>
      </c>
      <c r="C1889" s="464"/>
      <c r="D1889" s="464" t="s">
        <v>1709</v>
      </c>
      <c r="E1889" s="464" t="s">
        <v>5249</v>
      </c>
      <c r="F1889" s="464" t="s">
        <v>5250</v>
      </c>
      <c r="G1889" s="464" t="s">
        <v>5189</v>
      </c>
      <c r="H1889" s="464" t="s">
        <v>5190</v>
      </c>
      <c r="I1889" s="464" t="s">
        <v>1684</v>
      </c>
    </row>
    <row r="1890" ht="15.95" customHeight="1">
      <c r="A1890" s="464" t="s">
        <v>5255</v>
      </c>
      <c r="B1890" s="464" t="s">
        <v>5256</v>
      </c>
      <c r="C1890" s="464"/>
      <c r="D1890" s="464" t="s">
        <v>1709</v>
      </c>
      <c r="E1890" s="464" t="s">
        <v>5249</v>
      </c>
      <c r="F1890" s="464" t="s">
        <v>5250</v>
      </c>
      <c r="G1890" s="464" t="s">
        <v>5189</v>
      </c>
      <c r="H1890" s="464" t="s">
        <v>5190</v>
      </c>
      <c r="I1890" s="464" t="s">
        <v>1684</v>
      </c>
    </row>
    <row r="1891" ht="15.95" customHeight="1">
      <c r="A1891" s="464" t="s">
        <v>5257</v>
      </c>
      <c r="B1891" s="464" t="s">
        <v>3967</v>
      </c>
      <c r="C1891" s="464"/>
      <c r="D1891" s="464" t="s">
        <v>1709</v>
      </c>
      <c r="E1891" s="464" t="s">
        <v>5249</v>
      </c>
      <c r="F1891" s="464" t="s">
        <v>5250</v>
      </c>
      <c r="G1891" s="464" t="s">
        <v>5189</v>
      </c>
      <c r="H1891" s="464" t="s">
        <v>5190</v>
      </c>
      <c r="I1891" s="464" t="s">
        <v>1684</v>
      </c>
    </row>
    <row r="1892" ht="15.95" customHeight="1">
      <c r="A1892" s="464" t="s">
        <v>5258</v>
      </c>
      <c r="B1892" s="464" t="s">
        <v>5259</v>
      </c>
      <c r="C1892" s="464"/>
      <c r="D1892" s="464" t="s">
        <v>1709</v>
      </c>
      <c r="E1892" s="464" t="s">
        <v>5249</v>
      </c>
      <c r="F1892" s="464" t="s">
        <v>5250</v>
      </c>
      <c r="G1892" s="464" t="s">
        <v>5189</v>
      </c>
      <c r="H1892" s="464" t="s">
        <v>5190</v>
      </c>
      <c r="I1892" s="464" t="s">
        <v>1684</v>
      </c>
    </row>
    <row r="1893" ht="15.95" customHeight="1">
      <c r="A1893" s="464" t="s">
        <v>5260</v>
      </c>
      <c r="B1893" s="464" t="s">
        <v>2540</v>
      </c>
      <c r="C1893" s="464"/>
      <c r="D1893" s="464" t="s">
        <v>1709</v>
      </c>
      <c r="E1893" s="464" t="s">
        <v>5249</v>
      </c>
      <c r="F1893" s="464" t="s">
        <v>5250</v>
      </c>
      <c r="G1893" s="464" t="s">
        <v>5189</v>
      </c>
      <c r="H1893" s="464" t="s">
        <v>5190</v>
      </c>
      <c r="I1893" s="464" t="s">
        <v>1684</v>
      </c>
    </row>
    <row r="1894" ht="15.95" customHeight="1">
      <c r="A1894" s="464" t="s">
        <v>5261</v>
      </c>
      <c r="B1894" s="464" t="s">
        <v>5262</v>
      </c>
      <c r="C1894" s="464"/>
      <c r="D1894" s="464" t="s">
        <v>1709</v>
      </c>
      <c r="E1894" s="464" t="s">
        <v>5249</v>
      </c>
      <c r="F1894" s="464" t="s">
        <v>5250</v>
      </c>
      <c r="G1894" s="464" t="s">
        <v>5189</v>
      </c>
      <c r="H1894" s="464" t="s">
        <v>5190</v>
      </c>
      <c r="I1894" s="464" t="s">
        <v>1684</v>
      </c>
    </row>
    <row r="1895" ht="15.95" customHeight="1">
      <c r="A1895" s="464" t="s">
        <v>5263</v>
      </c>
      <c r="B1895" s="464" t="s">
        <v>5264</v>
      </c>
      <c r="C1895" s="464"/>
      <c r="D1895" s="464" t="s">
        <v>1709</v>
      </c>
      <c r="E1895" s="464" t="s">
        <v>5249</v>
      </c>
      <c r="F1895" s="464" t="s">
        <v>5250</v>
      </c>
      <c r="G1895" s="464" t="s">
        <v>5189</v>
      </c>
      <c r="H1895" s="464" t="s">
        <v>5190</v>
      </c>
      <c r="I1895" s="464" t="s">
        <v>1684</v>
      </c>
    </row>
    <row r="1896" ht="15.95" customHeight="1">
      <c r="A1896" s="464" t="s">
        <v>5265</v>
      </c>
      <c r="B1896" s="464" t="s">
        <v>5266</v>
      </c>
      <c r="C1896" s="464"/>
      <c r="D1896" s="464" t="s">
        <v>1709</v>
      </c>
      <c r="E1896" s="464" t="s">
        <v>5249</v>
      </c>
      <c r="F1896" s="464" t="s">
        <v>5250</v>
      </c>
      <c r="G1896" s="464" t="s">
        <v>5189</v>
      </c>
      <c r="H1896" s="464" t="s">
        <v>5190</v>
      </c>
      <c r="I1896" s="464" t="s">
        <v>1684</v>
      </c>
    </row>
    <row r="1897" ht="15.95" customHeight="1">
      <c r="A1897" s="464" t="s">
        <v>5267</v>
      </c>
      <c r="B1897" s="464" t="s">
        <v>5268</v>
      </c>
      <c r="C1897" s="464"/>
      <c r="D1897" s="464" t="s">
        <v>1709</v>
      </c>
      <c r="E1897" s="464" t="s">
        <v>5249</v>
      </c>
      <c r="F1897" s="464" t="s">
        <v>5250</v>
      </c>
      <c r="G1897" s="464" t="s">
        <v>5189</v>
      </c>
      <c r="H1897" s="464" t="s">
        <v>5190</v>
      </c>
      <c r="I1897" s="464" t="s">
        <v>1684</v>
      </c>
    </row>
    <row r="1898" ht="15.95" customHeight="1">
      <c r="A1898" s="464" t="s">
        <v>5269</v>
      </c>
      <c r="B1898" s="464" t="s">
        <v>5270</v>
      </c>
      <c r="C1898" s="464"/>
      <c r="D1898" s="464" t="s">
        <v>1709</v>
      </c>
      <c r="E1898" s="464" t="s">
        <v>5249</v>
      </c>
      <c r="F1898" s="464" t="s">
        <v>5250</v>
      </c>
      <c r="G1898" s="464" t="s">
        <v>5189</v>
      </c>
      <c r="H1898" s="464" t="s">
        <v>5190</v>
      </c>
      <c r="I1898" s="464" t="s">
        <v>1684</v>
      </c>
    </row>
    <row r="1899" ht="15.95" customHeight="1">
      <c r="A1899" s="464" t="s">
        <v>5271</v>
      </c>
      <c r="B1899" s="464" t="s">
        <v>5272</v>
      </c>
      <c r="C1899" s="464"/>
      <c r="D1899" s="464" t="s">
        <v>1709</v>
      </c>
      <c r="E1899" s="464" t="s">
        <v>5249</v>
      </c>
      <c r="F1899" s="464" t="s">
        <v>5250</v>
      </c>
      <c r="G1899" s="464" t="s">
        <v>5189</v>
      </c>
      <c r="H1899" s="464" t="s">
        <v>5190</v>
      </c>
      <c r="I1899" s="464" t="s">
        <v>1684</v>
      </c>
    </row>
    <row r="1900" ht="15.95" customHeight="1">
      <c r="A1900" s="464" t="s">
        <v>5273</v>
      </c>
      <c r="B1900" s="464" t="s">
        <v>5274</v>
      </c>
      <c r="C1900" s="464"/>
      <c r="D1900" s="464" t="s">
        <v>1709</v>
      </c>
      <c r="E1900" s="464" t="s">
        <v>5249</v>
      </c>
      <c r="F1900" s="464" t="s">
        <v>5250</v>
      </c>
      <c r="G1900" s="464" t="s">
        <v>5189</v>
      </c>
      <c r="H1900" s="464" t="s">
        <v>5190</v>
      </c>
      <c r="I1900" s="464" t="s">
        <v>1684</v>
      </c>
    </row>
    <row r="1901" ht="15.95" customHeight="1">
      <c r="A1901" s="464" t="s">
        <v>5275</v>
      </c>
      <c r="B1901" s="464" t="s">
        <v>5276</v>
      </c>
      <c r="C1901" s="464"/>
      <c r="D1901" s="464" t="s">
        <v>1709</v>
      </c>
      <c r="E1901" s="464" t="s">
        <v>5249</v>
      </c>
      <c r="F1901" s="464" t="s">
        <v>5250</v>
      </c>
      <c r="G1901" s="464" t="s">
        <v>5189</v>
      </c>
      <c r="H1901" s="464" t="s">
        <v>5190</v>
      </c>
      <c r="I1901" s="464" t="s">
        <v>1684</v>
      </c>
    </row>
    <row r="1902" ht="15.95" customHeight="1">
      <c r="A1902" s="464" t="s">
        <v>5277</v>
      </c>
      <c r="B1902" s="464" t="s">
        <v>5278</v>
      </c>
      <c r="C1902" s="464"/>
      <c r="D1902" s="464" t="s">
        <v>1709</v>
      </c>
      <c r="E1902" s="464" t="s">
        <v>5249</v>
      </c>
      <c r="F1902" s="464" t="s">
        <v>5250</v>
      </c>
      <c r="G1902" s="464" t="s">
        <v>5189</v>
      </c>
      <c r="H1902" s="464" t="s">
        <v>5190</v>
      </c>
      <c r="I1902" s="464" t="s">
        <v>1684</v>
      </c>
    </row>
    <row r="1903" ht="15.95" customHeight="1">
      <c r="A1903" s="464" t="s">
        <v>5279</v>
      </c>
      <c r="B1903" s="464" t="s">
        <v>3928</v>
      </c>
      <c r="C1903" s="464"/>
      <c r="D1903" s="464" t="s">
        <v>1709</v>
      </c>
      <c r="E1903" s="464" t="s">
        <v>5249</v>
      </c>
      <c r="F1903" s="464" t="s">
        <v>5250</v>
      </c>
      <c r="G1903" s="464" t="s">
        <v>5189</v>
      </c>
      <c r="H1903" s="464" t="s">
        <v>5190</v>
      </c>
      <c r="I1903" s="464" t="s">
        <v>1684</v>
      </c>
    </row>
    <row r="1904" ht="15.95" customHeight="1">
      <c r="A1904" s="464" t="s">
        <v>5280</v>
      </c>
      <c r="B1904" s="464" t="s">
        <v>5281</v>
      </c>
      <c r="C1904" s="464"/>
      <c r="D1904" s="464" t="s">
        <v>1709</v>
      </c>
      <c r="E1904" s="464" t="s">
        <v>5249</v>
      </c>
      <c r="F1904" s="464" t="s">
        <v>5250</v>
      </c>
      <c r="G1904" s="464" t="s">
        <v>5189</v>
      </c>
      <c r="H1904" s="464" t="s">
        <v>5190</v>
      </c>
      <c r="I1904" s="464" t="s">
        <v>1684</v>
      </c>
    </row>
    <row r="1905" ht="15.95" customHeight="1">
      <c r="A1905" s="464" t="s">
        <v>5282</v>
      </c>
      <c r="B1905" s="464" t="s">
        <v>5283</v>
      </c>
      <c r="C1905" s="464"/>
      <c r="D1905" s="464" t="s">
        <v>1709</v>
      </c>
      <c r="E1905" s="464" t="s">
        <v>5249</v>
      </c>
      <c r="F1905" s="464" t="s">
        <v>5250</v>
      </c>
      <c r="G1905" s="464" t="s">
        <v>5189</v>
      </c>
      <c r="H1905" s="464" t="s">
        <v>5190</v>
      </c>
      <c r="I1905" s="464" t="s">
        <v>1684</v>
      </c>
    </row>
    <row r="1906" ht="15.95" customHeight="1">
      <c r="A1906" s="464" t="s">
        <v>5284</v>
      </c>
      <c r="B1906" s="464" t="s">
        <v>5285</v>
      </c>
      <c r="C1906" s="464"/>
      <c r="D1906" s="464" t="s">
        <v>1709</v>
      </c>
      <c r="E1906" s="464" t="s">
        <v>5249</v>
      </c>
      <c r="F1906" s="464" t="s">
        <v>5250</v>
      </c>
      <c r="G1906" s="464" t="s">
        <v>5189</v>
      </c>
      <c r="H1906" s="464" t="s">
        <v>5190</v>
      </c>
      <c r="I1906" s="464" t="s">
        <v>1684</v>
      </c>
    </row>
    <row r="1907" ht="15.95" customHeight="1">
      <c r="A1907" s="464" t="s">
        <v>5286</v>
      </c>
      <c r="B1907" s="464" t="s">
        <v>5287</v>
      </c>
      <c r="C1907" s="464"/>
      <c r="D1907" s="464" t="s">
        <v>1738</v>
      </c>
      <c r="E1907" s="464" t="s">
        <v>5288</v>
      </c>
      <c r="F1907" s="464" t="s">
        <v>5289</v>
      </c>
      <c r="G1907" s="464" t="s">
        <v>5189</v>
      </c>
      <c r="H1907" s="464" t="s">
        <v>5190</v>
      </c>
      <c r="I1907" s="464" t="s">
        <v>1684</v>
      </c>
    </row>
    <row r="1908" ht="15.95" customHeight="1">
      <c r="A1908" s="464" t="s">
        <v>5290</v>
      </c>
      <c r="B1908" s="464" t="s">
        <v>5291</v>
      </c>
      <c r="C1908" s="464"/>
      <c r="D1908" s="464" t="s">
        <v>1709</v>
      </c>
      <c r="E1908" s="464" t="s">
        <v>5288</v>
      </c>
      <c r="F1908" s="464" t="s">
        <v>5289</v>
      </c>
      <c r="G1908" s="464" t="s">
        <v>5189</v>
      </c>
      <c r="H1908" s="464" t="s">
        <v>5190</v>
      </c>
      <c r="I1908" s="464" t="s">
        <v>1684</v>
      </c>
    </row>
    <row r="1909" ht="15.95" customHeight="1">
      <c r="A1909" s="464" t="s">
        <v>5292</v>
      </c>
      <c r="B1909" s="464" t="s">
        <v>3130</v>
      </c>
      <c r="C1909" s="464"/>
      <c r="D1909" s="464" t="s">
        <v>1709</v>
      </c>
      <c r="E1909" s="464" t="s">
        <v>5288</v>
      </c>
      <c r="F1909" s="464" t="s">
        <v>5289</v>
      </c>
      <c r="G1909" s="464" t="s">
        <v>5189</v>
      </c>
      <c r="H1909" s="464" t="s">
        <v>5190</v>
      </c>
      <c r="I1909" s="464" t="s">
        <v>1684</v>
      </c>
    </row>
    <row r="1910" ht="15.95" customHeight="1">
      <c r="A1910" s="464" t="s">
        <v>5293</v>
      </c>
      <c r="B1910" s="464" t="s">
        <v>5294</v>
      </c>
      <c r="C1910" s="464"/>
      <c r="D1910" s="464" t="s">
        <v>1709</v>
      </c>
      <c r="E1910" s="464" t="s">
        <v>5288</v>
      </c>
      <c r="F1910" s="464" t="s">
        <v>5289</v>
      </c>
      <c r="G1910" s="464" t="s">
        <v>5189</v>
      </c>
      <c r="H1910" s="464" t="s">
        <v>5190</v>
      </c>
      <c r="I1910" s="464" t="s">
        <v>1684</v>
      </c>
    </row>
    <row r="1911" ht="15.95" customHeight="1">
      <c r="A1911" s="464" t="s">
        <v>5295</v>
      </c>
      <c r="B1911" s="464" t="s">
        <v>2737</v>
      </c>
      <c r="C1911" s="464"/>
      <c r="D1911" s="464" t="s">
        <v>1709</v>
      </c>
      <c r="E1911" s="464" t="s">
        <v>5288</v>
      </c>
      <c r="F1911" s="464" t="s">
        <v>5289</v>
      </c>
      <c r="G1911" s="464" t="s">
        <v>5189</v>
      </c>
      <c r="H1911" s="464" t="s">
        <v>5190</v>
      </c>
      <c r="I1911" s="464" t="s">
        <v>1684</v>
      </c>
    </row>
    <row r="1912" ht="15.95" customHeight="1">
      <c r="A1912" s="464" t="s">
        <v>5296</v>
      </c>
      <c r="B1912" s="464" t="s">
        <v>4988</v>
      </c>
      <c r="C1912" s="464"/>
      <c r="D1912" s="464" t="s">
        <v>1709</v>
      </c>
      <c r="E1912" s="464" t="s">
        <v>5288</v>
      </c>
      <c r="F1912" s="464" t="s">
        <v>5289</v>
      </c>
      <c r="G1912" s="464" t="s">
        <v>5189</v>
      </c>
      <c r="H1912" s="464" t="s">
        <v>5190</v>
      </c>
      <c r="I1912" s="464" t="s">
        <v>1684</v>
      </c>
    </row>
    <row r="1913" ht="15.95" customHeight="1">
      <c r="A1913" s="464" t="s">
        <v>5297</v>
      </c>
      <c r="B1913" s="464" t="s">
        <v>3137</v>
      </c>
      <c r="C1913" s="464"/>
      <c r="D1913" s="464" t="s">
        <v>1709</v>
      </c>
      <c r="E1913" s="464" t="s">
        <v>5288</v>
      </c>
      <c r="F1913" s="464" t="s">
        <v>5289</v>
      </c>
      <c r="G1913" s="464" t="s">
        <v>5189</v>
      </c>
      <c r="H1913" s="464" t="s">
        <v>5190</v>
      </c>
      <c r="I1913" s="464" t="s">
        <v>1684</v>
      </c>
    </row>
    <row r="1914" ht="15.95" customHeight="1">
      <c r="A1914" s="464" t="s">
        <v>5298</v>
      </c>
      <c r="B1914" s="464" t="s">
        <v>5299</v>
      </c>
      <c r="C1914" s="464"/>
      <c r="D1914" s="464" t="s">
        <v>1709</v>
      </c>
      <c r="E1914" s="464" t="s">
        <v>5288</v>
      </c>
      <c r="F1914" s="464" t="s">
        <v>5289</v>
      </c>
      <c r="G1914" s="464" t="s">
        <v>5189</v>
      </c>
      <c r="H1914" s="464" t="s">
        <v>5190</v>
      </c>
      <c r="I1914" s="464" t="s">
        <v>1684</v>
      </c>
    </row>
    <row r="1915" ht="15.95" customHeight="1">
      <c r="A1915" s="464" t="s">
        <v>5300</v>
      </c>
      <c r="B1915" s="464" t="s">
        <v>2672</v>
      </c>
      <c r="C1915" s="464"/>
      <c r="D1915" s="464" t="s">
        <v>1709</v>
      </c>
      <c r="E1915" s="464" t="s">
        <v>5288</v>
      </c>
      <c r="F1915" s="464" t="s">
        <v>5289</v>
      </c>
      <c r="G1915" s="464" t="s">
        <v>5189</v>
      </c>
      <c r="H1915" s="464" t="s">
        <v>5190</v>
      </c>
      <c r="I1915" s="464" t="s">
        <v>1684</v>
      </c>
    </row>
    <row r="1916" ht="15.95" customHeight="1">
      <c r="A1916" s="464" t="s">
        <v>5301</v>
      </c>
      <c r="B1916" s="464" t="s">
        <v>4357</v>
      </c>
      <c r="C1916" s="464"/>
      <c r="D1916" s="464" t="s">
        <v>1709</v>
      </c>
      <c r="E1916" s="464" t="s">
        <v>5288</v>
      </c>
      <c r="F1916" s="464" t="s">
        <v>5289</v>
      </c>
      <c r="G1916" s="464" t="s">
        <v>5189</v>
      </c>
      <c r="H1916" s="464" t="s">
        <v>5190</v>
      </c>
      <c r="I1916" s="464" t="s">
        <v>1684</v>
      </c>
    </row>
    <row r="1917" ht="15.95" customHeight="1">
      <c r="A1917" s="464" t="s">
        <v>5302</v>
      </c>
      <c r="B1917" s="464" t="s">
        <v>2697</v>
      </c>
      <c r="C1917" s="464"/>
      <c r="D1917" s="464" t="s">
        <v>1709</v>
      </c>
      <c r="E1917" s="464" t="s">
        <v>5288</v>
      </c>
      <c r="F1917" s="464" t="s">
        <v>5289</v>
      </c>
      <c r="G1917" s="464" t="s">
        <v>5189</v>
      </c>
      <c r="H1917" s="464" t="s">
        <v>5190</v>
      </c>
      <c r="I1917" s="464" t="s">
        <v>1684</v>
      </c>
    </row>
    <row r="1918" ht="15.95" customHeight="1">
      <c r="A1918" s="464" t="s">
        <v>5303</v>
      </c>
      <c r="B1918" s="464" t="s">
        <v>5304</v>
      </c>
      <c r="C1918" s="464"/>
      <c r="D1918" s="464" t="s">
        <v>1709</v>
      </c>
      <c r="E1918" s="464" t="s">
        <v>5288</v>
      </c>
      <c r="F1918" s="464" t="s">
        <v>5289</v>
      </c>
      <c r="G1918" s="464" t="s">
        <v>5189</v>
      </c>
      <c r="H1918" s="464" t="s">
        <v>5190</v>
      </c>
      <c r="I1918" s="464" t="s">
        <v>1684</v>
      </c>
    </row>
    <row r="1919" ht="15.95" customHeight="1">
      <c r="A1919" s="464" t="s">
        <v>5305</v>
      </c>
      <c r="B1919" s="464" t="s">
        <v>5306</v>
      </c>
      <c r="C1919" s="464"/>
      <c r="D1919" s="464" t="s">
        <v>1709</v>
      </c>
      <c r="E1919" s="464" t="s">
        <v>5288</v>
      </c>
      <c r="F1919" s="464" t="s">
        <v>5289</v>
      </c>
      <c r="G1919" s="464" t="s">
        <v>5189</v>
      </c>
      <c r="H1919" s="464" t="s">
        <v>5190</v>
      </c>
      <c r="I1919" s="464" t="s">
        <v>1684</v>
      </c>
    </row>
    <row r="1920" ht="15.95" customHeight="1">
      <c r="A1920" s="464" t="s">
        <v>5307</v>
      </c>
      <c r="B1920" s="464" t="s">
        <v>5308</v>
      </c>
      <c r="C1920" s="464"/>
      <c r="D1920" s="464" t="s">
        <v>1709</v>
      </c>
      <c r="E1920" s="464" t="s">
        <v>5288</v>
      </c>
      <c r="F1920" s="464" t="s">
        <v>5289</v>
      </c>
      <c r="G1920" s="464" t="s">
        <v>5189</v>
      </c>
      <c r="H1920" s="464" t="s">
        <v>5190</v>
      </c>
      <c r="I1920" s="464" t="s">
        <v>1684</v>
      </c>
    </row>
    <row r="1921" ht="15.95" customHeight="1">
      <c r="A1921" s="464" t="s">
        <v>5309</v>
      </c>
      <c r="B1921" s="464" t="s">
        <v>5310</v>
      </c>
      <c r="C1921" s="464"/>
      <c r="D1921" s="464" t="s">
        <v>1709</v>
      </c>
      <c r="E1921" s="464" t="s">
        <v>5288</v>
      </c>
      <c r="F1921" s="464" t="s">
        <v>5289</v>
      </c>
      <c r="G1921" s="464" t="s">
        <v>5189</v>
      </c>
      <c r="H1921" s="464" t="s">
        <v>5190</v>
      </c>
      <c r="I1921" s="464" t="s">
        <v>1684</v>
      </c>
    </row>
    <row r="1922" ht="15.95" customHeight="1">
      <c r="A1922" s="464" t="s">
        <v>5311</v>
      </c>
      <c r="B1922" s="464" t="s">
        <v>5312</v>
      </c>
      <c r="C1922" s="464"/>
      <c r="D1922" s="464" t="s">
        <v>1709</v>
      </c>
      <c r="E1922" s="464" t="s">
        <v>5288</v>
      </c>
      <c r="F1922" s="464" t="s">
        <v>5289</v>
      </c>
      <c r="G1922" s="464" t="s">
        <v>5189</v>
      </c>
      <c r="H1922" s="464" t="s">
        <v>5190</v>
      </c>
      <c r="I1922" s="464" t="s">
        <v>1684</v>
      </c>
    </row>
    <row r="1923" ht="15.95" customHeight="1">
      <c r="A1923" s="464" t="s">
        <v>5313</v>
      </c>
      <c r="B1923" s="464" t="s">
        <v>4650</v>
      </c>
      <c r="C1923" s="464"/>
      <c r="D1923" s="464" t="s">
        <v>1709</v>
      </c>
      <c r="E1923" s="464" t="s">
        <v>5288</v>
      </c>
      <c r="F1923" s="464" t="s">
        <v>5289</v>
      </c>
      <c r="G1923" s="464" t="s">
        <v>5189</v>
      </c>
      <c r="H1923" s="464" t="s">
        <v>5190</v>
      </c>
      <c r="I1923" s="464" t="s">
        <v>1684</v>
      </c>
    </row>
    <row r="1924" ht="15.95" customHeight="1">
      <c r="A1924" s="464" t="s">
        <v>5314</v>
      </c>
      <c r="B1924" s="464" t="s">
        <v>5315</v>
      </c>
      <c r="C1924" s="464"/>
      <c r="D1924" s="464" t="s">
        <v>1679</v>
      </c>
      <c r="E1924" s="464" t="s">
        <v>5316</v>
      </c>
      <c r="F1924" s="464" t="s">
        <v>5317</v>
      </c>
      <c r="G1924" s="464" t="s">
        <v>5189</v>
      </c>
      <c r="H1924" s="464" t="s">
        <v>5190</v>
      </c>
      <c r="I1924" s="464" t="s">
        <v>1684</v>
      </c>
    </row>
    <row r="1925" ht="15.95" customHeight="1">
      <c r="A1925" s="464" t="s">
        <v>5318</v>
      </c>
      <c r="B1925" s="464" t="s">
        <v>5319</v>
      </c>
      <c r="C1925" s="464"/>
      <c r="D1925" s="464" t="s">
        <v>1679</v>
      </c>
      <c r="E1925" s="464" t="s">
        <v>5316</v>
      </c>
      <c r="F1925" s="464" t="s">
        <v>5317</v>
      </c>
      <c r="G1925" s="464" t="s">
        <v>5189</v>
      </c>
      <c r="H1925" s="464" t="s">
        <v>5190</v>
      </c>
      <c r="I1925" s="464" t="s">
        <v>1684</v>
      </c>
    </row>
    <row r="1926" ht="15.95" customHeight="1">
      <c r="A1926" s="464" t="s">
        <v>5320</v>
      </c>
      <c r="B1926" s="464" t="s">
        <v>5321</v>
      </c>
      <c r="C1926" s="464"/>
      <c r="D1926" s="464" t="s">
        <v>1709</v>
      </c>
      <c r="E1926" s="464" t="s">
        <v>5316</v>
      </c>
      <c r="F1926" s="464" t="s">
        <v>5317</v>
      </c>
      <c r="G1926" s="464" t="s">
        <v>5189</v>
      </c>
      <c r="H1926" s="464" t="s">
        <v>5190</v>
      </c>
      <c r="I1926" s="464" t="s">
        <v>1684</v>
      </c>
    </row>
    <row r="1927" ht="15.95" customHeight="1">
      <c r="A1927" s="464" t="s">
        <v>5322</v>
      </c>
      <c r="B1927" s="464" t="s">
        <v>3956</v>
      </c>
      <c r="C1927" s="464"/>
      <c r="D1927" s="464" t="s">
        <v>1709</v>
      </c>
      <c r="E1927" s="464" t="s">
        <v>5316</v>
      </c>
      <c r="F1927" s="464" t="s">
        <v>5317</v>
      </c>
      <c r="G1927" s="464" t="s">
        <v>5189</v>
      </c>
      <c r="H1927" s="464" t="s">
        <v>5190</v>
      </c>
      <c r="I1927" s="464" t="s">
        <v>1684</v>
      </c>
    </row>
    <row r="1928" ht="15.95" customHeight="1">
      <c r="A1928" s="464" t="s">
        <v>5323</v>
      </c>
      <c r="B1928" s="464" t="s">
        <v>5324</v>
      </c>
      <c r="C1928" s="464"/>
      <c r="D1928" s="464" t="s">
        <v>1709</v>
      </c>
      <c r="E1928" s="464" t="s">
        <v>5316</v>
      </c>
      <c r="F1928" s="464" t="s">
        <v>5317</v>
      </c>
      <c r="G1928" s="464" t="s">
        <v>5189</v>
      </c>
      <c r="H1928" s="464" t="s">
        <v>5190</v>
      </c>
      <c r="I1928" s="464" t="s">
        <v>1684</v>
      </c>
    </row>
    <row r="1929" ht="15.95" customHeight="1">
      <c r="A1929" s="464" t="s">
        <v>5325</v>
      </c>
      <c r="B1929" s="464" t="s">
        <v>5326</v>
      </c>
      <c r="C1929" s="464"/>
      <c r="D1929" s="464" t="s">
        <v>1679</v>
      </c>
      <c r="E1929" s="464" t="s">
        <v>5316</v>
      </c>
      <c r="F1929" s="464" t="s">
        <v>5317</v>
      </c>
      <c r="G1929" s="464" t="s">
        <v>5189</v>
      </c>
      <c r="H1929" s="464" t="s">
        <v>5190</v>
      </c>
      <c r="I1929" s="464" t="s">
        <v>1684</v>
      </c>
    </row>
    <row r="1930" ht="15.95" customHeight="1">
      <c r="A1930" s="464" t="s">
        <v>5327</v>
      </c>
      <c r="B1930" s="464" t="s">
        <v>4902</v>
      </c>
      <c r="C1930" s="464"/>
      <c r="D1930" s="464" t="s">
        <v>1709</v>
      </c>
      <c r="E1930" s="464" t="s">
        <v>5316</v>
      </c>
      <c r="F1930" s="464" t="s">
        <v>5317</v>
      </c>
      <c r="G1930" s="464" t="s">
        <v>5189</v>
      </c>
      <c r="H1930" s="464" t="s">
        <v>5190</v>
      </c>
      <c r="I1930" s="464" t="s">
        <v>1684</v>
      </c>
    </row>
    <row r="1931" ht="15.95" customHeight="1">
      <c r="A1931" s="464" t="s">
        <v>5328</v>
      </c>
      <c r="B1931" s="464" t="s">
        <v>5329</v>
      </c>
      <c r="C1931" s="464"/>
      <c r="D1931" s="464" t="s">
        <v>1709</v>
      </c>
      <c r="E1931" s="464" t="s">
        <v>5316</v>
      </c>
      <c r="F1931" s="464" t="s">
        <v>5317</v>
      </c>
      <c r="G1931" s="464" t="s">
        <v>5189</v>
      </c>
      <c r="H1931" s="464" t="s">
        <v>5190</v>
      </c>
      <c r="I1931" s="464" t="s">
        <v>1684</v>
      </c>
    </row>
    <row r="1932" ht="15.95" customHeight="1">
      <c r="A1932" s="464" t="s">
        <v>5330</v>
      </c>
      <c r="B1932" s="464" t="s">
        <v>5331</v>
      </c>
      <c r="C1932" s="464"/>
      <c r="D1932" s="464" t="s">
        <v>1738</v>
      </c>
      <c r="E1932" s="464" t="s">
        <v>5332</v>
      </c>
      <c r="F1932" s="464" t="s">
        <v>5333</v>
      </c>
      <c r="G1932" s="464" t="s">
        <v>5189</v>
      </c>
      <c r="H1932" s="464" t="s">
        <v>5190</v>
      </c>
      <c r="I1932" s="464" t="s">
        <v>1684</v>
      </c>
    </row>
    <row r="1933" ht="15.95" customHeight="1">
      <c r="A1933" s="464" t="s">
        <v>5334</v>
      </c>
      <c r="B1933" s="464" t="s">
        <v>3329</v>
      </c>
      <c r="C1933" s="464"/>
      <c r="D1933" s="464" t="s">
        <v>1709</v>
      </c>
      <c r="E1933" s="464" t="s">
        <v>5332</v>
      </c>
      <c r="F1933" s="464" t="s">
        <v>5333</v>
      </c>
      <c r="G1933" s="464" t="s">
        <v>5189</v>
      </c>
      <c r="H1933" s="464" t="s">
        <v>5190</v>
      </c>
      <c r="I1933" s="464" t="s">
        <v>1684</v>
      </c>
    </row>
    <row r="1934" ht="15.95" customHeight="1">
      <c r="A1934" s="464" t="s">
        <v>5335</v>
      </c>
      <c r="B1934" s="464" t="s">
        <v>5336</v>
      </c>
      <c r="C1934" s="464"/>
      <c r="D1934" s="464" t="s">
        <v>1709</v>
      </c>
      <c r="E1934" s="464" t="s">
        <v>5332</v>
      </c>
      <c r="F1934" s="464" t="s">
        <v>5333</v>
      </c>
      <c r="G1934" s="464" t="s">
        <v>5189</v>
      </c>
      <c r="H1934" s="464" t="s">
        <v>5190</v>
      </c>
      <c r="I1934" s="464" t="s">
        <v>1684</v>
      </c>
    </row>
    <row r="1935" ht="15.95" customHeight="1">
      <c r="A1935" s="464" t="s">
        <v>5337</v>
      </c>
      <c r="B1935" s="464" t="s">
        <v>3464</v>
      </c>
      <c r="C1935" s="464"/>
      <c r="D1935" s="464" t="s">
        <v>1709</v>
      </c>
      <c r="E1935" s="464" t="s">
        <v>5332</v>
      </c>
      <c r="F1935" s="464" t="s">
        <v>5333</v>
      </c>
      <c r="G1935" s="464" t="s">
        <v>5189</v>
      </c>
      <c r="H1935" s="464" t="s">
        <v>5190</v>
      </c>
      <c r="I1935" s="464" t="s">
        <v>1684</v>
      </c>
    </row>
    <row r="1936" ht="15.95" customHeight="1">
      <c r="A1936" s="464" t="s">
        <v>5338</v>
      </c>
      <c r="B1936" s="464" t="s">
        <v>5339</v>
      </c>
      <c r="C1936" s="464"/>
      <c r="D1936" s="464" t="s">
        <v>1709</v>
      </c>
      <c r="E1936" s="464" t="s">
        <v>5332</v>
      </c>
      <c r="F1936" s="464" t="s">
        <v>5333</v>
      </c>
      <c r="G1936" s="464" t="s">
        <v>5189</v>
      </c>
      <c r="H1936" s="464" t="s">
        <v>5190</v>
      </c>
      <c r="I1936" s="464" t="s">
        <v>1684</v>
      </c>
    </row>
    <row r="1937" ht="15.95" customHeight="1">
      <c r="A1937" s="464" t="s">
        <v>5340</v>
      </c>
      <c r="B1937" s="464" t="s">
        <v>5341</v>
      </c>
      <c r="C1937" s="464"/>
      <c r="D1937" s="464" t="s">
        <v>1709</v>
      </c>
      <c r="E1937" s="464" t="s">
        <v>5332</v>
      </c>
      <c r="F1937" s="464" t="s">
        <v>5333</v>
      </c>
      <c r="G1937" s="464" t="s">
        <v>5189</v>
      </c>
      <c r="H1937" s="464" t="s">
        <v>5190</v>
      </c>
      <c r="I1937" s="464" t="s">
        <v>1684</v>
      </c>
    </row>
    <row r="1938" ht="15.95" customHeight="1">
      <c r="A1938" s="464" t="s">
        <v>5342</v>
      </c>
      <c r="B1938" s="464" t="s">
        <v>3021</v>
      </c>
      <c r="C1938" s="464"/>
      <c r="D1938" s="464" t="s">
        <v>1709</v>
      </c>
      <c r="E1938" s="464" t="s">
        <v>5332</v>
      </c>
      <c r="F1938" s="464" t="s">
        <v>5333</v>
      </c>
      <c r="G1938" s="464" t="s">
        <v>5189</v>
      </c>
      <c r="H1938" s="464" t="s">
        <v>5190</v>
      </c>
      <c r="I1938" s="464" t="s">
        <v>1684</v>
      </c>
    </row>
    <row r="1939" ht="15.95" customHeight="1">
      <c r="A1939" s="464" t="s">
        <v>5343</v>
      </c>
      <c r="B1939" s="464" t="s">
        <v>5344</v>
      </c>
      <c r="C1939" s="464"/>
      <c r="D1939" s="464" t="s">
        <v>1709</v>
      </c>
      <c r="E1939" s="464" t="s">
        <v>5332</v>
      </c>
      <c r="F1939" s="464" t="s">
        <v>5333</v>
      </c>
      <c r="G1939" s="464" t="s">
        <v>5189</v>
      </c>
      <c r="H1939" s="464" t="s">
        <v>5190</v>
      </c>
      <c r="I1939" s="464" t="s">
        <v>1684</v>
      </c>
    </row>
    <row r="1940" ht="15.95" customHeight="1">
      <c r="A1940" s="464" t="s">
        <v>5345</v>
      </c>
      <c r="B1940" s="464" t="s">
        <v>5346</v>
      </c>
      <c r="C1940" s="464"/>
      <c r="D1940" s="464" t="s">
        <v>1709</v>
      </c>
      <c r="E1940" s="464" t="s">
        <v>5332</v>
      </c>
      <c r="F1940" s="464" t="s">
        <v>5333</v>
      </c>
      <c r="G1940" s="464" t="s">
        <v>5189</v>
      </c>
      <c r="H1940" s="464" t="s">
        <v>5190</v>
      </c>
      <c r="I1940" s="464" t="s">
        <v>1684</v>
      </c>
    </row>
    <row r="1941" ht="15.95" customHeight="1">
      <c r="A1941" s="464" t="s">
        <v>5347</v>
      </c>
      <c r="B1941" s="464" t="s">
        <v>5348</v>
      </c>
      <c r="C1941" s="464"/>
      <c r="D1941" s="464" t="s">
        <v>1709</v>
      </c>
      <c r="E1941" s="464" t="s">
        <v>5332</v>
      </c>
      <c r="F1941" s="464" t="s">
        <v>5333</v>
      </c>
      <c r="G1941" s="464" t="s">
        <v>5189</v>
      </c>
      <c r="H1941" s="464" t="s">
        <v>5190</v>
      </c>
      <c r="I1941" s="464" t="s">
        <v>1684</v>
      </c>
    </row>
    <row r="1942" ht="15.95" customHeight="1">
      <c r="A1942" s="464" t="s">
        <v>5349</v>
      </c>
      <c r="B1942" s="464" t="s">
        <v>5350</v>
      </c>
      <c r="C1942" s="464"/>
      <c r="D1942" s="464" t="s">
        <v>1709</v>
      </c>
      <c r="E1942" s="464" t="s">
        <v>5332</v>
      </c>
      <c r="F1942" s="464" t="s">
        <v>5333</v>
      </c>
      <c r="G1942" s="464" t="s">
        <v>5189</v>
      </c>
      <c r="H1942" s="464" t="s">
        <v>5190</v>
      </c>
      <c r="I1942" s="464" t="s">
        <v>1684</v>
      </c>
    </row>
    <row r="1943" ht="15.95" customHeight="1">
      <c r="A1943" s="464" t="s">
        <v>5351</v>
      </c>
      <c r="B1943" s="464" t="s">
        <v>5352</v>
      </c>
      <c r="C1943" s="464"/>
      <c r="D1943" s="464" t="s">
        <v>1709</v>
      </c>
      <c r="E1943" s="464" t="s">
        <v>5332</v>
      </c>
      <c r="F1943" s="464" t="s">
        <v>5333</v>
      </c>
      <c r="G1943" s="464" t="s">
        <v>5189</v>
      </c>
      <c r="H1943" s="464" t="s">
        <v>5190</v>
      </c>
      <c r="I1943" s="464" t="s">
        <v>1684</v>
      </c>
    </row>
    <row r="1944" ht="15.95" customHeight="1">
      <c r="A1944" s="464" t="s">
        <v>5353</v>
      </c>
      <c r="B1944" s="464" t="s">
        <v>5354</v>
      </c>
      <c r="C1944" s="464"/>
      <c r="D1944" s="464" t="s">
        <v>1709</v>
      </c>
      <c r="E1944" s="464" t="s">
        <v>5332</v>
      </c>
      <c r="F1944" s="464" t="s">
        <v>5333</v>
      </c>
      <c r="G1944" s="464" t="s">
        <v>5189</v>
      </c>
      <c r="H1944" s="464" t="s">
        <v>5190</v>
      </c>
      <c r="I1944" s="464" t="s">
        <v>1684</v>
      </c>
    </row>
    <row r="1945" ht="15.95" customHeight="1">
      <c r="A1945" s="464" t="s">
        <v>5355</v>
      </c>
      <c r="B1945" s="464" t="s">
        <v>5356</v>
      </c>
      <c r="C1945" s="464"/>
      <c r="D1945" s="464" t="s">
        <v>1709</v>
      </c>
      <c r="E1945" s="464" t="s">
        <v>5332</v>
      </c>
      <c r="F1945" s="464" t="s">
        <v>5333</v>
      </c>
      <c r="G1945" s="464" t="s">
        <v>5189</v>
      </c>
      <c r="H1945" s="464" t="s">
        <v>5190</v>
      </c>
      <c r="I1945" s="464" t="s">
        <v>1684</v>
      </c>
    </row>
    <row r="1946" ht="15.95" customHeight="1">
      <c r="A1946" s="464" t="s">
        <v>5357</v>
      </c>
      <c r="B1946" s="464" t="s">
        <v>2532</v>
      </c>
      <c r="C1946" s="464"/>
      <c r="D1946" s="464" t="s">
        <v>1709</v>
      </c>
      <c r="E1946" s="464" t="s">
        <v>5358</v>
      </c>
      <c r="F1946" s="464" t="s">
        <v>5359</v>
      </c>
      <c r="G1946" s="464" t="s">
        <v>5189</v>
      </c>
      <c r="H1946" s="464" t="s">
        <v>5190</v>
      </c>
      <c r="I1946" s="464" t="s">
        <v>1684</v>
      </c>
    </row>
    <row r="1947" ht="15.95" customHeight="1">
      <c r="A1947" s="464" t="s">
        <v>5360</v>
      </c>
      <c r="B1947" s="464" t="s">
        <v>2012</v>
      </c>
      <c r="C1947" s="464"/>
      <c r="D1947" s="464" t="s">
        <v>1709</v>
      </c>
      <c r="E1947" s="464" t="s">
        <v>5358</v>
      </c>
      <c r="F1947" s="464" t="s">
        <v>5359</v>
      </c>
      <c r="G1947" s="464" t="s">
        <v>5189</v>
      </c>
      <c r="H1947" s="464" t="s">
        <v>5190</v>
      </c>
      <c r="I1947" s="464" t="s">
        <v>1684</v>
      </c>
    </row>
    <row r="1948" ht="15.95" customHeight="1">
      <c r="A1948" s="464" t="s">
        <v>5361</v>
      </c>
      <c r="B1948" s="464" t="s">
        <v>5362</v>
      </c>
      <c r="C1948" s="464"/>
      <c r="D1948" s="464" t="s">
        <v>1709</v>
      </c>
      <c r="E1948" s="464" t="s">
        <v>5358</v>
      </c>
      <c r="F1948" s="464" t="s">
        <v>5359</v>
      </c>
      <c r="G1948" s="464" t="s">
        <v>5189</v>
      </c>
      <c r="H1948" s="464" t="s">
        <v>5190</v>
      </c>
      <c r="I1948" s="464" t="s">
        <v>1684</v>
      </c>
    </row>
    <row r="1949" ht="15.95" customHeight="1">
      <c r="A1949" s="464" t="s">
        <v>5363</v>
      </c>
      <c r="B1949" s="464" t="s">
        <v>5364</v>
      </c>
      <c r="C1949" s="464"/>
      <c r="D1949" s="464" t="s">
        <v>1709</v>
      </c>
      <c r="E1949" s="464" t="s">
        <v>5358</v>
      </c>
      <c r="F1949" s="464" t="s">
        <v>5359</v>
      </c>
      <c r="G1949" s="464" t="s">
        <v>5189</v>
      </c>
      <c r="H1949" s="464" t="s">
        <v>5190</v>
      </c>
      <c r="I1949" s="464" t="s">
        <v>1684</v>
      </c>
    </row>
    <row r="1950" ht="15.95" customHeight="1">
      <c r="A1950" s="464" t="s">
        <v>5365</v>
      </c>
      <c r="B1950" s="464" t="s">
        <v>5366</v>
      </c>
      <c r="C1950" s="464"/>
      <c r="D1950" s="464" t="s">
        <v>1709</v>
      </c>
      <c r="E1950" s="464" t="s">
        <v>5358</v>
      </c>
      <c r="F1950" s="464" t="s">
        <v>5359</v>
      </c>
      <c r="G1950" s="464" t="s">
        <v>5189</v>
      </c>
      <c r="H1950" s="464" t="s">
        <v>5190</v>
      </c>
      <c r="I1950" s="464" t="s">
        <v>1684</v>
      </c>
    </row>
    <row r="1951" ht="15.95" customHeight="1">
      <c r="A1951" s="464" t="s">
        <v>5367</v>
      </c>
      <c r="B1951" s="464" t="s">
        <v>5368</v>
      </c>
      <c r="C1951" s="464"/>
      <c r="D1951" s="464" t="s">
        <v>1709</v>
      </c>
      <c r="E1951" s="464" t="s">
        <v>5358</v>
      </c>
      <c r="F1951" s="464" t="s">
        <v>5359</v>
      </c>
      <c r="G1951" s="464" t="s">
        <v>5189</v>
      </c>
      <c r="H1951" s="464" t="s">
        <v>5190</v>
      </c>
      <c r="I1951" s="464" t="s">
        <v>1684</v>
      </c>
    </row>
    <row r="1952" ht="15.95" customHeight="1">
      <c r="A1952" s="464" t="s">
        <v>5369</v>
      </c>
      <c r="B1952" s="464" t="s">
        <v>5370</v>
      </c>
      <c r="C1952" s="464"/>
      <c r="D1952" s="464" t="s">
        <v>1709</v>
      </c>
      <c r="E1952" s="464" t="s">
        <v>5358</v>
      </c>
      <c r="F1952" s="464" t="s">
        <v>5359</v>
      </c>
      <c r="G1952" s="464" t="s">
        <v>5189</v>
      </c>
      <c r="H1952" s="464" t="s">
        <v>5190</v>
      </c>
      <c r="I1952" s="464" t="s">
        <v>1684</v>
      </c>
    </row>
    <row r="1953" ht="15.95" customHeight="1">
      <c r="A1953" s="464" t="s">
        <v>5371</v>
      </c>
      <c r="B1953" s="464" t="s">
        <v>5372</v>
      </c>
      <c r="C1953" s="464"/>
      <c r="D1953" s="464" t="s">
        <v>1709</v>
      </c>
      <c r="E1953" s="464" t="s">
        <v>5358</v>
      </c>
      <c r="F1953" s="464" t="s">
        <v>5359</v>
      </c>
      <c r="G1953" s="464" t="s">
        <v>5189</v>
      </c>
      <c r="H1953" s="464" t="s">
        <v>5190</v>
      </c>
      <c r="I1953" s="464" t="s">
        <v>1684</v>
      </c>
    </row>
    <row r="1954" ht="15.95" customHeight="1">
      <c r="A1954" s="464" t="s">
        <v>5373</v>
      </c>
      <c r="B1954" s="464" t="s">
        <v>1881</v>
      </c>
      <c r="C1954" s="464"/>
      <c r="D1954" s="464" t="s">
        <v>1709</v>
      </c>
      <c r="E1954" s="464" t="s">
        <v>5358</v>
      </c>
      <c r="F1954" s="464" t="s">
        <v>5359</v>
      </c>
      <c r="G1954" s="464" t="s">
        <v>5189</v>
      </c>
      <c r="H1954" s="464" t="s">
        <v>5190</v>
      </c>
      <c r="I1954" s="464" t="s">
        <v>1684</v>
      </c>
    </row>
    <row r="1955" ht="15.95" customHeight="1">
      <c r="A1955" s="464" t="s">
        <v>5374</v>
      </c>
      <c r="B1955" s="464" t="s">
        <v>5375</v>
      </c>
      <c r="C1955" s="464"/>
      <c r="D1955" s="464" t="s">
        <v>1709</v>
      </c>
      <c r="E1955" s="464" t="s">
        <v>5358</v>
      </c>
      <c r="F1955" s="464" t="s">
        <v>5359</v>
      </c>
      <c r="G1955" s="464" t="s">
        <v>5189</v>
      </c>
      <c r="H1955" s="464" t="s">
        <v>5190</v>
      </c>
      <c r="I1955" s="464" t="s">
        <v>1684</v>
      </c>
    </row>
    <row r="1956" ht="15.95" customHeight="1">
      <c r="A1956" s="464" t="s">
        <v>5376</v>
      </c>
      <c r="B1956" s="464" t="s">
        <v>5377</v>
      </c>
      <c r="C1956" s="464"/>
      <c r="D1956" s="464" t="s">
        <v>1709</v>
      </c>
      <c r="E1956" s="464" t="s">
        <v>5358</v>
      </c>
      <c r="F1956" s="464" t="s">
        <v>5359</v>
      </c>
      <c r="G1956" s="464" t="s">
        <v>5189</v>
      </c>
      <c r="H1956" s="464" t="s">
        <v>5190</v>
      </c>
      <c r="I1956" s="464" t="s">
        <v>1684</v>
      </c>
    </row>
    <row r="1957" ht="15.95" customHeight="1">
      <c r="A1957" s="464" t="s">
        <v>5378</v>
      </c>
      <c r="B1957" s="464" t="s">
        <v>1278</v>
      </c>
      <c r="C1957" s="464"/>
      <c r="D1957" s="464" t="s">
        <v>1679</v>
      </c>
      <c r="E1957" s="464" t="s">
        <v>5379</v>
      </c>
      <c r="F1957" s="464" t="s">
        <v>5380</v>
      </c>
      <c r="G1957" s="464" t="s">
        <v>5381</v>
      </c>
      <c r="H1957" s="464" t="s">
        <v>5382</v>
      </c>
      <c r="I1957" s="464" t="s">
        <v>1684</v>
      </c>
    </row>
    <row r="1958" ht="15.95" customHeight="1">
      <c r="A1958" s="464" t="s">
        <v>5383</v>
      </c>
      <c r="B1958" s="464" t="s">
        <v>1287</v>
      </c>
      <c r="C1958" s="464"/>
      <c r="D1958" s="464" t="s">
        <v>1679</v>
      </c>
      <c r="E1958" s="464" t="s">
        <v>5379</v>
      </c>
      <c r="F1958" s="464" t="s">
        <v>5380</v>
      </c>
      <c r="G1958" s="464" t="s">
        <v>5381</v>
      </c>
      <c r="H1958" s="464" t="s">
        <v>5382</v>
      </c>
      <c r="I1958" s="464" t="s">
        <v>1684</v>
      </c>
    </row>
    <row r="1959" ht="15.95" customHeight="1">
      <c r="A1959" s="464" t="s">
        <v>5384</v>
      </c>
      <c r="B1959" s="464" t="s">
        <v>2110</v>
      </c>
      <c r="C1959" s="464"/>
      <c r="D1959" s="464" t="s">
        <v>1679</v>
      </c>
      <c r="E1959" s="464" t="s">
        <v>5379</v>
      </c>
      <c r="F1959" s="464" t="s">
        <v>5380</v>
      </c>
      <c r="G1959" s="464" t="s">
        <v>5381</v>
      </c>
      <c r="H1959" s="464" t="s">
        <v>5382</v>
      </c>
      <c r="I1959" s="464" t="s">
        <v>1684</v>
      </c>
    </row>
    <row r="1960" ht="15.95" customHeight="1">
      <c r="A1960" s="464" t="s">
        <v>5385</v>
      </c>
      <c r="B1960" s="464" t="s">
        <v>1282</v>
      </c>
      <c r="C1960" s="464"/>
      <c r="D1960" s="464" t="s">
        <v>1679</v>
      </c>
      <c r="E1960" s="464" t="s">
        <v>5379</v>
      </c>
      <c r="F1960" s="464" t="s">
        <v>5380</v>
      </c>
      <c r="G1960" s="464" t="s">
        <v>5381</v>
      </c>
      <c r="H1960" s="464" t="s">
        <v>5382</v>
      </c>
      <c r="I1960" s="464" t="s">
        <v>1684</v>
      </c>
    </row>
    <row r="1961" ht="15.95" customHeight="1">
      <c r="A1961" s="464" t="s">
        <v>5386</v>
      </c>
      <c r="B1961" s="464" t="s">
        <v>1269</v>
      </c>
      <c r="C1961" s="464"/>
      <c r="D1961" s="464" t="s">
        <v>1679</v>
      </c>
      <c r="E1961" s="464" t="s">
        <v>5379</v>
      </c>
      <c r="F1961" s="464" t="s">
        <v>5380</v>
      </c>
      <c r="G1961" s="464" t="s">
        <v>5381</v>
      </c>
      <c r="H1961" s="464" t="s">
        <v>5382</v>
      </c>
      <c r="I1961" s="464" t="s">
        <v>1684</v>
      </c>
    </row>
    <row r="1962" ht="15.95" customHeight="1">
      <c r="A1962" s="464" t="s">
        <v>5387</v>
      </c>
      <c r="B1962" s="464" t="s">
        <v>2113</v>
      </c>
      <c r="C1962" s="464"/>
      <c r="D1962" s="464" t="s">
        <v>1679</v>
      </c>
      <c r="E1962" s="464" t="s">
        <v>5379</v>
      </c>
      <c r="F1962" s="464" t="s">
        <v>5380</v>
      </c>
      <c r="G1962" s="464" t="s">
        <v>5381</v>
      </c>
      <c r="H1962" s="464" t="s">
        <v>5382</v>
      </c>
      <c r="I1962" s="464" t="s">
        <v>1684</v>
      </c>
    </row>
    <row r="1963" ht="15.95" customHeight="1">
      <c r="A1963" s="464" t="s">
        <v>5388</v>
      </c>
      <c r="B1963" s="464" t="s">
        <v>5389</v>
      </c>
      <c r="C1963" s="464"/>
      <c r="D1963" s="464" t="s">
        <v>1709</v>
      </c>
      <c r="E1963" s="464" t="s">
        <v>5379</v>
      </c>
      <c r="F1963" s="464" t="s">
        <v>5380</v>
      </c>
      <c r="G1963" s="464" t="s">
        <v>5381</v>
      </c>
      <c r="H1963" s="464" t="s">
        <v>5382</v>
      </c>
      <c r="I1963" s="464" t="s">
        <v>1684</v>
      </c>
    </row>
    <row r="1964" ht="15.95" customHeight="1">
      <c r="A1964" s="464" t="s">
        <v>5390</v>
      </c>
      <c r="B1964" s="464" t="s">
        <v>4509</v>
      </c>
      <c r="C1964" s="464"/>
      <c r="D1964" s="464" t="s">
        <v>1709</v>
      </c>
      <c r="E1964" s="464" t="s">
        <v>5379</v>
      </c>
      <c r="F1964" s="464" t="s">
        <v>5380</v>
      </c>
      <c r="G1964" s="464" t="s">
        <v>5381</v>
      </c>
      <c r="H1964" s="464" t="s">
        <v>5382</v>
      </c>
      <c r="I1964" s="464" t="s">
        <v>1684</v>
      </c>
    </row>
    <row r="1965" ht="15.95" customHeight="1">
      <c r="A1965" s="464" t="s">
        <v>5391</v>
      </c>
      <c r="B1965" s="464" t="s">
        <v>5392</v>
      </c>
      <c r="C1965" s="464"/>
      <c r="D1965" s="464" t="s">
        <v>1709</v>
      </c>
      <c r="E1965" s="464" t="s">
        <v>5379</v>
      </c>
      <c r="F1965" s="464" t="s">
        <v>5380</v>
      </c>
      <c r="G1965" s="464" t="s">
        <v>5381</v>
      </c>
      <c r="H1965" s="464" t="s">
        <v>5382</v>
      </c>
      <c r="I1965" s="464" t="s">
        <v>1684</v>
      </c>
    </row>
    <row r="1966" ht="15.95" customHeight="1">
      <c r="A1966" s="464" t="s">
        <v>5393</v>
      </c>
      <c r="B1966" s="464" t="s">
        <v>5394</v>
      </c>
      <c r="C1966" s="464" t="s">
        <v>5395</v>
      </c>
      <c r="D1966" s="464" t="s">
        <v>1679</v>
      </c>
      <c r="E1966" s="464" t="s">
        <v>5379</v>
      </c>
      <c r="F1966" s="464" t="s">
        <v>5380</v>
      </c>
      <c r="G1966" s="464" t="s">
        <v>5381</v>
      </c>
      <c r="H1966" s="464" t="s">
        <v>5382</v>
      </c>
      <c r="I1966" s="464" t="s">
        <v>1684</v>
      </c>
    </row>
    <row r="1967" ht="15.95" customHeight="1">
      <c r="A1967" s="464" t="s">
        <v>5396</v>
      </c>
      <c r="B1967" s="464" t="s">
        <v>5397</v>
      </c>
      <c r="C1967" s="464"/>
      <c r="D1967" s="464" t="s">
        <v>1709</v>
      </c>
      <c r="E1967" s="464" t="s">
        <v>5379</v>
      </c>
      <c r="F1967" s="464" t="s">
        <v>5380</v>
      </c>
      <c r="G1967" s="464" t="s">
        <v>5381</v>
      </c>
      <c r="H1967" s="464" t="s">
        <v>5382</v>
      </c>
      <c r="I1967" s="464" t="s">
        <v>1684</v>
      </c>
    </row>
    <row r="1968" ht="15.95" customHeight="1">
      <c r="A1968" s="464" t="s">
        <v>5398</v>
      </c>
      <c r="B1968" s="464" t="s">
        <v>5399</v>
      </c>
      <c r="C1968" s="464" t="s">
        <v>5400</v>
      </c>
      <c r="D1968" s="464" t="s">
        <v>1679</v>
      </c>
      <c r="E1968" s="464" t="s">
        <v>5379</v>
      </c>
      <c r="F1968" s="464" t="s">
        <v>5380</v>
      </c>
      <c r="G1968" s="464" t="s">
        <v>5381</v>
      </c>
      <c r="H1968" s="464" t="s">
        <v>5382</v>
      </c>
      <c r="I1968" s="464" t="s">
        <v>1684</v>
      </c>
    </row>
    <row r="1969" ht="15.95" customHeight="1">
      <c r="A1969" s="464" t="s">
        <v>5401</v>
      </c>
      <c r="B1969" s="464" t="s">
        <v>5402</v>
      </c>
      <c r="C1969" s="464"/>
      <c r="D1969" s="464" t="s">
        <v>1709</v>
      </c>
      <c r="E1969" s="464" t="s">
        <v>5379</v>
      </c>
      <c r="F1969" s="464" t="s">
        <v>5380</v>
      </c>
      <c r="G1969" s="464" t="s">
        <v>5381</v>
      </c>
      <c r="H1969" s="464" t="s">
        <v>5382</v>
      </c>
      <c r="I1969" s="464" t="s">
        <v>1684</v>
      </c>
    </row>
    <row r="1970" ht="15.95" customHeight="1">
      <c r="A1970" s="464" t="s">
        <v>5403</v>
      </c>
      <c r="B1970" s="464" t="s">
        <v>5404</v>
      </c>
      <c r="C1970" s="464"/>
      <c r="D1970" s="464" t="s">
        <v>1709</v>
      </c>
      <c r="E1970" s="464" t="s">
        <v>5379</v>
      </c>
      <c r="F1970" s="464" t="s">
        <v>5380</v>
      </c>
      <c r="G1970" s="464" t="s">
        <v>5381</v>
      </c>
      <c r="H1970" s="464" t="s">
        <v>5382</v>
      </c>
      <c r="I1970" s="464" t="s">
        <v>1684</v>
      </c>
    </row>
    <row r="1971" ht="15.95" customHeight="1">
      <c r="A1971" s="464" t="s">
        <v>5405</v>
      </c>
      <c r="B1971" s="464" t="s">
        <v>5406</v>
      </c>
      <c r="C1971" s="464"/>
      <c r="D1971" s="464" t="s">
        <v>1709</v>
      </c>
      <c r="E1971" s="464" t="s">
        <v>5379</v>
      </c>
      <c r="F1971" s="464" t="s">
        <v>5380</v>
      </c>
      <c r="G1971" s="464" t="s">
        <v>5381</v>
      </c>
      <c r="H1971" s="464" t="s">
        <v>5382</v>
      </c>
      <c r="I1971" s="464" t="s">
        <v>1684</v>
      </c>
    </row>
    <row r="1972" ht="15.95" customHeight="1">
      <c r="A1972" s="464" t="s">
        <v>5407</v>
      </c>
      <c r="B1972" s="464" t="s">
        <v>1269</v>
      </c>
      <c r="C1972" s="464"/>
      <c r="D1972" s="464" t="s">
        <v>1679</v>
      </c>
      <c r="E1972" s="464" t="s">
        <v>5408</v>
      </c>
      <c r="F1972" s="464" t="s">
        <v>5409</v>
      </c>
      <c r="G1972" s="464" t="s">
        <v>5381</v>
      </c>
      <c r="H1972" s="464" t="s">
        <v>5382</v>
      </c>
      <c r="I1972" s="464" t="s">
        <v>1684</v>
      </c>
    </row>
    <row r="1973" ht="15.95" customHeight="1">
      <c r="A1973" s="464" t="s">
        <v>5410</v>
      </c>
      <c r="B1973" s="464" t="s">
        <v>1287</v>
      </c>
      <c r="C1973" s="464"/>
      <c r="D1973" s="464" t="s">
        <v>1679</v>
      </c>
      <c r="E1973" s="464" t="s">
        <v>5408</v>
      </c>
      <c r="F1973" s="464" t="s">
        <v>5409</v>
      </c>
      <c r="G1973" s="464" t="s">
        <v>5381</v>
      </c>
      <c r="H1973" s="464" t="s">
        <v>5382</v>
      </c>
      <c r="I1973" s="464" t="s">
        <v>1684</v>
      </c>
    </row>
    <row r="1974" ht="15.95" customHeight="1">
      <c r="A1974" s="464" t="s">
        <v>5411</v>
      </c>
      <c r="B1974" s="464" t="s">
        <v>1282</v>
      </c>
      <c r="C1974" s="464"/>
      <c r="D1974" s="464" t="s">
        <v>1679</v>
      </c>
      <c r="E1974" s="464" t="s">
        <v>5408</v>
      </c>
      <c r="F1974" s="464" t="s">
        <v>5409</v>
      </c>
      <c r="G1974" s="464" t="s">
        <v>5381</v>
      </c>
      <c r="H1974" s="464" t="s">
        <v>5382</v>
      </c>
      <c r="I1974" s="464" t="s">
        <v>1684</v>
      </c>
    </row>
    <row r="1975" ht="15.95" customHeight="1">
      <c r="A1975" s="464" t="s">
        <v>5412</v>
      </c>
      <c r="B1975" s="464" t="s">
        <v>2110</v>
      </c>
      <c r="C1975" s="464"/>
      <c r="D1975" s="464" t="s">
        <v>1679</v>
      </c>
      <c r="E1975" s="464" t="s">
        <v>5408</v>
      </c>
      <c r="F1975" s="464" t="s">
        <v>5409</v>
      </c>
      <c r="G1975" s="464" t="s">
        <v>5381</v>
      </c>
      <c r="H1975" s="464" t="s">
        <v>5382</v>
      </c>
      <c r="I1975" s="464" t="s">
        <v>1684</v>
      </c>
    </row>
    <row r="1976" ht="15.95" customHeight="1">
      <c r="A1976" s="464" t="s">
        <v>5413</v>
      </c>
      <c r="B1976" s="464" t="s">
        <v>5414</v>
      </c>
      <c r="C1976" s="464"/>
      <c r="D1976" s="464" t="s">
        <v>1709</v>
      </c>
      <c r="E1976" s="464" t="s">
        <v>5408</v>
      </c>
      <c r="F1976" s="464" t="s">
        <v>5409</v>
      </c>
      <c r="G1976" s="464" t="s">
        <v>5381</v>
      </c>
      <c r="H1976" s="464" t="s">
        <v>5382</v>
      </c>
      <c r="I1976" s="464" t="s">
        <v>1684</v>
      </c>
    </row>
    <row r="1977" ht="15.95" customHeight="1">
      <c r="A1977" s="464" t="s">
        <v>5415</v>
      </c>
      <c r="B1977" s="464" t="s">
        <v>5416</v>
      </c>
      <c r="C1977" s="464" t="s">
        <v>5417</v>
      </c>
      <c r="D1977" s="464" t="s">
        <v>1679</v>
      </c>
      <c r="E1977" s="464" t="s">
        <v>5408</v>
      </c>
      <c r="F1977" s="464" t="s">
        <v>5409</v>
      </c>
      <c r="G1977" s="464" t="s">
        <v>5381</v>
      </c>
      <c r="H1977" s="464" t="s">
        <v>5382</v>
      </c>
      <c r="I1977" s="464" t="s">
        <v>1684</v>
      </c>
    </row>
    <row r="1978" ht="15.95" customHeight="1">
      <c r="A1978" s="464" t="s">
        <v>5418</v>
      </c>
      <c r="B1978" s="464" t="s">
        <v>5419</v>
      </c>
      <c r="C1978" s="464" t="s">
        <v>5420</v>
      </c>
      <c r="D1978" s="464" t="s">
        <v>1679</v>
      </c>
      <c r="E1978" s="464" t="s">
        <v>5408</v>
      </c>
      <c r="F1978" s="464" t="s">
        <v>5409</v>
      </c>
      <c r="G1978" s="464" t="s">
        <v>5381</v>
      </c>
      <c r="H1978" s="464" t="s">
        <v>5382</v>
      </c>
      <c r="I1978" s="464" t="s">
        <v>1684</v>
      </c>
    </row>
    <row r="1979" ht="15.95" customHeight="1">
      <c r="A1979" s="464" t="s">
        <v>5421</v>
      </c>
      <c r="B1979" s="464" t="s">
        <v>5422</v>
      </c>
      <c r="C1979" s="464"/>
      <c r="D1979" s="464" t="s">
        <v>1709</v>
      </c>
      <c r="E1979" s="464" t="s">
        <v>5408</v>
      </c>
      <c r="F1979" s="464" t="s">
        <v>5409</v>
      </c>
      <c r="G1979" s="464" t="s">
        <v>5381</v>
      </c>
      <c r="H1979" s="464" t="s">
        <v>5382</v>
      </c>
      <c r="I1979" s="464" t="s">
        <v>1684</v>
      </c>
    </row>
    <row r="1980" ht="15.95" customHeight="1">
      <c r="A1980" s="464" t="s">
        <v>5423</v>
      </c>
      <c r="B1980" s="464" t="s">
        <v>5424</v>
      </c>
      <c r="C1980" s="464"/>
      <c r="D1980" s="464" t="s">
        <v>1709</v>
      </c>
      <c r="E1980" s="464" t="s">
        <v>5408</v>
      </c>
      <c r="F1980" s="464" t="s">
        <v>5409</v>
      </c>
      <c r="G1980" s="464" t="s">
        <v>5381</v>
      </c>
      <c r="H1980" s="464" t="s">
        <v>5382</v>
      </c>
      <c r="I1980" s="464" t="s">
        <v>1684</v>
      </c>
    </row>
    <row r="1981" ht="15.95" customHeight="1">
      <c r="A1981" s="464" t="s">
        <v>5425</v>
      </c>
      <c r="B1981" s="464" t="s">
        <v>2447</v>
      </c>
      <c r="C1981" s="464"/>
      <c r="D1981" s="464" t="s">
        <v>1679</v>
      </c>
      <c r="E1981" s="464" t="s">
        <v>5426</v>
      </c>
      <c r="F1981" s="464" t="s">
        <v>5427</v>
      </c>
      <c r="G1981" s="464" t="s">
        <v>5381</v>
      </c>
      <c r="H1981" s="464" t="s">
        <v>5382</v>
      </c>
      <c r="I1981" s="464" t="s">
        <v>1684</v>
      </c>
    </row>
    <row r="1982" ht="15.95" customHeight="1">
      <c r="A1982" s="464" t="s">
        <v>5428</v>
      </c>
      <c r="B1982" s="464" t="s">
        <v>2982</v>
      </c>
      <c r="C1982" s="464"/>
      <c r="D1982" s="464" t="s">
        <v>1679</v>
      </c>
      <c r="E1982" s="464" t="s">
        <v>5426</v>
      </c>
      <c r="F1982" s="464" t="s">
        <v>5427</v>
      </c>
      <c r="G1982" s="464" t="s">
        <v>5381</v>
      </c>
      <c r="H1982" s="464" t="s">
        <v>5382</v>
      </c>
      <c r="I1982" s="464" t="s">
        <v>1684</v>
      </c>
    </row>
    <row r="1983" ht="15.95" customHeight="1">
      <c r="A1983" s="464" t="s">
        <v>5429</v>
      </c>
      <c r="B1983" s="464" t="s">
        <v>1908</v>
      </c>
      <c r="C1983" s="464"/>
      <c r="D1983" s="464" t="s">
        <v>1709</v>
      </c>
      <c r="E1983" s="464" t="s">
        <v>5426</v>
      </c>
      <c r="F1983" s="464" t="s">
        <v>5427</v>
      </c>
      <c r="G1983" s="464" t="s">
        <v>5381</v>
      </c>
      <c r="H1983" s="464" t="s">
        <v>5382</v>
      </c>
      <c r="I1983" s="464" t="s">
        <v>1684</v>
      </c>
    </row>
    <row r="1984" ht="15.95" customHeight="1">
      <c r="A1984" s="464" t="s">
        <v>5430</v>
      </c>
      <c r="B1984" s="464" t="s">
        <v>2253</v>
      </c>
      <c r="C1984" s="464"/>
      <c r="D1984" s="464" t="s">
        <v>1709</v>
      </c>
      <c r="E1984" s="464" t="s">
        <v>5426</v>
      </c>
      <c r="F1984" s="464" t="s">
        <v>5427</v>
      </c>
      <c r="G1984" s="464" t="s">
        <v>5381</v>
      </c>
      <c r="H1984" s="464" t="s">
        <v>5382</v>
      </c>
      <c r="I1984" s="464" t="s">
        <v>1684</v>
      </c>
    </row>
    <row r="1985" ht="15.95" customHeight="1">
      <c r="A1985" s="464" t="s">
        <v>5431</v>
      </c>
      <c r="B1985" s="464" t="s">
        <v>1209</v>
      </c>
      <c r="C1985" s="464"/>
      <c r="D1985" s="464" t="s">
        <v>1679</v>
      </c>
      <c r="E1985" s="464" t="s">
        <v>5426</v>
      </c>
      <c r="F1985" s="464" t="s">
        <v>5427</v>
      </c>
      <c r="G1985" s="464" t="s">
        <v>5381</v>
      </c>
      <c r="H1985" s="464" t="s">
        <v>5382</v>
      </c>
      <c r="I1985" s="464" t="s">
        <v>1684</v>
      </c>
    </row>
    <row r="1986" ht="15.95" customHeight="1">
      <c r="A1986" s="464" t="s">
        <v>5432</v>
      </c>
      <c r="B1986" s="464" t="s">
        <v>5433</v>
      </c>
      <c r="C1986" s="464"/>
      <c r="D1986" s="464" t="s">
        <v>1709</v>
      </c>
      <c r="E1986" s="464" t="s">
        <v>5426</v>
      </c>
      <c r="F1986" s="464" t="s">
        <v>5427</v>
      </c>
      <c r="G1986" s="464" t="s">
        <v>5381</v>
      </c>
      <c r="H1986" s="464" t="s">
        <v>5382</v>
      </c>
      <c r="I1986" s="464" t="s">
        <v>1684</v>
      </c>
    </row>
    <row r="1987" ht="15.95" customHeight="1">
      <c r="A1987" s="464" t="s">
        <v>5434</v>
      </c>
      <c r="B1987" s="464" t="s">
        <v>5435</v>
      </c>
      <c r="C1987" s="464"/>
      <c r="D1987" s="464" t="s">
        <v>1709</v>
      </c>
      <c r="E1987" s="464" t="s">
        <v>5426</v>
      </c>
      <c r="F1987" s="464" t="s">
        <v>5427</v>
      </c>
      <c r="G1987" s="464" t="s">
        <v>5381</v>
      </c>
      <c r="H1987" s="464" t="s">
        <v>5382</v>
      </c>
      <c r="I1987" s="464" t="s">
        <v>1684</v>
      </c>
    </row>
    <row r="1988" ht="15.95" customHeight="1">
      <c r="A1988" s="464" t="s">
        <v>5436</v>
      </c>
      <c r="B1988" s="464" t="s">
        <v>5437</v>
      </c>
      <c r="C1988" s="464"/>
      <c r="D1988" s="464" t="s">
        <v>1738</v>
      </c>
      <c r="E1988" s="464" t="s">
        <v>5438</v>
      </c>
      <c r="F1988" s="464" t="s">
        <v>5439</v>
      </c>
      <c r="G1988" s="464" t="s">
        <v>5381</v>
      </c>
      <c r="H1988" s="464" t="s">
        <v>5382</v>
      </c>
      <c r="I1988" s="464" t="s">
        <v>1684</v>
      </c>
    </row>
    <row r="1989" ht="15.95" customHeight="1">
      <c r="A1989" s="464" t="s">
        <v>5440</v>
      </c>
      <c r="B1989" s="464" t="s">
        <v>5441</v>
      </c>
      <c r="C1989" s="464"/>
      <c r="D1989" s="464" t="s">
        <v>1709</v>
      </c>
      <c r="E1989" s="464" t="s">
        <v>5438</v>
      </c>
      <c r="F1989" s="464" t="s">
        <v>5439</v>
      </c>
      <c r="G1989" s="464" t="s">
        <v>5381</v>
      </c>
      <c r="H1989" s="464" t="s">
        <v>5382</v>
      </c>
      <c r="I1989" s="464" t="s">
        <v>1684</v>
      </c>
    </row>
    <row r="1990" ht="15.95" customHeight="1">
      <c r="A1990" s="464" t="s">
        <v>5442</v>
      </c>
      <c r="B1990" s="464" t="s">
        <v>5443</v>
      </c>
      <c r="C1990" s="464"/>
      <c r="D1990" s="464" t="s">
        <v>1709</v>
      </c>
      <c r="E1990" s="464" t="s">
        <v>5438</v>
      </c>
      <c r="F1990" s="464" t="s">
        <v>5439</v>
      </c>
      <c r="G1990" s="464" t="s">
        <v>5381</v>
      </c>
      <c r="H1990" s="464" t="s">
        <v>5382</v>
      </c>
      <c r="I1990" s="464" t="s">
        <v>1684</v>
      </c>
    </row>
    <row r="1991" ht="15.95" customHeight="1">
      <c r="A1991" s="464" t="s">
        <v>5444</v>
      </c>
      <c r="B1991" s="464" t="s">
        <v>4555</v>
      </c>
      <c r="C1991" s="464"/>
      <c r="D1991" s="464" t="s">
        <v>1709</v>
      </c>
      <c r="E1991" s="464" t="s">
        <v>5438</v>
      </c>
      <c r="F1991" s="464" t="s">
        <v>5439</v>
      </c>
      <c r="G1991" s="464" t="s">
        <v>5381</v>
      </c>
      <c r="H1991" s="464" t="s">
        <v>5382</v>
      </c>
      <c r="I1991" s="464" t="s">
        <v>1684</v>
      </c>
    </row>
    <row r="1992" ht="15.95" customHeight="1">
      <c r="A1992" s="464" t="s">
        <v>5445</v>
      </c>
      <c r="B1992" s="464" t="s">
        <v>5446</v>
      </c>
      <c r="C1992" s="464"/>
      <c r="D1992" s="464" t="s">
        <v>1709</v>
      </c>
      <c r="E1992" s="464" t="s">
        <v>5438</v>
      </c>
      <c r="F1992" s="464" t="s">
        <v>5439</v>
      </c>
      <c r="G1992" s="464" t="s">
        <v>5381</v>
      </c>
      <c r="H1992" s="464" t="s">
        <v>5382</v>
      </c>
      <c r="I1992" s="464" t="s">
        <v>1684</v>
      </c>
    </row>
    <row r="1993" ht="15.95" customHeight="1">
      <c r="A1993" s="464" t="s">
        <v>5447</v>
      </c>
      <c r="B1993" s="464" t="s">
        <v>5448</v>
      </c>
      <c r="C1993" s="464"/>
      <c r="D1993" s="464" t="s">
        <v>1709</v>
      </c>
      <c r="E1993" s="464" t="s">
        <v>5438</v>
      </c>
      <c r="F1993" s="464" t="s">
        <v>5439</v>
      </c>
      <c r="G1993" s="464" t="s">
        <v>5381</v>
      </c>
      <c r="H1993" s="464" t="s">
        <v>5382</v>
      </c>
      <c r="I1993" s="464" t="s">
        <v>1684</v>
      </c>
    </row>
    <row r="1994" ht="15.95" customHeight="1">
      <c r="A1994" s="464" t="s">
        <v>5449</v>
      </c>
      <c r="B1994" s="464" t="s">
        <v>1883</v>
      </c>
      <c r="C1994" s="464"/>
      <c r="D1994" s="464" t="s">
        <v>1709</v>
      </c>
      <c r="E1994" s="464" t="s">
        <v>5438</v>
      </c>
      <c r="F1994" s="464" t="s">
        <v>5439</v>
      </c>
      <c r="G1994" s="464" t="s">
        <v>5381</v>
      </c>
      <c r="H1994" s="464" t="s">
        <v>5382</v>
      </c>
      <c r="I1994" s="464" t="s">
        <v>1684</v>
      </c>
    </row>
    <row r="1995" ht="15.95" customHeight="1">
      <c r="A1995" s="464" t="s">
        <v>5450</v>
      </c>
      <c r="B1995" s="464" t="s">
        <v>5451</v>
      </c>
      <c r="C1995" s="464"/>
      <c r="D1995" s="464" t="s">
        <v>1709</v>
      </c>
      <c r="E1995" s="464" t="s">
        <v>5438</v>
      </c>
      <c r="F1995" s="464" t="s">
        <v>5439</v>
      </c>
      <c r="G1995" s="464" t="s">
        <v>5381</v>
      </c>
      <c r="H1995" s="464" t="s">
        <v>5382</v>
      </c>
      <c r="I1995" s="464" t="s">
        <v>1684</v>
      </c>
    </row>
    <row r="1996" ht="15.95" customHeight="1">
      <c r="A1996" s="464" t="s">
        <v>5452</v>
      </c>
      <c r="B1996" s="464" t="s">
        <v>3288</v>
      </c>
      <c r="C1996" s="464"/>
      <c r="D1996" s="464" t="s">
        <v>1709</v>
      </c>
      <c r="E1996" s="464" t="s">
        <v>5438</v>
      </c>
      <c r="F1996" s="464" t="s">
        <v>5439</v>
      </c>
      <c r="G1996" s="464" t="s">
        <v>5381</v>
      </c>
      <c r="H1996" s="464" t="s">
        <v>5382</v>
      </c>
      <c r="I1996" s="464" t="s">
        <v>1684</v>
      </c>
    </row>
    <row r="1997" ht="15.95" customHeight="1">
      <c r="A1997" s="464" t="s">
        <v>5453</v>
      </c>
      <c r="B1997" s="464" t="s">
        <v>5454</v>
      </c>
      <c r="C1997" s="464"/>
      <c r="D1997" s="464" t="s">
        <v>1709</v>
      </c>
      <c r="E1997" s="464" t="s">
        <v>5455</v>
      </c>
      <c r="F1997" s="464" t="s">
        <v>5456</v>
      </c>
      <c r="G1997" s="464" t="s">
        <v>5381</v>
      </c>
      <c r="H1997" s="464" t="s">
        <v>5382</v>
      </c>
      <c r="I1997" s="464" t="s">
        <v>1684</v>
      </c>
    </row>
    <row r="1998" ht="15.95" customHeight="1">
      <c r="A1998" s="464" t="s">
        <v>5457</v>
      </c>
      <c r="B1998" s="464" t="s">
        <v>5458</v>
      </c>
      <c r="C1998" s="464"/>
      <c r="D1998" s="464" t="s">
        <v>1709</v>
      </c>
      <c r="E1998" s="464" t="s">
        <v>5455</v>
      </c>
      <c r="F1998" s="464" t="s">
        <v>5456</v>
      </c>
      <c r="G1998" s="464" t="s">
        <v>5381</v>
      </c>
      <c r="H1998" s="464" t="s">
        <v>5382</v>
      </c>
      <c r="I1998" s="464" t="s">
        <v>1684</v>
      </c>
    </row>
    <row r="1999" ht="15.95" customHeight="1">
      <c r="A1999" s="464" t="s">
        <v>5459</v>
      </c>
      <c r="B1999" s="464" t="s">
        <v>5460</v>
      </c>
      <c r="C1999" s="464"/>
      <c r="D1999" s="464" t="s">
        <v>1709</v>
      </c>
      <c r="E1999" s="464" t="s">
        <v>5455</v>
      </c>
      <c r="F1999" s="464" t="s">
        <v>5456</v>
      </c>
      <c r="G1999" s="464" t="s">
        <v>5381</v>
      </c>
      <c r="H1999" s="464" t="s">
        <v>5382</v>
      </c>
      <c r="I1999" s="464" t="s">
        <v>1684</v>
      </c>
    </row>
    <row r="2000" ht="15.95" customHeight="1">
      <c r="A2000" s="464" t="s">
        <v>5461</v>
      </c>
      <c r="B2000" s="464" t="s">
        <v>5462</v>
      </c>
      <c r="C2000" s="464"/>
      <c r="D2000" s="464" t="s">
        <v>1709</v>
      </c>
      <c r="E2000" s="464" t="s">
        <v>5455</v>
      </c>
      <c r="F2000" s="464" t="s">
        <v>5456</v>
      </c>
      <c r="G2000" s="464" t="s">
        <v>5381</v>
      </c>
      <c r="H2000" s="464" t="s">
        <v>5382</v>
      </c>
      <c r="I2000" s="464" t="s">
        <v>1684</v>
      </c>
    </row>
    <row r="2001" ht="15.95" customHeight="1">
      <c r="A2001" s="464" t="s">
        <v>5463</v>
      </c>
      <c r="B2001" s="464" t="s">
        <v>5464</v>
      </c>
      <c r="C2001" s="464"/>
      <c r="D2001" s="464" t="s">
        <v>1709</v>
      </c>
      <c r="E2001" s="464" t="s">
        <v>5455</v>
      </c>
      <c r="F2001" s="464" t="s">
        <v>5456</v>
      </c>
      <c r="G2001" s="464" t="s">
        <v>5381</v>
      </c>
      <c r="H2001" s="464" t="s">
        <v>5382</v>
      </c>
      <c r="I2001" s="464" t="s">
        <v>1684</v>
      </c>
    </row>
    <row r="2002" ht="15.95" customHeight="1">
      <c r="A2002" s="464" t="s">
        <v>5465</v>
      </c>
      <c r="B2002" s="464" t="s">
        <v>5466</v>
      </c>
      <c r="C2002" s="464"/>
      <c r="D2002" s="464" t="s">
        <v>1709</v>
      </c>
      <c r="E2002" s="464" t="s">
        <v>5455</v>
      </c>
      <c r="F2002" s="464" t="s">
        <v>5456</v>
      </c>
      <c r="G2002" s="464" t="s">
        <v>5381</v>
      </c>
      <c r="H2002" s="464" t="s">
        <v>5382</v>
      </c>
      <c r="I2002" s="464" t="s">
        <v>1684</v>
      </c>
    </row>
    <row r="2003" ht="15.95" customHeight="1">
      <c r="A2003" s="464" t="s">
        <v>5467</v>
      </c>
      <c r="B2003" s="464" t="s">
        <v>5468</v>
      </c>
      <c r="C2003" s="464"/>
      <c r="D2003" s="464" t="s">
        <v>1709</v>
      </c>
      <c r="E2003" s="464" t="s">
        <v>5455</v>
      </c>
      <c r="F2003" s="464" t="s">
        <v>5456</v>
      </c>
      <c r="G2003" s="464" t="s">
        <v>5381</v>
      </c>
      <c r="H2003" s="464" t="s">
        <v>5382</v>
      </c>
      <c r="I2003" s="464" t="s">
        <v>1684</v>
      </c>
    </row>
    <row r="2004" ht="15.95" customHeight="1">
      <c r="A2004" s="464" t="s">
        <v>5469</v>
      </c>
      <c r="B2004" s="464" t="s">
        <v>5470</v>
      </c>
      <c r="C2004" s="464"/>
      <c r="D2004" s="464" t="s">
        <v>1709</v>
      </c>
      <c r="E2004" s="464" t="s">
        <v>5455</v>
      </c>
      <c r="F2004" s="464" t="s">
        <v>5456</v>
      </c>
      <c r="G2004" s="464" t="s">
        <v>5381</v>
      </c>
      <c r="H2004" s="464" t="s">
        <v>5382</v>
      </c>
      <c r="I2004" s="464" t="s">
        <v>1684</v>
      </c>
    </row>
    <row r="2005" ht="15.95" customHeight="1">
      <c r="A2005" s="464" t="s">
        <v>5471</v>
      </c>
      <c r="B2005" s="464" t="s">
        <v>2805</v>
      </c>
      <c r="C2005" s="464"/>
      <c r="D2005" s="464" t="s">
        <v>1709</v>
      </c>
      <c r="E2005" s="464" t="s">
        <v>5455</v>
      </c>
      <c r="F2005" s="464" t="s">
        <v>5456</v>
      </c>
      <c r="G2005" s="464" t="s">
        <v>5381</v>
      </c>
      <c r="H2005" s="464" t="s">
        <v>5382</v>
      </c>
      <c r="I2005" s="464" t="s">
        <v>1684</v>
      </c>
    </row>
    <row r="2006" ht="15.95" customHeight="1">
      <c r="A2006" s="464" t="s">
        <v>5472</v>
      </c>
      <c r="B2006" s="464" t="s">
        <v>5473</v>
      </c>
      <c r="C2006" s="464"/>
      <c r="D2006" s="464" t="s">
        <v>1709</v>
      </c>
      <c r="E2006" s="464" t="s">
        <v>5455</v>
      </c>
      <c r="F2006" s="464" t="s">
        <v>5456</v>
      </c>
      <c r="G2006" s="464" t="s">
        <v>5381</v>
      </c>
      <c r="H2006" s="464" t="s">
        <v>5382</v>
      </c>
      <c r="I2006" s="464" t="s">
        <v>1684</v>
      </c>
    </row>
    <row r="2007" ht="15.95" customHeight="1">
      <c r="A2007" s="464" t="s">
        <v>5474</v>
      </c>
      <c r="B2007" s="464" t="s">
        <v>5475</v>
      </c>
      <c r="C2007" s="464"/>
      <c r="D2007" s="464" t="s">
        <v>1709</v>
      </c>
      <c r="E2007" s="464" t="s">
        <v>5455</v>
      </c>
      <c r="F2007" s="464" t="s">
        <v>5456</v>
      </c>
      <c r="G2007" s="464" t="s">
        <v>5381</v>
      </c>
      <c r="H2007" s="464" t="s">
        <v>5382</v>
      </c>
      <c r="I2007" s="464" t="s">
        <v>1684</v>
      </c>
    </row>
    <row r="2008" ht="15.95" customHeight="1">
      <c r="A2008" s="464" t="s">
        <v>5476</v>
      </c>
      <c r="B2008" s="464" t="s">
        <v>5477</v>
      </c>
      <c r="C2008" s="464"/>
      <c r="D2008" s="464" t="s">
        <v>1738</v>
      </c>
      <c r="E2008" s="464" t="s">
        <v>5478</v>
      </c>
      <c r="F2008" s="464" t="s">
        <v>5479</v>
      </c>
      <c r="G2008" s="464" t="s">
        <v>5381</v>
      </c>
      <c r="H2008" s="464" t="s">
        <v>5382</v>
      </c>
      <c r="I2008" s="464" t="s">
        <v>1684</v>
      </c>
    </row>
    <row r="2009" ht="15.95" customHeight="1">
      <c r="A2009" s="464" t="s">
        <v>5480</v>
      </c>
      <c r="B2009" s="464" t="s">
        <v>3464</v>
      </c>
      <c r="C2009" s="464"/>
      <c r="D2009" s="464" t="s">
        <v>1709</v>
      </c>
      <c r="E2009" s="464" t="s">
        <v>5478</v>
      </c>
      <c r="F2009" s="464" t="s">
        <v>5479</v>
      </c>
      <c r="G2009" s="464" t="s">
        <v>5381</v>
      </c>
      <c r="H2009" s="464" t="s">
        <v>5382</v>
      </c>
      <c r="I2009" s="464" t="s">
        <v>1684</v>
      </c>
    </row>
    <row r="2010" ht="15.95" customHeight="1">
      <c r="A2010" s="464" t="s">
        <v>5481</v>
      </c>
      <c r="B2010" s="464" t="s">
        <v>5482</v>
      </c>
      <c r="C2010" s="464"/>
      <c r="D2010" s="464" t="s">
        <v>1709</v>
      </c>
      <c r="E2010" s="464" t="s">
        <v>5478</v>
      </c>
      <c r="F2010" s="464" t="s">
        <v>5479</v>
      </c>
      <c r="G2010" s="464" t="s">
        <v>5381</v>
      </c>
      <c r="H2010" s="464" t="s">
        <v>5382</v>
      </c>
      <c r="I2010" s="464" t="s">
        <v>1684</v>
      </c>
    </row>
    <row r="2011" ht="15.95" customHeight="1">
      <c r="A2011" s="464" t="s">
        <v>5483</v>
      </c>
      <c r="B2011" s="464" t="s">
        <v>5484</v>
      </c>
      <c r="C2011" s="464"/>
      <c r="D2011" s="464" t="s">
        <v>1709</v>
      </c>
      <c r="E2011" s="464" t="s">
        <v>5478</v>
      </c>
      <c r="F2011" s="464" t="s">
        <v>5479</v>
      </c>
      <c r="G2011" s="464" t="s">
        <v>5381</v>
      </c>
      <c r="H2011" s="464" t="s">
        <v>5382</v>
      </c>
      <c r="I2011" s="464" t="s">
        <v>1684</v>
      </c>
    </row>
    <row r="2012" ht="15.95" customHeight="1">
      <c r="A2012" s="464" t="s">
        <v>5485</v>
      </c>
      <c r="B2012" s="464" t="s">
        <v>4748</v>
      </c>
      <c r="C2012" s="464"/>
      <c r="D2012" s="464" t="s">
        <v>1709</v>
      </c>
      <c r="E2012" s="464" t="s">
        <v>5478</v>
      </c>
      <c r="F2012" s="464" t="s">
        <v>5479</v>
      </c>
      <c r="G2012" s="464" t="s">
        <v>5381</v>
      </c>
      <c r="H2012" s="464" t="s">
        <v>5382</v>
      </c>
      <c r="I2012" s="464" t="s">
        <v>1684</v>
      </c>
    </row>
    <row r="2013" ht="15.95" customHeight="1">
      <c r="A2013" s="464" t="s">
        <v>5486</v>
      </c>
      <c r="B2013" s="464" t="s">
        <v>5487</v>
      </c>
      <c r="C2013" s="464"/>
      <c r="D2013" s="464" t="s">
        <v>1709</v>
      </c>
      <c r="E2013" s="464" t="s">
        <v>5478</v>
      </c>
      <c r="F2013" s="464" t="s">
        <v>5479</v>
      </c>
      <c r="G2013" s="464" t="s">
        <v>5381</v>
      </c>
      <c r="H2013" s="464" t="s">
        <v>5382</v>
      </c>
      <c r="I2013" s="464" t="s">
        <v>1684</v>
      </c>
    </row>
    <row r="2014" ht="15.95" customHeight="1">
      <c r="A2014" s="464" t="s">
        <v>5488</v>
      </c>
      <c r="B2014" s="464" t="s">
        <v>2827</v>
      </c>
      <c r="C2014" s="464"/>
      <c r="D2014" s="464" t="s">
        <v>1709</v>
      </c>
      <c r="E2014" s="464" t="s">
        <v>5478</v>
      </c>
      <c r="F2014" s="464" t="s">
        <v>5479</v>
      </c>
      <c r="G2014" s="464" t="s">
        <v>5381</v>
      </c>
      <c r="H2014" s="464" t="s">
        <v>5382</v>
      </c>
      <c r="I2014" s="464" t="s">
        <v>1684</v>
      </c>
    </row>
    <row r="2015" ht="15.95" customHeight="1">
      <c r="A2015" s="464" t="s">
        <v>5489</v>
      </c>
      <c r="B2015" s="464" t="s">
        <v>2929</v>
      </c>
      <c r="C2015" s="464"/>
      <c r="D2015" s="464" t="s">
        <v>1709</v>
      </c>
      <c r="E2015" s="464" t="s">
        <v>5478</v>
      </c>
      <c r="F2015" s="464" t="s">
        <v>5479</v>
      </c>
      <c r="G2015" s="464" t="s">
        <v>5381</v>
      </c>
      <c r="H2015" s="464" t="s">
        <v>5382</v>
      </c>
      <c r="I2015" s="464" t="s">
        <v>1684</v>
      </c>
    </row>
    <row r="2016" ht="15.95" customHeight="1">
      <c r="A2016" s="464" t="s">
        <v>5490</v>
      </c>
      <c r="B2016" s="464" t="s">
        <v>3193</v>
      </c>
      <c r="C2016" s="464"/>
      <c r="D2016" s="464" t="s">
        <v>1709</v>
      </c>
      <c r="E2016" s="464" t="s">
        <v>5478</v>
      </c>
      <c r="F2016" s="464" t="s">
        <v>5479</v>
      </c>
      <c r="G2016" s="464" t="s">
        <v>5381</v>
      </c>
      <c r="H2016" s="464" t="s">
        <v>5382</v>
      </c>
      <c r="I2016" s="464" t="s">
        <v>1684</v>
      </c>
    </row>
    <row r="2017" ht="15.95" customHeight="1">
      <c r="A2017" s="464" t="s">
        <v>5491</v>
      </c>
      <c r="B2017" s="464" t="s">
        <v>5492</v>
      </c>
      <c r="C2017" s="464"/>
      <c r="D2017" s="464" t="s">
        <v>1709</v>
      </c>
      <c r="E2017" s="464" t="s">
        <v>5478</v>
      </c>
      <c r="F2017" s="464" t="s">
        <v>5479</v>
      </c>
      <c r="G2017" s="464" t="s">
        <v>5381</v>
      </c>
      <c r="H2017" s="464" t="s">
        <v>5382</v>
      </c>
      <c r="I2017" s="464" t="s">
        <v>1684</v>
      </c>
    </row>
    <row r="2018" ht="15.95" customHeight="1">
      <c r="A2018" s="464" t="s">
        <v>5493</v>
      </c>
      <c r="B2018" s="464" t="s">
        <v>5494</v>
      </c>
      <c r="C2018" s="464"/>
      <c r="D2018" s="464" t="s">
        <v>1709</v>
      </c>
      <c r="E2018" s="464" t="s">
        <v>5478</v>
      </c>
      <c r="F2018" s="464" t="s">
        <v>5479</v>
      </c>
      <c r="G2018" s="464" t="s">
        <v>5381</v>
      </c>
      <c r="H2018" s="464" t="s">
        <v>5382</v>
      </c>
      <c r="I2018" s="464" t="s">
        <v>1684</v>
      </c>
    </row>
    <row r="2019" ht="15.95" customHeight="1">
      <c r="A2019" s="464" t="s">
        <v>5495</v>
      </c>
      <c r="B2019" s="464" t="s">
        <v>5496</v>
      </c>
      <c r="C2019" s="464"/>
      <c r="D2019" s="464" t="s">
        <v>1709</v>
      </c>
      <c r="E2019" s="464" t="s">
        <v>5478</v>
      </c>
      <c r="F2019" s="464" t="s">
        <v>5479</v>
      </c>
      <c r="G2019" s="464" t="s">
        <v>5381</v>
      </c>
      <c r="H2019" s="464" t="s">
        <v>5382</v>
      </c>
      <c r="I2019" s="464" t="s">
        <v>1684</v>
      </c>
    </row>
    <row r="2020" ht="15.95" customHeight="1">
      <c r="A2020" s="464" t="s">
        <v>5497</v>
      </c>
      <c r="B2020" s="464" t="s">
        <v>5498</v>
      </c>
      <c r="C2020" s="464"/>
      <c r="D2020" s="464" t="s">
        <v>1738</v>
      </c>
      <c r="E2020" s="464" t="s">
        <v>5499</v>
      </c>
      <c r="F2020" s="464" t="s">
        <v>5500</v>
      </c>
      <c r="G2020" s="464" t="s">
        <v>5381</v>
      </c>
      <c r="H2020" s="464" t="s">
        <v>5382</v>
      </c>
      <c r="I2020" s="464" t="s">
        <v>1684</v>
      </c>
    </row>
    <row r="2021" ht="15.95" customHeight="1">
      <c r="A2021" s="464" t="s">
        <v>5501</v>
      </c>
      <c r="B2021" s="464" t="s">
        <v>4243</v>
      </c>
      <c r="C2021" s="464"/>
      <c r="D2021" s="464" t="s">
        <v>1709</v>
      </c>
      <c r="E2021" s="464" t="s">
        <v>5499</v>
      </c>
      <c r="F2021" s="464" t="s">
        <v>5500</v>
      </c>
      <c r="G2021" s="464" t="s">
        <v>5381</v>
      </c>
      <c r="H2021" s="464" t="s">
        <v>5382</v>
      </c>
      <c r="I2021" s="464" t="s">
        <v>1684</v>
      </c>
    </row>
    <row r="2022" ht="15.95" customHeight="1">
      <c r="A2022" s="464" t="s">
        <v>5502</v>
      </c>
      <c r="B2022" s="464" t="s">
        <v>4083</v>
      </c>
      <c r="C2022" s="464"/>
      <c r="D2022" s="464" t="s">
        <v>1709</v>
      </c>
      <c r="E2022" s="464" t="s">
        <v>5499</v>
      </c>
      <c r="F2022" s="464" t="s">
        <v>5500</v>
      </c>
      <c r="G2022" s="464" t="s">
        <v>5381</v>
      </c>
      <c r="H2022" s="464" t="s">
        <v>5382</v>
      </c>
      <c r="I2022" s="464" t="s">
        <v>1684</v>
      </c>
    </row>
    <row r="2023" ht="15.95" customHeight="1">
      <c r="A2023" s="464" t="s">
        <v>5503</v>
      </c>
      <c r="B2023" s="464" t="s">
        <v>5504</v>
      </c>
      <c r="C2023" s="464"/>
      <c r="D2023" s="464" t="s">
        <v>1709</v>
      </c>
      <c r="E2023" s="464" t="s">
        <v>5499</v>
      </c>
      <c r="F2023" s="464" t="s">
        <v>5500</v>
      </c>
      <c r="G2023" s="464" t="s">
        <v>5381</v>
      </c>
      <c r="H2023" s="464" t="s">
        <v>5382</v>
      </c>
      <c r="I2023" s="464" t="s">
        <v>1684</v>
      </c>
    </row>
    <row r="2024" ht="15.95" customHeight="1">
      <c r="A2024" s="464" t="s">
        <v>5505</v>
      </c>
      <c r="B2024" s="464" t="s">
        <v>5506</v>
      </c>
      <c r="C2024" s="464"/>
      <c r="D2024" s="464" t="s">
        <v>1709</v>
      </c>
      <c r="E2024" s="464" t="s">
        <v>5499</v>
      </c>
      <c r="F2024" s="464" t="s">
        <v>5500</v>
      </c>
      <c r="G2024" s="464" t="s">
        <v>5381</v>
      </c>
      <c r="H2024" s="464" t="s">
        <v>5382</v>
      </c>
      <c r="I2024" s="464" t="s">
        <v>1684</v>
      </c>
    </row>
    <row r="2025" ht="15.95" customHeight="1">
      <c r="A2025" s="464" t="s">
        <v>5507</v>
      </c>
      <c r="B2025" s="464" t="s">
        <v>4902</v>
      </c>
      <c r="C2025" s="464"/>
      <c r="D2025" s="464" t="s">
        <v>1709</v>
      </c>
      <c r="E2025" s="464" t="s">
        <v>5499</v>
      </c>
      <c r="F2025" s="464" t="s">
        <v>5500</v>
      </c>
      <c r="G2025" s="464" t="s">
        <v>5381</v>
      </c>
      <c r="H2025" s="464" t="s">
        <v>5382</v>
      </c>
      <c r="I2025" s="464" t="s">
        <v>1684</v>
      </c>
    </row>
    <row r="2026" ht="15.95" customHeight="1">
      <c r="A2026" s="464" t="s">
        <v>5508</v>
      </c>
      <c r="B2026" s="464" t="s">
        <v>5509</v>
      </c>
      <c r="C2026" s="464"/>
      <c r="D2026" s="464" t="s">
        <v>1709</v>
      </c>
      <c r="E2026" s="464" t="s">
        <v>5499</v>
      </c>
      <c r="F2026" s="464" t="s">
        <v>5500</v>
      </c>
      <c r="G2026" s="464" t="s">
        <v>5381</v>
      </c>
      <c r="H2026" s="464" t="s">
        <v>5382</v>
      </c>
      <c r="I2026" s="464" t="s">
        <v>1684</v>
      </c>
    </row>
    <row r="2027" ht="15.95" customHeight="1">
      <c r="A2027" s="464" t="s">
        <v>5510</v>
      </c>
      <c r="B2027" s="464" t="s">
        <v>5511</v>
      </c>
      <c r="C2027" s="464"/>
      <c r="D2027" s="464" t="s">
        <v>1709</v>
      </c>
      <c r="E2027" s="464" t="s">
        <v>5499</v>
      </c>
      <c r="F2027" s="464" t="s">
        <v>5500</v>
      </c>
      <c r="G2027" s="464" t="s">
        <v>5381</v>
      </c>
      <c r="H2027" s="464" t="s">
        <v>5382</v>
      </c>
      <c r="I2027" s="464" t="s">
        <v>1684</v>
      </c>
    </row>
    <row r="2028" ht="15.95" customHeight="1">
      <c r="A2028" s="464" t="s">
        <v>5512</v>
      </c>
      <c r="B2028" s="464" t="s">
        <v>5513</v>
      </c>
      <c r="C2028" s="464"/>
      <c r="D2028" s="464" t="s">
        <v>1709</v>
      </c>
      <c r="E2028" s="464" t="s">
        <v>5499</v>
      </c>
      <c r="F2028" s="464" t="s">
        <v>5500</v>
      </c>
      <c r="G2028" s="464" t="s">
        <v>5381</v>
      </c>
      <c r="H2028" s="464" t="s">
        <v>5382</v>
      </c>
      <c r="I2028" s="464" t="s">
        <v>1684</v>
      </c>
    </row>
    <row r="2029" ht="15.95" customHeight="1">
      <c r="A2029" s="464" t="s">
        <v>5514</v>
      </c>
      <c r="B2029" s="464" t="s">
        <v>4281</v>
      </c>
      <c r="C2029" s="464"/>
      <c r="D2029" s="464" t="s">
        <v>1709</v>
      </c>
      <c r="E2029" s="464" t="s">
        <v>5499</v>
      </c>
      <c r="F2029" s="464" t="s">
        <v>5500</v>
      </c>
      <c r="G2029" s="464" t="s">
        <v>5381</v>
      </c>
      <c r="H2029" s="464" t="s">
        <v>5382</v>
      </c>
      <c r="I2029" s="464" t="s">
        <v>1684</v>
      </c>
    </row>
    <row r="2030" ht="15.95" customHeight="1">
      <c r="A2030" s="464" t="s">
        <v>5515</v>
      </c>
      <c r="B2030" s="464" t="s">
        <v>3147</v>
      </c>
      <c r="C2030" s="464"/>
      <c r="D2030" s="464" t="s">
        <v>1709</v>
      </c>
      <c r="E2030" s="464" t="s">
        <v>5499</v>
      </c>
      <c r="F2030" s="464" t="s">
        <v>5500</v>
      </c>
      <c r="G2030" s="464" t="s">
        <v>5381</v>
      </c>
      <c r="H2030" s="464" t="s">
        <v>5382</v>
      </c>
      <c r="I2030" s="464" t="s">
        <v>1684</v>
      </c>
    </row>
    <row r="2031" ht="15.95" customHeight="1">
      <c r="A2031" s="464" t="s">
        <v>5516</v>
      </c>
      <c r="B2031" s="464" t="s">
        <v>5517</v>
      </c>
      <c r="C2031" s="464"/>
      <c r="D2031" s="464" t="s">
        <v>1709</v>
      </c>
      <c r="E2031" s="464" t="s">
        <v>5499</v>
      </c>
      <c r="F2031" s="464" t="s">
        <v>5500</v>
      </c>
      <c r="G2031" s="464" t="s">
        <v>5381</v>
      </c>
      <c r="H2031" s="464" t="s">
        <v>5382</v>
      </c>
      <c r="I2031" s="464" t="s">
        <v>1684</v>
      </c>
    </row>
    <row r="2032" ht="15.95" customHeight="1">
      <c r="A2032" s="464" t="s">
        <v>5518</v>
      </c>
      <c r="B2032" s="464" t="s">
        <v>5086</v>
      </c>
      <c r="C2032" s="464"/>
      <c r="D2032" s="464" t="s">
        <v>1709</v>
      </c>
      <c r="E2032" s="464" t="s">
        <v>5499</v>
      </c>
      <c r="F2032" s="464" t="s">
        <v>5500</v>
      </c>
      <c r="G2032" s="464" t="s">
        <v>5381</v>
      </c>
      <c r="H2032" s="464" t="s">
        <v>5382</v>
      </c>
      <c r="I2032" s="464" t="s">
        <v>1684</v>
      </c>
    </row>
    <row r="2033" ht="15.95" customHeight="1">
      <c r="A2033" s="464" t="s">
        <v>5519</v>
      </c>
      <c r="B2033" s="464" t="s">
        <v>5520</v>
      </c>
      <c r="C2033" s="464"/>
      <c r="D2033" s="464" t="s">
        <v>1738</v>
      </c>
      <c r="E2033" s="464" t="s">
        <v>5521</v>
      </c>
      <c r="F2033" s="464" t="s">
        <v>5522</v>
      </c>
      <c r="G2033" s="464" t="s">
        <v>5381</v>
      </c>
      <c r="H2033" s="464" t="s">
        <v>5382</v>
      </c>
      <c r="I2033" s="464" t="s">
        <v>1684</v>
      </c>
    </row>
    <row r="2034" ht="15.95" customHeight="1">
      <c r="A2034" s="464" t="s">
        <v>5523</v>
      </c>
      <c r="B2034" s="464" t="s">
        <v>5524</v>
      </c>
      <c r="C2034" s="464"/>
      <c r="D2034" s="464" t="s">
        <v>1709</v>
      </c>
      <c r="E2034" s="464" t="s">
        <v>5521</v>
      </c>
      <c r="F2034" s="464" t="s">
        <v>5522</v>
      </c>
      <c r="G2034" s="464" t="s">
        <v>5381</v>
      </c>
      <c r="H2034" s="464" t="s">
        <v>5382</v>
      </c>
      <c r="I2034" s="464" t="s">
        <v>1684</v>
      </c>
    </row>
    <row r="2035" ht="15.95" customHeight="1">
      <c r="A2035" s="464" t="s">
        <v>5525</v>
      </c>
      <c r="B2035" s="464" t="s">
        <v>5526</v>
      </c>
      <c r="C2035" s="464"/>
      <c r="D2035" s="464" t="s">
        <v>1709</v>
      </c>
      <c r="E2035" s="464" t="s">
        <v>5521</v>
      </c>
      <c r="F2035" s="464" t="s">
        <v>5522</v>
      </c>
      <c r="G2035" s="464" t="s">
        <v>5381</v>
      </c>
      <c r="H2035" s="464" t="s">
        <v>5382</v>
      </c>
      <c r="I2035" s="464" t="s">
        <v>1684</v>
      </c>
    </row>
    <row r="2036" ht="15.95" customHeight="1">
      <c r="A2036" s="464" t="s">
        <v>5527</v>
      </c>
      <c r="B2036" s="464" t="s">
        <v>5528</v>
      </c>
      <c r="C2036" s="464"/>
      <c r="D2036" s="464" t="s">
        <v>1709</v>
      </c>
      <c r="E2036" s="464" t="s">
        <v>5521</v>
      </c>
      <c r="F2036" s="464" t="s">
        <v>5522</v>
      </c>
      <c r="G2036" s="464" t="s">
        <v>5381</v>
      </c>
      <c r="H2036" s="464" t="s">
        <v>5382</v>
      </c>
      <c r="I2036" s="464" t="s">
        <v>1684</v>
      </c>
    </row>
    <row r="2037" ht="15.95" customHeight="1">
      <c r="A2037" s="464" t="s">
        <v>5529</v>
      </c>
      <c r="B2037" s="464" t="s">
        <v>4829</v>
      </c>
      <c r="C2037" s="464"/>
      <c r="D2037" s="464" t="s">
        <v>1709</v>
      </c>
      <c r="E2037" s="464" t="s">
        <v>5521</v>
      </c>
      <c r="F2037" s="464" t="s">
        <v>5522</v>
      </c>
      <c r="G2037" s="464" t="s">
        <v>5381</v>
      </c>
      <c r="H2037" s="464" t="s">
        <v>5382</v>
      </c>
      <c r="I2037" s="464" t="s">
        <v>1684</v>
      </c>
    </row>
    <row r="2038" ht="15.95" customHeight="1">
      <c r="A2038" s="464" t="s">
        <v>5530</v>
      </c>
      <c r="B2038" s="464" t="s">
        <v>2282</v>
      </c>
      <c r="C2038" s="464"/>
      <c r="D2038" s="464" t="s">
        <v>1709</v>
      </c>
      <c r="E2038" s="464" t="s">
        <v>5521</v>
      </c>
      <c r="F2038" s="464" t="s">
        <v>5522</v>
      </c>
      <c r="G2038" s="464" t="s">
        <v>5381</v>
      </c>
      <c r="H2038" s="464" t="s">
        <v>5382</v>
      </c>
      <c r="I2038" s="464" t="s">
        <v>1684</v>
      </c>
    </row>
    <row r="2039" ht="15.95" customHeight="1">
      <c r="A2039" s="464" t="s">
        <v>5531</v>
      </c>
      <c r="B2039" s="464" t="s">
        <v>5532</v>
      </c>
      <c r="C2039" s="464"/>
      <c r="D2039" s="464" t="s">
        <v>1709</v>
      </c>
      <c r="E2039" s="464" t="s">
        <v>5521</v>
      </c>
      <c r="F2039" s="464" t="s">
        <v>5522</v>
      </c>
      <c r="G2039" s="464" t="s">
        <v>5381</v>
      </c>
      <c r="H2039" s="464" t="s">
        <v>5382</v>
      </c>
      <c r="I2039" s="464" t="s">
        <v>1684</v>
      </c>
    </row>
    <row r="2040" ht="15.95" customHeight="1">
      <c r="A2040" s="464" t="s">
        <v>5533</v>
      </c>
      <c r="B2040" s="464" t="s">
        <v>5534</v>
      </c>
      <c r="C2040" s="464"/>
      <c r="D2040" s="464" t="s">
        <v>1709</v>
      </c>
      <c r="E2040" s="464" t="s">
        <v>5521</v>
      </c>
      <c r="F2040" s="464" t="s">
        <v>5522</v>
      </c>
      <c r="G2040" s="464" t="s">
        <v>5381</v>
      </c>
      <c r="H2040" s="464" t="s">
        <v>5382</v>
      </c>
      <c r="I2040" s="464" t="s">
        <v>1684</v>
      </c>
    </row>
    <row r="2041" ht="15.95" customHeight="1">
      <c r="A2041" s="464" t="s">
        <v>5535</v>
      </c>
      <c r="B2041" s="464" t="s">
        <v>5536</v>
      </c>
      <c r="C2041" s="464"/>
      <c r="D2041" s="464" t="s">
        <v>1709</v>
      </c>
      <c r="E2041" s="464" t="s">
        <v>5521</v>
      </c>
      <c r="F2041" s="464" t="s">
        <v>5522</v>
      </c>
      <c r="G2041" s="464" t="s">
        <v>5381</v>
      </c>
      <c r="H2041" s="464" t="s">
        <v>5382</v>
      </c>
      <c r="I2041" s="464" t="s">
        <v>1684</v>
      </c>
    </row>
    <row r="2042" ht="15.95" customHeight="1">
      <c r="A2042" s="464" t="s">
        <v>5537</v>
      </c>
      <c r="B2042" s="464" t="s">
        <v>5538</v>
      </c>
      <c r="C2042" s="464"/>
      <c r="D2042" s="464" t="s">
        <v>1709</v>
      </c>
      <c r="E2042" s="464" t="s">
        <v>5521</v>
      </c>
      <c r="F2042" s="464" t="s">
        <v>5522</v>
      </c>
      <c r="G2042" s="464" t="s">
        <v>5381</v>
      </c>
      <c r="H2042" s="464" t="s">
        <v>5382</v>
      </c>
      <c r="I2042" s="464" t="s">
        <v>1684</v>
      </c>
    </row>
    <row r="2043" ht="15.95" customHeight="1">
      <c r="A2043" s="464" t="s">
        <v>5539</v>
      </c>
      <c r="B2043" s="464" t="s">
        <v>2743</v>
      </c>
      <c r="C2043" s="464"/>
      <c r="D2043" s="464" t="s">
        <v>1709</v>
      </c>
      <c r="E2043" s="464" t="s">
        <v>5521</v>
      </c>
      <c r="F2043" s="464" t="s">
        <v>5522</v>
      </c>
      <c r="G2043" s="464" t="s">
        <v>5381</v>
      </c>
      <c r="H2043" s="464" t="s">
        <v>5382</v>
      </c>
      <c r="I2043" s="464" t="s">
        <v>1684</v>
      </c>
    </row>
    <row r="2044" ht="15.95" customHeight="1">
      <c r="A2044" s="464" t="s">
        <v>5540</v>
      </c>
      <c r="B2044" s="464" t="s">
        <v>4515</v>
      </c>
      <c r="C2044" s="464"/>
      <c r="D2044" s="464" t="s">
        <v>1709</v>
      </c>
      <c r="E2044" s="464" t="s">
        <v>5521</v>
      </c>
      <c r="F2044" s="464" t="s">
        <v>5522</v>
      </c>
      <c r="G2044" s="464" t="s">
        <v>5381</v>
      </c>
      <c r="H2044" s="464" t="s">
        <v>5382</v>
      </c>
      <c r="I2044" s="464" t="s">
        <v>1684</v>
      </c>
    </row>
    <row r="2045" ht="15.95" customHeight="1">
      <c r="A2045" s="464" t="s">
        <v>5541</v>
      </c>
      <c r="B2045" s="464" t="s">
        <v>5542</v>
      </c>
      <c r="C2045" s="464"/>
      <c r="D2045" s="464" t="s">
        <v>1709</v>
      </c>
      <c r="E2045" s="464" t="s">
        <v>5521</v>
      </c>
      <c r="F2045" s="464" t="s">
        <v>5522</v>
      </c>
      <c r="G2045" s="464" t="s">
        <v>5381</v>
      </c>
      <c r="H2045" s="464" t="s">
        <v>5382</v>
      </c>
      <c r="I2045" s="464" t="s">
        <v>1684</v>
      </c>
    </row>
    <row r="2046" ht="15.95" customHeight="1">
      <c r="A2046" s="464" t="s">
        <v>5543</v>
      </c>
      <c r="B2046" s="464" t="s">
        <v>4560</v>
      </c>
      <c r="C2046" s="464"/>
      <c r="D2046" s="464" t="s">
        <v>1709</v>
      </c>
      <c r="E2046" s="464" t="s">
        <v>5521</v>
      </c>
      <c r="F2046" s="464" t="s">
        <v>5522</v>
      </c>
      <c r="G2046" s="464" t="s">
        <v>5381</v>
      </c>
      <c r="H2046" s="464" t="s">
        <v>5382</v>
      </c>
      <c r="I2046" s="464" t="s">
        <v>1684</v>
      </c>
    </row>
    <row r="2047" ht="15.95" customHeight="1">
      <c r="A2047" s="464" t="s">
        <v>5544</v>
      </c>
      <c r="B2047" s="464" t="s">
        <v>5545</v>
      </c>
      <c r="C2047" s="464"/>
      <c r="D2047" s="464" t="s">
        <v>1709</v>
      </c>
      <c r="E2047" s="464" t="s">
        <v>5521</v>
      </c>
      <c r="F2047" s="464" t="s">
        <v>5522</v>
      </c>
      <c r="G2047" s="464" t="s">
        <v>5381</v>
      </c>
      <c r="H2047" s="464" t="s">
        <v>5382</v>
      </c>
      <c r="I2047" s="464" t="s">
        <v>1684</v>
      </c>
    </row>
    <row r="2048" ht="15.95" customHeight="1">
      <c r="A2048" s="464" t="s">
        <v>5546</v>
      </c>
      <c r="B2048" s="464" t="s">
        <v>5547</v>
      </c>
      <c r="C2048" s="464"/>
      <c r="D2048" s="464" t="s">
        <v>1709</v>
      </c>
      <c r="E2048" s="464" t="s">
        <v>5521</v>
      </c>
      <c r="F2048" s="464" t="s">
        <v>5522</v>
      </c>
      <c r="G2048" s="464" t="s">
        <v>5381</v>
      </c>
      <c r="H2048" s="464" t="s">
        <v>5382</v>
      </c>
      <c r="I2048" s="464" t="s">
        <v>1684</v>
      </c>
    </row>
    <row r="2049" ht="15.95" customHeight="1">
      <c r="A2049" s="464" t="s">
        <v>5548</v>
      </c>
      <c r="B2049" s="464" t="s">
        <v>5549</v>
      </c>
      <c r="C2049" s="464"/>
      <c r="D2049" s="464" t="s">
        <v>1709</v>
      </c>
      <c r="E2049" s="464" t="s">
        <v>5521</v>
      </c>
      <c r="F2049" s="464" t="s">
        <v>5522</v>
      </c>
      <c r="G2049" s="464" t="s">
        <v>5381</v>
      </c>
      <c r="H2049" s="464" t="s">
        <v>5382</v>
      </c>
      <c r="I2049" s="464" t="s">
        <v>1684</v>
      </c>
    </row>
    <row r="2050" ht="15.95" customHeight="1">
      <c r="A2050" s="464" t="s">
        <v>5550</v>
      </c>
      <c r="B2050" s="464" t="s">
        <v>1908</v>
      </c>
      <c r="C2050" s="464"/>
      <c r="D2050" s="464" t="s">
        <v>1709</v>
      </c>
      <c r="E2050" s="464" t="s">
        <v>5521</v>
      </c>
      <c r="F2050" s="464" t="s">
        <v>5522</v>
      </c>
      <c r="G2050" s="464" t="s">
        <v>5381</v>
      </c>
      <c r="H2050" s="464" t="s">
        <v>5382</v>
      </c>
      <c r="I2050" s="464" t="s">
        <v>1684</v>
      </c>
    </row>
    <row r="2051" ht="15.95" customHeight="1">
      <c r="A2051" s="464" t="s">
        <v>5551</v>
      </c>
      <c r="B2051" s="464" t="s">
        <v>2506</v>
      </c>
      <c r="C2051" s="464"/>
      <c r="D2051" s="464" t="s">
        <v>1738</v>
      </c>
      <c r="E2051" s="464" t="s">
        <v>5552</v>
      </c>
      <c r="F2051" s="464" t="s">
        <v>5553</v>
      </c>
      <c r="G2051" s="464" t="s">
        <v>5381</v>
      </c>
      <c r="H2051" s="464" t="s">
        <v>5382</v>
      </c>
      <c r="I2051" s="464" t="s">
        <v>1684</v>
      </c>
    </row>
    <row r="2052" ht="15.95" customHeight="1">
      <c r="A2052" s="464" t="s">
        <v>5554</v>
      </c>
      <c r="B2052" s="464" t="s">
        <v>5377</v>
      </c>
      <c r="C2052" s="464"/>
      <c r="D2052" s="464" t="s">
        <v>1709</v>
      </c>
      <c r="E2052" s="464" t="s">
        <v>5552</v>
      </c>
      <c r="F2052" s="464" t="s">
        <v>5553</v>
      </c>
      <c r="G2052" s="464" t="s">
        <v>5381</v>
      </c>
      <c r="H2052" s="464" t="s">
        <v>5382</v>
      </c>
      <c r="I2052" s="464" t="s">
        <v>1684</v>
      </c>
    </row>
    <row r="2053" ht="15.95" customHeight="1">
      <c r="A2053" s="464" t="s">
        <v>5555</v>
      </c>
      <c r="B2053" s="464" t="s">
        <v>2563</v>
      </c>
      <c r="C2053" s="464"/>
      <c r="D2053" s="464" t="s">
        <v>1709</v>
      </c>
      <c r="E2053" s="464" t="s">
        <v>5552</v>
      </c>
      <c r="F2053" s="464" t="s">
        <v>5553</v>
      </c>
      <c r="G2053" s="464" t="s">
        <v>5381</v>
      </c>
      <c r="H2053" s="464" t="s">
        <v>5382</v>
      </c>
      <c r="I2053" s="464" t="s">
        <v>1684</v>
      </c>
    </row>
    <row r="2054" ht="15.95" customHeight="1">
      <c r="A2054" s="464" t="s">
        <v>5556</v>
      </c>
      <c r="B2054" s="464" t="s">
        <v>5557</v>
      </c>
      <c r="C2054" s="464"/>
      <c r="D2054" s="464" t="s">
        <v>1709</v>
      </c>
      <c r="E2054" s="464" t="s">
        <v>5552</v>
      </c>
      <c r="F2054" s="464" t="s">
        <v>5553</v>
      </c>
      <c r="G2054" s="464" t="s">
        <v>5381</v>
      </c>
      <c r="H2054" s="464" t="s">
        <v>5382</v>
      </c>
      <c r="I2054" s="464" t="s">
        <v>1684</v>
      </c>
    </row>
    <row r="2055" ht="15.95" customHeight="1">
      <c r="A2055" s="464" t="s">
        <v>5558</v>
      </c>
      <c r="B2055" s="464" t="s">
        <v>3181</v>
      </c>
      <c r="C2055" s="464"/>
      <c r="D2055" s="464" t="s">
        <v>1709</v>
      </c>
      <c r="E2055" s="464" t="s">
        <v>5552</v>
      </c>
      <c r="F2055" s="464" t="s">
        <v>5553</v>
      </c>
      <c r="G2055" s="464" t="s">
        <v>5381</v>
      </c>
      <c r="H2055" s="464" t="s">
        <v>5382</v>
      </c>
      <c r="I2055" s="464" t="s">
        <v>1684</v>
      </c>
    </row>
    <row r="2056" ht="15.95" customHeight="1">
      <c r="A2056" s="464" t="s">
        <v>5559</v>
      </c>
      <c r="B2056" s="464" t="s">
        <v>3021</v>
      </c>
      <c r="C2056" s="464"/>
      <c r="D2056" s="464" t="s">
        <v>1709</v>
      </c>
      <c r="E2056" s="464" t="s">
        <v>5552</v>
      </c>
      <c r="F2056" s="464" t="s">
        <v>5553</v>
      </c>
      <c r="G2056" s="464" t="s">
        <v>5381</v>
      </c>
      <c r="H2056" s="464" t="s">
        <v>5382</v>
      </c>
      <c r="I2056" s="464" t="s">
        <v>1684</v>
      </c>
    </row>
    <row r="2057" ht="15.95" customHeight="1">
      <c r="A2057" s="464" t="s">
        <v>5560</v>
      </c>
      <c r="B2057" s="464" t="s">
        <v>5561</v>
      </c>
      <c r="C2057" s="464"/>
      <c r="D2057" s="464" t="s">
        <v>1709</v>
      </c>
      <c r="E2057" s="464" t="s">
        <v>5552</v>
      </c>
      <c r="F2057" s="464" t="s">
        <v>5553</v>
      </c>
      <c r="G2057" s="464" t="s">
        <v>5381</v>
      </c>
      <c r="H2057" s="464" t="s">
        <v>5382</v>
      </c>
      <c r="I2057" s="464" t="s">
        <v>1684</v>
      </c>
    </row>
    <row r="2058" ht="15.95" customHeight="1">
      <c r="A2058" s="464" t="s">
        <v>5562</v>
      </c>
      <c r="B2058" s="464" t="s">
        <v>5563</v>
      </c>
      <c r="C2058" s="464"/>
      <c r="D2058" s="464" t="s">
        <v>1709</v>
      </c>
      <c r="E2058" s="464" t="s">
        <v>5552</v>
      </c>
      <c r="F2058" s="464" t="s">
        <v>5553</v>
      </c>
      <c r="G2058" s="464" t="s">
        <v>5381</v>
      </c>
      <c r="H2058" s="464" t="s">
        <v>5382</v>
      </c>
      <c r="I2058" s="464" t="s">
        <v>1684</v>
      </c>
    </row>
    <row r="2059" ht="15.95" customHeight="1">
      <c r="A2059" s="464" t="s">
        <v>5564</v>
      </c>
      <c r="B2059" s="464" t="s">
        <v>1881</v>
      </c>
      <c r="C2059" s="464"/>
      <c r="D2059" s="464" t="s">
        <v>1709</v>
      </c>
      <c r="E2059" s="464" t="s">
        <v>5552</v>
      </c>
      <c r="F2059" s="464" t="s">
        <v>5553</v>
      </c>
      <c r="G2059" s="464" t="s">
        <v>5381</v>
      </c>
      <c r="H2059" s="464" t="s">
        <v>5382</v>
      </c>
      <c r="I2059" s="464" t="s">
        <v>1684</v>
      </c>
    </row>
    <row r="2060" ht="15.95" customHeight="1">
      <c r="A2060" s="464" t="s">
        <v>5565</v>
      </c>
      <c r="B2060" s="464" t="s">
        <v>4704</v>
      </c>
      <c r="C2060" s="464"/>
      <c r="D2060" s="464" t="s">
        <v>1709</v>
      </c>
      <c r="E2060" s="464" t="s">
        <v>5552</v>
      </c>
      <c r="F2060" s="464" t="s">
        <v>5553</v>
      </c>
      <c r="G2060" s="464" t="s">
        <v>5381</v>
      </c>
      <c r="H2060" s="464" t="s">
        <v>5382</v>
      </c>
      <c r="I2060" s="464" t="s">
        <v>1684</v>
      </c>
    </row>
    <row r="2061" ht="15.95" customHeight="1">
      <c r="A2061" s="464" t="s">
        <v>5566</v>
      </c>
      <c r="B2061" s="464" t="s">
        <v>2697</v>
      </c>
      <c r="C2061" s="464"/>
      <c r="D2061" s="464" t="s">
        <v>1709</v>
      </c>
      <c r="E2061" s="464" t="s">
        <v>5552</v>
      </c>
      <c r="F2061" s="464" t="s">
        <v>5553</v>
      </c>
      <c r="G2061" s="464" t="s">
        <v>5381</v>
      </c>
      <c r="H2061" s="464" t="s">
        <v>5382</v>
      </c>
      <c r="I2061" s="464" t="s">
        <v>1684</v>
      </c>
    </row>
    <row r="2062" ht="15.95" customHeight="1">
      <c r="A2062" s="464" t="s">
        <v>5567</v>
      </c>
      <c r="B2062" s="464" t="s">
        <v>4190</v>
      </c>
      <c r="C2062" s="464"/>
      <c r="D2062" s="464" t="s">
        <v>1709</v>
      </c>
      <c r="E2062" s="464" t="s">
        <v>5552</v>
      </c>
      <c r="F2062" s="464" t="s">
        <v>5553</v>
      </c>
      <c r="G2062" s="464" t="s">
        <v>5381</v>
      </c>
      <c r="H2062" s="464" t="s">
        <v>5382</v>
      </c>
      <c r="I2062" s="464" t="s">
        <v>1684</v>
      </c>
    </row>
    <row r="2063" ht="15.95" customHeight="1">
      <c r="A2063" s="464" t="s">
        <v>5568</v>
      </c>
      <c r="B2063" s="464" t="s">
        <v>2935</v>
      </c>
      <c r="C2063" s="464"/>
      <c r="D2063" s="464" t="s">
        <v>1709</v>
      </c>
      <c r="E2063" s="464" t="s">
        <v>5552</v>
      </c>
      <c r="F2063" s="464" t="s">
        <v>5553</v>
      </c>
      <c r="G2063" s="464" t="s">
        <v>5381</v>
      </c>
      <c r="H2063" s="464" t="s">
        <v>5382</v>
      </c>
      <c r="I2063" s="464" t="s">
        <v>1684</v>
      </c>
    </row>
    <row r="2064" ht="15.95" customHeight="1">
      <c r="A2064" s="464" t="s">
        <v>5569</v>
      </c>
      <c r="B2064" s="464" t="s">
        <v>5570</v>
      </c>
      <c r="C2064" s="464"/>
      <c r="D2064" s="464" t="s">
        <v>1738</v>
      </c>
      <c r="E2064" s="464" t="s">
        <v>5571</v>
      </c>
      <c r="F2064" s="464" t="s">
        <v>5572</v>
      </c>
      <c r="G2064" s="464" t="s">
        <v>5381</v>
      </c>
      <c r="H2064" s="464" t="s">
        <v>5382</v>
      </c>
      <c r="I2064" s="464" t="s">
        <v>1684</v>
      </c>
    </row>
    <row r="2065" ht="15.95" customHeight="1">
      <c r="A2065" s="464" t="s">
        <v>5573</v>
      </c>
      <c r="B2065" s="464" t="s">
        <v>5574</v>
      </c>
      <c r="C2065" s="464"/>
      <c r="D2065" s="464" t="s">
        <v>1709</v>
      </c>
      <c r="E2065" s="464" t="s">
        <v>5571</v>
      </c>
      <c r="F2065" s="464" t="s">
        <v>5572</v>
      </c>
      <c r="G2065" s="464" t="s">
        <v>5381</v>
      </c>
      <c r="H2065" s="464" t="s">
        <v>5382</v>
      </c>
      <c r="I2065" s="464" t="s">
        <v>1684</v>
      </c>
    </row>
    <row r="2066" ht="15.95" customHeight="1">
      <c r="A2066" s="464" t="s">
        <v>5575</v>
      </c>
      <c r="B2066" s="464" t="s">
        <v>3021</v>
      </c>
      <c r="C2066" s="464"/>
      <c r="D2066" s="464" t="s">
        <v>1709</v>
      </c>
      <c r="E2066" s="464" t="s">
        <v>5571</v>
      </c>
      <c r="F2066" s="464" t="s">
        <v>5572</v>
      </c>
      <c r="G2066" s="464" t="s">
        <v>5381</v>
      </c>
      <c r="H2066" s="464" t="s">
        <v>5382</v>
      </c>
      <c r="I2066" s="464" t="s">
        <v>1684</v>
      </c>
    </row>
    <row r="2067" ht="15.95" customHeight="1">
      <c r="A2067" s="464" t="s">
        <v>5576</v>
      </c>
      <c r="B2067" s="464" t="s">
        <v>5577</v>
      </c>
      <c r="C2067" s="464"/>
      <c r="D2067" s="464" t="s">
        <v>1709</v>
      </c>
      <c r="E2067" s="464" t="s">
        <v>5571</v>
      </c>
      <c r="F2067" s="464" t="s">
        <v>5572</v>
      </c>
      <c r="G2067" s="464" t="s">
        <v>5381</v>
      </c>
      <c r="H2067" s="464" t="s">
        <v>5382</v>
      </c>
      <c r="I2067" s="464" t="s">
        <v>1684</v>
      </c>
    </row>
    <row r="2068" ht="15.95" customHeight="1">
      <c r="A2068" s="464" t="s">
        <v>5578</v>
      </c>
      <c r="B2068" s="464" t="s">
        <v>5579</v>
      </c>
      <c r="C2068" s="464"/>
      <c r="D2068" s="464" t="s">
        <v>1709</v>
      </c>
      <c r="E2068" s="464" t="s">
        <v>5571</v>
      </c>
      <c r="F2068" s="464" t="s">
        <v>5572</v>
      </c>
      <c r="G2068" s="464" t="s">
        <v>5381</v>
      </c>
      <c r="H2068" s="464" t="s">
        <v>5382</v>
      </c>
      <c r="I2068" s="464" t="s">
        <v>1684</v>
      </c>
    </row>
    <row r="2069" ht="15.95" customHeight="1">
      <c r="A2069" s="464" t="s">
        <v>5580</v>
      </c>
      <c r="B2069" s="464" t="s">
        <v>5581</v>
      </c>
      <c r="C2069" s="464"/>
      <c r="D2069" s="464" t="s">
        <v>1709</v>
      </c>
      <c r="E2069" s="464" t="s">
        <v>5571</v>
      </c>
      <c r="F2069" s="464" t="s">
        <v>5572</v>
      </c>
      <c r="G2069" s="464" t="s">
        <v>5381</v>
      </c>
      <c r="H2069" s="464" t="s">
        <v>5382</v>
      </c>
      <c r="I2069" s="464" t="s">
        <v>1684</v>
      </c>
    </row>
    <row r="2070" ht="15.95" customHeight="1">
      <c r="A2070" s="464" t="s">
        <v>5582</v>
      </c>
      <c r="B2070" s="464" t="s">
        <v>4085</v>
      </c>
      <c r="C2070" s="464"/>
      <c r="D2070" s="464" t="s">
        <v>1709</v>
      </c>
      <c r="E2070" s="464" t="s">
        <v>5571</v>
      </c>
      <c r="F2070" s="464" t="s">
        <v>5572</v>
      </c>
      <c r="G2070" s="464" t="s">
        <v>5381</v>
      </c>
      <c r="H2070" s="464" t="s">
        <v>5382</v>
      </c>
      <c r="I2070" s="464" t="s">
        <v>1684</v>
      </c>
    </row>
    <row r="2071" ht="15.95" customHeight="1">
      <c r="A2071" s="464" t="s">
        <v>5583</v>
      </c>
      <c r="B2071" s="464" t="s">
        <v>5584</v>
      </c>
      <c r="C2071" s="464"/>
      <c r="D2071" s="464" t="s">
        <v>1709</v>
      </c>
      <c r="E2071" s="464" t="s">
        <v>5571</v>
      </c>
      <c r="F2071" s="464" t="s">
        <v>5572</v>
      </c>
      <c r="G2071" s="464" t="s">
        <v>5381</v>
      </c>
      <c r="H2071" s="464" t="s">
        <v>5382</v>
      </c>
      <c r="I2071" s="464" t="s">
        <v>1684</v>
      </c>
    </row>
    <row r="2072" ht="15.95" customHeight="1">
      <c r="A2072" s="464" t="s">
        <v>5585</v>
      </c>
      <c r="B2072" s="464" t="s">
        <v>4190</v>
      </c>
      <c r="C2072" s="464"/>
      <c r="D2072" s="464" t="s">
        <v>1709</v>
      </c>
      <c r="E2072" s="464" t="s">
        <v>5571</v>
      </c>
      <c r="F2072" s="464" t="s">
        <v>5572</v>
      </c>
      <c r="G2072" s="464" t="s">
        <v>5381</v>
      </c>
      <c r="H2072" s="464" t="s">
        <v>5382</v>
      </c>
      <c r="I2072" s="464" t="s">
        <v>1684</v>
      </c>
    </row>
    <row r="2073" ht="15.95" customHeight="1">
      <c r="A2073" s="464" t="s">
        <v>5586</v>
      </c>
      <c r="B2073" s="464" t="s">
        <v>2886</v>
      </c>
      <c r="C2073" s="464"/>
      <c r="D2073" s="464" t="s">
        <v>1709</v>
      </c>
      <c r="E2073" s="464" t="s">
        <v>5571</v>
      </c>
      <c r="F2073" s="464" t="s">
        <v>5572</v>
      </c>
      <c r="G2073" s="464" t="s">
        <v>5381</v>
      </c>
      <c r="H2073" s="464" t="s">
        <v>5382</v>
      </c>
      <c r="I2073" s="464" t="s">
        <v>1684</v>
      </c>
    </row>
    <row r="2074" ht="15.95" customHeight="1">
      <c r="A2074" s="464" t="s">
        <v>5587</v>
      </c>
      <c r="B2074" s="464" t="s">
        <v>5588</v>
      </c>
      <c r="C2074" s="464"/>
      <c r="D2074" s="464" t="s">
        <v>1709</v>
      </c>
      <c r="E2074" s="464" t="s">
        <v>5571</v>
      </c>
      <c r="F2074" s="464" t="s">
        <v>5572</v>
      </c>
      <c r="G2074" s="464" t="s">
        <v>5381</v>
      </c>
      <c r="H2074" s="464" t="s">
        <v>5382</v>
      </c>
      <c r="I2074" s="464" t="s">
        <v>1684</v>
      </c>
    </row>
    <row r="2075" ht="15.95" customHeight="1">
      <c r="A2075" s="464" t="s">
        <v>5589</v>
      </c>
      <c r="B2075" s="464" t="s">
        <v>5590</v>
      </c>
      <c r="C2075" s="464"/>
      <c r="D2075" s="464" t="s">
        <v>1709</v>
      </c>
      <c r="E2075" s="464" t="s">
        <v>5571</v>
      </c>
      <c r="F2075" s="464" t="s">
        <v>5572</v>
      </c>
      <c r="G2075" s="464" t="s">
        <v>5381</v>
      </c>
      <c r="H2075" s="464" t="s">
        <v>5382</v>
      </c>
      <c r="I2075" s="464" t="s">
        <v>1684</v>
      </c>
    </row>
    <row r="2076" ht="15.95" customHeight="1">
      <c r="A2076" s="464" t="s">
        <v>5591</v>
      </c>
      <c r="B2076" s="464" t="s">
        <v>5592</v>
      </c>
      <c r="C2076" s="464"/>
      <c r="D2076" s="464" t="s">
        <v>1709</v>
      </c>
      <c r="E2076" s="464" t="s">
        <v>5571</v>
      </c>
      <c r="F2076" s="464" t="s">
        <v>5572</v>
      </c>
      <c r="G2076" s="464" t="s">
        <v>5381</v>
      </c>
      <c r="H2076" s="464" t="s">
        <v>5382</v>
      </c>
      <c r="I2076" s="464" t="s">
        <v>1684</v>
      </c>
    </row>
    <row r="2077" ht="15.95" customHeight="1">
      <c r="A2077" s="464" t="s">
        <v>5593</v>
      </c>
      <c r="B2077" s="464" t="s">
        <v>5594</v>
      </c>
      <c r="C2077" s="464"/>
      <c r="D2077" s="464" t="s">
        <v>1738</v>
      </c>
      <c r="E2077" s="464" t="s">
        <v>5595</v>
      </c>
      <c r="F2077" s="464" t="s">
        <v>5596</v>
      </c>
      <c r="G2077" s="464" t="s">
        <v>5381</v>
      </c>
      <c r="H2077" s="464" t="s">
        <v>5382</v>
      </c>
      <c r="I2077" s="464" t="s">
        <v>1684</v>
      </c>
    </row>
    <row r="2078" ht="15.95" customHeight="1">
      <c r="A2078" s="464" t="s">
        <v>5597</v>
      </c>
      <c r="B2078" s="464" t="s">
        <v>5598</v>
      </c>
      <c r="C2078" s="464"/>
      <c r="D2078" s="464" t="s">
        <v>1709</v>
      </c>
      <c r="E2078" s="464" t="s">
        <v>5595</v>
      </c>
      <c r="F2078" s="464" t="s">
        <v>5596</v>
      </c>
      <c r="G2078" s="464" t="s">
        <v>5381</v>
      </c>
      <c r="H2078" s="464" t="s">
        <v>5382</v>
      </c>
      <c r="I2078" s="464" t="s">
        <v>1684</v>
      </c>
    </row>
    <row r="2079" ht="15.95" customHeight="1">
      <c r="A2079" s="464" t="s">
        <v>5599</v>
      </c>
      <c r="B2079" s="464" t="s">
        <v>5600</v>
      </c>
      <c r="C2079" s="464"/>
      <c r="D2079" s="464" t="s">
        <v>1709</v>
      </c>
      <c r="E2079" s="464" t="s">
        <v>5595</v>
      </c>
      <c r="F2079" s="464" t="s">
        <v>5596</v>
      </c>
      <c r="G2079" s="464" t="s">
        <v>5381</v>
      </c>
      <c r="H2079" s="464" t="s">
        <v>5382</v>
      </c>
      <c r="I2079" s="464" t="s">
        <v>1684</v>
      </c>
    </row>
    <row r="2080" ht="15.95" customHeight="1">
      <c r="A2080" s="464" t="s">
        <v>5601</v>
      </c>
      <c r="B2080" s="464" t="s">
        <v>4352</v>
      </c>
      <c r="C2080" s="464"/>
      <c r="D2080" s="464" t="s">
        <v>1709</v>
      </c>
      <c r="E2080" s="464" t="s">
        <v>5595</v>
      </c>
      <c r="F2080" s="464" t="s">
        <v>5596</v>
      </c>
      <c r="G2080" s="464" t="s">
        <v>5381</v>
      </c>
      <c r="H2080" s="464" t="s">
        <v>5382</v>
      </c>
      <c r="I2080" s="464" t="s">
        <v>1684</v>
      </c>
    </row>
    <row r="2081" ht="15.95" customHeight="1">
      <c r="A2081" s="464" t="s">
        <v>5602</v>
      </c>
      <c r="B2081" s="464" t="s">
        <v>1883</v>
      </c>
      <c r="C2081" s="464"/>
      <c r="D2081" s="464" t="s">
        <v>1709</v>
      </c>
      <c r="E2081" s="464" t="s">
        <v>5595</v>
      </c>
      <c r="F2081" s="464" t="s">
        <v>5596</v>
      </c>
      <c r="G2081" s="464" t="s">
        <v>5381</v>
      </c>
      <c r="H2081" s="464" t="s">
        <v>5382</v>
      </c>
      <c r="I2081" s="464" t="s">
        <v>1684</v>
      </c>
    </row>
    <row r="2082" ht="15.95" customHeight="1">
      <c r="A2082" s="464" t="s">
        <v>5603</v>
      </c>
      <c r="B2082" s="464" t="s">
        <v>3414</v>
      </c>
      <c r="C2082" s="464"/>
      <c r="D2082" s="464" t="s">
        <v>1709</v>
      </c>
      <c r="E2082" s="464" t="s">
        <v>5595</v>
      </c>
      <c r="F2082" s="464" t="s">
        <v>5596</v>
      </c>
      <c r="G2082" s="464" t="s">
        <v>5381</v>
      </c>
      <c r="H2082" s="464" t="s">
        <v>5382</v>
      </c>
      <c r="I2082" s="464" t="s">
        <v>1684</v>
      </c>
    </row>
    <row r="2083" ht="15.95" customHeight="1">
      <c r="A2083" s="464" t="s">
        <v>5604</v>
      </c>
      <c r="B2083" s="464" t="s">
        <v>2012</v>
      </c>
      <c r="C2083" s="464"/>
      <c r="D2083" s="464" t="s">
        <v>1709</v>
      </c>
      <c r="E2083" s="464" t="s">
        <v>5595</v>
      </c>
      <c r="F2083" s="464" t="s">
        <v>5596</v>
      </c>
      <c r="G2083" s="464" t="s">
        <v>5381</v>
      </c>
      <c r="H2083" s="464" t="s">
        <v>5382</v>
      </c>
      <c r="I2083" s="464" t="s">
        <v>1684</v>
      </c>
    </row>
    <row r="2084" ht="15.95" customHeight="1">
      <c r="A2084" s="464" t="s">
        <v>5605</v>
      </c>
      <c r="B2084" s="464" t="s">
        <v>5606</v>
      </c>
      <c r="C2084" s="464"/>
      <c r="D2084" s="464" t="s">
        <v>1709</v>
      </c>
      <c r="E2084" s="464" t="s">
        <v>5595</v>
      </c>
      <c r="F2084" s="464" t="s">
        <v>5596</v>
      </c>
      <c r="G2084" s="464" t="s">
        <v>5381</v>
      </c>
      <c r="H2084" s="464" t="s">
        <v>5382</v>
      </c>
      <c r="I2084" s="464" t="s">
        <v>1684</v>
      </c>
    </row>
    <row r="2085" ht="15.95" customHeight="1">
      <c r="A2085" s="464" t="s">
        <v>5607</v>
      </c>
      <c r="B2085" s="464" t="s">
        <v>5608</v>
      </c>
      <c r="C2085" s="464"/>
      <c r="D2085" s="464" t="s">
        <v>1709</v>
      </c>
      <c r="E2085" s="464" t="s">
        <v>5595</v>
      </c>
      <c r="F2085" s="464" t="s">
        <v>5596</v>
      </c>
      <c r="G2085" s="464" t="s">
        <v>5381</v>
      </c>
      <c r="H2085" s="464" t="s">
        <v>5382</v>
      </c>
      <c r="I2085" s="464" t="s">
        <v>1684</v>
      </c>
    </row>
    <row r="2086" ht="15.95" customHeight="1">
      <c r="A2086" s="464" t="s">
        <v>5609</v>
      </c>
      <c r="B2086" s="464" t="s">
        <v>2563</v>
      </c>
      <c r="C2086" s="464"/>
      <c r="D2086" s="464" t="s">
        <v>1709</v>
      </c>
      <c r="E2086" s="464" t="s">
        <v>5595</v>
      </c>
      <c r="F2086" s="464" t="s">
        <v>5596</v>
      </c>
      <c r="G2086" s="464" t="s">
        <v>5381</v>
      </c>
      <c r="H2086" s="464" t="s">
        <v>5382</v>
      </c>
      <c r="I2086" s="464" t="s">
        <v>1684</v>
      </c>
    </row>
    <row r="2087" ht="15.95" customHeight="1">
      <c r="A2087" s="464" t="s">
        <v>5610</v>
      </c>
      <c r="B2087" s="464" t="s">
        <v>5611</v>
      </c>
      <c r="C2087" s="464"/>
      <c r="D2087" s="464" t="s">
        <v>1709</v>
      </c>
      <c r="E2087" s="464" t="s">
        <v>5595</v>
      </c>
      <c r="F2087" s="464" t="s">
        <v>5596</v>
      </c>
      <c r="G2087" s="464" t="s">
        <v>5381</v>
      </c>
      <c r="H2087" s="464" t="s">
        <v>5382</v>
      </c>
      <c r="I2087" s="464" t="s">
        <v>1684</v>
      </c>
    </row>
    <row r="2088" ht="15.95" customHeight="1">
      <c r="A2088" s="464" t="s">
        <v>5612</v>
      </c>
      <c r="B2088" s="464" t="s">
        <v>5613</v>
      </c>
      <c r="C2088" s="464"/>
      <c r="D2088" s="464" t="s">
        <v>1709</v>
      </c>
      <c r="E2088" s="464" t="s">
        <v>5595</v>
      </c>
      <c r="F2088" s="464" t="s">
        <v>5596</v>
      </c>
      <c r="G2088" s="464" t="s">
        <v>5381</v>
      </c>
      <c r="H2088" s="464" t="s">
        <v>5382</v>
      </c>
      <c r="I2088" s="464" t="s">
        <v>1684</v>
      </c>
    </row>
    <row r="2089" ht="15.95" customHeight="1">
      <c r="A2089" s="464" t="s">
        <v>5614</v>
      </c>
      <c r="B2089" s="464" t="s">
        <v>5615</v>
      </c>
      <c r="C2089" s="464"/>
      <c r="D2089" s="464" t="s">
        <v>1738</v>
      </c>
      <c r="E2089" s="464" t="s">
        <v>5616</v>
      </c>
      <c r="F2089" s="464" t="s">
        <v>2724</v>
      </c>
      <c r="G2089" s="464" t="s">
        <v>5381</v>
      </c>
      <c r="H2089" s="464" t="s">
        <v>5382</v>
      </c>
      <c r="I2089" s="464" t="s">
        <v>1684</v>
      </c>
    </row>
    <row r="2090" ht="15.95" customHeight="1">
      <c r="A2090" s="464" t="s">
        <v>5617</v>
      </c>
      <c r="B2090" s="464" t="s">
        <v>4766</v>
      </c>
      <c r="C2090" s="464"/>
      <c r="D2090" s="464" t="s">
        <v>1709</v>
      </c>
      <c r="E2090" s="464" t="s">
        <v>5616</v>
      </c>
      <c r="F2090" s="464" t="s">
        <v>2724</v>
      </c>
      <c r="G2090" s="464" t="s">
        <v>5381</v>
      </c>
      <c r="H2090" s="464" t="s">
        <v>5382</v>
      </c>
      <c r="I2090" s="464" t="s">
        <v>1684</v>
      </c>
    </row>
    <row r="2091" ht="15.95" customHeight="1">
      <c r="A2091" s="464" t="s">
        <v>5618</v>
      </c>
      <c r="B2091" s="464" t="s">
        <v>2366</v>
      </c>
      <c r="C2091" s="464"/>
      <c r="D2091" s="464" t="s">
        <v>1709</v>
      </c>
      <c r="E2091" s="464" t="s">
        <v>5616</v>
      </c>
      <c r="F2091" s="464" t="s">
        <v>2724</v>
      </c>
      <c r="G2091" s="464" t="s">
        <v>5381</v>
      </c>
      <c r="H2091" s="464" t="s">
        <v>5382</v>
      </c>
      <c r="I2091" s="464" t="s">
        <v>1684</v>
      </c>
    </row>
    <row r="2092" ht="15.95" customHeight="1">
      <c r="A2092" s="464" t="s">
        <v>5619</v>
      </c>
      <c r="B2092" s="464" t="s">
        <v>5620</v>
      </c>
      <c r="C2092" s="464"/>
      <c r="D2092" s="464" t="s">
        <v>1709</v>
      </c>
      <c r="E2092" s="464" t="s">
        <v>5616</v>
      </c>
      <c r="F2092" s="464" t="s">
        <v>2724</v>
      </c>
      <c r="G2092" s="464" t="s">
        <v>5381</v>
      </c>
      <c r="H2092" s="464" t="s">
        <v>5382</v>
      </c>
      <c r="I2092" s="464" t="s">
        <v>1684</v>
      </c>
    </row>
    <row r="2093" ht="15.95" customHeight="1">
      <c r="A2093" s="464" t="s">
        <v>5621</v>
      </c>
      <c r="B2093" s="464" t="s">
        <v>1881</v>
      </c>
      <c r="C2093" s="464"/>
      <c r="D2093" s="464" t="s">
        <v>1709</v>
      </c>
      <c r="E2093" s="464" t="s">
        <v>5616</v>
      </c>
      <c r="F2093" s="464" t="s">
        <v>2724</v>
      </c>
      <c r="G2093" s="464" t="s">
        <v>5381</v>
      </c>
      <c r="H2093" s="464" t="s">
        <v>5382</v>
      </c>
      <c r="I2093" s="464" t="s">
        <v>1684</v>
      </c>
    </row>
    <row r="2094" ht="15.95" customHeight="1">
      <c r="A2094" s="464" t="s">
        <v>5622</v>
      </c>
      <c r="B2094" s="464" t="s">
        <v>3945</v>
      </c>
      <c r="C2094" s="464"/>
      <c r="D2094" s="464" t="s">
        <v>1709</v>
      </c>
      <c r="E2094" s="464" t="s">
        <v>5616</v>
      </c>
      <c r="F2094" s="464" t="s">
        <v>2724</v>
      </c>
      <c r="G2094" s="464" t="s">
        <v>5381</v>
      </c>
      <c r="H2094" s="464" t="s">
        <v>5382</v>
      </c>
      <c r="I2094" s="464" t="s">
        <v>1684</v>
      </c>
    </row>
    <row r="2095" ht="15.95" customHeight="1">
      <c r="A2095" s="464" t="s">
        <v>5623</v>
      </c>
      <c r="B2095" s="464" t="s">
        <v>4887</v>
      </c>
      <c r="C2095" s="464"/>
      <c r="D2095" s="464" t="s">
        <v>1709</v>
      </c>
      <c r="E2095" s="464" t="s">
        <v>5616</v>
      </c>
      <c r="F2095" s="464" t="s">
        <v>2724</v>
      </c>
      <c r="G2095" s="464" t="s">
        <v>5381</v>
      </c>
      <c r="H2095" s="464" t="s">
        <v>5382</v>
      </c>
      <c r="I2095" s="464" t="s">
        <v>1684</v>
      </c>
    </row>
    <row r="2096" ht="15.95" customHeight="1">
      <c r="A2096" s="464" t="s">
        <v>5624</v>
      </c>
      <c r="B2096" s="464" t="s">
        <v>5625</v>
      </c>
      <c r="C2096" s="464"/>
      <c r="D2096" s="464" t="s">
        <v>1709</v>
      </c>
      <c r="E2096" s="464" t="s">
        <v>5616</v>
      </c>
      <c r="F2096" s="464" t="s">
        <v>2724</v>
      </c>
      <c r="G2096" s="464" t="s">
        <v>5381</v>
      </c>
      <c r="H2096" s="464" t="s">
        <v>5382</v>
      </c>
      <c r="I2096" s="464" t="s">
        <v>1684</v>
      </c>
    </row>
    <row r="2097" ht="15.95" customHeight="1">
      <c r="A2097" s="464" t="s">
        <v>5626</v>
      </c>
      <c r="B2097" s="464" t="s">
        <v>5627</v>
      </c>
      <c r="C2097" s="464"/>
      <c r="D2097" s="464" t="s">
        <v>1709</v>
      </c>
      <c r="E2097" s="464" t="s">
        <v>5616</v>
      </c>
      <c r="F2097" s="464" t="s">
        <v>2724</v>
      </c>
      <c r="G2097" s="464" t="s">
        <v>5381</v>
      </c>
      <c r="H2097" s="464" t="s">
        <v>5382</v>
      </c>
      <c r="I2097" s="464" t="s">
        <v>1684</v>
      </c>
    </row>
    <row r="2098" ht="15.95" customHeight="1">
      <c r="A2098" s="464" t="s">
        <v>5628</v>
      </c>
      <c r="B2098" s="464" t="s">
        <v>4741</v>
      </c>
      <c r="C2098" s="464"/>
      <c r="D2098" s="464" t="s">
        <v>1709</v>
      </c>
      <c r="E2098" s="464" t="s">
        <v>5616</v>
      </c>
      <c r="F2098" s="464" t="s">
        <v>2724</v>
      </c>
      <c r="G2098" s="464" t="s">
        <v>5381</v>
      </c>
      <c r="H2098" s="464" t="s">
        <v>5382</v>
      </c>
      <c r="I2098" s="464" t="s">
        <v>1684</v>
      </c>
    </row>
    <row r="2099" ht="15.95" customHeight="1">
      <c r="A2099" s="464" t="s">
        <v>5629</v>
      </c>
      <c r="B2099" s="464" t="s">
        <v>2697</v>
      </c>
      <c r="C2099" s="464"/>
      <c r="D2099" s="464" t="s">
        <v>1709</v>
      </c>
      <c r="E2099" s="464" t="s">
        <v>5616</v>
      </c>
      <c r="F2099" s="464" t="s">
        <v>2724</v>
      </c>
      <c r="G2099" s="464" t="s">
        <v>5381</v>
      </c>
      <c r="H2099" s="464" t="s">
        <v>5382</v>
      </c>
      <c r="I2099" s="464" t="s">
        <v>1684</v>
      </c>
    </row>
    <row r="2100" ht="15.95" customHeight="1">
      <c r="A2100" s="464" t="s">
        <v>5630</v>
      </c>
      <c r="B2100" s="464" t="s">
        <v>5047</v>
      </c>
      <c r="C2100" s="464"/>
      <c r="D2100" s="464" t="s">
        <v>1709</v>
      </c>
      <c r="E2100" s="464" t="s">
        <v>5616</v>
      </c>
      <c r="F2100" s="464" t="s">
        <v>2724</v>
      </c>
      <c r="G2100" s="464" t="s">
        <v>5381</v>
      </c>
      <c r="H2100" s="464" t="s">
        <v>5382</v>
      </c>
      <c r="I2100" s="464" t="s">
        <v>1684</v>
      </c>
    </row>
    <row r="2101" ht="15.95" customHeight="1">
      <c r="A2101" s="464" t="s">
        <v>5631</v>
      </c>
      <c r="B2101" s="464" t="s">
        <v>1713</v>
      </c>
      <c r="C2101" s="464"/>
      <c r="D2101" s="464" t="s">
        <v>1679</v>
      </c>
      <c r="E2101" s="464" t="s">
        <v>5632</v>
      </c>
      <c r="F2101" s="464" t="s">
        <v>5633</v>
      </c>
      <c r="G2101" s="464" t="s">
        <v>5634</v>
      </c>
      <c r="H2101" s="464" t="s">
        <v>5635</v>
      </c>
      <c r="I2101" s="464" t="s">
        <v>1684</v>
      </c>
    </row>
    <row r="2102" ht="15.95" customHeight="1">
      <c r="A2102" s="464" t="s">
        <v>5636</v>
      </c>
      <c r="B2102" s="464" t="s">
        <v>5637</v>
      </c>
      <c r="C2102" s="464"/>
      <c r="D2102" s="464" t="s">
        <v>1679</v>
      </c>
      <c r="E2102" s="464" t="s">
        <v>5632</v>
      </c>
      <c r="F2102" s="464" t="s">
        <v>5633</v>
      </c>
      <c r="G2102" s="464" t="s">
        <v>5634</v>
      </c>
      <c r="H2102" s="464" t="s">
        <v>5635</v>
      </c>
      <c r="I2102" s="464" t="s">
        <v>1684</v>
      </c>
    </row>
    <row r="2103" ht="15.95" customHeight="1">
      <c r="A2103" s="464" t="s">
        <v>5638</v>
      </c>
      <c r="B2103" s="464" t="s">
        <v>5639</v>
      </c>
      <c r="C2103" s="464" t="s">
        <v>5640</v>
      </c>
      <c r="D2103" s="464" t="s">
        <v>1679</v>
      </c>
      <c r="E2103" s="464" t="s">
        <v>5632</v>
      </c>
      <c r="F2103" s="464" t="s">
        <v>5633</v>
      </c>
      <c r="G2103" s="464" t="s">
        <v>5634</v>
      </c>
      <c r="H2103" s="464" t="s">
        <v>5635</v>
      </c>
      <c r="I2103" s="464" t="s">
        <v>1684</v>
      </c>
    </row>
    <row r="2104" ht="15.95" customHeight="1">
      <c r="A2104" s="464" t="s">
        <v>5641</v>
      </c>
      <c r="B2104" s="464" t="s">
        <v>5642</v>
      </c>
      <c r="C2104" s="464"/>
      <c r="D2104" s="464" t="s">
        <v>1679</v>
      </c>
      <c r="E2104" s="464" t="s">
        <v>5632</v>
      </c>
      <c r="F2104" s="464" t="s">
        <v>5633</v>
      </c>
      <c r="G2104" s="464" t="s">
        <v>5634</v>
      </c>
      <c r="H2104" s="464" t="s">
        <v>5635</v>
      </c>
      <c r="I2104" s="464" t="s">
        <v>1684</v>
      </c>
    </row>
    <row r="2105" ht="15.95" customHeight="1">
      <c r="A2105" s="464" t="s">
        <v>5643</v>
      </c>
      <c r="B2105" s="464" t="s">
        <v>5644</v>
      </c>
      <c r="C2105" s="464"/>
      <c r="D2105" s="464" t="s">
        <v>1679</v>
      </c>
      <c r="E2105" s="464" t="s">
        <v>5632</v>
      </c>
      <c r="F2105" s="464" t="s">
        <v>5633</v>
      </c>
      <c r="G2105" s="464" t="s">
        <v>5634</v>
      </c>
      <c r="H2105" s="464" t="s">
        <v>5635</v>
      </c>
      <c r="I2105" s="464" t="s">
        <v>1684</v>
      </c>
    </row>
    <row r="2106" ht="15.95" customHeight="1">
      <c r="A2106" s="464" t="s">
        <v>5645</v>
      </c>
      <c r="B2106" s="464" t="s">
        <v>3745</v>
      </c>
      <c r="C2106" s="464"/>
      <c r="D2106" s="464" t="s">
        <v>1679</v>
      </c>
      <c r="E2106" s="464" t="s">
        <v>5632</v>
      </c>
      <c r="F2106" s="464" t="s">
        <v>5633</v>
      </c>
      <c r="G2106" s="464" t="s">
        <v>5634</v>
      </c>
      <c r="H2106" s="464" t="s">
        <v>5635</v>
      </c>
      <c r="I2106" s="464" t="s">
        <v>1684</v>
      </c>
    </row>
    <row r="2107" ht="15.95" customHeight="1">
      <c r="A2107" s="464" t="s">
        <v>5646</v>
      </c>
      <c r="B2107" s="464" t="s">
        <v>2900</v>
      </c>
      <c r="C2107" s="464"/>
      <c r="D2107" s="464" t="s">
        <v>1679</v>
      </c>
      <c r="E2107" s="464" t="s">
        <v>5632</v>
      </c>
      <c r="F2107" s="464" t="s">
        <v>5633</v>
      </c>
      <c r="G2107" s="464" t="s">
        <v>5634</v>
      </c>
      <c r="H2107" s="464" t="s">
        <v>5635</v>
      </c>
      <c r="I2107" s="464" t="s">
        <v>1684</v>
      </c>
    </row>
    <row r="2108" ht="15.95" customHeight="1">
      <c r="A2108" s="464" t="s">
        <v>5647</v>
      </c>
      <c r="B2108" s="464" t="s">
        <v>5648</v>
      </c>
      <c r="C2108" s="464"/>
      <c r="D2108" s="464" t="s">
        <v>1679</v>
      </c>
      <c r="E2108" s="464" t="s">
        <v>5632</v>
      </c>
      <c r="F2108" s="464" t="s">
        <v>5633</v>
      </c>
      <c r="G2108" s="464" t="s">
        <v>5634</v>
      </c>
      <c r="H2108" s="464" t="s">
        <v>5635</v>
      </c>
      <c r="I2108" s="464" t="s">
        <v>1684</v>
      </c>
    </row>
    <row r="2109" ht="15.95" customHeight="1">
      <c r="A2109" s="464" t="s">
        <v>5649</v>
      </c>
      <c r="B2109" s="464" t="s">
        <v>5650</v>
      </c>
      <c r="C2109" s="464"/>
      <c r="D2109" s="464" t="s">
        <v>1679</v>
      </c>
      <c r="E2109" s="464" t="s">
        <v>5632</v>
      </c>
      <c r="F2109" s="464" t="s">
        <v>5633</v>
      </c>
      <c r="G2109" s="464" t="s">
        <v>5634</v>
      </c>
      <c r="H2109" s="464" t="s">
        <v>5635</v>
      </c>
      <c r="I2109" s="464" t="s">
        <v>1684</v>
      </c>
    </row>
    <row r="2110" ht="15.95" customHeight="1">
      <c r="A2110" s="464" t="s">
        <v>5651</v>
      </c>
      <c r="B2110" s="464" t="s">
        <v>5652</v>
      </c>
      <c r="C2110" s="464"/>
      <c r="D2110" s="464" t="s">
        <v>1679</v>
      </c>
      <c r="E2110" s="464" t="s">
        <v>5632</v>
      </c>
      <c r="F2110" s="464" t="s">
        <v>5633</v>
      </c>
      <c r="G2110" s="464" t="s">
        <v>5634</v>
      </c>
      <c r="H2110" s="464" t="s">
        <v>5635</v>
      </c>
      <c r="I2110" s="464" t="s">
        <v>1684</v>
      </c>
    </row>
    <row r="2111" ht="15.95" customHeight="1">
      <c r="A2111" s="464" t="s">
        <v>5653</v>
      </c>
      <c r="B2111" s="464" t="s">
        <v>5654</v>
      </c>
      <c r="C2111" s="464" t="s">
        <v>5655</v>
      </c>
      <c r="D2111" s="464" t="s">
        <v>1679</v>
      </c>
      <c r="E2111" s="464" t="s">
        <v>5632</v>
      </c>
      <c r="F2111" s="464" t="s">
        <v>5633</v>
      </c>
      <c r="G2111" s="464" t="s">
        <v>5634</v>
      </c>
      <c r="H2111" s="464" t="s">
        <v>5635</v>
      </c>
      <c r="I2111" s="464" t="s">
        <v>1684</v>
      </c>
    </row>
    <row r="2112" ht="15.95" customHeight="1">
      <c r="A2112" s="464" t="s">
        <v>5656</v>
      </c>
      <c r="B2112" s="464" t="s">
        <v>5657</v>
      </c>
      <c r="C2112" s="464"/>
      <c r="D2112" s="464" t="s">
        <v>1709</v>
      </c>
      <c r="E2112" s="464" t="s">
        <v>5632</v>
      </c>
      <c r="F2112" s="464" t="s">
        <v>5633</v>
      </c>
      <c r="G2112" s="464" t="s">
        <v>5634</v>
      </c>
      <c r="H2112" s="464" t="s">
        <v>5635</v>
      </c>
      <c r="I2112" s="464" t="s">
        <v>1684</v>
      </c>
    </row>
    <row r="2113" ht="15.95" customHeight="1">
      <c r="A2113" s="464" t="s">
        <v>5658</v>
      </c>
      <c r="B2113" s="464" t="s">
        <v>5659</v>
      </c>
      <c r="C2113" s="464"/>
      <c r="D2113" s="464" t="s">
        <v>1709</v>
      </c>
      <c r="E2113" s="464" t="s">
        <v>5632</v>
      </c>
      <c r="F2113" s="464" t="s">
        <v>5633</v>
      </c>
      <c r="G2113" s="464" t="s">
        <v>5634</v>
      </c>
      <c r="H2113" s="464" t="s">
        <v>5635</v>
      </c>
      <c r="I2113" s="464" t="s">
        <v>1684</v>
      </c>
    </row>
    <row r="2114" ht="15.95" customHeight="1">
      <c r="A2114" s="464" t="s">
        <v>5660</v>
      </c>
      <c r="B2114" s="464" t="s">
        <v>5661</v>
      </c>
      <c r="C2114" s="464"/>
      <c r="D2114" s="464" t="s">
        <v>1679</v>
      </c>
      <c r="E2114" s="464" t="s">
        <v>5662</v>
      </c>
      <c r="F2114" s="464" t="s">
        <v>5663</v>
      </c>
      <c r="G2114" s="464" t="s">
        <v>5634</v>
      </c>
      <c r="H2114" s="464" t="s">
        <v>5635</v>
      </c>
      <c r="I2114" s="464" t="s">
        <v>1684</v>
      </c>
    </row>
    <row r="2115" ht="15.95" customHeight="1">
      <c r="A2115" s="464" t="s">
        <v>5664</v>
      </c>
      <c r="B2115" s="464" t="s">
        <v>5665</v>
      </c>
      <c r="C2115" s="464"/>
      <c r="D2115" s="464" t="s">
        <v>1679</v>
      </c>
      <c r="E2115" s="464" t="s">
        <v>5662</v>
      </c>
      <c r="F2115" s="464" t="s">
        <v>5663</v>
      </c>
      <c r="G2115" s="464" t="s">
        <v>5634</v>
      </c>
      <c r="H2115" s="464" t="s">
        <v>5635</v>
      </c>
      <c r="I2115" s="464" t="s">
        <v>1684</v>
      </c>
    </row>
    <row r="2116" ht="15.95" customHeight="1">
      <c r="A2116" s="464" t="s">
        <v>5666</v>
      </c>
      <c r="B2116" s="464" t="s">
        <v>5667</v>
      </c>
      <c r="C2116" s="464"/>
      <c r="D2116" s="464" t="s">
        <v>1679</v>
      </c>
      <c r="E2116" s="464" t="s">
        <v>5662</v>
      </c>
      <c r="F2116" s="464" t="s">
        <v>5663</v>
      </c>
      <c r="G2116" s="464" t="s">
        <v>5634</v>
      </c>
      <c r="H2116" s="464" t="s">
        <v>5635</v>
      </c>
      <c r="I2116" s="464" t="s">
        <v>1684</v>
      </c>
    </row>
    <row r="2117" ht="15.95" customHeight="1">
      <c r="A2117" s="464" t="s">
        <v>5668</v>
      </c>
      <c r="B2117" s="464" t="s">
        <v>5669</v>
      </c>
      <c r="C2117" s="464"/>
      <c r="D2117" s="464" t="s">
        <v>1679</v>
      </c>
      <c r="E2117" s="464" t="s">
        <v>5662</v>
      </c>
      <c r="F2117" s="464" t="s">
        <v>5663</v>
      </c>
      <c r="G2117" s="464" t="s">
        <v>5634</v>
      </c>
      <c r="H2117" s="464" t="s">
        <v>5635</v>
      </c>
      <c r="I2117" s="464" t="s">
        <v>1684</v>
      </c>
    </row>
    <row r="2118" ht="15.95" customHeight="1">
      <c r="A2118" s="464" t="s">
        <v>5670</v>
      </c>
      <c r="B2118" s="464" t="s">
        <v>5671</v>
      </c>
      <c r="C2118" s="464"/>
      <c r="D2118" s="464" t="s">
        <v>1679</v>
      </c>
      <c r="E2118" s="464" t="s">
        <v>5662</v>
      </c>
      <c r="F2118" s="464" t="s">
        <v>5663</v>
      </c>
      <c r="G2118" s="464" t="s">
        <v>5634</v>
      </c>
      <c r="H2118" s="464" t="s">
        <v>5635</v>
      </c>
      <c r="I2118" s="464" t="s">
        <v>1684</v>
      </c>
    </row>
    <row r="2119" ht="15.95" customHeight="1">
      <c r="A2119" s="464" t="s">
        <v>5672</v>
      </c>
      <c r="B2119" s="464" t="s">
        <v>5673</v>
      </c>
      <c r="C2119" s="464"/>
      <c r="D2119" s="464" t="s">
        <v>1709</v>
      </c>
      <c r="E2119" s="464" t="s">
        <v>5662</v>
      </c>
      <c r="F2119" s="464" t="s">
        <v>5663</v>
      </c>
      <c r="G2119" s="464" t="s">
        <v>5634</v>
      </c>
      <c r="H2119" s="464" t="s">
        <v>5635</v>
      </c>
      <c r="I2119" s="464" t="s">
        <v>1684</v>
      </c>
    </row>
    <row r="2120" ht="15.95" customHeight="1">
      <c r="A2120" s="464" t="s">
        <v>5674</v>
      </c>
      <c r="B2120" s="464" t="s">
        <v>5675</v>
      </c>
      <c r="C2120" s="464"/>
      <c r="D2120" s="464" t="s">
        <v>1709</v>
      </c>
      <c r="E2120" s="464" t="s">
        <v>5662</v>
      </c>
      <c r="F2120" s="464" t="s">
        <v>5663</v>
      </c>
      <c r="G2120" s="464" t="s">
        <v>5634</v>
      </c>
      <c r="H2120" s="464" t="s">
        <v>5635</v>
      </c>
      <c r="I2120" s="464" t="s">
        <v>1684</v>
      </c>
    </row>
    <row r="2121" ht="15.95" customHeight="1">
      <c r="A2121" s="464" t="s">
        <v>5676</v>
      </c>
      <c r="B2121" s="464" t="s">
        <v>5677</v>
      </c>
      <c r="C2121" s="464"/>
      <c r="D2121" s="464" t="s">
        <v>1738</v>
      </c>
      <c r="E2121" s="464" t="s">
        <v>5678</v>
      </c>
      <c r="F2121" s="464" t="s">
        <v>5679</v>
      </c>
      <c r="G2121" s="464" t="s">
        <v>5634</v>
      </c>
      <c r="H2121" s="464" t="s">
        <v>5635</v>
      </c>
      <c r="I2121" s="464" t="s">
        <v>1684</v>
      </c>
    </row>
    <row r="2122" ht="15.95" customHeight="1">
      <c r="A2122" s="464" t="s">
        <v>5680</v>
      </c>
      <c r="B2122" s="464" t="s">
        <v>5681</v>
      </c>
      <c r="C2122" s="464"/>
      <c r="D2122" s="464" t="s">
        <v>1709</v>
      </c>
      <c r="E2122" s="464" t="s">
        <v>5678</v>
      </c>
      <c r="F2122" s="464" t="s">
        <v>5679</v>
      </c>
      <c r="G2122" s="464" t="s">
        <v>5634</v>
      </c>
      <c r="H2122" s="464" t="s">
        <v>5635</v>
      </c>
      <c r="I2122" s="464" t="s">
        <v>1684</v>
      </c>
    </row>
    <row r="2123" ht="15.95" customHeight="1">
      <c r="A2123" s="464" t="s">
        <v>5682</v>
      </c>
      <c r="B2123" s="464" t="s">
        <v>5683</v>
      </c>
      <c r="C2123" s="464"/>
      <c r="D2123" s="464" t="s">
        <v>1738</v>
      </c>
      <c r="E2123" s="464" t="s">
        <v>5678</v>
      </c>
      <c r="F2123" s="464" t="s">
        <v>5679</v>
      </c>
      <c r="G2123" s="464" t="s">
        <v>5634</v>
      </c>
      <c r="H2123" s="464" t="s">
        <v>5635</v>
      </c>
      <c r="I2123" s="464" t="s">
        <v>1684</v>
      </c>
    </row>
    <row r="2124" ht="15.95" customHeight="1">
      <c r="A2124" s="464" t="s">
        <v>5684</v>
      </c>
      <c r="B2124" s="464" t="s">
        <v>5685</v>
      </c>
      <c r="C2124" s="464"/>
      <c r="D2124" s="464" t="s">
        <v>1709</v>
      </c>
      <c r="E2124" s="464" t="s">
        <v>5678</v>
      </c>
      <c r="F2124" s="464" t="s">
        <v>5679</v>
      </c>
      <c r="G2124" s="464" t="s">
        <v>5634</v>
      </c>
      <c r="H2124" s="464" t="s">
        <v>5635</v>
      </c>
      <c r="I2124" s="464" t="s">
        <v>1684</v>
      </c>
    </row>
    <row r="2125" ht="15.95" customHeight="1">
      <c r="A2125" s="464" t="s">
        <v>5686</v>
      </c>
      <c r="B2125" s="464" t="s">
        <v>5687</v>
      </c>
      <c r="C2125" s="464"/>
      <c r="D2125" s="464" t="s">
        <v>1709</v>
      </c>
      <c r="E2125" s="464" t="s">
        <v>5678</v>
      </c>
      <c r="F2125" s="464" t="s">
        <v>5679</v>
      </c>
      <c r="G2125" s="464" t="s">
        <v>5634</v>
      </c>
      <c r="H2125" s="464" t="s">
        <v>5635</v>
      </c>
      <c r="I2125" s="464" t="s">
        <v>1684</v>
      </c>
    </row>
    <row r="2126" ht="15.95" customHeight="1">
      <c r="A2126" s="464" t="s">
        <v>5688</v>
      </c>
      <c r="B2126" s="464" t="s">
        <v>5689</v>
      </c>
      <c r="C2126" s="464"/>
      <c r="D2126" s="464" t="s">
        <v>1709</v>
      </c>
      <c r="E2126" s="464" t="s">
        <v>5678</v>
      </c>
      <c r="F2126" s="464" t="s">
        <v>5679</v>
      </c>
      <c r="G2126" s="464" t="s">
        <v>5634</v>
      </c>
      <c r="H2126" s="464" t="s">
        <v>5635</v>
      </c>
      <c r="I2126" s="464" t="s">
        <v>1684</v>
      </c>
    </row>
    <row r="2127" ht="15.95" customHeight="1">
      <c r="A2127" s="464" t="s">
        <v>5690</v>
      </c>
      <c r="B2127" s="464" t="s">
        <v>3348</v>
      </c>
      <c r="C2127" s="464"/>
      <c r="D2127" s="464" t="s">
        <v>1709</v>
      </c>
      <c r="E2127" s="464" t="s">
        <v>5678</v>
      </c>
      <c r="F2127" s="464" t="s">
        <v>5679</v>
      </c>
      <c r="G2127" s="464" t="s">
        <v>5634</v>
      </c>
      <c r="H2127" s="464" t="s">
        <v>5635</v>
      </c>
      <c r="I2127" s="464" t="s">
        <v>1684</v>
      </c>
    </row>
    <row r="2128" ht="15.95" customHeight="1">
      <c r="A2128" s="464" t="s">
        <v>5691</v>
      </c>
      <c r="B2128" s="464" t="s">
        <v>2256</v>
      </c>
      <c r="C2128" s="464"/>
      <c r="D2128" s="464" t="s">
        <v>1709</v>
      </c>
      <c r="E2128" s="464" t="s">
        <v>5678</v>
      </c>
      <c r="F2128" s="464" t="s">
        <v>5679</v>
      </c>
      <c r="G2128" s="464" t="s">
        <v>5634</v>
      </c>
      <c r="H2128" s="464" t="s">
        <v>5635</v>
      </c>
      <c r="I2128" s="464" t="s">
        <v>1684</v>
      </c>
    </row>
    <row r="2129" ht="15.95" customHeight="1">
      <c r="A2129" s="464" t="s">
        <v>5692</v>
      </c>
      <c r="B2129" s="464" t="s">
        <v>3487</v>
      </c>
      <c r="C2129" s="464"/>
      <c r="D2129" s="464" t="s">
        <v>1709</v>
      </c>
      <c r="E2129" s="464" t="s">
        <v>5678</v>
      </c>
      <c r="F2129" s="464" t="s">
        <v>5679</v>
      </c>
      <c r="G2129" s="464" t="s">
        <v>5634</v>
      </c>
      <c r="H2129" s="464" t="s">
        <v>5635</v>
      </c>
      <c r="I2129" s="464" t="s">
        <v>1684</v>
      </c>
    </row>
    <row r="2130" ht="15.95" customHeight="1">
      <c r="A2130" s="464" t="s">
        <v>5693</v>
      </c>
      <c r="B2130" s="464" t="s">
        <v>5694</v>
      </c>
      <c r="C2130" s="464"/>
      <c r="D2130" s="464" t="s">
        <v>1709</v>
      </c>
      <c r="E2130" s="464" t="s">
        <v>5678</v>
      </c>
      <c r="F2130" s="464" t="s">
        <v>5679</v>
      </c>
      <c r="G2130" s="464" t="s">
        <v>5634</v>
      </c>
      <c r="H2130" s="464" t="s">
        <v>5635</v>
      </c>
      <c r="I2130" s="464" t="s">
        <v>1684</v>
      </c>
    </row>
    <row r="2131" ht="15.95" customHeight="1">
      <c r="A2131" s="464" t="s">
        <v>5695</v>
      </c>
      <c r="B2131" s="464" t="s">
        <v>5696</v>
      </c>
      <c r="C2131" s="464"/>
      <c r="D2131" s="464" t="s">
        <v>1709</v>
      </c>
      <c r="E2131" s="464" t="s">
        <v>5678</v>
      </c>
      <c r="F2131" s="464" t="s">
        <v>5679</v>
      </c>
      <c r="G2131" s="464" t="s">
        <v>5634</v>
      </c>
      <c r="H2131" s="464" t="s">
        <v>5635</v>
      </c>
      <c r="I2131" s="464" t="s">
        <v>1684</v>
      </c>
    </row>
    <row r="2132" ht="15.95" customHeight="1">
      <c r="A2132" s="464" t="s">
        <v>5697</v>
      </c>
      <c r="B2132" s="464" t="s">
        <v>5698</v>
      </c>
      <c r="C2132" s="464"/>
      <c r="D2132" s="464" t="s">
        <v>1709</v>
      </c>
      <c r="E2132" s="464" t="s">
        <v>5678</v>
      </c>
      <c r="F2132" s="464" t="s">
        <v>5679</v>
      </c>
      <c r="G2132" s="464" t="s">
        <v>5634</v>
      </c>
      <c r="H2132" s="464" t="s">
        <v>5635</v>
      </c>
      <c r="I2132" s="464" t="s">
        <v>1684</v>
      </c>
    </row>
    <row r="2133" ht="15.95" customHeight="1">
      <c r="A2133" s="464" t="s">
        <v>5699</v>
      </c>
      <c r="B2133" s="464" t="s">
        <v>5700</v>
      </c>
      <c r="C2133" s="464"/>
      <c r="D2133" s="464" t="s">
        <v>1709</v>
      </c>
      <c r="E2133" s="464" t="s">
        <v>5678</v>
      </c>
      <c r="F2133" s="464" t="s">
        <v>5679</v>
      </c>
      <c r="G2133" s="464" t="s">
        <v>5634</v>
      </c>
      <c r="H2133" s="464" t="s">
        <v>5635</v>
      </c>
      <c r="I2133" s="464" t="s">
        <v>1684</v>
      </c>
    </row>
    <row r="2134" ht="15.95" customHeight="1">
      <c r="A2134" s="464" t="s">
        <v>5701</v>
      </c>
      <c r="B2134" s="464" t="s">
        <v>3997</v>
      </c>
      <c r="C2134" s="464"/>
      <c r="D2134" s="464" t="s">
        <v>1709</v>
      </c>
      <c r="E2134" s="464" t="s">
        <v>5678</v>
      </c>
      <c r="F2134" s="464" t="s">
        <v>5679</v>
      </c>
      <c r="G2134" s="464" t="s">
        <v>5634</v>
      </c>
      <c r="H2134" s="464" t="s">
        <v>5635</v>
      </c>
      <c r="I2134" s="464" t="s">
        <v>1684</v>
      </c>
    </row>
    <row r="2135" ht="15.95" customHeight="1">
      <c r="A2135" s="464" t="s">
        <v>5702</v>
      </c>
      <c r="B2135" s="464" t="s">
        <v>5703</v>
      </c>
      <c r="C2135" s="464"/>
      <c r="D2135" s="464" t="s">
        <v>1679</v>
      </c>
      <c r="E2135" s="464" t="s">
        <v>5704</v>
      </c>
      <c r="F2135" s="464" t="s">
        <v>5705</v>
      </c>
      <c r="G2135" s="464" t="s">
        <v>5634</v>
      </c>
      <c r="H2135" s="464" t="s">
        <v>5635</v>
      </c>
      <c r="I2135" s="464" t="s">
        <v>1684</v>
      </c>
    </row>
    <row r="2136" ht="15.95" customHeight="1">
      <c r="A2136" s="464" t="s">
        <v>5706</v>
      </c>
      <c r="B2136" s="464" t="s">
        <v>5707</v>
      </c>
      <c r="C2136" s="464"/>
      <c r="D2136" s="464" t="s">
        <v>1679</v>
      </c>
      <c r="E2136" s="464" t="s">
        <v>5704</v>
      </c>
      <c r="F2136" s="464" t="s">
        <v>5705</v>
      </c>
      <c r="G2136" s="464" t="s">
        <v>5634</v>
      </c>
      <c r="H2136" s="464" t="s">
        <v>5635</v>
      </c>
      <c r="I2136" s="464" t="s">
        <v>1684</v>
      </c>
    </row>
    <row r="2137" ht="15.95" customHeight="1">
      <c r="A2137" s="464" t="s">
        <v>5708</v>
      </c>
      <c r="B2137" s="464" t="s">
        <v>5709</v>
      </c>
      <c r="C2137" s="464"/>
      <c r="D2137" s="464" t="s">
        <v>1679</v>
      </c>
      <c r="E2137" s="464" t="s">
        <v>5704</v>
      </c>
      <c r="F2137" s="464" t="s">
        <v>5705</v>
      </c>
      <c r="G2137" s="464" t="s">
        <v>5634</v>
      </c>
      <c r="H2137" s="464" t="s">
        <v>5635</v>
      </c>
      <c r="I2137" s="464" t="s">
        <v>1684</v>
      </c>
    </row>
    <row r="2138" ht="15.95" customHeight="1">
      <c r="A2138" s="464" t="s">
        <v>5710</v>
      </c>
      <c r="B2138" s="464" t="s">
        <v>3137</v>
      </c>
      <c r="C2138" s="464"/>
      <c r="D2138" s="464" t="s">
        <v>1709</v>
      </c>
      <c r="E2138" s="464" t="s">
        <v>5704</v>
      </c>
      <c r="F2138" s="464" t="s">
        <v>5705</v>
      </c>
      <c r="G2138" s="464" t="s">
        <v>5634</v>
      </c>
      <c r="H2138" s="464" t="s">
        <v>5635</v>
      </c>
      <c r="I2138" s="464" t="s">
        <v>1684</v>
      </c>
    </row>
    <row r="2139" ht="15.95" customHeight="1">
      <c r="A2139" s="464" t="s">
        <v>5711</v>
      </c>
      <c r="B2139" s="464" t="s">
        <v>5712</v>
      </c>
      <c r="C2139" s="464"/>
      <c r="D2139" s="464" t="s">
        <v>1709</v>
      </c>
      <c r="E2139" s="464" t="s">
        <v>5704</v>
      </c>
      <c r="F2139" s="464" t="s">
        <v>5705</v>
      </c>
      <c r="G2139" s="464" t="s">
        <v>5634</v>
      </c>
      <c r="H2139" s="464" t="s">
        <v>5635</v>
      </c>
      <c r="I2139" s="464" t="s">
        <v>1684</v>
      </c>
    </row>
    <row r="2140" ht="15.95" customHeight="1">
      <c r="A2140" s="464" t="s">
        <v>5713</v>
      </c>
      <c r="B2140" s="464" t="s">
        <v>2937</v>
      </c>
      <c r="C2140" s="464"/>
      <c r="D2140" s="464" t="s">
        <v>1709</v>
      </c>
      <c r="E2140" s="464" t="s">
        <v>5704</v>
      </c>
      <c r="F2140" s="464" t="s">
        <v>5705</v>
      </c>
      <c r="G2140" s="464" t="s">
        <v>5634</v>
      </c>
      <c r="H2140" s="464" t="s">
        <v>5635</v>
      </c>
      <c r="I2140" s="464" t="s">
        <v>1684</v>
      </c>
    </row>
    <row r="2141" ht="15.95" customHeight="1">
      <c r="A2141" s="464" t="s">
        <v>5714</v>
      </c>
      <c r="B2141" s="464" t="s">
        <v>4704</v>
      </c>
      <c r="C2141" s="464" t="s">
        <v>5715</v>
      </c>
      <c r="D2141" s="464" t="s">
        <v>1709</v>
      </c>
      <c r="E2141" s="464" t="s">
        <v>5704</v>
      </c>
      <c r="F2141" s="464" t="s">
        <v>5705</v>
      </c>
      <c r="G2141" s="464" t="s">
        <v>5634</v>
      </c>
      <c r="H2141" s="464" t="s">
        <v>5635</v>
      </c>
      <c r="I2141" s="464" t="s">
        <v>1684</v>
      </c>
    </row>
    <row r="2142" ht="15.95" customHeight="1">
      <c r="A2142" s="464" t="s">
        <v>5716</v>
      </c>
      <c r="B2142" s="464" t="s">
        <v>3157</v>
      </c>
      <c r="C2142" s="464"/>
      <c r="D2142" s="464" t="s">
        <v>1709</v>
      </c>
      <c r="E2142" s="464" t="s">
        <v>5704</v>
      </c>
      <c r="F2142" s="464" t="s">
        <v>5705</v>
      </c>
      <c r="G2142" s="464" t="s">
        <v>5634</v>
      </c>
      <c r="H2142" s="464" t="s">
        <v>5635</v>
      </c>
      <c r="I2142" s="464" t="s">
        <v>1684</v>
      </c>
    </row>
    <row r="2143" ht="15.95" customHeight="1">
      <c r="A2143" s="464" t="s">
        <v>5717</v>
      </c>
      <c r="B2143" s="464" t="s">
        <v>3299</v>
      </c>
      <c r="C2143" s="464"/>
      <c r="D2143" s="464" t="s">
        <v>1709</v>
      </c>
      <c r="E2143" s="464" t="s">
        <v>5704</v>
      </c>
      <c r="F2143" s="464" t="s">
        <v>5705</v>
      </c>
      <c r="G2143" s="464" t="s">
        <v>5634</v>
      </c>
      <c r="H2143" s="464" t="s">
        <v>5635</v>
      </c>
      <c r="I2143" s="464" t="s">
        <v>1684</v>
      </c>
    </row>
    <row r="2144" ht="15.95" customHeight="1">
      <c r="A2144" s="464" t="s">
        <v>5718</v>
      </c>
      <c r="B2144" s="464" t="s">
        <v>5719</v>
      </c>
      <c r="C2144" s="464"/>
      <c r="D2144" s="464" t="s">
        <v>1679</v>
      </c>
      <c r="E2144" s="464" t="s">
        <v>5704</v>
      </c>
      <c r="F2144" s="464" t="s">
        <v>5705</v>
      </c>
      <c r="G2144" s="464" t="s">
        <v>5634</v>
      </c>
      <c r="H2144" s="464" t="s">
        <v>5635</v>
      </c>
      <c r="I2144" s="464" t="s">
        <v>1684</v>
      </c>
    </row>
    <row r="2145" ht="15.95" customHeight="1">
      <c r="A2145" s="464" t="s">
        <v>5720</v>
      </c>
      <c r="B2145" s="464" t="s">
        <v>5721</v>
      </c>
      <c r="C2145" s="464"/>
      <c r="D2145" s="464" t="s">
        <v>1709</v>
      </c>
      <c r="E2145" s="464" t="s">
        <v>5704</v>
      </c>
      <c r="F2145" s="464" t="s">
        <v>5705</v>
      </c>
      <c r="G2145" s="464" t="s">
        <v>5634</v>
      </c>
      <c r="H2145" s="464" t="s">
        <v>5635</v>
      </c>
      <c r="I2145" s="464" t="s">
        <v>1684</v>
      </c>
    </row>
    <row r="2146" ht="15.95" customHeight="1">
      <c r="A2146" s="464" t="s">
        <v>5722</v>
      </c>
      <c r="B2146" s="464" t="s">
        <v>5723</v>
      </c>
      <c r="C2146" s="464"/>
      <c r="D2146" s="464" t="s">
        <v>1709</v>
      </c>
      <c r="E2146" s="464" t="s">
        <v>5704</v>
      </c>
      <c r="F2146" s="464" t="s">
        <v>5705</v>
      </c>
      <c r="G2146" s="464" t="s">
        <v>5634</v>
      </c>
      <c r="H2146" s="464" t="s">
        <v>5635</v>
      </c>
      <c r="I2146" s="464" t="s">
        <v>1684</v>
      </c>
    </row>
    <row r="2147" ht="15.95" customHeight="1">
      <c r="A2147" s="464" t="s">
        <v>5724</v>
      </c>
      <c r="B2147" s="464" t="s">
        <v>5725</v>
      </c>
      <c r="C2147" s="464"/>
      <c r="D2147" s="464" t="s">
        <v>1709</v>
      </c>
      <c r="E2147" s="464" t="s">
        <v>5704</v>
      </c>
      <c r="F2147" s="464" t="s">
        <v>5705</v>
      </c>
      <c r="G2147" s="464" t="s">
        <v>5634</v>
      </c>
      <c r="H2147" s="464" t="s">
        <v>5635</v>
      </c>
      <c r="I2147" s="464" t="s">
        <v>1684</v>
      </c>
    </row>
    <row r="2148" ht="15.95" customHeight="1">
      <c r="A2148" s="464" t="s">
        <v>5726</v>
      </c>
      <c r="B2148" s="464" t="s">
        <v>5727</v>
      </c>
      <c r="C2148" s="464"/>
      <c r="D2148" s="464" t="s">
        <v>1679</v>
      </c>
      <c r="E2148" s="464" t="s">
        <v>5704</v>
      </c>
      <c r="F2148" s="464" t="s">
        <v>5705</v>
      </c>
      <c r="G2148" s="464" t="s">
        <v>5634</v>
      </c>
      <c r="H2148" s="464" t="s">
        <v>5635</v>
      </c>
      <c r="I2148" s="464" t="s">
        <v>1684</v>
      </c>
    </row>
    <row r="2149" ht="15.95" customHeight="1">
      <c r="A2149" s="464" t="s">
        <v>5728</v>
      </c>
      <c r="B2149" s="464" t="s">
        <v>3505</v>
      </c>
      <c r="C2149" s="464"/>
      <c r="D2149" s="464" t="s">
        <v>1738</v>
      </c>
      <c r="E2149" s="464" t="s">
        <v>5729</v>
      </c>
      <c r="F2149" s="464" t="s">
        <v>5730</v>
      </c>
      <c r="G2149" s="464" t="s">
        <v>5634</v>
      </c>
      <c r="H2149" s="464" t="s">
        <v>5635</v>
      </c>
      <c r="I2149" s="464" t="s">
        <v>1684</v>
      </c>
    </row>
    <row r="2150" ht="15.95" customHeight="1">
      <c r="A2150" s="464" t="s">
        <v>5731</v>
      </c>
      <c r="B2150" s="464" t="s">
        <v>5732</v>
      </c>
      <c r="C2150" s="464"/>
      <c r="D2150" s="464" t="s">
        <v>1738</v>
      </c>
      <c r="E2150" s="464" t="s">
        <v>5729</v>
      </c>
      <c r="F2150" s="464" t="s">
        <v>5730</v>
      </c>
      <c r="G2150" s="464" t="s">
        <v>5634</v>
      </c>
      <c r="H2150" s="464" t="s">
        <v>5635</v>
      </c>
      <c r="I2150" s="464" t="s">
        <v>1684</v>
      </c>
    </row>
    <row r="2151" ht="15.95" customHeight="1">
      <c r="A2151" s="464" t="s">
        <v>5733</v>
      </c>
      <c r="B2151" s="464" t="s">
        <v>2888</v>
      </c>
      <c r="C2151" s="464"/>
      <c r="D2151" s="464" t="s">
        <v>1709</v>
      </c>
      <c r="E2151" s="464" t="s">
        <v>5729</v>
      </c>
      <c r="F2151" s="464" t="s">
        <v>5730</v>
      </c>
      <c r="G2151" s="464" t="s">
        <v>5634</v>
      </c>
      <c r="H2151" s="464" t="s">
        <v>5635</v>
      </c>
      <c r="I2151" s="464" t="s">
        <v>1684</v>
      </c>
    </row>
    <row r="2152" ht="15.95" customHeight="1">
      <c r="A2152" s="464" t="s">
        <v>5734</v>
      </c>
      <c r="B2152" s="464" t="s">
        <v>4887</v>
      </c>
      <c r="C2152" s="464"/>
      <c r="D2152" s="464" t="s">
        <v>1709</v>
      </c>
      <c r="E2152" s="464" t="s">
        <v>5729</v>
      </c>
      <c r="F2152" s="464" t="s">
        <v>5730</v>
      </c>
      <c r="G2152" s="464" t="s">
        <v>5634</v>
      </c>
      <c r="H2152" s="464" t="s">
        <v>5635</v>
      </c>
      <c r="I2152" s="464" t="s">
        <v>1684</v>
      </c>
    </row>
    <row r="2153" ht="15.95" customHeight="1">
      <c r="A2153" s="464" t="s">
        <v>5735</v>
      </c>
      <c r="B2153" s="464" t="s">
        <v>3139</v>
      </c>
      <c r="C2153" s="464"/>
      <c r="D2153" s="464" t="s">
        <v>1709</v>
      </c>
      <c r="E2153" s="464" t="s">
        <v>5729</v>
      </c>
      <c r="F2153" s="464" t="s">
        <v>5730</v>
      </c>
      <c r="G2153" s="464" t="s">
        <v>5634</v>
      </c>
      <c r="H2153" s="464" t="s">
        <v>5635</v>
      </c>
      <c r="I2153" s="464" t="s">
        <v>1684</v>
      </c>
    </row>
    <row r="2154" ht="15.95" customHeight="1">
      <c r="A2154" s="464" t="s">
        <v>5736</v>
      </c>
      <c r="B2154" s="464" t="s">
        <v>5484</v>
      </c>
      <c r="C2154" s="464"/>
      <c r="D2154" s="464" t="s">
        <v>1709</v>
      </c>
      <c r="E2154" s="464" t="s">
        <v>5729</v>
      </c>
      <c r="F2154" s="464" t="s">
        <v>5730</v>
      </c>
      <c r="G2154" s="464" t="s">
        <v>5634</v>
      </c>
      <c r="H2154" s="464" t="s">
        <v>5635</v>
      </c>
      <c r="I2154" s="464" t="s">
        <v>1684</v>
      </c>
    </row>
    <row r="2155" ht="15.95" customHeight="1">
      <c r="A2155" s="464" t="s">
        <v>5737</v>
      </c>
      <c r="B2155" s="464" t="s">
        <v>3351</v>
      </c>
      <c r="C2155" s="464"/>
      <c r="D2155" s="464" t="s">
        <v>1709</v>
      </c>
      <c r="E2155" s="464" t="s">
        <v>5729</v>
      </c>
      <c r="F2155" s="464" t="s">
        <v>5730</v>
      </c>
      <c r="G2155" s="464" t="s">
        <v>5634</v>
      </c>
      <c r="H2155" s="464" t="s">
        <v>5635</v>
      </c>
      <c r="I2155" s="464" t="s">
        <v>1684</v>
      </c>
    </row>
    <row r="2156" ht="15.95" customHeight="1">
      <c r="A2156" s="464" t="s">
        <v>5738</v>
      </c>
      <c r="B2156" s="464" t="s">
        <v>5739</v>
      </c>
      <c r="C2156" s="464"/>
      <c r="D2156" s="464" t="s">
        <v>1709</v>
      </c>
      <c r="E2156" s="464" t="s">
        <v>5729</v>
      </c>
      <c r="F2156" s="464" t="s">
        <v>5730</v>
      </c>
      <c r="G2156" s="464" t="s">
        <v>5634</v>
      </c>
      <c r="H2156" s="464" t="s">
        <v>5635</v>
      </c>
      <c r="I2156" s="464" t="s">
        <v>1684</v>
      </c>
    </row>
    <row r="2157" ht="15.95" customHeight="1">
      <c r="A2157" s="464" t="s">
        <v>5740</v>
      </c>
      <c r="B2157" s="464" t="s">
        <v>5350</v>
      </c>
      <c r="C2157" s="464"/>
      <c r="D2157" s="464" t="s">
        <v>1709</v>
      </c>
      <c r="E2157" s="464" t="s">
        <v>5729</v>
      </c>
      <c r="F2157" s="464" t="s">
        <v>5730</v>
      </c>
      <c r="G2157" s="464" t="s">
        <v>5634</v>
      </c>
      <c r="H2157" s="464" t="s">
        <v>5635</v>
      </c>
      <c r="I2157" s="464" t="s">
        <v>1684</v>
      </c>
    </row>
    <row r="2158" ht="15.95" customHeight="1">
      <c r="A2158" s="464" t="s">
        <v>5741</v>
      </c>
      <c r="B2158" s="464" t="s">
        <v>2916</v>
      </c>
      <c r="C2158" s="464"/>
      <c r="D2158" s="464" t="s">
        <v>1709</v>
      </c>
      <c r="E2158" s="464" t="s">
        <v>5729</v>
      </c>
      <c r="F2158" s="464" t="s">
        <v>5730</v>
      </c>
      <c r="G2158" s="464" t="s">
        <v>5634</v>
      </c>
      <c r="H2158" s="464" t="s">
        <v>5635</v>
      </c>
      <c r="I2158" s="464" t="s">
        <v>1684</v>
      </c>
    </row>
    <row r="2159" ht="15.95" customHeight="1">
      <c r="A2159" s="464" t="s">
        <v>5742</v>
      </c>
      <c r="B2159" s="464" t="s">
        <v>3135</v>
      </c>
      <c r="C2159" s="464"/>
      <c r="D2159" s="464" t="s">
        <v>1709</v>
      </c>
      <c r="E2159" s="464" t="s">
        <v>5729</v>
      </c>
      <c r="F2159" s="464" t="s">
        <v>5730</v>
      </c>
      <c r="G2159" s="464" t="s">
        <v>5634</v>
      </c>
      <c r="H2159" s="464" t="s">
        <v>5635</v>
      </c>
      <c r="I2159" s="464" t="s">
        <v>1684</v>
      </c>
    </row>
    <row r="2160" ht="15.95" customHeight="1">
      <c r="A2160" s="464" t="s">
        <v>5743</v>
      </c>
      <c r="B2160" s="464" t="s">
        <v>5744</v>
      </c>
      <c r="C2160" s="464"/>
      <c r="D2160" s="464" t="s">
        <v>1709</v>
      </c>
      <c r="E2160" s="464" t="s">
        <v>5729</v>
      </c>
      <c r="F2160" s="464" t="s">
        <v>5730</v>
      </c>
      <c r="G2160" s="464" t="s">
        <v>5634</v>
      </c>
      <c r="H2160" s="464" t="s">
        <v>5635</v>
      </c>
      <c r="I2160" s="464" t="s">
        <v>1684</v>
      </c>
    </row>
    <row r="2161" ht="15.95" customHeight="1">
      <c r="A2161" s="464" t="s">
        <v>5745</v>
      </c>
      <c r="B2161" s="464" t="s">
        <v>3141</v>
      </c>
      <c r="C2161" s="464"/>
      <c r="D2161" s="464" t="s">
        <v>1709</v>
      </c>
      <c r="E2161" s="464" t="s">
        <v>5729</v>
      </c>
      <c r="F2161" s="464" t="s">
        <v>5730</v>
      </c>
      <c r="G2161" s="464" t="s">
        <v>5634</v>
      </c>
      <c r="H2161" s="464" t="s">
        <v>5635</v>
      </c>
      <c r="I2161" s="464" t="s">
        <v>1684</v>
      </c>
    </row>
    <row r="2162" ht="15.95" customHeight="1">
      <c r="A2162" s="464" t="s">
        <v>5746</v>
      </c>
      <c r="B2162" s="464" t="s">
        <v>5494</v>
      </c>
      <c r="C2162" s="464"/>
      <c r="D2162" s="464" t="s">
        <v>1709</v>
      </c>
      <c r="E2162" s="464" t="s">
        <v>5729</v>
      </c>
      <c r="F2162" s="464" t="s">
        <v>5730</v>
      </c>
      <c r="G2162" s="464" t="s">
        <v>5634</v>
      </c>
      <c r="H2162" s="464" t="s">
        <v>5635</v>
      </c>
      <c r="I2162" s="464" t="s">
        <v>1684</v>
      </c>
    </row>
    <row r="2163" ht="15.95" customHeight="1">
      <c r="A2163" s="464" t="s">
        <v>5747</v>
      </c>
      <c r="B2163" s="464" t="s">
        <v>4725</v>
      </c>
      <c r="C2163" s="464"/>
      <c r="D2163" s="464" t="s">
        <v>1709</v>
      </c>
      <c r="E2163" s="464" t="s">
        <v>5729</v>
      </c>
      <c r="F2163" s="464" t="s">
        <v>5730</v>
      </c>
      <c r="G2163" s="464" t="s">
        <v>5634</v>
      </c>
      <c r="H2163" s="464" t="s">
        <v>5635</v>
      </c>
      <c r="I2163" s="464" t="s">
        <v>1684</v>
      </c>
    </row>
    <row r="2164" ht="15.95" customHeight="1">
      <c r="A2164" s="464" t="s">
        <v>5748</v>
      </c>
      <c r="B2164" s="464" t="s">
        <v>5749</v>
      </c>
      <c r="C2164" s="464"/>
      <c r="D2164" s="464" t="s">
        <v>1709</v>
      </c>
      <c r="E2164" s="464" t="s">
        <v>5729</v>
      </c>
      <c r="F2164" s="464" t="s">
        <v>5730</v>
      </c>
      <c r="G2164" s="464" t="s">
        <v>5634</v>
      </c>
      <c r="H2164" s="464" t="s">
        <v>5635</v>
      </c>
      <c r="I2164" s="464" t="s">
        <v>1684</v>
      </c>
    </row>
    <row r="2165" ht="15.95" customHeight="1">
      <c r="A2165" s="464" t="s">
        <v>5750</v>
      </c>
      <c r="B2165" s="464" t="s">
        <v>2563</v>
      </c>
      <c r="C2165" s="464"/>
      <c r="D2165" s="464" t="s">
        <v>1709</v>
      </c>
      <c r="E2165" s="464" t="s">
        <v>5729</v>
      </c>
      <c r="F2165" s="464" t="s">
        <v>5730</v>
      </c>
      <c r="G2165" s="464" t="s">
        <v>5634</v>
      </c>
      <c r="H2165" s="464" t="s">
        <v>5635</v>
      </c>
      <c r="I2165" s="464" t="s">
        <v>1684</v>
      </c>
    </row>
    <row r="2166" ht="15.95" customHeight="1">
      <c r="A2166" s="464" t="s">
        <v>5751</v>
      </c>
      <c r="B2166" s="464" t="s">
        <v>4444</v>
      </c>
      <c r="C2166" s="464"/>
      <c r="D2166" s="464" t="s">
        <v>1709</v>
      </c>
      <c r="E2166" s="464" t="s">
        <v>5729</v>
      </c>
      <c r="F2166" s="464" t="s">
        <v>5730</v>
      </c>
      <c r="G2166" s="464" t="s">
        <v>5634</v>
      </c>
      <c r="H2166" s="464" t="s">
        <v>5635</v>
      </c>
      <c r="I2166" s="464" t="s">
        <v>1684</v>
      </c>
    </row>
    <row r="2167" ht="15.95" customHeight="1">
      <c r="A2167" s="464" t="s">
        <v>5752</v>
      </c>
      <c r="B2167" s="464" t="s">
        <v>5753</v>
      </c>
      <c r="C2167" s="464"/>
      <c r="D2167" s="464" t="s">
        <v>1738</v>
      </c>
      <c r="E2167" s="464" t="s">
        <v>5754</v>
      </c>
      <c r="F2167" s="464" t="s">
        <v>5755</v>
      </c>
      <c r="G2167" s="464" t="s">
        <v>5634</v>
      </c>
      <c r="H2167" s="464" t="s">
        <v>5635</v>
      </c>
      <c r="I2167" s="464" t="s">
        <v>1684</v>
      </c>
    </row>
    <row r="2168" ht="15.95" customHeight="1">
      <c r="A2168" s="464" t="s">
        <v>5756</v>
      </c>
      <c r="B2168" s="464" t="s">
        <v>5757</v>
      </c>
      <c r="C2168" s="464"/>
      <c r="D2168" s="464" t="s">
        <v>1709</v>
      </c>
      <c r="E2168" s="464" t="s">
        <v>5754</v>
      </c>
      <c r="F2168" s="464" t="s">
        <v>5755</v>
      </c>
      <c r="G2168" s="464" t="s">
        <v>5634</v>
      </c>
      <c r="H2168" s="464" t="s">
        <v>5635</v>
      </c>
      <c r="I2168" s="464" t="s">
        <v>1684</v>
      </c>
    </row>
    <row r="2169" ht="15.95" customHeight="1">
      <c r="A2169" s="464" t="s">
        <v>5758</v>
      </c>
      <c r="B2169" s="464" t="s">
        <v>2370</v>
      </c>
      <c r="C2169" s="464"/>
      <c r="D2169" s="464" t="s">
        <v>1709</v>
      </c>
      <c r="E2169" s="464" t="s">
        <v>5754</v>
      </c>
      <c r="F2169" s="464" t="s">
        <v>5755</v>
      </c>
      <c r="G2169" s="464" t="s">
        <v>5634</v>
      </c>
      <c r="H2169" s="464" t="s">
        <v>5635</v>
      </c>
      <c r="I2169" s="464" t="s">
        <v>1684</v>
      </c>
    </row>
    <row r="2170" ht="15.95" customHeight="1">
      <c r="A2170" s="464" t="s">
        <v>5759</v>
      </c>
      <c r="B2170" s="464" t="s">
        <v>4284</v>
      </c>
      <c r="C2170" s="464"/>
      <c r="D2170" s="464" t="s">
        <v>1709</v>
      </c>
      <c r="E2170" s="464" t="s">
        <v>5754</v>
      </c>
      <c r="F2170" s="464" t="s">
        <v>5755</v>
      </c>
      <c r="G2170" s="464" t="s">
        <v>5634</v>
      </c>
      <c r="H2170" s="464" t="s">
        <v>5635</v>
      </c>
      <c r="I2170" s="464" t="s">
        <v>1684</v>
      </c>
    </row>
    <row r="2171" ht="15.95" customHeight="1">
      <c r="A2171" s="464" t="s">
        <v>5760</v>
      </c>
      <c r="B2171" s="464" t="s">
        <v>5761</v>
      </c>
      <c r="C2171" s="464"/>
      <c r="D2171" s="464" t="s">
        <v>1709</v>
      </c>
      <c r="E2171" s="464" t="s">
        <v>5754</v>
      </c>
      <c r="F2171" s="464" t="s">
        <v>5755</v>
      </c>
      <c r="G2171" s="464" t="s">
        <v>5634</v>
      </c>
      <c r="H2171" s="464" t="s">
        <v>5635</v>
      </c>
      <c r="I2171" s="464" t="s">
        <v>1684</v>
      </c>
    </row>
    <row r="2172" ht="15.95" customHeight="1">
      <c r="A2172" s="464" t="s">
        <v>5762</v>
      </c>
      <c r="B2172" s="464" t="s">
        <v>5763</v>
      </c>
      <c r="C2172" s="464"/>
      <c r="D2172" s="464" t="s">
        <v>1709</v>
      </c>
      <c r="E2172" s="464" t="s">
        <v>5754</v>
      </c>
      <c r="F2172" s="464" t="s">
        <v>5755</v>
      </c>
      <c r="G2172" s="464" t="s">
        <v>5634</v>
      </c>
      <c r="H2172" s="464" t="s">
        <v>5635</v>
      </c>
      <c r="I2172" s="464" t="s">
        <v>1684</v>
      </c>
    </row>
    <row r="2173" ht="15.95" customHeight="1">
      <c r="A2173" s="464" t="s">
        <v>5764</v>
      </c>
      <c r="B2173" s="464" t="s">
        <v>5765</v>
      </c>
      <c r="C2173" s="464"/>
      <c r="D2173" s="464" t="s">
        <v>1709</v>
      </c>
      <c r="E2173" s="464" t="s">
        <v>5754</v>
      </c>
      <c r="F2173" s="464" t="s">
        <v>5755</v>
      </c>
      <c r="G2173" s="464" t="s">
        <v>5634</v>
      </c>
      <c r="H2173" s="464" t="s">
        <v>5635</v>
      </c>
      <c r="I2173" s="464" t="s">
        <v>1684</v>
      </c>
    </row>
    <row r="2174" ht="15.95" customHeight="1">
      <c r="A2174" s="464" t="s">
        <v>5766</v>
      </c>
      <c r="B2174" s="464" t="s">
        <v>5767</v>
      </c>
      <c r="C2174" s="464"/>
      <c r="D2174" s="464" t="s">
        <v>1709</v>
      </c>
      <c r="E2174" s="464" t="s">
        <v>5754</v>
      </c>
      <c r="F2174" s="464" t="s">
        <v>5755</v>
      </c>
      <c r="G2174" s="464" t="s">
        <v>5634</v>
      </c>
      <c r="H2174" s="464" t="s">
        <v>5635</v>
      </c>
      <c r="I2174" s="464" t="s">
        <v>1684</v>
      </c>
    </row>
    <row r="2175" ht="15.95" customHeight="1">
      <c r="A2175" s="464" t="s">
        <v>5768</v>
      </c>
      <c r="B2175" s="464" t="s">
        <v>3008</v>
      </c>
      <c r="C2175" s="464"/>
      <c r="D2175" s="464" t="s">
        <v>1709</v>
      </c>
      <c r="E2175" s="464" t="s">
        <v>5754</v>
      </c>
      <c r="F2175" s="464" t="s">
        <v>5755</v>
      </c>
      <c r="G2175" s="464" t="s">
        <v>5634</v>
      </c>
      <c r="H2175" s="464" t="s">
        <v>5635</v>
      </c>
      <c r="I2175" s="464" t="s">
        <v>1684</v>
      </c>
    </row>
    <row r="2176" ht="15.95" customHeight="1">
      <c r="A2176" s="464" t="s">
        <v>5769</v>
      </c>
      <c r="B2176" s="464" t="s">
        <v>5770</v>
      </c>
      <c r="C2176" s="464"/>
      <c r="D2176" s="464" t="s">
        <v>1709</v>
      </c>
      <c r="E2176" s="464" t="s">
        <v>5754</v>
      </c>
      <c r="F2176" s="464" t="s">
        <v>5755</v>
      </c>
      <c r="G2176" s="464" t="s">
        <v>5634</v>
      </c>
      <c r="H2176" s="464" t="s">
        <v>5635</v>
      </c>
      <c r="I2176" s="464" t="s">
        <v>1684</v>
      </c>
    </row>
    <row r="2177" ht="15.95" customHeight="1">
      <c r="A2177" s="464" t="s">
        <v>5771</v>
      </c>
      <c r="B2177" s="464" t="s">
        <v>5772</v>
      </c>
      <c r="C2177" s="464"/>
      <c r="D2177" s="464" t="s">
        <v>1709</v>
      </c>
      <c r="E2177" s="464" t="s">
        <v>5754</v>
      </c>
      <c r="F2177" s="464" t="s">
        <v>5755</v>
      </c>
      <c r="G2177" s="464" t="s">
        <v>5634</v>
      </c>
      <c r="H2177" s="464" t="s">
        <v>5635</v>
      </c>
      <c r="I2177" s="464" t="s">
        <v>1684</v>
      </c>
    </row>
    <row r="2178" ht="15.95" customHeight="1">
      <c r="A2178" s="464" t="s">
        <v>5773</v>
      </c>
      <c r="B2178" s="464" t="s">
        <v>4555</v>
      </c>
      <c r="C2178" s="464"/>
      <c r="D2178" s="464" t="s">
        <v>1709</v>
      </c>
      <c r="E2178" s="464" t="s">
        <v>5754</v>
      </c>
      <c r="F2178" s="464" t="s">
        <v>5755</v>
      </c>
      <c r="G2178" s="464" t="s">
        <v>5634</v>
      </c>
      <c r="H2178" s="464" t="s">
        <v>5635</v>
      </c>
      <c r="I2178" s="464" t="s">
        <v>1684</v>
      </c>
    </row>
    <row r="2179" ht="15.95" customHeight="1">
      <c r="A2179" s="464" t="s">
        <v>5774</v>
      </c>
      <c r="B2179" s="464" t="s">
        <v>4001</v>
      </c>
      <c r="C2179" s="464"/>
      <c r="D2179" s="464" t="s">
        <v>1709</v>
      </c>
      <c r="E2179" s="464" t="s">
        <v>5754</v>
      </c>
      <c r="F2179" s="464" t="s">
        <v>5755</v>
      </c>
      <c r="G2179" s="464" t="s">
        <v>5634</v>
      </c>
      <c r="H2179" s="464" t="s">
        <v>5635</v>
      </c>
      <c r="I2179" s="464" t="s">
        <v>1684</v>
      </c>
    </row>
    <row r="2180" ht="15.95" customHeight="1">
      <c r="A2180" s="464" t="s">
        <v>5775</v>
      </c>
      <c r="B2180" s="464" t="s">
        <v>5776</v>
      </c>
      <c r="C2180" s="464"/>
      <c r="D2180" s="464" t="s">
        <v>1738</v>
      </c>
      <c r="E2180" s="464" t="s">
        <v>5777</v>
      </c>
      <c r="F2180" s="464" t="s">
        <v>5778</v>
      </c>
      <c r="G2180" s="464" t="s">
        <v>5634</v>
      </c>
      <c r="H2180" s="464" t="s">
        <v>5635</v>
      </c>
      <c r="I2180" s="464" t="s">
        <v>1684</v>
      </c>
    </row>
    <row r="2181" ht="15.95" customHeight="1">
      <c r="A2181" s="464" t="s">
        <v>5779</v>
      </c>
      <c r="B2181" s="464" t="s">
        <v>5780</v>
      </c>
      <c r="C2181" s="464"/>
      <c r="D2181" s="464" t="s">
        <v>1738</v>
      </c>
      <c r="E2181" s="464" t="s">
        <v>5777</v>
      </c>
      <c r="F2181" s="464" t="s">
        <v>5778</v>
      </c>
      <c r="G2181" s="464" t="s">
        <v>5634</v>
      </c>
      <c r="H2181" s="464" t="s">
        <v>5635</v>
      </c>
      <c r="I2181" s="464" t="s">
        <v>1684</v>
      </c>
    </row>
    <row r="2182" ht="15.95" customHeight="1">
      <c r="A2182" s="464" t="s">
        <v>5781</v>
      </c>
      <c r="B2182" s="464" t="s">
        <v>5782</v>
      </c>
      <c r="C2182" s="464"/>
      <c r="D2182" s="464" t="s">
        <v>1709</v>
      </c>
      <c r="E2182" s="464" t="s">
        <v>5777</v>
      </c>
      <c r="F2182" s="464" t="s">
        <v>5778</v>
      </c>
      <c r="G2182" s="464" t="s">
        <v>5634</v>
      </c>
      <c r="H2182" s="464" t="s">
        <v>5635</v>
      </c>
      <c r="I2182" s="464" t="s">
        <v>1684</v>
      </c>
    </row>
    <row r="2183" ht="15.95" customHeight="1">
      <c r="A2183" s="464" t="s">
        <v>5783</v>
      </c>
      <c r="B2183" s="464" t="s">
        <v>5784</v>
      </c>
      <c r="C2183" s="464"/>
      <c r="D2183" s="464" t="s">
        <v>1709</v>
      </c>
      <c r="E2183" s="464" t="s">
        <v>5777</v>
      </c>
      <c r="F2183" s="464" t="s">
        <v>5778</v>
      </c>
      <c r="G2183" s="464" t="s">
        <v>5634</v>
      </c>
      <c r="H2183" s="464" t="s">
        <v>5635</v>
      </c>
      <c r="I2183" s="464" t="s">
        <v>1684</v>
      </c>
    </row>
    <row r="2184" ht="15.95" customHeight="1">
      <c r="A2184" s="464" t="s">
        <v>5785</v>
      </c>
      <c r="B2184" s="464" t="s">
        <v>2528</v>
      </c>
      <c r="C2184" s="464"/>
      <c r="D2184" s="464" t="s">
        <v>1709</v>
      </c>
      <c r="E2184" s="464" t="s">
        <v>5777</v>
      </c>
      <c r="F2184" s="464" t="s">
        <v>5778</v>
      </c>
      <c r="G2184" s="464" t="s">
        <v>5634</v>
      </c>
      <c r="H2184" s="464" t="s">
        <v>5635</v>
      </c>
      <c r="I2184" s="464" t="s">
        <v>1684</v>
      </c>
    </row>
    <row r="2185" ht="15.95" customHeight="1">
      <c r="A2185" s="464" t="s">
        <v>5786</v>
      </c>
      <c r="B2185" s="464" t="s">
        <v>4426</v>
      </c>
      <c r="C2185" s="464"/>
      <c r="D2185" s="464" t="s">
        <v>1709</v>
      </c>
      <c r="E2185" s="464" t="s">
        <v>5777</v>
      </c>
      <c r="F2185" s="464" t="s">
        <v>5778</v>
      </c>
      <c r="G2185" s="464" t="s">
        <v>5634</v>
      </c>
      <c r="H2185" s="464" t="s">
        <v>5635</v>
      </c>
      <c r="I2185" s="464" t="s">
        <v>1684</v>
      </c>
    </row>
    <row r="2186" ht="15.95" customHeight="1">
      <c r="A2186" s="464" t="s">
        <v>5787</v>
      </c>
      <c r="B2186" s="464" t="s">
        <v>5788</v>
      </c>
      <c r="C2186" s="464"/>
      <c r="D2186" s="464" t="s">
        <v>1738</v>
      </c>
      <c r="E2186" s="464" t="s">
        <v>5777</v>
      </c>
      <c r="F2186" s="464" t="s">
        <v>5778</v>
      </c>
      <c r="G2186" s="464" t="s">
        <v>5634</v>
      </c>
      <c r="H2186" s="464" t="s">
        <v>5635</v>
      </c>
      <c r="I2186" s="464" t="s">
        <v>1684</v>
      </c>
    </row>
    <row r="2187" ht="15.95" customHeight="1">
      <c r="A2187" s="464" t="s">
        <v>5789</v>
      </c>
      <c r="B2187" s="464" t="s">
        <v>5790</v>
      </c>
      <c r="C2187" s="464"/>
      <c r="D2187" s="464" t="s">
        <v>1709</v>
      </c>
      <c r="E2187" s="464" t="s">
        <v>5777</v>
      </c>
      <c r="F2187" s="464" t="s">
        <v>5778</v>
      </c>
      <c r="G2187" s="464" t="s">
        <v>5634</v>
      </c>
      <c r="H2187" s="464" t="s">
        <v>5635</v>
      </c>
      <c r="I2187" s="464" t="s">
        <v>1684</v>
      </c>
    </row>
    <row r="2188" ht="15.95" customHeight="1">
      <c r="A2188" s="464" t="s">
        <v>5791</v>
      </c>
      <c r="B2188" s="464" t="s">
        <v>4517</v>
      </c>
      <c r="C2188" s="464"/>
      <c r="D2188" s="464" t="s">
        <v>1709</v>
      </c>
      <c r="E2188" s="464" t="s">
        <v>5777</v>
      </c>
      <c r="F2188" s="464" t="s">
        <v>5778</v>
      </c>
      <c r="G2188" s="464" t="s">
        <v>5634</v>
      </c>
      <c r="H2188" s="464" t="s">
        <v>5635</v>
      </c>
      <c r="I2188" s="464" t="s">
        <v>1684</v>
      </c>
    </row>
    <row r="2189" ht="15.95" customHeight="1">
      <c r="A2189" s="464" t="s">
        <v>5792</v>
      </c>
      <c r="B2189" s="464" t="s">
        <v>5793</v>
      </c>
      <c r="C2189" s="464"/>
      <c r="D2189" s="464" t="s">
        <v>1709</v>
      </c>
      <c r="E2189" s="464" t="s">
        <v>5777</v>
      </c>
      <c r="F2189" s="464" t="s">
        <v>5778</v>
      </c>
      <c r="G2189" s="464" t="s">
        <v>5634</v>
      </c>
      <c r="H2189" s="464" t="s">
        <v>5635</v>
      </c>
      <c r="I2189" s="464" t="s">
        <v>1684</v>
      </c>
    </row>
    <row r="2190" ht="15.95" customHeight="1">
      <c r="A2190" s="464" t="s">
        <v>5794</v>
      </c>
      <c r="B2190" s="464" t="s">
        <v>5795</v>
      </c>
      <c r="C2190" s="464"/>
      <c r="D2190" s="464" t="s">
        <v>1709</v>
      </c>
      <c r="E2190" s="464" t="s">
        <v>5777</v>
      </c>
      <c r="F2190" s="464" t="s">
        <v>5778</v>
      </c>
      <c r="G2190" s="464" t="s">
        <v>5634</v>
      </c>
      <c r="H2190" s="464" t="s">
        <v>5635</v>
      </c>
      <c r="I2190" s="464" t="s">
        <v>1684</v>
      </c>
    </row>
    <row r="2191" ht="15.95" customHeight="1">
      <c r="A2191" s="464" t="s">
        <v>5796</v>
      </c>
      <c r="B2191" s="464" t="s">
        <v>2530</v>
      </c>
      <c r="C2191" s="464"/>
      <c r="D2191" s="464" t="s">
        <v>1709</v>
      </c>
      <c r="E2191" s="464" t="s">
        <v>5777</v>
      </c>
      <c r="F2191" s="464" t="s">
        <v>5778</v>
      </c>
      <c r="G2191" s="464" t="s">
        <v>5634</v>
      </c>
      <c r="H2191" s="464" t="s">
        <v>5635</v>
      </c>
      <c r="I2191" s="464" t="s">
        <v>1684</v>
      </c>
    </row>
    <row r="2192" ht="15.95" customHeight="1">
      <c r="A2192" s="464" t="s">
        <v>5797</v>
      </c>
      <c r="B2192" s="464" t="s">
        <v>5798</v>
      </c>
      <c r="C2192" s="464"/>
      <c r="D2192" s="464" t="s">
        <v>1709</v>
      </c>
      <c r="E2192" s="464" t="s">
        <v>5777</v>
      </c>
      <c r="F2192" s="464" t="s">
        <v>5778</v>
      </c>
      <c r="G2192" s="464" t="s">
        <v>5634</v>
      </c>
      <c r="H2192" s="464" t="s">
        <v>5635</v>
      </c>
      <c r="I2192" s="464" t="s">
        <v>1684</v>
      </c>
    </row>
    <row r="2193" ht="15.95" customHeight="1">
      <c r="A2193" s="464" t="s">
        <v>5799</v>
      </c>
      <c r="B2193" s="464" t="s">
        <v>2004</v>
      </c>
      <c r="C2193" s="464"/>
      <c r="D2193" s="464" t="s">
        <v>1709</v>
      </c>
      <c r="E2193" s="464" t="s">
        <v>5777</v>
      </c>
      <c r="F2193" s="464" t="s">
        <v>5778</v>
      </c>
      <c r="G2193" s="464" t="s">
        <v>5634</v>
      </c>
      <c r="H2193" s="464" t="s">
        <v>5635</v>
      </c>
      <c r="I2193" s="464" t="s">
        <v>1684</v>
      </c>
    </row>
    <row r="2194" ht="15.95" customHeight="1">
      <c r="A2194" s="464" t="s">
        <v>5800</v>
      </c>
      <c r="B2194" s="464" t="s">
        <v>5801</v>
      </c>
      <c r="C2194" s="464"/>
      <c r="D2194" s="464" t="s">
        <v>1738</v>
      </c>
      <c r="E2194" s="464" t="s">
        <v>5802</v>
      </c>
      <c r="F2194" s="464" t="s">
        <v>5803</v>
      </c>
      <c r="G2194" s="464" t="s">
        <v>5634</v>
      </c>
      <c r="H2194" s="464" t="s">
        <v>5635</v>
      </c>
      <c r="I2194" s="464" t="s">
        <v>1684</v>
      </c>
    </row>
    <row r="2195" ht="15.95" customHeight="1">
      <c r="A2195" s="464" t="s">
        <v>5804</v>
      </c>
      <c r="B2195" s="464" t="s">
        <v>5805</v>
      </c>
      <c r="C2195" s="464"/>
      <c r="D2195" s="464" t="s">
        <v>1738</v>
      </c>
      <c r="E2195" s="464" t="s">
        <v>5802</v>
      </c>
      <c r="F2195" s="464" t="s">
        <v>5803</v>
      </c>
      <c r="G2195" s="464" t="s">
        <v>5634</v>
      </c>
      <c r="H2195" s="464" t="s">
        <v>5635</v>
      </c>
      <c r="I2195" s="464" t="s">
        <v>1684</v>
      </c>
    </row>
    <row r="2196" ht="15.95" customHeight="1">
      <c r="A2196" s="464" t="s">
        <v>5806</v>
      </c>
      <c r="B2196" s="464" t="s">
        <v>5807</v>
      </c>
      <c r="C2196" s="464"/>
      <c r="D2196" s="464" t="s">
        <v>1709</v>
      </c>
      <c r="E2196" s="464" t="s">
        <v>5802</v>
      </c>
      <c r="F2196" s="464" t="s">
        <v>5803</v>
      </c>
      <c r="G2196" s="464" t="s">
        <v>5634</v>
      </c>
      <c r="H2196" s="464" t="s">
        <v>5635</v>
      </c>
      <c r="I2196" s="464" t="s">
        <v>1684</v>
      </c>
    </row>
    <row r="2197" ht="15.95" customHeight="1">
      <c r="A2197" s="464" t="s">
        <v>5808</v>
      </c>
      <c r="B2197" s="464" t="s">
        <v>5809</v>
      </c>
      <c r="C2197" s="464"/>
      <c r="D2197" s="464" t="s">
        <v>1709</v>
      </c>
      <c r="E2197" s="464" t="s">
        <v>5802</v>
      </c>
      <c r="F2197" s="464" t="s">
        <v>5803</v>
      </c>
      <c r="G2197" s="464" t="s">
        <v>5634</v>
      </c>
      <c r="H2197" s="464" t="s">
        <v>5635</v>
      </c>
      <c r="I2197" s="464" t="s">
        <v>1684</v>
      </c>
    </row>
    <row r="2198" ht="15.95" customHeight="1">
      <c r="A2198" s="464" t="s">
        <v>5810</v>
      </c>
      <c r="B2198" s="464" t="s">
        <v>5811</v>
      </c>
      <c r="C2198" s="464"/>
      <c r="D2198" s="464" t="s">
        <v>1709</v>
      </c>
      <c r="E2198" s="464" t="s">
        <v>5802</v>
      </c>
      <c r="F2198" s="464" t="s">
        <v>5803</v>
      </c>
      <c r="G2198" s="464" t="s">
        <v>5634</v>
      </c>
      <c r="H2198" s="464" t="s">
        <v>5635</v>
      </c>
      <c r="I2198" s="464" t="s">
        <v>1684</v>
      </c>
    </row>
    <row r="2199" ht="15.95" customHeight="1">
      <c r="A2199" s="464" t="s">
        <v>5812</v>
      </c>
      <c r="B2199" s="464" t="s">
        <v>5813</v>
      </c>
      <c r="C2199" s="464"/>
      <c r="D2199" s="464" t="s">
        <v>1709</v>
      </c>
      <c r="E2199" s="464" t="s">
        <v>5802</v>
      </c>
      <c r="F2199" s="464" t="s">
        <v>5803</v>
      </c>
      <c r="G2199" s="464" t="s">
        <v>5634</v>
      </c>
      <c r="H2199" s="464" t="s">
        <v>5635</v>
      </c>
      <c r="I2199" s="464" t="s">
        <v>1684</v>
      </c>
    </row>
    <row r="2200" ht="15.95" customHeight="1">
      <c r="A2200" s="464" t="s">
        <v>5814</v>
      </c>
      <c r="B2200" s="464" t="s">
        <v>5815</v>
      </c>
      <c r="C2200" s="464"/>
      <c r="D2200" s="464" t="s">
        <v>1709</v>
      </c>
      <c r="E2200" s="464" t="s">
        <v>5802</v>
      </c>
      <c r="F2200" s="464" t="s">
        <v>5803</v>
      </c>
      <c r="G2200" s="464" t="s">
        <v>5634</v>
      </c>
      <c r="H2200" s="464" t="s">
        <v>5635</v>
      </c>
      <c r="I2200" s="464" t="s">
        <v>1684</v>
      </c>
    </row>
    <row r="2201" ht="15.95" customHeight="1">
      <c r="A2201" s="464" t="s">
        <v>5816</v>
      </c>
      <c r="B2201" s="464" t="s">
        <v>5817</v>
      </c>
      <c r="C2201" s="464"/>
      <c r="D2201" s="464" t="s">
        <v>1709</v>
      </c>
      <c r="E2201" s="464" t="s">
        <v>5802</v>
      </c>
      <c r="F2201" s="464" t="s">
        <v>5803</v>
      </c>
      <c r="G2201" s="464" t="s">
        <v>5634</v>
      </c>
      <c r="H2201" s="464" t="s">
        <v>5635</v>
      </c>
      <c r="I2201" s="464" t="s">
        <v>1684</v>
      </c>
    </row>
    <row r="2202" ht="15.95" customHeight="1">
      <c r="A2202" s="464" t="s">
        <v>5818</v>
      </c>
      <c r="B2202" s="464" t="s">
        <v>5819</v>
      </c>
      <c r="C2202" s="464"/>
      <c r="D2202" s="464" t="s">
        <v>1709</v>
      </c>
      <c r="E2202" s="464" t="s">
        <v>5802</v>
      </c>
      <c r="F2202" s="464" t="s">
        <v>5803</v>
      </c>
      <c r="G2202" s="464" t="s">
        <v>5634</v>
      </c>
      <c r="H2202" s="464" t="s">
        <v>5635</v>
      </c>
      <c r="I2202" s="464" t="s">
        <v>1684</v>
      </c>
    </row>
    <row r="2203" ht="15.95" customHeight="1">
      <c r="A2203" s="464" t="s">
        <v>5820</v>
      </c>
      <c r="B2203" s="464" t="s">
        <v>5821</v>
      </c>
      <c r="C2203" s="464"/>
      <c r="D2203" s="464" t="s">
        <v>1709</v>
      </c>
      <c r="E2203" s="464" t="s">
        <v>5802</v>
      </c>
      <c r="F2203" s="464" t="s">
        <v>5803</v>
      </c>
      <c r="G2203" s="464" t="s">
        <v>5634</v>
      </c>
      <c r="H2203" s="464" t="s">
        <v>5635</v>
      </c>
      <c r="I2203" s="464" t="s">
        <v>1684</v>
      </c>
    </row>
    <row r="2204" ht="15.95" customHeight="1">
      <c r="A2204" s="464" t="s">
        <v>5822</v>
      </c>
      <c r="B2204" s="464" t="s">
        <v>5823</v>
      </c>
      <c r="C2204" s="464"/>
      <c r="D2204" s="464" t="s">
        <v>1709</v>
      </c>
      <c r="E2204" s="464" t="s">
        <v>5802</v>
      </c>
      <c r="F2204" s="464" t="s">
        <v>5803</v>
      </c>
      <c r="G2204" s="464" t="s">
        <v>5634</v>
      </c>
      <c r="H2204" s="464" t="s">
        <v>5635</v>
      </c>
      <c r="I2204" s="464" t="s">
        <v>1684</v>
      </c>
    </row>
    <row r="2205" ht="15.95" customHeight="1">
      <c r="A2205" s="464" t="s">
        <v>5824</v>
      </c>
      <c r="B2205" s="464" t="s">
        <v>5825</v>
      </c>
      <c r="C2205" s="464"/>
      <c r="D2205" s="464" t="s">
        <v>1709</v>
      </c>
      <c r="E2205" s="464" t="s">
        <v>5802</v>
      </c>
      <c r="F2205" s="464" t="s">
        <v>5803</v>
      </c>
      <c r="G2205" s="464" t="s">
        <v>5634</v>
      </c>
      <c r="H2205" s="464" t="s">
        <v>5635</v>
      </c>
      <c r="I2205" s="464" t="s">
        <v>1684</v>
      </c>
    </row>
    <row r="2206" ht="15.95" customHeight="1">
      <c r="A2206" s="464" t="s">
        <v>5826</v>
      </c>
      <c r="B2206" s="464" t="s">
        <v>5827</v>
      </c>
      <c r="C2206" s="464"/>
      <c r="D2206" s="464" t="s">
        <v>1709</v>
      </c>
      <c r="E2206" s="464" t="s">
        <v>5802</v>
      </c>
      <c r="F2206" s="464" t="s">
        <v>5803</v>
      </c>
      <c r="G2206" s="464" t="s">
        <v>5634</v>
      </c>
      <c r="H2206" s="464" t="s">
        <v>5635</v>
      </c>
      <c r="I2206" s="464" t="s">
        <v>1684</v>
      </c>
    </row>
    <row r="2207" ht="15.95" customHeight="1">
      <c r="A2207" s="464" t="s">
        <v>5828</v>
      </c>
      <c r="B2207" s="464" t="s">
        <v>5829</v>
      </c>
      <c r="C2207" s="464"/>
      <c r="D2207" s="464" t="s">
        <v>1709</v>
      </c>
      <c r="E2207" s="464" t="s">
        <v>5802</v>
      </c>
      <c r="F2207" s="464" t="s">
        <v>5803</v>
      </c>
      <c r="G2207" s="464" t="s">
        <v>5634</v>
      </c>
      <c r="H2207" s="464" t="s">
        <v>5635</v>
      </c>
      <c r="I2207" s="464" t="s">
        <v>1684</v>
      </c>
    </row>
    <row r="2208" ht="15.95" customHeight="1">
      <c r="A2208" s="464" t="s">
        <v>5830</v>
      </c>
      <c r="B2208" s="464" t="s">
        <v>5831</v>
      </c>
      <c r="C2208" s="464"/>
      <c r="D2208" s="464" t="s">
        <v>1709</v>
      </c>
      <c r="E2208" s="464" t="s">
        <v>5802</v>
      </c>
      <c r="F2208" s="464" t="s">
        <v>5803</v>
      </c>
      <c r="G2208" s="464" t="s">
        <v>5634</v>
      </c>
      <c r="H2208" s="464" t="s">
        <v>5635</v>
      </c>
      <c r="I2208" s="464" t="s">
        <v>1684</v>
      </c>
    </row>
    <row r="2209" ht="15.95" customHeight="1">
      <c r="A2209" s="464" t="s">
        <v>5832</v>
      </c>
      <c r="B2209" s="464" t="s">
        <v>5833</v>
      </c>
      <c r="C2209" s="464"/>
      <c r="D2209" s="464" t="s">
        <v>1738</v>
      </c>
      <c r="E2209" s="464" t="s">
        <v>5834</v>
      </c>
      <c r="F2209" s="464" t="s">
        <v>2724</v>
      </c>
      <c r="G2209" s="464" t="s">
        <v>5634</v>
      </c>
      <c r="H2209" s="464" t="s">
        <v>5635</v>
      </c>
      <c r="I2209" s="464" t="s">
        <v>1684</v>
      </c>
    </row>
    <row r="2210" ht="15.95" customHeight="1">
      <c r="A2210" s="464" t="s">
        <v>5835</v>
      </c>
      <c r="B2210" s="464" t="s">
        <v>2827</v>
      </c>
      <c r="C2210" s="464"/>
      <c r="D2210" s="464" t="s">
        <v>1709</v>
      </c>
      <c r="E2210" s="464" t="s">
        <v>5834</v>
      </c>
      <c r="F2210" s="464" t="s">
        <v>2724</v>
      </c>
      <c r="G2210" s="464" t="s">
        <v>5634</v>
      </c>
      <c r="H2210" s="464" t="s">
        <v>5635</v>
      </c>
      <c r="I2210" s="464" t="s">
        <v>1684</v>
      </c>
    </row>
    <row r="2211" ht="15.95" customHeight="1">
      <c r="A2211" s="464" t="s">
        <v>5836</v>
      </c>
      <c r="B2211" s="464" t="s">
        <v>5837</v>
      </c>
      <c r="C2211" s="464"/>
      <c r="D2211" s="464" t="s">
        <v>1709</v>
      </c>
      <c r="E2211" s="464" t="s">
        <v>5834</v>
      </c>
      <c r="F2211" s="464" t="s">
        <v>2724</v>
      </c>
      <c r="G2211" s="464" t="s">
        <v>5634</v>
      </c>
      <c r="H2211" s="464" t="s">
        <v>5635</v>
      </c>
      <c r="I2211" s="464" t="s">
        <v>1684</v>
      </c>
    </row>
    <row r="2212" ht="15.95" customHeight="1">
      <c r="A2212" s="464" t="s">
        <v>5838</v>
      </c>
      <c r="B2212" s="464" t="s">
        <v>5839</v>
      </c>
      <c r="C2212" s="464"/>
      <c r="D2212" s="464" t="s">
        <v>1709</v>
      </c>
      <c r="E2212" s="464" t="s">
        <v>5834</v>
      </c>
      <c r="F2212" s="464" t="s">
        <v>2724</v>
      </c>
      <c r="G2212" s="464" t="s">
        <v>5634</v>
      </c>
      <c r="H2212" s="464" t="s">
        <v>5635</v>
      </c>
      <c r="I2212" s="464" t="s">
        <v>1684</v>
      </c>
    </row>
    <row r="2213" ht="15.95" customHeight="1">
      <c r="A2213" s="464" t="s">
        <v>5840</v>
      </c>
      <c r="B2213" s="464" t="s">
        <v>1908</v>
      </c>
      <c r="C2213" s="464"/>
      <c r="D2213" s="464" t="s">
        <v>1709</v>
      </c>
      <c r="E2213" s="464" t="s">
        <v>5834</v>
      </c>
      <c r="F2213" s="464" t="s">
        <v>2724</v>
      </c>
      <c r="G2213" s="464" t="s">
        <v>5634</v>
      </c>
      <c r="H2213" s="464" t="s">
        <v>5635</v>
      </c>
      <c r="I2213" s="464" t="s">
        <v>1684</v>
      </c>
    </row>
    <row r="2214" ht="15.95" customHeight="1">
      <c r="A2214" s="464" t="s">
        <v>5841</v>
      </c>
      <c r="B2214" s="464" t="s">
        <v>4111</v>
      </c>
      <c r="C2214" s="464"/>
      <c r="D2214" s="464" t="s">
        <v>1709</v>
      </c>
      <c r="E2214" s="464" t="s">
        <v>5834</v>
      </c>
      <c r="F2214" s="464" t="s">
        <v>2724</v>
      </c>
      <c r="G2214" s="464" t="s">
        <v>5634</v>
      </c>
      <c r="H2214" s="464" t="s">
        <v>5635</v>
      </c>
      <c r="I2214" s="464" t="s">
        <v>1684</v>
      </c>
    </row>
    <row r="2215" ht="15.95" customHeight="1">
      <c r="A2215" s="464" t="s">
        <v>5842</v>
      </c>
      <c r="B2215" s="464" t="s">
        <v>3167</v>
      </c>
      <c r="C2215" s="464"/>
      <c r="D2215" s="464" t="s">
        <v>1709</v>
      </c>
      <c r="E2215" s="464" t="s">
        <v>5834</v>
      </c>
      <c r="F2215" s="464" t="s">
        <v>2724</v>
      </c>
      <c r="G2215" s="464" t="s">
        <v>5634</v>
      </c>
      <c r="H2215" s="464" t="s">
        <v>5635</v>
      </c>
      <c r="I2215" s="464" t="s">
        <v>1684</v>
      </c>
    </row>
    <row r="2216" ht="15.95" customHeight="1">
      <c r="A2216" s="464" t="s">
        <v>5843</v>
      </c>
      <c r="B2216" s="464" t="s">
        <v>4931</v>
      </c>
      <c r="C2216" s="464"/>
      <c r="D2216" s="464" t="s">
        <v>1709</v>
      </c>
      <c r="E2216" s="464" t="s">
        <v>5834</v>
      </c>
      <c r="F2216" s="464" t="s">
        <v>2724</v>
      </c>
      <c r="G2216" s="464" t="s">
        <v>5634</v>
      </c>
      <c r="H2216" s="464" t="s">
        <v>5635</v>
      </c>
      <c r="I2216" s="464" t="s">
        <v>1684</v>
      </c>
    </row>
    <row r="2217" ht="15.95" customHeight="1">
      <c r="A2217" s="464" t="s">
        <v>5844</v>
      </c>
      <c r="B2217" s="464" t="s">
        <v>5845</v>
      </c>
      <c r="C2217" s="464"/>
      <c r="D2217" s="464" t="s">
        <v>1709</v>
      </c>
      <c r="E2217" s="464" t="s">
        <v>5834</v>
      </c>
      <c r="F2217" s="464" t="s">
        <v>2724</v>
      </c>
      <c r="G2217" s="464" t="s">
        <v>5634</v>
      </c>
      <c r="H2217" s="464" t="s">
        <v>5635</v>
      </c>
      <c r="I2217" s="464" t="s">
        <v>1684</v>
      </c>
    </row>
    <row r="2218" ht="15.95" customHeight="1">
      <c r="A2218" s="464" t="s">
        <v>5846</v>
      </c>
      <c r="B2218" s="464" t="s">
        <v>4089</v>
      </c>
      <c r="C2218" s="464"/>
      <c r="D2218" s="464" t="s">
        <v>1709</v>
      </c>
      <c r="E2218" s="464" t="s">
        <v>5834</v>
      </c>
      <c r="F2218" s="464" t="s">
        <v>2724</v>
      </c>
      <c r="G2218" s="464" t="s">
        <v>5634</v>
      </c>
      <c r="H2218" s="464" t="s">
        <v>5635</v>
      </c>
      <c r="I2218" s="464" t="s">
        <v>1684</v>
      </c>
    </row>
    <row r="2219" ht="15.95" customHeight="1">
      <c r="A2219" s="464" t="s">
        <v>5847</v>
      </c>
      <c r="B2219" s="464" t="s">
        <v>5848</v>
      </c>
      <c r="C2219" s="464"/>
      <c r="D2219" s="464" t="s">
        <v>1709</v>
      </c>
      <c r="E2219" s="464" t="s">
        <v>5834</v>
      </c>
      <c r="F2219" s="464" t="s">
        <v>2724</v>
      </c>
      <c r="G2219" s="464" t="s">
        <v>5634</v>
      </c>
      <c r="H2219" s="464" t="s">
        <v>5635</v>
      </c>
      <c r="I2219" s="464" t="s">
        <v>1684</v>
      </c>
    </row>
    <row r="2220" ht="15.95" customHeight="1">
      <c r="A2220" s="464" t="s">
        <v>5849</v>
      </c>
      <c r="B2220" s="464" t="s">
        <v>2697</v>
      </c>
      <c r="C2220" s="464"/>
      <c r="D2220" s="464" t="s">
        <v>1709</v>
      </c>
      <c r="E2220" s="464" t="s">
        <v>5834</v>
      </c>
      <c r="F2220" s="464" t="s">
        <v>2724</v>
      </c>
      <c r="G2220" s="464" t="s">
        <v>5634</v>
      </c>
      <c r="H2220" s="464" t="s">
        <v>5635</v>
      </c>
      <c r="I2220" s="464" t="s">
        <v>1684</v>
      </c>
    </row>
    <row r="2221" ht="15.95" customHeight="1">
      <c r="A2221" s="464" t="s">
        <v>5850</v>
      </c>
      <c r="B2221" s="464" t="s">
        <v>4789</v>
      </c>
      <c r="C2221" s="464"/>
      <c r="D2221" s="464" t="s">
        <v>1709</v>
      </c>
      <c r="E2221" s="464" t="s">
        <v>5834</v>
      </c>
      <c r="F2221" s="464" t="s">
        <v>2724</v>
      </c>
      <c r="G2221" s="464" t="s">
        <v>5634</v>
      </c>
      <c r="H2221" s="464" t="s">
        <v>5635</v>
      </c>
      <c r="I2221" s="464" t="s">
        <v>1684</v>
      </c>
    </row>
    <row r="2222" ht="15.95" customHeight="1">
      <c r="A2222" s="464" t="s">
        <v>5851</v>
      </c>
      <c r="B2222" s="464" t="s">
        <v>5852</v>
      </c>
      <c r="C2222" s="464"/>
      <c r="D2222" s="464" t="s">
        <v>1738</v>
      </c>
      <c r="E2222" s="464" t="s">
        <v>5853</v>
      </c>
      <c r="F2222" s="464" t="s">
        <v>5854</v>
      </c>
      <c r="G2222" s="464" t="s">
        <v>5634</v>
      </c>
      <c r="H2222" s="464" t="s">
        <v>5635</v>
      </c>
      <c r="I2222" s="464" t="s">
        <v>1684</v>
      </c>
    </row>
    <row r="2223" ht="15.95" customHeight="1">
      <c r="A2223" s="464" t="s">
        <v>5855</v>
      </c>
      <c r="B2223" s="464" t="s">
        <v>5856</v>
      </c>
      <c r="C2223" s="464"/>
      <c r="D2223" s="464" t="s">
        <v>1738</v>
      </c>
      <c r="E2223" s="464" t="s">
        <v>5853</v>
      </c>
      <c r="F2223" s="464" t="s">
        <v>5854</v>
      </c>
      <c r="G2223" s="464" t="s">
        <v>5634</v>
      </c>
      <c r="H2223" s="464" t="s">
        <v>5635</v>
      </c>
      <c r="I2223" s="464" t="s">
        <v>1684</v>
      </c>
    </row>
    <row r="2224" ht="15.95" customHeight="1">
      <c r="A2224" s="464" t="s">
        <v>5857</v>
      </c>
      <c r="B2224" s="464" t="s">
        <v>5858</v>
      </c>
      <c r="C2224" s="464"/>
      <c r="D2224" s="464" t="s">
        <v>1709</v>
      </c>
      <c r="E2224" s="464" t="s">
        <v>5853</v>
      </c>
      <c r="F2224" s="464" t="s">
        <v>5854</v>
      </c>
      <c r="G2224" s="464" t="s">
        <v>5634</v>
      </c>
      <c r="H2224" s="464" t="s">
        <v>5635</v>
      </c>
      <c r="I2224" s="464" t="s">
        <v>1684</v>
      </c>
    </row>
    <row r="2225" ht="15.95" customHeight="1">
      <c r="A2225" s="464" t="s">
        <v>5859</v>
      </c>
      <c r="B2225" s="464" t="s">
        <v>5860</v>
      </c>
      <c r="C2225" s="464"/>
      <c r="D2225" s="464" t="s">
        <v>1709</v>
      </c>
      <c r="E2225" s="464" t="s">
        <v>5853</v>
      </c>
      <c r="F2225" s="464" t="s">
        <v>5854</v>
      </c>
      <c r="G2225" s="464" t="s">
        <v>5634</v>
      </c>
      <c r="H2225" s="464" t="s">
        <v>5635</v>
      </c>
      <c r="I2225" s="464" t="s">
        <v>1684</v>
      </c>
    </row>
    <row r="2226" ht="15.95" customHeight="1">
      <c r="A2226" s="464" t="s">
        <v>5861</v>
      </c>
      <c r="B2226" s="464" t="s">
        <v>5862</v>
      </c>
      <c r="C2226" s="464"/>
      <c r="D2226" s="464" t="s">
        <v>1709</v>
      </c>
      <c r="E2226" s="464" t="s">
        <v>5853</v>
      </c>
      <c r="F2226" s="464" t="s">
        <v>5854</v>
      </c>
      <c r="G2226" s="464" t="s">
        <v>5634</v>
      </c>
      <c r="H2226" s="464" t="s">
        <v>5635</v>
      </c>
      <c r="I2226" s="464" t="s">
        <v>1684</v>
      </c>
    </row>
    <row r="2227" ht="15.95" customHeight="1">
      <c r="A2227" s="464" t="s">
        <v>5863</v>
      </c>
      <c r="B2227" s="464" t="s">
        <v>5864</v>
      </c>
      <c r="C2227" s="464"/>
      <c r="D2227" s="464" t="s">
        <v>1709</v>
      </c>
      <c r="E2227" s="464" t="s">
        <v>5853</v>
      </c>
      <c r="F2227" s="464" t="s">
        <v>5854</v>
      </c>
      <c r="G2227" s="464" t="s">
        <v>5634</v>
      </c>
      <c r="H2227" s="464" t="s">
        <v>5635</v>
      </c>
      <c r="I2227" s="464" t="s">
        <v>1684</v>
      </c>
    </row>
    <row r="2228" ht="15.95" customHeight="1">
      <c r="A2228" s="464" t="s">
        <v>5865</v>
      </c>
      <c r="B2228" s="464" t="s">
        <v>5866</v>
      </c>
      <c r="C2228" s="464"/>
      <c r="D2228" s="464" t="s">
        <v>1709</v>
      </c>
      <c r="E2228" s="464" t="s">
        <v>5853</v>
      </c>
      <c r="F2228" s="464" t="s">
        <v>5854</v>
      </c>
      <c r="G2228" s="464" t="s">
        <v>5634</v>
      </c>
      <c r="H2228" s="464" t="s">
        <v>5635</v>
      </c>
      <c r="I2228" s="464" t="s">
        <v>1684</v>
      </c>
    </row>
    <row r="2229" ht="15.95" customHeight="1">
      <c r="A2229" s="464" t="s">
        <v>5867</v>
      </c>
      <c r="B2229" s="464" t="s">
        <v>5868</v>
      </c>
      <c r="C2229" s="464"/>
      <c r="D2229" s="464" t="s">
        <v>1709</v>
      </c>
      <c r="E2229" s="464" t="s">
        <v>5853</v>
      </c>
      <c r="F2229" s="464" t="s">
        <v>5854</v>
      </c>
      <c r="G2229" s="464" t="s">
        <v>5634</v>
      </c>
      <c r="H2229" s="464" t="s">
        <v>5635</v>
      </c>
      <c r="I2229" s="464" t="s">
        <v>1684</v>
      </c>
    </row>
    <row r="2230" ht="15.95" customHeight="1">
      <c r="A2230" s="464" t="s">
        <v>5869</v>
      </c>
      <c r="B2230" s="464" t="s">
        <v>5542</v>
      </c>
      <c r="C2230" s="464"/>
      <c r="D2230" s="464" t="s">
        <v>1709</v>
      </c>
      <c r="E2230" s="464" t="s">
        <v>5853</v>
      </c>
      <c r="F2230" s="464" t="s">
        <v>5854</v>
      </c>
      <c r="G2230" s="464" t="s">
        <v>5634</v>
      </c>
      <c r="H2230" s="464" t="s">
        <v>5635</v>
      </c>
      <c r="I2230" s="464" t="s">
        <v>1684</v>
      </c>
    </row>
    <row r="2231" ht="15.95" customHeight="1">
      <c r="A2231" s="464" t="s">
        <v>5870</v>
      </c>
      <c r="B2231" s="464" t="s">
        <v>4281</v>
      </c>
      <c r="C2231" s="464"/>
      <c r="D2231" s="464" t="s">
        <v>1709</v>
      </c>
      <c r="E2231" s="464" t="s">
        <v>5853</v>
      </c>
      <c r="F2231" s="464" t="s">
        <v>5854</v>
      </c>
      <c r="G2231" s="464" t="s">
        <v>5634</v>
      </c>
      <c r="H2231" s="464" t="s">
        <v>5635</v>
      </c>
      <c r="I2231" s="464" t="s">
        <v>1684</v>
      </c>
    </row>
    <row r="2232" ht="15.95" customHeight="1">
      <c r="A2232" s="464" t="s">
        <v>5871</v>
      </c>
      <c r="B2232" s="464" t="s">
        <v>5872</v>
      </c>
      <c r="C2232" s="464"/>
      <c r="D2232" s="464" t="s">
        <v>1709</v>
      </c>
      <c r="E2232" s="464" t="s">
        <v>5853</v>
      </c>
      <c r="F2232" s="464" t="s">
        <v>5854</v>
      </c>
      <c r="G2232" s="464" t="s">
        <v>5634</v>
      </c>
      <c r="H2232" s="464" t="s">
        <v>5635</v>
      </c>
      <c r="I2232" s="464" t="s">
        <v>1684</v>
      </c>
    </row>
    <row r="2233" ht="15.95" customHeight="1">
      <c r="A2233" s="464" t="s">
        <v>5873</v>
      </c>
      <c r="B2233" s="464" t="s">
        <v>2424</v>
      </c>
      <c r="C2233" s="464"/>
      <c r="D2233" s="464" t="s">
        <v>1709</v>
      </c>
      <c r="E2233" s="464" t="s">
        <v>5853</v>
      </c>
      <c r="F2233" s="464" t="s">
        <v>5854</v>
      </c>
      <c r="G2233" s="464" t="s">
        <v>5634</v>
      </c>
      <c r="H2233" s="464" t="s">
        <v>5635</v>
      </c>
      <c r="I2233" s="464" t="s">
        <v>1684</v>
      </c>
    </row>
    <row r="2234" ht="15.95" customHeight="1">
      <c r="A2234" s="464" t="s">
        <v>5874</v>
      </c>
      <c r="B2234" s="464" t="s">
        <v>5875</v>
      </c>
      <c r="C2234" s="464"/>
      <c r="D2234" s="464" t="s">
        <v>1709</v>
      </c>
      <c r="E2234" s="464" t="s">
        <v>5853</v>
      </c>
      <c r="F2234" s="464" t="s">
        <v>5854</v>
      </c>
      <c r="G2234" s="464" t="s">
        <v>5634</v>
      </c>
      <c r="H2234" s="464" t="s">
        <v>5635</v>
      </c>
      <c r="I2234" s="464" t="s">
        <v>1684</v>
      </c>
    </row>
    <row r="2235" ht="15.95" customHeight="1">
      <c r="A2235" s="464" t="s">
        <v>5876</v>
      </c>
      <c r="B2235" s="464" t="s">
        <v>5877</v>
      </c>
      <c r="C2235" s="464"/>
      <c r="D2235" s="464" t="s">
        <v>1709</v>
      </c>
      <c r="E2235" s="464" t="s">
        <v>5853</v>
      </c>
      <c r="F2235" s="464" t="s">
        <v>5854</v>
      </c>
      <c r="G2235" s="464" t="s">
        <v>5634</v>
      </c>
      <c r="H2235" s="464" t="s">
        <v>5635</v>
      </c>
      <c r="I2235" s="464" t="s">
        <v>1684</v>
      </c>
    </row>
    <row r="2236" ht="15.95" customHeight="1">
      <c r="A2236" s="464" t="s">
        <v>5878</v>
      </c>
      <c r="B2236" s="464" t="s">
        <v>5879</v>
      </c>
      <c r="C2236" s="464"/>
      <c r="D2236" s="464" t="s">
        <v>1709</v>
      </c>
      <c r="E2236" s="464" t="s">
        <v>5853</v>
      </c>
      <c r="F2236" s="464" t="s">
        <v>5854</v>
      </c>
      <c r="G2236" s="464" t="s">
        <v>5634</v>
      </c>
      <c r="H2236" s="464" t="s">
        <v>5635</v>
      </c>
      <c r="I2236" s="464" t="s">
        <v>1684</v>
      </c>
    </row>
    <row r="2237" ht="15.95" customHeight="1">
      <c r="A2237" s="464" t="s">
        <v>5880</v>
      </c>
      <c r="B2237" s="464" t="s">
        <v>5881</v>
      </c>
      <c r="C2237" s="464"/>
      <c r="D2237" s="464" t="s">
        <v>1709</v>
      </c>
      <c r="E2237" s="464" t="s">
        <v>5853</v>
      </c>
      <c r="F2237" s="464" t="s">
        <v>5854</v>
      </c>
      <c r="G2237" s="464" t="s">
        <v>5634</v>
      </c>
      <c r="H2237" s="464" t="s">
        <v>5635</v>
      </c>
      <c r="I2237" s="464" t="s">
        <v>1684</v>
      </c>
    </row>
    <row r="2238" ht="15.95" customHeight="1">
      <c r="A2238" s="464" t="s">
        <v>5882</v>
      </c>
      <c r="B2238" s="464" t="s">
        <v>3464</v>
      </c>
      <c r="C2238" s="464"/>
      <c r="D2238" s="464" t="s">
        <v>1709</v>
      </c>
      <c r="E2238" s="464" t="s">
        <v>5853</v>
      </c>
      <c r="F2238" s="464" t="s">
        <v>5854</v>
      </c>
      <c r="G2238" s="464" t="s">
        <v>5634</v>
      </c>
      <c r="H2238" s="464" t="s">
        <v>5635</v>
      </c>
      <c r="I2238" s="464" t="s">
        <v>1684</v>
      </c>
    </row>
    <row r="2239" ht="15.95" customHeight="1">
      <c r="A2239" s="464" t="s">
        <v>5883</v>
      </c>
      <c r="B2239" s="464" t="s">
        <v>5402</v>
      </c>
      <c r="C2239" s="464"/>
      <c r="D2239" s="464" t="s">
        <v>1709</v>
      </c>
      <c r="E2239" s="464" t="s">
        <v>5853</v>
      </c>
      <c r="F2239" s="464" t="s">
        <v>5854</v>
      </c>
      <c r="G2239" s="464" t="s">
        <v>5634</v>
      </c>
      <c r="H2239" s="464" t="s">
        <v>5635</v>
      </c>
      <c r="I2239" s="464" t="s">
        <v>1684</v>
      </c>
    </row>
    <row r="2240" ht="15.95" customHeight="1">
      <c r="A2240" s="464" t="s">
        <v>5884</v>
      </c>
      <c r="B2240" s="464" t="s">
        <v>5885</v>
      </c>
      <c r="C2240" s="464"/>
      <c r="D2240" s="464" t="s">
        <v>1738</v>
      </c>
      <c r="E2240" s="464" t="s">
        <v>5886</v>
      </c>
      <c r="F2240" s="464" t="s">
        <v>5887</v>
      </c>
      <c r="G2240" s="464" t="s">
        <v>5634</v>
      </c>
      <c r="H2240" s="464" t="s">
        <v>5635</v>
      </c>
      <c r="I2240" s="464" t="s">
        <v>1684</v>
      </c>
    </row>
    <row r="2241" ht="15.95" customHeight="1">
      <c r="A2241" s="464" t="s">
        <v>5888</v>
      </c>
      <c r="B2241" s="464" t="s">
        <v>5889</v>
      </c>
      <c r="C2241" s="464"/>
      <c r="D2241" s="464" t="s">
        <v>1738</v>
      </c>
      <c r="E2241" s="464" t="s">
        <v>5886</v>
      </c>
      <c r="F2241" s="464" t="s">
        <v>5887</v>
      </c>
      <c r="G2241" s="464" t="s">
        <v>5634</v>
      </c>
      <c r="H2241" s="464" t="s">
        <v>5635</v>
      </c>
      <c r="I2241" s="464" t="s">
        <v>1684</v>
      </c>
    </row>
    <row r="2242" ht="15.95" customHeight="1">
      <c r="A2242" s="464" t="s">
        <v>5890</v>
      </c>
      <c r="B2242" s="464" t="s">
        <v>5891</v>
      </c>
      <c r="C2242" s="464"/>
      <c r="D2242" s="464" t="s">
        <v>1738</v>
      </c>
      <c r="E2242" s="464" t="s">
        <v>5886</v>
      </c>
      <c r="F2242" s="464" t="s">
        <v>5887</v>
      </c>
      <c r="G2242" s="464" t="s">
        <v>5634</v>
      </c>
      <c r="H2242" s="464" t="s">
        <v>5635</v>
      </c>
      <c r="I2242" s="464" t="s">
        <v>1684</v>
      </c>
    </row>
    <row r="2243" ht="15.95" customHeight="1">
      <c r="A2243" s="464" t="s">
        <v>5892</v>
      </c>
      <c r="B2243" s="464" t="s">
        <v>5893</v>
      </c>
      <c r="C2243" s="464"/>
      <c r="D2243" s="464" t="s">
        <v>1709</v>
      </c>
      <c r="E2243" s="464" t="s">
        <v>5886</v>
      </c>
      <c r="F2243" s="464" t="s">
        <v>5887</v>
      </c>
      <c r="G2243" s="464" t="s">
        <v>5634</v>
      </c>
      <c r="H2243" s="464" t="s">
        <v>5635</v>
      </c>
      <c r="I2243" s="464" t="s">
        <v>1684</v>
      </c>
    </row>
    <row r="2244" ht="15.95" customHeight="1">
      <c r="A2244" s="464" t="s">
        <v>5894</v>
      </c>
      <c r="B2244" s="464" t="s">
        <v>2743</v>
      </c>
      <c r="C2244" s="464" t="s">
        <v>5895</v>
      </c>
      <c r="D2244" s="464" t="s">
        <v>1709</v>
      </c>
      <c r="E2244" s="464" t="s">
        <v>5886</v>
      </c>
      <c r="F2244" s="464" t="s">
        <v>5887</v>
      </c>
      <c r="G2244" s="464" t="s">
        <v>5634</v>
      </c>
      <c r="H2244" s="464" t="s">
        <v>5635</v>
      </c>
      <c r="I2244" s="464" t="s">
        <v>1684</v>
      </c>
    </row>
    <row r="2245" ht="15.95" customHeight="1">
      <c r="A2245" s="464" t="s">
        <v>5896</v>
      </c>
      <c r="B2245" s="464" t="s">
        <v>5897</v>
      </c>
      <c r="C2245" s="464"/>
      <c r="D2245" s="464" t="s">
        <v>1709</v>
      </c>
      <c r="E2245" s="464" t="s">
        <v>5886</v>
      </c>
      <c r="F2245" s="464" t="s">
        <v>5887</v>
      </c>
      <c r="G2245" s="464" t="s">
        <v>5634</v>
      </c>
      <c r="H2245" s="464" t="s">
        <v>5635</v>
      </c>
      <c r="I2245" s="464" t="s">
        <v>1684</v>
      </c>
    </row>
    <row r="2246" ht="15.95" customHeight="1">
      <c r="A2246" s="464" t="s">
        <v>5898</v>
      </c>
      <c r="B2246" s="464" t="s">
        <v>5899</v>
      </c>
      <c r="C2246" s="464"/>
      <c r="D2246" s="464" t="s">
        <v>1709</v>
      </c>
      <c r="E2246" s="464" t="s">
        <v>5886</v>
      </c>
      <c r="F2246" s="464" t="s">
        <v>5887</v>
      </c>
      <c r="G2246" s="464" t="s">
        <v>5634</v>
      </c>
      <c r="H2246" s="464" t="s">
        <v>5635</v>
      </c>
      <c r="I2246" s="464" t="s">
        <v>1684</v>
      </c>
    </row>
    <row r="2247" ht="15.95" customHeight="1">
      <c r="A2247" s="464" t="s">
        <v>5900</v>
      </c>
      <c r="B2247" s="464" t="s">
        <v>4870</v>
      </c>
      <c r="C2247" s="464"/>
      <c r="D2247" s="464" t="s">
        <v>1709</v>
      </c>
      <c r="E2247" s="464" t="s">
        <v>5886</v>
      </c>
      <c r="F2247" s="464" t="s">
        <v>5887</v>
      </c>
      <c r="G2247" s="464" t="s">
        <v>5634</v>
      </c>
      <c r="H2247" s="464" t="s">
        <v>5635</v>
      </c>
      <c r="I2247" s="464" t="s">
        <v>1684</v>
      </c>
    </row>
    <row r="2248" ht="15.95" customHeight="1">
      <c r="A2248" s="464" t="s">
        <v>5901</v>
      </c>
      <c r="B2248" s="464" t="s">
        <v>5902</v>
      </c>
      <c r="C2248" s="464"/>
      <c r="D2248" s="464" t="s">
        <v>1709</v>
      </c>
      <c r="E2248" s="464" t="s">
        <v>5886</v>
      </c>
      <c r="F2248" s="464" t="s">
        <v>5887</v>
      </c>
      <c r="G2248" s="464" t="s">
        <v>5634</v>
      </c>
      <c r="H2248" s="464" t="s">
        <v>5635</v>
      </c>
      <c r="I2248" s="464" t="s">
        <v>1684</v>
      </c>
    </row>
    <row r="2249" ht="15.95" customHeight="1">
      <c r="A2249" s="464" t="s">
        <v>5903</v>
      </c>
      <c r="B2249" s="464" t="s">
        <v>5904</v>
      </c>
      <c r="C2249" s="464"/>
      <c r="D2249" s="464" t="s">
        <v>1709</v>
      </c>
      <c r="E2249" s="464" t="s">
        <v>5886</v>
      </c>
      <c r="F2249" s="464" t="s">
        <v>5887</v>
      </c>
      <c r="G2249" s="464" t="s">
        <v>5634</v>
      </c>
      <c r="H2249" s="464" t="s">
        <v>5635</v>
      </c>
      <c r="I2249" s="464" t="s">
        <v>1684</v>
      </c>
    </row>
    <row r="2250" ht="15.95" customHeight="1">
      <c r="A2250" s="464" t="s">
        <v>5905</v>
      </c>
      <c r="B2250" s="464" t="s">
        <v>2890</v>
      </c>
      <c r="C2250" s="464"/>
      <c r="D2250" s="464" t="s">
        <v>1709</v>
      </c>
      <c r="E2250" s="464" t="s">
        <v>5886</v>
      </c>
      <c r="F2250" s="464" t="s">
        <v>5887</v>
      </c>
      <c r="G2250" s="464" t="s">
        <v>5634</v>
      </c>
      <c r="H2250" s="464" t="s">
        <v>5635</v>
      </c>
      <c r="I2250" s="464" t="s">
        <v>1684</v>
      </c>
    </row>
    <row r="2251" ht="15.95" customHeight="1">
      <c r="A2251" s="464" t="s">
        <v>5906</v>
      </c>
      <c r="B2251" s="464" t="s">
        <v>5907</v>
      </c>
      <c r="C2251" s="464"/>
      <c r="D2251" s="464" t="s">
        <v>1709</v>
      </c>
      <c r="E2251" s="464" t="s">
        <v>5886</v>
      </c>
      <c r="F2251" s="464" t="s">
        <v>5887</v>
      </c>
      <c r="G2251" s="464" t="s">
        <v>5634</v>
      </c>
      <c r="H2251" s="464" t="s">
        <v>5635</v>
      </c>
      <c r="I2251" s="464" t="s">
        <v>1684</v>
      </c>
    </row>
    <row r="2252" ht="15.95" customHeight="1">
      <c r="A2252" s="464" t="s">
        <v>5908</v>
      </c>
      <c r="B2252" s="464" t="s">
        <v>5909</v>
      </c>
      <c r="C2252" s="464"/>
      <c r="D2252" s="464" t="s">
        <v>1709</v>
      </c>
      <c r="E2252" s="464" t="s">
        <v>5886</v>
      </c>
      <c r="F2252" s="464" t="s">
        <v>5887</v>
      </c>
      <c r="G2252" s="464" t="s">
        <v>5634</v>
      </c>
      <c r="H2252" s="464" t="s">
        <v>5635</v>
      </c>
      <c r="I2252" s="464" t="s">
        <v>1684</v>
      </c>
    </row>
    <row r="2253" ht="15.95" customHeight="1">
      <c r="A2253" s="464" t="s">
        <v>5910</v>
      </c>
      <c r="B2253" s="464" t="s">
        <v>5911</v>
      </c>
      <c r="C2253" s="464"/>
      <c r="D2253" s="464" t="s">
        <v>1709</v>
      </c>
      <c r="E2253" s="464" t="s">
        <v>5886</v>
      </c>
      <c r="F2253" s="464" t="s">
        <v>5887</v>
      </c>
      <c r="G2253" s="464" t="s">
        <v>5634</v>
      </c>
      <c r="H2253" s="464" t="s">
        <v>5635</v>
      </c>
      <c r="I2253" s="464" t="s">
        <v>1684</v>
      </c>
    </row>
    <row r="2254" ht="15.95" customHeight="1">
      <c r="A2254" s="464" t="s">
        <v>5912</v>
      </c>
      <c r="B2254" s="464" t="s">
        <v>5913</v>
      </c>
      <c r="C2254" s="464"/>
      <c r="D2254" s="464" t="s">
        <v>1709</v>
      </c>
      <c r="E2254" s="464" t="s">
        <v>5886</v>
      </c>
      <c r="F2254" s="464" t="s">
        <v>5887</v>
      </c>
      <c r="G2254" s="464" t="s">
        <v>5634</v>
      </c>
      <c r="H2254" s="464" t="s">
        <v>5635</v>
      </c>
      <c r="I2254" s="464" t="s">
        <v>1684</v>
      </c>
    </row>
    <row r="2255" ht="15.95" customHeight="1">
      <c r="A2255" s="464" t="s">
        <v>5914</v>
      </c>
      <c r="B2255" s="464" t="s">
        <v>4190</v>
      </c>
      <c r="C2255" s="464"/>
      <c r="D2255" s="464" t="s">
        <v>1709</v>
      </c>
      <c r="E2255" s="464" t="s">
        <v>5886</v>
      </c>
      <c r="F2255" s="464" t="s">
        <v>5887</v>
      </c>
      <c r="G2255" s="464" t="s">
        <v>5634</v>
      </c>
      <c r="H2255" s="464" t="s">
        <v>5635</v>
      </c>
      <c r="I2255" s="464" t="s">
        <v>1684</v>
      </c>
    </row>
    <row r="2256" ht="15.95" customHeight="1">
      <c r="A2256" s="464" t="s">
        <v>5915</v>
      </c>
      <c r="B2256" s="464" t="s">
        <v>5916</v>
      </c>
      <c r="C2256" s="464"/>
      <c r="D2256" s="464" t="s">
        <v>1709</v>
      </c>
      <c r="E2256" s="464" t="s">
        <v>5886</v>
      </c>
      <c r="F2256" s="464" t="s">
        <v>5887</v>
      </c>
      <c r="G2256" s="464" t="s">
        <v>5634</v>
      </c>
      <c r="H2256" s="464" t="s">
        <v>5635</v>
      </c>
      <c r="I2256" s="464" t="s">
        <v>1684</v>
      </c>
    </row>
    <row r="2257" ht="15.95" customHeight="1">
      <c r="A2257" s="464" t="s">
        <v>5917</v>
      </c>
      <c r="B2257" s="464" t="s">
        <v>5918</v>
      </c>
      <c r="C2257" s="464"/>
      <c r="D2257" s="464" t="s">
        <v>1679</v>
      </c>
      <c r="E2257" s="464" t="s">
        <v>5919</v>
      </c>
      <c r="F2257" s="464" t="s">
        <v>5920</v>
      </c>
      <c r="G2257" s="464" t="s">
        <v>5921</v>
      </c>
      <c r="H2257" s="464" t="s">
        <v>5922</v>
      </c>
      <c r="I2257" s="464" t="s">
        <v>1684</v>
      </c>
    </row>
    <row r="2258" ht="15.95" customHeight="1">
      <c r="A2258" s="464" t="s">
        <v>5923</v>
      </c>
      <c r="B2258" s="464" t="s">
        <v>5924</v>
      </c>
      <c r="C2258" s="464"/>
      <c r="D2258" s="464" t="s">
        <v>1679</v>
      </c>
      <c r="E2258" s="464" t="s">
        <v>5919</v>
      </c>
      <c r="F2258" s="464" t="s">
        <v>5920</v>
      </c>
      <c r="G2258" s="464" t="s">
        <v>5921</v>
      </c>
      <c r="H2258" s="464" t="s">
        <v>5922</v>
      </c>
      <c r="I2258" s="464" t="s">
        <v>1684</v>
      </c>
    </row>
    <row r="2259" ht="15.95" customHeight="1">
      <c r="A2259" s="464" t="s">
        <v>5925</v>
      </c>
      <c r="B2259" s="464" t="s">
        <v>5926</v>
      </c>
      <c r="C2259" s="464"/>
      <c r="D2259" s="464" t="s">
        <v>1679</v>
      </c>
      <c r="E2259" s="464" t="s">
        <v>5919</v>
      </c>
      <c r="F2259" s="464" t="s">
        <v>5920</v>
      </c>
      <c r="G2259" s="464" t="s">
        <v>5921</v>
      </c>
      <c r="H2259" s="464" t="s">
        <v>5922</v>
      </c>
      <c r="I2259" s="464" t="s">
        <v>1684</v>
      </c>
    </row>
    <row r="2260" ht="15.95" customHeight="1">
      <c r="A2260" s="464" t="s">
        <v>5927</v>
      </c>
      <c r="B2260" s="464" t="s">
        <v>5928</v>
      </c>
      <c r="C2260" s="464"/>
      <c r="D2260" s="464" t="s">
        <v>1679</v>
      </c>
      <c r="E2260" s="464" t="s">
        <v>5919</v>
      </c>
      <c r="F2260" s="464" t="s">
        <v>5920</v>
      </c>
      <c r="G2260" s="464" t="s">
        <v>5921</v>
      </c>
      <c r="H2260" s="464" t="s">
        <v>5922</v>
      </c>
      <c r="I2260" s="464" t="s">
        <v>1684</v>
      </c>
    </row>
    <row r="2261" ht="15.95" customHeight="1">
      <c r="A2261" s="464" t="s">
        <v>5929</v>
      </c>
      <c r="B2261" s="464" t="s">
        <v>5930</v>
      </c>
      <c r="C2261" s="464"/>
      <c r="D2261" s="464" t="s">
        <v>1679</v>
      </c>
      <c r="E2261" s="464" t="s">
        <v>5919</v>
      </c>
      <c r="F2261" s="464" t="s">
        <v>5920</v>
      </c>
      <c r="G2261" s="464" t="s">
        <v>5921</v>
      </c>
      <c r="H2261" s="464" t="s">
        <v>5922</v>
      </c>
      <c r="I2261" s="464" t="s">
        <v>1684</v>
      </c>
    </row>
    <row r="2262" ht="15.95" customHeight="1">
      <c r="A2262" s="464" t="s">
        <v>5931</v>
      </c>
      <c r="B2262" s="464" t="s">
        <v>5932</v>
      </c>
      <c r="C2262" s="464"/>
      <c r="D2262" s="464" t="s">
        <v>1679</v>
      </c>
      <c r="E2262" s="464" t="s">
        <v>5919</v>
      </c>
      <c r="F2262" s="464" t="s">
        <v>5920</v>
      </c>
      <c r="G2262" s="464" t="s">
        <v>5921</v>
      </c>
      <c r="H2262" s="464" t="s">
        <v>5922</v>
      </c>
      <c r="I2262" s="464" t="s">
        <v>1684</v>
      </c>
    </row>
    <row r="2263" ht="15.95" customHeight="1">
      <c r="A2263" s="464" t="s">
        <v>5933</v>
      </c>
      <c r="B2263" s="464" t="s">
        <v>5419</v>
      </c>
      <c r="C2263" s="464"/>
      <c r="D2263" s="464" t="s">
        <v>1679</v>
      </c>
      <c r="E2263" s="464" t="s">
        <v>5919</v>
      </c>
      <c r="F2263" s="464" t="s">
        <v>5920</v>
      </c>
      <c r="G2263" s="464" t="s">
        <v>5921</v>
      </c>
      <c r="H2263" s="464" t="s">
        <v>5922</v>
      </c>
      <c r="I2263" s="464" t="s">
        <v>1684</v>
      </c>
    </row>
    <row r="2264" ht="15.95" customHeight="1">
      <c r="A2264" s="464" t="s">
        <v>5934</v>
      </c>
      <c r="B2264" s="464" t="s">
        <v>2980</v>
      </c>
      <c r="C2264" s="464"/>
      <c r="D2264" s="464" t="s">
        <v>1679</v>
      </c>
      <c r="E2264" s="464" t="s">
        <v>5919</v>
      </c>
      <c r="F2264" s="464" t="s">
        <v>5920</v>
      </c>
      <c r="G2264" s="464" t="s">
        <v>5921</v>
      </c>
      <c r="H2264" s="464" t="s">
        <v>5922</v>
      </c>
      <c r="I2264" s="464" t="s">
        <v>1684</v>
      </c>
    </row>
    <row r="2265" ht="15.95" customHeight="1">
      <c r="A2265" s="464" t="s">
        <v>5935</v>
      </c>
      <c r="B2265" s="464" t="s">
        <v>5936</v>
      </c>
      <c r="C2265" s="464"/>
      <c r="D2265" s="464" t="s">
        <v>1679</v>
      </c>
      <c r="E2265" s="464" t="s">
        <v>5919</v>
      </c>
      <c r="F2265" s="464" t="s">
        <v>5920</v>
      </c>
      <c r="G2265" s="464" t="s">
        <v>5921</v>
      </c>
      <c r="H2265" s="464" t="s">
        <v>5922</v>
      </c>
      <c r="I2265" s="464" t="s">
        <v>1684</v>
      </c>
    </row>
    <row r="2266" ht="15.95" customHeight="1">
      <c r="A2266" s="464" t="s">
        <v>5937</v>
      </c>
      <c r="B2266" s="464" t="s">
        <v>5938</v>
      </c>
      <c r="C2266" s="464"/>
      <c r="D2266" s="464" t="s">
        <v>1679</v>
      </c>
      <c r="E2266" s="464" t="s">
        <v>5919</v>
      </c>
      <c r="F2266" s="464" t="s">
        <v>5920</v>
      </c>
      <c r="G2266" s="464" t="s">
        <v>5921</v>
      </c>
      <c r="H2266" s="464" t="s">
        <v>5922</v>
      </c>
      <c r="I2266" s="464" t="s">
        <v>1684</v>
      </c>
    </row>
    <row r="2267" ht="15.95" customHeight="1">
      <c r="A2267" s="464" t="s">
        <v>5939</v>
      </c>
      <c r="B2267" s="464" t="s">
        <v>5940</v>
      </c>
      <c r="C2267" s="464"/>
      <c r="D2267" s="464" t="s">
        <v>1679</v>
      </c>
      <c r="E2267" s="464" t="s">
        <v>5919</v>
      </c>
      <c r="F2267" s="464" t="s">
        <v>5920</v>
      </c>
      <c r="G2267" s="464" t="s">
        <v>5921</v>
      </c>
      <c r="H2267" s="464" t="s">
        <v>5922</v>
      </c>
      <c r="I2267" s="464" t="s">
        <v>1684</v>
      </c>
    </row>
    <row r="2268" ht="15.95" customHeight="1">
      <c r="A2268" s="464" t="s">
        <v>5941</v>
      </c>
      <c r="B2268" s="464" t="s">
        <v>5942</v>
      </c>
      <c r="C2268" s="464"/>
      <c r="D2268" s="464" t="s">
        <v>1709</v>
      </c>
      <c r="E2268" s="464" t="s">
        <v>5919</v>
      </c>
      <c r="F2268" s="464" t="s">
        <v>5920</v>
      </c>
      <c r="G2268" s="464" t="s">
        <v>5921</v>
      </c>
      <c r="H2268" s="464" t="s">
        <v>5922</v>
      </c>
      <c r="I2268" s="464" t="s">
        <v>1684</v>
      </c>
    </row>
    <row r="2269" ht="15.95" customHeight="1">
      <c r="A2269" s="464" t="s">
        <v>5943</v>
      </c>
      <c r="B2269" s="464" t="s">
        <v>5944</v>
      </c>
      <c r="C2269" s="464"/>
      <c r="D2269" s="464" t="s">
        <v>1679</v>
      </c>
      <c r="E2269" s="464" t="s">
        <v>592</v>
      </c>
      <c r="F2269" s="464" t="s">
        <v>5945</v>
      </c>
      <c r="G2269" s="464" t="s">
        <v>5921</v>
      </c>
      <c r="H2269" s="464" t="s">
        <v>5922</v>
      </c>
      <c r="I2269" s="464" t="s">
        <v>1684</v>
      </c>
    </row>
    <row r="2270" ht="15.95" customHeight="1">
      <c r="A2270" s="464" t="s">
        <v>5946</v>
      </c>
      <c r="B2270" s="464" t="s">
        <v>5947</v>
      </c>
      <c r="C2270" s="464"/>
      <c r="D2270" s="464" t="s">
        <v>1679</v>
      </c>
      <c r="E2270" s="464" t="s">
        <v>592</v>
      </c>
      <c r="F2270" s="464" t="s">
        <v>5945</v>
      </c>
      <c r="G2270" s="464" t="s">
        <v>5921</v>
      </c>
      <c r="H2270" s="464" t="s">
        <v>5922</v>
      </c>
      <c r="I2270" s="464" t="s">
        <v>1684</v>
      </c>
    </row>
    <row r="2271" ht="15.95" customHeight="1">
      <c r="A2271" s="464" t="s">
        <v>5948</v>
      </c>
      <c r="B2271" s="464" t="s">
        <v>5949</v>
      </c>
      <c r="C2271" s="464"/>
      <c r="D2271" s="464" t="s">
        <v>1679</v>
      </c>
      <c r="E2271" s="464" t="s">
        <v>592</v>
      </c>
      <c r="F2271" s="464" t="s">
        <v>5945</v>
      </c>
      <c r="G2271" s="464" t="s">
        <v>5921</v>
      </c>
      <c r="H2271" s="464" t="s">
        <v>5922</v>
      </c>
      <c r="I2271" s="464" t="s">
        <v>1684</v>
      </c>
    </row>
    <row r="2272" ht="15.95" customHeight="1">
      <c r="A2272" s="464" t="s">
        <v>5950</v>
      </c>
      <c r="B2272" s="464" t="s">
        <v>5951</v>
      </c>
      <c r="C2272" s="464"/>
      <c r="D2272" s="464" t="s">
        <v>1679</v>
      </c>
      <c r="E2272" s="464" t="s">
        <v>592</v>
      </c>
      <c r="F2272" s="464" t="s">
        <v>5945</v>
      </c>
      <c r="G2272" s="464" t="s">
        <v>5921</v>
      </c>
      <c r="H2272" s="464" t="s">
        <v>5922</v>
      </c>
      <c r="I2272" s="464" t="s">
        <v>1684</v>
      </c>
    </row>
    <row r="2273" ht="15.95" customHeight="1">
      <c r="A2273" s="464" t="s">
        <v>5952</v>
      </c>
      <c r="B2273" s="464" t="s">
        <v>2370</v>
      </c>
      <c r="C2273" s="464"/>
      <c r="D2273" s="464" t="s">
        <v>1709</v>
      </c>
      <c r="E2273" s="464" t="s">
        <v>592</v>
      </c>
      <c r="F2273" s="464" t="s">
        <v>5945</v>
      </c>
      <c r="G2273" s="464" t="s">
        <v>5921</v>
      </c>
      <c r="H2273" s="464" t="s">
        <v>5922</v>
      </c>
      <c r="I2273" s="464" t="s">
        <v>1684</v>
      </c>
    </row>
    <row r="2274" ht="15.95" customHeight="1">
      <c r="A2274" s="464" t="s">
        <v>5953</v>
      </c>
      <c r="B2274" s="464" t="s">
        <v>5954</v>
      </c>
      <c r="C2274" s="464"/>
      <c r="D2274" s="464" t="s">
        <v>1709</v>
      </c>
      <c r="E2274" s="464" t="s">
        <v>592</v>
      </c>
      <c r="F2274" s="464" t="s">
        <v>5945</v>
      </c>
      <c r="G2274" s="464" t="s">
        <v>5921</v>
      </c>
      <c r="H2274" s="464" t="s">
        <v>5922</v>
      </c>
      <c r="I2274" s="464" t="s">
        <v>1684</v>
      </c>
    </row>
    <row r="2275" ht="15.95" customHeight="1">
      <c r="A2275" s="464" t="s">
        <v>5955</v>
      </c>
      <c r="B2275" s="464" t="s">
        <v>5956</v>
      </c>
      <c r="C2275" s="464"/>
      <c r="D2275" s="464" t="s">
        <v>1709</v>
      </c>
      <c r="E2275" s="464" t="s">
        <v>592</v>
      </c>
      <c r="F2275" s="464" t="s">
        <v>5945</v>
      </c>
      <c r="G2275" s="464" t="s">
        <v>5921</v>
      </c>
      <c r="H2275" s="464" t="s">
        <v>5922</v>
      </c>
      <c r="I2275" s="464" t="s">
        <v>1684</v>
      </c>
    </row>
    <row r="2276" ht="15.95" customHeight="1">
      <c r="A2276" s="464" t="s">
        <v>5957</v>
      </c>
      <c r="B2276" s="464" t="s">
        <v>5958</v>
      </c>
      <c r="C2276" s="464"/>
      <c r="D2276" s="464" t="s">
        <v>1738</v>
      </c>
      <c r="E2276" s="464" t="s">
        <v>5959</v>
      </c>
      <c r="F2276" s="464" t="s">
        <v>5960</v>
      </c>
      <c r="G2276" s="464" t="s">
        <v>5921</v>
      </c>
      <c r="H2276" s="464" t="s">
        <v>5922</v>
      </c>
      <c r="I2276" s="464" t="s">
        <v>1684</v>
      </c>
    </row>
    <row r="2277" ht="15.95" customHeight="1">
      <c r="A2277" s="464" t="s">
        <v>5961</v>
      </c>
      <c r="B2277" s="464" t="s">
        <v>5962</v>
      </c>
      <c r="C2277" s="464"/>
      <c r="D2277" s="464" t="s">
        <v>1709</v>
      </c>
      <c r="E2277" s="464" t="s">
        <v>5959</v>
      </c>
      <c r="F2277" s="464" t="s">
        <v>5960</v>
      </c>
      <c r="G2277" s="464" t="s">
        <v>5921</v>
      </c>
      <c r="H2277" s="464" t="s">
        <v>5922</v>
      </c>
      <c r="I2277" s="464" t="s">
        <v>1684</v>
      </c>
    </row>
    <row r="2278" ht="15.95" customHeight="1">
      <c r="A2278" s="464" t="s">
        <v>5963</v>
      </c>
      <c r="B2278" s="464" t="s">
        <v>5964</v>
      </c>
      <c r="C2278" s="464"/>
      <c r="D2278" s="464" t="s">
        <v>1709</v>
      </c>
      <c r="E2278" s="464" t="s">
        <v>5959</v>
      </c>
      <c r="F2278" s="464" t="s">
        <v>5960</v>
      </c>
      <c r="G2278" s="464" t="s">
        <v>5921</v>
      </c>
      <c r="H2278" s="464" t="s">
        <v>5922</v>
      </c>
      <c r="I2278" s="464" t="s">
        <v>1684</v>
      </c>
    </row>
    <row r="2279" ht="15.95" customHeight="1">
      <c r="A2279" s="464" t="s">
        <v>5965</v>
      </c>
      <c r="B2279" s="464" t="s">
        <v>5966</v>
      </c>
      <c r="C2279" s="464"/>
      <c r="D2279" s="464" t="s">
        <v>1709</v>
      </c>
      <c r="E2279" s="464" t="s">
        <v>5959</v>
      </c>
      <c r="F2279" s="464" t="s">
        <v>5960</v>
      </c>
      <c r="G2279" s="464" t="s">
        <v>5921</v>
      </c>
      <c r="H2279" s="464" t="s">
        <v>5922</v>
      </c>
      <c r="I2279" s="464" t="s">
        <v>1684</v>
      </c>
    </row>
    <row r="2280" ht="15.95" customHeight="1">
      <c r="A2280" s="464" t="s">
        <v>5967</v>
      </c>
      <c r="B2280" s="464" t="s">
        <v>1920</v>
      </c>
      <c r="C2280" s="464"/>
      <c r="D2280" s="464" t="s">
        <v>1709</v>
      </c>
      <c r="E2280" s="464" t="s">
        <v>5959</v>
      </c>
      <c r="F2280" s="464" t="s">
        <v>5960</v>
      </c>
      <c r="G2280" s="464" t="s">
        <v>5921</v>
      </c>
      <c r="H2280" s="464" t="s">
        <v>5922</v>
      </c>
      <c r="I2280" s="464" t="s">
        <v>1684</v>
      </c>
    </row>
    <row r="2281" ht="15.95" customHeight="1">
      <c r="A2281" s="464" t="s">
        <v>5968</v>
      </c>
      <c r="B2281" s="464" t="s">
        <v>5969</v>
      </c>
      <c r="C2281" s="464"/>
      <c r="D2281" s="464" t="s">
        <v>1709</v>
      </c>
      <c r="E2281" s="464" t="s">
        <v>5959</v>
      </c>
      <c r="F2281" s="464" t="s">
        <v>5960</v>
      </c>
      <c r="G2281" s="464" t="s">
        <v>5921</v>
      </c>
      <c r="H2281" s="464" t="s">
        <v>5922</v>
      </c>
      <c r="I2281" s="464" t="s">
        <v>1684</v>
      </c>
    </row>
    <row r="2282" ht="15.95" customHeight="1">
      <c r="A2282" s="464" t="s">
        <v>5970</v>
      </c>
      <c r="B2282" s="464" t="s">
        <v>5971</v>
      </c>
      <c r="C2282" s="464"/>
      <c r="D2282" s="464" t="s">
        <v>1709</v>
      </c>
      <c r="E2282" s="464" t="s">
        <v>5959</v>
      </c>
      <c r="F2282" s="464" t="s">
        <v>5960</v>
      </c>
      <c r="G2282" s="464" t="s">
        <v>5921</v>
      </c>
      <c r="H2282" s="464" t="s">
        <v>5922</v>
      </c>
      <c r="I2282" s="464" t="s">
        <v>1684</v>
      </c>
    </row>
    <row r="2283" ht="15.95" customHeight="1">
      <c r="A2283" s="464" t="s">
        <v>5972</v>
      </c>
      <c r="B2283" s="464" t="s">
        <v>5973</v>
      </c>
      <c r="C2283" s="464"/>
      <c r="D2283" s="464" t="s">
        <v>1709</v>
      </c>
      <c r="E2283" s="464" t="s">
        <v>5959</v>
      </c>
      <c r="F2283" s="464" t="s">
        <v>5960</v>
      </c>
      <c r="G2283" s="464" t="s">
        <v>5921</v>
      </c>
      <c r="H2283" s="464" t="s">
        <v>5922</v>
      </c>
      <c r="I2283" s="464" t="s">
        <v>1684</v>
      </c>
    </row>
    <row r="2284" ht="15.95" customHeight="1">
      <c r="A2284" s="464" t="s">
        <v>5974</v>
      </c>
      <c r="B2284" s="464" t="s">
        <v>5975</v>
      </c>
      <c r="C2284" s="464"/>
      <c r="D2284" s="464" t="s">
        <v>1738</v>
      </c>
      <c r="E2284" s="464" t="s">
        <v>5976</v>
      </c>
      <c r="F2284" s="464" t="s">
        <v>5977</v>
      </c>
      <c r="G2284" s="464" t="s">
        <v>5921</v>
      </c>
      <c r="H2284" s="464" t="s">
        <v>5922</v>
      </c>
      <c r="I2284" s="464" t="s">
        <v>1684</v>
      </c>
    </row>
    <row r="2285" ht="15.95" customHeight="1">
      <c r="A2285" s="464" t="s">
        <v>5978</v>
      </c>
      <c r="B2285" s="464" t="s">
        <v>5979</v>
      </c>
      <c r="C2285" s="464"/>
      <c r="D2285" s="464" t="s">
        <v>1738</v>
      </c>
      <c r="E2285" s="464" t="s">
        <v>5976</v>
      </c>
      <c r="F2285" s="464" t="s">
        <v>5977</v>
      </c>
      <c r="G2285" s="464" t="s">
        <v>5921</v>
      </c>
      <c r="H2285" s="464" t="s">
        <v>5922</v>
      </c>
      <c r="I2285" s="464" t="s">
        <v>1684</v>
      </c>
    </row>
    <row r="2286" ht="15.95" customHeight="1">
      <c r="A2286" s="464" t="s">
        <v>5980</v>
      </c>
      <c r="B2286" s="464" t="s">
        <v>2627</v>
      </c>
      <c r="C2286" s="464"/>
      <c r="D2286" s="464" t="s">
        <v>1709</v>
      </c>
      <c r="E2286" s="464" t="s">
        <v>5976</v>
      </c>
      <c r="F2286" s="464" t="s">
        <v>5977</v>
      </c>
      <c r="G2286" s="464" t="s">
        <v>5921</v>
      </c>
      <c r="H2286" s="464" t="s">
        <v>5922</v>
      </c>
      <c r="I2286" s="464" t="s">
        <v>1684</v>
      </c>
    </row>
    <row r="2287" ht="15.95" customHeight="1">
      <c r="A2287" s="464" t="s">
        <v>5981</v>
      </c>
      <c r="B2287" s="464" t="s">
        <v>5982</v>
      </c>
      <c r="C2287" s="464"/>
      <c r="D2287" s="464" t="s">
        <v>1709</v>
      </c>
      <c r="E2287" s="464" t="s">
        <v>5976</v>
      </c>
      <c r="F2287" s="464" t="s">
        <v>5977</v>
      </c>
      <c r="G2287" s="464" t="s">
        <v>5921</v>
      </c>
      <c r="H2287" s="464" t="s">
        <v>5922</v>
      </c>
      <c r="I2287" s="464" t="s">
        <v>1684</v>
      </c>
    </row>
    <row r="2288" ht="15.95" customHeight="1">
      <c r="A2288" s="464" t="s">
        <v>5983</v>
      </c>
      <c r="B2288" s="464" t="s">
        <v>5984</v>
      </c>
      <c r="C2288" s="464" t="s">
        <v>5985</v>
      </c>
      <c r="D2288" s="464" t="s">
        <v>1709</v>
      </c>
      <c r="E2288" s="464" t="s">
        <v>5976</v>
      </c>
      <c r="F2288" s="464" t="s">
        <v>5977</v>
      </c>
      <c r="G2288" s="464" t="s">
        <v>5921</v>
      </c>
      <c r="H2288" s="464" t="s">
        <v>5922</v>
      </c>
      <c r="I2288" s="464" t="s">
        <v>1684</v>
      </c>
    </row>
    <row r="2289" ht="15.95" customHeight="1">
      <c r="A2289" s="464" t="s">
        <v>5986</v>
      </c>
      <c r="B2289" s="464" t="s">
        <v>5987</v>
      </c>
      <c r="C2289" s="464"/>
      <c r="D2289" s="464" t="s">
        <v>1709</v>
      </c>
      <c r="E2289" s="464" t="s">
        <v>5976</v>
      </c>
      <c r="F2289" s="464" t="s">
        <v>5977</v>
      </c>
      <c r="G2289" s="464" t="s">
        <v>5921</v>
      </c>
      <c r="H2289" s="464" t="s">
        <v>5922</v>
      </c>
      <c r="I2289" s="464" t="s">
        <v>1684</v>
      </c>
    </row>
    <row r="2290" ht="15.95" customHeight="1">
      <c r="A2290" s="464" t="s">
        <v>5988</v>
      </c>
      <c r="B2290" s="464" t="s">
        <v>5989</v>
      </c>
      <c r="C2290" s="464"/>
      <c r="D2290" s="464" t="s">
        <v>1709</v>
      </c>
      <c r="E2290" s="464" t="s">
        <v>5976</v>
      </c>
      <c r="F2290" s="464" t="s">
        <v>5977</v>
      </c>
      <c r="G2290" s="464" t="s">
        <v>5921</v>
      </c>
      <c r="H2290" s="464" t="s">
        <v>5922</v>
      </c>
      <c r="I2290" s="464" t="s">
        <v>1684</v>
      </c>
    </row>
    <row r="2291" ht="15.95" customHeight="1">
      <c r="A2291" s="464" t="s">
        <v>5990</v>
      </c>
      <c r="B2291" s="464" t="s">
        <v>5991</v>
      </c>
      <c r="C2291" s="464"/>
      <c r="D2291" s="464" t="s">
        <v>1709</v>
      </c>
      <c r="E2291" s="464" t="s">
        <v>5976</v>
      </c>
      <c r="F2291" s="464" t="s">
        <v>5977</v>
      </c>
      <c r="G2291" s="464" t="s">
        <v>5921</v>
      </c>
      <c r="H2291" s="464" t="s">
        <v>5922</v>
      </c>
      <c r="I2291" s="464" t="s">
        <v>1684</v>
      </c>
    </row>
    <row r="2292" ht="15.95" customHeight="1">
      <c r="A2292" s="464" t="s">
        <v>5992</v>
      </c>
      <c r="B2292" s="464" t="s">
        <v>3429</v>
      </c>
      <c r="C2292" s="464"/>
      <c r="D2292" s="464" t="s">
        <v>1709</v>
      </c>
      <c r="E2292" s="464" t="s">
        <v>5976</v>
      </c>
      <c r="F2292" s="464" t="s">
        <v>5977</v>
      </c>
      <c r="G2292" s="464" t="s">
        <v>5921</v>
      </c>
      <c r="H2292" s="464" t="s">
        <v>5922</v>
      </c>
      <c r="I2292" s="464" t="s">
        <v>1684</v>
      </c>
    </row>
    <row r="2293" ht="15.95" customHeight="1">
      <c r="A2293" s="464" t="s">
        <v>5993</v>
      </c>
      <c r="B2293" s="464" t="s">
        <v>5372</v>
      </c>
      <c r="C2293" s="464"/>
      <c r="D2293" s="464" t="s">
        <v>1709</v>
      </c>
      <c r="E2293" s="464" t="s">
        <v>5976</v>
      </c>
      <c r="F2293" s="464" t="s">
        <v>5977</v>
      </c>
      <c r="G2293" s="464" t="s">
        <v>5921</v>
      </c>
      <c r="H2293" s="464" t="s">
        <v>5922</v>
      </c>
      <c r="I2293" s="464" t="s">
        <v>1684</v>
      </c>
    </row>
    <row r="2294" ht="15.95" customHeight="1">
      <c r="A2294" s="464" t="s">
        <v>5994</v>
      </c>
      <c r="B2294" s="464" t="s">
        <v>5995</v>
      </c>
      <c r="C2294" s="464" t="s">
        <v>5996</v>
      </c>
      <c r="D2294" s="464" t="s">
        <v>1709</v>
      </c>
      <c r="E2294" s="464" t="s">
        <v>5976</v>
      </c>
      <c r="F2294" s="464" t="s">
        <v>5977</v>
      </c>
      <c r="G2294" s="464" t="s">
        <v>5921</v>
      </c>
      <c r="H2294" s="464" t="s">
        <v>5922</v>
      </c>
      <c r="I2294" s="464" t="s">
        <v>1684</v>
      </c>
    </row>
    <row r="2295" ht="15.95" customHeight="1">
      <c r="A2295" s="464" t="s">
        <v>5997</v>
      </c>
      <c r="B2295" s="464" t="s">
        <v>5998</v>
      </c>
      <c r="C2295" s="464"/>
      <c r="D2295" s="464" t="s">
        <v>1709</v>
      </c>
      <c r="E2295" s="464" t="s">
        <v>5976</v>
      </c>
      <c r="F2295" s="464" t="s">
        <v>5977</v>
      </c>
      <c r="G2295" s="464" t="s">
        <v>5921</v>
      </c>
      <c r="H2295" s="464" t="s">
        <v>5922</v>
      </c>
      <c r="I2295" s="464" t="s">
        <v>1684</v>
      </c>
    </row>
    <row r="2296" ht="15.95" customHeight="1">
      <c r="A2296" s="464" t="s">
        <v>5999</v>
      </c>
      <c r="B2296" s="464" t="s">
        <v>2398</v>
      </c>
      <c r="C2296" s="464"/>
      <c r="D2296" s="464" t="s">
        <v>1709</v>
      </c>
      <c r="E2296" s="464" t="s">
        <v>5976</v>
      </c>
      <c r="F2296" s="464" t="s">
        <v>5977</v>
      </c>
      <c r="G2296" s="464" t="s">
        <v>5921</v>
      </c>
      <c r="H2296" s="464" t="s">
        <v>5922</v>
      </c>
      <c r="I2296" s="464" t="s">
        <v>1684</v>
      </c>
    </row>
    <row r="2297" ht="15.95" customHeight="1">
      <c r="A2297" s="464" t="s">
        <v>6000</v>
      </c>
      <c r="B2297" s="464" t="s">
        <v>4489</v>
      </c>
      <c r="C2297" s="464"/>
      <c r="D2297" s="464" t="s">
        <v>1709</v>
      </c>
      <c r="E2297" s="464" t="s">
        <v>5976</v>
      </c>
      <c r="F2297" s="464" t="s">
        <v>5977</v>
      </c>
      <c r="G2297" s="464" t="s">
        <v>5921</v>
      </c>
      <c r="H2297" s="464" t="s">
        <v>5922</v>
      </c>
      <c r="I2297" s="464" t="s">
        <v>1684</v>
      </c>
    </row>
    <row r="2298" ht="15.95" customHeight="1">
      <c r="A2298" s="464" t="s">
        <v>6001</v>
      </c>
      <c r="B2298" s="464" t="s">
        <v>4575</v>
      </c>
      <c r="C2298" s="464"/>
      <c r="D2298" s="464" t="s">
        <v>1738</v>
      </c>
      <c r="E2298" s="464" t="s">
        <v>6002</v>
      </c>
      <c r="F2298" s="464" t="s">
        <v>6003</v>
      </c>
      <c r="G2298" s="464" t="s">
        <v>5921</v>
      </c>
      <c r="H2298" s="464" t="s">
        <v>5922</v>
      </c>
      <c r="I2298" s="464" t="s">
        <v>1684</v>
      </c>
    </row>
    <row r="2299" ht="15.95" customHeight="1">
      <c r="A2299" s="464" t="s">
        <v>6004</v>
      </c>
      <c r="B2299" s="464" t="s">
        <v>2253</v>
      </c>
      <c r="C2299" s="464"/>
      <c r="D2299" s="464" t="s">
        <v>1709</v>
      </c>
      <c r="E2299" s="464" t="s">
        <v>6002</v>
      </c>
      <c r="F2299" s="464" t="s">
        <v>6003</v>
      </c>
      <c r="G2299" s="464" t="s">
        <v>5921</v>
      </c>
      <c r="H2299" s="464" t="s">
        <v>5922</v>
      </c>
      <c r="I2299" s="464" t="s">
        <v>1684</v>
      </c>
    </row>
    <row r="2300" ht="15.95" customHeight="1">
      <c r="A2300" s="464" t="s">
        <v>6005</v>
      </c>
      <c r="B2300" s="464" t="s">
        <v>2012</v>
      </c>
      <c r="C2300" s="464"/>
      <c r="D2300" s="464" t="s">
        <v>1709</v>
      </c>
      <c r="E2300" s="464" t="s">
        <v>6002</v>
      </c>
      <c r="F2300" s="464" t="s">
        <v>6003</v>
      </c>
      <c r="G2300" s="464" t="s">
        <v>5921</v>
      </c>
      <c r="H2300" s="464" t="s">
        <v>5922</v>
      </c>
      <c r="I2300" s="464" t="s">
        <v>1684</v>
      </c>
    </row>
    <row r="2301" ht="15.95" customHeight="1">
      <c r="A2301" s="464" t="s">
        <v>6006</v>
      </c>
      <c r="B2301" s="464" t="s">
        <v>6007</v>
      </c>
      <c r="C2301" s="464"/>
      <c r="D2301" s="464" t="s">
        <v>1709</v>
      </c>
      <c r="E2301" s="464" t="s">
        <v>6002</v>
      </c>
      <c r="F2301" s="464" t="s">
        <v>6003</v>
      </c>
      <c r="G2301" s="464" t="s">
        <v>5921</v>
      </c>
      <c r="H2301" s="464" t="s">
        <v>5922</v>
      </c>
      <c r="I2301" s="464" t="s">
        <v>1684</v>
      </c>
    </row>
    <row r="2302" ht="15.95" customHeight="1">
      <c r="A2302" s="464" t="s">
        <v>6008</v>
      </c>
      <c r="B2302" s="464" t="s">
        <v>2563</v>
      </c>
      <c r="C2302" s="464"/>
      <c r="D2302" s="464" t="s">
        <v>1709</v>
      </c>
      <c r="E2302" s="464" t="s">
        <v>6002</v>
      </c>
      <c r="F2302" s="464" t="s">
        <v>6003</v>
      </c>
      <c r="G2302" s="464" t="s">
        <v>5921</v>
      </c>
      <c r="H2302" s="464" t="s">
        <v>5922</v>
      </c>
      <c r="I2302" s="464" t="s">
        <v>1684</v>
      </c>
    </row>
    <row r="2303" ht="15.95" customHeight="1">
      <c r="A2303" s="464" t="s">
        <v>6009</v>
      </c>
      <c r="B2303" s="464" t="s">
        <v>6010</v>
      </c>
      <c r="C2303" s="464"/>
      <c r="D2303" s="464" t="s">
        <v>1709</v>
      </c>
      <c r="E2303" s="464" t="s">
        <v>6002</v>
      </c>
      <c r="F2303" s="464" t="s">
        <v>6003</v>
      </c>
      <c r="G2303" s="464" t="s">
        <v>5921</v>
      </c>
      <c r="H2303" s="464" t="s">
        <v>5922</v>
      </c>
      <c r="I2303" s="464" t="s">
        <v>1684</v>
      </c>
    </row>
    <row r="2304" ht="15.95" customHeight="1">
      <c r="A2304" s="464" t="s">
        <v>6011</v>
      </c>
      <c r="B2304" s="464" t="s">
        <v>2694</v>
      </c>
      <c r="C2304" s="464"/>
      <c r="D2304" s="464" t="s">
        <v>1709</v>
      </c>
      <c r="E2304" s="464" t="s">
        <v>6002</v>
      </c>
      <c r="F2304" s="464" t="s">
        <v>6003</v>
      </c>
      <c r="G2304" s="464" t="s">
        <v>5921</v>
      </c>
      <c r="H2304" s="464" t="s">
        <v>5922</v>
      </c>
      <c r="I2304" s="464" t="s">
        <v>1684</v>
      </c>
    </row>
    <row r="2305" ht="15.95" customHeight="1">
      <c r="A2305" s="464" t="s">
        <v>6012</v>
      </c>
      <c r="B2305" s="464" t="s">
        <v>6013</v>
      </c>
      <c r="C2305" s="464"/>
      <c r="D2305" s="464" t="s">
        <v>1709</v>
      </c>
      <c r="E2305" s="464" t="s">
        <v>6002</v>
      </c>
      <c r="F2305" s="464" t="s">
        <v>6003</v>
      </c>
      <c r="G2305" s="464" t="s">
        <v>5921</v>
      </c>
      <c r="H2305" s="464" t="s">
        <v>5922</v>
      </c>
      <c r="I2305" s="464" t="s">
        <v>1684</v>
      </c>
    </row>
    <row r="2306" ht="15.95" customHeight="1">
      <c r="A2306" s="464" t="s">
        <v>6014</v>
      </c>
      <c r="B2306" s="464" t="s">
        <v>3157</v>
      </c>
      <c r="C2306" s="464"/>
      <c r="D2306" s="464" t="s">
        <v>1709</v>
      </c>
      <c r="E2306" s="464" t="s">
        <v>6002</v>
      </c>
      <c r="F2306" s="464" t="s">
        <v>6003</v>
      </c>
      <c r="G2306" s="464" t="s">
        <v>5921</v>
      </c>
      <c r="H2306" s="464" t="s">
        <v>5922</v>
      </c>
      <c r="I2306" s="464" t="s">
        <v>1684</v>
      </c>
    </row>
    <row r="2307" ht="15.95" customHeight="1">
      <c r="A2307" s="464" t="s">
        <v>6015</v>
      </c>
      <c r="B2307" s="464" t="s">
        <v>6016</v>
      </c>
      <c r="C2307" s="464"/>
      <c r="D2307" s="464" t="s">
        <v>1709</v>
      </c>
      <c r="E2307" s="464" t="s">
        <v>6002</v>
      </c>
      <c r="F2307" s="464" t="s">
        <v>6003</v>
      </c>
      <c r="G2307" s="464" t="s">
        <v>5921</v>
      </c>
      <c r="H2307" s="464" t="s">
        <v>5922</v>
      </c>
      <c r="I2307" s="464" t="s">
        <v>1684</v>
      </c>
    </row>
    <row r="2308" ht="15.95" customHeight="1">
      <c r="A2308" s="464" t="s">
        <v>6017</v>
      </c>
      <c r="B2308" s="464" t="s">
        <v>4062</v>
      </c>
      <c r="C2308" s="464"/>
      <c r="D2308" s="464" t="s">
        <v>1709</v>
      </c>
      <c r="E2308" s="464" t="s">
        <v>6002</v>
      </c>
      <c r="F2308" s="464" t="s">
        <v>6003</v>
      </c>
      <c r="G2308" s="464" t="s">
        <v>5921</v>
      </c>
      <c r="H2308" s="464" t="s">
        <v>5922</v>
      </c>
      <c r="I2308" s="464" t="s">
        <v>1684</v>
      </c>
    </row>
    <row r="2309" ht="15.95" customHeight="1">
      <c r="A2309" s="464" t="s">
        <v>6018</v>
      </c>
      <c r="B2309" s="464" t="s">
        <v>6019</v>
      </c>
      <c r="C2309" s="464"/>
      <c r="D2309" s="464" t="s">
        <v>1738</v>
      </c>
      <c r="E2309" s="464" t="s">
        <v>6020</v>
      </c>
      <c r="F2309" s="464" t="s">
        <v>2724</v>
      </c>
      <c r="G2309" s="464" t="s">
        <v>5921</v>
      </c>
      <c r="H2309" s="464" t="s">
        <v>5922</v>
      </c>
      <c r="I2309" s="464" t="s">
        <v>1684</v>
      </c>
    </row>
    <row r="2310" ht="15.95" customHeight="1">
      <c r="A2310" s="464" t="s">
        <v>6021</v>
      </c>
      <c r="B2310" s="464" t="s">
        <v>6022</v>
      </c>
      <c r="C2310" s="464"/>
      <c r="D2310" s="464" t="s">
        <v>1709</v>
      </c>
      <c r="E2310" s="464" t="s">
        <v>6020</v>
      </c>
      <c r="F2310" s="464" t="s">
        <v>2724</v>
      </c>
      <c r="G2310" s="464" t="s">
        <v>5921</v>
      </c>
      <c r="H2310" s="464" t="s">
        <v>5922</v>
      </c>
      <c r="I2310" s="464" t="s">
        <v>1684</v>
      </c>
    </row>
    <row r="2311" ht="15.95" customHeight="1">
      <c r="A2311" s="464" t="s">
        <v>6023</v>
      </c>
      <c r="B2311" s="464" t="s">
        <v>6024</v>
      </c>
      <c r="C2311" s="464"/>
      <c r="D2311" s="464" t="s">
        <v>1709</v>
      </c>
      <c r="E2311" s="464" t="s">
        <v>6020</v>
      </c>
      <c r="F2311" s="464" t="s">
        <v>2724</v>
      </c>
      <c r="G2311" s="464" t="s">
        <v>5921</v>
      </c>
      <c r="H2311" s="464" t="s">
        <v>5922</v>
      </c>
      <c r="I2311" s="464" t="s">
        <v>1684</v>
      </c>
    </row>
    <row r="2312" ht="15.95" customHeight="1">
      <c r="A2312" s="464" t="s">
        <v>6025</v>
      </c>
      <c r="B2312" s="464" t="s">
        <v>6026</v>
      </c>
      <c r="C2312" s="464" t="s">
        <v>6027</v>
      </c>
      <c r="D2312" s="464" t="s">
        <v>1709</v>
      </c>
      <c r="E2312" s="464" t="s">
        <v>6020</v>
      </c>
      <c r="F2312" s="464" t="s">
        <v>2724</v>
      </c>
      <c r="G2312" s="464" t="s">
        <v>5921</v>
      </c>
      <c r="H2312" s="464" t="s">
        <v>5922</v>
      </c>
      <c r="I2312" s="464" t="s">
        <v>1684</v>
      </c>
    </row>
    <row r="2313" ht="15.95" customHeight="1">
      <c r="A2313" s="464" t="s">
        <v>6028</v>
      </c>
      <c r="B2313" s="464" t="s">
        <v>6029</v>
      </c>
      <c r="C2313" s="464"/>
      <c r="D2313" s="464" t="s">
        <v>1709</v>
      </c>
      <c r="E2313" s="464" t="s">
        <v>6020</v>
      </c>
      <c r="F2313" s="464" t="s">
        <v>2724</v>
      </c>
      <c r="G2313" s="464" t="s">
        <v>5921</v>
      </c>
      <c r="H2313" s="464" t="s">
        <v>5922</v>
      </c>
      <c r="I2313" s="464" t="s">
        <v>1684</v>
      </c>
    </row>
    <row r="2314" ht="15.95" customHeight="1">
      <c r="A2314" s="464" t="s">
        <v>6030</v>
      </c>
      <c r="B2314" s="464" t="s">
        <v>6031</v>
      </c>
      <c r="C2314" s="464"/>
      <c r="D2314" s="464" t="s">
        <v>1709</v>
      </c>
      <c r="E2314" s="464" t="s">
        <v>6020</v>
      </c>
      <c r="F2314" s="464" t="s">
        <v>2724</v>
      </c>
      <c r="G2314" s="464" t="s">
        <v>5921</v>
      </c>
      <c r="H2314" s="464" t="s">
        <v>5922</v>
      </c>
      <c r="I2314" s="464" t="s">
        <v>1684</v>
      </c>
    </row>
    <row r="2315" ht="15.95" customHeight="1">
      <c r="A2315" s="464" t="s">
        <v>6032</v>
      </c>
      <c r="B2315" s="464" t="s">
        <v>6033</v>
      </c>
      <c r="C2315" s="464" t="s">
        <v>6034</v>
      </c>
      <c r="D2315" s="464" t="s">
        <v>1709</v>
      </c>
      <c r="E2315" s="464" t="s">
        <v>6020</v>
      </c>
      <c r="F2315" s="464" t="s">
        <v>2724</v>
      </c>
      <c r="G2315" s="464" t="s">
        <v>5921</v>
      </c>
      <c r="H2315" s="464" t="s">
        <v>5922</v>
      </c>
      <c r="I2315" s="464" t="s">
        <v>1684</v>
      </c>
    </row>
    <row r="2316" ht="15.95" customHeight="1">
      <c r="A2316" s="464" t="s">
        <v>6035</v>
      </c>
      <c r="B2316" s="464" t="s">
        <v>2880</v>
      </c>
      <c r="C2316" s="464"/>
      <c r="D2316" s="464" t="s">
        <v>1709</v>
      </c>
      <c r="E2316" s="464" t="s">
        <v>6020</v>
      </c>
      <c r="F2316" s="464" t="s">
        <v>2724</v>
      </c>
      <c r="G2316" s="464" t="s">
        <v>5921</v>
      </c>
      <c r="H2316" s="464" t="s">
        <v>5922</v>
      </c>
      <c r="I2316" s="464" t="s">
        <v>1684</v>
      </c>
    </row>
    <row r="2317" ht="15.95" customHeight="1">
      <c r="A2317" s="464" t="s">
        <v>6036</v>
      </c>
      <c r="B2317" s="464" t="s">
        <v>1920</v>
      </c>
      <c r="C2317" s="464"/>
      <c r="D2317" s="464" t="s">
        <v>1709</v>
      </c>
      <c r="E2317" s="464" t="s">
        <v>6020</v>
      </c>
      <c r="F2317" s="464" t="s">
        <v>2724</v>
      </c>
      <c r="G2317" s="464" t="s">
        <v>5921</v>
      </c>
      <c r="H2317" s="464" t="s">
        <v>5922</v>
      </c>
      <c r="I2317" s="464" t="s">
        <v>1684</v>
      </c>
    </row>
    <row r="2318" ht="15.95" customHeight="1">
      <c r="A2318" s="464" t="s">
        <v>6037</v>
      </c>
      <c r="B2318" s="464" t="s">
        <v>4544</v>
      </c>
      <c r="C2318" s="464"/>
      <c r="D2318" s="464" t="s">
        <v>1709</v>
      </c>
      <c r="E2318" s="464" t="s">
        <v>6020</v>
      </c>
      <c r="F2318" s="464" t="s">
        <v>2724</v>
      </c>
      <c r="G2318" s="464" t="s">
        <v>5921</v>
      </c>
      <c r="H2318" s="464" t="s">
        <v>5922</v>
      </c>
      <c r="I2318" s="464" t="s">
        <v>1684</v>
      </c>
    </row>
    <row r="2319" ht="15.95" customHeight="1">
      <c r="A2319" s="464" t="s">
        <v>6038</v>
      </c>
      <c r="B2319" s="464" t="s">
        <v>6039</v>
      </c>
      <c r="C2319" s="464"/>
      <c r="D2319" s="464" t="s">
        <v>1738</v>
      </c>
      <c r="E2319" s="464" t="s">
        <v>6040</v>
      </c>
      <c r="F2319" s="464" t="s">
        <v>6041</v>
      </c>
      <c r="G2319" s="464" t="s">
        <v>5921</v>
      </c>
      <c r="H2319" s="464" t="s">
        <v>5922</v>
      </c>
      <c r="I2319" s="464" t="s">
        <v>1684</v>
      </c>
    </row>
    <row r="2320" ht="15.95" customHeight="1">
      <c r="A2320" s="464" t="s">
        <v>6042</v>
      </c>
      <c r="B2320" s="464" t="s">
        <v>4070</v>
      </c>
      <c r="C2320" s="464"/>
      <c r="D2320" s="464" t="s">
        <v>1709</v>
      </c>
      <c r="E2320" s="464" t="s">
        <v>6040</v>
      </c>
      <c r="F2320" s="464" t="s">
        <v>6041</v>
      </c>
      <c r="G2320" s="464" t="s">
        <v>5921</v>
      </c>
      <c r="H2320" s="464" t="s">
        <v>5922</v>
      </c>
      <c r="I2320" s="464" t="s">
        <v>1684</v>
      </c>
    </row>
    <row r="2321" ht="15.95" customHeight="1">
      <c r="A2321" s="464" t="s">
        <v>6043</v>
      </c>
      <c r="B2321" s="464" t="s">
        <v>4163</v>
      </c>
      <c r="C2321" s="464"/>
      <c r="D2321" s="464" t="s">
        <v>1709</v>
      </c>
      <c r="E2321" s="464" t="s">
        <v>6040</v>
      </c>
      <c r="F2321" s="464" t="s">
        <v>6041</v>
      </c>
      <c r="G2321" s="464" t="s">
        <v>5921</v>
      </c>
      <c r="H2321" s="464" t="s">
        <v>5922</v>
      </c>
      <c r="I2321" s="464" t="s">
        <v>1684</v>
      </c>
    </row>
    <row r="2322" ht="15.95" customHeight="1">
      <c r="A2322" s="464" t="s">
        <v>6044</v>
      </c>
      <c r="B2322" s="464" t="s">
        <v>4544</v>
      </c>
      <c r="C2322" s="464"/>
      <c r="D2322" s="464" t="s">
        <v>1709</v>
      </c>
      <c r="E2322" s="464" t="s">
        <v>6040</v>
      </c>
      <c r="F2322" s="464" t="s">
        <v>6041</v>
      </c>
      <c r="G2322" s="464" t="s">
        <v>5921</v>
      </c>
      <c r="H2322" s="464" t="s">
        <v>5922</v>
      </c>
      <c r="I2322" s="464" t="s">
        <v>1684</v>
      </c>
    </row>
    <row r="2323" ht="15.95" customHeight="1">
      <c r="A2323" s="464" t="s">
        <v>6045</v>
      </c>
      <c r="B2323" s="464" t="s">
        <v>4247</v>
      </c>
      <c r="C2323" s="464"/>
      <c r="D2323" s="464" t="s">
        <v>1709</v>
      </c>
      <c r="E2323" s="464" t="s">
        <v>6040</v>
      </c>
      <c r="F2323" s="464" t="s">
        <v>6041</v>
      </c>
      <c r="G2323" s="464" t="s">
        <v>5921</v>
      </c>
      <c r="H2323" s="464" t="s">
        <v>5922</v>
      </c>
      <c r="I2323" s="464" t="s">
        <v>1684</v>
      </c>
    </row>
    <row r="2324" ht="15.95" customHeight="1">
      <c r="A2324" s="464" t="s">
        <v>6046</v>
      </c>
      <c r="B2324" s="464" t="s">
        <v>2668</v>
      </c>
      <c r="C2324" s="464"/>
      <c r="D2324" s="464" t="s">
        <v>1709</v>
      </c>
      <c r="E2324" s="464" t="s">
        <v>6040</v>
      </c>
      <c r="F2324" s="464" t="s">
        <v>6041</v>
      </c>
      <c r="G2324" s="464" t="s">
        <v>5921</v>
      </c>
      <c r="H2324" s="464" t="s">
        <v>5922</v>
      </c>
      <c r="I2324" s="464" t="s">
        <v>1684</v>
      </c>
    </row>
    <row r="2325" ht="15.95" customHeight="1">
      <c r="A2325" s="464" t="s">
        <v>6047</v>
      </c>
      <c r="B2325" s="464" t="s">
        <v>6048</v>
      </c>
      <c r="C2325" s="464"/>
      <c r="D2325" s="464" t="s">
        <v>1709</v>
      </c>
      <c r="E2325" s="464" t="s">
        <v>6040</v>
      </c>
      <c r="F2325" s="464" t="s">
        <v>6041</v>
      </c>
      <c r="G2325" s="464" t="s">
        <v>5921</v>
      </c>
      <c r="H2325" s="464" t="s">
        <v>5922</v>
      </c>
      <c r="I2325" s="464" t="s">
        <v>1684</v>
      </c>
    </row>
    <row r="2326" ht="15.95" customHeight="1">
      <c r="A2326" s="464" t="s">
        <v>6049</v>
      </c>
      <c r="B2326" s="464" t="s">
        <v>6050</v>
      </c>
      <c r="C2326" s="464"/>
      <c r="D2326" s="464" t="s">
        <v>1709</v>
      </c>
      <c r="E2326" s="464" t="s">
        <v>6040</v>
      </c>
      <c r="F2326" s="464" t="s">
        <v>6041</v>
      </c>
      <c r="G2326" s="464" t="s">
        <v>5921</v>
      </c>
      <c r="H2326" s="464" t="s">
        <v>5922</v>
      </c>
      <c r="I2326" s="464" t="s">
        <v>1684</v>
      </c>
    </row>
    <row r="2327" ht="15.95" customHeight="1">
      <c r="A2327" s="464" t="s">
        <v>6051</v>
      </c>
      <c r="B2327" s="464" t="s">
        <v>6052</v>
      </c>
      <c r="C2327" s="464"/>
      <c r="D2327" s="464" t="s">
        <v>1709</v>
      </c>
      <c r="E2327" s="464" t="s">
        <v>6040</v>
      </c>
      <c r="F2327" s="464" t="s">
        <v>6041</v>
      </c>
      <c r="G2327" s="464" t="s">
        <v>5921</v>
      </c>
      <c r="H2327" s="464" t="s">
        <v>5922</v>
      </c>
      <c r="I2327" s="464" t="s">
        <v>1684</v>
      </c>
    </row>
    <row r="2328" ht="15.95" customHeight="1">
      <c r="A2328" s="464" t="s">
        <v>6053</v>
      </c>
      <c r="B2328" s="464" t="s">
        <v>6054</v>
      </c>
      <c r="C2328" s="464"/>
      <c r="D2328" s="464" t="s">
        <v>1709</v>
      </c>
      <c r="E2328" s="464" t="s">
        <v>6040</v>
      </c>
      <c r="F2328" s="464" t="s">
        <v>6041</v>
      </c>
      <c r="G2328" s="464" t="s">
        <v>5921</v>
      </c>
      <c r="H2328" s="464" t="s">
        <v>5922</v>
      </c>
      <c r="I2328" s="464" t="s">
        <v>1684</v>
      </c>
    </row>
    <row r="2329" ht="15.95" customHeight="1">
      <c r="A2329" s="464" t="s">
        <v>6055</v>
      </c>
      <c r="B2329" s="464" t="s">
        <v>6056</v>
      </c>
      <c r="C2329" s="464"/>
      <c r="D2329" s="464" t="s">
        <v>1709</v>
      </c>
      <c r="E2329" s="464" t="s">
        <v>6040</v>
      </c>
      <c r="F2329" s="464" t="s">
        <v>6041</v>
      </c>
      <c r="G2329" s="464" t="s">
        <v>5921</v>
      </c>
      <c r="H2329" s="464" t="s">
        <v>5922</v>
      </c>
      <c r="I2329" s="464" t="s">
        <v>1684</v>
      </c>
    </row>
    <row r="2330" ht="15.95" customHeight="1">
      <c r="A2330" s="464" t="s">
        <v>6057</v>
      </c>
      <c r="B2330" s="464" t="s">
        <v>3466</v>
      </c>
      <c r="C2330" s="464"/>
      <c r="D2330" s="464" t="s">
        <v>1709</v>
      </c>
      <c r="E2330" s="464" t="s">
        <v>6040</v>
      </c>
      <c r="F2330" s="464" t="s">
        <v>6041</v>
      </c>
      <c r="G2330" s="464" t="s">
        <v>5921</v>
      </c>
      <c r="H2330" s="464" t="s">
        <v>5922</v>
      </c>
      <c r="I2330" s="464" t="s">
        <v>1684</v>
      </c>
    </row>
    <row r="2331" ht="15.95" customHeight="1">
      <c r="A2331" s="464" t="s">
        <v>6058</v>
      </c>
      <c r="B2331" s="464" t="s">
        <v>4955</v>
      </c>
      <c r="C2331" s="464"/>
      <c r="D2331" s="464" t="s">
        <v>1709</v>
      </c>
      <c r="E2331" s="464" t="s">
        <v>6040</v>
      </c>
      <c r="F2331" s="464" t="s">
        <v>6041</v>
      </c>
      <c r="G2331" s="464" t="s">
        <v>5921</v>
      </c>
      <c r="H2331" s="464" t="s">
        <v>5922</v>
      </c>
      <c r="I2331" s="464" t="s">
        <v>1684</v>
      </c>
    </row>
    <row r="2332" ht="15.95" customHeight="1">
      <c r="A2332" s="464" t="s">
        <v>6059</v>
      </c>
      <c r="B2332" s="464" t="s">
        <v>5402</v>
      </c>
      <c r="C2332" s="464"/>
      <c r="D2332" s="464" t="s">
        <v>1709</v>
      </c>
      <c r="E2332" s="464" t="s">
        <v>6040</v>
      </c>
      <c r="F2332" s="464" t="s">
        <v>6041</v>
      </c>
      <c r="G2332" s="464" t="s">
        <v>5921</v>
      </c>
      <c r="H2332" s="464" t="s">
        <v>5922</v>
      </c>
      <c r="I2332" s="464" t="s">
        <v>1684</v>
      </c>
    </row>
    <row r="2333" ht="15.95" customHeight="1">
      <c r="A2333" s="464" t="s">
        <v>6060</v>
      </c>
      <c r="B2333" s="464" t="s">
        <v>4271</v>
      </c>
      <c r="C2333" s="464"/>
      <c r="D2333" s="464" t="s">
        <v>1709</v>
      </c>
      <c r="E2333" s="464" t="s">
        <v>6040</v>
      </c>
      <c r="F2333" s="464" t="s">
        <v>6041</v>
      </c>
      <c r="G2333" s="464" t="s">
        <v>5921</v>
      </c>
      <c r="H2333" s="464" t="s">
        <v>5922</v>
      </c>
      <c r="I2333" s="464" t="s">
        <v>1684</v>
      </c>
    </row>
    <row r="2334" ht="15.95" customHeight="1">
      <c r="A2334" s="464" t="s">
        <v>6061</v>
      </c>
      <c r="B2334" s="464" t="s">
        <v>4085</v>
      </c>
      <c r="C2334" s="464"/>
      <c r="D2334" s="464" t="s">
        <v>1709</v>
      </c>
      <c r="E2334" s="464" t="s">
        <v>6040</v>
      </c>
      <c r="F2334" s="464" t="s">
        <v>6041</v>
      </c>
      <c r="G2334" s="464" t="s">
        <v>5921</v>
      </c>
      <c r="H2334" s="464" t="s">
        <v>5922</v>
      </c>
      <c r="I2334" s="464" t="s">
        <v>1684</v>
      </c>
    </row>
    <row r="2335" ht="15.95" customHeight="1">
      <c r="A2335" s="464" t="s">
        <v>6062</v>
      </c>
      <c r="B2335" s="464" t="s">
        <v>5897</v>
      </c>
      <c r="C2335" s="464" t="s">
        <v>6063</v>
      </c>
      <c r="D2335" s="464" t="s">
        <v>1709</v>
      </c>
      <c r="E2335" s="464" t="s">
        <v>6040</v>
      </c>
      <c r="F2335" s="464" t="s">
        <v>6041</v>
      </c>
      <c r="G2335" s="464" t="s">
        <v>5921</v>
      </c>
      <c r="H2335" s="464" t="s">
        <v>5922</v>
      </c>
      <c r="I2335" s="464" t="s">
        <v>1684</v>
      </c>
    </row>
    <row r="2336" ht="15.95" customHeight="1">
      <c r="A2336" s="464" t="s">
        <v>6064</v>
      </c>
      <c r="B2336" s="464" t="s">
        <v>5095</v>
      </c>
      <c r="C2336" s="464"/>
      <c r="D2336" s="464" t="s">
        <v>1709</v>
      </c>
      <c r="E2336" s="464" t="s">
        <v>6040</v>
      </c>
      <c r="F2336" s="464" t="s">
        <v>6041</v>
      </c>
      <c r="G2336" s="464" t="s">
        <v>5921</v>
      </c>
      <c r="H2336" s="464" t="s">
        <v>5922</v>
      </c>
      <c r="I2336" s="464" t="s">
        <v>1684</v>
      </c>
    </row>
    <row r="2337" ht="15.95" customHeight="1">
      <c r="A2337" s="464" t="s">
        <v>6065</v>
      </c>
      <c r="B2337" s="464" t="s">
        <v>6066</v>
      </c>
      <c r="C2337" s="464" t="s">
        <v>6067</v>
      </c>
      <c r="D2337" s="464" t="s">
        <v>1709</v>
      </c>
      <c r="E2337" s="464" t="s">
        <v>6040</v>
      </c>
      <c r="F2337" s="464" t="s">
        <v>6041</v>
      </c>
      <c r="G2337" s="464" t="s">
        <v>5921</v>
      </c>
      <c r="H2337" s="464" t="s">
        <v>5922</v>
      </c>
      <c r="I2337" s="464" t="s">
        <v>1684</v>
      </c>
    </row>
    <row r="2338" ht="15.95" customHeight="1">
      <c r="A2338" s="464" t="s">
        <v>6068</v>
      </c>
      <c r="B2338" s="464" t="s">
        <v>6069</v>
      </c>
      <c r="C2338" s="464"/>
      <c r="D2338" s="464" t="s">
        <v>1738</v>
      </c>
      <c r="E2338" s="464" t="s">
        <v>6070</v>
      </c>
      <c r="F2338" s="464" t="s">
        <v>6071</v>
      </c>
      <c r="G2338" s="464" t="s">
        <v>5921</v>
      </c>
      <c r="H2338" s="464" t="s">
        <v>5922</v>
      </c>
      <c r="I2338" s="464" t="s">
        <v>1684</v>
      </c>
    </row>
    <row r="2339" ht="15.95" customHeight="1">
      <c r="A2339" s="464" t="s">
        <v>6072</v>
      </c>
      <c r="B2339" s="464" t="s">
        <v>6073</v>
      </c>
      <c r="C2339" s="464"/>
      <c r="D2339" s="464" t="s">
        <v>1709</v>
      </c>
      <c r="E2339" s="464" t="s">
        <v>6070</v>
      </c>
      <c r="F2339" s="464" t="s">
        <v>6071</v>
      </c>
      <c r="G2339" s="464" t="s">
        <v>5921</v>
      </c>
      <c r="H2339" s="464" t="s">
        <v>5922</v>
      </c>
      <c r="I2339" s="464" t="s">
        <v>1684</v>
      </c>
    </row>
    <row r="2340" ht="15.95" customHeight="1">
      <c r="A2340" s="464" t="s">
        <v>6074</v>
      </c>
      <c r="B2340" s="464" t="s">
        <v>5611</v>
      </c>
      <c r="C2340" s="464"/>
      <c r="D2340" s="464" t="s">
        <v>1709</v>
      </c>
      <c r="E2340" s="464" t="s">
        <v>6070</v>
      </c>
      <c r="F2340" s="464" t="s">
        <v>6071</v>
      </c>
      <c r="G2340" s="464" t="s">
        <v>5921</v>
      </c>
      <c r="H2340" s="464" t="s">
        <v>5922</v>
      </c>
      <c r="I2340" s="464" t="s">
        <v>1684</v>
      </c>
    </row>
    <row r="2341" ht="15.95" customHeight="1">
      <c r="A2341" s="464" t="s">
        <v>6075</v>
      </c>
      <c r="B2341" s="464" t="s">
        <v>6076</v>
      </c>
      <c r="C2341" s="464"/>
      <c r="D2341" s="464" t="s">
        <v>1709</v>
      </c>
      <c r="E2341" s="464" t="s">
        <v>6070</v>
      </c>
      <c r="F2341" s="464" t="s">
        <v>6071</v>
      </c>
      <c r="G2341" s="464" t="s">
        <v>5921</v>
      </c>
      <c r="H2341" s="464" t="s">
        <v>5922</v>
      </c>
      <c r="I2341" s="464" t="s">
        <v>1684</v>
      </c>
    </row>
    <row r="2342" ht="15.95" customHeight="1">
      <c r="A2342" s="464" t="s">
        <v>6077</v>
      </c>
      <c r="B2342" s="464" t="s">
        <v>2886</v>
      </c>
      <c r="C2342" s="464"/>
      <c r="D2342" s="464" t="s">
        <v>1709</v>
      </c>
      <c r="E2342" s="464" t="s">
        <v>6070</v>
      </c>
      <c r="F2342" s="464" t="s">
        <v>6071</v>
      </c>
      <c r="G2342" s="464" t="s">
        <v>5921</v>
      </c>
      <c r="H2342" s="464" t="s">
        <v>5922</v>
      </c>
      <c r="I2342" s="464" t="s">
        <v>1684</v>
      </c>
    </row>
    <row r="2343" ht="15.95" customHeight="1">
      <c r="A2343" s="464" t="s">
        <v>6078</v>
      </c>
      <c r="B2343" s="464" t="s">
        <v>6079</v>
      </c>
      <c r="C2343" s="464"/>
      <c r="D2343" s="464" t="s">
        <v>1709</v>
      </c>
      <c r="E2343" s="464" t="s">
        <v>6070</v>
      </c>
      <c r="F2343" s="464" t="s">
        <v>6071</v>
      </c>
      <c r="G2343" s="464" t="s">
        <v>5921</v>
      </c>
      <c r="H2343" s="464" t="s">
        <v>5922</v>
      </c>
      <c r="I2343" s="464" t="s">
        <v>1684</v>
      </c>
    </row>
    <row r="2344" ht="15.95" customHeight="1">
      <c r="A2344" s="464" t="s">
        <v>6080</v>
      </c>
      <c r="B2344" s="464" t="s">
        <v>6081</v>
      </c>
      <c r="C2344" s="464"/>
      <c r="D2344" s="464" t="s">
        <v>1709</v>
      </c>
      <c r="E2344" s="464" t="s">
        <v>6070</v>
      </c>
      <c r="F2344" s="464" t="s">
        <v>6071</v>
      </c>
      <c r="G2344" s="464" t="s">
        <v>5921</v>
      </c>
      <c r="H2344" s="464" t="s">
        <v>5922</v>
      </c>
      <c r="I2344" s="464" t="s">
        <v>1684</v>
      </c>
    </row>
    <row r="2345" ht="15.95" customHeight="1">
      <c r="A2345" s="464" t="s">
        <v>6082</v>
      </c>
      <c r="B2345" s="464" t="s">
        <v>6083</v>
      </c>
      <c r="C2345" s="464"/>
      <c r="D2345" s="464" t="s">
        <v>1709</v>
      </c>
      <c r="E2345" s="464" t="s">
        <v>6070</v>
      </c>
      <c r="F2345" s="464" t="s">
        <v>6071</v>
      </c>
      <c r="G2345" s="464" t="s">
        <v>5921</v>
      </c>
      <c r="H2345" s="464" t="s">
        <v>5922</v>
      </c>
      <c r="I2345" s="464" t="s">
        <v>1684</v>
      </c>
    </row>
    <row r="2346" ht="15.95" customHeight="1">
      <c r="A2346" s="464" t="s">
        <v>6084</v>
      </c>
      <c r="B2346" s="464" t="s">
        <v>6085</v>
      </c>
      <c r="C2346" s="464"/>
      <c r="D2346" s="464" t="s">
        <v>1709</v>
      </c>
      <c r="E2346" s="464" t="s">
        <v>6070</v>
      </c>
      <c r="F2346" s="464" t="s">
        <v>6071</v>
      </c>
      <c r="G2346" s="464" t="s">
        <v>5921</v>
      </c>
      <c r="H2346" s="464" t="s">
        <v>5922</v>
      </c>
      <c r="I2346" s="464" t="s">
        <v>1684</v>
      </c>
    </row>
    <row r="2347" ht="15.95" customHeight="1">
      <c r="A2347" s="464" t="s">
        <v>6086</v>
      </c>
      <c r="B2347" s="464" t="s">
        <v>6087</v>
      </c>
      <c r="C2347" s="464"/>
      <c r="D2347" s="464" t="s">
        <v>1709</v>
      </c>
      <c r="E2347" s="464" t="s">
        <v>6070</v>
      </c>
      <c r="F2347" s="464" t="s">
        <v>6071</v>
      </c>
      <c r="G2347" s="464" t="s">
        <v>5921</v>
      </c>
      <c r="H2347" s="464" t="s">
        <v>5922</v>
      </c>
      <c r="I2347" s="464" t="s">
        <v>1684</v>
      </c>
    </row>
    <row r="2348" ht="15.95" customHeight="1">
      <c r="A2348" s="464" t="s">
        <v>6088</v>
      </c>
      <c r="B2348" s="464" t="s">
        <v>6089</v>
      </c>
      <c r="C2348" s="464"/>
      <c r="D2348" s="464" t="s">
        <v>1709</v>
      </c>
      <c r="E2348" s="464" t="s">
        <v>6070</v>
      </c>
      <c r="F2348" s="464" t="s">
        <v>6071</v>
      </c>
      <c r="G2348" s="464" t="s">
        <v>5921</v>
      </c>
      <c r="H2348" s="464" t="s">
        <v>5922</v>
      </c>
      <c r="I2348" s="464" t="s">
        <v>1684</v>
      </c>
    </row>
    <row r="2349" ht="15.95" customHeight="1">
      <c r="A2349" s="464" t="s">
        <v>6090</v>
      </c>
      <c r="B2349" s="464" t="s">
        <v>6091</v>
      </c>
      <c r="C2349" s="464"/>
      <c r="D2349" s="464" t="s">
        <v>1738</v>
      </c>
      <c r="E2349" s="464" t="s">
        <v>6092</v>
      </c>
      <c r="F2349" s="464" t="s">
        <v>6093</v>
      </c>
      <c r="G2349" s="464" t="s">
        <v>5921</v>
      </c>
      <c r="H2349" s="464" t="s">
        <v>5922</v>
      </c>
      <c r="I2349" s="464" t="s">
        <v>1684</v>
      </c>
    </row>
    <row r="2350" ht="15.95" customHeight="1">
      <c r="A2350" s="464" t="s">
        <v>6094</v>
      </c>
      <c r="B2350" s="464" t="s">
        <v>6095</v>
      </c>
      <c r="C2350" s="464"/>
      <c r="D2350" s="464" t="s">
        <v>1709</v>
      </c>
      <c r="E2350" s="464" t="s">
        <v>6092</v>
      </c>
      <c r="F2350" s="464" t="s">
        <v>6093</v>
      </c>
      <c r="G2350" s="464" t="s">
        <v>5921</v>
      </c>
      <c r="H2350" s="464" t="s">
        <v>5922</v>
      </c>
      <c r="I2350" s="464" t="s">
        <v>1684</v>
      </c>
    </row>
    <row r="2351" ht="15.95" customHeight="1">
      <c r="A2351" s="464" t="s">
        <v>6096</v>
      </c>
      <c r="B2351" s="464" t="s">
        <v>6097</v>
      </c>
      <c r="C2351" s="464"/>
      <c r="D2351" s="464" t="s">
        <v>1709</v>
      </c>
      <c r="E2351" s="464" t="s">
        <v>6092</v>
      </c>
      <c r="F2351" s="464" t="s">
        <v>6093</v>
      </c>
      <c r="G2351" s="464" t="s">
        <v>5921</v>
      </c>
      <c r="H2351" s="464" t="s">
        <v>5922</v>
      </c>
      <c r="I2351" s="464" t="s">
        <v>1684</v>
      </c>
    </row>
    <row r="2352" ht="15.95" customHeight="1">
      <c r="A2352" s="464" t="s">
        <v>6098</v>
      </c>
      <c r="B2352" s="464" t="s">
        <v>6099</v>
      </c>
      <c r="C2352" s="464"/>
      <c r="D2352" s="464" t="s">
        <v>1709</v>
      </c>
      <c r="E2352" s="464" t="s">
        <v>6092</v>
      </c>
      <c r="F2352" s="464" t="s">
        <v>6093</v>
      </c>
      <c r="G2352" s="464" t="s">
        <v>5921</v>
      </c>
      <c r="H2352" s="464" t="s">
        <v>5922</v>
      </c>
      <c r="I2352" s="464" t="s">
        <v>1684</v>
      </c>
    </row>
    <row r="2353" ht="15.95" customHeight="1">
      <c r="A2353" s="464" t="s">
        <v>6100</v>
      </c>
      <c r="B2353" s="464" t="s">
        <v>6101</v>
      </c>
      <c r="C2353" s="464"/>
      <c r="D2353" s="464" t="s">
        <v>1709</v>
      </c>
      <c r="E2353" s="464" t="s">
        <v>6092</v>
      </c>
      <c r="F2353" s="464" t="s">
        <v>6093</v>
      </c>
      <c r="G2353" s="464" t="s">
        <v>5921</v>
      </c>
      <c r="H2353" s="464" t="s">
        <v>5922</v>
      </c>
      <c r="I2353" s="464" t="s">
        <v>1684</v>
      </c>
    </row>
    <row r="2354" ht="15.95" customHeight="1">
      <c r="A2354" s="464" t="s">
        <v>6102</v>
      </c>
      <c r="B2354" s="464" t="s">
        <v>6103</v>
      </c>
      <c r="C2354" s="464"/>
      <c r="D2354" s="464" t="s">
        <v>1709</v>
      </c>
      <c r="E2354" s="464" t="s">
        <v>6092</v>
      </c>
      <c r="F2354" s="464" t="s">
        <v>6093</v>
      </c>
      <c r="G2354" s="464" t="s">
        <v>5921</v>
      </c>
      <c r="H2354" s="464" t="s">
        <v>5922</v>
      </c>
      <c r="I2354" s="464" t="s">
        <v>1684</v>
      </c>
    </row>
    <row r="2355" ht="15.95" customHeight="1">
      <c r="A2355" s="464" t="s">
        <v>6104</v>
      </c>
      <c r="B2355" s="464" t="s">
        <v>6105</v>
      </c>
      <c r="C2355" s="464"/>
      <c r="D2355" s="464" t="s">
        <v>1709</v>
      </c>
      <c r="E2355" s="464" t="s">
        <v>6092</v>
      </c>
      <c r="F2355" s="464" t="s">
        <v>6093</v>
      </c>
      <c r="G2355" s="464" t="s">
        <v>5921</v>
      </c>
      <c r="H2355" s="464" t="s">
        <v>5922</v>
      </c>
      <c r="I2355" s="464" t="s">
        <v>1684</v>
      </c>
    </row>
    <row r="2356" ht="15.95" customHeight="1">
      <c r="A2356" s="464" t="s">
        <v>6106</v>
      </c>
      <c r="B2356" s="464" t="s">
        <v>6107</v>
      </c>
      <c r="C2356" s="464"/>
      <c r="D2356" s="464" t="s">
        <v>1709</v>
      </c>
      <c r="E2356" s="464" t="s">
        <v>6092</v>
      </c>
      <c r="F2356" s="464" t="s">
        <v>6093</v>
      </c>
      <c r="G2356" s="464" t="s">
        <v>5921</v>
      </c>
      <c r="H2356" s="464" t="s">
        <v>5922</v>
      </c>
      <c r="I2356" s="464" t="s">
        <v>1684</v>
      </c>
    </row>
    <row r="2357" ht="15.95" customHeight="1">
      <c r="A2357" s="464" t="s">
        <v>6108</v>
      </c>
      <c r="B2357" s="464" t="s">
        <v>6109</v>
      </c>
      <c r="C2357" s="464"/>
      <c r="D2357" s="464" t="s">
        <v>1709</v>
      </c>
      <c r="E2357" s="464" t="s">
        <v>6092</v>
      </c>
      <c r="F2357" s="464" t="s">
        <v>6093</v>
      </c>
      <c r="G2357" s="464" t="s">
        <v>5921</v>
      </c>
      <c r="H2357" s="464" t="s">
        <v>5922</v>
      </c>
      <c r="I2357" s="464" t="s">
        <v>1684</v>
      </c>
    </row>
    <row r="2358" ht="15.95" customHeight="1">
      <c r="A2358" s="464" t="s">
        <v>6110</v>
      </c>
      <c r="B2358" s="464" t="s">
        <v>6111</v>
      </c>
      <c r="C2358" s="464"/>
      <c r="D2358" s="464" t="s">
        <v>1738</v>
      </c>
      <c r="E2358" s="464" t="s">
        <v>6112</v>
      </c>
      <c r="F2358" s="464" t="s">
        <v>6113</v>
      </c>
      <c r="G2358" s="464" t="s">
        <v>5921</v>
      </c>
      <c r="H2358" s="464" t="s">
        <v>5922</v>
      </c>
      <c r="I2358" s="464" t="s">
        <v>1684</v>
      </c>
    </row>
    <row r="2359" ht="15.95" customHeight="1">
      <c r="A2359" s="464" t="s">
        <v>6114</v>
      </c>
      <c r="B2359" s="464" t="s">
        <v>1960</v>
      </c>
      <c r="C2359" s="464"/>
      <c r="D2359" s="464" t="s">
        <v>1709</v>
      </c>
      <c r="E2359" s="464" t="s">
        <v>6112</v>
      </c>
      <c r="F2359" s="464" t="s">
        <v>6113</v>
      </c>
      <c r="G2359" s="464" t="s">
        <v>5921</v>
      </c>
      <c r="H2359" s="464" t="s">
        <v>5922</v>
      </c>
      <c r="I2359" s="464" t="s">
        <v>1684</v>
      </c>
    </row>
    <row r="2360" ht="15.95" customHeight="1">
      <c r="A2360" s="464" t="s">
        <v>6115</v>
      </c>
      <c r="B2360" s="464" t="s">
        <v>3214</v>
      </c>
      <c r="C2360" s="464"/>
      <c r="D2360" s="464" t="s">
        <v>1709</v>
      </c>
      <c r="E2360" s="464" t="s">
        <v>6112</v>
      </c>
      <c r="F2360" s="464" t="s">
        <v>6113</v>
      </c>
      <c r="G2360" s="464" t="s">
        <v>5921</v>
      </c>
      <c r="H2360" s="464" t="s">
        <v>5922</v>
      </c>
      <c r="I2360" s="464" t="s">
        <v>1684</v>
      </c>
    </row>
    <row r="2361" ht="15.95" customHeight="1">
      <c r="A2361" s="464" t="s">
        <v>6116</v>
      </c>
      <c r="B2361" s="464" t="s">
        <v>3956</v>
      </c>
      <c r="C2361" s="464"/>
      <c r="D2361" s="464" t="s">
        <v>1709</v>
      </c>
      <c r="E2361" s="464" t="s">
        <v>6112</v>
      </c>
      <c r="F2361" s="464" t="s">
        <v>6113</v>
      </c>
      <c r="G2361" s="464" t="s">
        <v>5921</v>
      </c>
      <c r="H2361" s="464" t="s">
        <v>5922</v>
      </c>
      <c r="I2361" s="464" t="s">
        <v>1684</v>
      </c>
    </row>
    <row r="2362" ht="15.95" customHeight="1">
      <c r="A2362" s="464" t="s">
        <v>6117</v>
      </c>
      <c r="B2362" s="464" t="s">
        <v>4704</v>
      </c>
      <c r="C2362" s="464" t="s">
        <v>6118</v>
      </c>
      <c r="D2362" s="464" t="s">
        <v>1709</v>
      </c>
      <c r="E2362" s="464" t="s">
        <v>6112</v>
      </c>
      <c r="F2362" s="464" t="s">
        <v>6113</v>
      </c>
      <c r="G2362" s="464" t="s">
        <v>5921</v>
      </c>
      <c r="H2362" s="464" t="s">
        <v>5922</v>
      </c>
      <c r="I2362" s="464" t="s">
        <v>1684</v>
      </c>
    </row>
    <row r="2363" ht="15.95" customHeight="1">
      <c r="A2363" s="464" t="s">
        <v>6119</v>
      </c>
      <c r="B2363" s="464" t="s">
        <v>6120</v>
      </c>
      <c r="C2363" s="464"/>
      <c r="D2363" s="464" t="s">
        <v>1709</v>
      </c>
      <c r="E2363" s="464" t="s">
        <v>6112</v>
      </c>
      <c r="F2363" s="464" t="s">
        <v>6113</v>
      </c>
      <c r="G2363" s="464" t="s">
        <v>5921</v>
      </c>
      <c r="H2363" s="464" t="s">
        <v>5922</v>
      </c>
      <c r="I2363" s="464" t="s">
        <v>1684</v>
      </c>
    </row>
    <row r="2364" ht="15.95" customHeight="1">
      <c r="A2364" s="464" t="s">
        <v>6121</v>
      </c>
      <c r="B2364" s="464" t="s">
        <v>6122</v>
      </c>
      <c r="C2364" s="464"/>
      <c r="D2364" s="464" t="s">
        <v>1709</v>
      </c>
      <c r="E2364" s="464" t="s">
        <v>6112</v>
      </c>
      <c r="F2364" s="464" t="s">
        <v>6113</v>
      </c>
      <c r="G2364" s="464" t="s">
        <v>5921</v>
      </c>
      <c r="H2364" s="464" t="s">
        <v>5922</v>
      </c>
      <c r="I2364" s="464" t="s">
        <v>1684</v>
      </c>
    </row>
    <row r="2365" ht="15.95" customHeight="1">
      <c r="A2365" s="464" t="s">
        <v>6123</v>
      </c>
      <c r="B2365" s="464" t="s">
        <v>6124</v>
      </c>
      <c r="C2365" s="464"/>
      <c r="D2365" s="464" t="s">
        <v>1709</v>
      </c>
      <c r="E2365" s="464" t="s">
        <v>6112</v>
      </c>
      <c r="F2365" s="464" t="s">
        <v>6113</v>
      </c>
      <c r="G2365" s="464" t="s">
        <v>5921</v>
      </c>
      <c r="H2365" s="464" t="s">
        <v>5922</v>
      </c>
      <c r="I2365" s="464" t="s">
        <v>1684</v>
      </c>
    </row>
    <row r="2366" ht="15.95" customHeight="1">
      <c r="A2366" s="464" t="s">
        <v>6125</v>
      </c>
      <c r="B2366" s="464" t="s">
        <v>6126</v>
      </c>
      <c r="C2366" s="464"/>
      <c r="D2366" s="464" t="s">
        <v>1709</v>
      </c>
      <c r="E2366" s="464" t="s">
        <v>6112</v>
      </c>
      <c r="F2366" s="464" t="s">
        <v>6113</v>
      </c>
      <c r="G2366" s="464" t="s">
        <v>5921</v>
      </c>
      <c r="H2366" s="464" t="s">
        <v>5922</v>
      </c>
      <c r="I2366" s="464" t="s">
        <v>1684</v>
      </c>
    </row>
    <row r="2367" ht="15.95" customHeight="1">
      <c r="A2367" s="464" t="s">
        <v>6127</v>
      </c>
      <c r="B2367" s="464" t="s">
        <v>6128</v>
      </c>
      <c r="C2367" s="464"/>
      <c r="D2367" s="464" t="s">
        <v>1709</v>
      </c>
      <c r="E2367" s="464" t="s">
        <v>6112</v>
      </c>
      <c r="F2367" s="464" t="s">
        <v>6113</v>
      </c>
      <c r="G2367" s="464" t="s">
        <v>5921</v>
      </c>
      <c r="H2367" s="464" t="s">
        <v>5922</v>
      </c>
      <c r="I2367" s="464" t="s">
        <v>1684</v>
      </c>
    </row>
    <row r="2368" ht="15.95" customHeight="1">
      <c r="A2368" s="464" t="s">
        <v>6129</v>
      </c>
      <c r="B2368" s="464" t="s">
        <v>6130</v>
      </c>
      <c r="C2368" s="464"/>
      <c r="D2368" s="464" t="s">
        <v>1709</v>
      </c>
      <c r="E2368" s="464" t="s">
        <v>6112</v>
      </c>
      <c r="F2368" s="464" t="s">
        <v>6113</v>
      </c>
      <c r="G2368" s="464" t="s">
        <v>5921</v>
      </c>
      <c r="H2368" s="464" t="s">
        <v>5922</v>
      </c>
      <c r="I2368" s="464" t="s">
        <v>1684</v>
      </c>
    </row>
    <row r="2369" ht="15.95" customHeight="1">
      <c r="A2369" s="464" t="s">
        <v>6131</v>
      </c>
      <c r="B2369" s="464" t="s">
        <v>6132</v>
      </c>
      <c r="C2369" s="464"/>
      <c r="D2369" s="464" t="s">
        <v>1738</v>
      </c>
      <c r="E2369" s="464" t="s">
        <v>6133</v>
      </c>
      <c r="F2369" s="464" t="s">
        <v>6134</v>
      </c>
      <c r="G2369" s="464" t="s">
        <v>5921</v>
      </c>
      <c r="H2369" s="464" t="s">
        <v>5922</v>
      </c>
      <c r="I2369" s="464" t="s">
        <v>1684</v>
      </c>
    </row>
    <row r="2370" ht="15.95" customHeight="1">
      <c r="A2370" s="464" t="s">
        <v>6135</v>
      </c>
      <c r="B2370" s="464" t="s">
        <v>6136</v>
      </c>
      <c r="C2370" s="464"/>
      <c r="D2370" s="464" t="s">
        <v>1709</v>
      </c>
      <c r="E2370" s="464" t="s">
        <v>6133</v>
      </c>
      <c r="F2370" s="464" t="s">
        <v>6134</v>
      </c>
      <c r="G2370" s="464" t="s">
        <v>5921</v>
      </c>
      <c r="H2370" s="464" t="s">
        <v>5922</v>
      </c>
      <c r="I2370" s="464" t="s">
        <v>1684</v>
      </c>
    </row>
    <row r="2371" ht="15.95" customHeight="1">
      <c r="A2371" s="464" t="s">
        <v>6137</v>
      </c>
      <c r="B2371" s="464" t="s">
        <v>6138</v>
      </c>
      <c r="C2371" s="464"/>
      <c r="D2371" s="464" t="s">
        <v>1709</v>
      </c>
      <c r="E2371" s="464" t="s">
        <v>6133</v>
      </c>
      <c r="F2371" s="464" t="s">
        <v>6134</v>
      </c>
      <c r="G2371" s="464" t="s">
        <v>5921</v>
      </c>
      <c r="H2371" s="464" t="s">
        <v>5922</v>
      </c>
      <c r="I2371" s="464" t="s">
        <v>1684</v>
      </c>
    </row>
    <row r="2372" ht="15.95" customHeight="1">
      <c r="A2372" s="464" t="s">
        <v>6139</v>
      </c>
      <c r="B2372" s="464" t="s">
        <v>2582</v>
      </c>
      <c r="C2372" s="464"/>
      <c r="D2372" s="464" t="s">
        <v>1709</v>
      </c>
      <c r="E2372" s="464" t="s">
        <v>6133</v>
      </c>
      <c r="F2372" s="464" t="s">
        <v>6134</v>
      </c>
      <c r="G2372" s="464" t="s">
        <v>5921</v>
      </c>
      <c r="H2372" s="464" t="s">
        <v>5922</v>
      </c>
      <c r="I2372" s="464" t="s">
        <v>1684</v>
      </c>
    </row>
    <row r="2373" ht="15.95" customHeight="1">
      <c r="A2373" s="464" t="s">
        <v>6140</v>
      </c>
      <c r="B2373" s="464" t="s">
        <v>4113</v>
      </c>
      <c r="C2373" s="464"/>
      <c r="D2373" s="464" t="s">
        <v>1709</v>
      </c>
      <c r="E2373" s="464" t="s">
        <v>6133</v>
      </c>
      <c r="F2373" s="464" t="s">
        <v>6134</v>
      </c>
      <c r="G2373" s="464" t="s">
        <v>5921</v>
      </c>
      <c r="H2373" s="464" t="s">
        <v>5922</v>
      </c>
      <c r="I2373" s="464" t="s">
        <v>1684</v>
      </c>
    </row>
    <row r="2374" ht="15.95" customHeight="1">
      <c r="A2374" s="464" t="s">
        <v>6141</v>
      </c>
      <c r="B2374" s="464" t="s">
        <v>2010</v>
      </c>
      <c r="C2374" s="464"/>
      <c r="D2374" s="464" t="s">
        <v>1709</v>
      </c>
      <c r="E2374" s="464" t="s">
        <v>6133</v>
      </c>
      <c r="F2374" s="464" t="s">
        <v>6134</v>
      </c>
      <c r="G2374" s="464" t="s">
        <v>5921</v>
      </c>
      <c r="H2374" s="464" t="s">
        <v>5922</v>
      </c>
      <c r="I2374" s="464" t="s">
        <v>1684</v>
      </c>
    </row>
    <row r="2375" ht="15.95" customHeight="1">
      <c r="A2375" s="464" t="s">
        <v>6142</v>
      </c>
      <c r="B2375" s="464" t="s">
        <v>6143</v>
      </c>
      <c r="C2375" s="464"/>
      <c r="D2375" s="464" t="s">
        <v>1709</v>
      </c>
      <c r="E2375" s="464" t="s">
        <v>6133</v>
      </c>
      <c r="F2375" s="464" t="s">
        <v>6134</v>
      </c>
      <c r="G2375" s="464" t="s">
        <v>5921</v>
      </c>
      <c r="H2375" s="464" t="s">
        <v>5922</v>
      </c>
      <c r="I2375" s="464" t="s">
        <v>1684</v>
      </c>
    </row>
    <row r="2376" ht="15.95" customHeight="1">
      <c r="A2376" s="464" t="s">
        <v>6144</v>
      </c>
      <c r="B2376" s="464" t="s">
        <v>6145</v>
      </c>
      <c r="C2376" s="464"/>
      <c r="D2376" s="464" t="s">
        <v>1709</v>
      </c>
      <c r="E2376" s="464" t="s">
        <v>6133</v>
      </c>
      <c r="F2376" s="464" t="s">
        <v>6134</v>
      </c>
      <c r="G2376" s="464" t="s">
        <v>5921</v>
      </c>
      <c r="H2376" s="464" t="s">
        <v>5922</v>
      </c>
      <c r="I2376" s="464" t="s">
        <v>1684</v>
      </c>
    </row>
    <row r="2377" ht="15.95" customHeight="1">
      <c r="A2377" s="464" t="s">
        <v>6146</v>
      </c>
      <c r="B2377" s="464" t="s">
        <v>6147</v>
      </c>
      <c r="C2377" s="464"/>
      <c r="D2377" s="464" t="s">
        <v>1738</v>
      </c>
      <c r="E2377" s="464" t="s">
        <v>6148</v>
      </c>
      <c r="F2377" s="464" t="s">
        <v>6149</v>
      </c>
      <c r="G2377" s="464" t="s">
        <v>5921</v>
      </c>
      <c r="H2377" s="464" t="s">
        <v>5922</v>
      </c>
      <c r="I2377" s="464" t="s">
        <v>1684</v>
      </c>
    </row>
    <row r="2378" ht="15.95" customHeight="1">
      <c r="A2378" s="464" t="s">
        <v>6150</v>
      </c>
      <c r="B2378" s="464" t="s">
        <v>6151</v>
      </c>
      <c r="C2378" s="464"/>
      <c r="D2378" s="464" t="s">
        <v>1738</v>
      </c>
      <c r="E2378" s="464" t="s">
        <v>6148</v>
      </c>
      <c r="F2378" s="464" t="s">
        <v>6149</v>
      </c>
      <c r="G2378" s="464" t="s">
        <v>5921</v>
      </c>
      <c r="H2378" s="464" t="s">
        <v>5922</v>
      </c>
      <c r="I2378" s="464" t="s">
        <v>1684</v>
      </c>
    </row>
    <row r="2379" ht="15.95" customHeight="1">
      <c r="A2379" s="464" t="s">
        <v>6152</v>
      </c>
      <c r="B2379" s="464" t="s">
        <v>6153</v>
      </c>
      <c r="C2379" s="464"/>
      <c r="D2379" s="464" t="s">
        <v>1709</v>
      </c>
      <c r="E2379" s="464" t="s">
        <v>6148</v>
      </c>
      <c r="F2379" s="464" t="s">
        <v>6149</v>
      </c>
      <c r="G2379" s="464" t="s">
        <v>5921</v>
      </c>
      <c r="H2379" s="464" t="s">
        <v>5922</v>
      </c>
      <c r="I2379" s="464" t="s">
        <v>1684</v>
      </c>
    </row>
    <row r="2380" ht="15.95" customHeight="1">
      <c r="A2380" s="464" t="s">
        <v>6154</v>
      </c>
      <c r="B2380" s="464" t="s">
        <v>6155</v>
      </c>
      <c r="C2380" s="464"/>
      <c r="D2380" s="464" t="s">
        <v>1709</v>
      </c>
      <c r="E2380" s="464" t="s">
        <v>6148</v>
      </c>
      <c r="F2380" s="464" t="s">
        <v>6149</v>
      </c>
      <c r="G2380" s="464" t="s">
        <v>5921</v>
      </c>
      <c r="H2380" s="464" t="s">
        <v>5922</v>
      </c>
      <c r="I2380" s="464" t="s">
        <v>1684</v>
      </c>
    </row>
    <row r="2381" ht="15.95" customHeight="1">
      <c r="A2381" s="464" t="s">
        <v>6156</v>
      </c>
      <c r="B2381" s="464" t="s">
        <v>6157</v>
      </c>
      <c r="C2381" s="464"/>
      <c r="D2381" s="464" t="s">
        <v>1709</v>
      </c>
      <c r="E2381" s="464" t="s">
        <v>6148</v>
      </c>
      <c r="F2381" s="464" t="s">
        <v>6149</v>
      </c>
      <c r="G2381" s="464" t="s">
        <v>5921</v>
      </c>
      <c r="H2381" s="464" t="s">
        <v>5922</v>
      </c>
      <c r="I2381" s="464" t="s">
        <v>1684</v>
      </c>
    </row>
    <row r="2382" ht="15.95" customHeight="1">
      <c r="A2382" s="464" t="s">
        <v>6158</v>
      </c>
      <c r="B2382" s="464" t="s">
        <v>6159</v>
      </c>
      <c r="C2382" s="464"/>
      <c r="D2382" s="464" t="s">
        <v>1709</v>
      </c>
      <c r="E2382" s="464" t="s">
        <v>6148</v>
      </c>
      <c r="F2382" s="464" t="s">
        <v>6149</v>
      </c>
      <c r="G2382" s="464" t="s">
        <v>5921</v>
      </c>
      <c r="H2382" s="464" t="s">
        <v>5922</v>
      </c>
      <c r="I2382" s="464" t="s">
        <v>1684</v>
      </c>
    </row>
    <row r="2383" ht="15.95" customHeight="1">
      <c r="A2383" s="464" t="s">
        <v>6160</v>
      </c>
      <c r="B2383" s="464" t="s">
        <v>6161</v>
      </c>
      <c r="C2383" s="464"/>
      <c r="D2383" s="464" t="s">
        <v>1709</v>
      </c>
      <c r="E2383" s="464" t="s">
        <v>6148</v>
      </c>
      <c r="F2383" s="464" t="s">
        <v>6149</v>
      </c>
      <c r="G2383" s="464" t="s">
        <v>5921</v>
      </c>
      <c r="H2383" s="464" t="s">
        <v>5922</v>
      </c>
      <c r="I2383" s="464" t="s">
        <v>1684</v>
      </c>
    </row>
    <row r="2384" ht="15.95" customHeight="1">
      <c r="A2384" s="464" t="s">
        <v>6162</v>
      </c>
      <c r="B2384" s="464" t="s">
        <v>6163</v>
      </c>
      <c r="C2384" s="464"/>
      <c r="D2384" s="464" t="s">
        <v>1709</v>
      </c>
      <c r="E2384" s="464" t="s">
        <v>6148</v>
      </c>
      <c r="F2384" s="464" t="s">
        <v>6149</v>
      </c>
      <c r="G2384" s="464" t="s">
        <v>5921</v>
      </c>
      <c r="H2384" s="464" t="s">
        <v>5922</v>
      </c>
      <c r="I2384" s="464" t="s">
        <v>1684</v>
      </c>
    </row>
    <row r="2385" ht="15.95" customHeight="1">
      <c r="A2385" s="464" t="s">
        <v>6164</v>
      </c>
      <c r="B2385" s="464" t="s">
        <v>6165</v>
      </c>
      <c r="C2385" s="464"/>
      <c r="D2385" s="464" t="s">
        <v>1709</v>
      </c>
      <c r="E2385" s="464" t="s">
        <v>6148</v>
      </c>
      <c r="F2385" s="464" t="s">
        <v>6149</v>
      </c>
      <c r="G2385" s="464" t="s">
        <v>5921</v>
      </c>
      <c r="H2385" s="464" t="s">
        <v>5922</v>
      </c>
      <c r="I2385" s="464" t="s">
        <v>1684</v>
      </c>
    </row>
    <row r="2386" ht="15.95" customHeight="1">
      <c r="A2386" s="464" t="s">
        <v>6166</v>
      </c>
      <c r="B2386" s="464" t="s">
        <v>6167</v>
      </c>
      <c r="C2386" s="464"/>
      <c r="D2386" s="464" t="s">
        <v>1709</v>
      </c>
      <c r="E2386" s="464" t="s">
        <v>6148</v>
      </c>
      <c r="F2386" s="464" t="s">
        <v>6149</v>
      </c>
      <c r="G2386" s="464" t="s">
        <v>5921</v>
      </c>
      <c r="H2386" s="464" t="s">
        <v>5922</v>
      </c>
      <c r="I2386" s="464" t="s">
        <v>1684</v>
      </c>
    </row>
    <row r="2387" ht="15.95" customHeight="1">
      <c r="A2387" s="464" t="s">
        <v>6168</v>
      </c>
      <c r="B2387" s="464" t="s">
        <v>6169</v>
      </c>
      <c r="C2387" s="464"/>
      <c r="D2387" s="464" t="s">
        <v>1709</v>
      </c>
      <c r="E2387" s="464" t="s">
        <v>6170</v>
      </c>
      <c r="F2387" s="464" t="s">
        <v>6171</v>
      </c>
      <c r="G2387" s="464" t="s">
        <v>5921</v>
      </c>
      <c r="H2387" s="464" t="s">
        <v>5922</v>
      </c>
      <c r="I2387" s="464" t="s">
        <v>1684</v>
      </c>
    </row>
    <row r="2388" ht="15.95" customHeight="1">
      <c r="A2388" s="464" t="s">
        <v>6172</v>
      </c>
      <c r="B2388" s="464" t="s">
        <v>6173</v>
      </c>
      <c r="C2388" s="464"/>
      <c r="D2388" s="464" t="s">
        <v>1709</v>
      </c>
      <c r="E2388" s="464" t="s">
        <v>6170</v>
      </c>
      <c r="F2388" s="464" t="s">
        <v>6171</v>
      </c>
      <c r="G2388" s="464" t="s">
        <v>5921</v>
      </c>
      <c r="H2388" s="464" t="s">
        <v>5922</v>
      </c>
      <c r="I2388" s="464" t="s">
        <v>1684</v>
      </c>
    </row>
    <row r="2389" ht="15.95" customHeight="1">
      <c r="A2389" s="464" t="s">
        <v>6174</v>
      </c>
      <c r="B2389" s="464" t="s">
        <v>2996</v>
      </c>
      <c r="C2389" s="464"/>
      <c r="D2389" s="464" t="s">
        <v>1709</v>
      </c>
      <c r="E2389" s="464" t="s">
        <v>6170</v>
      </c>
      <c r="F2389" s="464" t="s">
        <v>6171</v>
      </c>
      <c r="G2389" s="464" t="s">
        <v>5921</v>
      </c>
      <c r="H2389" s="464" t="s">
        <v>5922</v>
      </c>
      <c r="I2389" s="464" t="s">
        <v>1684</v>
      </c>
    </row>
    <row r="2390" ht="15.95" customHeight="1">
      <c r="A2390" s="464" t="s">
        <v>6175</v>
      </c>
      <c r="B2390" s="464" t="s">
        <v>6176</v>
      </c>
      <c r="C2390" s="464" t="s">
        <v>6177</v>
      </c>
      <c r="D2390" s="464" t="s">
        <v>1709</v>
      </c>
      <c r="E2390" s="464" t="s">
        <v>6170</v>
      </c>
      <c r="F2390" s="464" t="s">
        <v>6171</v>
      </c>
      <c r="G2390" s="464" t="s">
        <v>5921</v>
      </c>
      <c r="H2390" s="464" t="s">
        <v>5922</v>
      </c>
      <c r="I2390" s="464" t="s">
        <v>1684</v>
      </c>
    </row>
    <row r="2391" ht="15.95" customHeight="1">
      <c r="A2391" s="464" t="s">
        <v>6178</v>
      </c>
      <c r="B2391" s="464" t="s">
        <v>6179</v>
      </c>
      <c r="C2391" s="464"/>
      <c r="D2391" s="464" t="s">
        <v>1709</v>
      </c>
      <c r="E2391" s="464" t="s">
        <v>6180</v>
      </c>
      <c r="F2391" s="464" t="s">
        <v>6181</v>
      </c>
      <c r="G2391" s="464" t="s">
        <v>5921</v>
      </c>
      <c r="H2391" s="464" t="s">
        <v>5922</v>
      </c>
      <c r="I2391" s="464" t="s">
        <v>1684</v>
      </c>
    </row>
    <row r="2392" ht="15.95" customHeight="1">
      <c r="A2392" s="464" t="s">
        <v>6182</v>
      </c>
      <c r="B2392" s="464" t="s">
        <v>6183</v>
      </c>
      <c r="C2392" s="464"/>
      <c r="D2392" s="464" t="s">
        <v>1709</v>
      </c>
      <c r="E2392" s="464" t="s">
        <v>6180</v>
      </c>
      <c r="F2392" s="464" t="s">
        <v>6181</v>
      </c>
      <c r="G2392" s="464" t="s">
        <v>5921</v>
      </c>
      <c r="H2392" s="464" t="s">
        <v>5922</v>
      </c>
      <c r="I2392" s="464" t="s">
        <v>1684</v>
      </c>
    </row>
    <row r="2393" ht="15.95" customHeight="1">
      <c r="A2393" s="464" t="s">
        <v>6184</v>
      </c>
      <c r="B2393" s="464" t="s">
        <v>6185</v>
      </c>
      <c r="C2393" s="464"/>
      <c r="D2393" s="464" t="s">
        <v>1709</v>
      </c>
      <c r="E2393" s="464" t="s">
        <v>6180</v>
      </c>
      <c r="F2393" s="464" t="s">
        <v>6181</v>
      </c>
      <c r="G2393" s="464" t="s">
        <v>5921</v>
      </c>
      <c r="H2393" s="464" t="s">
        <v>5922</v>
      </c>
      <c r="I2393" s="464" t="s">
        <v>1684</v>
      </c>
    </row>
    <row r="2394" ht="15.95" customHeight="1">
      <c r="A2394" s="464" t="s">
        <v>6186</v>
      </c>
      <c r="B2394" s="464" t="s">
        <v>2937</v>
      </c>
      <c r="C2394" s="464"/>
      <c r="D2394" s="464" t="s">
        <v>1709</v>
      </c>
      <c r="E2394" s="464" t="s">
        <v>6180</v>
      </c>
      <c r="F2394" s="464" t="s">
        <v>6181</v>
      </c>
      <c r="G2394" s="464" t="s">
        <v>5921</v>
      </c>
      <c r="H2394" s="464" t="s">
        <v>5922</v>
      </c>
      <c r="I2394" s="464" t="s">
        <v>1684</v>
      </c>
    </row>
    <row r="2395" ht="15.95" customHeight="1">
      <c r="A2395" s="464" t="s">
        <v>6187</v>
      </c>
      <c r="B2395" s="464" t="s">
        <v>6188</v>
      </c>
      <c r="C2395" s="464"/>
      <c r="D2395" s="464" t="s">
        <v>1709</v>
      </c>
      <c r="E2395" s="464" t="s">
        <v>6180</v>
      </c>
      <c r="F2395" s="464" t="s">
        <v>6181</v>
      </c>
      <c r="G2395" s="464" t="s">
        <v>5921</v>
      </c>
      <c r="H2395" s="464" t="s">
        <v>5922</v>
      </c>
      <c r="I2395" s="464" t="s">
        <v>1684</v>
      </c>
    </row>
    <row r="2396" ht="15.95" customHeight="1">
      <c r="A2396" s="464" t="s">
        <v>6189</v>
      </c>
      <c r="B2396" s="464" t="s">
        <v>6190</v>
      </c>
      <c r="C2396" s="464"/>
      <c r="D2396" s="464" t="s">
        <v>1709</v>
      </c>
      <c r="E2396" s="464" t="s">
        <v>6180</v>
      </c>
      <c r="F2396" s="464" t="s">
        <v>6181</v>
      </c>
      <c r="G2396" s="464" t="s">
        <v>5921</v>
      </c>
      <c r="H2396" s="464" t="s">
        <v>5922</v>
      </c>
      <c r="I2396" s="464" t="s">
        <v>1684</v>
      </c>
    </row>
    <row r="2397" ht="15.95" customHeight="1">
      <c r="A2397" s="464" t="s">
        <v>6191</v>
      </c>
      <c r="B2397" s="464" t="s">
        <v>5897</v>
      </c>
      <c r="C2397" s="464" t="s">
        <v>6192</v>
      </c>
      <c r="D2397" s="464" t="s">
        <v>1709</v>
      </c>
      <c r="E2397" s="464" t="s">
        <v>6193</v>
      </c>
      <c r="F2397" s="464" t="s">
        <v>6194</v>
      </c>
      <c r="G2397" s="464" t="s">
        <v>5921</v>
      </c>
      <c r="H2397" s="464" t="s">
        <v>5922</v>
      </c>
      <c r="I2397" s="464" t="s">
        <v>1684</v>
      </c>
    </row>
    <row r="2398" ht="15.95" customHeight="1">
      <c r="A2398" s="464" t="s">
        <v>6195</v>
      </c>
      <c r="B2398" s="464" t="s">
        <v>6196</v>
      </c>
      <c r="C2398" s="464"/>
      <c r="D2398" s="464" t="s">
        <v>1709</v>
      </c>
      <c r="E2398" s="464" t="s">
        <v>6193</v>
      </c>
      <c r="F2398" s="464" t="s">
        <v>6194</v>
      </c>
      <c r="G2398" s="464" t="s">
        <v>5921</v>
      </c>
      <c r="H2398" s="464" t="s">
        <v>5922</v>
      </c>
      <c r="I2398" s="464" t="s">
        <v>1684</v>
      </c>
    </row>
    <row r="2399" ht="15.95" customHeight="1">
      <c r="A2399" s="464" t="s">
        <v>6197</v>
      </c>
      <c r="B2399" s="464" t="s">
        <v>6198</v>
      </c>
      <c r="C2399" s="464"/>
      <c r="D2399" s="464" t="s">
        <v>1709</v>
      </c>
      <c r="E2399" s="464" t="s">
        <v>6193</v>
      </c>
      <c r="F2399" s="464" t="s">
        <v>6194</v>
      </c>
      <c r="G2399" s="464" t="s">
        <v>5921</v>
      </c>
      <c r="H2399" s="464" t="s">
        <v>5922</v>
      </c>
      <c r="I2399" s="464" t="s">
        <v>1684</v>
      </c>
    </row>
    <row r="2400" ht="15.95" customHeight="1">
      <c r="A2400" s="464" t="s">
        <v>6199</v>
      </c>
      <c r="B2400" s="464" t="s">
        <v>3181</v>
      </c>
      <c r="C2400" s="464" t="s">
        <v>6200</v>
      </c>
      <c r="D2400" s="464" t="s">
        <v>1709</v>
      </c>
      <c r="E2400" s="464" t="s">
        <v>6193</v>
      </c>
      <c r="F2400" s="464" t="s">
        <v>6194</v>
      </c>
      <c r="G2400" s="464" t="s">
        <v>5921</v>
      </c>
      <c r="H2400" s="464" t="s">
        <v>5922</v>
      </c>
      <c r="I2400" s="464" t="s">
        <v>1684</v>
      </c>
    </row>
    <row r="2401" ht="15.95" customHeight="1">
      <c r="A2401" s="464" t="s">
        <v>6201</v>
      </c>
      <c r="B2401" s="464" t="s">
        <v>4480</v>
      </c>
      <c r="C2401" s="464"/>
      <c r="D2401" s="464" t="s">
        <v>1709</v>
      </c>
      <c r="E2401" s="464" t="s">
        <v>6193</v>
      </c>
      <c r="F2401" s="464" t="s">
        <v>6194</v>
      </c>
      <c r="G2401" s="464" t="s">
        <v>5921</v>
      </c>
      <c r="H2401" s="464" t="s">
        <v>5922</v>
      </c>
      <c r="I2401" s="464" t="s">
        <v>1684</v>
      </c>
    </row>
    <row r="2402" ht="15.95" customHeight="1">
      <c r="A2402" s="464" t="s">
        <v>6202</v>
      </c>
      <c r="B2402" s="464" t="s">
        <v>6203</v>
      </c>
      <c r="C2402" s="464"/>
      <c r="D2402" s="464" t="s">
        <v>1679</v>
      </c>
      <c r="E2402" s="464" t="s">
        <v>6204</v>
      </c>
      <c r="F2402" s="464" t="s">
        <v>6205</v>
      </c>
      <c r="G2402" s="464" t="s">
        <v>6206</v>
      </c>
      <c r="H2402" s="464" t="s">
        <v>6207</v>
      </c>
      <c r="I2402" s="464" t="s">
        <v>1684</v>
      </c>
    </row>
    <row r="2403" ht="15.95" customHeight="1">
      <c r="A2403" s="464" t="s">
        <v>6208</v>
      </c>
      <c r="B2403" s="464" t="s">
        <v>5419</v>
      </c>
      <c r="C2403" s="464"/>
      <c r="D2403" s="464" t="s">
        <v>1679</v>
      </c>
      <c r="E2403" s="464" t="s">
        <v>6204</v>
      </c>
      <c r="F2403" s="464" t="s">
        <v>6205</v>
      </c>
      <c r="G2403" s="464" t="s">
        <v>6206</v>
      </c>
      <c r="H2403" s="464" t="s">
        <v>6207</v>
      </c>
      <c r="I2403" s="464" t="s">
        <v>1684</v>
      </c>
    </row>
    <row r="2404" ht="15.95" customHeight="1">
      <c r="A2404" s="464" t="s">
        <v>6209</v>
      </c>
      <c r="B2404" s="464" t="s">
        <v>6210</v>
      </c>
      <c r="C2404" s="464"/>
      <c r="D2404" s="464" t="s">
        <v>1679</v>
      </c>
      <c r="E2404" s="464" t="s">
        <v>6204</v>
      </c>
      <c r="F2404" s="464" t="s">
        <v>6205</v>
      </c>
      <c r="G2404" s="464" t="s">
        <v>6206</v>
      </c>
      <c r="H2404" s="464" t="s">
        <v>6207</v>
      </c>
      <c r="I2404" s="464" t="s">
        <v>1684</v>
      </c>
    </row>
    <row r="2405" ht="15.95" customHeight="1">
      <c r="A2405" s="464" t="s">
        <v>6211</v>
      </c>
      <c r="B2405" s="464" t="s">
        <v>6212</v>
      </c>
      <c r="C2405" s="464"/>
      <c r="D2405" s="464" t="s">
        <v>1679</v>
      </c>
      <c r="E2405" s="464" t="s">
        <v>6204</v>
      </c>
      <c r="F2405" s="464" t="s">
        <v>6205</v>
      </c>
      <c r="G2405" s="464" t="s">
        <v>6206</v>
      </c>
      <c r="H2405" s="464" t="s">
        <v>6207</v>
      </c>
      <c r="I2405" s="464" t="s">
        <v>1684</v>
      </c>
    </row>
    <row r="2406" ht="15.95" customHeight="1">
      <c r="A2406" s="464" t="s">
        <v>6213</v>
      </c>
      <c r="B2406" s="464" t="s">
        <v>6214</v>
      </c>
      <c r="C2406" s="464"/>
      <c r="D2406" s="464" t="s">
        <v>1679</v>
      </c>
      <c r="E2406" s="464" t="s">
        <v>6204</v>
      </c>
      <c r="F2406" s="464" t="s">
        <v>6205</v>
      </c>
      <c r="G2406" s="464" t="s">
        <v>6206</v>
      </c>
      <c r="H2406" s="464" t="s">
        <v>6207</v>
      </c>
      <c r="I2406" s="464" t="s">
        <v>1684</v>
      </c>
    </row>
    <row r="2407" ht="15.95" customHeight="1">
      <c r="A2407" s="464" t="s">
        <v>6215</v>
      </c>
      <c r="B2407" s="464" t="s">
        <v>6216</v>
      </c>
      <c r="C2407" s="464"/>
      <c r="D2407" s="464" t="s">
        <v>1679</v>
      </c>
      <c r="E2407" s="464" t="s">
        <v>6204</v>
      </c>
      <c r="F2407" s="464" t="s">
        <v>6205</v>
      </c>
      <c r="G2407" s="464" t="s">
        <v>6206</v>
      </c>
      <c r="H2407" s="464" t="s">
        <v>6207</v>
      </c>
      <c r="I2407" s="464" t="s">
        <v>1684</v>
      </c>
    </row>
    <row r="2408" ht="15.95" customHeight="1">
      <c r="A2408" s="464" t="s">
        <v>6217</v>
      </c>
      <c r="B2408" s="464" t="s">
        <v>1299</v>
      </c>
      <c r="C2408" s="464"/>
      <c r="D2408" s="464" t="s">
        <v>1679</v>
      </c>
      <c r="E2408" s="464" t="s">
        <v>6204</v>
      </c>
      <c r="F2408" s="464" t="s">
        <v>6205</v>
      </c>
      <c r="G2408" s="464" t="s">
        <v>6206</v>
      </c>
      <c r="H2408" s="464" t="s">
        <v>6207</v>
      </c>
      <c r="I2408" s="464" t="s">
        <v>1684</v>
      </c>
    </row>
    <row r="2409" ht="15.95" customHeight="1">
      <c r="A2409" s="464" t="s">
        <v>6218</v>
      </c>
      <c r="B2409" s="464" t="s">
        <v>1209</v>
      </c>
      <c r="C2409" s="464"/>
      <c r="D2409" s="464" t="s">
        <v>1679</v>
      </c>
      <c r="E2409" s="464" t="s">
        <v>6204</v>
      </c>
      <c r="F2409" s="464" t="s">
        <v>6205</v>
      </c>
      <c r="G2409" s="464" t="s">
        <v>6206</v>
      </c>
      <c r="H2409" s="464" t="s">
        <v>6207</v>
      </c>
      <c r="I2409" s="464" t="s">
        <v>1684</v>
      </c>
    </row>
    <row r="2410" ht="15.95" customHeight="1">
      <c r="A2410" s="464" t="s">
        <v>6219</v>
      </c>
      <c r="B2410" s="464" t="s">
        <v>2992</v>
      </c>
      <c r="C2410" s="464"/>
      <c r="D2410" s="464" t="s">
        <v>1679</v>
      </c>
      <c r="E2410" s="464" t="s">
        <v>6204</v>
      </c>
      <c r="F2410" s="464" t="s">
        <v>6205</v>
      </c>
      <c r="G2410" s="464" t="s">
        <v>6206</v>
      </c>
      <c r="H2410" s="464" t="s">
        <v>6207</v>
      </c>
      <c r="I2410" s="464" t="s">
        <v>1684</v>
      </c>
    </row>
    <row r="2411" ht="15.95" customHeight="1">
      <c r="A2411" s="464" t="s">
        <v>6220</v>
      </c>
      <c r="B2411" s="464" t="s">
        <v>6221</v>
      </c>
      <c r="C2411" s="464"/>
      <c r="D2411" s="464" t="s">
        <v>1679</v>
      </c>
      <c r="E2411" s="464" t="s">
        <v>6204</v>
      </c>
      <c r="F2411" s="464" t="s">
        <v>6205</v>
      </c>
      <c r="G2411" s="464" t="s">
        <v>6206</v>
      </c>
      <c r="H2411" s="464" t="s">
        <v>6207</v>
      </c>
      <c r="I2411" s="464" t="s">
        <v>1684</v>
      </c>
    </row>
    <row r="2412" ht="15.95" customHeight="1">
      <c r="A2412" s="464" t="s">
        <v>6222</v>
      </c>
      <c r="B2412" s="464" t="s">
        <v>6223</v>
      </c>
      <c r="C2412" s="464"/>
      <c r="D2412" s="464" t="s">
        <v>1679</v>
      </c>
      <c r="E2412" s="464" t="s">
        <v>6204</v>
      </c>
      <c r="F2412" s="464" t="s">
        <v>6205</v>
      </c>
      <c r="G2412" s="464" t="s">
        <v>6206</v>
      </c>
      <c r="H2412" s="464" t="s">
        <v>6207</v>
      </c>
      <c r="I2412" s="464" t="s">
        <v>1684</v>
      </c>
    </row>
    <row r="2413" ht="15.95" customHeight="1">
      <c r="A2413" s="464" t="s">
        <v>6224</v>
      </c>
      <c r="B2413" s="464" t="s">
        <v>3747</v>
      </c>
      <c r="C2413" s="464"/>
      <c r="D2413" s="464" t="s">
        <v>1679</v>
      </c>
      <c r="E2413" s="464" t="s">
        <v>6204</v>
      </c>
      <c r="F2413" s="464" t="s">
        <v>6205</v>
      </c>
      <c r="G2413" s="464" t="s">
        <v>6206</v>
      </c>
      <c r="H2413" s="464" t="s">
        <v>6207</v>
      </c>
      <c r="I2413" s="464" t="s">
        <v>1684</v>
      </c>
    </row>
    <row r="2414" ht="15.95" customHeight="1">
      <c r="A2414" s="464" t="s">
        <v>6225</v>
      </c>
      <c r="B2414" s="464" t="s">
        <v>2980</v>
      </c>
      <c r="C2414" s="464"/>
      <c r="D2414" s="464" t="s">
        <v>1679</v>
      </c>
      <c r="E2414" s="464" t="s">
        <v>6204</v>
      </c>
      <c r="F2414" s="464" t="s">
        <v>6205</v>
      </c>
      <c r="G2414" s="464" t="s">
        <v>6206</v>
      </c>
      <c r="H2414" s="464" t="s">
        <v>6207</v>
      </c>
      <c r="I2414" s="464" t="s">
        <v>1684</v>
      </c>
    </row>
    <row r="2415" ht="15.95" customHeight="1">
      <c r="A2415" s="464" t="s">
        <v>6226</v>
      </c>
      <c r="B2415" s="464" t="s">
        <v>6227</v>
      </c>
      <c r="C2415" s="464"/>
      <c r="D2415" s="464" t="s">
        <v>1679</v>
      </c>
      <c r="E2415" s="464" t="s">
        <v>6228</v>
      </c>
      <c r="F2415" s="464" t="s">
        <v>6229</v>
      </c>
      <c r="G2415" s="464" t="s">
        <v>6206</v>
      </c>
      <c r="H2415" s="464" t="s">
        <v>6207</v>
      </c>
      <c r="I2415" s="464" t="s">
        <v>1684</v>
      </c>
    </row>
    <row r="2416" ht="15.95" customHeight="1">
      <c r="A2416" s="464" t="s">
        <v>6230</v>
      </c>
      <c r="B2416" s="464" t="s">
        <v>2910</v>
      </c>
      <c r="C2416" s="464"/>
      <c r="D2416" s="464" t="s">
        <v>1679</v>
      </c>
      <c r="E2416" s="464" t="s">
        <v>6228</v>
      </c>
      <c r="F2416" s="464" t="s">
        <v>6229</v>
      </c>
      <c r="G2416" s="464" t="s">
        <v>6206</v>
      </c>
      <c r="H2416" s="464" t="s">
        <v>6207</v>
      </c>
      <c r="I2416" s="464" t="s">
        <v>1684</v>
      </c>
    </row>
    <row r="2417" ht="15.95" customHeight="1">
      <c r="A2417" s="464" t="s">
        <v>6231</v>
      </c>
      <c r="B2417" s="464" t="s">
        <v>6232</v>
      </c>
      <c r="C2417" s="464"/>
      <c r="D2417" s="464" t="s">
        <v>1679</v>
      </c>
      <c r="E2417" s="464" t="s">
        <v>6228</v>
      </c>
      <c r="F2417" s="464" t="s">
        <v>6229</v>
      </c>
      <c r="G2417" s="464" t="s">
        <v>6206</v>
      </c>
      <c r="H2417" s="464" t="s">
        <v>6207</v>
      </c>
      <c r="I2417" s="464" t="s">
        <v>1684</v>
      </c>
    </row>
    <row r="2418" ht="15.95" customHeight="1">
      <c r="A2418" s="464" t="s">
        <v>6233</v>
      </c>
      <c r="B2418" s="464" t="s">
        <v>5707</v>
      </c>
      <c r="C2418" s="464"/>
      <c r="D2418" s="464" t="s">
        <v>1679</v>
      </c>
      <c r="E2418" s="464" t="s">
        <v>6228</v>
      </c>
      <c r="F2418" s="464" t="s">
        <v>6229</v>
      </c>
      <c r="G2418" s="464" t="s">
        <v>6206</v>
      </c>
      <c r="H2418" s="464" t="s">
        <v>6207</v>
      </c>
      <c r="I2418" s="464" t="s">
        <v>1684</v>
      </c>
    </row>
    <row r="2419" ht="15.95" customHeight="1">
      <c r="A2419" s="464" t="s">
        <v>6234</v>
      </c>
      <c r="B2419" s="464" t="s">
        <v>3550</v>
      </c>
      <c r="C2419" s="464"/>
      <c r="D2419" s="464" t="s">
        <v>1679</v>
      </c>
      <c r="E2419" s="464" t="s">
        <v>6228</v>
      </c>
      <c r="F2419" s="464" t="s">
        <v>6229</v>
      </c>
      <c r="G2419" s="464" t="s">
        <v>6206</v>
      </c>
      <c r="H2419" s="464" t="s">
        <v>6207</v>
      </c>
      <c r="I2419" s="464" t="s">
        <v>1684</v>
      </c>
    </row>
    <row r="2420" ht="15.95" customHeight="1">
      <c r="A2420" s="464" t="s">
        <v>6235</v>
      </c>
      <c r="B2420" s="464" t="s">
        <v>6236</v>
      </c>
      <c r="C2420" s="464"/>
      <c r="D2420" s="464" t="s">
        <v>1679</v>
      </c>
      <c r="E2420" s="464" t="s">
        <v>6228</v>
      </c>
      <c r="F2420" s="464" t="s">
        <v>6229</v>
      </c>
      <c r="G2420" s="464" t="s">
        <v>6206</v>
      </c>
      <c r="H2420" s="464" t="s">
        <v>6207</v>
      </c>
      <c r="I2420" s="464" t="s">
        <v>1684</v>
      </c>
    </row>
    <row r="2421" ht="15.95" customHeight="1">
      <c r="A2421" s="464" t="s">
        <v>6237</v>
      </c>
      <c r="B2421" s="464" t="s">
        <v>6238</v>
      </c>
      <c r="C2421" s="464"/>
      <c r="D2421" s="464" t="s">
        <v>1679</v>
      </c>
      <c r="E2421" s="464" t="s">
        <v>6228</v>
      </c>
      <c r="F2421" s="464" t="s">
        <v>6229</v>
      </c>
      <c r="G2421" s="464" t="s">
        <v>6206</v>
      </c>
      <c r="H2421" s="464" t="s">
        <v>6207</v>
      </c>
      <c r="I2421" s="464" t="s">
        <v>1684</v>
      </c>
    </row>
    <row r="2422" ht="15.95" customHeight="1">
      <c r="A2422" s="464" t="s">
        <v>6239</v>
      </c>
      <c r="B2422" s="464" t="s">
        <v>6240</v>
      </c>
      <c r="C2422" s="464"/>
      <c r="D2422" s="464" t="s">
        <v>1679</v>
      </c>
      <c r="E2422" s="464" t="s">
        <v>6241</v>
      </c>
      <c r="F2422" s="464" t="s">
        <v>6242</v>
      </c>
      <c r="G2422" s="464" t="s">
        <v>6206</v>
      </c>
      <c r="H2422" s="464" t="s">
        <v>6207</v>
      </c>
      <c r="I2422" s="464" t="s">
        <v>1684</v>
      </c>
    </row>
    <row r="2423" ht="15.95" customHeight="1">
      <c r="A2423" s="464" t="s">
        <v>6243</v>
      </c>
      <c r="B2423" s="464" t="s">
        <v>6244</v>
      </c>
      <c r="C2423" s="464"/>
      <c r="D2423" s="464" t="s">
        <v>1679</v>
      </c>
      <c r="E2423" s="464" t="s">
        <v>6241</v>
      </c>
      <c r="F2423" s="464" t="s">
        <v>6242</v>
      </c>
      <c r="G2423" s="464" t="s">
        <v>6206</v>
      </c>
      <c r="H2423" s="464" t="s">
        <v>6207</v>
      </c>
      <c r="I2423" s="464" t="s">
        <v>1684</v>
      </c>
    </row>
    <row r="2424" ht="15.95" customHeight="1">
      <c r="A2424" s="464" t="s">
        <v>6245</v>
      </c>
      <c r="B2424" s="464" t="s">
        <v>6246</v>
      </c>
      <c r="C2424" s="464"/>
      <c r="D2424" s="464" t="s">
        <v>1679</v>
      </c>
      <c r="E2424" s="464" t="s">
        <v>6241</v>
      </c>
      <c r="F2424" s="464" t="s">
        <v>6242</v>
      </c>
      <c r="G2424" s="464" t="s">
        <v>6206</v>
      </c>
      <c r="H2424" s="464" t="s">
        <v>6207</v>
      </c>
      <c r="I2424" s="464" t="s">
        <v>1684</v>
      </c>
    </row>
    <row r="2425" ht="15.95" customHeight="1">
      <c r="A2425" s="464" t="s">
        <v>6247</v>
      </c>
      <c r="B2425" s="464" t="s">
        <v>6248</v>
      </c>
      <c r="C2425" s="464"/>
      <c r="D2425" s="464" t="s">
        <v>1679</v>
      </c>
      <c r="E2425" s="464" t="s">
        <v>6241</v>
      </c>
      <c r="F2425" s="464" t="s">
        <v>6242</v>
      </c>
      <c r="G2425" s="464" t="s">
        <v>6206</v>
      </c>
      <c r="H2425" s="464" t="s">
        <v>6207</v>
      </c>
      <c r="I2425" s="464" t="s">
        <v>1684</v>
      </c>
    </row>
    <row r="2426" ht="15.95" customHeight="1">
      <c r="A2426" s="464" t="s">
        <v>6249</v>
      </c>
      <c r="B2426" s="464" t="s">
        <v>6250</v>
      </c>
      <c r="C2426" s="464"/>
      <c r="D2426" s="464" t="s">
        <v>1679</v>
      </c>
      <c r="E2426" s="464" t="s">
        <v>6241</v>
      </c>
      <c r="F2426" s="464" t="s">
        <v>6242</v>
      </c>
      <c r="G2426" s="464" t="s">
        <v>6206</v>
      </c>
      <c r="H2426" s="464" t="s">
        <v>6207</v>
      </c>
      <c r="I2426" s="464" t="s">
        <v>1684</v>
      </c>
    </row>
    <row r="2427" ht="15.95" customHeight="1">
      <c r="A2427" s="464" t="s">
        <v>6251</v>
      </c>
      <c r="B2427" s="464" t="s">
        <v>6252</v>
      </c>
      <c r="C2427" s="464"/>
      <c r="D2427" s="464" t="s">
        <v>1679</v>
      </c>
      <c r="E2427" s="464" t="s">
        <v>6241</v>
      </c>
      <c r="F2427" s="464" t="s">
        <v>6242</v>
      </c>
      <c r="G2427" s="464" t="s">
        <v>6206</v>
      </c>
      <c r="H2427" s="464" t="s">
        <v>6207</v>
      </c>
      <c r="I2427" s="464" t="s">
        <v>1684</v>
      </c>
    </row>
    <row r="2428" ht="15.95" customHeight="1">
      <c r="A2428" s="464" t="s">
        <v>6253</v>
      </c>
      <c r="B2428" s="464" t="s">
        <v>6254</v>
      </c>
      <c r="C2428" s="464"/>
      <c r="D2428" s="464" t="s">
        <v>1679</v>
      </c>
      <c r="E2428" s="464" t="s">
        <v>6241</v>
      </c>
      <c r="F2428" s="464" t="s">
        <v>6242</v>
      </c>
      <c r="G2428" s="464" t="s">
        <v>6206</v>
      </c>
      <c r="H2428" s="464" t="s">
        <v>6207</v>
      </c>
      <c r="I2428" s="464" t="s">
        <v>1684</v>
      </c>
    </row>
    <row r="2429" ht="15.95" customHeight="1">
      <c r="A2429" s="464" t="s">
        <v>6255</v>
      </c>
      <c r="B2429" s="464" t="s">
        <v>6256</v>
      </c>
      <c r="C2429" s="464"/>
      <c r="D2429" s="464" t="s">
        <v>1679</v>
      </c>
      <c r="E2429" s="464" t="s">
        <v>6241</v>
      </c>
      <c r="F2429" s="464" t="s">
        <v>6242</v>
      </c>
      <c r="G2429" s="464" t="s">
        <v>6206</v>
      </c>
      <c r="H2429" s="464" t="s">
        <v>6207</v>
      </c>
      <c r="I2429" s="464" t="s">
        <v>1684</v>
      </c>
    </row>
    <row r="2430" ht="15.95" customHeight="1">
      <c r="A2430" s="464" t="s">
        <v>6257</v>
      </c>
      <c r="B2430" s="464" t="s">
        <v>6258</v>
      </c>
      <c r="C2430" s="464"/>
      <c r="D2430" s="464" t="s">
        <v>1679</v>
      </c>
      <c r="E2430" s="464" t="s">
        <v>6259</v>
      </c>
      <c r="F2430" s="464" t="s">
        <v>6260</v>
      </c>
      <c r="G2430" s="464" t="s">
        <v>6206</v>
      </c>
      <c r="H2430" s="464" t="s">
        <v>6207</v>
      </c>
      <c r="I2430" s="464" t="s">
        <v>1684</v>
      </c>
    </row>
    <row r="2431" ht="15.95" customHeight="1">
      <c r="A2431" s="464" t="s">
        <v>6261</v>
      </c>
      <c r="B2431" s="464" t="s">
        <v>6262</v>
      </c>
      <c r="C2431" s="464"/>
      <c r="D2431" s="464" t="s">
        <v>1679</v>
      </c>
      <c r="E2431" s="464" t="s">
        <v>6259</v>
      </c>
      <c r="F2431" s="464" t="s">
        <v>6260</v>
      </c>
      <c r="G2431" s="464" t="s">
        <v>6206</v>
      </c>
      <c r="H2431" s="464" t="s">
        <v>6207</v>
      </c>
      <c r="I2431" s="464" t="s">
        <v>1684</v>
      </c>
    </row>
    <row r="2432" ht="15.95" customHeight="1">
      <c r="A2432" s="464" t="s">
        <v>6263</v>
      </c>
      <c r="B2432" s="464" t="s">
        <v>6264</v>
      </c>
      <c r="C2432" s="464"/>
      <c r="D2432" s="464" t="s">
        <v>1679</v>
      </c>
      <c r="E2432" s="464" t="s">
        <v>6259</v>
      </c>
      <c r="F2432" s="464" t="s">
        <v>6260</v>
      </c>
      <c r="G2432" s="464" t="s">
        <v>6206</v>
      </c>
      <c r="H2432" s="464" t="s">
        <v>6207</v>
      </c>
      <c r="I2432" s="464" t="s">
        <v>1684</v>
      </c>
    </row>
    <row r="2433" ht="15.95" customHeight="1">
      <c r="A2433" s="464" t="s">
        <v>6265</v>
      </c>
      <c r="B2433" s="464" t="s">
        <v>6266</v>
      </c>
      <c r="C2433" s="464"/>
      <c r="D2433" s="464" t="s">
        <v>1679</v>
      </c>
      <c r="E2433" s="464" t="s">
        <v>6259</v>
      </c>
      <c r="F2433" s="464" t="s">
        <v>6260</v>
      </c>
      <c r="G2433" s="464" t="s">
        <v>6206</v>
      </c>
      <c r="H2433" s="464" t="s">
        <v>6207</v>
      </c>
      <c r="I2433" s="464" t="s">
        <v>1684</v>
      </c>
    </row>
    <row r="2434" ht="15.95" customHeight="1">
      <c r="A2434" s="464" t="s">
        <v>6267</v>
      </c>
      <c r="B2434" s="464" t="s">
        <v>6268</v>
      </c>
      <c r="C2434" s="464"/>
      <c r="D2434" s="464" t="s">
        <v>1679</v>
      </c>
      <c r="E2434" s="464" t="s">
        <v>6259</v>
      </c>
      <c r="F2434" s="464" t="s">
        <v>6260</v>
      </c>
      <c r="G2434" s="464" t="s">
        <v>6206</v>
      </c>
      <c r="H2434" s="464" t="s">
        <v>6207</v>
      </c>
      <c r="I2434" s="464" t="s">
        <v>1684</v>
      </c>
    </row>
    <row r="2435" ht="15.95" customHeight="1">
      <c r="A2435" s="464" t="s">
        <v>6269</v>
      </c>
      <c r="B2435" s="464" t="s">
        <v>6270</v>
      </c>
      <c r="C2435" s="464"/>
      <c r="D2435" s="464" t="s">
        <v>1679</v>
      </c>
      <c r="E2435" s="464" t="s">
        <v>6259</v>
      </c>
      <c r="F2435" s="464" t="s">
        <v>6260</v>
      </c>
      <c r="G2435" s="464" t="s">
        <v>6206</v>
      </c>
      <c r="H2435" s="464" t="s">
        <v>6207</v>
      </c>
      <c r="I2435" s="464" t="s">
        <v>1684</v>
      </c>
    </row>
    <row r="2436" ht="15.95" customHeight="1">
      <c r="A2436" s="464" t="s">
        <v>6271</v>
      </c>
      <c r="B2436" s="464" t="s">
        <v>2428</v>
      </c>
      <c r="C2436" s="464"/>
      <c r="D2436" s="464" t="s">
        <v>1679</v>
      </c>
      <c r="E2436" s="464" t="s">
        <v>6259</v>
      </c>
      <c r="F2436" s="464" t="s">
        <v>6260</v>
      </c>
      <c r="G2436" s="464" t="s">
        <v>6206</v>
      </c>
      <c r="H2436" s="464" t="s">
        <v>6207</v>
      </c>
      <c r="I2436" s="464" t="s">
        <v>1684</v>
      </c>
    </row>
    <row r="2437" ht="15.95" customHeight="1">
      <c r="A2437" s="464" t="s">
        <v>6272</v>
      </c>
      <c r="B2437" s="464" t="s">
        <v>6273</v>
      </c>
      <c r="C2437" s="464"/>
      <c r="D2437" s="464" t="s">
        <v>1679</v>
      </c>
      <c r="E2437" s="464" t="s">
        <v>6274</v>
      </c>
      <c r="F2437" s="464" t="s">
        <v>6275</v>
      </c>
      <c r="G2437" s="464" t="s">
        <v>6206</v>
      </c>
      <c r="H2437" s="464" t="s">
        <v>6207</v>
      </c>
      <c r="I2437" s="464" t="s">
        <v>1684</v>
      </c>
    </row>
    <row r="2438" ht="15.95" customHeight="1">
      <c r="A2438" s="464" t="s">
        <v>6276</v>
      </c>
      <c r="B2438" s="464" t="s">
        <v>6277</v>
      </c>
      <c r="C2438" s="464"/>
      <c r="D2438" s="464" t="s">
        <v>1679</v>
      </c>
      <c r="E2438" s="464" t="s">
        <v>6274</v>
      </c>
      <c r="F2438" s="464" t="s">
        <v>6275</v>
      </c>
      <c r="G2438" s="464" t="s">
        <v>6206</v>
      </c>
      <c r="H2438" s="464" t="s">
        <v>6207</v>
      </c>
      <c r="I2438" s="464" t="s">
        <v>1684</v>
      </c>
    </row>
    <row r="2439" ht="15.95" customHeight="1">
      <c r="A2439" s="464" t="s">
        <v>6278</v>
      </c>
      <c r="B2439" s="464" t="s">
        <v>6279</v>
      </c>
      <c r="C2439" s="464"/>
      <c r="D2439" s="464" t="s">
        <v>1679</v>
      </c>
      <c r="E2439" s="464" t="s">
        <v>6274</v>
      </c>
      <c r="F2439" s="464" t="s">
        <v>6275</v>
      </c>
      <c r="G2439" s="464" t="s">
        <v>6206</v>
      </c>
      <c r="H2439" s="464" t="s">
        <v>6207</v>
      </c>
      <c r="I2439" s="464" t="s">
        <v>1684</v>
      </c>
    </row>
    <row r="2440" ht="15.95" customHeight="1">
      <c r="A2440" s="464" t="s">
        <v>6280</v>
      </c>
      <c r="B2440" s="464" t="s">
        <v>6281</v>
      </c>
      <c r="C2440" s="464"/>
      <c r="D2440" s="464" t="s">
        <v>1679</v>
      </c>
      <c r="E2440" s="464" t="s">
        <v>6274</v>
      </c>
      <c r="F2440" s="464" t="s">
        <v>6275</v>
      </c>
      <c r="G2440" s="464" t="s">
        <v>6206</v>
      </c>
      <c r="H2440" s="464" t="s">
        <v>6207</v>
      </c>
      <c r="I2440" s="464" t="s">
        <v>1684</v>
      </c>
    </row>
    <row r="2441" ht="15.95" customHeight="1">
      <c r="A2441" s="464" t="s">
        <v>6282</v>
      </c>
      <c r="B2441" s="464" t="s">
        <v>6283</v>
      </c>
      <c r="C2441" s="464"/>
      <c r="D2441" s="464" t="s">
        <v>1679</v>
      </c>
      <c r="E2441" s="464" t="s">
        <v>6274</v>
      </c>
      <c r="F2441" s="464" t="s">
        <v>6275</v>
      </c>
      <c r="G2441" s="464" t="s">
        <v>6206</v>
      </c>
      <c r="H2441" s="464" t="s">
        <v>6207</v>
      </c>
      <c r="I2441" s="464" t="s">
        <v>1684</v>
      </c>
    </row>
    <row r="2442" ht="15.95" customHeight="1">
      <c r="A2442" s="464" t="s">
        <v>6284</v>
      </c>
      <c r="B2442" s="464" t="s">
        <v>6285</v>
      </c>
      <c r="C2442" s="464"/>
      <c r="D2442" s="464" t="s">
        <v>1679</v>
      </c>
      <c r="E2442" s="464" t="s">
        <v>6274</v>
      </c>
      <c r="F2442" s="464" t="s">
        <v>6275</v>
      </c>
      <c r="G2442" s="464" t="s">
        <v>6206</v>
      </c>
      <c r="H2442" s="464" t="s">
        <v>6207</v>
      </c>
      <c r="I2442" s="464" t="s">
        <v>1684</v>
      </c>
    </row>
    <row r="2443" ht="15.95" customHeight="1">
      <c r="A2443" s="464" t="s">
        <v>6286</v>
      </c>
      <c r="B2443" s="464" t="s">
        <v>6287</v>
      </c>
      <c r="C2443" s="464"/>
      <c r="D2443" s="464" t="s">
        <v>1679</v>
      </c>
      <c r="E2443" s="464" t="s">
        <v>6274</v>
      </c>
      <c r="F2443" s="464" t="s">
        <v>6275</v>
      </c>
      <c r="G2443" s="464" t="s">
        <v>6206</v>
      </c>
      <c r="H2443" s="464" t="s">
        <v>6207</v>
      </c>
      <c r="I2443" s="464" t="s">
        <v>1684</v>
      </c>
    </row>
    <row r="2444" ht="15.95" customHeight="1">
      <c r="A2444" s="464" t="s">
        <v>6288</v>
      </c>
      <c r="B2444" s="464" t="s">
        <v>1254</v>
      </c>
      <c r="C2444" s="464"/>
      <c r="D2444" s="464" t="s">
        <v>1679</v>
      </c>
      <c r="E2444" s="464" t="s">
        <v>6274</v>
      </c>
      <c r="F2444" s="464" t="s">
        <v>6275</v>
      </c>
      <c r="G2444" s="464" t="s">
        <v>6206</v>
      </c>
      <c r="H2444" s="464" t="s">
        <v>6207</v>
      </c>
      <c r="I2444" s="464" t="s">
        <v>1684</v>
      </c>
    </row>
    <row r="2445" ht="15.95" customHeight="1">
      <c r="A2445" s="464" t="s">
        <v>6289</v>
      </c>
      <c r="B2445" s="464" t="s">
        <v>6290</v>
      </c>
      <c r="C2445" s="464"/>
      <c r="D2445" s="464" t="s">
        <v>1679</v>
      </c>
      <c r="E2445" s="464" t="s">
        <v>6274</v>
      </c>
      <c r="F2445" s="464" t="s">
        <v>6275</v>
      </c>
      <c r="G2445" s="464" t="s">
        <v>6206</v>
      </c>
      <c r="H2445" s="464" t="s">
        <v>6207</v>
      </c>
      <c r="I2445" s="464" t="s">
        <v>1684</v>
      </c>
    </row>
    <row r="2446" ht="15.95" customHeight="1">
      <c r="A2446" s="464" t="s">
        <v>6291</v>
      </c>
      <c r="B2446" s="464" t="s">
        <v>4111</v>
      </c>
      <c r="C2446" s="464"/>
      <c r="D2446" s="464" t="s">
        <v>1709</v>
      </c>
      <c r="E2446" s="464" t="s">
        <v>6292</v>
      </c>
      <c r="F2446" s="464" t="s">
        <v>6293</v>
      </c>
      <c r="G2446" s="464" t="s">
        <v>6206</v>
      </c>
      <c r="H2446" s="464" t="s">
        <v>6207</v>
      </c>
      <c r="I2446" s="464" t="s">
        <v>1684</v>
      </c>
    </row>
    <row r="2447" ht="15.95" customHeight="1">
      <c r="A2447" s="464" t="s">
        <v>6294</v>
      </c>
      <c r="B2447" s="464" t="s">
        <v>6295</v>
      </c>
      <c r="C2447" s="464"/>
      <c r="D2447" s="464" t="s">
        <v>1738</v>
      </c>
      <c r="E2447" s="464" t="s">
        <v>6292</v>
      </c>
      <c r="F2447" s="464" t="s">
        <v>6293</v>
      </c>
      <c r="G2447" s="464" t="s">
        <v>6206</v>
      </c>
      <c r="H2447" s="464" t="s">
        <v>6207</v>
      </c>
      <c r="I2447" s="464" t="s">
        <v>1684</v>
      </c>
    </row>
    <row r="2448" ht="15.95" customHeight="1">
      <c r="A2448" s="464" t="s">
        <v>6296</v>
      </c>
      <c r="B2448" s="464" t="s">
        <v>6297</v>
      </c>
      <c r="C2448" s="464"/>
      <c r="D2448" s="464" t="s">
        <v>1738</v>
      </c>
      <c r="E2448" s="464" t="s">
        <v>6292</v>
      </c>
      <c r="F2448" s="464" t="s">
        <v>6293</v>
      </c>
      <c r="G2448" s="464" t="s">
        <v>6206</v>
      </c>
      <c r="H2448" s="464" t="s">
        <v>6207</v>
      </c>
      <c r="I2448" s="464" t="s">
        <v>1684</v>
      </c>
    </row>
    <row r="2449" ht="15.95" customHeight="1">
      <c r="A2449" s="464" t="s">
        <v>6298</v>
      </c>
      <c r="B2449" s="464" t="s">
        <v>4477</v>
      </c>
      <c r="C2449" s="464"/>
      <c r="D2449" s="464" t="s">
        <v>1709</v>
      </c>
      <c r="E2449" s="464" t="s">
        <v>6292</v>
      </c>
      <c r="F2449" s="464" t="s">
        <v>6293</v>
      </c>
      <c r="G2449" s="464" t="s">
        <v>6206</v>
      </c>
      <c r="H2449" s="464" t="s">
        <v>6207</v>
      </c>
      <c r="I2449" s="464" t="s">
        <v>1684</v>
      </c>
    </row>
    <row r="2450" ht="15.95" customHeight="1">
      <c r="A2450" s="464" t="s">
        <v>6299</v>
      </c>
      <c r="B2450" s="464" t="s">
        <v>6300</v>
      </c>
      <c r="C2450" s="464"/>
      <c r="D2450" s="464" t="s">
        <v>1709</v>
      </c>
      <c r="E2450" s="464" t="s">
        <v>6292</v>
      </c>
      <c r="F2450" s="464" t="s">
        <v>6293</v>
      </c>
      <c r="G2450" s="464" t="s">
        <v>6206</v>
      </c>
      <c r="H2450" s="464" t="s">
        <v>6207</v>
      </c>
      <c r="I2450" s="464" t="s">
        <v>1684</v>
      </c>
    </row>
    <row r="2451" ht="15.95" customHeight="1">
      <c r="A2451" s="464" t="s">
        <v>6301</v>
      </c>
      <c r="B2451" s="464" t="s">
        <v>4028</v>
      </c>
      <c r="C2451" s="464"/>
      <c r="D2451" s="464" t="s">
        <v>1709</v>
      </c>
      <c r="E2451" s="464" t="s">
        <v>6292</v>
      </c>
      <c r="F2451" s="464" t="s">
        <v>6293</v>
      </c>
      <c r="G2451" s="464" t="s">
        <v>6206</v>
      </c>
      <c r="H2451" s="464" t="s">
        <v>6207</v>
      </c>
      <c r="I2451" s="464" t="s">
        <v>1684</v>
      </c>
    </row>
    <row r="2452" ht="15.95" customHeight="1">
      <c r="A2452" s="464" t="s">
        <v>6302</v>
      </c>
      <c r="B2452" s="464" t="s">
        <v>6303</v>
      </c>
      <c r="C2452" s="464"/>
      <c r="D2452" s="464" t="s">
        <v>1709</v>
      </c>
      <c r="E2452" s="464" t="s">
        <v>6292</v>
      </c>
      <c r="F2452" s="464" t="s">
        <v>6293</v>
      </c>
      <c r="G2452" s="464" t="s">
        <v>6206</v>
      </c>
      <c r="H2452" s="464" t="s">
        <v>6207</v>
      </c>
      <c r="I2452" s="464" t="s">
        <v>1684</v>
      </c>
    </row>
    <row r="2453" ht="15.95" customHeight="1">
      <c r="A2453" s="464" t="s">
        <v>6304</v>
      </c>
      <c r="B2453" s="464" t="s">
        <v>6305</v>
      </c>
      <c r="C2453" s="464"/>
      <c r="D2453" s="464" t="s">
        <v>1709</v>
      </c>
      <c r="E2453" s="464" t="s">
        <v>6292</v>
      </c>
      <c r="F2453" s="464" t="s">
        <v>6293</v>
      </c>
      <c r="G2453" s="464" t="s">
        <v>6206</v>
      </c>
      <c r="H2453" s="464" t="s">
        <v>6207</v>
      </c>
      <c r="I2453" s="464" t="s">
        <v>1684</v>
      </c>
    </row>
    <row r="2454" ht="15.95" customHeight="1">
      <c r="A2454" s="464" t="s">
        <v>6306</v>
      </c>
      <c r="B2454" s="464" t="s">
        <v>4243</v>
      </c>
      <c r="C2454" s="464"/>
      <c r="D2454" s="464" t="s">
        <v>1709</v>
      </c>
      <c r="E2454" s="464" t="s">
        <v>6292</v>
      </c>
      <c r="F2454" s="464" t="s">
        <v>6293</v>
      </c>
      <c r="G2454" s="464" t="s">
        <v>6206</v>
      </c>
      <c r="H2454" s="464" t="s">
        <v>6207</v>
      </c>
      <c r="I2454" s="464" t="s">
        <v>1684</v>
      </c>
    </row>
    <row r="2455" ht="15.95" customHeight="1">
      <c r="A2455" s="464" t="s">
        <v>6307</v>
      </c>
      <c r="B2455" s="464" t="s">
        <v>6308</v>
      </c>
      <c r="C2455" s="464"/>
      <c r="D2455" s="464" t="s">
        <v>1709</v>
      </c>
      <c r="E2455" s="464" t="s">
        <v>6292</v>
      </c>
      <c r="F2455" s="464" t="s">
        <v>6293</v>
      </c>
      <c r="G2455" s="464" t="s">
        <v>6206</v>
      </c>
      <c r="H2455" s="464" t="s">
        <v>6207</v>
      </c>
      <c r="I2455" s="464" t="s">
        <v>1684</v>
      </c>
    </row>
    <row r="2456" ht="15.95" customHeight="1">
      <c r="A2456" s="464" t="s">
        <v>6309</v>
      </c>
      <c r="B2456" s="464" t="s">
        <v>4544</v>
      </c>
      <c r="C2456" s="464"/>
      <c r="D2456" s="464" t="s">
        <v>1709</v>
      </c>
      <c r="E2456" s="464" t="s">
        <v>6292</v>
      </c>
      <c r="F2456" s="464" t="s">
        <v>6293</v>
      </c>
      <c r="G2456" s="464" t="s">
        <v>6206</v>
      </c>
      <c r="H2456" s="464" t="s">
        <v>6207</v>
      </c>
      <c r="I2456" s="464" t="s">
        <v>1684</v>
      </c>
    </row>
    <row r="2457" ht="15.95" customHeight="1">
      <c r="A2457" s="464" t="s">
        <v>6310</v>
      </c>
      <c r="B2457" s="464" t="s">
        <v>3928</v>
      </c>
      <c r="C2457" s="464"/>
      <c r="D2457" s="464" t="s">
        <v>1709</v>
      </c>
      <c r="E2457" s="464" t="s">
        <v>6311</v>
      </c>
      <c r="F2457" s="464" t="s">
        <v>6312</v>
      </c>
      <c r="G2457" s="464" t="s">
        <v>6206</v>
      </c>
      <c r="H2457" s="464" t="s">
        <v>6207</v>
      </c>
      <c r="I2457" s="464" t="s">
        <v>1684</v>
      </c>
    </row>
    <row r="2458" ht="15.95" customHeight="1">
      <c r="A2458" s="464" t="s">
        <v>6313</v>
      </c>
      <c r="B2458" s="464" t="s">
        <v>6314</v>
      </c>
      <c r="C2458" s="464"/>
      <c r="D2458" s="464" t="s">
        <v>1709</v>
      </c>
      <c r="E2458" s="464" t="s">
        <v>6311</v>
      </c>
      <c r="F2458" s="464" t="s">
        <v>6312</v>
      </c>
      <c r="G2458" s="464" t="s">
        <v>6206</v>
      </c>
      <c r="H2458" s="464" t="s">
        <v>6207</v>
      </c>
      <c r="I2458" s="464" t="s">
        <v>1684</v>
      </c>
    </row>
    <row r="2459" ht="15.95" customHeight="1">
      <c r="A2459" s="464" t="s">
        <v>6315</v>
      </c>
      <c r="B2459" s="464" t="s">
        <v>3162</v>
      </c>
      <c r="C2459" s="464"/>
      <c r="D2459" s="464" t="s">
        <v>1709</v>
      </c>
      <c r="E2459" s="464" t="s">
        <v>6311</v>
      </c>
      <c r="F2459" s="464" t="s">
        <v>6312</v>
      </c>
      <c r="G2459" s="464" t="s">
        <v>6206</v>
      </c>
      <c r="H2459" s="464" t="s">
        <v>6207</v>
      </c>
      <c r="I2459" s="464" t="s">
        <v>1684</v>
      </c>
    </row>
    <row r="2460" ht="15.95" customHeight="1">
      <c r="A2460" s="464" t="s">
        <v>6316</v>
      </c>
      <c r="B2460" s="464" t="s">
        <v>6317</v>
      </c>
      <c r="C2460" s="464"/>
      <c r="D2460" s="464" t="s">
        <v>1709</v>
      </c>
      <c r="E2460" s="464" t="s">
        <v>6311</v>
      </c>
      <c r="F2460" s="464" t="s">
        <v>6312</v>
      </c>
      <c r="G2460" s="464" t="s">
        <v>6206</v>
      </c>
      <c r="H2460" s="464" t="s">
        <v>6207</v>
      </c>
      <c r="I2460" s="464" t="s">
        <v>1684</v>
      </c>
    </row>
    <row r="2461" ht="15.95" customHeight="1">
      <c r="A2461" s="464" t="s">
        <v>6318</v>
      </c>
      <c r="B2461" s="464" t="s">
        <v>6319</v>
      </c>
      <c r="C2461" s="464"/>
      <c r="D2461" s="464" t="s">
        <v>1738</v>
      </c>
      <c r="E2461" s="464" t="s">
        <v>6311</v>
      </c>
      <c r="F2461" s="464" t="s">
        <v>6312</v>
      </c>
      <c r="G2461" s="464" t="s">
        <v>6206</v>
      </c>
      <c r="H2461" s="464" t="s">
        <v>6207</v>
      </c>
      <c r="I2461" s="464" t="s">
        <v>1684</v>
      </c>
    </row>
    <row r="2462" ht="15.95" customHeight="1">
      <c r="A2462" s="464" t="s">
        <v>6320</v>
      </c>
      <c r="B2462" s="464" t="s">
        <v>6321</v>
      </c>
      <c r="C2462" s="464"/>
      <c r="D2462" s="464" t="s">
        <v>1709</v>
      </c>
      <c r="E2462" s="464" t="s">
        <v>6311</v>
      </c>
      <c r="F2462" s="464" t="s">
        <v>6312</v>
      </c>
      <c r="G2462" s="464" t="s">
        <v>6206</v>
      </c>
      <c r="H2462" s="464" t="s">
        <v>6207</v>
      </c>
      <c r="I2462" s="464" t="s">
        <v>1684</v>
      </c>
    </row>
    <row r="2463" ht="15.95" customHeight="1">
      <c r="A2463" s="464" t="s">
        <v>6322</v>
      </c>
      <c r="B2463" s="464" t="s">
        <v>6323</v>
      </c>
      <c r="C2463" s="464"/>
      <c r="D2463" s="464" t="s">
        <v>1709</v>
      </c>
      <c r="E2463" s="464" t="s">
        <v>6311</v>
      </c>
      <c r="F2463" s="464" t="s">
        <v>6312</v>
      </c>
      <c r="G2463" s="464" t="s">
        <v>6206</v>
      </c>
      <c r="H2463" s="464" t="s">
        <v>6207</v>
      </c>
      <c r="I2463" s="464" t="s">
        <v>1684</v>
      </c>
    </row>
    <row r="2464" ht="15.95" customHeight="1">
      <c r="A2464" s="464" t="s">
        <v>6324</v>
      </c>
      <c r="B2464" s="464" t="s">
        <v>6325</v>
      </c>
      <c r="C2464" s="464"/>
      <c r="D2464" s="464" t="s">
        <v>1709</v>
      </c>
      <c r="E2464" s="464" t="s">
        <v>6311</v>
      </c>
      <c r="F2464" s="464" t="s">
        <v>6312</v>
      </c>
      <c r="G2464" s="464" t="s">
        <v>6206</v>
      </c>
      <c r="H2464" s="464" t="s">
        <v>6207</v>
      </c>
      <c r="I2464" s="464" t="s">
        <v>1684</v>
      </c>
    </row>
    <row r="2465" ht="15.95" customHeight="1">
      <c r="A2465" s="464" t="s">
        <v>6326</v>
      </c>
      <c r="B2465" s="464" t="s">
        <v>6327</v>
      </c>
      <c r="C2465" s="464"/>
      <c r="D2465" s="464" t="s">
        <v>1709</v>
      </c>
      <c r="E2465" s="464" t="s">
        <v>6311</v>
      </c>
      <c r="F2465" s="464" t="s">
        <v>6312</v>
      </c>
      <c r="G2465" s="464" t="s">
        <v>6206</v>
      </c>
      <c r="H2465" s="464" t="s">
        <v>6207</v>
      </c>
      <c r="I2465" s="464" t="s">
        <v>1684</v>
      </c>
    </row>
    <row r="2466" ht="15.95" customHeight="1">
      <c r="A2466" s="464" t="s">
        <v>6328</v>
      </c>
      <c r="B2466" s="464" t="s">
        <v>6329</v>
      </c>
      <c r="C2466" s="464"/>
      <c r="D2466" s="464" t="s">
        <v>1709</v>
      </c>
      <c r="E2466" s="464" t="s">
        <v>6311</v>
      </c>
      <c r="F2466" s="464" t="s">
        <v>6312</v>
      </c>
      <c r="G2466" s="464" t="s">
        <v>6206</v>
      </c>
      <c r="H2466" s="464" t="s">
        <v>6207</v>
      </c>
      <c r="I2466" s="464" t="s">
        <v>1684</v>
      </c>
    </row>
    <row r="2467" ht="15.95" customHeight="1">
      <c r="A2467" s="464" t="s">
        <v>6330</v>
      </c>
      <c r="B2467" s="464" t="s">
        <v>6331</v>
      </c>
      <c r="C2467" s="464"/>
      <c r="D2467" s="464" t="s">
        <v>1738</v>
      </c>
      <c r="E2467" s="464" t="s">
        <v>6332</v>
      </c>
      <c r="F2467" s="464" t="s">
        <v>6333</v>
      </c>
      <c r="G2467" s="464" t="s">
        <v>6206</v>
      </c>
      <c r="H2467" s="464" t="s">
        <v>6207</v>
      </c>
      <c r="I2467" s="464" t="s">
        <v>1684</v>
      </c>
    </row>
    <row r="2468" ht="15.95" customHeight="1">
      <c r="A2468" s="464" t="s">
        <v>6334</v>
      </c>
      <c r="B2468" s="464" t="s">
        <v>6335</v>
      </c>
      <c r="C2468" s="464"/>
      <c r="D2468" s="464" t="s">
        <v>1709</v>
      </c>
      <c r="E2468" s="464" t="s">
        <v>6332</v>
      </c>
      <c r="F2468" s="464" t="s">
        <v>6333</v>
      </c>
      <c r="G2468" s="464" t="s">
        <v>6206</v>
      </c>
      <c r="H2468" s="464" t="s">
        <v>6207</v>
      </c>
      <c r="I2468" s="464" t="s">
        <v>1684</v>
      </c>
    </row>
    <row r="2469" ht="15.95" customHeight="1">
      <c r="A2469" s="464" t="s">
        <v>6336</v>
      </c>
      <c r="B2469" s="464" t="s">
        <v>6337</v>
      </c>
      <c r="C2469" s="464"/>
      <c r="D2469" s="464" t="s">
        <v>1709</v>
      </c>
      <c r="E2469" s="464" t="s">
        <v>6332</v>
      </c>
      <c r="F2469" s="464" t="s">
        <v>6333</v>
      </c>
      <c r="G2469" s="464" t="s">
        <v>6206</v>
      </c>
      <c r="H2469" s="464" t="s">
        <v>6207</v>
      </c>
      <c r="I2469" s="464" t="s">
        <v>1684</v>
      </c>
    </row>
    <row r="2470" ht="15.95" customHeight="1">
      <c r="A2470" s="464" t="s">
        <v>6338</v>
      </c>
      <c r="B2470" s="464" t="s">
        <v>4698</v>
      </c>
      <c r="C2470" s="464"/>
      <c r="D2470" s="464" t="s">
        <v>1709</v>
      </c>
      <c r="E2470" s="464" t="s">
        <v>6332</v>
      </c>
      <c r="F2470" s="464" t="s">
        <v>6333</v>
      </c>
      <c r="G2470" s="464" t="s">
        <v>6206</v>
      </c>
      <c r="H2470" s="464" t="s">
        <v>6207</v>
      </c>
      <c r="I2470" s="464" t="s">
        <v>1684</v>
      </c>
    </row>
    <row r="2471" ht="15.95" customHeight="1">
      <c r="A2471" s="464" t="s">
        <v>6339</v>
      </c>
      <c r="B2471" s="464" t="s">
        <v>6340</v>
      </c>
      <c r="C2471" s="464"/>
      <c r="D2471" s="464" t="s">
        <v>1709</v>
      </c>
      <c r="E2471" s="464" t="s">
        <v>6332</v>
      </c>
      <c r="F2471" s="464" t="s">
        <v>6333</v>
      </c>
      <c r="G2471" s="464" t="s">
        <v>6206</v>
      </c>
      <c r="H2471" s="464" t="s">
        <v>6207</v>
      </c>
      <c r="I2471" s="464" t="s">
        <v>1684</v>
      </c>
    </row>
    <row r="2472" ht="15.95" customHeight="1">
      <c r="A2472" s="464" t="s">
        <v>6341</v>
      </c>
      <c r="B2472" s="464" t="s">
        <v>5657</v>
      </c>
      <c r="C2472" s="464"/>
      <c r="D2472" s="464" t="s">
        <v>1709</v>
      </c>
      <c r="E2472" s="464" t="s">
        <v>6332</v>
      </c>
      <c r="F2472" s="464" t="s">
        <v>6333</v>
      </c>
      <c r="G2472" s="464" t="s">
        <v>6206</v>
      </c>
      <c r="H2472" s="464" t="s">
        <v>6207</v>
      </c>
      <c r="I2472" s="464" t="s">
        <v>1684</v>
      </c>
    </row>
    <row r="2473" ht="15.95" customHeight="1">
      <c r="A2473" s="464" t="s">
        <v>6342</v>
      </c>
      <c r="B2473" s="464" t="s">
        <v>6343</v>
      </c>
      <c r="C2473" s="464"/>
      <c r="D2473" s="464" t="s">
        <v>1709</v>
      </c>
      <c r="E2473" s="464" t="s">
        <v>6332</v>
      </c>
      <c r="F2473" s="464" t="s">
        <v>6333</v>
      </c>
      <c r="G2473" s="464" t="s">
        <v>6206</v>
      </c>
      <c r="H2473" s="464" t="s">
        <v>6207</v>
      </c>
      <c r="I2473" s="464" t="s">
        <v>1684</v>
      </c>
    </row>
    <row r="2474" ht="15.95" customHeight="1">
      <c r="A2474" s="464" t="s">
        <v>6344</v>
      </c>
      <c r="B2474" s="464" t="s">
        <v>6345</v>
      </c>
      <c r="C2474" s="464"/>
      <c r="D2474" s="464" t="s">
        <v>1738</v>
      </c>
      <c r="E2474" s="464" t="s">
        <v>6346</v>
      </c>
      <c r="F2474" s="464" t="s">
        <v>6347</v>
      </c>
      <c r="G2474" s="464" t="s">
        <v>6206</v>
      </c>
      <c r="H2474" s="464" t="s">
        <v>6207</v>
      </c>
      <c r="I2474" s="464" t="s">
        <v>1684</v>
      </c>
    </row>
    <row r="2475" ht="15.95" customHeight="1">
      <c r="A2475" s="464" t="s">
        <v>6348</v>
      </c>
      <c r="B2475" s="464" t="s">
        <v>4953</v>
      </c>
      <c r="C2475" s="464"/>
      <c r="D2475" s="464" t="s">
        <v>1709</v>
      </c>
      <c r="E2475" s="464" t="s">
        <v>6346</v>
      </c>
      <c r="F2475" s="464" t="s">
        <v>6347</v>
      </c>
      <c r="G2475" s="464" t="s">
        <v>6206</v>
      </c>
      <c r="H2475" s="464" t="s">
        <v>6207</v>
      </c>
      <c r="I2475" s="464" t="s">
        <v>1684</v>
      </c>
    </row>
    <row r="2476" ht="15.95" customHeight="1">
      <c r="A2476" s="464" t="s">
        <v>6349</v>
      </c>
      <c r="B2476" s="464" t="s">
        <v>4704</v>
      </c>
      <c r="C2476" s="464"/>
      <c r="D2476" s="464" t="s">
        <v>1709</v>
      </c>
      <c r="E2476" s="464" t="s">
        <v>6346</v>
      </c>
      <c r="F2476" s="464" t="s">
        <v>6347</v>
      </c>
      <c r="G2476" s="464" t="s">
        <v>6206</v>
      </c>
      <c r="H2476" s="464" t="s">
        <v>6207</v>
      </c>
      <c r="I2476" s="464" t="s">
        <v>1684</v>
      </c>
    </row>
    <row r="2477" ht="15.95" customHeight="1">
      <c r="A2477" s="464" t="s">
        <v>6350</v>
      </c>
      <c r="B2477" s="464" t="s">
        <v>6351</v>
      </c>
      <c r="C2477" s="464"/>
      <c r="D2477" s="464" t="s">
        <v>1709</v>
      </c>
      <c r="E2477" s="464" t="s">
        <v>6346</v>
      </c>
      <c r="F2477" s="464" t="s">
        <v>6347</v>
      </c>
      <c r="G2477" s="464" t="s">
        <v>6206</v>
      </c>
      <c r="H2477" s="464" t="s">
        <v>6207</v>
      </c>
      <c r="I2477" s="464" t="s">
        <v>1684</v>
      </c>
    </row>
    <row r="2478" ht="15.95" customHeight="1">
      <c r="A2478" s="464" t="s">
        <v>6352</v>
      </c>
      <c r="B2478" s="464" t="s">
        <v>5324</v>
      </c>
      <c r="C2478" s="464"/>
      <c r="D2478" s="464" t="s">
        <v>1709</v>
      </c>
      <c r="E2478" s="464" t="s">
        <v>6346</v>
      </c>
      <c r="F2478" s="464" t="s">
        <v>6347</v>
      </c>
      <c r="G2478" s="464" t="s">
        <v>6206</v>
      </c>
      <c r="H2478" s="464" t="s">
        <v>6207</v>
      </c>
      <c r="I2478" s="464" t="s">
        <v>1684</v>
      </c>
    </row>
    <row r="2479" ht="15.95" customHeight="1">
      <c r="A2479" s="464" t="s">
        <v>6353</v>
      </c>
      <c r="B2479" s="464" t="s">
        <v>6354</v>
      </c>
      <c r="C2479" s="464"/>
      <c r="D2479" s="464" t="s">
        <v>1709</v>
      </c>
      <c r="E2479" s="464" t="s">
        <v>6346</v>
      </c>
      <c r="F2479" s="464" t="s">
        <v>6347</v>
      </c>
      <c r="G2479" s="464" t="s">
        <v>6206</v>
      </c>
      <c r="H2479" s="464" t="s">
        <v>6207</v>
      </c>
      <c r="I2479" s="464" t="s">
        <v>1684</v>
      </c>
    </row>
    <row r="2480" ht="15.95" customHeight="1">
      <c r="A2480" s="464" t="s">
        <v>6355</v>
      </c>
      <c r="B2480" s="464" t="s">
        <v>6356</v>
      </c>
      <c r="C2480" s="464"/>
      <c r="D2480" s="464" t="s">
        <v>1709</v>
      </c>
      <c r="E2480" s="464" t="s">
        <v>6346</v>
      </c>
      <c r="F2480" s="464" t="s">
        <v>6347</v>
      </c>
      <c r="G2480" s="464" t="s">
        <v>6206</v>
      </c>
      <c r="H2480" s="464" t="s">
        <v>6207</v>
      </c>
      <c r="I2480" s="464" t="s">
        <v>1684</v>
      </c>
    </row>
    <row r="2481" ht="15.95" customHeight="1">
      <c r="A2481" s="464" t="s">
        <v>6357</v>
      </c>
      <c r="B2481" s="464" t="s">
        <v>6358</v>
      </c>
      <c r="C2481" s="464"/>
      <c r="D2481" s="464" t="s">
        <v>1709</v>
      </c>
      <c r="E2481" s="464" t="s">
        <v>6346</v>
      </c>
      <c r="F2481" s="464" t="s">
        <v>6347</v>
      </c>
      <c r="G2481" s="464" t="s">
        <v>6206</v>
      </c>
      <c r="H2481" s="464" t="s">
        <v>6207</v>
      </c>
      <c r="I2481" s="464" t="s">
        <v>1684</v>
      </c>
    </row>
    <row r="2482" ht="15.95" customHeight="1">
      <c r="A2482" s="464" t="s">
        <v>6359</v>
      </c>
      <c r="B2482" s="464" t="s">
        <v>6360</v>
      </c>
      <c r="C2482" s="464"/>
      <c r="D2482" s="464" t="s">
        <v>1709</v>
      </c>
      <c r="E2482" s="464" t="s">
        <v>6346</v>
      </c>
      <c r="F2482" s="464" t="s">
        <v>6347</v>
      </c>
      <c r="G2482" s="464" t="s">
        <v>6206</v>
      </c>
      <c r="H2482" s="464" t="s">
        <v>6207</v>
      </c>
      <c r="I2482" s="464" t="s">
        <v>1684</v>
      </c>
    </row>
    <row r="2483" ht="15.95" customHeight="1">
      <c r="A2483" s="464" t="s">
        <v>6361</v>
      </c>
      <c r="B2483" s="464" t="s">
        <v>6362</v>
      </c>
      <c r="C2483" s="464"/>
      <c r="D2483" s="464" t="s">
        <v>1709</v>
      </c>
      <c r="E2483" s="464" t="s">
        <v>6346</v>
      </c>
      <c r="F2483" s="464" t="s">
        <v>6347</v>
      </c>
      <c r="G2483" s="464" t="s">
        <v>6206</v>
      </c>
      <c r="H2483" s="464" t="s">
        <v>6207</v>
      </c>
      <c r="I2483" s="464" t="s">
        <v>1684</v>
      </c>
    </row>
    <row r="2484" ht="15.95" customHeight="1">
      <c r="A2484" s="464" t="s">
        <v>6363</v>
      </c>
      <c r="B2484" s="464" t="s">
        <v>5504</v>
      </c>
      <c r="C2484" s="464"/>
      <c r="D2484" s="464" t="s">
        <v>1709</v>
      </c>
      <c r="E2484" s="464" t="s">
        <v>6346</v>
      </c>
      <c r="F2484" s="464" t="s">
        <v>6347</v>
      </c>
      <c r="G2484" s="464" t="s">
        <v>6206</v>
      </c>
      <c r="H2484" s="464" t="s">
        <v>6207</v>
      </c>
      <c r="I2484" s="464" t="s">
        <v>1684</v>
      </c>
    </row>
    <row r="2485" ht="15.95" customHeight="1">
      <c r="A2485" s="464" t="s">
        <v>6364</v>
      </c>
      <c r="B2485" s="464" t="s">
        <v>6365</v>
      </c>
      <c r="C2485" s="464"/>
      <c r="D2485" s="464" t="s">
        <v>1709</v>
      </c>
      <c r="E2485" s="464" t="s">
        <v>6346</v>
      </c>
      <c r="F2485" s="464" t="s">
        <v>6347</v>
      </c>
      <c r="G2485" s="464" t="s">
        <v>6206</v>
      </c>
      <c r="H2485" s="464" t="s">
        <v>6207</v>
      </c>
      <c r="I2485" s="464" t="s">
        <v>1684</v>
      </c>
    </row>
    <row r="2486" ht="15.95" customHeight="1">
      <c r="A2486" s="464" t="s">
        <v>6366</v>
      </c>
      <c r="B2486" s="464" t="s">
        <v>6367</v>
      </c>
      <c r="C2486" s="464"/>
      <c r="D2486" s="464" t="s">
        <v>1709</v>
      </c>
      <c r="E2486" s="464" t="s">
        <v>6346</v>
      </c>
      <c r="F2486" s="464" t="s">
        <v>6347</v>
      </c>
      <c r="G2486" s="464" t="s">
        <v>6206</v>
      </c>
      <c r="H2486" s="464" t="s">
        <v>6207</v>
      </c>
      <c r="I2486" s="464" t="s">
        <v>1684</v>
      </c>
    </row>
    <row r="2487" ht="15.95" customHeight="1">
      <c r="A2487" s="464" t="s">
        <v>6368</v>
      </c>
      <c r="B2487" s="464" t="s">
        <v>6369</v>
      </c>
      <c r="C2487" s="464"/>
      <c r="D2487" s="464" t="s">
        <v>1679</v>
      </c>
      <c r="E2487" s="464" t="s">
        <v>6370</v>
      </c>
      <c r="F2487" s="464" t="s">
        <v>6371</v>
      </c>
      <c r="G2487" s="464" t="s">
        <v>6372</v>
      </c>
      <c r="H2487" s="464" t="s">
        <v>6373</v>
      </c>
      <c r="I2487" s="464" t="s">
        <v>1684</v>
      </c>
    </row>
    <row r="2488" ht="15.95" customHeight="1">
      <c r="A2488" s="464" t="s">
        <v>6374</v>
      </c>
      <c r="B2488" s="464" t="s">
        <v>6375</v>
      </c>
      <c r="C2488" s="464"/>
      <c r="D2488" s="464" t="s">
        <v>1679</v>
      </c>
      <c r="E2488" s="464" t="s">
        <v>6370</v>
      </c>
      <c r="F2488" s="464" t="s">
        <v>6371</v>
      </c>
      <c r="G2488" s="464" t="s">
        <v>6372</v>
      </c>
      <c r="H2488" s="464" t="s">
        <v>6373</v>
      </c>
      <c r="I2488" s="464" t="s">
        <v>1684</v>
      </c>
    </row>
    <row r="2489" ht="15.95" customHeight="1">
      <c r="A2489" s="464" t="s">
        <v>6376</v>
      </c>
      <c r="B2489" s="464" t="s">
        <v>6377</v>
      </c>
      <c r="C2489" s="464"/>
      <c r="D2489" s="464" t="s">
        <v>1679</v>
      </c>
      <c r="E2489" s="464" t="s">
        <v>6370</v>
      </c>
      <c r="F2489" s="464" t="s">
        <v>6371</v>
      </c>
      <c r="G2489" s="464" t="s">
        <v>6372</v>
      </c>
      <c r="H2489" s="464" t="s">
        <v>6373</v>
      </c>
      <c r="I2489" s="464" t="s">
        <v>1684</v>
      </c>
    </row>
    <row r="2490" ht="15.95" customHeight="1">
      <c r="A2490" s="464" t="s">
        <v>6378</v>
      </c>
      <c r="B2490" s="464" t="s">
        <v>6379</v>
      </c>
      <c r="C2490" s="464"/>
      <c r="D2490" s="464" t="s">
        <v>1679</v>
      </c>
      <c r="E2490" s="464" t="s">
        <v>6370</v>
      </c>
      <c r="F2490" s="464" t="s">
        <v>6371</v>
      </c>
      <c r="G2490" s="464" t="s">
        <v>6372</v>
      </c>
      <c r="H2490" s="464" t="s">
        <v>6373</v>
      </c>
      <c r="I2490" s="464" t="s">
        <v>1684</v>
      </c>
    </row>
    <row r="2491" ht="15.95" customHeight="1">
      <c r="A2491" s="464" t="s">
        <v>6380</v>
      </c>
      <c r="B2491" s="464" t="s">
        <v>6381</v>
      </c>
      <c r="C2491" s="464"/>
      <c r="D2491" s="464" t="s">
        <v>1679</v>
      </c>
      <c r="E2491" s="464" t="s">
        <v>6370</v>
      </c>
      <c r="F2491" s="464" t="s">
        <v>6371</v>
      </c>
      <c r="G2491" s="464" t="s">
        <v>6372</v>
      </c>
      <c r="H2491" s="464" t="s">
        <v>6373</v>
      </c>
      <c r="I2491" s="464" t="s">
        <v>1684</v>
      </c>
    </row>
    <row r="2492" ht="15.95" customHeight="1">
      <c r="A2492" s="464" t="s">
        <v>6382</v>
      </c>
      <c r="B2492" s="464" t="s">
        <v>6383</v>
      </c>
      <c r="C2492" s="464"/>
      <c r="D2492" s="464" t="s">
        <v>1709</v>
      </c>
      <c r="E2492" s="464" t="s">
        <v>6370</v>
      </c>
      <c r="F2492" s="464" t="s">
        <v>6371</v>
      </c>
      <c r="G2492" s="464" t="s">
        <v>6372</v>
      </c>
      <c r="H2492" s="464" t="s">
        <v>6373</v>
      </c>
      <c r="I2492" s="464" t="s">
        <v>1684</v>
      </c>
    </row>
    <row r="2493" ht="15.95" customHeight="1">
      <c r="A2493" s="464" t="s">
        <v>6384</v>
      </c>
      <c r="B2493" s="464" t="s">
        <v>6385</v>
      </c>
      <c r="C2493" s="464"/>
      <c r="D2493" s="464" t="s">
        <v>1709</v>
      </c>
      <c r="E2493" s="464" t="s">
        <v>6370</v>
      </c>
      <c r="F2493" s="464" t="s">
        <v>6371</v>
      </c>
      <c r="G2493" s="464" t="s">
        <v>6372</v>
      </c>
      <c r="H2493" s="464" t="s">
        <v>6373</v>
      </c>
      <c r="I2493" s="464" t="s">
        <v>1684</v>
      </c>
    </row>
    <row r="2494" ht="15.95" customHeight="1">
      <c r="A2494" s="464" t="s">
        <v>6386</v>
      </c>
      <c r="B2494" s="464" t="s">
        <v>1878</v>
      </c>
      <c r="C2494" s="464" t="s">
        <v>6387</v>
      </c>
      <c r="D2494" s="464" t="s">
        <v>1709</v>
      </c>
      <c r="E2494" s="464" t="s">
        <v>6370</v>
      </c>
      <c r="F2494" s="464" t="s">
        <v>6371</v>
      </c>
      <c r="G2494" s="464" t="s">
        <v>6372</v>
      </c>
      <c r="H2494" s="464" t="s">
        <v>6373</v>
      </c>
      <c r="I2494" s="464" t="s">
        <v>1684</v>
      </c>
    </row>
    <row r="2495" ht="15.95" customHeight="1">
      <c r="A2495" s="464" t="s">
        <v>6388</v>
      </c>
      <c r="B2495" s="464" t="s">
        <v>6389</v>
      </c>
      <c r="C2495" s="464"/>
      <c r="D2495" s="464" t="s">
        <v>1709</v>
      </c>
      <c r="E2495" s="464" t="s">
        <v>6370</v>
      </c>
      <c r="F2495" s="464" t="s">
        <v>6371</v>
      </c>
      <c r="G2495" s="464" t="s">
        <v>6372</v>
      </c>
      <c r="H2495" s="464" t="s">
        <v>6373</v>
      </c>
      <c r="I2495" s="464" t="s">
        <v>1684</v>
      </c>
    </row>
    <row r="2496" ht="15.95" customHeight="1">
      <c r="A2496" s="464" t="s">
        <v>6390</v>
      </c>
      <c r="B2496" s="464" t="s">
        <v>6391</v>
      </c>
      <c r="C2496" s="464" t="s">
        <v>6392</v>
      </c>
      <c r="D2496" s="464" t="s">
        <v>1679</v>
      </c>
      <c r="E2496" s="464" t="s">
        <v>6393</v>
      </c>
      <c r="F2496" s="464" t="s">
        <v>6394</v>
      </c>
      <c r="G2496" s="464" t="s">
        <v>6372</v>
      </c>
      <c r="H2496" s="464" t="s">
        <v>6373</v>
      </c>
      <c r="I2496" s="464" t="s">
        <v>1684</v>
      </c>
    </row>
    <row r="2497" ht="15.95" customHeight="1">
      <c r="A2497" s="464" t="s">
        <v>6395</v>
      </c>
      <c r="B2497" s="464" t="s">
        <v>6396</v>
      </c>
      <c r="C2497" s="464" t="s">
        <v>6397</v>
      </c>
      <c r="D2497" s="464" t="s">
        <v>1679</v>
      </c>
      <c r="E2497" s="464" t="s">
        <v>6393</v>
      </c>
      <c r="F2497" s="464" t="s">
        <v>6394</v>
      </c>
      <c r="G2497" s="464" t="s">
        <v>6372</v>
      </c>
      <c r="H2497" s="464" t="s">
        <v>6373</v>
      </c>
      <c r="I2497" s="464" t="s">
        <v>1684</v>
      </c>
    </row>
    <row r="2498" ht="15.95" customHeight="1">
      <c r="A2498" s="464" t="s">
        <v>6398</v>
      </c>
      <c r="B2498" s="464" t="s">
        <v>2831</v>
      </c>
      <c r="C2498" s="464" t="s">
        <v>6399</v>
      </c>
      <c r="D2498" s="464" t="s">
        <v>1679</v>
      </c>
      <c r="E2498" s="464" t="s">
        <v>6393</v>
      </c>
      <c r="F2498" s="464" t="s">
        <v>6394</v>
      </c>
      <c r="G2498" s="464" t="s">
        <v>6372</v>
      </c>
      <c r="H2498" s="464" t="s">
        <v>6373</v>
      </c>
      <c r="I2498" s="464" t="s">
        <v>1684</v>
      </c>
    </row>
    <row r="2499" ht="15.95" customHeight="1">
      <c r="A2499" s="464" t="s">
        <v>6400</v>
      </c>
      <c r="B2499" s="464" t="s">
        <v>6401</v>
      </c>
      <c r="C2499" s="464" t="s">
        <v>6402</v>
      </c>
      <c r="D2499" s="464" t="s">
        <v>1709</v>
      </c>
      <c r="E2499" s="464" t="s">
        <v>6393</v>
      </c>
      <c r="F2499" s="464" t="s">
        <v>6394</v>
      </c>
      <c r="G2499" s="464" t="s">
        <v>6372</v>
      </c>
      <c r="H2499" s="464" t="s">
        <v>6373</v>
      </c>
      <c r="I2499" s="464" t="s">
        <v>1684</v>
      </c>
    </row>
    <row r="2500" ht="15.95" customHeight="1">
      <c r="A2500" s="464" t="s">
        <v>6403</v>
      </c>
      <c r="B2500" s="464" t="s">
        <v>6404</v>
      </c>
      <c r="C2500" s="464"/>
      <c r="D2500" s="464" t="s">
        <v>1709</v>
      </c>
      <c r="E2500" s="464" t="s">
        <v>6393</v>
      </c>
      <c r="F2500" s="464" t="s">
        <v>6394</v>
      </c>
      <c r="G2500" s="464" t="s">
        <v>6372</v>
      </c>
      <c r="H2500" s="464" t="s">
        <v>6373</v>
      </c>
      <c r="I2500" s="464" t="s">
        <v>1684</v>
      </c>
    </row>
    <row r="2501" ht="15.95" customHeight="1">
      <c r="A2501" s="464" t="s">
        <v>6405</v>
      </c>
      <c r="B2501" s="464" t="s">
        <v>2012</v>
      </c>
      <c r="C2501" s="464"/>
      <c r="D2501" s="464" t="s">
        <v>1709</v>
      </c>
      <c r="E2501" s="464" t="s">
        <v>6393</v>
      </c>
      <c r="F2501" s="464" t="s">
        <v>6394</v>
      </c>
      <c r="G2501" s="464" t="s">
        <v>6372</v>
      </c>
      <c r="H2501" s="464" t="s">
        <v>6373</v>
      </c>
      <c r="I2501" s="464" t="s">
        <v>1684</v>
      </c>
    </row>
    <row r="2502" ht="15.95" customHeight="1">
      <c r="A2502" s="464" t="s">
        <v>6406</v>
      </c>
      <c r="B2502" s="464" t="s">
        <v>6407</v>
      </c>
      <c r="C2502" s="464"/>
      <c r="D2502" s="464" t="s">
        <v>1738</v>
      </c>
      <c r="E2502" s="464" t="s">
        <v>6408</v>
      </c>
      <c r="F2502" s="464" t="s">
        <v>6409</v>
      </c>
      <c r="G2502" s="464" t="s">
        <v>6372</v>
      </c>
      <c r="H2502" s="464" t="s">
        <v>6373</v>
      </c>
      <c r="I2502" s="464" t="s">
        <v>1684</v>
      </c>
    </row>
    <row r="2503" ht="15.95" customHeight="1">
      <c r="A2503" s="464" t="s">
        <v>6410</v>
      </c>
      <c r="B2503" s="464" t="s">
        <v>2563</v>
      </c>
      <c r="C2503" s="464"/>
      <c r="D2503" s="464" t="s">
        <v>1709</v>
      </c>
      <c r="E2503" s="464" t="s">
        <v>6408</v>
      </c>
      <c r="F2503" s="464" t="s">
        <v>6409</v>
      </c>
      <c r="G2503" s="464" t="s">
        <v>6372</v>
      </c>
      <c r="H2503" s="464" t="s">
        <v>6373</v>
      </c>
      <c r="I2503" s="464" t="s">
        <v>1684</v>
      </c>
    </row>
    <row r="2504" ht="15.95" customHeight="1">
      <c r="A2504" s="464" t="s">
        <v>6411</v>
      </c>
      <c r="B2504" s="464" t="s">
        <v>6412</v>
      </c>
      <c r="C2504" s="464"/>
      <c r="D2504" s="464" t="s">
        <v>1738</v>
      </c>
      <c r="E2504" s="464" t="s">
        <v>6408</v>
      </c>
      <c r="F2504" s="464" t="s">
        <v>6409</v>
      </c>
      <c r="G2504" s="464" t="s">
        <v>6372</v>
      </c>
      <c r="H2504" s="464" t="s">
        <v>6373</v>
      </c>
      <c r="I2504" s="464" t="s">
        <v>1684</v>
      </c>
    </row>
    <row r="2505" ht="15.95" customHeight="1">
      <c r="A2505" s="464" t="s">
        <v>6413</v>
      </c>
      <c r="B2505" s="464" t="s">
        <v>6414</v>
      </c>
      <c r="C2505" s="464"/>
      <c r="D2505" s="464" t="s">
        <v>1709</v>
      </c>
      <c r="E2505" s="464" t="s">
        <v>6408</v>
      </c>
      <c r="F2505" s="464" t="s">
        <v>6409</v>
      </c>
      <c r="G2505" s="464" t="s">
        <v>6372</v>
      </c>
      <c r="H2505" s="464" t="s">
        <v>6373</v>
      </c>
      <c r="I2505" s="464" t="s">
        <v>1684</v>
      </c>
    </row>
    <row r="2506" ht="15.95" customHeight="1">
      <c r="A2506" s="464" t="s">
        <v>6415</v>
      </c>
      <c r="B2506" s="464" t="s">
        <v>6416</v>
      </c>
      <c r="C2506" s="464"/>
      <c r="D2506" s="464" t="s">
        <v>1709</v>
      </c>
      <c r="E2506" s="464" t="s">
        <v>6408</v>
      </c>
      <c r="F2506" s="464" t="s">
        <v>6409</v>
      </c>
      <c r="G2506" s="464" t="s">
        <v>6372</v>
      </c>
      <c r="H2506" s="464" t="s">
        <v>6373</v>
      </c>
      <c r="I2506" s="464" t="s">
        <v>1684</v>
      </c>
    </row>
    <row r="2507" ht="15.95" customHeight="1">
      <c r="A2507" s="464" t="s">
        <v>6417</v>
      </c>
      <c r="B2507" s="464" t="s">
        <v>6418</v>
      </c>
      <c r="C2507" s="464"/>
      <c r="D2507" s="464" t="s">
        <v>1709</v>
      </c>
      <c r="E2507" s="464" t="s">
        <v>6408</v>
      </c>
      <c r="F2507" s="464" t="s">
        <v>6409</v>
      </c>
      <c r="G2507" s="464" t="s">
        <v>6372</v>
      </c>
      <c r="H2507" s="464" t="s">
        <v>6373</v>
      </c>
      <c r="I2507" s="464" t="s">
        <v>1684</v>
      </c>
    </row>
    <row r="2508" ht="15.95" customHeight="1">
      <c r="A2508" s="464" t="s">
        <v>6419</v>
      </c>
      <c r="B2508" s="464" t="s">
        <v>6420</v>
      </c>
      <c r="C2508" s="464"/>
      <c r="D2508" s="464" t="s">
        <v>1738</v>
      </c>
      <c r="E2508" s="464" t="s">
        <v>6408</v>
      </c>
      <c r="F2508" s="464" t="s">
        <v>6409</v>
      </c>
      <c r="G2508" s="464" t="s">
        <v>6372</v>
      </c>
      <c r="H2508" s="464" t="s">
        <v>6373</v>
      </c>
      <c r="I2508" s="464" t="s">
        <v>1684</v>
      </c>
    </row>
    <row r="2509" ht="15.95" customHeight="1">
      <c r="A2509" s="464" t="s">
        <v>6421</v>
      </c>
      <c r="B2509" s="464" t="s">
        <v>6422</v>
      </c>
      <c r="C2509" s="464"/>
      <c r="D2509" s="464" t="s">
        <v>1709</v>
      </c>
      <c r="E2509" s="464" t="s">
        <v>6408</v>
      </c>
      <c r="F2509" s="464" t="s">
        <v>6409</v>
      </c>
      <c r="G2509" s="464" t="s">
        <v>6372</v>
      </c>
      <c r="H2509" s="464" t="s">
        <v>6373</v>
      </c>
      <c r="I2509" s="464" t="s">
        <v>1684</v>
      </c>
    </row>
    <row r="2510" ht="15.95" customHeight="1">
      <c r="A2510" s="464" t="s">
        <v>6423</v>
      </c>
      <c r="B2510" s="464" t="s">
        <v>6424</v>
      </c>
      <c r="C2510" s="464"/>
      <c r="D2510" s="464" t="s">
        <v>1738</v>
      </c>
      <c r="E2510" s="464" t="s">
        <v>6408</v>
      </c>
      <c r="F2510" s="464" t="s">
        <v>6409</v>
      </c>
      <c r="G2510" s="464" t="s">
        <v>6372</v>
      </c>
      <c r="H2510" s="464" t="s">
        <v>6373</v>
      </c>
      <c r="I2510" s="464" t="s">
        <v>1684</v>
      </c>
    </row>
    <row r="2511" ht="15.95" customHeight="1">
      <c r="A2511" s="464" t="s">
        <v>6425</v>
      </c>
      <c r="B2511" s="464" t="s">
        <v>6426</v>
      </c>
      <c r="C2511" s="464"/>
      <c r="D2511" s="464" t="s">
        <v>1709</v>
      </c>
      <c r="E2511" s="464" t="s">
        <v>6408</v>
      </c>
      <c r="F2511" s="464" t="s">
        <v>6409</v>
      </c>
      <c r="G2511" s="464" t="s">
        <v>6372</v>
      </c>
      <c r="H2511" s="464" t="s">
        <v>6373</v>
      </c>
      <c r="I2511" s="464" t="s">
        <v>1684</v>
      </c>
    </row>
    <row r="2512" ht="15.95" customHeight="1">
      <c r="A2512" s="464" t="s">
        <v>6427</v>
      </c>
      <c r="B2512" s="464" t="s">
        <v>6428</v>
      </c>
      <c r="C2512" s="464"/>
      <c r="D2512" s="464" t="s">
        <v>1738</v>
      </c>
      <c r="E2512" s="464" t="s">
        <v>6429</v>
      </c>
      <c r="F2512" s="464" t="s">
        <v>2724</v>
      </c>
      <c r="G2512" s="464" t="s">
        <v>6372</v>
      </c>
      <c r="H2512" s="464" t="s">
        <v>6373</v>
      </c>
      <c r="I2512" s="464" t="s">
        <v>1684</v>
      </c>
    </row>
    <row r="2513" ht="15.95" customHeight="1">
      <c r="A2513" s="464" t="s">
        <v>6430</v>
      </c>
      <c r="B2513" s="464" t="s">
        <v>3956</v>
      </c>
      <c r="C2513" s="464"/>
      <c r="D2513" s="464" t="s">
        <v>1709</v>
      </c>
      <c r="E2513" s="464" t="s">
        <v>6429</v>
      </c>
      <c r="F2513" s="464" t="s">
        <v>2724</v>
      </c>
      <c r="G2513" s="464" t="s">
        <v>6372</v>
      </c>
      <c r="H2513" s="464" t="s">
        <v>6373</v>
      </c>
      <c r="I2513" s="464" t="s">
        <v>1684</v>
      </c>
    </row>
    <row r="2514" ht="15.95" customHeight="1">
      <c r="A2514" s="464" t="s">
        <v>6431</v>
      </c>
      <c r="B2514" s="464" t="s">
        <v>2916</v>
      </c>
      <c r="C2514" s="464"/>
      <c r="D2514" s="464" t="s">
        <v>1709</v>
      </c>
      <c r="E2514" s="464" t="s">
        <v>6429</v>
      </c>
      <c r="F2514" s="464" t="s">
        <v>2724</v>
      </c>
      <c r="G2514" s="464" t="s">
        <v>6372</v>
      </c>
      <c r="H2514" s="464" t="s">
        <v>6373</v>
      </c>
      <c r="I2514" s="464" t="s">
        <v>1684</v>
      </c>
    </row>
    <row r="2515" ht="15.95" customHeight="1">
      <c r="A2515" s="464" t="s">
        <v>6432</v>
      </c>
      <c r="B2515" s="464" t="s">
        <v>6433</v>
      </c>
      <c r="C2515" s="464"/>
      <c r="D2515" s="464" t="s">
        <v>1709</v>
      </c>
      <c r="E2515" s="464" t="s">
        <v>6429</v>
      </c>
      <c r="F2515" s="464" t="s">
        <v>2724</v>
      </c>
      <c r="G2515" s="464" t="s">
        <v>6372</v>
      </c>
      <c r="H2515" s="464" t="s">
        <v>6373</v>
      </c>
      <c r="I2515" s="464" t="s">
        <v>1684</v>
      </c>
    </row>
    <row r="2516" ht="15.95" customHeight="1">
      <c r="A2516" s="464" t="s">
        <v>6434</v>
      </c>
      <c r="B2516" s="464" t="s">
        <v>3348</v>
      </c>
      <c r="C2516" s="464"/>
      <c r="D2516" s="464" t="s">
        <v>1709</v>
      </c>
      <c r="E2516" s="464" t="s">
        <v>6429</v>
      </c>
      <c r="F2516" s="464" t="s">
        <v>2724</v>
      </c>
      <c r="G2516" s="464" t="s">
        <v>6372</v>
      </c>
      <c r="H2516" s="464" t="s">
        <v>6373</v>
      </c>
      <c r="I2516" s="464" t="s">
        <v>1684</v>
      </c>
    </row>
    <row r="2517" ht="15.95" customHeight="1">
      <c r="A2517" s="464" t="s">
        <v>6435</v>
      </c>
      <c r="B2517" s="464" t="s">
        <v>3177</v>
      </c>
      <c r="C2517" s="464"/>
      <c r="D2517" s="464" t="s">
        <v>1709</v>
      </c>
      <c r="E2517" s="464" t="s">
        <v>6429</v>
      </c>
      <c r="F2517" s="464" t="s">
        <v>2724</v>
      </c>
      <c r="G2517" s="464" t="s">
        <v>6372</v>
      </c>
      <c r="H2517" s="464" t="s">
        <v>6373</v>
      </c>
      <c r="I2517" s="464" t="s">
        <v>1684</v>
      </c>
    </row>
    <row r="2518" ht="15.95" customHeight="1">
      <c r="A2518" s="464" t="s">
        <v>6436</v>
      </c>
      <c r="B2518" s="464" t="s">
        <v>6437</v>
      </c>
      <c r="C2518" s="464"/>
      <c r="D2518" s="464" t="s">
        <v>1738</v>
      </c>
      <c r="E2518" s="464" t="s">
        <v>6429</v>
      </c>
      <c r="F2518" s="464" t="s">
        <v>2724</v>
      </c>
      <c r="G2518" s="464" t="s">
        <v>6372</v>
      </c>
      <c r="H2518" s="464" t="s">
        <v>6373</v>
      </c>
      <c r="I2518" s="464" t="s">
        <v>1684</v>
      </c>
    </row>
    <row r="2519" ht="15.95" customHeight="1">
      <c r="A2519" s="464" t="s">
        <v>6438</v>
      </c>
      <c r="B2519" s="464" t="s">
        <v>6439</v>
      </c>
      <c r="C2519" s="464"/>
      <c r="D2519" s="464" t="s">
        <v>1709</v>
      </c>
      <c r="E2519" s="464" t="s">
        <v>6429</v>
      </c>
      <c r="F2519" s="464" t="s">
        <v>2724</v>
      </c>
      <c r="G2519" s="464" t="s">
        <v>6372</v>
      </c>
      <c r="H2519" s="464" t="s">
        <v>6373</v>
      </c>
      <c r="I2519" s="464" t="s">
        <v>1684</v>
      </c>
    </row>
    <row r="2520" ht="15.95" customHeight="1">
      <c r="A2520" s="464" t="s">
        <v>6440</v>
      </c>
      <c r="B2520" s="464" t="s">
        <v>6441</v>
      </c>
      <c r="C2520" s="464"/>
      <c r="D2520" s="464" t="s">
        <v>1709</v>
      </c>
      <c r="E2520" s="464" t="s">
        <v>6429</v>
      </c>
      <c r="F2520" s="464" t="s">
        <v>2724</v>
      </c>
      <c r="G2520" s="464" t="s">
        <v>6372</v>
      </c>
      <c r="H2520" s="464" t="s">
        <v>6373</v>
      </c>
      <c r="I2520" s="464" t="s">
        <v>1684</v>
      </c>
    </row>
    <row r="2521" ht="15.95" customHeight="1">
      <c r="A2521" s="464" t="s">
        <v>6442</v>
      </c>
      <c r="B2521" s="464" t="s">
        <v>6443</v>
      </c>
      <c r="C2521" s="464"/>
      <c r="D2521" s="464" t="s">
        <v>1738</v>
      </c>
      <c r="E2521" s="464" t="s">
        <v>6444</v>
      </c>
      <c r="F2521" s="464" t="s">
        <v>6445</v>
      </c>
      <c r="G2521" s="464" t="s">
        <v>6372</v>
      </c>
      <c r="H2521" s="464" t="s">
        <v>6373</v>
      </c>
      <c r="I2521" s="464" t="s">
        <v>1684</v>
      </c>
    </row>
    <row r="2522" ht="15.95" customHeight="1">
      <c r="A2522" s="464" t="s">
        <v>6446</v>
      </c>
      <c r="B2522" s="464" t="s">
        <v>6447</v>
      </c>
      <c r="C2522" s="464"/>
      <c r="D2522" s="464" t="s">
        <v>1738</v>
      </c>
      <c r="E2522" s="464" t="s">
        <v>6444</v>
      </c>
      <c r="F2522" s="464" t="s">
        <v>6445</v>
      </c>
      <c r="G2522" s="464" t="s">
        <v>6372</v>
      </c>
      <c r="H2522" s="464" t="s">
        <v>6373</v>
      </c>
      <c r="I2522" s="464" t="s">
        <v>1684</v>
      </c>
    </row>
    <row r="2523" ht="15.95" customHeight="1">
      <c r="A2523" s="464" t="s">
        <v>6448</v>
      </c>
      <c r="B2523" s="464" t="s">
        <v>1881</v>
      </c>
      <c r="C2523" s="464"/>
      <c r="D2523" s="464" t="s">
        <v>1709</v>
      </c>
      <c r="E2523" s="464" t="s">
        <v>6444</v>
      </c>
      <c r="F2523" s="464" t="s">
        <v>6445</v>
      </c>
      <c r="G2523" s="464" t="s">
        <v>6372</v>
      </c>
      <c r="H2523" s="464" t="s">
        <v>6373</v>
      </c>
      <c r="I2523" s="464" t="s">
        <v>1684</v>
      </c>
    </row>
    <row r="2524" ht="15.95" customHeight="1">
      <c r="A2524" s="464" t="s">
        <v>6449</v>
      </c>
      <c r="B2524" s="464" t="s">
        <v>4190</v>
      </c>
      <c r="C2524" s="464"/>
      <c r="D2524" s="464" t="s">
        <v>1709</v>
      </c>
      <c r="E2524" s="464" t="s">
        <v>6444</v>
      </c>
      <c r="F2524" s="464" t="s">
        <v>6445</v>
      </c>
      <c r="G2524" s="464" t="s">
        <v>6372</v>
      </c>
      <c r="H2524" s="464" t="s">
        <v>6373</v>
      </c>
      <c r="I2524" s="464" t="s">
        <v>1684</v>
      </c>
    </row>
    <row r="2525" ht="15.95" customHeight="1">
      <c r="A2525" s="464" t="s">
        <v>6450</v>
      </c>
      <c r="B2525" s="464" t="s">
        <v>4247</v>
      </c>
      <c r="C2525" s="464"/>
      <c r="D2525" s="464" t="s">
        <v>1709</v>
      </c>
      <c r="E2525" s="464" t="s">
        <v>6444</v>
      </c>
      <c r="F2525" s="464" t="s">
        <v>6445</v>
      </c>
      <c r="G2525" s="464" t="s">
        <v>6372</v>
      </c>
      <c r="H2525" s="464" t="s">
        <v>6373</v>
      </c>
      <c r="I2525" s="464" t="s">
        <v>1684</v>
      </c>
    </row>
    <row r="2526" ht="15.95" customHeight="1">
      <c r="A2526" s="464" t="s">
        <v>6451</v>
      </c>
      <c r="B2526" s="464" t="s">
        <v>4271</v>
      </c>
      <c r="C2526" s="464"/>
      <c r="D2526" s="464" t="s">
        <v>1709</v>
      </c>
      <c r="E2526" s="464" t="s">
        <v>6444</v>
      </c>
      <c r="F2526" s="464" t="s">
        <v>6445</v>
      </c>
      <c r="G2526" s="464" t="s">
        <v>6372</v>
      </c>
      <c r="H2526" s="464" t="s">
        <v>6373</v>
      </c>
      <c r="I2526" s="464" t="s">
        <v>1684</v>
      </c>
    </row>
    <row r="2527" ht="15.95" customHeight="1">
      <c r="A2527" s="464" t="s">
        <v>6452</v>
      </c>
      <c r="B2527" s="464" t="s">
        <v>6453</v>
      </c>
      <c r="C2527" s="464"/>
      <c r="D2527" s="464" t="s">
        <v>1709</v>
      </c>
      <c r="E2527" s="464" t="s">
        <v>6444</v>
      </c>
      <c r="F2527" s="464" t="s">
        <v>6445</v>
      </c>
      <c r="G2527" s="464" t="s">
        <v>6372</v>
      </c>
      <c r="H2527" s="464" t="s">
        <v>6373</v>
      </c>
      <c r="I2527" s="464" t="s">
        <v>1684</v>
      </c>
    </row>
    <row r="2528" ht="15.95" customHeight="1">
      <c r="A2528" s="464" t="s">
        <v>6454</v>
      </c>
      <c r="B2528" s="464" t="s">
        <v>6455</v>
      </c>
      <c r="C2528" s="464"/>
      <c r="D2528" s="464" t="s">
        <v>1709</v>
      </c>
      <c r="E2528" s="464" t="s">
        <v>6444</v>
      </c>
      <c r="F2528" s="464" t="s">
        <v>6445</v>
      </c>
      <c r="G2528" s="464" t="s">
        <v>6372</v>
      </c>
      <c r="H2528" s="464" t="s">
        <v>6373</v>
      </c>
      <c r="I2528" s="464" t="s">
        <v>1684</v>
      </c>
    </row>
    <row r="2529" ht="15.95" customHeight="1">
      <c r="A2529" s="464" t="s">
        <v>6456</v>
      </c>
      <c r="B2529" s="464" t="s">
        <v>5402</v>
      </c>
      <c r="C2529" s="464"/>
      <c r="D2529" s="464" t="s">
        <v>1709</v>
      </c>
      <c r="E2529" s="464" t="s">
        <v>6444</v>
      </c>
      <c r="F2529" s="464" t="s">
        <v>6445</v>
      </c>
      <c r="G2529" s="464" t="s">
        <v>6372</v>
      </c>
      <c r="H2529" s="464" t="s">
        <v>6373</v>
      </c>
      <c r="I2529" s="464" t="s">
        <v>1684</v>
      </c>
    </row>
    <row r="2530" ht="15.95" customHeight="1">
      <c r="A2530" s="464" t="s">
        <v>6457</v>
      </c>
      <c r="B2530" s="464" t="s">
        <v>6458</v>
      </c>
      <c r="C2530" s="464"/>
      <c r="D2530" s="464" t="s">
        <v>1709</v>
      </c>
      <c r="E2530" s="464" t="s">
        <v>6444</v>
      </c>
      <c r="F2530" s="464" t="s">
        <v>6445</v>
      </c>
      <c r="G2530" s="464" t="s">
        <v>6372</v>
      </c>
      <c r="H2530" s="464" t="s">
        <v>6373</v>
      </c>
      <c r="I2530" s="464" t="s">
        <v>1684</v>
      </c>
    </row>
    <row r="2531" ht="15.95" customHeight="1">
      <c r="A2531" s="464" t="s">
        <v>6459</v>
      </c>
      <c r="B2531" s="464" t="s">
        <v>6460</v>
      </c>
      <c r="C2531" s="464"/>
      <c r="D2531" s="464" t="s">
        <v>1709</v>
      </c>
      <c r="E2531" s="464" t="s">
        <v>6444</v>
      </c>
      <c r="F2531" s="464" t="s">
        <v>6445</v>
      </c>
      <c r="G2531" s="464" t="s">
        <v>6372</v>
      </c>
      <c r="H2531" s="464" t="s">
        <v>6373</v>
      </c>
      <c r="I2531" s="464" t="s">
        <v>1684</v>
      </c>
    </row>
    <row r="2532" ht="15.95" customHeight="1">
      <c r="A2532" s="464" t="s">
        <v>6461</v>
      </c>
      <c r="B2532" s="464" t="s">
        <v>6462</v>
      </c>
      <c r="C2532" s="464"/>
      <c r="D2532" s="464" t="s">
        <v>1709</v>
      </c>
      <c r="E2532" s="464" t="s">
        <v>6444</v>
      </c>
      <c r="F2532" s="464" t="s">
        <v>6445</v>
      </c>
      <c r="G2532" s="464" t="s">
        <v>6372</v>
      </c>
      <c r="H2532" s="464" t="s">
        <v>6373</v>
      </c>
      <c r="I2532" s="464" t="s">
        <v>1684</v>
      </c>
    </row>
    <row r="2533" ht="15.95" customHeight="1">
      <c r="A2533" s="464" t="s">
        <v>6463</v>
      </c>
      <c r="B2533" s="464" t="s">
        <v>6464</v>
      </c>
      <c r="C2533" s="464"/>
      <c r="D2533" s="464" t="s">
        <v>1738</v>
      </c>
      <c r="E2533" s="464" t="s">
        <v>6444</v>
      </c>
      <c r="F2533" s="464" t="s">
        <v>6445</v>
      </c>
      <c r="G2533" s="464" t="s">
        <v>6372</v>
      </c>
      <c r="H2533" s="464" t="s">
        <v>6373</v>
      </c>
      <c r="I2533" s="464" t="s">
        <v>1684</v>
      </c>
    </row>
    <row r="2534" ht="15.95" customHeight="1">
      <c r="A2534" s="464" t="s">
        <v>6465</v>
      </c>
      <c r="B2534" s="464" t="s">
        <v>6466</v>
      </c>
      <c r="C2534" s="464"/>
      <c r="D2534" s="464" t="s">
        <v>1709</v>
      </c>
      <c r="E2534" s="464" t="s">
        <v>6444</v>
      </c>
      <c r="F2534" s="464" t="s">
        <v>6445</v>
      </c>
      <c r="G2534" s="464" t="s">
        <v>6372</v>
      </c>
      <c r="H2534" s="464" t="s">
        <v>6373</v>
      </c>
      <c r="I2534" s="464" t="s">
        <v>1684</v>
      </c>
    </row>
    <row r="2535" ht="15.95" customHeight="1">
      <c r="A2535" s="464" t="s">
        <v>6467</v>
      </c>
      <c r="B2535" s="464" t="s">
        <v>2935</v>
      </c>
      <c r="C2535" s="464"/>
      <c r="D2535" s="464" t="s">
        <v>1709</v>
      </c>
      <c r="E2535" s="464" t="s">
        <v>6444</v>
      </c>
      <c r="F2535" s="464" t="s">
        <v>6445</v>
      </c>
      <c r="G2535" s="464" t="s">
        <v>6372</v>
      </c>
      <c r="H2535" s="464" t="s">
        <v>6373</v>
      </c>
      <c r="I2535" s="464" t="s">
        <v>1684</v>
      </c>
    </row>
    <row r="2536" ht="15.95" customHeight="1">
      <c r="A2536" s="464" t="s">
        <v>6468</v>
      </c>
      <c r="B2536" s="464" t="s">
        <v>6469</v>
      </c>
      <c r="C2536" s="464"/>
      <c r="D2536" s="464" t="s">
        <v>1738</v>
      </c>
      <c r="E2536" s="464" t="s">
        <v>6470</v>
      </c>
      <c r="F2536" s="464" t="s">
        <v>6471</v>
      </c>
      <c r="G2536" s="464" t="s">
        <v>6372</v>
      </c>
      <c r="H2536" s="464" t="s">
        <v>6373</v>
      </c>
      <c r="I2536" s="464" t="s">
        <v>1684</v>
      </c>
    </row>
    <row r="2537" ht="15.95" customHeight="1">
      <c r="A2537" s="464" t="s">
        <v>6472</v>
      </c>
      <c r="B2537" s="464" t="s">
        <v>6473</v>
      </c>
      <c r="C2537" s="464"/>
      <c r="D2537" s="464" t="s">
        <v>1709</v>
      </c>
      <c r="E2537" s="464" t="s">
        <v>6470</v>
      </c>
      <c r="F2537" s="464" t="s">
        <v>6471</v>
      </c>
      <c r="G2537" s="464" t="s">
        <v>6372</v>
      </c>
      <c r="H2537" s="464" t="s">
        <v>6373</v>
      </c>
      <c r="I2537" s="464" t="s">
        <v>1684</v>
      </c>
    </row>
    <row r="2538" ht="15.95" customHeight="1">
      <c r="A2538" s="464" t="s">
        <v>6474</v>
      </c>
      <c r="B2538" s="464" t="s">
        <v>6475</v>
      </c>
      <c r="C2538" s="464"/>
      <c r="D2538" s="464" t="s">
        <v>1709</v>
      </c>
      <c r="E2538" s="464" t="s">
        <v>6470</v>
      </c>
      <c r="F2538" s="464" t="s">
        <v>6471</v>
      </c>
      <c r="G2538" s="464" t="s">
        <v>6372</v>
      </c>
      <c r="H2538" s="464" t="s">
        <v>6373</v>
      </c>
      <c r="I2538" s="464" t="s">
        <v>1684</v>
      </c>
    </row>
    <row r="2539" ht="15.95" customHeight="1">
      <c r="A2539" s="464" t="s">
        <v>6476</v>
      </c>
      <c r="B2539" s="464" t="s">
        <v>6477</v>
      </c>
      <c r="C2539" s="464"/>
      <c r="D2539" s="464" t="s">
        <v>1709</v>
      </c>
      <c r="E2539" s="464" t="s">
        <v>6470</v>
      </c>
      <c r="F2539" s="464" t="s">
        <v>6471</v>
      </c>
      <c r="G2539" s="464" t="s">
        <v>6372</v>
      </c>
      <c r="H2539" s="464" t="s">
        <v>6373</v>
      </c>
      <c r="I2539" s="464" t="s">
        <v>1684</v>
      </c>
    </row>
    <row r="2540" ht="15.95" customHeight="1">
      <c r="A2540" s="464" t="s">
        <v>6478</v>
      </c>
      <c r="B2540" s="464" t="s">
        <v>6479</v>
      </c>
      <c r="C2540" s="464"/>
      <c r="D2540" s="464" t="s">
        <v>1709</v>
      </c>
      <c r="E2540" s="464" t="s">
        <v>6470</v>
      </c>
      <c r="F2540" s="464" t="s">
        <v>6471</v>
      </c>
      <c r="G2540" s="464" t="s">
        <v>6372</v>
      </c>
      <c r="H2540" s="464" t="s">
        <v>6373</v>
      </c>
      <c r="I2540" s="464" t="s">
        <v>1684</v>
      </c>
    </row>
    <row r="2541" ht="15.95" customHeight="1">
      <c r="A2541" s="464" t="s">
        <v>6480</v>
      </c>
      <c r="B2541" s="464" t="s">
        <v>5795</v>
      </c>
      <c r="C2541" s="464"/>
      <c r="D2541" s="464" t="s">
        <v>1709</v>
      </c>
      <c r="E2541" s="464" t="s">
        <v>6470</v>
      </c>
      <c r="F2541" s="464" t="s">
        <v>6471</v>
      </c>
      <c r="G2541" s="464" t="s">
        <v>6372</v>
      </c>
      <c r="H2541" s="464" t="s">
        <v>6373</v>
      </c>
      <c r="I2541" s="464" t="s">
        <v>1684</v>
      </c>
    </row>
    <row r="2542" ht="15.95" customHeight="1">
      <c r="A2542" s="464" t="s">
        <v>6481</v>
      </c>
      <c r="B2542" s="464" t="s">
        <v>6482</v>
      </c>
      <c r="C2542" s="464"/>
      <c r="D2542" s="464" t="s">
        <v>1709</v>
      </c>
      <c r="E2542" s="464" t="s">
        <v>6470</v>
      </c>
      <c r="F2542" s="464" t="s">
        <v>6471</v>
      </c>
      <c r="G2542" s="464" t="s">
        <v>6372</v>
      </c>
      <c r="H2542" s="464" t="s">
        <v>6373</v>
      </c>
      <c r="I2542" s="464" t="s">
        <v>1684</v>
      </c>
    </row>
    <row r="2543" ht="15.95" customHeight="1">
      <c r="A2543" s="464" t="s">
        <v>6483</v>
      </c>
      <c r="B2543" s="464" t="s">
        <v>6484</v>
      </c>
      <c r="C2543" s="464"/>
      <c r="D2543" s="464" t="s">
        <v>1709</v>
      </c>
      <c r="E2543" s="464" t="s">
        <v>6470</v>
      </c>
      <c r="F2543" s="464" t="s">
        <v>6471</v>
      </c>
      <c r="G2543" s="464" t="s">
        <v>6372</v>
      </c>
      <c r="H2543" s="464" t="s">
        <v>6373</v>
      </c>
      <c r="I2543" s="464" t="s">
        <v>1684</v>
      </c>
    </row>
    <row r="2544" ht="15.95" customHeight="1">
      <c r="A2544" s="464" t="s">
        <v>6485</v>
      </c>
      <c r="B2544" s="464" t="s">
        <v>6486</v>
      </c>
      <c r="C2544" s="464"/>
      <c r="D2544" s="464" t="s">
        <v>1709</v>
      </c>
      <c r="E2544" s="464" t="s">
        <v>6470</v>
      </c>
      <c r="F2544" s="464" t="s">
        <v>6471</v>
      </c>
      <c r="G2544" s="464" t="s">
        <v>6372</v>
      </c>
      <c r="H2544" s="464" t="s">
        <v>6373</v>
      </c>
      <c r="I2544" s="464" t="s">
        <v>1684</v>
      </c>
    </row>
    <row r="2545" ht="15.95" customHeight="1">
      <c r="A2545" s="464" t="s">
        <v>6487</v>
      </c>
      <c r="B2545" s="464" t="s">
        <v>6488</v>
      </c>
      <c r="C2545" s="464"/>
      <c r="D2545" s="464" t="s">
        <v>1709</v>
      </c>
      <c r="E2545" s="464" t="s">
        <v>6470</v>
      </c>
      <c r="F2545" s="464" t="s">
        <v>6471</v>
      </c>
      <c r="G2545" s="464" t="s">
        <v>6372</v>
      </c>
      <c r="H2545" s="464" t="s">
        <v>6373</v>
      </c>
      <c r="I2545" s="464" t="s">
        <v>1684</v>
      </c>
    </row>
    <row r="2546" ht="15.95" customHeight="1">
      <c r="A2546" s="464" t="s">
        <v>6489</v>
      </c>
      <c r="B2546" s="464" t="s">
        <v>6490</v>
      </c>
      <c r="C2546" s="464"/>
      <c r="D2546" s="464" t="s">
        <v>1709</v>
      </c>
      <c r="E2546" s="464" t="s">
        <v>6491</v>
      </c>
      <c r="F2546" s="464" t="s">
        <v>6492</v>
      </c>
      <c r="G2546" s="464" t="s">
        <v>6372</v>
      </c>
      <c r="H2546" s="464" t="s">
        <v>6373</v>
      </c>
      <c r="I2546" s="464" t="s">
        <v>1684</v>
      </c>
    </row>
    <row r="2547" ht="15.95" customHeight="1">
      <c r="A2547" s="464" t="s">
        <v>6493</v>
      </c>
      <c r="B2547" s="464" t="s">
        <v>1960</v>
      </c>
      <c r="C2547" s="464" t="s">
        <v>6494</v>
      </c>
      <c r="D2547" s="464" t="s">
        <v>1709</v>
      </c>
      <c r="E2547" s="464" t="s">
        <v>6491</v>
      </c>
      <c r="F2547" s="464" t="s">
        <v>6492</v>
      </c>
      <c r="G2547" s="464" t="s">
        <v>6372</v>
      </c>
      <c r="H2547" s="464" t="s">
        <v>6373</v>
      </c>
      <c r="I2547" s="464" t="s">
        <v>1684</v>
      </c>
    </row>
    <row r="2548" ht="15.95" customHeight="1">
      <c r="A2548" s="464" t="s">
        <v>6495</v>
      </c>
      <c r="B2548" s="464" t="s">
        <v>6496</v>
      </c>
      <c r="C2548" s="464"/>
      <c r="D2548" s="464" t="s">
        <v>1709</v>
      </c>
      <c r="E2548" s="464" t="s">
        <v>6491</v>
      </c>
      <c r="F2548" s="464" t="s">
        <v>6492</v>
      </c>
      <c r="G2548" s="464" t="s">
        <v>6372</v>
      </c>
      <c r="H2548" s="464" t="s">
        <v>6373</v>
      </c>
      <c r="I2548" s="464" t="s">
        <v>1684</v>
      </c>
    </row>
    <row r="2549" ht="15.95" customHeight="1">
      <c r="A2549" s="464" t="s">
        <v>6497</v>
      </c>
      <c r="B2549" s="464" t="s">
        <v>6498</v>
      </c>
      <c r="C2549" s="464"/>
      <c r="D2549" s="464" t="s">
        <v>1709</v>
      </c>
      <c r="E2549" s="464" t="s">
        <v>6491</v>
      </c>
      <c r="F2549" s="464" t="s">
        <v>6492</v>
      </c>
      <c r="G2549" s="464" t="s">
        <v>6372</v>
      </c>
      <c r="H2549" s="464" t="s">
        <v>6373</v>
      </c>
      <c r="I2549" s="464" t="s">
        <v>1684</v>
      </c>
    </row>
    <row r="2550" ht="15.95" customHeight="1">
      <c r="A2550" s="464" t="s">
        <v>6499</v>
      </c>
      <c r="B2550" s="464" t="s">
        <v>6500</v>
      </c>
      <c r="C2550" s="464"/>
      <c r="D2550" s="464" t="s">
        <v>1709</v>
      </c>
      <c r="E2550" s="464" t="s">
        <v>6491</v>
      </c>
      <c r="F2550" s="464" t="s">
        <v>6492</v>
      </c>
      <c r="G2550" s="464" t="s">
        <v>6372</v>
      </c>
      <c r="H2550" s="464" t="s">
        <v>6373</v>
      </c>
      <c r="I2550" s="464" t="s">
        <v>1684</v>
      </c>
    </row>
    <row r="2551" ht="15.95" customHeight="1">
      <c r="A2551" s="464" t="s">
        <v>6501</v>
      </c>
      <c r="B2551" s="464" t="s">
        <v>6502</v>
      </c>
      <c r="C2551" s="464"/>
      <c r="D2551" s="464" t="s">
        <v>1709</v>
      </c>
      <c r="E2551" s="464" t="s">
        <v>6491</v>
      </c>
      <c r="F2551" s="464" t="s">
        <v>6492</v>
      </c>
      <c r="G2551" s="464" t="s">
        <v>6372</v>
      </c>
      <c r="H2551" s="464" t="s">
        <v>6373</v>
      </c>
      <c r="I2551" s="464" t="s">
        <v>1684</v>
      </c>
    </row>
    <row r="2552" ht="15.95" customHeight="1">
      <c r="A2552" s="464" t="s">
        <v>6503</v>
      </c>
      <c r="B2552" s="464" t="s">
        <v>6504</v>
      </c>
      <c r="C2552" s="464"/>
      <c r="D2552" s="464" t="s">
        <v>1709</v>
      </c>
      <c r="E2552" s="464" t="s">
        <v>6491</v>
      </c>
      <c r="F2552" s="464" t="s">
        <v>6492</v>
      </c>
      <c r="G2552" s="464" t="s">
        <v>6372</v>
      </c>
      <c r="H2552" s="464" t="s">
        <v>6373</v>
      </c>
      <c r="I2552" s="464" t="s">
        <v>1684</v>
      </c>
    </row>
    <row r="2553" ht="15.95" customHeight="1">
      <c r="A2553" s="464" t="s">
        <v>6505</v>
      </c>
      <c r="B2553" s="464" t="s">
        <v>6506</v>
      </c>
      <c r="C2553" s="464"/>
      <c r="D2553" s="464" t="s">
        <v>1709</v>
      </c>
      <c r="E2553" s="464" t="s">
        <v>6491</v>
      </c>
      <c r="F2553" s="464" t="s">
        <v>6492</v>
      </c>
      <c r="G2553" s="464" t="s">
        <v>6372</v>
      </c>
      <c r="H2553" s="464" t="s">
        <v>6373</v>
      </c>
      <c r="I2553" s="464" t="s">
        <v>1684</v>
      </c>
    </row>
    <row r="2554" ht="15.95" customHeight="1">
      <c r="A2554" s="464" t="s">
        <v>6507</v>
      </c>
      <c r="B2554" s="464" t="s">
        <v>6279</v>
      </c>
      <c r="C2554" s="464"/>
      <c r="D2554" s="464" t="s">
        <v>1679</v>
      </c>
      <c r="E2554" s="464" t="s">
        <v>6508</v>
      </c>
      <c r="F2554" s="464" t="s">
        <v>6509</v>
      </c>
      <c r="G2554" s="464" t="s">
        <v>6372</v>
      </c>
      <c r="H2554" s="464" t="s">
        <v>6373</v>
      </c>
      <c r="I2554" s="464" t="s">
        <v>1684</v>
      </c>
    </row>
    <row r="2555" ht="15.95" customHeight="1">
      <c r="A2555" s="464" t="s">
        <v>6510</v>
      </c>
      <c r="B2555" s="464" t="s">
        <v>6511</v>
      </c>
      <c r="C2555" s="464" t="s">
        <v>6512</v>
      </c>
      <c r="D2555" s="464" t="s">
        <v>1679</v>
      </c>
      <c r="E2555" s="464" t="s">
        <v>6508</v>
      </c>
      <c r="F2555" s="464" t="s">
        <v>6509</v>
      </c>
      <c r="G2555" s="464" t="s">
        <v>6372</v>
      </c>
      <c r="H2555" s="464" t="s">
        <v>6373</v>
      </c>
      <c r="I2555" s="464" t="s">
        <v>1684</v>
      </c>
    </row>
    <row r="2556" ht="15.95" customHeight="1">
      <c r="A2556" s="464" t="s">
        <v>6513</v>
      </c>
      <c r="B2556" s="464" t="s">
        <v>6514</v>
      </c>
      <c r="C2556" s="464"/>
      <c r="D2556" s="464" t="s">
        <v>1679</v>
      </c>
      <c r="E2556" s="464" t="s">
        <v>6508</v>
      </c>
      <c r="F2556" s="464" t="s">
        <v>6509</v>
      </c>
      <c r="G2556" s="464" t="s">
        <v>6372</v>
      </c>
      <c r="H2556" s="464" t="s">
        <v>6373</v>
      </c>
      <c r="I2556" s="464" t="s">
        <v>1684</v>
      </c>
    </row>
    <row r="2557" ht="15.95" customHeight="1">
      <c r="A2557" s="464" t="s">
        <v>6515</v>
      </c>
      <c r="B2557" s="464" t="s">
        <v>2622</v>
      </c>
      <c r="C2557" s="464"/>
      <c r="D2557" s="464" t="s">
        <v>1709</v>
      </c>
      <c r="E2557" s="464" t="s">
        <v>6508</v>
      </c>
      <c r="F2557" s="464" t="s">
        <v>6509</v>
      </c>
      <c r="G2557" s="464" t="s">
        <v>6372</v>
      </c>
      <c r="H2557" s="464" t="s">
        <v>6373</v>
      </c>
      <c r="I2557" s="464" t="s">
        <v>1684</v>
      </c>
    </row>
    <row r="2558" ht="15.95" customHeight="1">
      <c r="A2558" s="464" t="s">
        <v>6516</v>
      </c>
      <c r="B2558" s="464" t="s">
        <v>6517</v>
      </c>
      <c r="C2558" s="464"/>
      <c r="D2558" s="464" t="s">
        <v>1679</v>
      </c>
      <c r="E2558" s="464" t="s">
        <v>6508</v>
      </c>
      <c r="F2558" s="464" t="s">
        <v>6509</v>
      </c>
      <c r="G2558" s="464" t="s">
        <v>6372</v>
      </c>
      <c r="H2558" s="464" t="s">
        <v>6373</v>
      </c>
      <c r="I2558" s="464" t="s">
        <v>1684</v>
      </c>
    </row>
    <row r="2559" ht="15.95" customHeight="1">
      <c r="A2559" s="464" t="s">
        <v>6518</v>
      </c>
      <c r="B2559" s="464" t="s">
        <v>6519</v>
      </c>
      <c r="C2559" s="464"/>
      <c r="D2559" s="464" t="s">
        <v>1709</v>
      </c>
      <c r="E2559" s="464" t="s">
        <v>6508</v>
      </c>
      <c r="F2559" s="464" t="s">
        <v>6509</v>
      </c>
      <c r="G2559" s="464" t="s">
        <v>6372</v>
      </c>
      <c r="H2559" s="464" t="s">
        <v>6373</v>
      </c>
      <c r="I2559" s="464" t="s">
        <v>1684</v>
      </c>
    </row>
    <row r="2560" ht="15.95" customHeight="1">
      <c r="A2560" s="464" t="s">
        <v>6520</v>
      </c>
      <c r="B2560" s="464" t="s">
        <v>6521</v>
      </c>
      <c r="C2560" s="464"/>
      <c r="D2560" s="464" t="s">
        <v>1709</v>
      </c>
      <c r="E2560" s="464" t="s">
        <v>6508</v>
      </c>
      <c r="F2560" s="464" t="s">
        <v>6509</v>
      </c>
      <c r="G2560" s="464" t="s">
        <v>6372</v>
      </c>
      <c r="H2560" s="464" t="s">
        <v>6373</v>
      </c>
      <c r="I2560" s="464" t="s">
        <v>1684</v>
      </c>
    </row>
    <row r="2561" ht="15.95" customHeight="1">
      <c r="A2561" s="464" t="s">
        <v>6522</v>
      </c>
      <c r="B2561" s="464" t="s">
        <v>5304</v>
      </c>
      <c r="C2561" s="464"/>
      <c r="D2561" s="464" t="s">
        <v>1709</v>
      </c>
      <c r="E2561" s="464" t="s">
        <v>6508</v>
      </c>
      <c r="F2561" s="464" t="s">
        <v>6509</v>
      </c>
      <c r="G2561" s="464" t="s">
        <v>6372</v>
      </c>
      <c r="H2561" s="464" t="s">
        <v>6373</v>
      </c>
      <c r="I2561" s="464" t="s">
        <v>1684</v>
      </c>
    </row>
    <row r="2562" ht="15.95" customHeight="1">
      <c r="A2562" s="464" t="s">
        <v>6523</v>
      </c>
      <c r="B2562" s="464" t="s">
        <v>2697</v>
      </c>
      <c r="C2562" s="464" t="s">
        <v>6524</v>
      </c>
      <c r="D2562" s="464" t="s">
        <v>1709</v>
      </c>
      <c r="E2562" s="464" t="s">
        <v>6508</v>
      </c>
      <c r="F2562" s="464" t="s">
        <v>6509</v>
      </c>
      <c r="G2562" s="464" t="s">
        <v>6372</v>
      </c>
      <c r="H2562" s="464" t="s">
        <v>6373</v>
      </c>
      <c r="I2562" s="464" t="s">
        <v>1684</v>
      </c>
    </row>
    <row r="2563" ht="15.95" customHeight="1">
      <c r="A2563" s="464" t="s">
        <v>6525</v>
      </c>
      <c r="B2563" s="464" t="s">
        <v>2115</v>
      </c>
      <c r="C2563" s="464"/>
      <c r="D2563" s="464" t="s">
        <v>1679</v>
      </c>
      <c r="E2563" s="464" t="s">
        <v>6526</v>
      </c>
      <c r="F2563" s="464" t="s">
        <v>6527</v>
      </c>
      <c r="G2563" s="464" t="s">
        <v>6528</v>
      </c>
      <c r="H2563" s="464" t="s">
        <v>6529</v>
      </c>
      <c r="I2563" s="464" t="s">
        <v>1684</v>
      </c>
    </row>
    <row r="2564" ht="15.95" customHeight="1">
      <c r="A2564" s="464" t="s">
        <v>6530</v>
      </c>
      <c r="B2564" s="464" t="s">
        <v>1281</v>
      </c>
      <c r="C2564" s="464"/>
      <c r="D2564" s="464" t="s">
        <v>1679</v>
      </c>
      <c r="E2564" s="464" t="s">
        <v>6526</v>
      </c>
      <c r="F2564" s="464" t="s">
        <v>6527</v>
      </c>
      <c r="G2564" s="464" t="s">
        <v>6528</v>
      </c>
      <c r="H2564" s="464" t="s">
        <v>6529</v>
      </c>
      <c r="I2564" s="464" t="s">
        <v>1684</v>
      </c>
    </row>
    <row r="2565" ht="15.95" customHeight="1">
      <c r="A2565" s="464" t="s">
        <v>6531</v>
      </c>
      <c r="B2565" s="464" t="s">
        <v>1279</v>
      </c>
      <c r="C2565" s="464"/>
      <c r="D2565" s="464" t="s">
        <v>1679</v>
      </c>
      <c r="E2565" s="464" t="s">
        <v>6526</v>
      </c>
      <c r="F2565" s="464" t="s">
        <v>6527</v>
      </c>
      <c r="G2565" s="464" t="s">
        <v>6528</v>
      </c>
      <c r="H2565" s="464" t="s">
        <v>6529</v>
      </c>
      <c r="I2565" s="464" t="s">
        <v>1684</v>
      </c>
    </row>
    <row r="2566" ht="15.95" customHeight="1">
      <c r="A2566" s="464" t="s">
        <v>6532</v>
      </c>
      <c r="B2566" s="464" t="s">
        <v>2113</v>
      </c>
      <c r="C2566" s="464"/>
      <c r="D2566" s="464" t="s">
        <v>1679</v>
      </c>
      <c r="E2566" s="464" t="s">
        <v>6526</v>
      </c>
      <c r="F2566" s="464" t="s">
        <v>6527</v>
      </c>
      <c r="G2566" s="464" t="s">
        <v>6528</v>
      </c>
      <c r="H2566" s="464" t="s">
        <v>6529</v>
      </c>
      <c r="I2566" s="464" t="s">
        <v>1684</v>
      </c>
    </row>
    <row r="2567" ht="15.95" customHeight="1">
      <c r="A2567" s="464" t="s">
        <v>6533</v>
      </c>
      <c r="B2567" s="464" t="s">
        <v>2110</v>
      </c>
      <c r="C2567" s="464"/>
      <c r="D2567" s="464" t="s">
        <v>1679</v>
      </c>
      <c r="E2567" s="464" t="s">
        <v>6526</v>
      </c>
      <c r="F2567" s="464" t="s">
        <v>6527</v>
      </c>
      <c r="G2567" s="464" t="s">
        <v>6528</v>
      </c>
      <c r="H2567" s="464" t="s">
        <v>6529</v>
      </c>
      <c r="I2567" s="464" t="s">
        <v>1684</v>
      </c>
    </row>
    <row r="2568" ht="15.95" customHeight="1">
      <c r="A2568" s="464" t="s">
        <v>6534</v>
      </c>
      <c r="B2568" s="464" t="s">
        <v>1287</v>
      </c>
      <c r="C2568" s="464"/>
      <c r="D2568" s="464" t="s">
        <v>1679</v>
      </c>
      <c r="E2568" s="464" t="s">
        <v>6526</v>
      </c>
      <c r="F2568" s="464" t="s">
        <v>6527</v>
      </c>
      <c r="G2568" s="464" t="s">
        <v>6528</v>
      </c>
      <c r="H2568" s="464" t="s">
        <v>6529</v>
      </c>
      <c r="I2568" s="464" t="s">
        <v>1684</v>
      </c>
    </row>
    <row r="2569" ht="15.95" customHeight="1">
      <c r="A2569" s="464" t="s">
        <v>6535</v>
      </c>
      <c r="B2569" s="464" t="s">
        <v>1282</v>
      </c>
      <c r="C2569" s="464"/>
      <c r="D2569" s="464" t="s">
        <v>1679</v>
      </c>
      <c r="E2569" s="464" t="s">
        <v>6526</v>
      </c>
      <c r="F2569" s="464" t="s">
        <v>6527</v>
      </c>
      <c r="G2569" s="464" t="s">
        <v>6528</v>
      </c>
      <c r="H2569" s="464" t="s">
        <v>6529</v>
      </c>
      <c r="I2569" s="464" t="s">
        <v>1684</v>
      </c>
    </row>
    <row r="2570" ht="15.95" customHeight="1">
      <c r="A2570" s="464" t="s">
        <v>6536</v>
      </c>
      <c r="B2570" s="464" t="s">
        <v>1269</v>
      </c>
      <c r="C2570" s="464"/>
      <c r="D2570" s="464" t="s">
        <v>1679</v>
      </c>
      <c r="E2570" s="464" t="s">
        <v>6526</v>
      </c>
      <c r="F2570" s="464" t="s">
        <v>6527</v>
      </c>
      <c r="G2570" s="464" t="s">
        <v>6528</v>
      </c>
      <c r="H2570" s="464" t="s">
        <v>6529</v>
      </c>
      <c r="I2570" s="464" t="s">
        <v>1684</v>
      </c>
    </row>
    <row r="2571" ht="15.95" customHeight="1">
      <c r="A2571" s="464" t="s">
        <v>6537</v>
      </c>
      <c r="B2571" s="464" t="s">
        <v>1266</v>
      </c>
      <c r="C2571" s="464"/>
      <c r="D2571" s="464" t="s">
        <v>1679</v>
      </c>
      <c r="E2571" s="464" t="s">
        <v>6526</v>
      </c>
      <c r="F2571" s="464" t="s">
        <v>6527</v>
      </c>
      <c r="G2571" s="464" t="s">
        <v>6528</v>
      </c>
      <c r="H2571" s="464" t="s">
        <v>6529</v>
      </c>
      <c r="I2571" s="464" t="s">
        <v>1684</v>
      </c>
    </row>
    <row r="2572" ht="15.95" customHeight="1">
      <c r="A2572" s="464" t="s">
        <v>6538</v>
      </c>
      <c r="B2572" s="464" t="s">
        <v>1270</v>
      </c>
      <c r="C2572" s="464"/>
      <c r="D2572" s="464" t="s">
        <v>1679</v>
      </c>
      <c r="E2572" s="464" t="s">
        <v>6526</v>
      </c>
      <c r="F2572" s="464" t="s">
        <v>6527</v>
      </c>
      <c r="G2572" s="464" t="s">
        <v>6528</v>
      </c>
      <c r="H2572" s="464" t="s">
        <v>6529</v>
      </c>
      <c r="I2572" s="464" t="s">
        <v>1684</v>
      </c>
    </row>
    <row r="2573" ht="15.95" customHeight="1">
      <c r="A2573" s="464" t="s">
        <v>6539</v>
      </c>
      <c r="B2573" s="464" t="s">
        <v>2722</v>
      </c>
      <c r="C2573" s="464"/>
      <c r="D2573" s="464" t="s">
        <v>1738</v>
      </c>
      <c r="E2573" s="464" t="s">
        <v>6540</v>
      </c>
      <c r="F2573" s="464" t="s">
        <v>2724</v>
      </c>
      <c r="G2573" s="464" t="s">
        <v>6528</v>
      </c>
      <c r="H2573" s="464" t="s">
        <v>6529</v>
      </c>
      <c r="I2573" s="464" t="s">
        <v>1684</v>
      </c>
    </row>
    <row r="2574" ht="15.95" customHeight="1">
      <c r="A2574" s="464" t="s">
        <v>6541</v>
      </c>
      <c r="B2574" s="464" t="s">
        <v>6542</v>
      </c>
      <c r="C2574" s="464"/>
      <c r="D2574" s="464" t="s">
        <v>1709</v>
      </c>
      <c r="E2574" s="464" t="s">
        <v>6540</v>
      </c>
      <c r="F2574" s="464" t="s">
        <v>2724</v>
      </c>
      <c r="G2574" s="464" t="s">
        <v>6528</v>
      </c>
      <c r="H2574" s="464" t="s">
        <v>6529</v>
      </c>
      <c r="I2574" s="464" t="s">
        <v>1684</v>
      </c>
    </row>
    <row r="2575" ht="15.95" customHeight="1">
      <c r="A2575" s="464" t="s">
        <v>6543</v>
      </c>
      <c r="B2575" s="464" t="s">
        <v>6544</v>
      </c>
      <c r="C2575" s="464"/>
      <c r="D2575" s="464" t="s">
        <v>1709</v>
      </c>
      <c r="E2575" s="464" t="s">
        <v>6540</v>
      </c>
      <c r="F2575" s="464" t="s">
        <v>2724</v>
      </c>
      <c r="G2575" s="464" t="s">
        <v>6528</v>
      </c>
      <c r="H2575" s="464" t="s">
        <v>6529</v>
      </c>
      <c r="I2575" s="464" t="s">
        <v>1684</v>
      </c>
    </row>
    <row r="2576" ht="15.95" customHeight="1">
      <c r="A2576" s="464" t="s">
        <v>6545</v>
      </c>
      <c r="B2576" s="464" t="s">
        <v>1960</v>
      </c>
      <c r="C2576" s="464"/>
      <c r="D2576" s="464" t="s">
        <v>1709</v>
      </c>
      <c r="E2576" s="464" t="s">
        <v>6540</v>
      </c>
      <c r="F2576" s="464" t="s">
        <v>2724</v>
      </c>
      <c r="G2576" s="464" t="s">
        <v>6528</v>
      </c>
      <c r="H2576" s="464" t="s">
        <v>6529</v>
      </c>
      <c r="I2576" s="464" t="s">
        <v>1684</v>
      </c>
    </row>
    <row r="2577" ht="15.95" customHeight="1">
      <c r="A2577" s="464" t="s">
        <v>6546</v>
      </c>
      <c r="B2577" s="464" t="s">
        <v>3177</v>
      </c>
      <c r="C2577" s="464"/>
      <c r="D2577" s="464" t="s">
        <v>1709</v>
      </c>
      <c r="E2577" s="464" t="s">
        <v>6540</v>
      </c>
      <c r="F2577" s="464" t="s">
        <v>2724</v>
      </c>
      <c r="G2577" s="464" t="s">
        <v>6528</v>
      </c>
      <c r="H2577" s="464" t="s">
        <v>6529</v>
      </c>
      <c r="I2577" s="464" t="s">
        <v>1684</v>
      </c>
    </row>
    <row r="2578" ht="15.95" customHeight="1">
      <c r="A2578" s="464" t="s">
        <v>6547</v>
      </c>
      <c r="B2578" s="464" t="s">
        <v>5352</v>
      </c>
      <c r="C2578" s="464"/>
      <c r="D2578" s="464" t="s">
        <v>1709</v>
      </c>
      <c r="E2578" s="464" t="s">
        <v>6540</v>
      </c>
      <c r="F2578" s="464" t="s">
        <v>2724</v>
      </c>
      <c r="G2578" s="464" t="s">
        <v>6528</v>
      </c>
      <c r="H2578" s="464" t="s">
        <v>6529</v>
      </c>
      <c r="I2578" s="464" t="s">
        <v>1684</v>
      </c>
    </row>
    <row r="2579" ht="15.95" customHeight="1">
      <c r="A2579" s="464" t="s">
        <v>6548</v>
      </c>
      <c r="B2579" s="464" t="s">
        <v>4766</v>
      </c>
      <c r="C2579" s="464"/>
      <c r="D2579" s="464" t="s">
        <v>1709</v>
      </c>
      <c r="E2579" s="464" t="s">
        <v>6540</v>
      </c>
      <c r="F2579" s="464" t="s">
        <v>2724</v>
      </c>
      <c r="G2579" s="464" t="s">
        <v>6528</v>
      </c>
      <c r="H2579" s="464" t="s">
        <v>6529</v>
      </c>
      <c r="I2579" s="464" t="s">
        <v>1684</v>
      </c>
    </row>
    <row r="2580" ht="15.95" customHeight="1">
      <c r="A2580" s="464" t="s">
        <v>6549</v>
      </c>
      <c r="B2580" s="464" t="s">
        <v>6550</v>
      </c>
      <c r="C2580" s="464"/>
      <c r="D2580" s="464" t="s">
        <v>1709</v>
      </c>
      <c r="E2580" s="464" t="s">
        <v>6540</v>
      </c>
      <c r="F2580" s="464" t="s">
        <v>2724</v>
      </c>
      <c r="G2580" s="464" t="s">
        <v>6528</v>
      </c>
      <c r="H2580" s="464" t="s">
        <v>6529</v>
      </c>
      <c r="I2580" s="464" t="s">
        <v>1684</v>
      </c>
    </row>
    <row r="2581" ht="15.95" customHeight="1">
      <c r="A2581" s="464" t="s">
        <v>6551</v>
      </c>
      <c r="B2581" s="464" t="s">
        <v>6552</v>
      </c>
      <c r="C2581" s="464"/>
      <c r="D2581" s="464" t="s">
        <v>1738</v>
      </c>
      <c r="E2581" s="464" t="s">
        <v>6553</v>
      </c>
      <c r="F2581" s="464" t="s">
        <v>6554</v>
      </c>
      <c r="G2581" s="464" t="s">
        <v>6528</v>
      </c>
      <c r="H2581" s="464" t="s">
        <v>6529</v>
      </c>
      <c r="I2581" s="464" t="s">
        <v>1684</v>
      </c>
    </row>
    <row r="2582" ht="15.95" customHeight="1">
      <c r="A2582" s="464" t="s">
        <v>6555</v>
      </c>
      <c r="B2582" s="464" t="s">
        <v>6556</v>
      </c>
      <c r="C2582" s="464"/>
      <c r="D2582" s="464" t="s">
        <v>1738</v>
      </c>
      <c r="E2582" s="464" t="s">
        <v>6553</v>
      </c>
      <c r="F2582" s="464" t="s">
        <v>6554</v>
      </c>
      <c r="G2582" s="464" t="s">
        <v>6528</v>
      </c>
      <c r="H2582" s="464" t="s">
        <v>6529</v>
      </c>
      <c r="I2582" s="464" t="s">
        <v>1684</v>
      </c>
    </row>
    <row r="2583" ht="15.95" customHeight="1">
      <c r="A2583" s="464" t="s">
        <v>6557</v>
      </c>
      <c r="B2583" s="464" t="s">
        <v>3321</v>
      </c>
      <c r="C2583" s="464"/>
      <c r="D2583" s="464" t="s">
        <v>1709</v>
      </c>
      <c r="E2583" s="464" t="s">
        <v>6553</v>
      </c>
      <c r="F2583" s="464" t="s">
        <v>6554</v>
      </c>
      <c r="G2583" s="464" t="s">
        <v>6528</v>
      </c>
      <c r="H2583" s="464" t="s">
        <v>6529</v>
      </c>
      <c r="I2583" s="464" t="s">
        <v>1684</v>
      </c>
    </row>
    <row r="2584" ht="15.95" customHeight="1">
      <c r="A2584" s="464" t="s">
        <v>6558</v>
      </c>
      <c r="B2584" s="464" t="s">
        <v>1860</v>
      </c>
      <c r="C2584" s="464"/>
      <c r="D2584" s="464" t="s">
        <v>1709</v>
      </c>
      <c r="E2584" s="464" t="s">
        <v>6553</v>
      </c>
      <c r="F2584" s="464" t="s">
        <v>6554</v>
      </c>
      <c r="G2584" s="464" t="s">
        <v>6528</v>
      </c>
      <c r="H2584" s="464" t="s">
        <v>6529</v>
      </c>
      <c r="I2584" s="464" t="s">
        <v>1684</v>
      </c>
    </row>
    <row r="2585" ht="15.95" customHeight="1">
      <c r="A2585" s="464" t="s">
        <v>6559</v>
      </c>
      <c r="B2585" s="464" t="s">
        <v>6560</v>
      </c>
      <c r="C2585" s="464"/>
      <c r="D2585" s="464" t="s">
        <v>1709</v>
      </c>
      <c r="E2585" s="464" t="s">
        <v>6553</v>
      </c>
      <c r="F2585" s="464" t="s">
        <v>6554</v>
      </c>
      <c r="G2585" s="464" t="s">
        <v>6528</v>
      </c>
      <c r="H2585" s="464" t="s">
        <v>6529</v>
      </c>
      <c r="I2585" s="464" t="s">
        <v>1684</v>
      </c>
    </row>
    <row r="2586" ht="15.95" customHeight="1">
      <c r="A2586" s="464" t="s">
        <v>6561</v>
      </c>
      <c r="B2586" s="464" t="s">
        <v>6562</v>
      </c>
      <c r="C2586" s="464"/>
      <c r="D2586" s="464" t="s">
        <v>1709</v>
      </c>
      <c r="E2586" s="464" t="s">
        <v>6553</v>
      </c>
      <c r="F2586" s="464" t="s">
        <v>6554</v>
      </c>
      <c r="G2586" s="464" t="s">
        <v>6528</v>
      </c>
      <c r="H2586" s="464" t="s">
        <v>6529</v>
      </c>
      <c r="I2586" s="464" t="s">
        <v>1684</v>
      </c>
    </row>
    <row r="2587" ht="15.95" customHeight="1">
      <c r="A2587" s="464" t="s">
        <v>6563</v>
      </c>
      <c r="B2587" s="464" t="s">
        <v>6564</v>
      </c>
      <c r="C2587" s="464"/>
      <c r="D2587" s="464" t="s">
        <v>1709</v>
      </c>
      <c r="E2587" s="464" t="s">
        <v>6553</v>
      </c>
      <c r="F2587" s="464" t="s">
        <v>6554</v>
      </c>
      <c r="G2587" s="464" t="s">
        <v>6528</v>
      </c>
      <c r="H2587" s="464" t="s">
        <v>6529</v>
      </c>
      <c r="I2587" s="464" t="s">
        <v>1684</v>
      </c>
    </row>
    <row r="2588" ht="15.95" customHeight="1">
      <c r="A2588" s="464" t="s">
        <v>6565</v>
      </c>
      <c r="B2588" s="464" t="s">
        <v>6566</v>
      </c>
      <c r="C2588" s="464"/>
      <c r="D2588" s="464" t="s">
        <v>1709</v>
      </c>
      <c r="E2588" s="464" t="s">
        <v>6553</v>
      </c>
      <c r="F2588" s="464" t="s">
        <v>6554</v>
      </c>
      <c r="G2588" s="464" t="s">
        <v>6528</v>
      </c>
      <c r="H2588" s="464" t="s">
        <v>6529</v>
      </c>
      <c r="I2588" s="464" t="s">
        <v>1684</v>
      </c>
    </row>
    <row r="2589" ht="15.95" customHeight="1">
      <c r="A2589" s="464" t="s">
        <v>6567</v>
      </c>
      <c r="B2589" s="464" t="s">
        <v>5872</v>
      </c>
      <c r="C2589" s="464"/>
      <c r="D2589" s="464" t="s">
        <v>1709</v>
      </c>
      <c r="E2589" s="464" t="s">
        <v>6553</v>
      </c>
      <c r="F2589" s="464" t="s">
        <v>6554</v>
      </c>
      <c r="G2589" s="464" t="s">
        <v>6528</v>
      </c>
      <c r="H2589" s="464" t="s">
        <v>6529</v>
      </c>
      <c r="I2589" s="464" t="s">
        <v>1684</v>
      </c>
    </row>
    <row r="2590" ht="15.95" customHeight="1">
      <c r="A2590" s="464" t="s">
        <v>6568</v>
      </c>
      <c r="B2590" s="464" t="s">
        <v>6569</v>
      </c>
      <c r="C2590" s="464"/>
      <c r="D2590" s="464" t="s">
        <v>1709</v>
      </c>
      <c r="E2590" s="464" t="s">
        <v>6553</v>
      </c>
      <c r="F2590" s="464" t="s">
        <v>6554</v>
      </c>
      <c r="G2590" s="464" t="s">
        <v>6528</v>
      </c>
      <c r="H2590" s="464" t="s">
        <v>6529</v>
      </c>
      <c r="I2590" s="464" t="s">
        <v>1684</v>
      </c>
    </row>
    <row r="2591" ht="15.95" customHeight="1">
      <c r="A2591" s="464" t="s">
        <v>6570</v>
      </c>
      <c r="B2591" s="464" t="s">
        <v>6571</v>
      </c>
      <c r="C2591" s="464"/>
      <c r="D2591" s="464" t="s">
        <v>1709</v>
      </c>
      <c r="E2591" s="464" t="s">
        <v>6553</v>
      </c>
      <c r="F2591" s="464" t="s">
        <v>6554</v>
      </c>
      <c r="G2591" s="464" t="s">
        <v>6528</v>
      </c>
      <c r="H2591" s="464" t="s">
        <v>6529</v>
      </c>
      <c r="I2591" s="464" t="s">
        <v>1684</v>
      </c>
    </row>
    <row r="2592" ht="15.95" customHeight="1">
      <c r="A2592" s="464" t="s">
        <v>6572</v>
      </c>
      <c r="B2592" s="464" t="s">
        <v>6573</v>
      </c>
      <c r="C2592" s="464"/>
      <c r="D2592" s="464" t="s">
        <v>1709</v>
      </c>
      <c r="E2592" s="464" t="s">
        <v>6553</v>
      </c>
      <c r="F2592" s="464" t="s">
        <v>6554</v>
      </c>
      <c r="G2592" s="464" t="s">
        <v>6528</v>
      </c>
      <c r="H2592" s="464" t="s">
        <v>6529</v>
      </c>
      <c r="I2592" s="464" t="s">
        <v>1684</v>
      </c>
    </row>
    <row r="2593" ht="15.95" customHeight="1">
      <c r="A2593" s="464" t="s">
        <v>6574</v>
      </c>
      <c r="B2593" s="464" t="s">
        <v>6575</v>
      </c>
      <c r="C2593" s="464"/>
      <c r="D2593" s="464" t="s">
        <v>1709</v>
      </c>
      <c r="E2593" s="464" t="s">
        <v>6553</v>
      </c>
      <c r="F2593" s="464" t="s">
        <v>6554</v>
      </c>
      <c r="G2593" s="464" t="s">
        <v>6528</v>
      </c>
      <c r="H2593" s="464" t="s">
        <v>6529</v>
      </c>
      <c r="I2593" s="464" t="s">
        <v>1684</v>
      </c>
    </row>
    <row r="2594" ht="15.95" customHeight="1">
      <c r="A2594" s="464" t="s">
        <v>6576</v>
      </c>
      <c r="B2594" s="464" t="s">
        <v>6577</v>
      </c>
      <c r="C2594" s="464"/>
      <c r="D2594" s="464" t="s">
        <v>1738</v>
      </c>
      <c r="E2594" s="464" t="s">
        <v>6578</v>
      </c>
      <c r="F2594" s="464" t="s">
        <v>6579</v>
      </c>
      <c r="G2594" s="464" t="s">
        <v>6528</v>
      </c>
      <c r="H2594" s="464" t="s">
        <v>6529</v>
      </c>
      <c r="I2594" s="464" t="s">
        <v>1684</v>
      </c>
    </row>
    <row r="2595" ht="15.95" customHeight="1">
      <c r="A2595" s="464" t="s">
        <v>6580</v>
      </c>
      <c r="B2595" s="464" t="s">
        <v>2629</v>
      </c>
      <c r="C2595" s="464"/>
      <c r="D2595" s="464" t="s">
        <v>1709</v>
      </c>
      <c r="E2595" s="464" t="s">
        <v>6578</v>
      </c>
      <c r="F2595" s="464" t="s">
        <v>6579</v>
      </c>
      <c r="G2595" s="464" t="s">
        <v>6528</v>
      </c>
      <c r="H2595" s="464" t="s">
        <v>6529</v>
      </c>
      <c r="I2595" s="464" t="s">
        <v>1684</v>
      </c>
    </row>
    <row r="2596" ht="15.95" customHeight="1">
      <c r="A2596" s="464" t="s">
        <v>6581</v>
      </c>
      <c r="B2596" s="464" t="s">
        <v>6582</v>
      </c>
      <c r="C2596" s="464"/>
      <c r="D2596" s="464" t="s">
        <v>1709</v>
      </c>
      <c r="E2596" s="464" t="s">
        <v>6578</v>
      </c>
      <c r="F2596" s="464" t="s">
        <v>6579</v>
      </c>
      <c r="G2596" s="464" t="s">
        <v>6528</v>
      </c>
      <c r="H2596" s="464" t="s">
        <v>6529</v>
      </c>
      <c r="I2596" s="464" t="s">
        <v>1684</v>
      </c>
    </row>
    <row r="2597" ht="15.95" customHeight="1">
      <c r="A2597" s="464" t="s">
        <v>6583</v>
      </c>
      <c r="B2597" s="464" t="s">
        <v>6584</v>
      </c>
      <c r="C2597" s="464"/>
      <c r="D2597" s="464" t="s">
        <v>1709</v>
      </c>
      <c r="E2597" s="464" t="s">
        <v>6578</v>
      </c>
      <c r="F2597" s="464" t="s">
        <v>6579</v>
      </c>
      <c r="G2597" s="464" t="s">
        <v>6528</v>
      </c>
      <c r="H2597" s="464" t="s">
        <v>6529</v>
      </c>
      <c r="I2597" s="464" t="s">
        <v>1684</v>
      </c>
    </row>
    <row r="2598" ht="15.95" customHeight="1">
      <c r="A2598" s="464" t="s">
        <v>6585</v>
      </c>
      <c r="B2598" s="464" t="s">
        <v>6586</v>
      </c>
      <c r="C2598" s="464"/>
      <c r="D2598" s="464" t="s">
        <v>1709</v>
      </c>
      <c r="E2598" s="464" t="s">
        <v>6578</v>
      </c>
      <c r="F2598" s="464" t="s">
        <v>6579</v>
      </c>
      <c r="G2598" s="464" t="s">
        <v>6528</v>
      </c>
      <c r="H2598" s="464" t="s">
        <v>6529</v>
      </c>
      <c r="I2598" s="464" t="s">
        <v>1684</v>
      </c>
    </row>
    <row r="2599" ht="15.95" customHeight="1">
      <c r="A2599" s="464" t="s">
        <v>6587</v>
      </c>
      <c r="B2599" s="464" t="s">
        <v>4489</v>
      </c>
      <c r="C2599" s="464"/>
      <c r="D2599" s="464" t="s">
        <v>1709</v>
      </c>
      <c r="E2599" s="464" t="s">
        <v>6578</v>
      </c>
      <c r="F2599" s="464" t="s">
        <v>6579</v>
      </c>
      <c r="G2599" s="464" t="s">
        <v>6528</v>
      </c>
      <c r="H2599" s="464" t="s">
        <v>6529</v>
      </c>
      <c r="I2599" s="464" t="s">
        <v>1684</v>
      </c>
    </row>
    <row r="2600" ht="15.95" customHeight="1">
      <c r="A2600" s="464" t="s">
        <v>6588</v>
      </c>
      <c r="B2600" s="464" t="s">
        <v>6490</v>
      </c>
      <c r="C2600" s="464"/>
      <c r="D2600" s="464" t="s">
        <v>1709</v>
      </c>
      <c r="E2600" s="464" t="s">
        <v>6578</v>
      </c>
      <c r="F2600" s="464" t="s">
        <v>6579</v>
      </c>
      <c r="G2600" s="464" t="s">
        <v>6528</v>
      </c>
      <c r="H2600" s="464" t="s">
        <v>6529</v>
      </c>
      <c r="I2600" s="464" t="s">
        <v>1684</v>
      </c>
    </row>
    <row r="2601" ht="15.95" customHeight="1">
      <c r="A2601" s="464" t="s">
        <v>6589</v>
      </c>
      <c r="B2601" s="464" t="s">
        <v>5372</v>
      </c>
      <c r="C2601" s="464"/>
      <c r="D2601" s="464" t="s">
        <v>1709</v>
      </c>
      <c r="E2601" s="464" t="s">
        <v>6578</v>
      </c>
      <c r="F2601" s="464" t="s">
        <v>6579</v>
      </c>
      <c r="G2601" s="464" t="s">
        <v>6528</v>
      </c>
      <c r="H2601" s="464" t="s">
        <v>6529</v>
      </c>
      <c r="I2601" s="464" t="s">
        <v>1684</v>
      </c>
    </row>
    <row r="2602" ht="15.95" customHeight="1">
      <c r="A2602" s="464" t="s">
        <v>6590</v>
      </c>
      <c r="B2602" s="464" t="s">
        <v>4480</v>
      </c>
      <c r="C2602" s="464"/>
      <c r="D2602" s="464" t="s">
        <v>1709</v>
      </c>
      <c r="E2602" s="464" t="s">
        <v>6578</v>
      </c>
      <c r="F2602" s="464" t="s">
        <v>6579</v>
      </c>
      <c r="G2602" s="464" t="s">
        <v>6528</v>
      </c>
      <c r="H2602" s="464" t="s">
        <v>6529</v>
      </c>
      <c r="I2602" s="464" t="s">
        <v>1684</v>
      </c>
    </row>
    <row r="2603" ht="15.95" customHeight="1">
      <c r="A2603" s="464" t="s">
        <v>6591</v>
      </c>
      <c r="B2603" s="464" t="s">
        <v>6592</v>
      </c>
      <c r="C2603" s="464"/>
      <c r="D2603" s="464" t="s">
        <v>1738</v>
      </c>
      <c r="E2603" s="464" t="s">
        <v>6593</v>
      </c>
      <c r="F2603" s="464" t="s">
        <v>6594</v>
      </c>
      <c r="G2603" s="464" t="s">
        <v>6528</v>
      </c>
      <c r="H2603" s="464" t="s">
        <v>6529</v>
      </c>
      <c r="I2603" s="464" t="s">
        <v>1684</v>
      </c>
    </row>
    <row r="2604" ht="15.95" customHeight="1">
      <c r="A2604" s="464" t="s">
        <v>6595</v>
      </c>
      <c r="B2604" s="464" t="s">
        <v>6596</v>
      </c>
      <c r="C2604" s="464"/>
      <c r="D2604" s="464" t="s">
        <v>1709</v>
      </c>
      <c r="E2604" s="464" t="s">
        <v>6593</v>
      </c>
      <c r="F2604" s="464" t="s">
        <v>6594</v>
      </c>
      <c r="G2604" s="464" t="s">
        <v>6528</v>
      </c>
      <c r="H2604" s="464" t="s">
        <v>6529</v>
      </c>
      <c r="I2604" s="464" t="s">
        <v>1684</v>
      </c>
    </row>
    <row r="2605" ht="15.95" customHeight="1">
      <c r="A2605" s="464" t="s">
        <v>6597</v>
      </c>
      <c r="B2605" s="464" t="s">
        <v>6598</v>
      </c>
      <c r="C2605" s="464"/>
      <c r="D2605" s="464" t="s">
        <v>1709</v>
      </c>
      <c r="E2605" s="464" t="s">
        <v>6593</v>
      </c>
      <c r="F2605" s="464" t="s">
        <v>6594</v>
      </c>
      <c r="G2605" s="464" t="s">
        <v>6528</v>
      </c>
      <c r="H2605" s="464" t="s">
        <v>6529</v>
      </c>
      <c r="I2605" s="464" t="s">
        <v>1684</v>
      </c>
    </row>
    <row r="2606" ht="15.95" customHeight="1">
      <c r="A2606" s="464" t="s">
        <v>6599</v>
      </c>
      <c r="B2606" s="464" t="s">
        <v>6600</v>
      </c>
      <c r="C2606" s="464"/>
      <c r="D2606" s="464" t="s">
        <v>1709</v>
      </c>
      <c r="E2606" s="464" t="s">
        <v>6593</v>
      </c>
      <c r="F2606" s="464" t="s">
        <v>6594</v>
      </c>
      <c r="G2606" s="464" t="s">
        <v>6528</v>
      </c>
      <c r="H2606" s="464" t="s">
        <v>6529</v>
      </c>
      <c r="I2606" s="464" t="s">
        <v>1684</v>
      </c>
    </row>
    <row r="2607" ht="15.95" customHeight="1">
      <c r="A2607" s="464" t="s">
        <v>6601</v>
      </c>
      <c r="B2607" s="464" t="s">
        <v>6602</v>
      </c>
      <c r="C2607" s="464"/>
      <c r="D2607" s="464" t="s">
        <v>1709</v>
      </c>
      <c r="E2607" s="464" t="s">
        <v>6593</v>
      </c>
      <c r="F2607" s="464" t="s">
        <v>6594</v>
      </c>
      <c r="G2607" s="464" t="s">
        <v>6528</v>
      </c>
      <c r="H2607" s="464" t="s">
        <v>6529</v>
      </c>
      <c r="I2607" s="464" t="s">
        <v>1684</v>
      </c>
    </row>
    <row r="2608" ht="15.95" customHeight="1">
      <c r="A2608" s="464" t="s">
        <v>6603</v>
      </c>
      <c r="B2608" s="464" t="s">
        <v>6604</v>
      </c>
      <c r="C2608" s="464"/>
      <c r="D2608" s="464" t="s">
        <v>1709</v>
      </c>
      <c r="E2608" s="464" t="s">
        <v>6593</v>
      </c>
      <c r="F2608" s="464" t="s">
        <v>6594</v>
      </c>
      <c r="G2608" s="464" t="s">
        <v>6528</v>
      </c>
      <c r="H2608" s="464" t="s">
        <v>6529</v>
      </c>
      <c r="I2608" s="464" t="s">
        <v>1684</v>
      </c>
    </row>
    <row r="2609" ht="15.95" customHeight="1">
      <c r="A2609" s="464" t="s">
        <v>6605</v>
      </c>
      <c r="B2609" s="464" t="s">
        <v>6606</v>
      </c>
      <c r="C2609" s="464"/>
      <c r="D2609" s="464" t="s">
        <v>1709</v>
      </c>
      <c r="E2609" s="464" t="s">
        <v>6593</v>
      </c>
      <c r="F2609" s="464" t="s">
        <v>6594</v>
      </c>
      <c r="G2609" s="464" t="s">
        <v>6528</v>
      </c>
      <c r="H2609" s="464" t="s">
        <v>6529</v>
      </c>
      <c r="I2609" s="464" t="s">
        <v>1684</v>
      </c>
    </row>
    <row r="2610" ht="15.95" customHeight="1">
      <c r="A2610" s="464" t="s">
        <v>6607</v>
      </c>
      <c r="B2610" s="464" t="s">
        <v>6608</v>
      </c>
      <c r="C2610" s="464"/>
      <c r="D2610" s="464" t="s">
        <v>1709</v>
      </c>
      <c r="E2610" s="464" t="s">
        <v>6593</v>
      </c>
      <c r="F2610" s="464" t="s">
        <v>6594</v>
      </c>
      <c r="G2610" s="464" t="s">
        <v>6528</v>
      </c>
      <c r="H2610" s="464" t="s">
        <v>6529</v>
      </c>
      <c r="I2610" s="464" t="s">
        <v>1684</v>
      </c>
    </row>
    <row r="2611" ht="15.95" customHeight="1">
      <c r="A2611" s="464" t="s">
        <v>6609</v>
      </c>
      <c r="B2611" s="464" t="s">
        <v>6610</v>
      </c>
      <c r="C2611" s="464"/>
      <c r="D2611" s="464" t="s">
        <v>1738</v>
      </c>
      <c r="E2611" s="464" t="s">
        <v>6611</v>
      </c>
      <c r="F2611" s="464" t="s">
        <v>6612</v>
      </c>
      <c r="G2611" s="464" t="s">
        <v>6528</v>
      </c>
      <c r="H2611" s="464" t="s">
        <v>6529</v>
      </c>
      <c r="I2611" s="464" t="s">
        <v>1684</v>
      </c>
    </row>
    <row r="2612" ht="15.95" customHeight="1">
      <c r="A2612" s="464" t="s">
        <v>6613</v>
      </c>
      <c r="B2612" s="464" t="s">
        <v>6614</v>
      </c>
      <c r="C2612" s="464"/>
      <c r="D2612" s="464" t="s">
        <v>1709</v>
      </c>
      <c r="E2612" s="464" t="s">
        <v>6611</v>
      </c>
      <c r="F2612" s="464" t="s">
        <v>6612</v>
      </c>
      <c r="G2612" s="464" t="s">
        <v>6528</v>
      </c>
      <c r="H2612" s="464" t="s">
        <v>6529</v>
      </c>
      <c r="I2612" s="464" t="s">
        <v>1684</v>
      </c>
    </row>
    <row r="2613" ht="15.95" customHeight="1">
      <c r="A2613" s="464" t="s">
        <v>6615</v>
      </c>
      <c r="B2613" s="464" t="s">
        <v>6616</v>
      </c>
      <c r="C2613" s="464"/>
      <c r="D2613" s="464" t="s">
        <v>1738</v>
      </c>
      <c r="E2613" s="464" t="s">
        <v>6611</v>
      </c>
      <c r="F2613" s="464" t="s">
        <v>6612</v>
      </c>
      <c r="G2613" s="464" t="s">
        <v>6528</v>
      </c>
      <c r="H2613" s="464" t="s">
        <v>6529</v>
      </c>
      <c r="I2613" s="464" t="s">
        <v>1684</v>
      </c>
    </row>
    <row r="2614" ht="15.95" customHeight="1">
      <c r="A2614" s="464" t="s">
        <v>6617</v>
      </c>
      <c r="B2614" s="464" t="s">
        <v>6618</v>
      </c>
      <c r="C2614" s="464"/>
      <c r="D2614" s="464" t="s">
        <v>1709</v>
      </c>
      <c r="E2614" s="464" t="s">
        <v>6611</v>
      </c>
      <c r="F2614" s="464" t="s">
        <v>6612</v>
      </c>
      <c r="G2614" s="464" t="s">
        <v>6528</v>
      </c>
      <c r="H2614" s="464" t="s">
        <v>6529</v>
      </c>
      <c r="I2614" s="464" t="s">
        <v>1684</v>
      </c>
    </row>
    <row r="2615" ht="15.95" customHeight="1">
      <c r="A2615" s="464" t="s">
        <v>6619</v>
      </c>
      <c r="B2615" s="464" t="s">
        <v>3291</v>
      </c>
      <c r="C2615" s="464"/>
      <c r="D2615" s="464" t="s">
        <v>1709</v>
      </c>
      <c r="E2615" s="464" t="s">
        <v>6611</v>
      </c>
      <c r="F2615" s="464" t="s">
        <v>6612</v>
      </c>
      <c r="G2615" s="464" t="s">
        <v>6528</v>
      </c>
      <c r="H2615" s="464" t="s">
        <v>6529</v>
      </c>
      <c r="I2615" s="464" t="s">
        <v>1684</v>
      </c>
    </row>
    <row r="2616" ht="15.95" customHeight="1">
      <c r="A2616" s="464" t="s">
        <v>6620</v>
      </c>
      <c r="B2616" s="464" t="s">
        <v>6621</v>
      </c>
      <c r="C2616" s="464"/>
      <c r="D2616" s="464" t="s">
        <v>1709</v>
      </c>
      <c r="E2616" s="464" t="s">
        <v>6611</v>
      </c>
      <c r="F2616" s="464" t="s">
        <v>6612</v>
      </c>
      <c r="G2616" s="464" t="s">
        <v>6528</v>
      </c>
      <c r="H2616" s="464" t="s">
        <v>6529</v>
      </c>
      <c r="I2616" s="464" t="s">
        <v>1684</v>
      </c>
    </row>
    <row r="2617" ht="15.95" customHeight="1">
      <c r="A2617" s="464" t="s">
        <v>6622</v>
      </c>
      <c r="B2617" s="464" t="s">
        <v>3348</v>
      </c>
      <c r="C2617" s="464"/>
      <c r="D2617" s="464" t="s">
        <v>1709</v>
      </c>
      <c r="E2617" s="464" t="s">
        <v>6611</v>
      </c>
      <c r="F2617" s="464" t="s">
        <v>6612</v>
      </c>
      <c r="G2617" s="464" t="s">
        <v>6528</v>
      </c>
      <c r="H2617" s="464" t="s">
        <v>6529</v>
      </c>
      <c r="I2617" s="464" t="s">
        <v>1684</v>
      </c>
    </row>
    <row r="2618" ht="15.95" customHeight="1">
      <c r="A2618" s="464" t="s">
        <v>6623</v>
      </c>
      <c r="B2618" s="464" t="s">
        <v>2532</v>
      </c>
      <c r="C2618" s="464"/>
      <c r="D2618" s="464" t="s">
        <v>1709</v>
      </c>
      <c r="E2618" s="464" t="s">
        <v>6611</v>
      </c>
      <c r="F2618" s="464" t="s">
        <v>6612</v>
      </c>
      <c r="G2618" s="464" t="s">
        <v>6528</v>
      </c>
      <c r="H2618" s="464" t="s">
        <v>6529</v>
      </c>
      <c r="I2618" s="464" t="s">
        <v>1684</v>
      </c>
    </row>
    <row r="2619" ht="15.95" customHeight="1">
      <c r="A2619" s="464" t="s">
        <v>6624</v>
      </c>
      <c r="B2619" s="464" t="s">
        <v>6625</v>
      </c>
      <c r="C2619" s="464"/>
      <c r="D2619" s="464" t="s">
        <v>1709</v>
      </c>
      <c r="E2619" s="464" t="s">
        <v>6611</v>
      </c>
      <c r="F2619" s="464" t="s">
        <v>6612</v>
      </c>
      <c r="G2619" s="464" t="s">
        <v>6528</v>
      </c>
      <c r="H2619" s="464" t="s">
        <v>6529</v>
      </c>
      <c r="I2619" s="464" t="s">
        <v>1684</v>
      </c>
    </row>
    <row r="2620" ht="15.95" customHeight="1">
      <c r="A2620" s="464" t="s">
        <v>6626</v>
      </c>
      <c r="B2620" s="464" t="s">
        <v>4704</v>
      </c>
      <c r="C2620" s="464"/>
      <c r="D2620" s="464" t="s">
        <v>1709</v>
      </c>
      <c r="E2620" s="464" t="s">
        <v>6611</v>
      </c>
      <c r="F2620" s="464" t="s">
        <v>6612</v>
      </c>
      <c r="G2620" s="464" t="s">
        <v>6528</v>
      </c>
      <c r="H2620" s="464" t="s">
        <v>6529</v>
      </c>
      <c r="I2620" s="464" t="s">
        <v>1684</v>
      </c>
    </row>
    <row r="2621" ht="15.95" customHeight="1">
      <c r="A2621" s="464" t="s">
        <v>6627</v>
      </c>
      <c r="B2621" s="464" t="s">
        <v>5304</v>
      </c>
      <c r="C2621" s="464"/>
      <c r="D2621" s="464" t="s">
        <v>1709</v>
      </c>
      <c r="E2621" s="464" t="s">
        <v>6611</v>
      </c>
      <c r="F2621" s="464" t="s">
        <v>6612</v>
      </c>
      <c r="G2621" s="464" t="s">
        <v>6528</v>
      </c>
      <c r="H2621" s="464" t="s">
        <v>6529</v>
      </c>
      <c r="I2621" s="464" t="s">
        <v>1684</v>
      </c>
    </row>
    <row r="2622" ht="15.95" customHeight="1">
      <c r="A2622" s="464" t="s">
        <v>6628</v>
      </c>
      <c r="B2622" s="464" t="s">
        <v>6629</v>
      </c>
      <c r="C2622" s="464"/>
      <c r="D2622" s="464" t="s">
        <v>1738</v>
      </c>
      <c r="E2622" s="464" t="s">
        <v>6630</v>
      </c>
      <c r="F2622" s="464" t="s">
        <v>6631</v>
      </c>
      <c r="G2622" s="464" t="s">
        <v>6528</v>
      </c>
      <c r="H2622" s="464" t="s">
        <v>6529</v>
      </c>
      <c r="I2622" s="464" t="s">
        <v>1684</v>
      </c>
    </row>
    <row r="2623" ht="15.95" customHeight="1">
      <c r="A2623" s="464" t="s">
        <v>6632</v>
      </c>
      <c r="B2623" s="464" t="s">
        <v>6633</v>
      </c>
      <c r="C2623" s="464"/>
      <c r="D2623" s="464" t="s">
        <v>1709</v>
      </c>
      <c r="E2623" s="464" t="s">
        <v>6630</v>
      </c>
      <c r="F2623" s="464" t="s">
        <v>6631</v>
      </c>
      <c r="G2623" s="464" t="s">
        <v>6528</v>
      </c>
      <c r="H2623" s="464" t="s">
        <v>6529</v>
      </c>
      <c r="I2623" s="464" t="s">
        <v>1684</v>
      </c>
    </row>
    <row r="2624" ht="15.95" customHeight="1">
      <c r="A2624" s="464" t="s">
        <v>6634</v>
      </c>
      <c r="B2624" s="464" t="s">
        <v>6635</v>
      </c>
      <c r="C2624" s="464"/>
      <c r="D2624" s="464" t="s">
        <v>1709</v>
      </c>
      <c r="E2624" s="464" t="s">
        <v>6630</v>
      </c>
      <c r="F2624" s="464" t="s">
        <v>6631</v>
      </c>
      <c r="G2624" s="464" t="s">
        <v>6528</v>
      </c>
      <c r="H2624" s="464" t="s">
        <v>6529</v>
      </c>
      <c r="I2624" s="464" t="s">
        <v>1684</v>
      </c>
    </row>
    <row r="2625" ht="15.95" customHeight="1">
      <c r="A2625" s="464" t="s">
        <v>6636</v>
      </c>
      <c r="B2625" s="464" t="s">
        <v>3162</v>
      </c>
      <c r="C2625" s="464"/>
      <c r="D2625" s="464" t="s">
        <v>1709</v>
      </c>
      <c r="E2625" s="464" t="s">
        <v>6630</v>
      </c>
      <c r="F2625" s="464" t="s">
        <v>6631</v>
      </c>
      <c r="G2625" s="464" t="s">
        <v>6528</v>
      </c>
      <c r="H2625" s="464" t="s">
        <v>6529</v>
      </c>
      <c r="I2625" s="464" t="s">
        <v>1684</v>
      </c>
    </row>
    <row r="2626" ht="15.95" customHeight="1">
      <c r="A2626" s="464" t="s">
        <v>6637</v>
      </c>
      <c r="B2626" s="464" t="s">
        <v>6638</v>
      </c>
      <c r="C2626" s="464"/>
      <c r="D2626" s="464" t="s">
        <v>1709</v>
      </c>
      <c r="E2626" s="464" t="s">
        <v>6630</v>
      </c>
      <c r="F2626" s="464" t="s">
        <v>6631</v>
      </c>
      <c r="G2626" s="464" t="s">
        <v>6528</v>
      </c>
      <c r="H2626" s="464" t="s">
        <v>6529</v>
      </c>
      <c r="I2626" s="464" t="s">
        <v>1684</v>
      </c>
    </row>
    <row r="2627" ht="15.95" customHeight="1">
      <c r="A2627" s="464" t="s">
        <v>6639</v>
      </c>
      <c r="B2627" s="464" t="s">
        <v>5224</v>
      </c>
      <c r="C2627" s="464"/>
      <c r="D2627" s="464" t="s">
        <v>1709</v>
      </c>
      <c r="E2627" s="464" t="s">
        <v>6630</v>
      </c>
      <c r="F2627" s="464" t="s">
        <v>6631</v>
      </c>
      <c r="G2627" s="464" t="s">
        <v>6528</v>
      </c>
      <c r="H2627" s="464" t="s">
        <v>6529</v>
      </c>
      <c r="I2627" s="464" t="s">
        <v>1684</v>
      </c>
    </row>
    <row r="2628" ht="15.95" customHeight="1">
      <c r="A2628" s="464" t="s">
        <v>6640</v>
      </c>
      <c r="B2628" s="464" t="s">
        <v>6641</v>
      </c>
      <c r="C2628" s="464"/>
      <c r="D2628" s="464" t="s">
        <v>1709</v>
      </c>
      <c r="E2628" s="464" t="s">
        <v>6630</v>
      </c>
      <c r="F2628" s="464" t="s">
        <v>6631</v>
      </c>
      <c r="G2628" s="464" t="s">
        <v>6528</v>
      </c>
      <c r="H2628" s="464" t="s">
        <v>6529</v>
      </c>
      <c r="I2628" s="464" t="s">
        <v>1684</v>
      </c>
    </row>
    <row r="2629" ht="15.95" customHeight="1">
      <c r="A2629" s="464" t="s">
        <v>6642</v>
      </c>
      <c r="B2629" s="464" t="s">
        <v>6643</v>
      </c>
      <c r="C2629" s="464"/>
      <c r="D2629" s="464" t="s">
        <v>1709</v>
      </c>
      <c r="E2629" s="464" t="s">
        <v>6630</v>
      </c>
      <c r="F2629" s="464" t="s">
        <v>6631</v>
      </c>
      <c r="G2629" s="464" t="s">
        <v>6528</v>
      </c>
      <c r="H2629" s="464" t="s">
        <v>6529</v>
      </c>
      <c r="I2629" s="464" t="s">
        <v>1684</v>
      </c>
    </row>
    <row r="2630" ht="15.95" customHeight="1">
      <c r="A2630" s="464" t="s">
        <v>6644</v>
      </c>
      <c r="B2630" s="464" t="s">
        <v>6645</v>
      </c>
      <c r="C2630" s="464"/>
      <c r="D2630" s="464" t="s">
        <v>1709</v>
      </c>
      <c r="E2630" s="464" t="s">
        <v>6630</v>
      </c>
      <c r="F2630" s="464" t="s">
        <v>6631</v>
      </c>
      <c r="G2630" s="464" t="s">
        <v>6528</v>
      </c>
      <c r="H2630" s="464" t="s">
        <v>6529</v>
      </c>
      <c r="I2630" s="464" t="s">
        <v>1684</v>
      </c>
    </row>
    <row r="2631" ht="15.95" customHeight="1">
      <c r="A2631" s="464" t="s">
        <v>6646</v>
      </c>
      <c r="B2631" s="464" t="s">
        <v>6647</v>
      </c>
      <c r="C2631" s="464"/>
      <c r="D2631" s="464" t="s">
        <v>1709</v>
      </c>
      <c r="E2631" s="464" t="s">
        <v>6630</v>
      </c>
      <c r="F2631" s="464" t="s">
        <v>6631</v>
      </c>
      <c r="G2631" s="464" t="s">
        <v>6528</v>
      </c>
      <c r="H2631" s="464" t="s">
        <v>6529</v>
      </c>
      <c r="I2631" s="464" t="s">
        <v>1684</v>
      </c>
    </row>
    <row r="2632" ht="15.95" customHeight="1">
      <c r="A2632" s="464" t="s">
        <v>6648</v>
      </c>
      <c r="B2632" s="464" t="s">
        <v>6649</v>
      </c>
      <c r="C2632" s="464"/>
      <c r="D2632" s="464" t="s">
        <v>1709</v>
      </c>
      <c r="E2632" s="464" t="s">
        <v>6630</v>
      </c>
      <c r="F2632" s="464" t="s">
        <v>6631</v>
      </c>
      <c r="G2632" s="464" t="s">
        <v>6528</v>
      </c>
      <c r="H2632" s="464" t="s">
        <v>6529</v>
      </c>
      <c r="I2632" s="464" t="s">
        <v>1684</v>
      </c>
    </row>
    <row r="2633" ht="15.95" customHeight="1">
      <c r="A2633" s="464" t="s">
        <v>6650</v>
      </c>
      <c r="B2633" s="464" t="s">
        <v>1287</v>
      </c>
      <c r="C2633" s="464"/>
      <c r="D2633" s="464" t="s">
        <v>1679</v>
      </c>
      <c r="E2633" s="464" t="s">
        <v>6651</v>
      </c>
      <c r="F2633" s="464" t="s">
        <v>6652</v>
      </c>
      <c r="G2633" s="464" t="s">
        <v>6528</v>
      </c>
      <c r="H2633" s="464" t="s">
        <v>6529</v>
      </c>
      <c r="I2633" s="464" t="s">
        <v>1684</v>
      </c>
    </row>
    <row r="2634" ht="15.95" customHeight="1">
      <c r="A2634" s="464" t="s">
        <v>6653</v>
      </c>
      <c r="B2634" s="464" t="s">
        <v>2110</v>
      </c>
      <c r="C2634" s="464"/>
      <c r="D2634" s="464" t="s">
        <v>1679</v>
      </c>
      <c r="E2634" s="464" t="s">
        <v>6651</v>
      </c>
      <c r="F2634" s="464" t="s">
        <v>6652</v>
      </c>
      <c r="G2634" s="464" t="s">
        <v>6528</v>
      </c>
      <c r="H2634" s="464" t="s">
        <v>6529</v>
      </c>
      <c r="I2634" s="464" t="s">
        <v>1684</v>
      </c>
    </row>
    <row r="2635" ht="15.95" customHeight="1">
      <c r="A2635" s="464" t="s">
        <v>6654</v>
      </c>
      <c r="B2635" s="464" t="s">
        <v>6655</v>
      </c>
      <c r="C2635" s="464"/>
      <c r="D2635" s="464" t="s">
        <v>1709</v>
      </c>
      <c r="E2635" s="464" t="s">
        <v>6651</v>
      </c>
      <c r="F2635" s="464" t="s">
        <v>6652</v>
      </c>
      <c r="G2635" s="464" t="s">
        <v>6528</v>
      </c>
      <c r="H2635" s="464" t="s">
        <v>6529</v>
      </c>
      <c r="I2635" s="464" t="s">
        <v>1684</v>
      </c>
    </row>
    <row r="2636" ht="15.95" customHeight="1">
      <c r="A2636" s="464" t="s">
        <v>6656</v>
      </c>
      <c r="B2636" s="464" t="s">
        <v>2935</v>
      </c>
      <c r="C2636" s="464"/>
      <c r="D2636" s="464" t="s">
        <v>1709</v>
      </c>
      <c r="E2636" s="464" t="s">
        <v>6651</v>
      </c>
      <c r="F2636" s="464" t="s">
        <v>6652</v>
      </c>
      <c r="G2636" s="464" t="s">
        <v>6528</v>
      </c>
      <c r="H2636" s="464" t="s">
        <v>6529</v>
      </c>
      <c r="I2636" s="464" t="s">
        <v>1684</v>
      </c>
    </row>
    <row r="2637" ht="15.95" customHeight="1">
      <c r="A2637" s="464" t="s">
        <v>6657</v>
      </c>
      <c r="B2637" s="464" t="s">
        <v>2622</v>
      </c>
      <c r="C2637" s="464"/>
      <c r="D2637" s="464" t="s">
        <v>1709</v>
      </c>
      <c r="E2637" s="464" t="s">
        <v>6651</v>
      </c>
      <c r="F2637" s="464" t="s">
        <v>6652</v>
      </c>
      <c r="G2637" s="464" t="s">
        <v>6528</v>
      </c>
      <c r="H2637" s="464" t="s">
        <v>6529</v>
      </c>
      <c r="I2637" s="464" t="s">
        <v>1684</v>
      </c>
    </row>
    <row r="2638" ht="15.95" customHeight="1">
      <c r="A2638" s="464" t="s">
        <v>6658</v>
      </c>
      <c r="B2638" s="464" t="s">
        <v>1269</v>
      </c>
      <c r="C2638" s="464"/>
      <c r="D2638" s="464" t="s">
        <v>1679</v>
      </c>
      <c r="E2638" s="464" t="s">
        <v>6651</v>
      </c>
      <c r="F2638" s="464" t="s">
        <v>6652</v>
      </c>
      <c r="G2638" s="464" t="s">
        <v>6528</v>
      </c>
      <c r="H2638" s="464" t="s">
        <v>6529</v>
      </c>
      <c r="I2638" s="464" t="s">
        <v>1684</v>
      </c>
    </row>
    <row r="2639" ht="15.95" customHeight="1">
      <c r="A2639" s="464" t="s">
        <v>6659</v>
      </c>
      <c r="B2639" s="464" t="s">
        <v>4198</v>
      </c>
      <c r="C2639" s="464"/>
      <c r="D2639" s="464" t="s">
        <v>1709</v>
      </c>
      <c r="E2639" s="464" t="s">
        <v>6651</v>
      </c>
      <c r="F2639" s="464" t="s">
        <v>6652</v>
      </c>
      <c r="G2639" s="464" t="s">
        <v>6528</v>
      </c>
      <c r="H2639" s="464" t="s">
        <v>6529</v>
      </c>
      <c r="I2639" s="464" t="s">
        <v>1684</v>
      </c>
    </row>
    <row r="2640" ht="15.95" customHeight="1">
      <c r="A2640" s="464" t="s">
        <v>6660</v>
      </c>
      <c r="B2640" s="464" t="s">
        <v>6661</v>
      </c>
      <c r="C2640" s="464"/>
      <c r="D2640" s="464" t="s">
        <v>1709</v>
      </c>
      <c r="E2640" s="464" t="s">
        <v>6651</v>
      </c>
      <c r="F2640" s="464" t="s">
        <v>6652</v>
      </c>
      <c r="G2640" s="464" t="s">
        <v>6528</v>
      </c>
      <c r="H2640" s="464" t="s">
        <v>6529</v>
      </c>
      <c r="I2640" s="464" t="s">
        <v>1684</v>
      </c>
    </row>
    <row r="2641" ht="15.95" customHeight="1">
      <c r="A2641" s="464" t="s">
        <v>6662</v>
      </c>
      <c r="B2641" s="464" t="s">
        <v>6663</v>
      </c>
      <c r="C2641" s="464"/>
      <c r="D2641" s="464" t="s">
        <v>1738</v>
      </c>
      <c r="E2641" s="464" t="s">
        <v>6664</v>
      </c>
      <c r="F2641" s="464" t="s">
        <v>6665</v>
      </c>
      <c r="G2641" s="464" t="s">
        <v>6528</v>
      </c>
      <c r="H2641" s="464" t="s">
        <v>6529</v>
      </c>
      <c r="I2641" s="464" t="s">
        <v>1684</v>
      </c>
    </row>
    <row r="2642" ht="15.95" customHeight="1">
      <c r="A2642" s="464" t="s">
        <v>6666</v>
      </c>
      <c r="B2642" s="464" t="s">
        <v>6667</v>
      </c>
      <c r="C2642" s="464"/>
      <c r="D2642" s="464" t="s">
        <v>1738</v>
      </c>
      <c r="E2642" s="464" t="s">
        <v>6664</v>
      </c>
      <c r="F2642" s="464" t="s">
        <v>6665</v>
      </c>
      <c r="G2642" s="464" t="s">
        <v>6528</v>
      </c>
      <c r="H2642" s="464" t="s">
        <v>6529</v>
      </c>
      <c r="I2642" s="464" t="s">
        <v>1684</v>
      </c>
    </row>
    <row r="2643" ht="15.95" customHeight="1">
      <c r="A2643" s="464" t="s">
        <v>6668</v>
      </c>
      <c r="B2643" s="464" t="s">
        <v>6669</v>
      </c>
      <c r="C2643" s="464"/>
      <c r="D2643" s="464" t="s">
        <v>1709</v>
      </c>
      <c r="E2643" s="464" t="s">
        <v>6664</v>
      </c>
      <c r="F2643" s="464" t="s">
        <v>6665</v>
      </c>
      <c r="G2643" s="464" t="s">
        <v>6528</v>
      </c>
      <c r="H2643" s="464" t="s">
        <v>6529</v>
      </c>
      <c r="I2643" s="464" t="s">
        <v>1684</v>
      </c>
    </row>
    <row r="2644" ht="15.95" customHeight="1">
      <c r="A2644" s="464" t="s">
        <v>6670</v>
      </c>
      <c r="B2644" s="464" t="s">
        <v>2652</v>
      </c>
      <c r="C2644" s="464"/>
      <c r="D2644" s="464" t="s">
        <v>1709</v>
      </c>
      <c r="E2644" s="464" t="s">
        <v>6664</v>
      </c>
      <c r="F2644" s="464" t="s">
        <v>6665</v>
      </c>
      <c r="G2644" s="464" t="s">
        <v>6528</v>
      </c>
      <c r="H2644" s="464" t="s">
        <v>6529</v>
      </c>
      <c r="I2644" s="464" t="s">
        <v>1684</v>
      </c>
    </row>
    <row r="2645" ht="15.95" customHeight="1">
      <c r="A2645" s="464" t="s">
        <v>6671</v>
      </c>
      <c r="B2645" s="464" t="s">
        <v>6672</v>
      </c>
      <c r="C2645" s="464"/>
      <c r="D2645" s="464" t="s">
        <v>1709</v>
      </c>
      <c r="E2645" s="464" t="s">
        <v>6664</v>
      </c>
      <c r="F2645" s="464" t="s">
        <v>6665</v>
      </c>
      <c r="G2645" s="464" t="s">
        <v>6528</v>
      </c>
      <c r="H2645" s="464" t="s">
        <v>6529</v>
      </c>
      <c r="I2645" s="464" t="s">
        <v>1684</v>
      </c>
    </row>
    <row r="2646" ht="15.95" customHeight="1">
      <c r="A2646" s="464" t="s">
        <v>6673</v>
      </c>
      <c r="B2646" s="464" t="s">
        <v>6674</v>
      </c>
      <c r="C2646" s="464"/>
      <c r="D2646" s="464" t="s">
        <v>1709</v>
      </c>
      <c r="E2646" s="464" t="s">
        <v>6664</v>
      </c>
      <c r="F2646" s="464" t="s">
        <v>6665</v>
      </c>
      <c r="G2646" s="464" t="s">
        <v>6528</v>
      </c>
      <c r="H2646" s="464" t="s">
        <v>6529</v>
      </c>
      <c r="I2646" s="464" t="s">
        <v>1684</v>
      </c>
    </row>
    <row r="2647" ht="15.95" customHeight="1">
      <c r="A2647" s="464" t="s">
        <v>6675</v>
      </c>
      <c r="B2647" s="464" t="s">
        <v>4789</v>
      </c>
      <c r="C2647" s="464"/>
      <c r="D2647" s="464" t="s">
        <v>1709</v>
      </c>
      <c r="E2647" s="464" t="s">
        <v>6664</v>
      </c>
      <c r="F2647" s="464" t="s">
        <v>6665</v>
      </c>
      <c r="G2647" s="464" t="s">
        <v>6528</v>
      </c>
      <c r="H2647" s="464" t="s">
        <v>6529</v>
      </c>
      <c r="I2647" s="464" t="s">
        <v>1684</v>
      </c>
    </row>
    <row r="2648" ht="15.95" customHeight="1">
      <c r="A2648" s="464" t="s">
        <v>6676</v>
      </c>
      <c r="B2648" s="464" t="s">
        <v>4062</v>
      </c>
      <c r="C2648" s="464"/>
      <c r="D2648" s="464" t="s">
        <v>1709</v>
      </c>
      <c r="E2648" s="464" t="s">
        <v>6664</v>
      </c>
      <c r="F2648" s="464" t="s">
        <v>6665</v>
      </c>
      <c r="G2648" s="464" t="s">
        <v>6528</v>
      </c>
      <c r="H2648" s="464" t="s">
        <v>6529</v>
      </c>
      <c r="I2648" s="464" t="s">
        <v>1684</v>
      </c>
    </row>
    <row r="2649" ht="15.95" customHeight="1">
      <c r="A2649" s="464" t="s">
        <v>6677</v>
      </c>
      <c r="B2649" s="464" t="s">
        <v>4089</v>
      </c>
      <c r="C2649" s="464"/>
      <c r="D2649" s="464" t="s">
        <v>1709</v>
      </c>
      <c r="E2649" s="464" t="s">
        <v>6664</v>
      </c>
      <c r="F2649" s="464" t="s">
        <v>6665</v>
      </c>
      <c r="G2649" s="464" t="s">
        <v>6528</v>
      </c>
      <c r="H2649" s="464" t="s">
        <v>6529</v>
      </c>
      <c r="I2649" s="464" t="s">
        <v>1684</v>
      </c>
    </row>
    <row r="2650" ht="15.95" customHeight="1">
      <c r="A2650" s="464" t="s">
        <v>6678</v>
      </c>
      <c r="B2650" s="464" t="s">
        <v>4876</v>
      </c>
      <c r="C2650" s="464"/>
      <c r="D2650" s="464" t="s">
        <v>1709</v>
      </c>
      <c r="E2650" s="464" t="s">
        <v>6664</v>
      </c>
      <c r="F2650" s="464" t="s">
        <v>6665</v>
      </c>
      <c r="G2650" s="464" t="s">
        <v>6528</v>
      </c>
      <c r="H2650" s="464" t="s">
        <v>6529</v>
      </c>
      <c r="I2650" s="464" t="s">
        <v>1684</v>
      </c>
    </row>
    <row r="2651" ht="15.95" customHeight="1">
      <c r="A2651" s="464" t="s">
        <v>6679</v>
      </c>
      <c r="B2651" s="464" t="s">
        <v>1287</v>
      </c>
      <c r="C2651" s="464"/>
      <c r="D2651" s="464" t="s">
        <v>1679</v>
      </c>
      <c r="E2651" s="464" t="s">
        <v>6680</v>
      </c>
      <c r="F2651" s="464" t="s">
        <v>6681</v>
      </c>
      <c r="G2651" s="464" t="s">
        <v>6528</v>
      </c>
      <c r="H2651" s="464" t="s">
        <v>6529</v>
      </c>
      <c r="I2651" s="464" t="s">
        <v>1684</v>
      </c>
    </row>
    <row r="2652" ht="15.95" customHeight="1">
      <c r="A2652" s="464" t="s">
        <v>6682</v>
      </c>
      <c r="B2652" s="464" t="s">
        <v>6683</v>
      </c>
      <c r="C2652" s="464"/>
      <c r="D2652" s="464" t="s">
        <v>1709</v>
      </c>
      <c r="E2652" s="464" t="s">
        <v>6680</v>
      </c>
      <c r="F2652" s="464" t="s">
        <v>6681</v>
      </c>
      <c r="G2652" s="464" t="s">
        <v>6528</v>
      </c>
      <c r="H2652" s="464" t="s">
        <v>6529</v>
      </c>
      <c r="I2652" s="464" t="s">
        <v>1684</v>
      </c>
    </row>
    <row r="2653" ht="15.95" customHeight="1">
      <c r="A2653" s="464" t="s">
        <v>6684</v>
      </c>
      <c r="B2653" s="464" t="s">
        <v>6685</v>
      </c>
      <c r="C2653" s="464"/>
      <c r="D2653" s="464" t="s">
        <v>1679</v>
      </c>
      <c r="E2653" s="464" t="s">
        <v>6680</v>
      </c>
      <c r="F2653" s="464" t="s">
        <v>6681</v>
      </c>
      <c r="G2653" s="464" t="s">
        <v>6528</v>
      </c>
      <c r="H2653" s="464" t="s">
        <v>6529</v>
      </c>
      <c r="I2653" s="464" t="s">
        <v>1684</v>
      </c>
    </row>
    <row r="2654" ht="15.95" customHeight="1">
      <c r="A2654" s="464" t="s">
        <v>6686</v>
      </c>
      <c r="B2654" s="464" t="s">
        <v>6687</v>
      </c>
      <c r="C2654" s="464"/>
      <c r="D2654" s="464" t="s">
        <v>1709</v>
      </c>
      <c r="E2654" s="464" t="s">
        <v>6680</v>
      </c>
      <c r="F2654" s="464" t="s">
        <v>6681</v>
      </c>
      <c r="G2654" s="464" t="s">
        <v>6528</v>
      </c>
      <c r="H2654" s="464" t="s">
        <v>6529</v>
      </c>
      <c r="I2654" s="464" t="s">
        <v>1684</v>
      </c>
    </row>
    <row r="2655" ht="15.95" customHeight="1">
      <c r="A2655" s="464" t="s">
        <v>6688</v>
      </c>
      <c r="B2655" s="464" t="s">
        <v>1760</v>
      </c>
      <c r="C2655" s="464"/>
      <c r="D2655" s="464" t="s">
        <v>1709</v>
      </c>
      <c r="E2655" s="464" t="s">
        <v>6680</v>
      </c>
      <c r="F2655" s="464" t="s">
        <v>6681</v>
      </c>
      <c r="G2655" s="464" t="s">
        <v>6528</v>
      </c>
      <c r="H2655" s="464" t="s">
        <v>6529</v>
      </c>
      <c r="I2655" s="464" t="s">
        <v>1684</v>
      </c>
    </row>
    <row r="2656" ht="15.95" customHeight="1">
      <c r="A2656" s="464" t="s">
        <v>6689</v>
      </c>
      <c r="B2656" s="464" t="s">
        <v>6690</v>
      </c>
      <c r="C2656" s="464"/>
      <c r="D2656" s="464" t="s">
        <v>1709</v>
      </c>
      <c r="E2656" s="464" t="s">
        <v>6680</v>
      </c>
      <c r="F2656" s="464" t="s">
        <v>6681</v>
      </c>
      <c r="G2656" s="464" t="s">
        <v>6528</v>
      </c>
      <c r="H2656" s="464" t="s">
        <v>6529</v>
      </c>
      <c r="I2656" s="464" t="s">
        <v>1684</v>
      </c>
    </row>
    <row r="2657" ht="15.95" customHeight="1">
      <c r="A2657" s="464" t="s">
        <v>6691</v>
      </c>
      <c r="B2657" s="464" t="s">
        <v>2110</v>
      </c>
      <c r="C2657" s="464"/>
      <c r="D2657" s="464" t="s">
        <v>1679</v>
      </c>
      <c r="E2657" s="464" t="s">
        <v>6680</v>
      </c>
      <c r="F2657" s="464" t="s">
        <v>6681</v>
      </c>
      <c r="G2657" s="464" t="s">
        <v>6528</v>
      </c>
      <c r="H2657" s="464" t="s">
        <v>6529</v>
      </c>
      <c r="I2657" s="464" t="s">
        <v>1684</v>
      </c>
    </row>
    <row r="2658" ht="15.95" customHeight="1">
      <c r="A2658" s="464" t="s">
        <v>6692</v>
      </c>
      <c r="B2658" s="464" t="s">
        <v>6693</v>
      </c>
      <c r="C2658" s="464"/>
      <c r="D2658" s="464" t="s">
        <v>1679</v>
      </c>
      <c r="E2658" s="464" t="s">
        <v>6680</v>
      </c>
      <c r="F2658" s="464" t="s">
        <v>6681</v>
      </c>
      <c r="G2658" s="464" t="s">
        <v>6528</v>
      </c>
      <c r="H2658" s="464" t="s">
        <v>6529</v>
      </c>
      <c r="I2658" s="464" t="s">
        <v>1684</v>
      </c>
    </row>
    <row r="2659" ht="15.95" customHeight="1">
      <c r="A2659" s="464" t="s">
        <v>6694</v>
      </c>
      <c r="B2659" s="464" t="s">
        <v>1898</v>
      </c>
      <c r="C2659" s="464"/>
      <c r="D2659" s="464" t="s">
        <v>1709</v>
      </c>
      <c r="E2659" s="464" t="s">
        <v>6680</v>
      </c>
      <c r="F2659" s="464" t="s">
        <v>6681</v>
      </c>
      <c r="G2659" s="464" t="s">
        <v>6528</v>
      </c>
      <c r="H2659" s="464" t="s">
        <v>6529</v>
      </c>
      <c r="I2659" s="464" t="s">
        <v>1684</v>
      </c>
    </row>
    <row r="2660" ht="15.95" customHeight="1">
      <c r="A2660" s="464" t="s">
        <v>6695</v>
      </c>
      <c r="B2660" s="464" t="s">
        <v>6696</v>
      </c>
      <c r="C2660" s="464"/>
      <c r="D2660" s="464" t="s">
        <v>1709</v>
      </c>
      <c r="E2660" s="464" t="s">
        <v>6680</v>
      </c>
      <c r="F2660" s="464" t="s">
        <v>6681</v>
      </c>
      <c r="G2660" s="464" t="s">
        <v>6528</v>
      </c>
      <c r="H2660" s="464" t="s">
        <v>6529</v>
      </c>
      <c r="I2660" s="464" t="s">
        <v>1684</v>
      </c>
    </row>
    <row r="2661" ht="15.95" customHeight="1">
      <c r="A2661" s="464" t="s">
        <v>6697</v>
      </c>
      <c r="B2661" s="464" t="s">
        <v>6698</v>
      </c>
      <c r="C2661" s="464"/>
      <c r="D2661" s="464" t="s">
        <v>1709</v>
      </c>
      <c r="E2661" s="464" t="s">
        <v>6699</v>
      </c>
      <c r="F2661" s="464" t="s">
        <v>6700</v>
      </c>
      <c r="G2661" s="464" t="s">
        <v>6528</v>
      </c>
      <c r="H2661" s="464" t="s">
        <v>6529</v>
      </c>
      <c r="I2661" s="464" t="s">
        <v>1684</v>
      </c>
    </row>
    <row r="2662" ht="15.95" customHeight="1">
      <c r="A2662" s="464" t="s">
        <v>6701</v>
      </c>
      <c r="B2662" s="464" t="s">
        <v>6702</v>
      </c>
      <c r="C2662" s="464"/>
      <c r="D2662" s="464" t="s">
        <v>1738</v>
      </c>
      <c r="E2662" s="464" t="s">
        <v>6699</v>
      </c>
      <c r="F2662" s="464" t="s">
        <v>6700</v>
      </c>
      <c r="G2662" s="464" t="s">
        <v>6528</v>
      </c>
      <c r="H2662" s="464" t="s">
        <v>6529</v>
      </c>
      <c r="I2662" s="464" t="s">
        <v>1684</v>
      </c>
    </row>
    <row r="2663" ht="15.95" customHeight="1">
      <c r="A2663" s="464" t="s">
        <v>6703</v>
      </c>
      <c r="B2663" s="464" t="s">
        <v>6704</v>
      </c>
      <c r="C2663" s="464"/>
      <c r="D2663" s="464" t="s">
        <v>1709</v>
      </c>
      <c r="E2663" s="464" t="s">
        <v>6699</v>
      </c>
      <c r="F2663" s="464" t="s">
        <v>6700</v>
      </c>
      <c r="G2663" s="464" t="s">
        <v>6528</v>
      </c>
      <c r="H2663" s="464" t="s">
        <v>6529</v>
      </c>
      <c r="I2663" s="464" t="s">
        <v>1684</v>
      </c>
    </row>
    <row r="2664" ht="15.95" customHeight="1">
      <c r="A2664" s="464" t="s">
        <v>6705</v>
      </c>
      <c r="B2664" s="464" t="s">
        <v>6706</v>
      </c>
      <c r="C2664" s="464"/>
      <c r="D2664" s="464" t="s">
        <v>1709</v>
      </c>
      <c r="E2664" s="464" t="s">
        <v>6699</v>
      </c>
      <c r="F2664" s="464" t="s">
        <v>6700</v>
      </c>
      <c r="G2664" s="464" t="s">
        <v>6528</v>
      </c>
      <c r="H2664" s="464" t="s">
        <v>6529</v>
      </c>
      <c r="I2664" s="464" t="s">
        <v>1684</v>
      </c>
    </row>
    <row r="2665" ht="15.95" customHeight="1">
      <c r="A2665" s="464" t="s">
        <v>6707</v>
      </c>
      <c r="B2665" s="464" t="s">
        <v>6708</v>
      </c>
      <c r="C2665" s="464"/>
      <c r="D2665" s="464" t="s">
        <v>1738</v>
      </c>
      <c r="E2665" s="464" t="s">
        <v>6699</v>
      </c>
      <c r="F2665" s="464" t="s">
        <v>6700</v>
      </c>
      <c r="G2665" s="464" t="s">
        <v>6528</v>
      </c>
      <c r="H2665" s="464" t="s">
        <v>6529</v>
      </c>
      <c r="I2665" s="464" t="s">
        <v>1684</v>
      </c>
    </row>
    <row r="2666" ht="15.95" customHeight="1">
      <c r="A2666" s="464" t="s">
        <v>6709</v>
      </c>
      <c r="B2666" s="464" t="s">
        <v>6710</v>
      </c>
      <c r="C2666" s="464"/>
      <c r="D2666" s="464" t="s">
        <v>1709</v>
      </c>
      <c r="E2666" s="464" t="s">
        <v>6699</v>
      </c>
      <c r="F2666" s="464" t="s">
        <v>6700</v>
      </c>
      <c r="G2666" s="464" t="s">
        <v>6528</v>
      </c>
      <c r="H2666" s="464" t="s">
        <v>6529</v>
      </c>
      <c r="I2666" s="464" t="s">
        <v>1684</v>
      </c>
    </row>
    <row r="2667" ht="15.95" customHeight="1">
      <c r="A2667" s="464" t="s">
        <v>6711</v>
      </c>
      <c r="B2667" s="464" t="s">
        <v>6712</v>
      </c>
      <c r="C2667" s="464"/>
      <c r="D2667" s="464" t="s">
        <v>1709</v>
      </c>
      <c r="E2667" s="464" t="s">
        <v>6699</v>
      </c>
      <c r="F2667" s="464" t="s">
        <v>6700</v>
      </c>
      <c r="G2667" s="464" t="s">
        <v>6528</v>
      </c>
      <c r="H2667" s="464" t="s">
        <v>6529</v>
      </c>
      <c r="I2667" s="464" t="s">
        <v>1684</v>
      </c>
    </row>
    <row r="2668" ht="15.95" customHeight="1">
      <c r="A2668" s="464" t="s">
        <v>6713</v>
      </c>
      <c r="B2668" s="464" t="s">
        <v>6714</v>
      </c>
      <c r="C2668" s="464"/>
      <c r="D2668" s="464" t="s">
        <v>1709</v>
      </c>
      <c r="E2668" s="464" t="s">
        <v>6699</v>
      </c>
      <c r="F2668" s="464" t="s">
        <v>6700</v>
      </c>
      <c r="G2668" s="464" t="s">
        <v>6528</v>
      </c>
      <c r="H2668" s="464" t="s">
        <v>6529</v>
      </c>
      <c r="I2668" s="464" t="s">
        <v>1684</v>
      </c>
    </row>
    <row r="2669" ht="15.95" customHeight="1">
      <c r="A2669" s="464" t="s">
        <v>6715</v>
      </c>
      <c r="B2669" s="464" t="s">
        <v>6716</v>
      </c>
      <c r="C2669" s="464"/>
      <c r="D2669" s="464" t="s">
        <v>1709</v>
      </c>
      <c r="E2669" s="464" t="s">
        <v>6699</v>
      </c>
      <c r="F2669" s="464" t="s">
        <v>6700</v>
      </c>
      <c r="G2669" s="464" t="s">
        <v>6528</v>
      </c>
      <c r="H2669" s="464" t="s">
        <v>6529</v>
      </c>
      <c r="I2669" s="464" t="s">
        <v>1684</v>
      </c>
    </row>
    <row r="2670" ht="15.95" customHeight="1">
      <c r="A2670" s="464" t="s">
        <v>6717</v>
      </c>
      <c r="B2670" s="464" t="s">
        <v>6718</v>
      </c>
      <c r="C2670" s="464"/>
      <c r="D2670" s="464" t="s">
        <v>1709</v>
      </c>
      <c r="E2670" s="464" t="s">
        <v>6699</v>
      </c>
      <c r="F2670" s="464" t="s">
        <v>6700</v>
      </c>
      <c r="G2670" s="464" t="s">
        <v>6528</v>
      </c>
      <c r="H2670" s="464" t="s">
        <v>6529</v>
      </c>
      <c r="I2670" s="464" t="s">
        <v>1684</v>
      </c>
    </row>
    <row r="2671" ht="15.95" customHeight="1">
      <c r="A2671" s="464" t="s">
        <v>6719</v>
      </c>
      <c r="B2671" s="464" t="s">
        <v>6720</v>
      </c>
      <c r="C2671" s="464"/>
      <c r="D2671" s="464" t="s">
        <v>1709</v>
      </c>
      <c r="E2671" s="464" t="s">
        <v>6699</v>
      </c>
      <c r="F2671" s="464" t="s">
        <v>6700</v>
      </c>
      <c r="G2671" s="464" t="s">
        <v>6528</v>
      </c>
      <c r="H2671" s="464" t="s">
        <v>6529</v>
      </c>
      <c r="I2671" s="464" t="s">
        <v>1684</v>
      </c>
    </row>
    <row r="2672" ht="15.95" customHeight="1">
      <c r="A2672" s="464" t="s">
        <v>6721</v>
      </c>
      <c r="B2672" s="464" t="s">
        <v>2110</v>
      </c>
      <c r="C2672" s="464"/>
      <c r="D2672" s="464" t="s">
        <v>1679</v>
      </c>
      <c r="E2672" s="464" t="s">
        <v>6722</v>
      </c>
      <c r="F2672" s="464" t="s">
        <v>6723</v>
      </c>
      <c r="G2672" s="464" t="s">
        <v>6724</v>
      </c>
      <c r="H2672" s="464" t="s">
        <v>6725</v>
      </c>
      <c r="I2672" s="464" t="s">
        <v>1684</v>
      </c>
    </row>
    <row r="2673" ht="15.95" customHeight="1">
      <c r="A2673" s="464" t="s">
        <v>6726</v>
      </c>
      <c r="B2673" s="464" t="s">
        <v>1269</v>
      </c>
      <c r="C2673" s="464"/>
      <c r="D2673" s="464" t="s">
        <v>1679</v>
      </c>
      <c r="E2673" s="464" t="s">
        <v>6722</v>
      </c>
      <c r="F2673" s="464" t="s">
        <v>6723</v>
      </c>
      <c r="G2673" s="464" t="s">
        <v>6724</v>
      </c>
      <c r="H2673" s="464" t="s">
        <v>6725</v>
      </c>
      <c r="I2673" s="464" t="s">
        <v>1684</v>
      </c>
    </row>
    <row r="2674" ht="15.95" customHeight="1">
      <c r="A2674" s="464" t="s">
        <v>6727</v>
      </c>
      <c r="B2674" s="464" t="s">
        <v>2115</v>
      </c>
      <c r="C2674" s="464"/>
      <c r="D2674" s="464" t="s">
        <v>1679</v>
      </c>
      <c r="E2674" s="464" t="s">
        <v>6722</v>
      </c>
      <c r="F2674" s="464" t="s">
        <v>6723</v>
      </c>
      <c r="G2674" s="464" t="s">
        <v>6724</v>
      </c>
      <c r="H2674" s="464" t="s">
        <v>6725</v>
      </c>
      <c r="I2674" s="464" t="s">
        <v>1684</v>
      </c>
    </row>
    <row r="2675" ht="15.95" customHeight="1">
      <c r="A2675" s="464" t="s">
        <v>6728</v>
      </c>
      <c r="B2675" s="464" t="s">
        <v>1281</v>
      </c>
      <c r="C2675" s="464"/>
      <c r="D2675" s="464" t="s">
        <v>1679</v>
      </c>
      <c r="E2675" s="464" t="s">
        <v>6722</v>
      </c>
      <c r="F2675" s="464" t="s">
        <v>6723</v>
      </c>
      <c r="G2675" s="464" t="s">
        <v>6724</v>
      </c>
      <c r="H2675" s="464" t="s">
        <v>6725</v>
      </c>
      <c r="I2675" s="464" t="s">
        <v>1684</v>
      </c>
    </row>
    <row r="2676" ht="15.95" customHeight="1">
      <c r="A2676" s="464" t="s">
        <v>6729</v>
      </c>
      <c r="B2676" s="464" t="s">
        <v>1287</v>
      </c>
      <c r="C2676" s="464"/>
      <c r="D2676" s="464" t="s">
        <v>1679</v>
      </c>
      <c r="E2676" s="464" t="s">
        <v>6722</v>
      </c>
      <c r="F2676" s="464" t="s">
        <v>6723</v>
      </c>
      <c r="G2676" s="464" t="s">
        <v>6724</v>
      </c>
      <c r="H2676" s="464" t="s">
        <v>6725</v>
      </c>
      <c r="I2676" s="464" t="s">
        <v>1684</v>
      </c>
    </row>
    <row r="2677" ht="15.95" customHeight="1">
      <c r="A2677" s="464" t="s">
        <v>6730</v>
      </c>
      <c r="B2677" s="464" t="s">
        <v>1279</v>
      </c>
      <c r="C2677" s="464"/>
      <c r="D2677" s="464" t="s">
        <v>1679</v>
      </c>
      <c r="E2677" s="464" t="s">
        <v>6722</v>
      </c>
      <c r="F2677" s="464" t="s">
        <v>6723</v>
      </c>
      <c r="G2677" s="464" t="s">
        <v>6724</v>
      </c>
      <c r="H2677" s="464" t="s">
        <v>6725</v>
      </c>
      <c r="I2677" s="464" t="s">
        <v>1684</v>
      </c>
    </row>
    <row r="2678" ht="15.95" customHeight="1">
      <c r="A2678" s="464" t="s">
        <v>6731</v>
      </c>
      <c r="B2678" s="464" t="s">
        <v>6732</v>
      </c>
      <c r="C2678" s="464"/>
      <c r="D2678" s="464" t="s">
        <v>1679</v>
      </c>
      <c r="E2678" s="464" t="s">
        <v>6722</v>
      </c>
      <c r="F2678" s="464" t="s">
        <v>6723</v>
      </c>
      <c r="G2678" s="464" t="s">
        <v>6724</v>
      </c>
      <c r="H2678" s="464" t="s">
        <v>6725</v>
      </c>
      <c r="I2678" s="464" t="s">
        <v>1684</v>
      </c>
    </row>
    <row r="2679" ht="15.95" customHeight="1">
      <c r="A2679" s="464" t="s">
        <v>6733</v>
      </c>
      <c r="B2679" s="464" t="s">
        <v>5899</v>
      </c>
      <c r="C2679" s="464"/>
      <c r="D2679" s="464" t="s">
        <v>1709</v>
      </c>
      <c r="E2679" s="464" t="s">
        <v>6722</v>
      </c>
      <c r="F2679" s="464" t="s">
        <v>6723</v>
      </c>
      <c r="G2679" s="464" t="s">
        <v>6724</v>
      </c>
      <c r="H2679" s="464" t="s">
        <v>6725</v>
      </c>
      <c r="I2679" s="464" t="s">
        <v>1684</v>
      </c>
    </row>
    <row r="2680" ht="15.95" customHeight="1">
      <c r="A2680" s="464" t="s">
        <v>6734</v>
      </c>
      <c r="B2680" s="464" t="s">
        <v>6735</v>
      </c>
      <c r="C2680" s="464"/>
      <c r="D2680" s="464" t="s">
        <v>1709</v>
      </c>
      <c r="E2680" s="464" t="s">
        <v>6722</v>
      </c>
      <c r="F2680" s="464" t="s">
        <v>6723</v>
      </c>
      <c r="G2680" s="464" t="s">
        <v>6724</v>
      </c>
      <c r="H2680" s="464" t="s">
        <v>6725</v>
      </c>
      <c r="I2680" s="464" t="s">
        <v>1684</v>
      </c>
    </row>
    <row r="2681" ht="15.95" customHeight="1">
      <c r="A2681" s="464" t="s">
        <v>6736</v>
      </c>
      <c r="B2681" s="464" t="s">
        <v>6737</v>
      </c>
      <c r="C2681" s="464"/>
      <c r="D2681" s="464" t="s">
        <v>1709</v>
      </c>
      <c r="E2681" s="464" t="s">
        <v>6722</v>
      </c>
      <c r="F2681" s="464" t="s">
        <v>6723</v>
      </c>
      <c r="G2681" s="464" t="s">
        <v>6724</v>
      </c>
      <c r="H2681" s="464" t="s">
        <v>6725</v>
      </c>
      <c r="I2681" s="464" t="s">
        <v>1684</v>
      </c>
    </row>
    <row r="2682" ht="15.95" customHeight="1">
      <c r="A2682" s="464" t="s">
        <v>6738</v>
      </c>
      <c r="B2682" s="464" t="s">
        <v>6739</v>
      </c>
      <c r="C2682" s="464"/>
      <c r="D2682" s="464" t="s">
        <v>1738</v>
      </c>
      <c r="E2682" s="464" t="s">
        <v>6740</v>
      </c>
      <c r="F2682" s="464" t="s">
        <v>6741</v>
      </c>
      <c r="G2682" s="464" t="s">
        <v>6724</v>
      </c>
      <c r="H2682" s="464" t="s">
        <v>6725</v>
      </c>
      <c r="I2682" s="464" t="s">
        <v>1684</v>
      </c>
    </row>
    <row r="2683" ht="15.95" customHeight="1">
      <c r="A2683" s="464" t="s">
        <v>6742</v>
      </c>
      <c r="B2683" s="464" t="s">
        <v>6743</v>
      </c>
      <c r="C2683" s="464"/>
      <c r="D2683" s="464" t="s">
        <v>1709</v>
      </c>
      <c r="E2683" s="464" t="s">
        <v>6740</v>
      </c>
      <c r="F2683" s="464" t="s">
        <v>6741</v>
      </c>
      <c r="G2683" s="464" t="s">
        <v>6724</v>
      </c>
      <c r="H2683" s="464" t="s">
        <v>6725</v>
      </c>
      <c r="I2683" s="464" t="s">
        <v>1684</v>
      </c>
    </row>
    <row r="2684" ht="15.95" customHeight="1">
      <c r="A2684" s="464" t="s">
        <v>6744</v>
      </c>
      <c r="B2684" s="464" t="s">
        <v>6745</v>
      </c>
      <c r="C2684" s="464"/>
      <c r="D2684" s="464" t="s">
        <v>1709</v>
      </c>
      <c r="E2684" s="464" t="s">
        <v>6740</v>
      </c>
      <c r="F2684" s="464" t="s">
        <v>6741</v>
      </c>
      <c r="G2684" s="464" t="s">
        <v>6724</v>
      </c>
      <c r="H2684" s="464" t="s">
        <v>6725</v>
      </c>
      <c r="I2684" s="464" t="s">
        <v>1684</v>
      </c>
    </row>
    <row r="2685" ht="15.95" customHeight="1">
      <c r="A2685" s="464" t="s">
        <v>6746</v>
      </c>
      <c r="B2685" s="464" t="s">
        <v>6747</v>
      </c>
      <c r="C2685" s="464"/>
      <c r="D2685" s="464" t="s">
        <v>1709</v>
      </c>
      <c r="E2685" s="464" t="s">
        <v>6740</v>
      </c>
      <c r="F2685" s="464" t="s">
        <v>6741</v>
      </c>
      <c r="G2685" s="464" t="s">
        <v>6724</v>
      </c>
      <c r="H2685" s="464" t="s">
        <v>6725</v>
      </c>
      <c r="I2685" s="464" t="s">
        <v>1684</v>
      </c>
    </row>
    <row r="2686" ht="15.95" customHeight="1">
      <c r="A2686" s="464" t="s">
        <v>6748</v>
      </c>
      <c r="B2686" s="464" t="s">
        <v>2718</v>
      </c>
      <c r="C2686" s="464"/>
      <c r="D2686" s="464" t="s">
        <v>1709</v>
      </c>
      <c r="E2686" s="464" t="s">
        <v>6740</v>
      </c>
      <c r="F2686" s="464" t="s">
        <v>6741</v>
      </c>
      <c r="G2686" s="464" t="s">
        <v>6724</v>
      </c>
      <c r="H2686" s="464" t="s">
        <v>6725</v>
      </c>
      <c r="I2686" s="464" t="s">
        <v>1684</v>
      </c>
    </row>
    <row r="2687" ht="15.95" customHeight="1">
      <c r="A2687" s="464" t="s">
        <v>6749</v>
      </c>
      <c r="B2687" s="464" t="s">
        <v>5694</v>
      </c>
      <c r="C2687" s="464"/>
      <c r="D2687" s="464" t="s">
        <v>1709</v>
      </c>
      <c r="E2687" s="464" t="s">
        <v>6740</v>
      </c>
      <c r="F2687" s="464" t="s">
        <v>6741</v>
      </c>
      <c r="G2687" s="464" t="s">
        <v>6724</v>
      </c>
      <c r="H2687" s="464" t="s">
        <v>6725</v>
      </c>
      <c r="I2687" s="464" t="s">
        <v>1684</v>
      </c>
    </row>
    <row r="2688" ht="15.95" customHeight="1">
      <c r="A2688" s="464" t="s">
        <v>6750</v>
      </c>
      <c r="B2688" s="464" t="s">
        <v>3979</v>
      </c>
      <c r="C2688" s="464"/>
      <c r="D2688" s="464" t="s">
        <v>1709</v>
      </c>
      <c r="E2688" s="464" t="s">
        <v>6740</v>
      </c>
      <c r="F2688" s="464" t="s">
        <v>6741</v>
      </c>
      <c r="G2688" s="464" t="s">
        <v>6724</v>
      </c>
      <c r="H2688" s="464" t="s">
        <v>6725</v>
      </c>
      <c r="I2688" s="464" t="s">
        <v>1684</v>
      </c>
    </row>
    <row r="2689" ht="15.95" customHeight="1">
      <c r="A2689" s="464" t="s">
        <v>6751</v>
      </c>
      <c r="B2689" s="464" t="s">
        <v>6752</v>
      </c>
      <c r="C2689" s="464"/>
      <c r="D2689" s="464" t="s">
        <v>1709</v>
      </c>
      <c r="E2689" s="464" t="s">
        <v>6740</v>
      </c>
      <c r="F2689" s="464" t="s">
        <v>6741</v>
      </c>
      <c r="G2689" s="464" t="s">
        <v>6724</v>
      </c>
      <c r="H2689" s="464" t="s">
        <v>6725</v>
      </c>
      <c r="I2689" s="464" t="s">
        <v>1684</v>
      </c>
    </row>
    <row r="2690" ht="15.95" customHeight="1">
      <c r="A2690" s="464" t="s">
        <v>6753</v>
      </c>
      <c r="B2690" s="464" t="s">
        <v>6754</v>
      </c>
      <c r="C2690" s="464"/>
      <c r="D2690" s="464" t="s">
        <v>1709</v>
      </c>
      <c r="E2690" s="464" t="s">
        <v>6740</v>
      </c>
      <c r="F2690" s="464" t="s">
        <v>6741</v>
      </c>
      <c r="G2690" s="464" t="s">
        <v>6724</v>
      </c>
      <c r="H2690" s="464" t="s">
        <v>6725</v>
      </c>
      <c r="I2690" s="464" t="s">
        <v>1684</v>
      </c>
    </row>
    <row r="2691" ht="15.95" customHeight="1">
      <c r="A2691" s="464" t="s">
        <v>6755</v>
      </c>
      <c r="B2691" s="464" t="s">
        <v>6756</v>
      </c>
      <c r="C2691" s="464"/>
      <c r="D2691" s="464" t="s">
        <v>1738</v>
      </c>
      <c r="E2691" s="464" t="s">
        <v>6757</v>
      </c>
      <c r="F2691" s="464" t="s">
        <v>6758</v>
      </c>
      <c r="G2691" s="464" t="s">
        <v>6724</v>
      </c>
      <c r="H2691" s="464" t="s">
        <v>6725</v>
      </c>
      <c r="I2691" s="464" t="s">
        <v>1684</v>
      </c>
    </row>
    <row r="2692" ht="15.95" customHeight="1">
      <c r="A2692" s="464" t="s">
        <v>6759</v>
      </c>
      <c r="B2692" s="464" t="s">
        <v>6760</v>
      </c>
      <c r="C2692" s="464"/>
      <c r="D2692" s="464" t="s">
        <v>1709</v>
      </c>
      <c r="E2692" s="464" t="s">
        <v>6757</v>
      </c>
      <c r="F2692" s="464" t="s">
        <v>6758</v>
      </c>
      <c r="G2692" s="464" t="s">
        <v>6724</v>
      </c>
      <c r="H2692" s="464" t="s">
        <v>6725</v>
      </c>
      <c r="I2692" s="464" t="s">
        <v>1684</v>
      </c>
    </row>
    <row r="2693" ht="15.95" customHeight="1">
      <c r="A2693" s="464" t="s">
        <v>6761</v>
      </c>
      <c r="B2693" s="464" t="s">
        <v>6762</v>
      </c>
      <c r="C2693" s="464"/>
      <c r="D2693" s="464" t="s">
        <v>1709</v>
      </c>
      <c r="E2693" s="464" t="s">
        <v>6757</v>
      </c>
      <c r="F2693" s="464" t="s">
        <v>6758</v>
      </c>
      <c r="G2693" s="464" t="s">
        <v>6724</v>
      </c>
      <c r="H2693" s="464" t="s">
        <v>6725</v>
      </c>
      <c r="I2693" s="464" t="s">
        <v>1684</v>
      </c>
    </row>
    <row r="2694" ht="15.95" customHeight="1">
      <c r="A2694" s="464" t="s">
        <v>6763</v>
      </c>
      <c r="B2694" s="464" t="s">
        <v>4846</v>
      </c>
      <c r="C2694" s="464"/>
      <c r="D2694" s="464" t="s">
        <v>1709</v>
      </c>
      <c r="E2694" s="464" t="s">
        <v>6757</v>
      </c>
      <c r="F2694" s="464" t="s">
        <v>6758</v>
      </c>
      <c r="G2694" s="464" t="s">
        <v>6724</v>
      </c>
      <c r="H2694" s="464" t="s">
        <v>6725</v>
      </c>
      <c r="I2694" s="464" t="s">
        <v>1684</v>
      </c>
    </row>
    <row r="2695" ht="15.95" customHeight="1">
      <c r="A2695" s="464" t="s">
        <v>6764</v>
      </c>
      <c r="B2695" s="464" t="s">
        <v>6582</v>
      </c>
      <c r="C2695" s="464"/>
      <c r="D2695" s="464" t="s">
        <v>1709</v>
      </c>
      <c r="E2695" s="464" t="s">
        <v>6757</v>
      </c>
      <c r="F2695" s="464" t="s">
        <v>6758</v>
      </c>
      <c r="G2695" s="464" t="s">
        <v>6724</v>
      </c>
      <c r="H2695" s="464" t="s">
        <v>6725</v>
      </c>
      <c r="I2695" s="464" t="s">
        <v>1684</v>
      </c>
    </row>
    <row r="2696" ht="15.95" customHeight="1">
      <c r="A2696" s="464" t="s">
        <v>6765</v>
      </c>
      <c r="B2696" s="464" t="s">
        <v>3357</v>
      </c>
      <c r="C2696" s="464"/>
      <c r="D2696" s="464" t="s">
        <v>1709</v>
      </c>
      <c r="E2696" s="464" t="s">
        <v>6757</v>
      </c>
      <c r="F2696" s="464" t="s">
        <v>6758</v>
      </c>
      <c r="G2696" s="464" t="s">
        <v>6724</v>
      </c>
      <c r="H2696" s="464" t="s">
        <v>6725</v>
      </c>
      <c r="I2696" s="464" t="s">
        <v>1684</v>
      </c>
    </row>
    <row r="2697" ht="15.95" customHeight="1">
      <c r="A2697" s="464" t="s">
        <v>6766</v>
      </c>
      <c r="B2697" s="464" t="s">
        <v>6767</v>
      </c>
      <c r="C2697" s="464"/>
      <c r="D2697" s="464" t="s">
        <v>1709</v>
      </c>
      <c r="E2697" s="464" t="s">
        <v>6757</v>
      </c>
      <c r="F2697" s="464" t="s">
        <v>6758</v>
      </c>
      <c r="G2697" s="464" t="s">
        <v>6724</v>
      </c>
      <c r="H2697" s="464" t="s">
        <v>6725</v>
      </c>
      <c r="I2697" s="464" t="s">
        <v>1684</v>
      </c>
    </row>
    <row r="2698" ht="15.95" customHeight="1">
      <c r="A2698" s="464" t="s">
        <v>6768</v>
      </c>
      <c r="B2698" s="464" t="s">
        <v>6769</v>
      </c>
      <c r="C2698" s="464"/>
      <c r="D2698" s="464" t="s">
        <v>1709</v>
      </c>
      <c r="E2698" s="464" t="s">
        <v>6757</v>
      </c>
      <c r="F2698" s="464" t="s">
        <v>6758</v>
      </c>
      <c r="G2698" s="464" t="s">
        <v>6724</v>
      </c>
      <c r="H2698" s="464" t="s">
        <v>6725</v>
      </c>
      <c r="I2698" s="464" t="s">
        <v>1684</v>
      </c>
    </row>
    <row r="2699" ht="15.95" customHeight="1">
      <c r="A2699" s="464" t="s">
        <v>6770</v>
      </c>
      <c r="B2699" s="464" t="s">
        <v>6771</v>
      </c>
      <c r="C2699" s="464"/>
      <c r="D2699" s="464" t="s">
        <v>1709</v>
      </c>
      <c r="E2699" s="464" t="s">
        <v>6772</v>
      </c>
      <c r="F2699" s="464" t="s">
        <v>6773</v>
      </c>
      <c r="G2699" s="464" t="s">
        <v>6724</v>
      </c>
      <c r="H2699" s="464" t="s">
        <v>6725</v>
      </c>
      <c r="I2699" s="464" t="s">
        <v>1684</v>
      </c>
    </row>
    <row r="2700" ht="15.95" customHeight="1">
      <c r="A2700" s="464" t="s">
        <v>6774</v>
      </c>
      <c r="B2700" s="464" t="s">
        <v>6775</v>
      </c>
      <c r="C2700" s="464"/>
      <c r="D2700" s="464" t="s">
        <v>1709</v>
      </c>
      <c r="E2700" s="464" t="s">
        <v>6772</v>
      </c>
      <c r="F2700" s="464" t="s">
        <v>6773</v>
      </c>
      <c r="G2700" s="464" t="s">
        <v>6724</v>
      </c>
      <c r="H2700" s="464" t="s">
        <v>6725</v>
      </c>
      <c r="I2700" s="464" t="s">
        <v>1684</v>
      </c>
    </row>
    <row r="2701" ht="15.95" customHeight="1">
      <c r="A2701" s="464" t="s">
        <v>6776</v>
      </c>
      <c r="B2701" s="464" t="s">
        <v>6777</v>
      </c>
      <c r="C2701" s="464"/>
      <c r="D2701" s="464" t="s">
        <v>1738</v>
      </c>
      <c r="E2701" s="464" t="s">
        <v>6772</v>
      </c>
      <c r="F2701" s="464" t="s">
        <v>6773</v>
      </c>
      <c r="G2701" s="464" t="s">
        <v>6724</v>
      </c>
      <c r="H2701" s="464" t="s">
        <v>6725</v>
      </c>
      <c r="I2701" s="464" t="s">
        <v>1684</v>
      </c>
    </row>
    <row r="2702" ht="15.95" customHeight="1">
      <c r="A2702" s="464" t="s">
        <v>6778</v>
      </c>
      <c r="B2702" s="464" t="s">
        <v>6779</v>
      </c>
      <c r="C2702" s="464"/>
      <c r="D2702" s="464" t="s">
        <v>1709</v>
      </c>
      <c r="E2702" s="464" t="s">
        <v>6772</v>
      </c>
      <c r="F2702" s="464" t="s">
        <v>6773</v>
      </c>
      <c r="G2702" s="464" t="s">
        <v>6724</v>
      </c>
      <c r="H2702" s="464" t="s">
        <v>6725</v>
      </c>
      <c r="I2702" s="464" t="s">
        <v>1684</v>
      </c>
    </row>
    <row r="2703" ht="15.95" customHeight="1">
      <c r="A2703" s="464" t="s">
        <v>6780</v>
      </c>
      <c r="B2703" s="464" t="s">
        <v>6781</v>
      </c>
      <c r="C2703" s="464"/>
      <c r="D2703" s="464" t="s">
        <v>1709</v>
      </c>
      <c r="E2703" s="464" t="s">
        <v>6772</v>
      </c>
      <c r="F2703" s="464" t="s">
        <v>6773</v>
      </c>
      <c r="G2703" s="464" t="s">
        <v>6724</v>
      </c>
      <c r="H2703" s="464" t="s">
        <v>6725</v>
      </c>
      <c r="I2703" s="464" t="s">
        <v>1684</v>
      </c>
    </row>
    <row r="2704" ht="15.95" customHeight="1">
      <c r="A2704" s="464" t="s">
        <v>6782</v>
      </c>
      <c r="B2704" s="464" t="s">
        <v>6783</v>
      </c>
      <c r="C2704" s="464"/>
      <c r="D2704" s="464" t="s">
        <v>1709</v>
      </c>
      <c r="E2704" s="464" t="s">
        <v>6772</v>
      </c>
      <c r="F2704" s="464" t="s">
        <v>6773</v>
      </c>
      <c r="G2704" s="464" t="s">
        <v>6724</v>
      </c>
      <c r="H2704" s="464" t="s">
        <v>6725</v>
      </c>
      <c r="I2704" s="464" t="s">
        <v>1684</v>
      </c>
    </row>
    <row r="2705" ht="15.95" customHeight="1">
      <c r="A2705" s="464" t="s">
        <v>6784</v>
      </c>
      <c r="B2705" s="464" t="s">
        <v>6785</v>
      </c>
      <c r="C2705" s="464"/>
      <c r="D2705" s="464" t="s">
        <v>1709</v>
      </c>
      <c r="E2705" s="464" t="s">
        <v>6772</v>
      </c>
      <c r="F2705" s="464" t="s">
        <v>6773</v>
      </c>
      <c r="G2705" s="464" t="s">
        <v>6724</v>
      </c>
      <c r="H2705" s="464" t="s">
        <v>6725</v>
      </c>
      <c r="I2705" s="464" t="s">
        <v>1684</v>
      </c>
    </row>
    <row r="2706" ht="15.95" customHeight="1">
      <c r="A2706" s="464" t="s">
        <v>6786</v>
      </c>
      <c r="B2706" s="464" t="s">
        <v>4271</v>
      </c>
      <c r="C2706" s="464"/>
      <c r="D2706" s="464" t="s">
        <v>1709</v>
      </c>
      <c r="E2706" s="464" t="s">
        <v>6772</v>
      </c>
      <c r="F2706" s="464" t="s">
        <v>6773</v>
      </c>
      <c r="G2706" s="464" t="s">
        <v>6724</v>
      </c>
      <c r="H2706" s="464" t="s">
        <v>6725</v>
      </c>
      <c r="I2706" s="464" t="s">
        <v>1684</v>
      </c>
    </row>
    <row r="2707" ht="15.95" customHeight="1">
      <c r="A2707" s="464" t="s">
        <v>6787</v>
      </c>
      <c r="B2707" s="464" t="s">
        <v>1287</v>
      </c>
      <c r="C2707" s="464"/>
      <c r="D2707" s="464" t="s">
        <v>1679</v>
      </c>
      <c r="E2707" s="464" t="s">
        <v>6788</v>
      </c>
      <c r="F2707" s="464" t="s">
        <v>6789</v>
      </c>
      <c r="G2707" s="464" t="s">
        <v>6724</v>
      </c>
      <c r="H2707" s="464" t="s">
        <v>6725</v>
      </c>
      <c r="I2707" s="464" t="s">
        <v>1684</v>
      </c>
    </row>
    <row r="2708" ht="15.95" customHeight="1">
      <c r="A2708" s="464" t="s">
        <v>6790</v>
      </c>
      <c r="B2708" s="464" t="s">
        <v>6791</v>
      </c>
      <c r="C2708" s="464"/>
      <c r="D2708" s="464" t="s">
        <v>1679</v>
      </c>
      <c r="E2708" s="464" t="s">
        <v>6788</v>
      </c>
      <c r="F2708" s="464" t="s">
        <v>6789</v>
      </c>
      <c r="G2708" s="464" t="s">
        <v>6724</v>
      </c>
      <c r="H2708" s="464" t="s">
        <v>6725</v>
      </c>
      <c r="I2708" s="464" t="s">
        <v>1684</v>
      </c>
    </row>
    <row r="2709" ht="15.95" customHeight="1">
      <c r="A2709" s="464" t="s">
        <v>6792</v>
      </c>
      <c r="B2709" s="464" t="s">
        <v>6793</v>
      </c>
      <c r="C2709" s="464"/>
      <c r="D2709" s="464" t="s">
        <v>1709</v>
      </c>
      <c r="E2709" s="464" t="s">
        <v>6788</v>
      </c>
      <c r="F2709" s="464" t="s">
        <v>6789</v>
      </c>
      <c r="G2709" s="464" t="s">
        <v>6724</v>
      </c>
      <c r="H2709" s="464" t="s">
        <v>6725</v>
      </c>
      <c r="I2709" s="464" t="s">
        <v>1684</v>
      </c>
    </row>
    <row r="2710" ht="15.95" customHeight="1">
      <c r="A2710" s="464" t="s">
        <v>6794</v>
      </c>
      <c r="B2710" s="464" t="s">
        <v>6795</v>
      </c>
      <c r="C2710" s="464"/>
      <c r="D2710" s="464" t="s">
        <v>1679</v>
      </c>
      <c r="E2710" s="464" t="s">
        <v>6788</v>
      </c>
      <c r="F2710" s="464" t="s">
        <v>6789</v>
      </c>
      <c r="G2710" s="464" t="s">
        <v>6724</v>
      </c>
      <c r="H2710" s="464" t="s">
        <v>6725</v>
      </c>
      <c r="I2710" s="464" t="s">
        <v>1684</v>
      </c>
    </row>
    <row r="2711" ht="15.95" customHeight="1">
      <c r="A2711" s="464" t="s">
        <v>6796</v>
      </c>
      <c r="B2711" s="464" t="s">
        <v>6797</v>
      </c>
      <c r="C2711" s="464"/>
      <c r="D2711" s="464" t="s">
        <v>1709</v>
      </c>
      <c r="E2711" s="464" t="s">
        <v>6788</v>
      </c>
      <c r="F2711" s="464" t="s">
        <v>6789</v>
      </c>
      <c r="G2711" s="464" t="s">
        <v>6724</v>
      </c>
      <c r="H2711" s="464" t="s">
        <v>6725</v>
      </c>
      <c r="I2711" s="464" t="s">
        <v>1684</v>
      </c>
    </row>
    <row r="2712" ht="15.95" customHeight="1">
      <c r="A2712" s="464" t="s">
        <v>6798</v>
      </c>
      <c r="B2712" s="464" t="s">
        <v>2674</v>
      </c>
      <c r="C2712" s="464"/>
      <c r="D2712" s="464" t="s">
        <v>1709</v>
      </c>
      <c r="E2712" s="464" t="s">
        <v>6788</v>
      </c>
      <c r="F2712" s="464" t="s">
        <v>6789</v>
      </c>
      <c r="G2712" s="464" t="s">
        <v>6724</v>
      </c>
      <c r="H2712" s="464" t="s">
        <v>6725</v>
      </c>
      <c r="I2712" s="464" t="s">
        <v>1684</v>
      </c>
    </row>
    <row r="2713" ht="15.95" customHeight="1">
      <c r="A2713" s="464" t="s">
        <v>6799</v>
      </c>
      <c r="B2713" s="464" t="s">
        <v>5052</v>
      </c>
      <c r="C2713" s="464"/>
      <c r="D2713" s="464" t="s">
        <v>1709</v>
      </c>
      <c r="E2713" s="464" t="s">
        <v>6788</v>
      </c>
      <c r="F2713" s="464" t="s">
        <v>6789</v>
      </c>
      <c r="G2713" s="464" t="s">
        <v>6724</v>
      </c>
      <c r="H2713" s="464" t="s">
        <v>6725</v>
      </c>
      <c r="I2713" s="464" t="s">
        <v>1684</v>
      </c>
    </row>
    <row r="2714" ht="15.95" customHeight="1">
      <c r="A2714" s="464" t="s">
        <v>6800</v>
      </c>
      <c r="B2714" s="464" t="s">
        <v>6801</v>
      </c>
      <c r="C2714" s="464"/>
      <c r="D2714" s="464" t="s">
        <v>1709</v>
      </c>
      <c r="E2714" s="464" t="s">
        <v>6788</v>
      </c>
      <c r="F2714" s="464" t="s">
        <v>6789</v>
      </c>
      <c r="G2714" s="464" t="s">
        <v>6724</v>
      </c>
      <c r="H2714" s="464" t="s">
        <v>6725</v>
      </c>
      <c r="I2714" s="464" t="s">
        <v>1684</v>
      </c>
    </row>
    <row r="2715" ht="15.95" customHeight="1">
      <c r="A2715" s="464" t="s">
        <v>6802</v>
      </c>
      <c r="B2715" s="464" t="s">
        <v>6803</v>
      </c>
      <c r="C2715" s="464"/>
      <c r="D2715" s="464" t="s">
        <v>1709</v>
      </c>
      <c r="E2715" s="464" t="s">
        <v>6788</v>
      </c>
      <c r="F2715" s="464" t="s">
        <v>6789</v>
      </c>
      <c r="G2715" s="464" t="s">
        <v>6724</v>
      </c>
      <c r="H2715" s="464" t="s">
        <v>6725</v>
      </c>
      <c r="I2715" s="464" t="s">
        <v>1684</v>
      </c>
    </row>
    <row r="2716" ht="15.95" customHeight="1">
      <c r="A2716" s="464" t="s">
        <v>6804</v>
      </c>
      <c r="B2716" s="464" t="s">
        <v>4704</v>
      </c>
      <c r="C2716" s="464"/>
      <c r="D2716" s="464" t="s">
        <v>1709</v>
      </c>
      <c r="E2716" s="464" t="s">
        <v>6788</v>
      </c>
      <c r="F2716" s="464" t="s">
        <v>6789</v>
      </c>
      <c r="G2716" s="464" t="s">
        <v>6724</v>
      </c>
      <c r="H2716" s="464" t="s">
        <v>6725</v>
      </c>
      <c r="I2716" s="464" t="s">
        <v>1684</v>
      </c>
    </row>
    <row r="2717" ht="15.95" customHeight="1">
      <c r="A2717" s="464" t="s">
        <v>6805</v>
      </c>
      <c r="B2717" s="464" t="s">
        <v>6806</v>
      </c>
      <c r="C2717" s="464"/>
      <c r="D2717" s="464" t="s">
        <v>1738</v>
      </c>
      <c r="E2717" s="464" t="s">
        <v>6807</v>
      </c>
      <c r="F2717" s="464" t="s">
        <v>6808</v>
      </c>
      <c r="G2717" s="464" t="s">
        <v>6724</v>
      </c>
      <c r="H2717" s="464" t="s">
        <v>6725</v>
      </c>
      <c r="I2717" s="464" t="s">
        <v>1684</v>
      </c>
    </row>
    <row r="2718" ht="15.95" customHeight="1">
      <c r="A2718" s="464" t="s">
        <v>6809</v>
      </c>
      <c r="B2718" s="464" t="s">
        <v>6810</v>
      </c>
      <c r="C2718" s="464"/>
      <c r="D2718" s="464" t="s">
        <v>1709</v>
      </c>
      <c r="E2718" s="464" t="s">
        <v>6807</v>
      </c>
      <c r="F2718" s="464" t="s">
        <v>6808</v>
      </c>
      <c r="G2718" s="464" t="s">
        <v>6724</v>
      </c>
      <c r="H2718" s="464" t="s">
        <v>6725</v>
      </c>
      <c r="I2718" s="464" t="s">
        <v>1684</v>
      </c>
    </row>
    <row r="2719" ht="15.95" customHeight="1">
      <c r="A2719" s="464" t="s">
        <v>6811</v>
      </c>
      <c r="B2719" s="464" t="s">
        <v>6812</v>
      </c>
      <c r="C2719" s="464"/>
      <c r="D2719" s="464" t="s">
        <v>1709</v>
      </c>
      <c r="E2719" s="464" t="s">
        <v>6807</v>
      </c>
      <c r="F2719" s="464" t="s">
        <v>6808</v>
      </c>
      <c r="G2719" s="464" t="s">
        <v>6724</v>
      </c>
      <c r="H2719" s="464" t="s">
        <v>6725</v>
      </c>
      <c r="I2719" s="464" t="s">
        <v>1684</v>
      </c>
    </row>
    <row r="2720" ht="15.95" customHeight="1">
      <c r="A2720" s="464" t="s">
        <v>6813</v>
      </c>
      <c r="B2720" s="464" t="s">
        <v>6814</v>
      </c>
      <c r="C2720" s="464"/>
      <c r="D2720" s="464" t="s">
        <v>1709</v>
      </c>
      <c r="E2720" s="464" t="s">
        <v>6807</v>
      </c>
      <c r="F2720" s="464" t="s">
        <v>6808</v>
      </c>
      <c r="G2720" s="464" t="s">
        <v>6724</v>
      </c>
      <c r="H2720" s="464" t="s">
        <v>6725</v>
      </c>
      <c r="I2720" s="464" t="s">
        <v>1684</v>
      </c>
    </row>
    <row r="2721" ht="15.95" customHeight="1">
      <c r="A2721" s="464" t="s">
        <v>6815</v>
      </c>
      <c r="B2721" s="464" t="s">
        <v>6816</v>
      </c>
      <c r="C2721" s="464"/>
      <c r="D2721" s="464" t="s">
        <v>1709</v>
      </c>
      <c r="E2721" s="464" t="s">
        <v>6807</v>
      </c>
      <c r="F2721" s="464" t="s">
        <v>6808</v>
      </c>
      <c r="G2721" s="464" t="s">
        <v>6724</v>
      </c>
      <c r="H2721" s="464" t="s">
        <v>6725</v>
      </c>
      <c r="I2721" s="464" t="s">
        <v>1684</v>
      </c>
    </row>
    <row r="2722" ht="15.95" customHeight="1">
      <c r="A2722" s="464" t="s">
        <v>6817</v>
      </c>
      <c r="B2722" s="464" t="s">
        <v>6818</v>
      </c>
      <c r="C2722" s="464"/>
      <c r="D2722" s="464" t="s">
        <v>1709</v>
      </c>
      <c r="E2722" s="464" t="s">
        <v>6807</v>
      </c>
      <c r="F2722" s="464" t="s">
        <v>6808</v>
      </c>
      <c r="G2722" s="464" t="s">
        <v>6724</v>
      </c>
      <c r="H2722" s="464" t="s">
        <v>6725</v>
      </c>
      <c r="I2722" s="464" t="s">
        <v>1684</v>
      </c>
    </row>
    <row r="2723" ht="15.95" customHeight="1">
      <c r="A2723" s="464" t="s">
        <v>6819</v>
      </c>
      <c r="B2723" s="464" t="s">
        <v>6820</v>
      </c>
      <c r="C2723" s="464"/>
      <c r="D2723" s="464" t="s">
        <v>1709</v>
      </c>
      <c r="E2723" s="464" t="s">
        <v>6807</v>
      </c>
      <c r="F2723" s="464" t="s">
        <v>6808</v>
      </c>
      <c r="G2723" s="464" t="s">
        <v>6724</v>
      </c>
      <c r="H2723" s="464" t="s">
        <v>6725</v>
      </c>
      <c r="I2723" s="464" t="s">
        <v>1684</v>
      </c>
    </row>
    <row r="2724" ht="15.95" customHeight="1">
      <c r="A2724" s="464" t="s">
        <v>6821</v>
      </c>
      <c r="B2724" s="464" t="s">
        <v>6822</v>
      </c>
      <c r="C2724" s="464"/>
      <c r="D2724" s="464" t="s">
        <v>1709</v>
      </c>
      <c r="E2724" s="464" t="s">
        <v>6807</v>
      </c>
      <c r="F2724" s="464" t="s">
        <v>6808</v>
      </c>
      <c r="G2724" s="464" t="s">
        <v>6724</v>
      </c>
      <c r="H2724" s="464" t="s">
        <v>6725</v>
      </c>
      <c r="I2724" s="464" t="s">
        <v>1684</v>
      </c>
    </row>
    <row r="2725" ht="15.95" customHeight="1">
      <c r="A2725" s="464" t="s">
        <v>6823</v>
      </c>
      <c r="B2725" s="464" t="s">
        <v>6824</v>
      </c>
      <c r="C2725" s="464"/>
      <c r="D2725" s="464" t="s">
        <v>1709</v>
      </c>
      <c r="E2725" s="464" t="s">
        <v>6807</v>
      </c>
      <c r="F2725" s="464" t="s">
        <v>6808</v>
      </c>
      <c r="G2725" s="464" t="s">
        <v>6724</v>
      </c>
      <c r="H2725" s="464" t="s">
        <v>6725</v>
      </c>
      <c r="I2725" s="464" t="s">
        <v>1684</v>
      </c>
    </row>
    <row r="2726" ht="15.95" customHeight="1">
      <c r="A2726" s="464" t="s">
        <v>6825</v>
      </c>
      <c r="B2726" s="464" t="s">
        <v>2890</v>
      </c>
      <c r="C2726" s="464"/>
      <c r="D2726" s="464" t="s">
        <v>1709</v>
      </c>
      <c r="E2726" s="464" t="s">
        <v>6807</v>
      </c>
      <c r="F2726" s="464" t="s">
        <v>6808</v>
      </c>
      <c r="G2726" s="464" t="s">
        <v>6724</v>
      </c>
      <c r="H2726" s="464" t="s">
        <v>6725</v>
      </c>
      <c r="I2726" s="464" t="s">
        <v>1684</v>
      </c>
    </row>
    <row r="2727" ht="15.95" customHeight="1">
      <c r="A2727" s="464" t="s">
        <v>6826</v>
      </c>
      <c r="B2727" s="464" t="s">
        <v>6827</v>
      </c>
      <c r="C2727" s="464"/>
      <c r="D2727" s="464" t="s">
        <v>1709</v>
      </c>
      <c r="E2727" s="464" t="s">
        <v>6807</v>
      </c>
      <c r="F2727" s="464" t="s">
        <v>6808</v>
      </c>
      <c r="G2727" s="464" t="s">
        <v>6724</v>
      </c>
      <c r="H2727" s="464" t="s">
        <v>6725</v>
      </c>
      <c r="I2727" s="464" t="s">
        <v>1684</v>
      </c>
    </row>
    <row r="2728" ht="15.95" customHeight="1">
      <c r="A2728" s="464" t="s">
        <v>6828</v>
      </c>
      <c r="B2728" s="464" t="s">
        <v>6829</v>
      </c>
      <c r="C2728" s="464"/>
      <c r="D2728" s="464" t="s">
        <v>1738</v>
      </c>
      <c r="E2728" s="464" t="s">
        <v>6830</v>
      </c>
      <c r="F2728" s="464" t="s">
        <v>6831</v>
      </c>
      <c r="G2728" s="464" t="s">
        <v>6724</v>
      </c>
      <c r="H2728" s="464" t="s">
        <v>6725</v>
      </c>
      <c r="I2728" s="464" t="s">
        <v>1684</v>
      </c>
    </row>
    <row r="2729" ht="15.95" customHeight="1">
      <c r="A2729" s="464" t="s">
        <v>6832</v>
      </c>
      <c r="B2729" s="464" t="s">
        <v>6833</v>
      </c>
      <c r="C2729" s="464"/>
      <c r="D2729" s="464" t="s">
        <v>1709</v>
      </c>
      <c r="E2729" s="464" t="s">
        <v>6830</v>
      </c>
      <c r="F2729" s="464" t="s">
        <v>6831</v>
      </c>
      <c r="G2729" s="464" t="s">
        <v>6724</v>
      </c>
      <c r="H2729" s="464" t="s">
        <v>6725</v>
      </c>
      <c r="I2729" s="464" t="s">
        <v>1684</v>
      </c>
    </row>
    <row r="2730" ht="15.95" customHeight="1">
      <c r="A2730" s="464" t="s">
        <v>6834</v>
      </c>
      <c r="B2730" s="464" t="s">
        <v>4111</v>
      </c>
      <c r="C2730" s="464"/>
      <c r="D2730" s="464" t="s">
        <v>1709</v>
      </c>
      <c r="E2730" s="464" t="s">
        <v>6830</v>
      </c>
      <c r="F2730" s="464" t="s">
        <v>6831</v>
      </c>
      <c r="G2730" s="464" t="s">
        <v>6724</v>
      </c>
      <c r="H2730" s="464" t="s">
        <v>6725</v>
      </c>
      <c r="I2730" s="464" t="s">
        <v>1684</v>
      </c>
    </row>
    <row r="2731" ht="15.95" customHeight="1">
      <c r="A2731" s="464" t="s">
        <v>6835</v>
      </c>
      <c r="B2731" s="464" t="s">
        <v>6836</v>
      </c>
      <c r="C2731" s="464"/>
      <c r="D2731" s="464" t="s">
        <v>1709</v>
      </c>
      <c r="E2731" s="464" t="s">
        <v>6830</v>
      </c>
      <c r="F2731" s="464" t="s">
        <v>6831</v>
      </c>
      <c r="G2731" s="464" t="s">
        <v>6724</v>
      </c>
      <c r="H2731" s="464" t="s">
        <v>6725</v>
      </c>
      <c r="I2731" s="464" t="s">
        <v>1684</v>
      </c>
    </row>
    <row r="2732" ht="15.95" customHeight="1">
      <c r="A2732" s="464" t="s">
        <v>6837</v>
      </c>
      <c r="B2732" s="464" t="s">
        <v>5696</v>
      </c>
      <c r="C2732" s="464"/>
      <c r="D2732" s="464" t="s">
        <v>1709</v>
      </c>
      <c r="E2732" s="464" t="s">
        <v>6830</v>
      </c>
      <c r="F2732" s="464" t="s">
        <v>6831</v>
      </c>
      <c r="G2732" s="464" t="s">
        <v>6724</v>
      </c>
      <c r="H2732" s="464" t="s">
        <v>6725</v>
      </c>
      <c r="I2732" s="464" t="s">
        <v>1684</v>
      </c>
    </row>
    <row r="2733" ht="15.95" customHeight="1">
      <c r="A2733" s="464" t="s">
        <v>6838</v>
      </c>
      <c r="B2733" s="464" t="s">
        <v>6839</v>
      </c>
      <c r="C2733" s="464"/>
      <c r="D2733" s="464" t="s">
        <v>1709</v>
      </c>
      <c r="E2733" s="464" t="s">
        <v>6830</v>
      </c>
      <c r="F2733" s="464" t="s">
        <v>6831</v>
      </c>
      <c r="G2733" s="464" t="s">
        <v>6724</v>
      </c>
      <c r="H2733" s="464" t="s">
        <v>6725</v>
      </c>
      <c r="I2733" s="464" t="s">
        <v>1684</v>
      </c>
    </row>
    <row r="2734" ht="15.95" customHeight="1">
      <c r="A2734" s="464" t="s">
        <v>6840</v>
      </c>
      <c r="B2734" s="464" t="s">
        <v>6841</v>
      </c>
      <c r="C2734" s="464"/>
      <c r="D2734" s="464" t="s">
        <v>1709</v>
      </c>
      <c r="E2734" s="464" t="s">
        <v>6830</v>
      </c>
      <c r="F2734" s="464" t="s">
        <v>6831</v>
      </c>
      <c r="G2734" s="464" t="s">
        <v>6724</v>
      </c>
      <c r="H2734" s="464" t="s">
        <v>6725</v>
      </c>
      <c r="I2734" s="464" t="s">
        <v>1684</v>
      </c>
    </row>
    <row r="2735" ht="15.95" customHeight="1">
      <c r="A2735" s="464" t="s">
        <v>6842</v>
      </c>
      <c r="B2735" s="464" t="s">
        <v>6843</v>
      </c>
      <c r="C2735" s="464"/>
      <c r="D2735" s="464" t="s">
        <v>1709</v>
      </c>
      <c r="E2735" s="464" t="s">
        <v>6830</v>
      </c>
      <c r="F2735" s="464" t="s">
        <v>6831</v>
      </c>
      <c r="G2735" s="464" t="s">
        <v>6724</v>
      </c>
      <c r="H2735" s="464" t="s">
        <v>6725</v>
      </c>
      <c r="I2735" s="464" t="s">
        <v>1684</v>
      </c>
    </row>
    <row r="2736" ht="15.95" customHeight="1">
      <c r="A2736" s="464" t="s">
        <v>6844</v>
      </c>
      <c r="B2736" s="464" t="s">
        <v>1266</v>
      </c>
      <c r="C2736" s="464"/>
      <c r="D2736" s="464" t="s">
        <v>1679</v>
      </c>
      <c r="E2736" s="464" t="s">
        <v>6845</v>
      </c>
      <c r="F2736" s="464" t="s">
        <v>6846</v>
      </c>
      <c r="G2736" s="464" t="s">
        <v>6847</v>
      </c>
      <c r="H2736" s="464" t="s">
        <v>6848</v>
      </c>
      <c r="I2736" s="464" t="s">
        <v>1684</v>
      </c>
    </row>
    <row r="2737" ht="15.95" customHeight="1">
      <c r="A2737" s="464" t="s">
        <v>6849</v>
      </c>
      <c r="B2737" s="464" t="s">
        <v>1282</v>
      </c>
      <c r="C2737" s="464"/>
      <c r="D2737" s="464" t="s">
        <v>1679</v>
      </c>
      <c r="E2737" s="464" t="s">
        <v>6845</v>
      </c>
      <c r="F2737" s="464" t="s">
        <v>6846</v>
      </c>
      <c r="G2737" s="464" t="s">
        <v>6847</v>
      </c>
      <c r="H2737" s="464" t="s">
        <v>6848</v>
      </c>
      <c r="I2737" s="464" t="s">
        <v>1684</v>
      </c>
    </row>
    <row r="2738" ht="15.95" customHeight="1">
      <c r="A2738" s="464" t="s">
        <v>6850</v>
      </c>
      <c r="B2738" s="464" t="s">
        <v>1287</v>
      </c>
      <c r="C2738" s="464"/>
      <c r="D2738" s="464" t="s">
        <v>1679</v>
      </c>
      <c r="E2738" s="464" t="s">
        <v>6845</v>
      </c>
      <c r="F2738" s="464" t="s">
        <v>6846</v>
      </c>
      <c r="G2738" s="464" t="s">
        <v>6847</v>
      </c>
      <c r="H2738" s="464" t="s">
        <v>6848</v>
      </c>
      <c r="I2738" s="464" t="s">
        <v>1684</v>
      </c>
    </row>
    <row r="2739" ht="15.95" customHeight="1">
      <c r="A2739" s="464" t="s">
        <v>6851</v>
      </c>
      <c r="B2739" s="464" t="s">
        <v>2115</v>
      </c>
      <c r="C2739" s="464"/>
      <c r="D2739" s="464" t="s">
        <v>1679</v>
      </c>
      <c r="E2739" s="464" t="s">
        <v>6845</v>
      </c>
      <c r="F2739" s="464" t="s">
        <v>6846</v>
      </c>
      <c r="G2739" s="464" t="s">
        <v>6847</v>
      </c>
      <c r="H2739" s="464" t="s">
        <v>6848</v>
      </c>
      <c r="I2739" s="464" t="s">
        <v>1684</v>
      </c>
    </row>
    <row r="2740" ht="15.95" customHeight="1">
      <c r="A2740" s="464" t="s">
        <v>6852</v>
      </c>
      <c r="B2740" s="464" t="s">
        <v>2110</v>
      </c>
      <c r="C2740" s="464"/>
      <c r="D2740" s="464" t="s">
        <v>1679</v>
      </c>
      <c r="E2740" s="464" t="s">
        <v>6845</v>
      </c>
      <c r="F2740" s="464" t="s">
        <v>6846</v>
      </c>
      <c r="G2740" s="464" t="s">
        <v>6847</v>
      </c>
      <c r="H2740" s="464" t="s">
        <v>6848</v>
      </c>
      <c r="I2740" s="464" t="s">
        <v>1684</v>
      </c>
    </row>
    <row r="2741" ht="15.95" customHeight="1">
      <c r="A2741" s="464" t="s">
        <v>6853</v>
      </c>
      <c r="B2741" s="464" t="s">
        <v>1279</v>
      </c>
      <c r="C2741" s="464"/>
      <c r="D2741" s="464" t="s">
        <v>1679</v>
      </c>
      <c r="E2741" s="464" t="s">
        <v>6845</v>
      </c>
      <c r="F2741" s="464" t="s">
        <v>6846</v>
      </c>
      <c r="G2741" s="464" t="s">
        <v>6847</v>
      </c>
      <c r="H2741" s="464" t="s">
        <v>6848</v>
      </c>
      <c r="I2741" s="464" t="s">
        <v>1684</v>
      </c>
    </row>
    <row r="2742" ht="15.95" customHeight="1">
      <c r="A2742" s="464" t="s">
        <v>6854</v>
      </c>
      <c r="B2742" s="464" t="s">
        <v>2113</v>
      </c>
      <c r="C2742" s="464"/>
      <c r="D2742" s="464" t="s">
        <v>1679</v>
      </c>
      <c r="E2742" s="464" t="s">
        <v>6845</v>
      </c>
      <c r="F2742" s="464" t="s">
        <v>6846</v>
      </c>
      <c r="G2742" s="464" t="s">
        <v>6847</v>
      </c>
      <c r="H2742" s="464" t="s">
        <v>6848</v>
      </c>
      <c r="I2742" s="464" t="s">
        <v>1684</v>
      </c>
    </row>
    <row r="2743" ht="15.95" customHeight="1">
      <c r="A2743" s="464" t="s">
        <v>6855</v>
      </c>
      <c r="B2743" s="464" t="s">
        <v>1281</v>
      </c>
      <c r="C2743" s="464"/>
      <c r="D2743" s="464" t="s">
        <v>1679</v>
      </c>
      <c r="E2743" s="464" t="s">
        <v>6845</v>
      </c>
      <c r="F2743" s="464" t="s">
        <v>6846</v>
      </c>
      <c r="G2743" s="464" t="s">
        <v>6847</v>
      </c>
      <c r="H2743" s="464" t="s">
        <v>6848</v>
      </c>
      <c r="I2743" s="464" t="s">
        <v>1684</v>
      </c>
    </row>
    <row r="2744" ht="15.95" customHeight="1">
      <c r="A2744" s="464" t="s">
        <v>6856</v>
      </c>
      <c r="B2744" s="464" t="s">
        <v>6857</v>
      </c>
      <c r="C2744" s="464"/>
      <c r="D2744" s="464" t="s">
        <v>1679</v>
      </c>
      <c r="E2744" s="464" t="s">
        <v>6845</v>
      </c>
      <c r="F2744" s="464" t="s">
        <v>6846</v>
      </c>
      <c r="G2744" s="464" t="s">
        <v>6847</v>
      </c>
      <c r="H2744" s="464" t="s">
        <v>6848</v>
      </c>
      <c r="I2744" s="464" t="s">
        <v>1684</v>
      </c>
    </row>
    <row r="2745" ht="15.95" customHeight="1">
      <c r="A2745" s="464" t="s">
        <v>6858</v>
      </c>
      <c r="B2745" s="464" t="s">
        <v>6859</v>
      </c>
      <c r="C2745" s="464"/>
      <c r="D2745" s="464" t="s">
        <v>1709</v>
      </c>
      <c r="E2745" s="464" t="s">
        <v>6845</v>
      </c>
      <c r="F2745" s="464" t="s">
        <v>6846</v>
      </c>
      <c r="G2745" s="464" t="s">
        <v>6847</v>
      </c>
      <c r="H2745" s="464" t="s">
        <v>6848</v>
      </c>
      <c r="I2745" s="464" t="s">
        <v>1684</v>
      </c>
    </row>
    <row r="2746" ht="15.95" customHeight="1">
      <c r="A2746" s="464" t="s">
        <v>6860</v>
      </c>
      <c r="B2746" s="464" t="s">
        <v>3704</v>
      </c>
      <c r="C2746" s="464"/>
      <c r="D2746" s="464" t="s">
        <v>1679</v>
      </c>
      <c r="E2746" s="464" t="s">
        <v>6845</v>
      </c>
      <c r="F2746" s="464" t="s">
        <v>6846</v>
      </c>
      <c r="G2746" s="464" t="s">
        <v>6847</v>
      </c>
      <c r="H2746" s="464" t="s">
        <v>6848</v>
      </c>
      <c r="I2746" s="464" t="s">
        <v>1684</v>
      </c>
    </row>
    <row r="2747" ht="15.95" customHeight="1">
      <c r="A2747" s="464" t="s">
        <v>6861</v>
      </c>
      <c r="B2747" s="464" t="s">
        <v>2012</v>
      </c>
      <c r="C2747" s="464"/>
      <c r="D2747" s="464" t="s">
        <v>1709</v>
      </c>
      <c r="E2747" s="464" t="s">
        <v>6845</v>
      </c>
      <c r="F2747" s="464" t="s">
        <v>6846</v>
      </c>
      <c r="G2747" s="464" t="s">
        <v>6847</v>
      </c>
      <c r="H2747" s="464" t="s">
        <v>6848</v>
      </c>
      <c r="I2747" s="464" t="s">
        <v>1684</v>
      </c>
    </row>
    <row r="2748" ht="15.95" customHeight="1">
      <c r="A2748" s="464" t="s">
        <v>6862</v>
      </c>
      <c r="B2748" s="464" t="s">
        <v>6863</v>
      </c>
      <c r="C2748" s="464"/>
      <c r="D2748" s="464" t="s">
        <v>1709</v>
      </c>
      <c r="E2748" s="464" t="s">
        <v>6845</v>
      </c>
      <c r="F2748" s="464" t="s">
        <v>6846</v>
      </c>
      <c r="G2748" s="464" t="s">
        <v>6847</v>
      </c>
      <c r="H2748" s="464" t="s">
        <v>6848</v>
      </c>
      <c r="I2748" s="464" t="s">
        <v>1684</v>
      </c>
    </row>
    <row r="2749" ht="15.95" customHeight="1">
      <c r="A2749" s="464" t="s">
        <v>6864</v>
      </c>
      <c r="B2749" s="464" t="s">
        <v>6865</v>
      </c>
      <c r="C2749" s="464"/>
      <c r="D2749" s="464" t="s">
        <v>1709</v>
      </c>
      <c r="E2749" s="464" t="s">
        <v>6845</v>
      </c>
      <c r="F2749" s="464" t="s">
        <v>6846</v>
      </c>
      <c r="G2749" s="464" t="s">
        <v>6847</v>
      </c>
      <c r="H2749" s="464" t="s">
        <v>6848</v>
      </c>
      <c r="I2749" s="464" t="s">
        <v>1684</v>
      </c>
    </row>
    <row r="2750" ht="15.95" customHeight="1">
      <c r="A2750" s="464" t="s">
        <v>6866</v>
      </c>
      <c r="B2750" s="464" t="s">
        <v>6867</v>
      </c>
      <c r="C2750" s="464"/>
      <c r="D2750" s="464" t="s">
        <v>1709</v>
      </c>
      <c r="E2750" s="464" t="s">
        <v>6845</v>
      </c>
      <c r="F2750" s="464" t="s">
        <v>6846</v>
      </c>
      <c r="G2750" s="464" t="s">
        <v>6847</v>
      </c>
      <c r="H2750" s="464" t="s">
        <v>6848</v>
      </c>
      <c r="I2750" s="464" t="s">
        <v>1684</v>
      </c>
    </row>
    <row r="2751" ht="15.95" customHeight="1">
      <c r="A2751" s="464" t="s">
        <v>6868</v>
      </c>
      <c r="B2751" s="464" t="s">
        <v>5600</v>
      </c>
      <c r="C2751" s="464"/>
      <c r="D2751" s="464" t="s">
        <v>1709</v>
      </c>
      <c r="E2751" s="464" t="s">
        <v>6845</v>
      </c>
      <c r="F2751" s="464" t="s">
        <v>6846</v>
      </c>
      <c r="G2751" s="464" t="s">
        <v>6847</v>
      </c>
      <c r="H2751" s="464" t="s">
        <v>6848</v>
      </c>
      <c r="I2751" s="464" t="s">
        <v>1684</v>
      </c>
    </row>
    <row r="2752" ht="15.95" customHeight="1">
      <c r="A2752" s="464" t="s">
        <v>6869</v>
      </c>
      <c r="B2752" s="464" t="s">
        <v>5047</v>
      </c>
      <c r="C2752" s="464"/>
      <c r="D2752" s="464" t="s">
        <v>1709</v>
      </c>
      <c r="E2752" s="464" t="s">
        <v>6845</v>
      </c>
      <c r="F2752" s="464" t="s">
        <v>6846</v>
      </c>
      <c r="G2752" s="464" t="s">
        <v>6847</v>
      </c>
      <c r="H2752" s="464" t="s">
        <v>6848</v>
      </c>
      <c r="I2752" s="464" t="s">
        <v>1684</v>
      </c>
    </row>
    <row r="2753" ht="15.95" customHeight="1">
      <c r="A2753" s="464" t="s">
        <v>6870</v>
      </c>
      <c r="B2753" s="464" t="s">
        <v>6871</v>
      </c>
      <c r="C2753" s="464"/>
      <c r="D2753" s="464" t="s">
        <v>1738</v>
      </c>
      <c r="E2753" s="464" t="s">
        <v>6872</v>
      </c>
      <c r="F2753" s="464" t="s">
        <v>6873</v>
      </c>
      <c r="G2753" s="464" t="s">
        <v>6847</v>
      </c>
      <c r="H2753" s="464" t="s">
        <v>6848</v>
      </c>
      <c r="I2753" s="464" t="s">
        <v>1684</v>
      </c>
    </row>
    <row r="2754" ht="15.95" customHeight="1">
      <c r="A2754" s="464" t="s">
        <v>6874</v>
      </c>
      <c r="B2754" s="464" t="s">
        <v>5757</v>
      </c>
      <c r="C2754" s="464"/>
      <c r="D2754" s="464" t="s">
        <v>1709</v>
      </c>
      <c r="E2754" s="464" t="s">
        <v>6872</v>
      </c>
      <c r="F2754" s="464" t="s">
        <v>6873</v>
      </c>
      <c r="G2754" s="464" t="s">
        <v>6847</v>
      </c>
      <c r="H2754" s="464" t="s">
        <v>6848</v>
      </c>
      <c r="I2754" s="464" t="s">
        <v>1684</v>
      </c>
    </row>
    <row r="2755" ht="15.95" customHeight="1">
      <c r="A2755" s="464" t="s">
        <v>6875</v>
      </c>
      <c r="B2755" s="464" t="s">
        <v>6876</v>
      </c>
      <c r="C2755" s="464"/>
      <c r="D2755" s="464" t="s">
        <v>1709</v>
      </c>
      <c r="E2755" s="464" t="s">
        <v>6872</v>
      </c>
      <c r="F2755" s="464" t="s">
        <v>6873</v>
      </c>
      <c r="G2755" s="464" t="s">
        <v>6847</v>
      </c>
      <c r="H2755" s="464" t="s">
        <v>6848</v>
      </c>
      <c r="I2755" s="464" t="s">
        <v>1684</v>
      </c>
    </row>
    <row r="2756" ht="15.95" customHeight="1">
      <c r="A2756" s="464" t="s">
        <v>6877</v>
      </c>
      <c r="B2756" s="464" t="s">
        <v>6878</v>
      </c>
      <c r="C2756" s="464"/>
      <c r="D2756" s="464" t="s">
        <v>1709</v>
      </c>
      <c r="E2756" s="464" t="s">
        <v>6872</v>
      </c>
      <c r="F2756" s="464" t="s">
        <v>6873</v>
      </c>
      <c r="G2756" s="464" t="s">
        <v>6847</v>
      </c>
      <c r="H2756" s="464" t="s">
        <v>6848</v>
      </c>
      <c r="I2756" s="464" t="s">
        <v>1684</v>
      </c>
    </row>
    <row r="2757" ht="15.95" customHeight="1">
      <c r="A2757" s="464" t="s">
        <v>6879</v>
      </c>
      <c r="B2757" s="464" t="s">
        <v>6880</v>
      </c>
      <c r="C2757" s="464"/>
      <c r="D2757" s="464" t="s">
        <v>1709</v>
      </c>
      <c r="E2757" s="464" t="s">
        <v>6872</v>
      </c>
      <c r="F2757" s="464" t="s">
        <v>6873</v>
      </c>
      <c r="G2757" s="464" t="s">
        <v>6847</v>
      </c>
      <c r="H2757" s="464" t="s">
        <v>6848</v>
      </c>
      <c r="I2757" s="464" t="s">
        <v>1684</v>
      </c>
    </row>
    <row r="2758" ht="15.95" customHeight="1">
      <c r="A2758" s="464" t="s">
        <v>6881</v>
      </c>
      <c r="B2758" s="464" t="s">
        <v>6882</v>
      </c>
      <c r="C2758" s="464"/>
      <c r="D2758" s="464" t="s">
        <v>1709</v>
      </c>
      <c r="E2758" s="464" t="s">
        <v>6872</v>
      </c>
      <c r="F2758" s="464" t="s">
        <v>6873</v>
      </c>
      <c r="G2758" s="464" t="s">
        <v>6847</v>
      </c>
      <c r="H2758" s="464" t="s">
        <v>6848</v>
      </c>
      <c r="I2758" s="464" t="s">
        <v>1684</v>
      </c>
    </row>
    <row r="2759" ht="15.95" customHeight="1">
      <c r="A2759" s="464" t="s">
        <v>6883</v>
      </c>
      <c r="B2759" s="464" t="s">
        <v>5681</v>
      </c>
      <c r="C2759" s="464"/>
      <c r="D2759" s="464" t="s">
        <v>1709</v>
      </c>
      <c r="E2759" s="464" t="s">
        <v>6872</v>
      </c>
      <c r="F2759" s="464" t="s">
        <v>6873</v>
      </c>
      <c r="G2759" s="464" t="s">
        <v>6847</v>
      </c>
      <c r="H2759" s="464" t="s">
        <v>6848</v>
      </c>
      <c r="I2759" s="464" t="s">
        <v>1684</v>
      </c>
    </row>
    <row r="2760" ht="15.95" customHeight="1">
      <c r="A2760" s="464" t="s">
        <v>6884</v>
      </c>
      <c r="B2760" s="464" t="s">
        <v>6885</v>
      </c>
      <c r="C2760" s="464"/>
      <c r="D2760" s="464" t="s">
        <v>1709</v>
      </c>
      <c r="E2760" s="464" t="s">
        <v>6872</v>
      </c>
      <c r="F2760" s="464" t="s">
        <v>6873</v>
      </c>
      <c r="G2760" s="464" t="s">
        <v>6847</v>
      </c>
      <c r="H2760" s="464" t="s">
        <v>6848</v>
      </c>
      <c r="I2760" s="464" t="s">
        <v>1684</v>
      </c>
    </row>
    <row r="2761" ht="15.95" customHeight="1">
      <c r="A2761" s="464" t="s">
        <v>6886</v>
      </c>
      <c r="B2761" s="464" t="s">
        <v>6887</v>
      </c>
      <c r="C2761" s="464"/>
      <c r="D2761" s="464" t="s">
        <v>1738</v>
      </c>
      <c r="E2761" s="464" t="s">
        <v>6888</v>
      </c>
      <c r="F2761" s="464" t="s">
        <v>6889</v>
      </c>
      <c r="G2761" s="464" t="s">
        <v>6847</v>
      </c>
      <c r="H2761" s="464" t="s">
        <v>6848</v>
      </c>
      <c r="I2761" s="464" t="s">
        <v>1684</v>
      </c>
    </row>
    <row r="2762" ht="15.95" customHeight="1">
      <c r="A2762" s="464" t="s">
        <v>6890</v>
      </c>
      <c r="B2762" s="464" t="s">
        <v>6891</v>
      </c>
      <c r="C2762" s="464"/>
      <c r="D2762" s="464" t="s">
        <v>1709</v>
      </c>
      <c r="E2762" s="464" t="s">
        <v>6888</v>
      </c>
      <c r="F2762" s="464" t="s">
        <v>6889</v>
      </c>
      <c r="G2762" s="464" t="s">
        <v>6847</v>
      </c>
      <c r="H2762" s="464" t="s">
        <v>6848</v>
      </c>
      <c r="I2762" s="464" t="s">
        <v>1684</v>
      </c>
    </row>
    <row r="2763" ht="15.95" customHeight="1">
      <c r="A2763" s="464" t="s">
        <v>6892</v>
      </c>
      <c r="B2763" s="464" t="s">
        <v>6893</v>
      </c>
      <c r="C2763" s="464" t="s">
        <v>6894</v>
      </c>
      <c r="D2763" s="464" t="s">
        <v>1709</v>
      </c>
      <c r="E2763" s="464" t="s">
        <v>6888</v>
      </c>
      <c r="F2763" s="464" t="s">
        <v>6889</v>
      </c>
      <c r="G2763" s="464" t="s">
        <v>6847</v>
      </c>
      <c r="H2763" s="464" t="s">
        <v>6848</v>
      </c>
      <c r="I2763" s="464" t="s">
        <v>1684</v>
      </c>
    </row>
    <row r="2764" ht="15.95" customHeight="1">
      <c r="A2764" s="464" t="s">
        <v>6895</v>
      </c>
      <c r="B2764" s="464" t="s">
        <v>6896</v>
      </c>
      <c r="C2764" s="464"/>
      <c r="D2764" s="464" t="s">
        <v>1709</v>
      </c>
      <c r="E2764" s="464" t="s">
        <v>6888</v>
      </c>
      <c r="F2764" s="464" t="s">
        <v>6889</v>
      </c>
      <c r="G2764" s="464" t="s">
        <v>6847</v>
      </c>
      <c r="H2764" s="464" t="s">
        <v>6848</v>
      </c>
      <c r="I2764" s="464" t="s">
        <v>1684</v>
      </c>
    </row>
    <row r="2765" ht="15.95" customHeight="1">
      <c r="A2765" s="464" t="s">
        <v>6897</v>
      </c>
      <c r="B2765" s="464" t="s">
        <v>6898</v>
      </c>
      <c r="C2765" s="464" t="s">
        <v>6899</v>
      </c>
      <c r="D2765" s="464" t="s">
        <v>1709</v>
      </c>
      <c r="E2765" s="464" t="s">
        <v>6888</v>
      </c>
      <c r="F2765" s="464" t="s">
        <v>6889</v>
      </c>
      <c r="G2765" s="464" t="s">
        <v>6847</v>
      </c>
      <c r="H2765" s="464" t="s">
        <v>6848</v>
      </c>
      <c r="I2765" s="464" t="s">
        <v>1684</v>
      </c>
    </row>
    <row r="2766" ht="15.95" customHeight="1">
      <c r="A2766" s="464" t="s">
        <v>6900</v>
      </c>
      <c r="B2766" s="464" t="s">
        <v>6901</v>
      </c>
      <c r="C2766" s="464"/>
      <c r="D2766" s="464" t="s">
        <v>1709</v>
      </c>
      <c r="E2766" s="464" t="s">
        <v>6888</v>
      </c>
      <c r="F2766" s="464" t="s">
        <v>6889</v>
      </c>
      <c r="G2766" s="464" t="s">
        <v>6847</v>
      </c>
      <c r="H2766" s="464" t="s">
        <v>6848</v>
      </c>
      <c r="I2766" s="464" t="s">
        <v>1684</v>
      </c>
    </row>
    <row r="2767" ht="15.95" customHeight="1">
      <c r="A2767" s="464" t="s">
        <v>6902</v>
      </c>
      <c r="B2767" s="464" t="s">
        <v>6903</v>
      </c>
      <c r="C2767" s="464"/>
      <c r="D2767" s="464" t="s">
        <v>1709</v>
      </c>
      <c r="E2767" s="464" t="s">
        <v>6888</v>
      </c>
      <c r="F2767" s="464" t="s">
        <v>6889</v>
      </c>
      <c r="G2767" s="464" t="s">
        <v>6847</v>
      </c>
      <c r="H2767" s="464" t="s">
        <v>6848</v>
      </c>
      <c r="I2767" s="464" t="s">
        <v>1684</v>
      </c>
    </row>
    <row r="2768" ht="15.95" customHeight="1">
      <c r="A2768" s="464" t="s">
        <v>6904</v>
      </c>
      <c r="B2768" s="464" t="s">
        <v>2697</v>
      </c>
      <c r="C2768" s="464"/>
      <c r="D2768" s="464" t="s">
        <v>1709</v>
      </c>
      <c r="E2768" s="464" t="s">
        <v>6888</v>
      </c>
      <c r="F2768" s="464" t="s">
        <v>6889</v>
      </c>
      <c r="G2768" s="464" t="s">
        <v>6847</v>
      </c>
      <c r="H2768" s="464" t="s">
        <v>6848</v>
      </c>
      <c r="I2768" s="464" t="s">
        <v>1684</v>
      </c>
    </row>
    <row r="2769" ht="15.95" customHeight="1">
      <c r="A2769" s="464" t="s">
        <v>6905</v>
      </c>
      <c r="B2769" s="464" t="s">
        <v>6906</v>
      </c>
      <c r="C2769" s="464"/>
      <c r="D2769" s="464" t="s">
        <v>1709</v>
      </c>
      <c r="E2769" s="464" t="s">
        <v>6888</v>
      </c>
      <c r="F2769" s="464" t="s">
        <v>6889</v>
      </c>
      <c r="G2769" s="464" t="s">
        <v>6847</v>
      </c>
      <c r="H2769" s="464" t="s">
        <v>6848</v>
      </c>
      <c r="I2769" s="464" t="s">
        <v>1684</v>
      </c>
    </row>
    <row r="2770" ht="15.95" customHeight="1">
      <c r="A2770" s="464" t="s">
        <v>6907</v>
      </c>
      <c r="B2770" s="464" t="s">
        <v>5291</v>
      </c>
      <c r="C2770" s="464"/>
      <c r="D2770" s="464" t="s">
        <v>1709</v>
      </c>
      <c r="E2770" s="464" t="s">
        <v>6888</v>
      </c>
      <c r="F2770" s="464" t="s">
        <v>6889</v>
      </c>
      <c r="G2770" s="464" t="s">
        <v>6847</v>
      </c>
      <c r="H2770" s="464" t="s">
        <v>6848</v>
      </c>
      <c r="I2770" s="464" t="s">
        <v>1684</v>
      </c>
    </row>
    <row r="2771" ht="15.95" customHeight="1">
      <c r="A2771" s="464" t="s">
        <v>6908</v>
      </c>
      <c r="B2771" s="464" t="s">
        <v>6909</v>
      </c>
      <c r="C2771" s="464"/>
      <c r="D2771" s="464" t="s">
        <v>1709</v>
      </c>
      <c r="E2771" s="464" t="s">
        <v>6888</v>
      </c>
      <c r="F2771" s="464" t="s">
        <v>6889</v>
      </c>
      <c r="G2771" s="464" t="s">
        <v>6847</v>
      </c>
      <c r="H2771" s="464" t="s">
        <v>6848</v>
      </c>
      <c r="I2771" s="464" t="s">
        <v>1684</v>
      </c>
    </row>
    <row r="2772" ht="15.95" customHeight="1">
      <c r="A2772" s="464" t="s">
        <v>6910</v>
      </c>
      <c r="B2772" s="464" t="s">
        <v>6911</v>
      </c>
      <c r="C2772" s="464"/>
      <c r="D2772" s="464" t="s">
        <v>1709</v>
      </c>
      <c r="E2772" s="464" t="s">
        <v>6888</v>
      </c>
      <c r="F2772" s="464" t="s">
        <v>6889</v>
      </c>
      <c r="G2772" s="464" t="s">
        <v>6847</v>
      </c>
      <c r="H2772" s="464" t="s">
        <v>6848</v>
      </c>
      <c r="I2772" s="464" t="s">
        <v>1684</v>
      </c>
    </row>
    <row r="2773" ht="15.95" customHeight="1">
      <c r="A2773" s="464" t="s">
        <v>6912</v>
      </c>
      <c r="B2773" s="464" t="s">
        <v>6913</v>
      </c>
      <c r="C2773" s="464"/>
      <c r="D2773" s="464" t="s">
        <v>1738</v>
      </c>
      <c r="E2773" s="464" t="s">
        <v>6914</v>
      </c>
      <c r="F2773" s="464" t="s">
        <v>6915</v>
      </c>
      <c r="G2773" s="464" t="s">
        <v>6847</v>
      </c>
      <c r="H2773" s="464" t="s">
        <v>6848</v>
      </c>
      <c r="I2773" s="464" t="s">
        <v>1684</v>
      </c>
    </row>
    <row r="2774" ht="15.95" customHeight="1">
      <c r="A2774" s="464" t="s">
        <v>6916</v>
      </c>
      <c r="B2774" s="464" t="s">
        <v>6917</v>
      </c>
      <c r="C2774" s="464"/>
      <c r="D2774" s="464" t="s">
        <v>1738</v>
      </c>
      <c r="E2774" s="464" t="s">
        <v>6914</v>
      </c>
      <c r="F2774" s="464" t="s">
        <v>6915</v>
      </c>
      <c r="G2774" s="464" t="s">
        <v>6847</v>
      </c>
      <c r="H2774" s="464" t="s">
        <v>6848</v>
      </c>
      <c r="I2774" s="464" t="s">
        <v>1684</v>
      </c>
    </row>
    <row r="2775" ht="15.95" customHeight="1">
      <c r="A2775" s="464" t="s">
        <v>6918</v>
      </c>
      <c r="B2775" s="464" t="s">
        <v>6919</v>
      </c>
      <c r="C2775" s="464"/>
      <c r="D2775" s="464" t="s">
        <v>1709</v>
      </c>
      <c r="E2775" s="464" t="s">
        <v>6914</v>
      </c>
      <c r="F2775" s="464" t="s">
        <v>6915</v>
      </c>
      <c r="G2775" s="464" t="s">
        <v>6847</v>
      </c>
      <c r="H2775" s="464" t="s">
        <v>6848</v>
      </c>
      <c r="I2775" s="464" t="s">
        <v>1684</v>
      </c>
    </row>
    <row r="2776" ht="15.95" customHeight="1">
      <c r="A2776" s="464" t="s">
        <v>6920</v>
      </c>
      <c r="B2776" s="464" t="s">
        <v>6921</v>
      </c>
      <c r="C2776" s="464"/>
      <c r="D2776" s="464" t="s">
        <v>1709</v>
      </c>
      <c r="E2776" s="464" t="s">
        <v>6914</v>
      </c>
      <c r="F2776" s="464" t="s">
        <v>6915</v>
      </c>
      <c r="G2776" s="464" t="s">
        <v>6847</v>
      </c>
      <c r="H2776" s="464" t="s">
        <v>6848</v>
      </c>
      <c r="I2776" s="464" t="s">
        <v>1684</v>
      </c>
    </row>
    <row r="2777" ht="15.95" customHeight="1">
      <c r="A2777" s="464" t="s">
        <v>6922</v>
      </c>
      <c r="B2777" s="464" t="s">
        <v>6923</v>
      </c>
      <c r="C2777" s="464"/>
      <c r="D2777" s="464" t="s">
        <v>1709</v>
      </c>
      <c r="E2777" s="464" t="s">
        <v>6914</v>
      </c>
      <c r="F2777" s="464" t="s">
        <v>6915</v>
      </c>
      <c r="G2777" s="464" t="s">
        <v>6847</v>
      </c>
      <c r="H2777" s="464" t="s">
        <v>6848</v>
      </c>
      <c r="I2777" s="464" t="s">
        <v>1684</v>
      </c>
    </row>
    <row r="2778" ht="15.95" customHeight="1">
      <c r="A2778" s="464" t="s">
        <v>6924</v>
      </c>
      <c r="B2778" s="464" t="s">
        <v>6925</v>
      </c>
      <c r="C2778" s="464" t="s">
        <v>6926</v>
      </c>
      <c r="D2778" s="464" t="s">
        <v>1709</v>
      </c>
      <c r="E2778" s="464" t="s">
        <v>6914</v>
      </c>
      <c r="F2778" s="464" t="s">
        <v>6915</v>
      </c>
      <c r="G2778" s="464" t="s">
        <v>6847</v>
      </c>
      <c r="H2778" s="464" t="s">
        <v>6848</v>
      </c>
      <c r="I2778" s="464" t="s">
        <v>1684</v>
      </c>
    </row>
    <row r="2779" ht="15.95" customHeight="1">
      <c r="A2779" s="464" t="s">
        <v>6927</v>
      </c>
      <c r="B2779" s="464" t="s">
        <v>5685</v>
      </c>
      <c r="C2779" s="464"/>
      <c r="D2779" s="464" t="s">
        <v>1709</v>
      </c>
      <c r="E2779" s="464" t="s">
        <v>6914</v>
      </c>
      <c r="F2779" s="464" t="s">
        <v>6915</v>
      </c>
      <c r="G2779" s="464" t="s">
        <v>6847</v>
      </c>
      <c r="H2779" s="464" t="s">
        <v>6848</v>
      </c>
      <c r="I2779" s="464" t="s">
        <v>1684</v>
      </c>
    </row>
    <row r="2780" ht="15.95" customHeight="1">
      <c r="A2780" s="464" t="s">
        <v>6928</v>
      </c>
      <c r="B2780" s="464" t="s">
        <v>4103</v>
      </c>
      <c r="C2780" s="464"/>
      <c r="D2780" s="464" t="s">
        <v>1709</v>
      </c>
      <c r="E2780" s="464" t="s">
        <v>6914</v>
      </c>
      <c r="F2780" s="464" t="s">
        <v>6915</v>
      </c>
      <c r="G2780" s="464" t="s">
        <v>6847</v>
      </c>
      <c r="H2780" s="464" t="s">
        <v>6848</v>
      </c>
      <c r="I2780" s="464" t="s">
        <v>1684</v>
      </c>
    </row>
    <row r="2781" ht="15.95" customHeight="1">
      <c r="A2781" s="464" t="s">
        <v>6929</v>
      </c>
      <c r="B2781" s="464" t="s">
        <v>6930</v>
      </c>
      <c r="C2781" s="464"/>
      <c r="D2781" s="464" t="s">
        <v>1709</v>
      </c>
      <c r="E2781" s="464" t="s">
        <v>6914</v>
      </c>
      <c r="F2781" s="464" t="s">
        <v>6915</v>
      </c>
      <c r="G2781" s="464" t="s">
        <v>6847</v>
      </c>
      <c r="H2781" s="464" t="s">
        <v>6848</v>
      </c>
      <c r="I2781" s="464" t="s">
        <v>1684</v>
      </c>
    </row>
    <row r="2782" ht="15.95" customHeight="1">
      <c r="A2782" s="464" t="s">
        <v>6931</v>
      </c>
      <c r="B2782" s="464" t="s">
        <v>6932</v>
      </c>
      <c r="C2782" s="464"/>
      <c r="D2782" s="464" t="s">
        <v>1709</v>
      </c>
      <c r="E2782" s="464" t="s">
        <v>6914</v>
      </c>
      <c r="F2782" s="464" t="s">
        <v>6915</v>
      </c>
      <c r="G2782" s="464" t="s">
        <v>6847</v>
      </c>
      <c r="H2782" s="464" t="s">
        <v>6848</v>
      </c>
      <c r="I2782" s="464" t="s">
        <v>1684</v>
      </c>
    </row>
    <row r="2783" ht="15.95" customHeight="1">
      <c r="A2783" s="464" t="s">
        <v>6933</v>
      </c>
      <c r="B2783" s="464" t="s">
        <v>6934</v>
      </c>
      <c r="C2783" s="464"/>
      <c r="D2783" s="464" t="s">
        <v>1709</v>
      </c>
      <c r="E2783" s="464" t="s">
        <v>6914</v>
      </c>
      <c r="F2783" s="464" t="s">
        <v>6915</v>
      </c>
      <c r="G2783" s="464" t="s">
        <v>6847</v>
      </c>
      <c r="H2783" s="464" t="s">
        <v>6848</v>
      </c>
      <c r="I2783" s="464" t="s">
        <v>1684</v>
      </c>
    </row>
    <row r="2784" ht="15.95" customHeight="1">
      <c r="A2784" s="464" t="s">
        <v>6935</v>
      </c>
      <c r="B2784" s="464" t="s">
        <v>6936</v>
      </c>
      <c r="C2784" s="464" t="s">
        <v>6937</v>
      </c>
      <c r="D2784" s="464" t="s">
        <v>1709</v>
      </c>
      <c r="E2784" s="464" t="s">
        <v>6914</v>
      </c>
      <c r="F2784" s="464" t="s">
        <v>6915</v>
      </c>
      <c r="G2784" s="464" t="s">
        <v>6847</v>
      </c>
      <c r="H2784" s="464" t="s">
        <v>6848</v>
      </c>
      <c r="I2784" s="464" t="s">
        <v>1684</v>
      </c>
    </row>
    <row r="2785" ht="15.95" customHeight="1">
      <c r="A2785" s="464" t="s">
        <v>6938</v>
      </c>
      <c r="B2785" s="464" t="s">
        <v>6939</v>
      </c>
      <c r="C2785" s="464"/>
      <c r="D2785" s="464" t="s">
        <v>1709</v>
      </c>
      <c r="E2785" s="464" t="s">
        <v>6914</v>
      </c>
      <c r="F2785" s="464" t="s">
        <v>6915</v>
      </c>
      <c r="G2785" s="464" t="s">
        <v>6847</v>
      </c>
      <c r="H2785" s="464" t="s">
        <v>6848</v>
      </c>
      <c r="I2785" s="464" t="s">
        <v>1684</v>
      </c>
    </row>
    <row r="2786" ht="15.95" customHeight="1">
      <c r="A2786" s="464" t="s">
        <v>6940</v>
      </c>
      <c r="B2786" s="464" t="s">
        <v>6941</v>
      </c>
      <c r="C2786" s="464"/>
      <c r="D2786" s="464" t="s">
        <v>1738</v>
      </c>
      <c r="E2786" s="464" t="s">
        <v>6942</v>
      </c>
      <c r="F2786" s="464" t="s">
        <v>6943</v>
      </c>
      <c r="G2786" s="464" t="s">
        <v>6847</v>
      </c>
      <c r="H2786" s="464" t="s">
        <v>6848</v>
      </c>
      <c r="I2786" s="464" t="s">
        <v>1684</v>
      </c>
    </row>
    <row r="2787" ht="15.95" customHeight="1">
      <c r="A2787" s="464" t="s">
        <v>6944</v>
      </c>
      <c r="B2787" s="464" t="s">
        <v>3162</v>
      </c>
      <c r="C2787" s="464" t="s">
        <v>6945</v>
      </c>
      <c r="D2787" s="464" t="s">
        <v>1709</v>
      </c>
      <c r="E2787" s="464" t="s">
        <v>6942</v>
      </c>
      <c r="F2787" s="464" t="s">
        <v>6943</v>
      </c>
      <c r="G2787" s="464" t="s">
        <v>6847</v>
      </c>
      <c r="H2787" s="464" t="s">
        <v>6848</v>
      </c>
      <c r="I2787" s="464" t="s">
        <v>1684</v>
      </c>
    </row>
    <row r="2788" ht="15.95" customHeight="1">
      <c r="A2788" s="464" t="s">
        <v>6946</v>
      </c>
      <c r="B2788" s="464" t="s">
        <v>6947</v>
      </c>
      <c r="C2788" s="464"/>
      <c r="D2788" s="464" t="s">
        <v>1709</v>
      </c>
      <c r="E2788" s="464" t="s">
        <v>6942</v>
      </c>
      <c r="F2788" s="464" t="s">
        <v>6943</v>
      </c>
      <c r="G2788" s="464" t="s">
        <v>6847</v>
      </c>
      <c r="H2788" s="464" t="s">
        <v>6848</v>
      </c>
      <c r="I2788" s="464" t="s">
        <v>1684</v>
      </c>
    </row>
    <row r="2789" ht="15.95" customHeight="1">
      <c r="A2789" s="464" t="s">
        <v>6948</v>
      </c>
      <c r="B2789" s="464" t="s">
        <v>4725</v>
      </c>
      <c r="C2789" s="464"/>
      <c r="D2789" s="464" t="s">
        <v>1709</v>
      </c>
      <c r="E2789" s="464" t="s">
        <v>6942</v>
      </c>
      <c r="F2789" s="464" t="s">
        <v>6943</v>
      </c>
      <c r="G2789" s="464" t="s">
        <v>6847</v>
      </c>
      <c r="H2789" s="464" t="s">
        <v>6848</v>
      </c>
      <c r="I2789" s="464" t="s">
        <v>1684</v>
      </c>
    </row>
    <row r="2790" ht="15.95" customHeight="1">
      <c r="A2790" s="464" t="s">
        <v>6949</v>
      </c>
      <c r="B2790" s="464" t="s">
        <v>2532</v>
      </c>
      <c r="C2790" s="464"/>
      <c r="D2790" s="464" t="s">
        <v>1709</v>
      </c>
      <c r="E2790" s="464" t="s">
        <v>6942</v>
      </c>
      <c r="F2790" s="464" t="s">
        <v>6943</v>
      </c>
      <c r="G2790" s="464" t="s">
        <v>6847</v>
      </c>
      <c r="H2790" s="464" t="s">
        <v>6848</v>
      </c>
      <c r="I2790" s="464" t="s">
        <v>1684</v>
      </c>
    </row>
    <row r="2791" ht="15.95" customHeight="1">
      <c r="A2791" s="464" t="s">
        <v>6950</v>
      </c>
      <c r="B2791" s="464" t="s">
        <v>5100</v>
      </c>
      <c r="C2791" s="464"/>
      <c r="D2791" s="464" t="s">
        <v>1709</v>
      </c>
      <c r="E2791" s="464" t="s">
        <v>6942</v>
      </c>
      <c r="F2791" s="464" t="s">
        <v>6943</v>
      </c>
      <c r="G2791" s="464" t="s">
        <v>6847</v>
      </c>
      <c r="H2791" s="464" t="s">
        <v>6848</v>
      </c>
      <c r="I2791" s="464" t="s">
        <v>1684</v>
      </c>
    </row>
    <row r="2792" ht="15.95" customHeight="1">
      <c r="A2792" s="464" t="s">
        <v>6951</v>
      </c>
      <c r="B2792" s="464" t="s">
        <v>6455</v>
      </c>
      <c r="C2792" s="464" t="s">
        <v>6952</v>
      </c>
      <c r="D2792" s="464" t="s">
        <v>1709</v>
      </c>
      <c r="E2792" s="464" t="s">
        <v>6942</v>
      </c>
      <c r="F2792" s="464" t="s">
        <v>6943</v>
      </c>
      <c r="G2792" s="464" t="s">
        <v>6847</v>
      </c>
      <c r="H2792" s="464" t="s">
        <v>6848</v>
      </c>
      <c r="I2792" s="464" t="s">
        <v>1684</v>
      </c>
    </row>
    <row r="2793" ht="15.95" customHeight="1">
      <c r="A2793" s="464" t="s">
        <v>6953</v>
      </c>
      <c r="B2793" s="464" t="s">
        <v>6120</v>
      </c>
      <c r="C2793" s="464" t="s">
        <v>6954</v>
      </c>
      <c r="D2793" s="464" t="s">
        <v>1709</v>
      </c>
      <c r="E2793" s="464" t="s">
        <v>6942</v>
      </c>
      <c r="F2793" s="464" t="s">
        <v>6943</v>
      </c>
      <c r="G2793" s="464" t="s">
        <v>6847</v>
      </c>
      <c r="H2793" s="464" t="s">
        <v>6848</v>
      </c>
      <c r="I2793" s="464" t="s">
        <v>1684</v>
      </c>
    </row>
    <row r="2794" ht="15.95" customHeight="1">
      <c r="A2794" s="464" t="s">
        <v>6955</v>
      </c>
      <c r="B2794" s="464" t="s">
        <v>6956</v>
      </c>
      <c r="C2794" s="464"/>
      <c r="D2794" s="464" t="s">
        <v>1709</v>
      </c>
      <c r="E2794" s="464" t="s">
        <v>6942</v>
      </c>
      <c r="F2794" s="464" t="s">
        <v>6943</v>
      </c>
      <c r="G2794" s="464" t="s">
        <v>6847</v>
      </c>
      <c r="H2794" s="464" t="s">
        <v>6848</v>
      </c>
      <c r="I2794" s="464" t="s">
        <v>1684</v>
      </c>
    </row>
    <row r="2795" ht="15.95" customHeight="1">
      <c r="A2795" s="464" t="s">
        <v>6957</v>
      </c>
      <c r="B2795" s="464" t="s">
        <v>6958</v>
      </c>
      <c r="C2795" s="464"/>
      <c r="D2795" s="464" t="s">
        <v>1709</v>
      </c>
      <c r="E2795" s="464" t="s">
        <v>6942</v>
      </c>
      <c r="F2795" s="464" t="s">
        <v>6943</v>
      </c>
      <c r="G2795" s="464" t="s">
        <v>6847</v>
      </c>
      <c r="H2795" s="464" t="s">
        <v>6848</v>
      </c>
      <c r="I2795" s="464" t="s">
        <v>1684</v>
      </c>
    </row>
    <row r="2796" ht="15.95" customHeight="1">
      <c r="A2796" s="464" t="s">
        <v>6959</v>
      </c>
      <c r="B2796" s="464" t="s">
        <v>6960</v>
      </c>
      <c r="C2796" s="464"/>
      <c r="D2796" s="464" t="s">
        <v>1709</v>
      </c>
      <c r="E2796" s="464" t="s">
        <v>6942</v>
      </c>
      <c r="F2796" s="464" t="s">
        <v>6943</v>
      </c>
      <c r="G2796" s="464" t="s">
        <v>6847</v>
      </c>
      <c r="H2796" s="464" t="s">
        <v>6848</v>
      </c>
      <c r="I2796" s="464" t="s">
        <v>1684</v>
      </c>
    </row>
    <row r="2797" ht="15.95" customHeight="1">
      <c r="A2797" s="464" t="s">
        <v>6961</v>
      </c>
      <c r="B2797" s="464" t="s">
        <v>6962</v>
      </c>
      <c r="C2797" s="464"/>
      <c r="D2797" s="464" t="s">
        <v>1738</v>
      </c>
      <c r="E2797" s="464" t="s">
        <v>6963</v>
      </c>
      <c r="F2797" s="464" t="s">
        <v>6964</v>
      </c>
      <c r="G2797" s="464" t="s">
        <v>6847</v>
      </c>
      <c r="H2797" s="464" t="s">
        <v>6848</v>
      </c>
      <c r="I2797" s="464" t="s">
        <v>1684</v>
      </c>
    </row>
    <row r="2798" ht="15.95" customHeight="1">
      <c r="A2798" s="464" t="s">
        <v>6965</v>
      </c>
      <c r="B2798" s="464" t="s">
        <v>6966</v>
      </c>
      <c r="C2798" s="464"/>
      <c r="D2798" s="464" t="s">
        <v>1709</v>
      </c>
      <c r="E2798" s="464" t="s">
        <v>6963</v>
      </c>
      <c r="F2798" s="464" t="s">
        <v>6964</v>
      </c>
      <c r="G2798" s="464" t="s">
        <v>6847</v>
      </c>
      <c r="H2798" s="464" t="s">
        <v>6848</v>
      </c>
      <c r="I2798" s="464" t="s">
        <v>1684</v>
      </c>
    </row>
    <row r="2799" ht="15.95" customHeight="1">
      <c r="A2799" s="464" t="s">
        <v>6967</v>
      </c>
      <c r="B2799" s="464" t="s">
        <v>6968</v>
      </c>
      <c r="C2799" s="464"/>
      <c r="D2799" s="464" t="s">
        <v>1709</v>
      </c>
      <c r="E2799" s="464" t="s">
        <v>6963</v>
      </c>
      <c r="F2799" s="464" t="s">
        <v>6964</v>
      </c>
      <c r="G2799" s="464" t="s">
        <v>6847</v>
      </c>
      <c r="H2799" s="464" t="s">
        <v>6848</v>
      </c>
      <c r="I2799" s="464" t="s">
        <v>1684</v>
      </c>
    </row>
    <row r="2800" ht="15.95" customHeight="1">
      <c r="A2800" s="464" t="s">
        <v>6969</v>
      </c>
      <c r="B2800" s="464" t="s">
        <v>6970</v>
      </c>
      <c r="C2800" s="464"/>
      <c r="D2800" s="464" t="s">
        <v>1709</v>
      </c>
      <c r="E2800" s="464" t="s">
        <v>6963</v>
      </c>
      <c r="F2800" s="464" t="s">
        <v>6964</v>
      </c>
      <c r="G2800" s="464" t="s">
        <v>6847</v>
      </c>
      <c r="H2800" s="464" t="s">
        <v>6848</v>
      </c>
      <c r="I2800" s="464" t="s">
        <v>1684</v>
      </c>
    </row>
    <row r="2801" ht="15.95" customHeight="1">
      <c r="A2801" s="464" t="s">
        <v>6971</v>
      </c>
      <c r="B2801" s="464" t="s">
        <v>4444</v>
      </c>
      <c r="C2801" s="464" t="s">
        <v>6972</v>
      </c>
      <c r="D2801" s="464" t="s">
        <v>1709</v>
      </c>
      <c r="E2801" s="464" t="s">
        <v>6963</v>
      </c>
      <c r="F2801" s="464" t="s">
        <v>6964</v>
      </c>
      <c r="G2801" s="464" t="s">
        <v>6847</v>
      </c>
      <c r="H2801" s="464" t="s">
        <v>6848</v>
      </c>
      <c r="I2801" s="464" t="s">
        <v>1684</v>
      </c>
    </row>
    <row r="2802" ht="15.95" customHeight="1">
      <c r="A2802" s="464" t="s">
        <v>6973</v>
      </c>
      <c r="B2802" s="464" t="s">
        <v>2082</v>
      </c>
      <c r="C2802" s="464"/>
      <c r="D2802" s="464" t="s">
        <v>1709</v>
      </c>
      <c r="E2802" s="464" t="s">
        <v>6963</v>
      </c>
      <c r="F2802" s="464" t="s">
        <v>6964</v>
      </c>
      <c r="G2802" s="464" t="s">
        <v>6847</v>
      </c>
      <c r="H2802" s="464" t="s">
        <v>6848</v>
      </c>
      <c r="I2802" s="464" t="s">
        <v>1684</v>
      </c>
    </row>
    <row r="2803" ht="15.95" customHeight="1">
      <c r="A2803" s="464" t="s">
        <v>6974</v>
      </c>
      <c r="B2803" s="464" t="s">
        <v>2010</v>
      </c>
      <c r="C2803" s="464"/>
      <c r="D2803" s="464" t="s">
        <v>1709</v>
      </c>
      <c r="E2803" s="464" t="s">
        <v>6963</v>
      </c>
      <c r="F2803" s="464" t="s">
        <v>6964</v>
      </c>
      <c r="G2803" s="464" t="s">
        <v>6847</v>
      </c>
      <c r="H2803" s="464" t="s">
        <v>6848</v>
      </c>
      <c r="I2803" s="464" t="s">
        <v>1684</v>
      </c>
    </row>
    <row r="2804" ht="15.95" customHeight="1">
      <c r="A2804" s="464" t="s">
        <v>6975</v>
      </c>
      <c r="B2804" s="464" t="s">
        <v>6976</v>
      </c>
      <c r="C2804" s="464"/>
      <c r="D2804" s="464" t="s">
        <v>1709</v>
      </c>
      <c r="E2804" s="464" t="s">
        <v>6963</v>
      </c>
      <c r="F2804" s="464" t="s">
        <v>6964</v>
      </c>
      <c r="G2804" s="464" t="s">
        <v>6847</v>
      </c>
      <c r="H2804" s="464" t="s">
        <v>6848</v>
      </c>
      <c r="I2804" s="464" t="s">
        <v>1684</v>
      </c>
    </row>
    <row r="2805" ht="15.95" customHeight="1">
      <c r="A2805" s="464" t="s">
        <v>6977</v>
      </c>
      <c r="B2805" s="464" t="s">
        <v>6978</v>
      </c>
      <c r="C2805" s="464"/>
      <c r="D2805" s="464" t="s">
        <v>1709</v>
      </c>
      <c r="E2805" s="464" t="s">
        <v>6963</v>
      </c>
      <c r="F2805" s="464" t="s">
        <v>6964</v>
      </c>
      <c r="G2805" s="464" t="s">
        <v>6847</v>
      </c>
      <c r="H2805" s="464" t="s">
        <v>6848</v>
      </c>
      <c r="I2805" s="464" t="s">
        <v>1684</v>
      </c>
    </row>
    <row r="2806" ht="15.95" customHeight="1">
      <c r="A2806" s="464" t="s">
        <v>6979</v>
      </c>
      <c r="B2806" s="464" t="s">
        <v>6980</v>
      </c>
      <c r="C2806" s="464" t="s">
        <v>6981</v>
      </c>
      <c r="D2806" s="464" t="s">
        <v>1709</v>
      </c>
      <c r="E2806" s="464" t="s">
        <v>6963</v>
      </c>
      <c r="F2806" s="464" t="s">
        <v>6964</v>
      </c>
      <c r="G2806" s="464" t="s">
        <v>6847</v>
      </c>
      <c r="H2806" s="464" t="s">
        <v>6848</v>
      </c>
      <c r="I2806" s="464" t="s">
        <v>1684</v>
      </c>
    </row>
    <row r="2807" ht="15.95" customHeight="1">
      <c r="A2807" s="464" t="s">
        <v>6982</v>
      </c>
      <c r="B2807" s="464" t="s">
        <v>1878</v>
      </c>
      <c r="C2807" s="464"/>
      <c r="D2807" s="464" t="s">
        <v>1709</v>
      </c>
      <c r="E2807" s="464" t="s">
        <v>6963</v>
      </c>
      <c r="F2807" s="464" t="s">
        <v>6964</v>
      </c>
      <c r="G2807" s="464" t="s">
        <v>6847</v>
      </c>
      <c r="H2807" s="464" t="s">
        <v>6848</v>
      </c>
      <c r="I2807" s="464" t="s">
        <v>1684</v>
      </c>
    </row>
    <row r="2808" ht="15.95" customHeight="1">
      <c r="A2808" s="464" t="s">
        <v>6983</v>
      </c>
      <c r="B2808" s="464" t="s">
        <v>6984</v>
      </c>
      <c r="C2808" s="464"/>
      <c r="D2808" s="464" t="s">
        <v>1709</v>
      </c>
      <c r="E2808" s="464" t="s">
        <v>6963</v>
      </c>
      <c r="F2808" s="464" t="s">
        <v>6964</v>
      </c>
      <c r="G2808" s="464" t="s">
        <v>6847</v>
      </c>
      <c r="H2808" s="464" t="s">
        <v>6848</v>
      </c>
      <c r="I2808" s="464" t="s">
        <v>1684</v>
      </c>
    </row>
    <row r="2809" ht="15.95" customHeight="1">
      <c r="A2809" s="464" t="s">
        <v>6985</v>
      </c>
      <c r="B2809" s="464" t="s">
        <v>6986</v>
      </c>
      <c r="C2809" s="464"/>
      <c r="D2809" s="464" t="s">
        <v>1709</v>
      </c>
      <c r="E2809" s="464" t="s">
        <v>6963</v>
      </c>
      <c r="F2809" s="464" t="s">
        <v>6964</v>
      </c>
      <c r="G2809" s="464" t="s">
        <v>6847</v>
      </c>
      <c r="H2809" s="464" t="s">
        <v>6848</v>
      </c>
      <c r="I2809" s="464" t="s">
        <v>1684</v>
      </c>
    </row>
    <row r="2810" ht="15.95" customHeight="1">
      <c r="A2810" s="464" t="s">
        <v>6987</v>
      </c>
      <c r="B2810" s="464" t="s">
        <v>6988</v>
      </c>
      <c r="C2810" s="464"/>
      <c r="D2810" s="464" t="s">
        <v>1709</v>
      </c>
      <c r="E2810" s="464" t="s">
        <v>6963</v>
      </c>
      <c r="F2810" s="464" t="s">
        <v>6964</v>
      </c>
      <c r="G2810" s="464" t="s">
        <v>6847</v>
      </c>
      <c r="H2810" s="464" t="s">
        <v>6848</v>
      </c>
      <c r="I2810" s="464" t="s">
        <v>1684</v>
      </c>
    </row>
    <row r="2811" ht="15.95" customHeight="1">
      <c r="A2811" s="464" t="s">
        <v>6989</v>
      </c>
      <c r="B2811" s="464" t="s">
        <v>6990</v>
      </c>
      <c r="C2811" s="464" t="s">
        <v>6991</v>
      </c>
      <c r="D2811" s="464" t="s">
        <v>1709</v>
      </c>
      <c r="E2811" s="464" t="s">
        <v>6963</v>
      </c>
      <c r="F2811" s="464" t="s">
        <v>6964</v>
      </c>
      <c r="G2811" s="464" t="s">
        <v>6847</v>
      </c>
      <c r="H2811" s="464" t="s">
        <v>6848</v>
      </c>
      <c r="I2811" s="464" t="s">
        <v>1684</v>
      </c>
    </row>
    <row r="2812" ht="15.95" customHeight="1">
      <c r="A2812" s="464" t="s">
        <v>6992</v>
      </c>
      <c r="B2812" s="464" t="s">
        <v>6993</v>
      </c>
      <c r="C2812" s="464"/>
      <c r="D2812" s="464" t="s">
        <v>1709</v>
      </c>
      <c r="E2812" s="464" t="s">
        <v>6963</v>
      </c>
      <c r="F2812" s="464" t="s">
        <v>6964</v>
      </c>
      <c r="G2812" s="464" t="s">
        <v>6847</v>
      </c>
      <c r="H2812" s="464" t="s">
        <v>6848</v>
      </c>
      <c r="I2812" s="464" t="s">
        <v>1684</v>
      </c>
    </row>
    <row r="2813" ht="15.95" customHeight="1">
      <c r="A2813" s="464" t="s">
        <v>6994</v>
      </c>
      <c r="B2813" s="464" t="s">
        <v>6995</v>
      </c>
      <c r="C2813" s="464"/>
      <c r="D2813" s="464" t="s">
        <v>1738</v>
      </c>
      <c r="E2813" s="464" t="s">
        <v>6996</v>
      </c>
      <c r="F2813" s="464" t="s">
        <v>6997</v>
      </c>
      <c r="G2813" s="464" t="s">
        <v>6847</v>
      </c>
      <c r="H2813" s="464" t="s">
        <v>6848</v>
      </c>
      <c r="I2813" s="464" t="s">
        <v>1684</v>
      </c>
    </row>
    <row r="2814" ht="15.95" customHeight="1">
      <c r="A2814" s="464" t="s">
        <v>6998</v>
      </c>
      <c r="B2814" s="464" t="s">
        <v>6999</v>
      </c>
      <c r="C2814" s="464"/>
      <c r="D2814" s="464" t="s">
        <v>1709</v>
      </c>
      <c r="E2814" s="464" t="s">
        <v>6996</v>
      </c>
      <c r="F2814" s="464" t="s">
        <v>6997</v>
      </c>
      <c r="G2814" s="464" t="s">
        <v>6847</v>
      </c>
      <c r="H2814" s="464" t="s">
        <v>6848</v>
      </c>
      <c r="I2814" s="464" t="s">
        <v>1684</v>
      </c>
    </row>
    <row r="2815" ht="15.95" customHeight="1">
      <c r="A2815" s="464" t="s">
        <v>7000</v>
      </c>
      <c r="B2815" s="464" t="s">
        <v>7001</v>
      </c>
      <c r="C2815" s="464"/>
      <c r="D2815" s="464" t="s">
        <v>1709</v>
      </c>
      <c r="E2815" s="464" t="s">
        <v>6996</v>
      </c>
      <c r="F2815" s="464" t="s">
        <v>6997</v>
      </c>
      <c r="G2815" s="464" t="s">
        <v>6847</v>
      </c>
      <c r="H2815" s="464" t="s">
        <v>6848</v>
      </c>
      <c r="I2815" s="464" t="s">
        <v>1684</v>
      </c>
    </row>
    <row r="2816" ht="15.95" customHeight="1">
      <c r="A2816" s="464" t="s">
        <v>7002</v>
      </c>
      <c r="B2816" s="464" t="s">
        <v>7003</v>
      </c>
      <c r="C2816" s="464"/>
      <c r="D2816" s="464" t="s">
        <v>1709</v>
      </c>
      <c r="E2816" s="464" t="s">
        <v>6996</v>
      </c>
      <c r="F2816" s="464" t="s">
        <v>6997</v>
      </c>
      <c r="G2816" s="464" t="s">
        <v>6847</v>
      </c>
      <c r="H2816" s="464" t="s">
        <v>6848</v>
      </c>
      <c r="I2816" s="464" t="s">
        <v>1684</v>
      </c>
    </row>
    <row r="2817" ht="15.95" customHeight="1">
      <c r="A2817" s="464" t="s">
        <v>7004</v>
      </c>
      <c r="B2817" s="464" t="s">
        <v>7005</v>
      </c>
      <c r="C2817" s="464" t="s">
        <v>7006</v>
      </c>
      <c r="D2817" s="464" t="s">
        <v>1709</v>
      </c>
      <c r="E2817" s="464" t="s">
        <v>6996</v>
      </c>
      <c r="F2817" s="464" t="s">
        <v>6997</v>
      </c>
      <c r="G2817" s="464" t="s">
        <v>6847</v>
      </c>
      <c r="H2817" s="464" t="s">
        <v>6848</v>
      </c>
      <c r="I2817" s="464" t="s">
        <v>1684</v>
      </c>
    </row>
    <row r="2818" ht="15.95" customHeight="1">
      <c r="A2818" s="464" t="s">
        <v>7007</v>
      </c>
      <c r="B2818" s="464" t="s">
        <v>7008</v>
      </c>
      <c r="C2818" s="464"/>
      <c r="D2818" s="464" t="s">
        <v>1709</v>
      </c>
      <c r="E2818" s="464" t="s">
        <v>6996</v>
      </c>
      <c r="F2818" s="464" t="s">
        <v>6997</v>
      </c>
      <c r="G2818" s="464" t="s">
        <v>6847</v>
      </c>
      <c r="H2818" s="464" t="s">
        <v>6848</v>
      </c>
      <c r="I2818" s="464" t="s">
        <v>1684</v>
      </c>
    </row>
    <row r="2819" ht="15.95" customHeight="1">
      <c r="A2819" s="464" t="s">
        <v>7009</v>
      </c>
      <c r="B2819" s="464" t="s">
        <v>7010</v>
      </c>
      <c r="C2819" s="464"/>
      <c r="D2819" s="464" t="s">
        <v>1709</v>
      </c>
      <c r="E2819" s="464" t="s">
        <v>6996</v>
      </c>
      <c r="F2819" s="464" t="s">
        <v>6997</v>
      </c>
      <c r="G2819" s="464" t="s">
        <v>6847</v>
      </c>
      <c r="H2819" s="464" t="s">
        <v>6848</v>
      </c>
      <c r="I2819" s="464" t="s">
        <v>1684</v>
      </c>
    </row>
    <row r="2820" ht="15.95" customHeight="1">
      <c r="A2820" s="464" t="s">
        <v>7011</v>
      </c>
      <c r="B2820" s="464" t="s">
        <v>7012</v>
      </c>
      <c r="C2820" s="464"/>
      <c r="D2820" s="464" t="s">
        <v>1709</v>
      </c>
      <c r="E2820" s="464" t="s">
        <v>6996</v>
      </c>
      <c r="F2820" s="464" t="s">
        <v>6997</v>
      </c>
      <c r="G2820" s="464" t="s">
        <v>6847</v>
      </c>
      <c r="H2820" s="464" t="s">
        <v>6848</v>
      </c>
      <c r="I2820" s="464" t="s">
        <v>1684</v>
      </c>
    </row>
    <row r="2821" ht="15.95" customHeight="1">
      <c r="A2821" s="464" t="s">
        <v>7013</v>
      </c>
      <c r="B2821" s="464" t="s">
        <v>7014</v>
      </c>
      <c r="C2821" s="464"/>
      <c r="D2821" s="464" t="s">
        <v>1738</v>
      </c>
      <c r="E2821" s="464" t="s">
        <v>7015</v>
      </c>
      <c r="F2821" s="464" t="s">
        <v>5730</v>
      </c>
      <c r="G2821" s="464" t="s">
        <v>6847</v>
      </c>
      <c r="H2821" s="464" t="s">
        <v>6848</v>
      </c>
      <c r="I2821" s="464" t="s">
        <v>1684</v>
      </c>
    </row>
    <row r="2822" ht="15.95" customHeight="1">
      <c r="A2822" s="464" t="s">
        <v>7016</v>
      </c>
      <c r="B2822" s="464" t="s">
        <v>4870</v>
      </c>
      <c r="C2822" s="464" t="s">
        <v>7017</v>
      </c>
      <c r="D2822" s="464" t="s">
        <v>1709</v>
      </c>
      <c r="E2822" s="464" t="s">
        <v>7015</v>
      </c>
      <c r="F2822" s="464" t="s">
        <v>5730</v>
      </c>
      <c r="G2822" s="464" t="s">
        <v>6847</v>
      </c>
      <c r="H2822" s="464" t="s">
        <v>6848</v>
      </c>
      <c r="I2822" s="464" t="s">
        <v>1684</v>
      </c>
    </row>
    <row r="2823" ht="15.95" customHeight="1">
      <c r="A2823" s="464" t="s">
        <v>7018</v>
      </c>
      <c r="B2823" s="464" t="s">
        <v>4480</v>
      </c>
      <c r="C2823" s="464"/>
      <c r="D2823" s="464" t="s">
        <v>1709</v>
      </c>
      <c r="E2823" s="464" t="s">
        <v>7015</v>
      </c>
      <c r="F2823" s="464" t="s">
        <v>5730</v>
      </c>
      <c r="G2823" s="464" t="s">
        <v>6847</v>
      </c>
      <c r="H2823" s="464" t="s">
        <v>6848</v>
      </c>
      <c r="I2823" s="464" t="s">
        <v>1684</v>
      </c>
    </row>
    <row r="2824" ht="15.95" customHeight="1">
      <c r="A2824" s="464" t="s">
        <v>7019</v>
      </c>
      <c r="B2824" s="464" t="s">
        <v>3177</v>
      </c>
      <c r="C2824" s="464"/>
      <c r="D2824" s="464" t="s">
        <v>1709</v>
      </c>
      <c r="E2824" s="464" t="s">
        <v>7015</v>
      </c>
      <c r="F2824" s="464" t="s">
        <v>5730</v>
      </c>
      <c r="G2824" s="464" t="s">
        <v>6847</v>
      </c>
      <c r="H2824" s="464" t="s">
        <v>6848</v>
      </c>
      <c r="I2824" s="464" t="s">
        <v>1684</v>
      </c>
    </row>
    <row r="2825" ht="15.95" customHeight="1">
      <c r="A2825" s="464" t="s">
        <v>7020</v>
      </c>
      <c r="B2825" s="464" t="s">
        <v>1764</v>
      </c>
      <c r="C2825" s="464"/>
      <c r="D2825" s="464" t="s">
        <v>1709</v>
      </c>
      <c r="E2825" s="464" t="s">
        <v>7015</v>
      </c>
      <c r="F2825" s="464" t="s">
        <v>5730</v>
      </c>
      <c r="G2825" s="464" t="s">
        <v>6847</v>
      </c>
      <c r="H2825" s="464" t="s">
        <v>6848</v>
      </c>
      <c r="I2825" s="464" t="s">
        <v>1684</v>
      </c>
    </row>
    <row r="2826" ht="15.95" customHeight="1">
      <c r="A2826" s="464" t="s">
        <v>7021</v>
      </c>
      <c r="B2826" s="464" t="s">
        <v>7022</v>
      </c>
      <c r="C2826" s="464"/>
      <c r="D2826" s="464" t="s">
        <v>1709</v>
      </c>
      <c r="E2826" s="464" t="s">
        <v>7015</v>
      </c>
      <c r="F2826" s="464" t="s">
        <v>5730</v>
      </c>
      <c r="G2826" s="464" t="s">
        <v>6847</v>
      </c>
      <c r="H2826" s="464" t="s">
        <v>6848</v>
      </c>
      <c r="I2826" s="464" t="s">
        <v>1684</v>
      </c>
    </row>
    <row r="2827" ht="15.95" customHeight="1">
      <c r="A2827" s="464" t="s">
        <v>7023</v>
      </c>
      <c r="B2827" s="464" t="s">
        <v>7024</v>
      </c>
      <c r="C2827" s="464"/>
      <c r="D2827" s="464" t="s">
        <v>1709</v>
      </c>
      <c r="E2827" s="464" t="s">
        <v>7015</v>
      </c>
      <c r="F2827" s="464" t="s">
        <v>5730</v>
      </c>
      <c r="G2827" s="464" t="s">
        <v>6847</v>
      </c>
      <c r="H2827" s="464" t="s">
        <v>6848</v>
      </c>
      <c r="I2827" s="464" t="s">
        <v>1684</v>
      </c>
    </row>
    <row r="2828" ht="15.95" customHeight="1">
      <c r="A2828" s="464" t="s">
        <v>7025</v>
      </c>
      <c r="B2828" s="464" t="s">
        <v>7026</v>
      </c>
      <c r="C2828" s="464" t="s">
        <v>7027</v>
      </c>
      <c r="D2828" s="464" t="s">
        <v>1709</v>
      </c>
      <c r="E2828" s="464" t="s">
        <v>7015</v>
      </c>
      <c r="F2828" s="464" t="s">
        <v>5730</v>
      </c>
      <c r="G2828" s="464" t="s">
        <v>6847</v>
      </c>
      <c r="H2828" s="464" t="s">
        <v>6848</v>
      </c>
      <c r="I2828" s="464" t="s">
        <v>1684</v>
      </c>
    </row>
    <row r="2829" ht="15.95" customHeight="1">
      <c r="A2829" s="464" t="s">
        <v>7028</v>
      </c>
      <c r="B2829" s="464" t="s">
        <v>7029</v>
      </c>
      <c r="C2829" s="464"/>
      <c r="D2829" s="464" t="s">
        <v>1709</v>
      </c>
      <c r="E2829" s="464" t="s">
        <v>7015</v>
      </c>
      <c r="F2829" s="464" t="s">
        <v>5730</v>
      </c>
      <c r="G2829" s="464" t="s">
        <v>6847</v>
      </c>
      <c r="H2829" s="464" t="s">
        <v>6848</v>
      </c>
      <c r="I2829" s="464" t="s">
        <v>1684</v>
      </c>
    </row>
    <row r="2830" ht="15.95" customHeight="1">
      <c r="A2830" s="464" t="s">
        <v>7030</v>
      </c>
      <c r="B2830" s="464" t="s">
        <v>7031</v>
      </c>
      <c r="C2830" s="464"/>
      <c r="D2830" s="464" t="s">
        <v>1709</v>
      </c>
      <c r="E2830" s="464" t="s">
        <v>7032</v>
      </c>
      <c r="F2830" s="464" t="s">
        <v>7033</v>
      </c>
      <c r="G2830" s="464" t="s">
        <v>6847</v>
      </c>
      <c r="H2830" s="464" t="s">
        <v>6848</v>
      </c>
      <c r="I2830" s="464" t="s">
        <v>1684</v>
      </c>
    </row>
    <row r="2831" ht="15.95" customHeight="1">
      <c r="A2831" s="464" t="s">
        <v>7034</v>
      </c>
      <c r="B2831" s="464" t="s">
        <v>7035</v>
      </c>
      <c r="C2831" s="464"/>
      <c r="D2831" s="464" t="s">
        <v>1709</v>
      </c>
      <c r="E2831" s="464" t="s">
        <v>7032</v>
      </c>
      <c r="F2831" s="464" t="s">
        <v>7033</v>
      </c>
      <c r="G2831" s="464" t="s">
        <v>6847</v>
      </c>
      <c r="H2831" s="464" t="s">
        <v>6848</v>
      </c>
      <c r="I2831" s="464" t="s">
        <v>1684</v>
      </c>
    </row>
    <row r="2832" ht="15.95" customHeight="1">
      <c r="A2832" s="464" t="s">
        <v>7036</v>
      </c>
      <c r="B2832" s="464" t="s">
        <v>7037</v>
      </c>
      <c r="C2832" s="464"/>
      <c r="D2832" s="464" t="s">
        <v>1709</v>
      </c>
      <c r="E2832" s="464" t="s">
        <v>7032</v>
      </c>
      <c r="F2832" s="464" t="s">
        <v>7033</v>
      </c>
      <c r="G2832" s="464" t="s">
        <v>6847</v>
      </c>
      <c r="H2832" s="464" t="s">
        <v>6848</v>
      </c>
      <c r="I2832" s="464" t="s">
        <v>1684</v>
      </c>
    </row>
    <row r="2833" ht="15.95" customHeight="1">
      <c r="A2833" s="464" t="s">
        <v>7038</v>
      </c>
      <c r="B2833" s="464" t="s">
        <v>6714</v>
      </c>
      <c r="C2833" s="464"/>
      <c r="D2833" s="464" t="s">
        <v>1709</v>
      </c>
      <c r="E2833" s="464" t="s">
        <v>7032</v>
      </c>
      <c r="F2833" s="464" t="s">
        <v>7033</v>
      </c>
      <c r="G2833" s="464" t="s">
        <v>6847</v>
      </c>
      <c r="H2833" s="464" t="s">
        <v>6848</v>
      </c>
      <c r="I2833" s="464" t="s">
        <v>1684</v>
      </c>
    </row>
    <row r="2834" ht="15.95" customHeight="1">
      <c r="A2834" s="464" t="s">
        <v>7039</v>
      </c>
      <c r="B2834" s="464" t="s">
        <v>7040</v>
      </c>
      <c r="C2834" s="464"/>
      <c r="D2834" s="464" t="s">
        <v>1738</v>
      </c>
      <c r="E2834" s="464" t="s">
        <v>7032</v>
      </c>
      <c r="F2834" s="464" t="s">
        <v>7033</v>
      </c>
      <c r="G2834" s="464" t="s">
        <v>6847</v>
      </c>
      <c r="H2834" s="464" t="s">
        <v>6848</v>
      </c>
      <c r="I2834" s="464" t="s">
        <v>1684</v>
      </c>
    </row>
    <row r="2835" ht="15.95" customHeight="1">
      <c r="A2835" s="464" t="s">
        <v>7041</v>
      </c>
      <c r="B2835" s="464" t="s">
        <v>4337</v>
      </c>
      <c r="C2835" s="464"/>
      <c r="D2835" s="464" t="s">
        <v>1709</v>
      </c>
      <c r="E2835" s="464" t="s">
        <v>7032</v>
      </c>
      <c r="F2835" s="464" t="s">
        <v>7033</v>
      </c>
      <c r="G2835" s="464" t="s">
        <v>6847</v>
      </c>
      <c r="H2835" s="464" t="s">
        <v>6848</v>
      </c>
      <c r="I2835" s="464" t="s">
        <v>1684</v>
      </c>
    </row>
    <row r="2836" ht="15.95" customHeight="1">
      <c r="A2836" s="464" t="s">
        <v>7042</v>
      </c>
      <c r="B2836" s="464" t="s">
        <v>7043</v>
      </c>
      <c r="C2836" s="464"/>
      <c r="D2836" s="464" t="s">
        <v>1709</v>
      </c>
      <c r="E2836" s="464" t="s">
        <v>7032</v>
      </c>
      <c r="F2836" s="464" t="s">
        <v>7033</v>
      </c>
      <c r="G2836" s="464" t="s">
        <v>6847</v>
      </c>
      <c r="H2836" s="464" t="s">
        <v>6848</v>
      </c>
      <c r="I2836" s="464" t="s">
        <v>1684</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1420</v>
      </c>
      <c r="B1" s="520" t="s">
        <v>1421</v>
      </c>
      <c r="C1" s="520" t="s">
        <v>1422</v>
      </c>
      <c r="D1" s="520" t="s">
        <v>1423</v>
      </c>
      <c r="E1" s="520" t="s">
        <v>1424</v>
      </c>
      <c r="F1" s="521" t="s">
        <v>1425</v>
      </c>
      <c r="G1" s="352"/>
      <c r="H1" s="522" t="s">
        <v>1426</v>
      </c>
      <c r="I1" s="353"/>
      <c r="J1" s="523" t="s">
        <v>1305</v>
      </c>
      <c r="K1" s="354"/>
      <c r="L1" s="524" t="s">
        <v>1427</v>
      </c>
      <c r="M1" s="355"/>
      <c r="N1" s="525" t="s">
        <v>1428</v>
      </c>
      <c r="O1" s="356"/>
      <c r="P1" s="357"/>
      <c r="Q1" s="357"/>
      <c r="R1" s="332"/>
      <c r="S1" s="332"/>
      <c r="T1" s="332"/>
      <c r="U1" s="332"/>
      <c r="V1" s="332"/>
      <c r="W1" s="332"/>
      <c r="X1" s="358"/>
      <c r="Y1" s="520" t="s">
        <v>1429</v>
      </c>
      <c r="Z1" s="359"/>
      <c r="AA1" s="332"/>
      <c r="AB1" s="332"/>
      <c r="AC1" s="352"/>
      <c r="AD1" s="526" t="s">
        <v>1430</v>
      </c>
      <c r="AE1" s="527" t="s">
        <v>1431</v>
      </c>
      <c r="AF1" s="528" t="s">
        <v>1432</v>
      </c>
      <c r="AG1" s="528" t="s">
        <v>1433</v>
      </c>
      <c r="AH1" s="529" t="s">
        <v>1434</v>
      </c>
      <c r="AI1" s="360"/>
      <c r="AJ1" s="526" t="s">
        <v>1435</v>
      </c>
      <c r="AK1" s="352"/>
      <c r="AL1" s="530" t="s">
        <v>1436</v>
      </c>
      <c r="AM1" s="531" t="s">
        <v>1437</v>
      </c>
      <c r="AN1" s="530" t="s">
        <v>1438</v>
      </c>
      <c r="AO1" s="531" t="s">
        <v>1439</v>
      </c>
      <c r="AP1" s="530" t="s">
        <v>1440</v>
      </c>
      <c r="AQ1" s="364"/>
      <c r="AR1" s="363"/>
      <c r="AS1" s="365"/>
      <c r="AT1" s="532" t="s">
        <v>1441</v>
      </c>
      <c r="AU1" s="532" t="s">
        <v>1442</v>
      </c>
      <c r="AV1" s="532" t="s">
        <v>1443</v>
      </c>
      <c r="AW1" s="533" t="s">
        <v>1444</v>
      </c>
      <c r="AX1" s="365"/>
      <c r="AY1" s="365"/>
      <c r="AZ1" s="530" t="s">
        <v>1445</v>
      </c>
      <c r="BB1" s="534" t="s">
        <v>1446</v>
      </c>
      <c r="BC1" s="535" t="s">
        <v>536</v>
      </c>
      <c r="BD1" s="366"/>
      <c r="BE1" s="536" t="s">
        <v>1447</v>
      </c>
      <c r="BF1" s="536" t="s">
        <v>1448</v>
      </c>
    </row>
    <row r="2" s="372" customFormat="1">
      <c r="A2" s="333"/>
      <c r="B2" s="367" t="s">
        <v>1449</v>
      </c>
      <c r="C2" s="367" t="s">
        <v>1450</v>
      </c>
      <c r="D2" s="367"/>
      <c r="E2" s="367" t="s">
        <v>1451</v>
      </c>
      <c r="F2" s="367" t="s">
        <v>1449</v>
      </c>
      <c r="G2" s="367" t="s">
        <v>1452</v>
      </c>
      <c r="H2" s="368" t="s">
        <v>1449</v>
      </c>
      <c r="I2" s="367" t="s">
        <v>1452</v>
      </c>
      <c r="J2" s="368" t="s">
        <v>1449</v>
      </c>
      <c r="K2" s="367" t="s">
        <v>1452</v>
      </c>
      <c r="L2" s="367" t="s">
        <v>1449</v>
      </c>
      <c r="M2" s="367" t="s">
        <v>1452</v>
      </c>
      <c r="N2" s="367" t="s">
        <v>1449</v>
      </c>
      <c r="O2" s="367" t="s">
        <v>1452</v>
      </c>
      <c r="P2" s="367"/>
      <c r="Q2" s="367"/>
      <c r="R2" s="367"/>
      <c r="S2" s="367"/>
      <c r="T2" s="367"/>
      <c r="U2" s="367"/>
      <c r="V2" s="367"/>
      <c r="W2" s="367"/>
      <c r="X2" s="369"/>
      <c r="Y2" s="367"/>
      <c r="Z2" s="367"/>
      <c r="AA2" s="367"/>
      <c r="AB2" s="367"/>
      <c r="AC2" s="367"/>
      <c r="AD2" s="367"/>
      <c r="AE2" s="370" t="s">
        <v>1450</v>
      </c>
      <c r="AF2" s="368" t="s">
        <v>1453</v>
      </c>
      <c r="AG2" s="368" t="s">
        <v>1451</v>
      </c>
      <c r="AH2" s="371" t="s">
        <v>1454</v>
      </c>
      <c r="AI2" s="367"/>
      <c r="AJ2" s="367"/>
      <c r="AK2" s="367"/>
      <c r="AL2" s="367" t="s">
        <v>1450</v>
      </c>
      <c r="AM2" s="368" t="s">
        <v>1455</v>
      </c>
      <c r="AN2" s="367" t="s">
        <v>1455</v>
      </c>
      <c r="AO2" s="368" t="s">
        <v>1451</v>
      </c>
      <c r="AP2" s="367"/>
      <c r="AQ2" s="368"/>
      <c r="AR2" s="367"/>
      <c r="AS2" s="367"/>
      <c r="AT2" s="367"/>
      <c r="AU2" s="367"/>
      <c r="AV2" s="367"/>
      <c r="AW2" s="370"/>
      <c r="AX2" s="367"/>
      <c r="AY2" s="367"/>
      <c r="AZ2" s="367"/>
      <c r="BB2" s="373"/>
      <c r="BC2" s="374"/>
      <c r="BD2" s="375"/>
      <c r="BE2" s="373"/>
      <c r="BF2" s="373"/>
      <c r="BH2" s="376"/>
    </row>
    <row r="3">
      <c r="A3" s="333" t="s">
        <v>1456</v>
      </c>
      <c r="B3" s="335" t="s">
        <v>1457</v>
      </c>
      <c r="C3" s="334" t="s">
        <v>1458</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1456</v>
      </c>
      <c r="Z3" s="333"/>
      <c r="AA3" s="333"/>
      <c r="AB3" s="333"/>
      <c r="AC3" s="379"/>
      <c r="AD3" s="380" t="s">
        <v>1459</v>
      </c>
      <c r="AE3" s="342" t="s">
        <v>1458</v>
      </c>
      <c r="AF3" s="335">
        <v>2.57</v>
      </c>
      <c r="AG3" s="335">
        <v>17.8</v>
      </c>
      <c r="AH3" s="337">
        <v>0</v>
      </c>
      <c r="AI3" s="335"/>
      <c r="AJ3" s="381" t="s">
        <v>1460</v>
      </c>
      <c r="AK3" s="382"/>
      <c r="AL3" s="332" t="s">
        <v>1458</v>
      </c>
      <c r="AM3" s="335">
        <v>11.5</v>
      </c>
      <c r="AN3" s="335">
        <v>3.67</v>
      </c>
      <c r="AO3" s="335">
        <f>0.1*2</f>
        <v>0.2</v>
      </c>
      <c r="AP3" s="383" t="s">
        <v>1461</v>
      </c>
      <c r="AQ3" s="335"/>
      <c r="AR3" s="383"/>
      <c r="AS3" s="365"/>
      <c r="AT3" s="384" t="s">
        <v>1462</v>
      </c>
      <c r="AU3" s="385" t="s">
        <v>1463</v>
      </c>
      <c r="AV3" s="385" t="s">
        <v>1464</v>
      </c>
      <c r="AW3" s="384" t="s">
        <v>1462</v>
      </c>
      <c r="AX3" s="365"/>
      <c r="AY3" s="365"/>
      <c r="AZ3" s="385" t="s">
        <v>1465</v>
      </c>
      <c r="BB3" s="384">
        <v>1</v>
      </c>
      <c r="BC3" s="386"/>
      <c r="BD3" s="387"/>
      <c r="BE3" s="384" t="s">
        <v>1466</v>
      </c>
      <c r="BF3" s="384" t="s">
        <v>1466</v>
      </c>
    </row>
    <row r="4">
      <c r="A4" s="333" t="s">
        <v>1456</v>
      </c>
      <c r="B4" s="335" t="s">
        <v>1457</v>
      </c>
      <c r="C4" s="334" t="s">
        <v>1458</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1467</v>
      </c>
      <c r="Z4" s="333"/>
      <c r="AA4" s="333"/>
      <c r="AB4" s="333"/>
      <c r="AC4" s="379"/>
      <c r="AD4" s="380" t="s">
        <v>1460</v>
      </c>
      <c r="AE4" s="342" t="s">
        <v>1468</v>
      </c>
      <c r="AF4" s="335">
        <v>1.31</v>
      </c>
      <c r="AG4" s="335">
        <v>17.6</v>
      </c>
      <c r="AH4" s="337">
        <v>0</v>
      </c>
      <c r="AI4" s="335"/>
      <c r="AJ4" s="381" t="s">
        <v>1459</v>
      </c>
      <c r="AK4" s="382"/>
      <c r="AL4" s="334" t="s">
        <v>1314</v>
      </c>
      <c r="AM4" s="335">
        <v>16.6</v>
      </c>
      <c r="AN4" s="335">
        <v>6.3</v>
      </c>
      <c r="AO4" s="335">
        <v>0.2</v>
      </c>
      <c r="AP4" s="383" t="s">
        <v>1461</v>
      </c>
      <c r="AQ4" s="335"/>
      <c r="AR4" s="383"/>
      <c r="AS4" s="365"/>
      <c r="AT4" s="384" t="s">
        <v>1469</v>
      </c>
      <c r="AU4" s="385" t="s">
        <v>1314</v>
      </c>
      <c r="AV4" s="385" t="s">
        <v>1470</v>
      </c>
      <c r="AW4" s="384" t="s">
        <v>1469</v>
      </c>
      <c r="AX4" s="365"/>
      <c r="AY4" s="365"/>
      <c r="AZ4" s="385" t="s">
        <v>1465</v>
      </c>
      <c r="BB4" s="384">
        <v>2</v>
      </c>
      <c r="BC4" s="386"/>
      <c r="BD4" s="387"/>
      <c r="BE4" s="384" t="s">
        <v>1471</v>
      </c>
      <c r="BF4" s="384" t="s">
        <v>1471</v>
      </c>
    </row>
    <row r="5">
      <c r="A5" s="333" t="s">
        <v>1456</v>
      </c>
      <c r="B5" s="335" t="s">
        <v>1457</v>
      </c>
      <c r="C5" s="334" t="s">
        <v>1458</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1472</v>
      </c>
      <c r="Z5" s="333"/>
      <c r="AA5" s="333"/>
      <c r="AB5" s="333"/>
      <c r="AC5" s="379"/>
      <c r="AD5" s="380" t="s">
        <v>1460</v>
      </c>
      <c r="AE5" s="383" t="s">
        <v>1314</v>
      </c>
      <c r="AF5" s="335">
        <v>1.31</v>
      </c>
      <c r="AG5" s="335">
        <v>18</v>
      </c>
      <c r="AH5" s="337">
        <v>0</v>
      </c>
      <c r="AI5" s="335"/>
      <c r="AJ5" s="389" t="s">
        <v>1473</v>
      </c>
      <c r="AK5" s="390"/>
      <c r="AL5" s="334" t="s">
        <v>1458</v>
      </c>
      <c r="AM5" s="335">
        <v>11.6</v>
      </c>
      <c r="AN5" s="335">
        <v>3.95</v>
      </c>
      <c r="AO5" s="335">
        <f ref="AO5:AO12" t="shared" si="5">0.1*2</f>
        <v>0.2</v>
      </c>
      <c r="AP5" s="385" t="s">
        <v>1465</v>
      </c>
      <c r="AQ5" s="335"/>
      <c r="AR5" s="385"/>
      <c r="AS5" s="365"/>
      <c r="AT5" s="384" t="s">
        <v>1469</v>
      </c>
      <c r="AU5" s="385" t="s">
        <v>1474</v>
      </c>
      <c r="AV5" s="385" t="s">
        <v>1475</v>
      </c>
      <c r="AW5" s="384" t="s">
        <v>1476</v>
      </c>
      <c r="AX5" s="365"/>
      <c r="AY5" s="365"/>
      <c r="AZ5" s="385" t="s">
        <v>1465</v>
      </c>
      <c r="BB5" s="384" t="s">
        <v>1477</v>
      </c>
      <c r="BC5" s="386"/>
      <c r="BD5" s="387"/>
      <c r="BE5" s="384" t="s">
        <v>1478</v>
      </c>
      <c r="BF5" s="384" t="s">
        <v>1478</v>
      </c>
    </row>
    <row r="6">
      <c r="A6" s="333" t="s">
        <v>1456</v>
      </c>
      <c r="B6" s="335" t="s">
        <v>1457</v>
      </c>
      <c r="C6" s="334" t="s">
        <v>1458</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1479</v>
      </c>
      <c r="Z6" s="333"/>
      <c r="AA6" s="333"/>
      <c r="AB6" s="333"/>
      <c r="AC6" s="379"/>
      <c r="AD6" s="384" t="s">
        <v>1473</v>
      </c>
      <c r="AE6" s="385" t="s">
        <v>1480</v>
      </c>
      <c r="AF6" s="392">
        <v>1.92</v>
      </c>
      <c r="AG6" s="392">
        <v>16.4</v>
      </c>
      <c r="AH6" s="337">
        <v>0</v>
      </c>
      <c r="AI6" s="392"/>
      <c r="AJ6" s="389" t="s">
        <v>1481</v>
      </c>
      <c r="AK6" s="390"/>
      <c r="AL6" s="334" t="s">
        <v>1468</v>
      </c>
      <c r="AM6" s="335">
        <v>16.6</v>
      </c>
      <c r="AN6" s="335">
        <v>5.75</v>
      </c>
      <c r="AO6" s="335">
        <f t="shared" si="5"/>
        <v>0.2</v>
      </c>
      <c r="AP6" s="385" t="s">
        <v>1465</v>
      </c>
      <c r="AQ6" s="335"/>
      <c r="AR6" s="385"/>
      <c r="AS6" s="365"/>
      <c r="AT6" s="384" t="s">
        <v>1476</v>
      </c>
      <c r="AU6" s="385" t="s">
        <v>1468</v>
      </c>
      <c r="AV6" s="385" t="s">
        <v>1464</v>
      </c>
      <c r="AW6" s="384" t="s">
        <v>1482</v>
      </c>
      <c r="AX6" s="365"/>
      <c r="AY6" s="365"/>
      <c r="AZ6" s="385" t="s">
        <v>1465</v>
      </c>
      <c r="BB6" s="384" t="s">
        <v>1483</v>
      </c>
      <c r="BC6" s="384"/>
      <c r="BD6" s="365"/>
      <c r="BE6" s="384" t="s">
        <v>1484</v>
      </c>
      <c r="BF6" s="384" t="s">
        <v>1484</v>
      </c>
      <c r="BI6" s="393"/>
    </row>
    <row r="7">
      <c r="A7" s="333" t="s">
        <v>1456</v>
      </c>
      <c r="B7" s="335" t="s">
        <v>1457</v>
      </c>
      <c r="C7" s="334" t="s">
        <v>1468</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1485</v>
      </c>
      <c r="Z7" s="333"/>
      <c r="AA7" s="333"/>
      <c r="AB7" s="333"/>
      <c r="AC7" s="379"/>
      <c r="AD7" s="384" t="s">
        <v>1486</v>
      </c>
      <c r="AE7" s="385" t="s">
        <v>1480</v>
      </c>
      <c r="AF7" s="392">
        <v>2.45</v>
      </c>
      <c r="AG7" s="392">
        <v>16.9</v>
      </c>
      <c r="AH7" s="337">
        <v>0</v>
      </c>
      <c r="AI7" s="392"/>
      <c r="AJ7" s="389" t="s">
        <v>1486</v>
      </c>
      <c r="AK7" s="390"/>
      <c r="AL7" s="332" t="s">
        <v>1314</v>
      </c>
      <c r="AM7" s="394">
        <v>18.1</v>
      </c>
      <c r="AN7" s="383">
        <v>6.78</v>
      </c>
      <c r="AO7" s="394">
        <f t="shared" si="5"/>
        <v>0.2</v>
      </c>
      <c r="AP7" s="385" t="s">
        <v>1465</v>
      </c>
      <c r="AQ7" s="394"/>
      <c r="AR7" s="385"/>
      <c r="AS7" s="365"/>
      <c r="AT7" s="384" t="s">
        <v>1476</v>
      </c>
      <c r="AU7" s="385" t="s">
        <v>1458</v>
      </c>
      <c r="AV7" s="385" t="s">
        <v>1475</v>
      </c>
      <c r="AW7" s="384" t="s">
        <v>1487</v>
      </c>
      <c r="AX7" s="365"/>
      <c r="AY7" s="365"/>
      <c r="AZ7" s="385" t="s">
        <v>1465</v>
      </c>
      <c r="BB7" s="384">
        <v>3</v>
      </c>
      <c r="BC7" s="386"/>
      <c r="BD7" s="387"/>
      <c r="BE7" s="384" t="s">
        <v>1488</v>
      </c>
      <c r="BF7" s="384" t="s">
        <v>1488</v>
      </c>
      <c r="BH7" s="395"/>
      <c r="BI7" s="393"/>
    </row>
    <row r="8">
      <c r="A8" s="333" t="s">
        <v>1456</v>
      </c>
      <c r="B8" s="335" t="s">
        <v>1457</v>
      </c>
      <c r="C8" s="334" t="s">
        <v>1468</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1489</v>
      </c>
      <c r="Z8" s="391"/>
      <c r="AA8" s="359"/>
      <c r="AB8" s="359"/>
      <c r="AC8" s="379"/>
      <c r="AD8" s="380" t="s">
        <v>1490</v>
      </c>
      <c r="AE8" s="342" t="s">
        <v>1458</v>
      </c>
      <c r="AF8" s="335">
        <v>2.44</v>
      </c>
      <c r="AG8" s="335">
        <v>17.9</v>
      </c>
      <c r="AH8" s="337">
        <v>3</v>
      </c>
      <c r="AI8" s="335"/>
      <c r="AJ8" s="381" t="s">
        <v>1490</v>
      </c>
      <c r="AK8" s="390"/>
      <c r="AL8" s="385" t="s">
        <v>1480</v>
      </c>
      <c r="AM8" s="335">
        <v>16.6</v>
      </c>
      <c r="AN8" s="335">
        <v>5.75</v>
      </c>
      <c r="AO8" s="335">
        <f t="shared" si="5"/>
        <v>0.2</v>
      </c>
      <c r="AP8" s="385" t="s">
        <v>1465</v>
      </c>
      <c r="AQ8" s="335"/>
      <c r="AR8" s="385"/>
      <c r="AS8" s="365"/>
      <c r="AT8" s="384" t="s">
        <v>1476</v>
      </c>
      <c r="AU8" s="385" t="s">
        <v>1480</v>
      </c>
      <c r="AV8" s="385" t="s">
        <v>1491</v>
      </c>
      <c r="AW8" s="384" t="s">
        <v>1492</v>
      </c>
      <c r="AX8" s="365"/>
      <c r="AY8" s="365"/>
      <c r="AZ8" s="385" t="s">
        <v>1465</v>
      </c>
      <c r="BB8" s="384">
        <v>4</v>
      </c>
      <c r="BC8" s="384" t="s">
        <v>1493</v>
      </c>
      <c r="BD8" s="365"/>
      <c r="BE8" s="384" t="s">
        <v>1494</v>
      </c>
      <c r="BF8" s="384" t="s">
        <v>1494</v>
      </c>
      <c r="BH8" s="395"/>
      <c r="BI8" s="393"/>
    </row>
    <row r="9" ht="21">
      <c r="A9" s="333" t="s">
        <v>1456</v>
      </c>
      <c r="B9" s="335" t="s">
        <v>1457</v>
      </c>
      <c r="C9" s="334" t="s">
        <v>1468</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1495</v>
      </c>
      <c r="Z9" s="391"/>
      <c r="AA9" s="359"/>
      <c r="AB9" s="359"/>
      <c r="AC9" s="379"/>
      <c r="AD9" s="380" t="s">
        <v>1496</v>
      </c>
      <c r="AE9" s="342" t="s">
        <v>1458</v>
      </c>
      <c r="AF9" s="335">
        <v>2.44</v>
      </c>
      <c r="AG9" s="335">
        <v>16.8</v>
      </c>
      <c r="AH9" s="337">
        <v>0</v>
      </c>
      <c r="AI9" s="335"/>
      <c r="AJ9" s="396" t="s">
        <v>1497</v>
      </c>
      <c r="AK9" s="390"/>
      <c r="AL9" s="334" t="s">
        <v>1498</v>
      </c>
      <c r="AM9" s="394">
        <v>18.1</v>
      </c>
      <c r="AN9" s="383">
        <v>6.78</v>
      </c>
      <c r="AO9" s="394">
        <f t="shared" si="5"/>
        <v>0.2</v>
      </c>
      <c r="AP9" s="385" t="s">
        <v>1465</v>
      </c>
      <c r="AQ9" s="335"/>
      <c r="AR9" s="385"/>
      <c r="AS9" s="365"/>
      <c r="AT9" s="384" t="s">
        <v>1482</v>
      </c>
      <c r="AU9" s="385" t="s">
        <v>1468</v>
      </c>
      <c r="AV9" s="385" t="s">
        <v>1464</v>
      </c>
      <c r="AW9" s="384" t="s">
        <v>1499</v>
      </c>
      <c r="AX9" s="365"/>
      <c r="AY9" s="365"/>
      <c r="AZ9" s="385" t="s">
        <v>1465</v>
      </c>
      <c r="BB9" s="384" t="s">
        <v>1500</v>
      </c>
      <c r="BC9" s="386"/>
      <c r="BD9" s="387"/>
      <c r="BE9" s="384" t="s">
        <v>1501</v>
      </c>
      <c r="BF9" s="384" t="s">
        <v>1501</v>
      </c>
      <c r="BH9" s="395"/>
      <c r="BI9" s="393"/>
    </row>
    <row r="10" ht="21">
      <c r="A10" s="333" t="s">
        <v>1456</v>
      </c>
      <c r="B10" s="335" t="s">
        <v>1457</v>
      </c>
      <c r="C10" s="334" t="s">
        <v>1468</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1502</v>
      </c>
      <c r="Z10" s="391"/>
      <c r="AA10" s="359"/>
      <c r="AB10" s="359"/>
      <c r="AC10" s="379"/>
      <c r="AD10" s="397" t="s">
        <v>1503</v>
      </c>
      <c r="AE10" s="342" t="s">
        <v>1468</v>
      </c>
      <c r="AF10" s="335">
        <v>1.3</v>
      </c>
      <c r="AG10" s="335">
        <v>18.1</v>
      </c>
      <c r="AH10" s="337">
        <v>0</v>
      </c>
      <c r="AI10" s="335"/>
      <c r="AJ10" s="391" t="s">
        <v>1504</v>
      </c>
      <c r="AK10" s="398"/>
      <c r="AL10" s="334" t="s">
        <v>1505</v>
      </c>
      <c r="AM10" s="394">
        <v>18.1</v>
      </c>
      <c r="AN10" s="383">
        <v>6.78</v>
      </c>
      <c r="AO10" s="394">
        <f t="shared" si="5"/>
        <v>0.2</v>
      </c>
      <c r="AP10" s="385" t="s">
        <v>1465</v>
      </c>
      <c r="AQ10" s="335"/>
      <c r="AR10" s="385"/>
      <c r="AS10" s="365"/>
      <c r="AT10" s="384" t="s">
        <v>1482</v>
      </c>
      <c r="AU10" s="385" t="s">
        <v>1458</v>
      </c>
      <c r="AV10" s="385" t="s">
        <v>1475</v>
      </c>
      <c r="AW10" s="399" t="s">
        <v>1506</v>
      </c>
      <c r="AX10" s="365"/>
      <c r="AY10" s="365"/>
      <c r="AZ10" s="385" t="s">
        <v>1465</v>
      </c>
      <c r="BB10" s="384" t="s">
        <v>1507</v>
      </c>
      <c r="BC10" s="386"/>
      <c r="BD10" s="387"/>
      <c r="BE10" s="384" t="s">
        <v>1508</v>
      </c>
      <c r="BF10" s="384" t="s">
        <v>1508</v>
      </c>
      <c r="BH10" s="395"/>
      <c r="BI10" s="393"/>
    </row>
    <row r="11">
      <c r="A11" s="397" t="s">
        <v>1456</v>
      </c>
      <c r="B11" s="335" t="s">
        <v>1457</v>
      </c>
      <c r="C11" s="334" t="s">
        <v>1480</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1509</v>
      </c>
      <c r="Z11" s="333"/>
      <c r="AA11" s="333"/>
      <c r="AB11" s="333"/>
      <c r="AC11" s="400"/>
      <c r="AD11" s="397" t="s">
        <v>1510</v>
      </c>
      <c r="AE11" s="383" t="s">
        <v>1314</v>
      </c>
      <c r="AF11" s="335">
        <v>1.31</v>
      </c>
      <c r="AG11" s="335">
        <v>18</v>
      </c>
      <c r="AH11" s="337">
        <v>0</v>
      </c>
      <c r="AI11" s="335"/>
      <c r="AJ11" s="381" t="s">
        <v>1511</v>
      </c>
      <c r="AK11" s="398"/>
      <c r="AL11" s="336" t="s">
        <v>1474</v>
      </c>
      <c r="AM11" s="362">
        <v>11.6</v>
      </c>
      <c r="AN11" s="362">
        <v>3.95</v>
      </c>
      <c r="AO11" s="362">
        <f t="shared" si="5"/>
        <v>0.2</v>
      </c>
      <c r="AP11" s="361" t="s">
        <v>1465</v>
      </c>
      <c r="AQ11" s="335"/>
      <c r="AR11" s="385"/>
      <c r="AS11" s="365"/>
      <c r="AT11" s="384" t="s">
        <v>1482</v>
      </c>
      <c r="AU11" s="385" t="s">
        <v>1480</v>
      </c>
      <c r="AV11" s="385" t="s">
        <v>1491</v>
      </c>
      <c r="AW11" s="399" t="s">
        <v>1512</v>
      </c>
      <c r="AZ11" s="385" t="s">
        <v>1465</v>
      </c>
      <c r="BB11" s="384" t="s">
        <v>1513</v>
      </c>
      <c r="BC11" s="386"/>
      <c r="BD11" s="387"/>
      <c r="BE11" s="384" t="s">
        <v>1514</v>
      </c>
      <c r="BF11" s="384" t="s">
        <v>1514</v>
      </c>
      <c r="BH11" s="395"/>
      <c r="BI11" s="393"/>
    </row>
    <row r="12">
      <c r="A12" s="397" t="s">
        <v>1456</v>
      </c>
      <c r="B12" s="335" t="s">
        <v>1457</v>
      </c>
      <c r="C12" s="334" t="s">
        <v>1480</v>
      </c>
      <c r="D12" s="383" t="s">
        <v>1515</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1516</v>
      </c>
      <c r="Z12" s="333"/>
      <c r="AA12" s="399"/>
      <c r="AB12" s="399"/>
      <c r="AC12" s="400"/>
      <c r="AD12" s="402" t="s">
        <v>1517</v>
      </c>
      <c r="AE12" s="385" t="s">
        <v>1480</v>
      </c>
      <c r="AF12" s="392">
        <v>2.57</v>
      </c>
      <c r="AG12" s="392">
        <v>17.4</v>
      </c>
      <c r="AH12" s="337">
        <v>0</v>
      </c>
      <c r="AI12" s="392"/>
      <c r="AJ12" s="381" t="s">
        <v>1496</v>
      </c>
      <c r="AK12" s="403"/>
      <c r="AL12" s="336" t="s">
        <v>1463</v>
      </c>
      <c r="AM12" s="362">
        <v>16.6</v>
      </c>
      <c r="AN12" s="362">
        <v>5.75</v>
      </c>
      <c r="AO12" s="362">
        <f t="shared" si="5"/>
        <v>0.2</v>
      </c>
      <c r="AP12" s="361" t="s">
        <v>1465</v>
      </c>
      <c r="AQ12" s="335"/>
      <c r="AR12" s="385"/>
      <c r="AS12" s="365"/>
      <c r="AT12" s="384" t="s">
        <v>1487</v>
      </c>
      <c r="AU12" s="385" t="s">
        <v>1468</v>
      </c>
      <c r="AV12" s="385" t="s">
        <v>1464</v>
      </c>
      <c r="AW12" s="384" t="s">
        <v>1518</v>
      </c>
      <c r="AX12" s="365"/>
      <c r="AY12" s="365"/>
      <c r="AZ12" s="385" t="s">
        <v>1465</v>
      </c>
      <c r="BB12" s="384" t="s">
        <v>1519</v>
      </c>
      <c r="BC12" s="386"/>
      <c r="BD12" s="387"/>
      <c r="BE12" s="384" t="s">
        <v>1520</v>
      </c>
      <c r="BF12" s="384" t="s">
        <v>1520</v>
      </c>
      <c r="BH12" s="395"/>
    </row>
    <row r="13">
      <c r="A13" s="397" t="s">
        <v>1456</v>
      </c>
      <c r="B13" s="335" t="s">
        <v>1457</v>
      </c>
      <c r="C13" s="334" t="s">
        <v>1480</v>
      </c>
      <c r="D13" s="383" t="s">
        <v>1521</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1522</v>
      </c>
      <c r="Z13" s="333"/>
      <c r="AA13" s="333"/>
      <c r="AB13" s="333"/>
      <c r="AC13" s="400"/>
      <c r="AD13" s="380" t="s">
        <v>1523</v>
      </c>
      <c r="AE13" s="342" t="s">
        <v>1458</v>
      </c>
      <c r="AF13" s="335">
        <v>2.58</v>
      </c>
      <c r="AG13" s="335">
        <v>18</v>
      </c>
      <c r="AH13" s="337">
        <v>0</v>
      </c>
      <c r="AI13" s="335"/>
      <c r="AJ13" s="396" t="s">
        <v>1503</v>
      </c>
      <c r="AK13" s="403"/>
      <c r="AL13" s="334" t="s">
        <v>1458</v>
      </c>
      <c r="AM13" s="335">
        <v>6.87</v>
      </c>
      <c r="AN13" s="377">
        <v>3.88</v>
      </c>
      <c r="AO13" s="335">
        <f ref="AO13:AO23" t="shared" si="6">0.2</f>
        <v>0.2</v>
      </c>
      <c r="AP13" s="385" t="s">
        <v>1524</v>
      </c>
      <c r="AQ13" s="335"/>
      <c r="AR13" s="385"/>
      <c r="AS13" s="365"/>
      <c r="AT13" s="384" t="s">
        <v>1487</v>
      </c>
      <c r="AU13" s="385" t="s">
        <v>1458</v>
      </c>
      <c r="AV13" s="385" t="s">
        <v>1475</v>
      </c>
      <c r="AW13" s="399" t="s">
        <v>1525</v>
      </c>
      <c r="AX13" s="365"/>
      <c r="AY13" s="365"/>
      <c r="AZ13" s="385" t="s">
        <v>1524</v>
      </c>
      <c r="BB13" s="384" t="s">
        <v>1521</v>
      </c>
      <c r="BC13" s="386"/>
      <c r="BD13" s="387"/>
      <c r="BE13" s="384"/>
      <c r="BF13" s="384"/>
      <c r="BH13" s="395"/>
      <c r="BI13" s="393"/>
    </row>
    <row r="14">
      <c r="A14" s="397" t="s">
        <v>1456</v>
      </c>
      <c r="B14" s="335" t="s">
        <v>1457</v>
      </c>
      <c r="C14" s="334" t="s">
        <v>1480</v>
      </c>
      <c r="D14" s="383" t="s">
        <v>1526</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1527</v>
      </c>
      <c r="Z14" s="333"/>
      <c r="AA14" s="399"/>
      <c r="AB14" s="399"/>
      <c r="AC14" s="400"/>
      <c r="AD14" s="380" t="s">
        <v>1528</v>
      </c>
      <c r="AE14" s="342" t="s">
        <v>1468</v>
      </c>
      <c r="AF14" s="335">
        <v>1.3</v>
      </c>
      <c r="AG14" s="335">
        <v>18</v>
      </c>
      <c r="AH14" s="337">
        <v>0</v>
      </c>
      <c r="AI14" s="335"/>
      <c r="AJ14" s="404" t="s">
        <v>1517</v>
      </c>
      <c r="AK14" s="403"/>
      <c r="AL14" s="334" t="s">
        <v>1468</v>
      </c>
      <c r="AM14" s="335">
        <v>10.15</v>
      </c>
      <c r="AN14" s="377">
        <v>5.75</v>
      </c>
      <c r="AO14" s="335">
        <f t="shared" si="6"/>
        <v>0.2</v>
      </c>
      <c r="AP14" s="385" t="s">
        <v>1524</v>
      </c>
      <c r="AQ14" s="335"/>
      <c r="AR14" s="385"/>
      <c r="AS14" s="365"/>
      <c r="AT14" s="384" t="s">
        <v>1487</v>
      </c>
      <c r="AU14" s="385" t="s">
        <v>1480</v>
      </c>
      <c r="AV14" s="385" t="s">
        <v>1491</v>
      </c>
      <c r="AW14" s="399" t="s">
        <v>1529</v>
      </c>
      <c r="AX14" s="365"/>
      <c r="AY14" s="365"/>
      <c r="AZ14" s="385" t="s">
        <v>1524</v>
      </c>
      <c r="BB14" s="384" t="s">
        <v>1515</v>
      </c>
      <c r="BC14" s="386"/>
      <c r="BD14" s="387"/>
      <c r="BE14" s="384"/>
      <c r="BF14" s="384"/>
      <c r="BH14" s="395"/>
    </row>
    <row r="15">
      <c r="A15" s="397" t="s">
        <v>1456</v>
      </c>
      <c r="B15" s="335" t="s">
        <v>1457</v>
      </c>
      <c r="C15" s="334" t="s">
        <v>1480</v>
      </c>
      <c r="D15" s="383" t="s">
        <v>1530</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1531</v>
      </c>
      <c r="Z15" s="391"/>
      <c r="AA15" s="359"/>
      <c r="AB15" s="359"/>
      <c r="AC15" s="400"/>
      <c r="AD15" s="380" t="s">
        <v>1532</v>
      </c>
      <c r="AE15" s="342" t="s">
        <v>1458</v>
      </c>
      <c r="AF15" s="335">
        <v>2.58</v>
      </c>
      <c r="AG15" s="335">
        <v>18</v>
      </c>
      <c r="AH15" s="337">
        <v>0</v>
      </c>
      <c r="AJ15" s="396" t="s">
        <v>1510</v>
      </c>
      <c r="AK15" s="403"/>
      <c r="AL15" s="332" t="s">
        <v>1474</v>
      </c>
      <c r="AM15" s="335">
        <v>6.87</v>
      </c>
      <c r="AN15" s="377">
        <v>3.88</v>
      </c>
      <c r="AO15" s="335">
        <f t="shared" si="6"/>
        <v>0.2</v>
      </c>
      <c r="AP15" s="385" t="s">
        <v>1524</v>
      </c>
      <c r="AQ15" s="335"/>
      <c r="AR15" s="385"/>
      <c r="AS15" s="365"/>
      <c r="AT15" s="384" t="s">
        <v>1492</v>
      </c>
      <c r="AU15" s="385" t="s">
        <v>1468</v>
      </c>
      <c r="AV15" s="385" t="s">
        <v>1464</v>
      </c>
      <c r="AW15" s="399" t="s">
        <v>1533</v>
      </c>
      <c r="AX15" s="365"/>
      <c r="AY15" s="365"/>
      <c r="AZ15" s="385" t="s">
        <v>1524</v>
      </c>
      <c r="BB15" s="384" t="s">
        <v>1530</v>
      </c>
      <c r="BC15" s="386"/>
      <c r="BD15" s="387"/>
      <c r="BE15" s="384"/>
      <c r="BF15" s="384"/>
      <c r="BH15" s="395"/>
    </row>
    <row r="16">
      <c r="A16" s="397" t="s">
        <v>1456</v>
      </c>
      <c r="B16" s="335" t="s">
        <v>1457</v>
      </c>
      <c r="C16" s="334" t="s">
        <v>1480</v>
      </c>
      <c r="D16" s="383" t="s">
        <v>1534</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1535</v>
      </c>
      <c r="Z16" s="391"/>
      <c r="AA16" s="359"/>
      <c r="AB16" s="359"/>
      <c r="AC16" s="400"/>
      <c r="AD16" s="397" t="s">
        <v>1536</v>
      </c>
      <c r="AE16" s="342" t="s">
        <v>1468</v>
      </c>
      <c r="AF16" s="335">
        <v>1.3</v>
      </c>
      <c r="AG16" s="335">
        <v>17.5</v>
      </c>
      <c r="AH16" s="337">
        <v>0</v>
      </c>
      <c r="AI16" s="335"/>
      <c r="AJ16" s="381" t="s">
        <v>1537</v>
      </c>
      <c r="AK16" s="403"/>
      <c r="AL16" s="332" t="s">
        <v>1314</v>
      </c>
      <c r="AM16" s="335">
        <v>20</v>
      </c>
      <c r="AN16" s="377">
        <v>6.21</v>
      </c>
      <c r="AO16" s="335">
        <f t="shared" si="6"/>
        <v>0.2</v>
      </c>
      <c r="AP16" s="385" t="s">
        <v>1524</v>
      </c>
      <c r="AQ16" s="335"/>
      <c r="AR16" s="385"/>
      <c r="AS16" s="365"/>
      <c r="AT16" s="384" t="s">
        <v>1492</v>
      </c>
      <c r="AU16" s="385" t="s">
        <v>1458</v>
      </c>
      <c r="AV16" s="385" t="s">
        <v>1475</v>
      </c>
      <c r="AW16" s="399" t="s">
        <v>1538</v>
      </c>
      <c r="AX16" s="365"/>
      <c r="AY16" s="365"/>
      <c r="AZ16" s="385" t="s">
        <v>1524</v>
      </c>
      <c r="BB16" s="384" t="s">
        <v>1526</v>
      </c>
      <c r="BC16" s="386"/>
      <c r="BD16" s="387"/>
      <c r="BE16" s="384"/>
      <c r="BF16" s="384"/>
    </row>
    <row r="17">
      <c r="A17" s="397" t="s">
        <v>1456</v>
      </c>
      <c r="B17" s="335" t="s">
        <v>1457</v>
      </c>
      <c r="C17" s="334" t="s">
        <v>1480</v>
      </c>
      <c r="D17" s="383" t="s">
        <v>1539</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1540</v>
      </c>
      <c r="Z17" s="391"/>
      <c r="AA17" s="359"/>
      <c r="AB17" s="359"/>
      <c r="AC17" s="400"/>
      <c r="AD17" s="397" t="s">
        <v>1541</v>
      </c>
      <c r="AE17" s="383" t="s">
        <v>1314</v>
      </c>
      <c r="AF17" s="335">
        <v>1.31</v>
      </c>
      <c r="AG17" s="335">
        <v>18</v>
      </c>
      <c r="AH17" s="337">
        <v>0</v>
      </c>
      <c r="AI17" s="335"/>
      <c r="AJ17" s="381" t="s">
        <v>1542</v>
      </c>
      <c r="AK17" s="382"/>
      <c r="AL17" s="334" t="s">
        <v>1463</v>
      </c>
      <c r="AM17" s="335">
        <v>10.15</v>
      </c>
      <c r="AN17" s="377">
        <v>5.75</v>
      </c>
      <c r="AO17" s="335">
        <f t="shared" si="6"/>
        <v>0.2</v>
      </c>
      <c r="AP17" s="385" t="s">
        <v>1524</v>
      </c>
      <c r="AQ17" s="335"/>
      <c r="AR17" s="385"/>
      <c r="AS17" s="365"/>
      <c r="AT17" s="399" t="s">
        <v>1492</v>
      </c>
      <c r="AU17" s="385" t="s">
        <v>1480</v>
      </c>
      <c r="AV17" s="385" t="s">
        <v>1491</v>
      </c>
      <c r="AW17" s="384" t="s">
        <v>1543</v>
      </c>
      <c r="AX17" s="365"/>
      <c r="AY17" s="365"/>
      <c r="AZ17" s="385" t="s">
        <v>1524</v>
      </c>
      <c r="BB17" s="384">
        <v>6</v>
      </c>
      <c r="BC17" s="384" t="s">
        <v>1544</v>
      </c>
      <c r="BD17" s="365"/>
      <c r="BE17" s="384"/>
      <c r="BF17" s="384"/>
    </row>
    <row r="18" ht="21">
      <c r="A18" s="397" t="s">
        <v>1456</v>
      </c>
      <c r="B18" s="335" t="s">
        <v>1457</v>
      </c>
      <c r="C18" s="334" t="s">
        <v>1480</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1545</v>
      </c>
      <c r="Z18" s="391"/>
      <c r="AA18" s="359"/>
      <c r="AB18" s="359"/>
      <c r="AC18" s="379"/>
      <c r="AD18" s="380" t="s">
        <v>1546</v>
      </c>
      <c r="AE18" s="385" t="s">
        <v>1480</v>
      </c>
      <c r="AF18" s="335">
        <v>1.94</v>
      </c>
      <c r="AG18" s="335">
        <v>17.8</v>
      </c>
      <c r="AH18" s="337">
        <v>0</v>
      </c>
      <c r="AI18" s="335"/>
      <c r="AJ18" s="391" t="s">
        <v>1547</v>
      </c>
      <c r="AK18" s="382"/>
      <c r="AL18" s="334" t="s">
        <v>1480</v>
      </c>
      <c r="AM18" s="335">
        <v>10.15</v>
      </c>
      <c r="AN18" s="335">
        <v>5.75</v>
      </c>
      <c r="AO18" s="335">
        <f t="shared" si="6"/>
        <v>0.2</v>
      </c>
      <c r="AP18" s="385" t="s">
        <v>1524</v>
      </c>
      <c r="AQ18" s="388"/>
      <c r="AR18" s="385"/>
      <c r="AS18" s="365"/>
      <c r="AT18" s="399" t="s">
        <v>1499</v>
      </c>
      <c r="AU18" s="385" t="s">
        <v>1468</v>
      </c>
      <c r="AV18" s="385" t="s">
        <v>1464</v>
      </c>
      <c r="AW18" s="384" t="s">
        <v>1548</v>
      </c>
      <c r="AX18" s="365"/>
      <c r="AY18" s="365"/>
      <c r="AZ18" s="385" t="s">
        <v>1524</v>
      </c>
      <c r="BB18" s="384" t="s">
        <v>1534</v>
      </c>
      <c r="BC18" s="384"/>
      <c r="BD18" s="405"/>
      <c r="BE18" s="384"/>
      <c r="BF18" s="384"/>
    </row>
    <row r="19" ht="15.75" customHeight="1">
      <c r="A19" s="397" t="s">
        <v>1549</v>
      </c>
      <c r="B19" s="335" t="s">
        <v>1457</v>
      </c>
      <c r="C19" s="334" t="s">
        <v>1314</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1550</v>
      </c>
      <c r="Z19" s="396"/>
      <c r="AA19" s="397"/>
      <c r="AB19" s="397"/>
      <c r="AC19" s="379"/>
      <c r="AD19" s="397" t="s">
        <v>1551</v>
      </c>
      <c r="AE19" s="342" t="s">
        <v>1458</v>
      </c>
      <c r="AF19" s="394">
        <v>2.58</v>
      </c>
      <c r="AG19" s="394">
        <v>17.5</v>
      </c>
      <c r="AH19" s="337">
        <v>0</v>
      </c>
      <c r="AI19" s="335"/>
      <c r="AJ19" s="396" t="s">
        <v>1552</v>
      </c>
      <c r="AK19" s="398"/>
      <c r="AL19" s="334" t="s">
        <v>1458</v>
      </c>
      <c r="AM19" s="335">
        <v>7.12</v>
      </c>
      <c r="AN19" s="335">
        <v>3.67</v>
      </c>
      <c r="AO19" s="335">
        <f t="shared" si="6"/>
        <v>0.2</v>
      </c>
      <c r="AP19" s="385" t="s">
        <v>1553</v>
      </c>
      <c r="AQ19" s="388"/>
      <c r="AR19" s="385"/>
      <c r="AS19" s="365"/>
      <c r="AT19" s="399" t="s">
        <v>1499</v>
      </c>
      <c r="AU19" s="385" t="s">
        <v>1458</v>
      </c>
      <c r="AV19" s="385" t="s">
        <v>1475</v>
      </c>
      <c r="AW19" s="384" t="s">
        <v>1554</v>
      </c>
      <c r="AX19" s="365"/>
      <c r="AY19" s="365"/>
      <c r="AZ19" s="385" t="s">
        <v>1524</v>
      </c>
      <c r="BB19" s="384">
        <v>8</v>
      </c>
      <c r="BC19" s="386" t="s">
        <v>1555</v>
      </c>
      <c r="BD19" s="406"/>
    </row>
    <row r="20">
      <c r="A20" s="397" t="s">
        <v>1549</v>
      </c>
      <c r="B20" s="335" t="s">
        <v>1457</v>
      </c>
      <c r="C20" s="334" t="s">
        <v>1474</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1556</v>
      </c>
      <c r="Z20" s="397"/>
      <c r="AA20" s="397"/>
      <c r="AB20" s="397"/>
      <c r="AC20" s="379"/>
      <c r="AD20" s="397" t="s">
        <v>1557</v>
      </c>
      <c r="AE20" s="342" t="s">
        <v>1458</v>
      </c>
      <c r="AF20" s="394">
        <v>2.6</v>
      </c>
      <c r="AG20" s="394">
        <v>18</v>
      </c>
      <c r="AH20" s="337">
        <v>0</v>
      </c>
      <c r="AI20" s="335"/>
      <c r="AJ20" s="381" t="s">
        <v>1528</v>
      </c>
      <c r="AK20" s="398"/>
      <c r="AL20" s="334" t="s">
        <v>1468</v>
      </c>
      <c r="AM20" s="335">
        <v>10.06</v>
      </c>
      <c r="AN20" s="335">
        <v>5.04</v>
      </c>
      <c r="AO20" s="335">
        <f t="shared" si="6"/>
        <v>0.2</v>
      </c>
      <c r="AP20" s="385" t="s">
        <v>1553</v>
      </c>
      <c r="AQ20" s="384"/>
      <c r="AR20" s="384"/>
      <c r="AS20" s="365"/>
      <c r="AT20" s="399" t="s">
        <v>1499</v>
      </c>
      <c r="AU20" s="385" t="s">
        <v>1480</v>
      </c>
      <c r="AV20" s="385" t="s">
        <v>1491</v>
      </c>
      <c r="AW20" s="384" t="s">
        <v>1558</v>
      </c>
      <c r="AX20" s="365"/>
      <c r="AY20" s="365"/>
      <c r="AZ20" s="385" t="s">
        <v>1524</v>
      </c>
      <c r="BB20" s="384">
        <v>10</v>
      </c>
      <c r="BC20" s="386"/>
      <c r="BD20" s="406"/>
    </row>
    <row r="21">
      <c r="A21" s="333" t="s">
        <v>1467</v>
      </c>
      <c r="B21" s="335" t="s">
        <v>1457</v>
      </c>
      <c r="C21" s="334" t="s">
        <v>1458</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1559</v>
      </c>
      <c r="Z21" s="333"/>
      <c r="AA21" s="333"/>
      <c r="AB21" s="333"/>
      <c r="AC21" s="400"/>
      <c r="AD21" s="380" t="s">
        <v>1560</v>
      </c>
      <c r="AE21" s="342" t="s">
        <v>1468</v>
      </c>
      <c r="AF21" s="335">
        <v>1.35</v>
      </c>
      <c r="AG21" s="335">
        <v>17.6</v>
      </c>
      <c r="AH21" s="337">
        <v>0</v>
      </c>
      <c r="AI21" s="394"/>
      <c r="AJ21" s="381" t="s">
        <v>1523</v>
      </c>
      <c r="AK21" s="398"/>
      <c r="AL21" s="334" t="s">
        <v>1474</v>
      </c>
      <c r="AM21" s="335">
        <v>7.12</v>
      </c>
      <c r="AN21" s="335">
        <v>3.67</v>
      </c>
      <c r="AO21" s="335">
        <f t="shared" si="6"/>
        <v>0.2</v>
      </c>
      <c r="AP21" s="385" t="s">
        <v>1553</v>
      </c>
      <c r="AQ21" s="384"/>
      <c r="AR21" s="384"/>
      <c r="AS21" s="365"/>
      <c r="AT21" s="399" t="s">
        <v>1506</v>
      </c>
      <c r="AU21" s="383" t="s">
        <v>1468</v>
      </c>
      <c r="AV21" s="385" t="s">
        <v>1464</v>
      </c>
      <c r="AW21" s="384" t="s">
        <v>1561</v>
      </c>
      <c r="AX21" s="365"/>
      <c r="AY21" s="365"/>
      <c r="AZ21" s="385" t="s">
        <v>1524</v>
      </c>
      <c r="BB21" s="384">
        <v>12</v>
      </c>
      <c r="BC21" s="386"/>
      <c r="BD21" s="406"/>
    </row>
    <row r="22">
      <c r="A22" s="333" t="s">
        <v>1467</v>
      </c>
      <c r="B22" s="335" t="s">
        <v>1457</v>
      </c>
      <c r="C22" s="334" t="s">
        <v>1458</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1562</v>
      </c>
      <c r="Z22" s="333"/>
      <c r="AA22" s="333"/>
      <c r="AB22" s="333"/>
      <c r="AC22" s="400"/>
      <c r="AD22" s="397" t="s">
        <v>1560</v>
      </c>
      <c r="AE22" s="383" t="s">
        <v>1314</v>
      </c>
      <c r="AF22" s="335">
        <v>1.35</v>
      </c>
      <c r="AG22" s="335">
        <v>18.6</v>
      </c>
      <c r="AH22" s="337">
        <v>0</v>
      </c>
      <c r="AI22" s="383"/>
      <c r="AJ22" s="381" t="s">
        <v>1563</v>
      </c>
      <c r="AK22" s="398"/>
      <c r="AL22" s="334" t="s">
        <v>1314</v>
      </c>
      <c r="AM22" s="335">
        <v>10.96</v>
      </c>
      <c r="AN22" s="335">
        <v>5.53</v>
      </c>
      <c r="AO22" s="335">
        <f>0.1*2</f>
        <v>0.2</v>
      </c>
      <c r="AP22" s="385" t="s">
        <v>1553</v>
      </c>
      <c r="AQ22" s="399"/>
      <c r="AR22" s="399"/>
      <c r="AS22" s="365"/>
      <c r="AT22" s="399" t="s">
        <v>1506</v>
      </c>
      <c r="AU22" s="385" t="s">
        <v>1458</v>
      </c>
      <c r="AV22" s="385" t="s">
        <v>1475</v>
      </c>
      <c r="AW22" s="384" t="s">
        <v>1564</v>
      </c>
      <c r="AX22" s="365"/>
      <c r="AY22" s="365"/>
      <c r="AZ22" s="385" t="s">
        <v>1524</v>
      </c>
      <c r="BB22" s="384">
        <v>0</v>
      </c>
      <c r="BC22" s="386"/>
      <c r="BD22" s="406"/>
      <c r="BE22" s="348"/>
      <c r="BF22" s="348"/>
      <c r="BG22" s="348"/>
    </row>
    <row r="23">
      <c r="A23" s="333" t="s">
        <v>1467</v>
      </c>
      <c r="B23" s="335" t="s">
        <v>1457</v>
      </c>
      <c r="C23" s="334" t="s">
        <v>1468</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1565</v>
      </c>
      <c r="Z23" s="333"/>
      <c r="AA23" s="333"/>
      <c r="AB23" s="333"/>
      <c r="AC23" s="400"/>
      <c r="AD23" s="380" t="s">
        <v>1566</v>
      </c>
      <c r="AE23" s="385" t="s">
        <v>1480</v>
      </c>
      <c r="AF23" s="335">
        <v>2.08</v>
      </c>
      <c r="AG23" s="335">
        <v>16.7</v>
      </c>
      <c r="AH23" s="337">
        <v>0</v>
      </c>
      <c r="AI23" s="335"/>
      <c r="AJ23" s="396" t="s">
        <v>1567</v>
      </c>
      <c r="AK23" s="403"/>
      <c r="AL23" s="336" t="s">
        <v>1463</v>
      </c>
      <c r="AM23" s="362">
        <v>10.06</v>
      </c>
      <c r="AN23" s="362">
        <v>5.04</v>
      </c>
      <c r="AO23" s="362">
        <f t="shared" si="6"/>
        <v>0.2</v>
      </c>
      <c r="AP23" s="361" t="s">
        <v>1553</v>
      </c>
      <c r="AQ23" s="399"/>
      <c r="AR23" s="399"/>
      <c r="AS23" s="365"/>
      <c r="AT23" s="399" t="s">
        <v>1512</v>
      </c>
      <c r="AU23" s="383" t="s">
        <v>1468</v>
      </c>
      <c r="AV23" s="385" t="s">
        <v>1464</v>
      </c>
      <c r="AW23" s="399" t="s">
        <v>1568</v>
      </c>
      <c r="AX23" s="365"/>
      <c r="AY23" s="365"/>
      <c r="AZ23" s="385" t="s">
        <v>1553</v>
      </c>
      <c r="BB23" s="348"/>
      <c r="BC23" s="407"/>
      <c r="BE23" s="348"/>
      <c r="BF23" s="348"/>
      <c r="BG23" s="348"/>
    </row>
    <row r="24">
      <c r="A24" s="333" t="s">
        <v>1467</v>
      </c>
      <c r="B24" s="335" t="s">
        <v>1457</v>
      </c>
      <c r="C24" s="334" t="s">
        <v>1468</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1569</v>
      </c>
      <c r="Z24" s="333"/>
      <c r="AA24" s="333"/>
      <c r="AB24" s="333"/>
      <c r="AC24" s="400"/>
      <c r="AD24" s="402" t="s">
        <v>1570</v>
      </c>
      <c r="AE24" s="342" t="s">
        <v>1458</v>
      </c>
      <c r="AF24" s="392">
        <v>2.64</v>
      </c>
      <c r="AG24" s="392">
        <v>18</v>
      </c>
      <c r="AH24" s="337">
        <v>0</v>
      </c>
      <c r="AI24" s="335"/>
      <c r="AJ24" s="396" t="s">
        <v>1571</v>
      </c>
      <c r="AK24" s="403"/>
      <c r="AL24" s="334" t="s">
        <v>1468</v>
      </c>
      <c r="AM24" s="335">
        <v>13</v>
      </c>
      <c r="AN24" s="335">
        <v>6</v>
      </c>
      <c r="AO24" s="335">
        <v>0.2</v>
      </c>
      <c r="AP24" s="385" t="s">
        <v>1572</v>
      </c>
      <c r="AQ24" s="388"/>
      <c r="AR24" s="385"/>
      <c r="AS24" s="365"/>
      <c r="AT24" s="384" t="s">
        <v>1512</v>
      </c>
      <c r="AU24" s="383" t="s">
        <v>1458</v>
      </c>
      <c r="AV24" s="385" t="s">
        <v>1475</v>
      </c>
      <c r="AW24" s="384" t="s">
        <v>1573</v>
      </c>
      <c r="AX24" s="365"/>
      <c r="AY24" s="365"/>
      <c r="AZ24" s="385" t="s">
        <v>1553</v>
      </c>
      <c r="BB24" s="348"/>
      <c r="BC24" s="407"/>
      <c r="BE24" s="348"/>
      <c r="BF24" s="348"/>
      <c r="BG24" s="348"/>
    </row>
    <row r="25">
      <c r="A25" s="397" t="s">
        <v>1550</v>
      </c>
      <c r="B25" s="335" t="s">
        <v>1457</v>
      </c>
      <c r="C25" s="334" t="s">
        <v>1505</v>
      </c>
      <c r="D25" s="383" t="s">
        <v>1526</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1574</v>
      </c>
      <c r="Z25" s="333"/>
      <c r="AA25" s="333"/>
      <c r="AB25" s="333"/>
      <c r="AC25" s="400"/>
      <c r="AD25" s="397" t="s">
        <v>1575</v>
      </c>
      <c r="AE25" s="342" t="s">
        <v>1468</v>
      </c>
      <c r="AF25" s="335">
        <v>1.31</v>
      </c>
      <c r="AG25" s="335">
        <v>17.8</v>
      </c>
      <c r="AH25" s="337">
        <v>0</v>
      </c>
      <c r="AI25" s="335"/>
      <c r="AJ25" s="389" t="s">
        <v>1536</v>
      </c>
      <c r="AK25" s="382"/>
      <c r="AL25" s="347"/>
      <c r="AM25" s="335"/>
      <c r="AN25" s="335"/>
      <c r="AO25" s="335"/>
      <c r="AP25" s="409"/>
      <c r="AQ25" s="388"/>
      <c r="AR25" s="385"/>
      <c r="AS25" s="365"/>
      <c r="AT25" s="384" t="s">
        <v>1518</v>
      </c>
      <c r="AU25" s="383" t="s">
        <v>1498</v>
      </c>
      <c r="AV25" s="385" t="s">
        <v>1576</v>
      </c>
      <c r="AW25" s="384" t="s">
        <v>1577</v>
      </c>
      <c r="AX25" s="365"/>
      <c r="AY25" s="365"/>
      <c r="AZ25" s="385" t="s">
        <v>1553</v>
      </c>
      <c r="BB25" s="348"/>
      <c r="BC25" s="407"/>
      <c r="BE25" s="348"/>
      <c r="BF25" s="348"/>
      <c r="BG25" s="348"/>
    </row>
    <row r="26">
      <c r="A26" s="397" t="s">
        <v>1550</v>
      </c>
      <c r="B26" s="335" t="s">
        <v>1457</v>
      </c>
      <c r="C26" s="334" t="s">
        <v>1505</v>
      </c>
      <c r="D26" s="383" t="s">
        <v>1534</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1578</v>
      </c>
      <c r="Z26" s="399"/>
      <c r="AA26" s="399"/>
      <c r="AB26" s="399"/>
      <c r="AC26" s="400"/>
      <c r="AD26" s="402" t="s">
        <v>1579</v>
      </c>
      <c r="AE26" s="383" t="s">
        <v>1314</v>
      </c>
      <c r="AF26" s="392">
        <v>1.31</v>
      </c>
      <c r="AG26" s="392">
        <v>18</v>
      </c>
      <c r="AH26" s="337">
        <v>0</v>
      </c>
      <c r="AI26" s="392"/>
      <c r="AJ26" s="389" t="s">
        <v>1532</v>
      </c>
      <c r="AK26" s="382"/>
      <c r="AL26" s="347"/>
      <c r="AM26" s="335"/>
      <c r="AN26" s="335"/>
      <c r="AO26" s="335"/>
      <c r="AP26" s="409"/>
      <c r="AQ26" s="388"/>
      <c r="AR26" s="385"/>
      <c r="AS26" s="365"/>
      <c r="AT26" s="399" t="s">
        <v>1518</v>
      </c>
      <c r="AU26" s="383" t="s">
        <v>1505</v>
      </c>
      <c r="AV26" s="383" t="s">
        <v>1580</v>
      </c>
      <c r="AW26" s="384" t="s">
        <v>1581</v>
      </c>
      <c r="AX26" s="365"/>
      <c r="AY26" s="365"/>
      <c r="AZ26" s="385" t="s">
        <v>1553</v>
      </c>
      <c r="BB26" s="348"/>
      <c r="BC26" s="407"/>
      <c r="BE26" s="348"/>
      <c r="BF26" s="348"/>
      <c r="BG26" s="348"/>
    </row>
    <row r="27">
      <c r="A27" s="333" t="s">
        <v>1472</v>
      </c>
      <c r="B27" s="335" t="s">
        <v>1457</v>
      </c>
      <c r="C27" s="334" t="s">
        <v>1458</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587</v>
      </c>
      <c r="Z27" s="391"/>
      <c r="AA27" s="359"/>
      <c r="AB27" s="359"/>
      <c r="AC27" s="379"/>
      <c r="AD27" s="384" t="s">
        <v>1582</v>
      </c>
      <c r="AE27" s="385" t="s">
        <v>1480</v>
      </c>
      <c r="AF27" s="335">
        <v>2.52</v>
      </c>
      <c r="AG27" s="335">
        <v>17.5</v>
      </c>
      <c r="AH27" s="337">
        <v>0</v>
      </c>
      <c r="AI27" s="335"/>
      <c r="AJ27" s="389" t="s">
        <v>1583</v>
      </c>
      <c r="AK27" s="390"/>
      <c r="AL27" s="399"/>
      <c r="AM27" s="399"/>
      <c r="AN27" s="399"/>
      <c r="AO27" s="399"/>
      <c r="AP27" s="399"/>
      <c r="AQ27" s="399"/>
      <c r="AR27" s="399"/>
      <c r="AS27" s="365"/>
      <c r="AT27" s="399" t="s">
        <v>1525</v>
      </c>
      <c r="AU27" s="383" t="s">
        <v>1463</v>
      </c>
      <c r="AV27" s="383" t="s">
        <v>1584</v>
      </c>
      <c r="AW27" s="384" t="s">
        <v>1585</v>
      </c>
      <c r="AX27" s="365"/>
      <c r="AY27" s="365"/>
      <c r="AZ27" s="385" t="s">
        <v>1553</v>
      </c>
      <c r="BB27" s="348"/>
      <c r="BC27" s="407"/>
      <c r="BE27" s="348"/>
      <c r="BF27" s="348"/>
      <c r="BG27" s="348"/>
    </row>
    <row r="28">
      <c r="A28" s="333" t="s">
        <v>1472</v>
      </c>
      <c r="B28" s="335" t="s">
        <v>1457</v>
      </c>
      <c r="C28" s="334" t="s">
        <v>1458</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1586</v>
      </c>
      <c r="Z28" s="391"/>
      <c r="AA28" s="359"/>
      <c r="AB28" s="359"/>
      <c r="AC28" s="379"/>
      <c r="AD28" s="380" t="s">
        <v>1587</v>
      </c>
      <c r="AE28" s="342" t="s">
        <v>1458</v>
      </c>
      <c r="AF28" s="335">
        <v>2.58</v>
      </c>
      <c r="AG28" s="335">
        <v>18</v>
      </c>
      <c r="AH28" s="337">
        <v>0</v>
      </c>
      <c r="AI28" s="392"/>
      <c r="AJ28" s="396" t="s">
        <v>1546</v>
      </c>
      <c r="AK28" s="390"/>
      <c r="AL28" s="347"/>
      <c r="AM28" s="388"/>
      <c r="AN28" s="388"/>
      <c r="AO28" s="388"/>
      <c r="AP28" s="409"/>
      <c r="AQ28" s="388"/>
      <c r="AR28" s="385"/>
      <c r="AS28" s="365"/>
      <c r="AT28" s="399" t="s">
        <v>1529</v>
      </c>
      <c r="AU28" s="383" t="s">
        <v>1314</v>
      </c>
      <c r="AV28" s="383" t="s">
        <v>1588</v>
      </c>
      <c r="AW28" s="384" t="s">
        <v>1589</v>
      </c>
      <c r="AX28" s="365"/>
      <c r="AY28" s="365"/>
      <c r="AZ28" s="385" t="s">
        <v>1553</v>
      </c>
      <c r="BC28" s="407"/>
      <c r="BE28" s="348"/>
      <c r="BF28" s="348"/>
      <c r="BG28" s="348"/>
    </row>
    <row r="29">
      <c r="A29" s="333" t="s">
        <v>1472</v>
      </c>
      <c r="B29" s="335" t="s">
        <v>1457</v>
      </c>
      <c r="C29" s="334" t="s">
        <v>1468</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1590</v>
      </c>
      <c r="Z29" s="333"/>
      <c r="AA29" s="333"/>
      <c r="AB29" s="333"/>
      <c r="AC29" s="379"/>
      <c r="AD29" s="380" t="s">
        <v>1591</v>
      </c>
      <c r="AE29" s="342" t="s">
        <v>1458</v>
      </c>
      <c r="AF29" s="335">
        <v>2.58</v>
      </c>
      <c r="AG29" s="335">
        <v>18</v>
      </c>
      <c r="AH29" s="337">
        <v>0</v>
      </c>
      <c r="AI29" s="335"/>
      <c r="AJ29" s="381" t="s">
        <v>1592</v>
      </c>
      <c r="AK29" s="410"/>
      <c r="AL29" s="334"/>
      <c r="AM29" s="335"/>
      <c r="AN29" s="335"/>
      <c r="AO29" s="335"/>
      <c r="AP29" s="409"/>
      <c r="AQ29" s="388"/>
      <c r="AR29" s="385"/>
      <c r="AS29" s="365"/>
      <c r="AT29" s="399" t="s">
        <v>1529</v>
      </c>
      <c r="AU29" s="385" t="s">
        <v>1474</v>
      </c>
      <c r="AV29" s="385" t="s">
        <v>1593</v>
      </c>
      <c r="AW29" s="384" t="s">
        <v>1594</v>
      </c>
      <c r="AX29" s="365"/>
      <c r="AY29" s="365"/>
      <c r="AZ29" s="385" t="s">
        <v>1553</v>
      </c>
      <c r="BB29" s="348"/>
      <c r="BC29" s="407"/>
      <c r="BE29" s="348"/>
      <c r="BF29" s="348"/>
      <c r="BG29" s="348"/>
    </row>
    <row r="30">
      <c r="A30" s="333" t="s">
        <v>1472</v>
      </c>
      <c r="B30" s="335" t="s">
        <v>1457</v>
      </c>
      <c r="C30" s="334" t="s">
        <v>1468</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1595</v>
      </c>
      <c r="Z30" s="396"/>
      <c r="AA30" s="397"/>
      <c r="AB30" s="397"/>
      <c r="AC30" s="379"/>
      <c r="AD30" s="380" t="s">
        <v>1596</v>
      </c>
      <c r="AE30" s="342" t="s">
        <v>1468</v>
      </c>
      <c r="AF30" s="335">
        <v>1.3</v>
      </c>
      <c r="AG30" s="335">
        <v>17.5</v>
      </c>
      <c r="AH30" s="337">
        <v>0</v>
      </c>
      <c r="AI30" s="335"/>
      <c r="AJ30" s="381" t="s">
        <v>1541</v>
      </c>
      <c r="AK30" s="410"/>
      <c r="AL30" s="334"/>
      <c r="AM30" s="335"/>
      <c r="AN30" s="335"/>
      <c r="AO30" s="335"/>
      <c r="AP30" s="409"/>
      <c r="AQ30" s="388"/>
      <c r="AR30" s="385"/>
      <c r="AS30" s="365"/>
      <c r="AT30" s="384" t="s">
        <v>1533</v>
      </c>
      <c r="AU30" s="383" t="s">
        <v>1458</v>
      </c>
      <c r="AV30" s="383" t="s">
        <v>1593</v>
      </c>
      <c r="AW30" s="384" t="s">
        <v>1597</v>
      </c>
      <c r="AX30" s="365"/>
      <c r="AY30" s="365"/>
      <c r="AZ30" s="385" t="s">
        <v>1553</v>
      </c>
      <c r="BC30" s="407"/>
      <c r="BE30" s="348"/>
      <c r="BF30" s="348"/>
      <c r="BG30" s="348"/>
      <c r="BH30" s="348"/>
      <c r="BI30" s="348"/>
      <c r="BJ30" s="348"/>
    </row>
    <row r="31">
      <c r="A31" s="397" t="s">
        <v>1559</v>
      </c>
      <c r="B31" s="335" t="s">
        <v>1457</v>
      </c>
      <c r="C31" s="334" t="s">
        <v>1505</v>
      </c>
      <c r="D31" s="383" t="s">
        <v>1526</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1598</v>
      </c>
      <c r="Z31" s="391"/>
      <c r="AA31" s="399"/>
      <c r="AB31" s="399"/>
      <c r="AC31" s="400"/>
      <c r="AD31" s="380" t="s">
        <v>1596</v>
      </c>
      <c r="AE31" s="383" t="s">
        <v>1314</v>
      </c>
      <c r="AF31" s="335">
        <v>1.3</v>
      </c>
      <c r="AG31" s="335">
        <v>18</v>
      </c>
      <c r="AH31" s="337">
        <v>0</v>
      </c>
      <c r="AI31" s="335"/>
      <c r="AJ31" s="396" t="s">
        <v>1599</v>
      </c>
      <c r="AK31" s="382"/>
      <c r="AL31" s="347"/>
      <c r="AM31" s="388"/>
      <c r="AN31" s="388"/>
      <c r="AO31" s="388"/>
      <c r="AP31" s="409"/>
      <c r="AQ31" s="388"/>
      <c r="AR31" s="385"/>
      <c r="AS31" s="365"/>
      <c r="AT31" s="384" t="s">
        <v>1533</v>
      </c>
      <c r="AU31" s="383" t="s">
        <v>1468</v>
      </c>
      <c r="AV31" s="383" t="s">
        <v>1584</v>
      </c>
      <c r="AW31" s="384" t="s">
        <v>1600</v>
      </c>
      <c r="AX31" s="365"/>
      <c r="AY31" s="365"/>
      <c r="AZ31" s="385" t="s">
        <v>1553</v>
      </c>
      <c r="BB31" s="348"/>
      <c r="BC31" s="407"/>
      <c r="BE31" s="348"/>
      <c r="BF31" s="348"/>
      <c r="BG31" s="348"/>
      <c r="BH31" s="348"/>
      <c r="BI31" s="348"/>
      <c r="BJ31" s="348"/>
    </row>
    <row r="32" s="348" customFormat="1">
      <c r="A32" s="397" t="s">
        <v>1559</v>
      </c>
      <c r="B32" s="335" t="s">
        <v>1457</v>
      </c>
      <c r="C32" s="334" t="s">
        <v>1505</v>
      </c>
      <c r="D32" s="383" t="s">
        <v>1534</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1601</v>
      </c>
      <c r="Z32" s="391"/>
      <c r="AA32" s="399"/>
      <c r="AB32" s="399"/>
      <c r="AC32" s="400"/>
      <c r="AD32" s="402" t="s">
        <v>1602</v>
      </c>
      <c r="AE32" s="385" t="s">
        <v>1480</v>
      </c>
      <c r="AF32" s="394">
        <v>2.58</v>
      </c>
      <c r="AG32" s="394">
        <v>17.2</v>
      </c>
      <c r="AH32" s="337">
        <v>0</v>
      </c>
      <c r="AI32" s="335"/>
      <c r="AJ32" s="389" t="s">
        <v>1603</v>
      </c>
      <c r="AK32" s="382"/>
      <c r="AL32" s="347"/>
      <c r="AM32" s="388"/>
      <c r="AN32" s="388"/>
      <c r="AO32" s="388"/>
      <c r="AP32" s="409"/>
      <c r="AQ32" s="388"/>
      <c r="AR32" s="385"/>
      <c r="AS32" s="365"/>
      <c r="AT32" s="384" t="s">
        <v>1533</v>
      </c>
      <c r="AU32" s="385" t="s">
        <v>1480</v>
      </c>
      <c r="AV32" s="385" t="s">
        <v>1604</v>
      </c>
      <c r="AW32" s="384" t="s">
        <v>1605</v>
      </c>
      <c r="AX32" s="365"/>
      <c r="AY32" s="365"/>
      <c r="AZ32" s="385" t="s">
        <v>1461</v>
      </c>
      <c r="BA32" s="349"/>
      <c r="BC32" s="407"/>
      <c r="BD32" s="408"/>
    </row>
    <row r="33" s="348" customFormat="1">
      <c r="A33" s="397" t="s">
        <v>1556</v>
      </c>
      <c r="B33" s="335" t="s">
        <v>1457</v>
      </c>
      <c r="C33" s="334" t="s">
        <v>1505</v>
      </c>
      <c r="D33" s="383" t="s">
        <v>1526</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1606</v>
      </c>
      <c r="Z33" s="333"/>
      <c r="AA33" s="333"/>
      <c r="AB33" s="333"/>
      <c r="AC33" s="379"/>
      <c r="AD33" s="380" t="s">
        <v>1607</v>
      </c>
      <c r="AE33" s="383" t="s">
        <v>1314</v>
      </c>
      <c r="AF33" s="335">
        <v>1.31</v>
      </c>
      <c r="AG33" s="335">
        <v>18</v>
      </c>
      <c r="AH33" s="337">
        <v>0</v>
      </c>
      <c r="AI33" s="335"/>
      <c r="AJ33" s="389" t="s">
        <v>1608</v>
      </c>
      <c r="AK33" s="398"/>
      <c r="AL33" s="334"/>
      <c r="AM33" s="335"/>
      <c r="AN33" s="335"/>
      <c r="AO33" s="335"/>
      <c r="AP33" s="409"/>
      <c r="AQ33" s="388"/>
      <c r="AR33" s="385"/>
      <c r="AS33" s="365"/>
      <c r="AT33" s="384" t="s">
        <v>1538</v>
      </c>
      <c r="AU33" s="383" t="s">
        <v>1458</v>
      </c>
      <c r="AV33" s="383" t="s">
        <v>1593</v>
      </c>
      <c r="AW33" s="384" t="s">
        <v>1609</v>
      </c>
      <c r="AX33" s="365"/>
      <c r="AY33" s="365"/>
      <c r="AZ33" s="385" t="s">
        <v>1461</v>
      </c>
      <c r="BA33" s="349"/>
      <c r="BC33" s="407"/>
      <c r="BD33" s="408"/>
    </row>
    <row r="34" s="348" customFormat="1">
      <c r="A34" s="397" t="s">
        <v>1556</v>
      </c>
      <c r="B34" s="335" t="s">
        <v>1457</v>
      </c>
      <c r="C34" s="334" t="s">
        <v>1505</v>
      </c>
      <c r="D34" s="383" t="s">
        <v>1534</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1610</v>
      </c>
      <c r="Z34" s="391"/>
      <c r="AA34" s="397"/>
      <c r="AB34" s="397"/>
      <c r="AC34" s="379"/>
      <c r="AD34" s="384" t="s">
        <v>1481</v>
      </c>
      <c r="AE34" s="342" t="s">
        <v>1458</v>
      </c>
      <c r="AF34" s="392">
        <v>2.45</v>
      </c>
      <c r="AG34" s="392">
        <v>17.5</v>
      </c>
      <c r="AH34" s="337">
        <v>0</v>
      </c>
      <c r="AI34" s="383"/>
      <c r="AJ34" s="404" t="s">
        <v>1551</v>
      </c>
      <c r="AK34" s="398"/>
      <c r="AL34" s="334"/>
      <c r="AM34" s="335"/>
      <c r="AN34" s="335"/>
      <c r="AO34" s="335"/>
      <c r="AP34" s="409"/>
      <c r="AQ34" s="388"/>
      <c r="AR34" s="385"/>
      <c r="AS34" s="365"/>
      <c r="AT34" s="384" t="s">
        <v>1538</v>
      </c>
      <c r="AU34" s="383" t="s">
        <v>1468</v>
      </c>
      <c r="AV34" s="383" t="s">
        <v>1584</v>
      </c>
      <c r="AW34" s="384" t="s">
        <v>1611</v>
      </c>
      <c r="AX34" s="365"/>
      <c r="AY34" s="365"/>
      <c r="AZ34" s="385" t="s">
        <v>1461</v>
      </c>
      <c r="BA34" s="349"/>
      <c r="BB34" s="350"/>
      <c r="BC34" s="411"/>
      <c r="BD34" s="408"/>
      <c r="BE34" s="350"/>
      <c r="BF34" s="350"/>
      <c r="BG34" s="350"/>
    </row>
    <row r="35" s="348" customFormat="1">
      <c r="A35" s="333" t="s">
        <v>1479</v>
      </c>
      <c r="B35" s="335" t="s">
        <v>1457</v>
      </c>
      <c r="C35" s="334" t="s">
        <v>1458</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1612</v>
      </c>
      <c r="Z35" s="391"/>
      <c r="AA35" s="397"/>
      <c r="AB35" s="397"/>
      <c r="AC35" s="400"/>
      <c r="AD35" s="384" t="s">
        <v>1481</v>
      </c>
      <c r="AE35" s="342" t="s">
        <v>1468</v>
      </c>
      <c r="AF35" s="392">
        <v>2.45</v>
      </c>
      <c r="AG35" s="392">
        <v>17</v>
      </c>
      <c r="AH35" s="337">
        <v>0</v>
      </c>
      <c r="AI35" s="335"/>
      <c r="AJ35" s="396" t="s">
        <v>1613</v>
      </c>
      <c r="AK35" s="403"/>
      <c r="AL35" s="334"/>
      <c r="AM35" s="335"/>
      <c r="AN35" s="335"/>
      <c r="AO35" s="335"/>
      <c r="AP35" s="409"/>
      <c r="AQ35" s="388"/>
      <c r="AR35" s="385"/>
      <c r="AS35" s="365"/>
      <c r="AT35" s="384" t="s">
        <v>1538</v>
      </c>
      <c r="AU35" s="385" t="s">
        <v>1480</v>
      </c>
      <c r="AV35" s="385" t="s">
        <v>1604</v>
      </c>
      <c r="AW35" s="384" t="s">
        <v>1614</v>
      </c>
      <c r="AX35" s="365"/>
      <c r="AY35" s="365"/>
      <c r="AZ35" s="385" t="s">
        <v>1461</v>
      </c>
      <c r="BA35" s="349"/>
      <c r="BB35" s="350"/>
      <c r="BC35" s="411"/>
      <c r="BD35" s="408"/>
      <c r="BE35" s="350"/>
      <c r="BF35" s="350"/>
      <c r="BG35" s="350"/>
    </row>
    <row r="36" s="348" customFormat="1">
      <c r="A36" s="333" t="s">
        <v>1479</v>
      </c>
      <c r="B36" s="335" t="s">
        <v>1457</v>
      </c>
      <c r="C36" s="334" t="s">
        <v>1458</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1615</v>
      </c>
      <c r="Z36" s="391"/>
      <c r="AA36" s="397"/>
      <c r="AB36" s="397"/>
      <c r="AC36" s="400"/>
      <c r="AD36" s="384" t="s">
        <v>1486</v>
      </c>
      <c r="AE36" s="342" t="s">
        <v>1458</v>
      </c>
      <c r="AF36" s="392">
        <v>2.45</v>
      </c>
      <c r="AG36" s="392">
        <v>17.1</v>
      </c>
      <c r="AH36" s="337">
        <v>0</v>
      </c>
      <c r="AI36" s="385"/>
      <c r="AJ36" s="404" t="s">
        <v>1566</v>
      </c>
      <c r="AK36" s="403"/>
      <c r="AL36" s="334"/>
      <c r="AM36" s="335"/>
      <c r="AN36" s="335"/>
      <c r="AO36" s="335"/>
      <c r="AP36" s="409"/>
      <c r="AQ36" s="388"/>
      <c r="AR36" s="385"/>
      <c r="AS36" s="365"/>
      <c r="AT36" s="384" t="s">
        <v>1543</v>
      </c>
      <c r="AU36" s="383" t="s">
        <v>1458</v>
      </c>
      <c r="AV36" s="383" t="s">
        <v>1593</v>
      </c>
      <c r="AW36" s="399" t="s">
        <v>1616</v>
      </c>
      <c r="AX36" s="365"/>
      <c r="AY36" s="365"/>
      <c r="AZ36" s="385" t="s">
        <v>1461</v>
      </c>
      <c r="BA36" s="349"/>
      <c r="BB36" s="350"/>
      <c r="BC36" s="411"/>
      <c r="BD36" s="408"/>
      <c r="BE36" s="350"/>
      <c r="BF36" s="350"/>
      <c r="BG36" s="350"/>
    </row>
    <row r="37" s="348" customFormat="1">
      <c r="A37" s="333" t="s">
        <v>1479</v>
      </c>
      <c r="B37" s="335" t="s">
        <v>1457</v>
      </c>
      <c r="C37" s="334" t="s">
        <v>1458</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1617</v>
      </c>
      <c r="Z37" s="335"/>
      <c r="AA37" s="399"/>
      <c r="AB37" s="399"/>
      <c r="AC37" s="400"/>
      <c r="AD37" s="384" t="s">
        <v>1486</v>
      </c>
      <c r="AE37" s="342" t="s">
        <v>1468</v>
      </c>
      <c r="AF37" s="392">
        <v>2.45</v>
      </c>
      <c r="AG37" s="392">
        <v>16.7</v>
      </c>
      <c r="AH37" s="337">
        <v>0</v>
      </c>
      <c r="AI37" s="385"/>
      <c r="AJ37" s="381" t="s">
        <v>1560</v>
      </c>
      <c r="AK37" s="403"/>
      <c r="AL37" s="334"/>
      <c r="AM37" s="335"/>
      <c r="AN37" s="335"/>
      <c r="AO37" s="335"/>
      <c r="AP37" s="409"/>
      <c r="AQ37" s="388"/>
      <c r="AR37" s="385"/>
      <c r="AS37" s="365"/>
      <c r="AT37" s="384" t="s">
        <v>1543</v>
      </c>
      <c r="AU37" s="383" t="s">
        <v>1468</v>
      </c>
      <c r="AV37" s="383" t="s">
        <v>1584</v>
      </c>
      <c r="AW37" s="399" t="s">
        <v>1618</v>
      </c>
      <c r="AX37" s="365"/>
      <c r="AY37" s="365"/>
      <c r="AZ37" s="385" t="s">
        <v>1461</v>
      </c>
      <c r="BA37" s="349"/>
      <c r="BB37" s="350"/>
      <c r="BC37" s="411"/>
      <c r="BD37" s="408"/>
      <c r="BE37" s="350"/>
      <c r="BF37" s="350"/>
      <c r="BG37" s="350"/>
    </row>
    <row r="38" s="348" customFormat="1">
      <c r="A38" s="333" t="s">
        <v>1479</v>
      </c>
      <c r="B38" s="335" t="s">
        <v>1457</v>
      </c>
      <c r="C38" s="334" t="s">
        <v>1458</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1619</v>
      </c>
      <c r="Z38" s="335"/>
      <c r="AA38" s="399"/>
      <c r="AB38" s="399"/>
      <c r="AC38" s="400"/>
      <c r="AD38" s="397" t="s">
        <v>1497</v>
      </c>
      <c r="AE38" s="342" t="s">
        <v>1458</v>
      </c>
      <c r="AF38" s="335">
        <v>2.45</v>
      </c>
      <c r="AG38" s="335">
        <v>17.8</v>
      </c>
      <c r="AH38" s="337">
        <v>0</v>
      </c>
      <c r="AI38" s="392"/>
      <c r="AJ38" s="381" t="s">
        <v>1557</v>
      </c>
      <c r="AK38" s="403"/>
      <c r="AL38" s="334"/>
      <c r="AM38" s="335"/>
      <c r="AN38" s="335"/>
      <c r="AO38" s="335"/>
      <c r="AP38" s="409"/>
      <c r="AQ38" s="388"/>
      <c r="AR38" s="385"/>
      <c r="AS38" s="365"/>
      <c r="AT38" s="384" t="s">
        <v>1543</v>
      </c>
      <c r="AU38" s="385" t="s">
        <v>1480</v>
      </c>
      <c r="AV38" s="385" t="s">
        <v>1604</v>
      </c>
      <c r="AW38" s="399" t="s">
        <v>1620</v>
      </c>
      <c r="AX38" s="365"/>
      <c r="AY38" s="365"/>
      <c r="AZ38" s="385" t="s">
        <v>1461</v>
      </c>
      <c r="BA38" s="349"/>
      <c r="BB38" s="350"/>
      <c r="BC38" s="411"/>
      <c r="BD38" s="408"/>
      <c r="BE38" s="350"/>
      <c r="BF38" s="350"/>
      <c r="BG38" s="350"/>
    </row>
    <row r="39" s="348" customFormat="1">
      <c r="A39" s="333" t="s">
        <v>1479</v>
      </c>
      <c r="B39" s="335" t="s">
        <v>1457</v>
      </c>
      <c r="C39" s="334" t="s">
        <v>1468</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1621</v>
      </c>
      <c r="Z39" s="335"/>
      <c r="AA39" s="333"/>
      <c r="AB39" s="333"/>
      <c r="AC39" s="400"/>
      <c r="AD39" s="380" t="s">
        <v>1511</v>
      </c>
      <c r="AE39" s="342" t="s">
        <v>1458</v>
      </c>
      <c r="AF39" s="335">
        <v>2.44</v>
      </c>
      <c r="AG39" s="335">
        <v>18.1</v>
      </c>
      <c r="AH39" s="337">
        <v>0</v>
      </c>
      <c r="AI39" s="392"/>
      <c r="AJ39" s="404" t="s">
        <v>1316</v>
      </c>
      <c r="AK39" s="382"/>
      <c r="AL39" s="347"/>
      <c r="AM39" s="388"/>
      <c r="AN39" s="388"/>
      <c r="AO39" s="388"/>
      <c r="AP39" s="409"/>
      <c r="AQ39" s="388"/>
      <c r="AR39" s="385"/>
      <c r="AS39" s="365"/>
      <c r="AT39" s="384" t="s">
        <v>1548</v>
      </c>
      <c r="AU39" s="383" t="s">
        <v>1458</v>
      </c>
      <c r="AV39" s="383" t="s">
        <v>1593</v>
      </c>
      <c r="AW39" s="399" t="s">
        <v>1622</v>
      </c>
      <c r="AX39" s="365"/>
      <c r="AY39" s="365"/>
      <c r="AZ39" s="385" t="s">
        <v>1461</v>
      </c>
      <c r="BA39" s="349"/>
      <c r="BB39" s="350"/>
      <c r="BC39" s="411"/>
      <c r="BD39" s="408"/>
      <c r="BE39" s="350"/>
      <c r="BF39" s="350"/>
      <c r="BG39" s="350"/>
    </row>
    <row r="40" s="348" customFormat="1">
      <c r="A40" s="333" t="s">
        <v>1479</v>
      </c>
      <c r="B40" s="335" t="s">
        <v>1457</v>
      </c>
      <c r="C40" s="334" t="s">
        <v>1468</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1316</v>
      </c>
      <c r="AE40" s="383" t="s">
        <v>1314</v>
      </c>
      <c r="AF40" s="392">
        <v>1.35</v>
      </c>
      <c r="AG40" s="392">
        <v>18.4</v>
      </c>
      <c r="AH40" s="337">
        <v>0</v>
      </c>
      <c r="AI40" s="335"/>
      <c r="AJ40" s="381" t="s">
        <v>1623</v>
      </c>
      <c r="AK40" s="382"/>
      <c r="AL40" s="347"/>
      <c r="AM40" s="388"/>
      <c r="AN40" s="388"/>
      <c r="AO40" s="388"/>
      <c r="AP40" s="409"/>
      <c r="AQ40" s="388"/>
      <c r="AR40" s="385"/>
      <c r="AS40" s="365"/>
      <c r="AT40" s="384" t="s">
        <v>1548</v>
      </c>
      <c r="AU40" s="383" t="s">
        <v>1468</v>
      </c>
      <c r="AV40" s="383" t="s">
        <v>1584</v>
      </c>
      <c r="AW40" s="399" t="s">
        <v>1624</v>
      </c>
      <c r="AX40" s="365"/>
      <c r="AY40" s="365"/>
      <c r="AZ40" s="385" t="s">
        <v>1572</v>
      </c>
      <c r="BA40" s="349"/>
      <c r="BB40" s="350"/>
      <c r="BC40" s="411"/>
      <c r="BD40" s="408"/>
      <c r="BE40" s="350"/>
      <c r="BF40" s="350"/>
      <c r="BG40" s="350"/>
    </row>
    <row r="41" s="348" customFormat="1">
      <c r="A41" s="333" t="s">
        <v>1479</v>
      </c>
      <c r="B41" s="335" t="s">
        <v>1457</v>
      </c>
      <c r="C41" s="334" t="s">
        <v>1468</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1608</v>
      </c>
      <c r="AE41" s="383" t="s">
        <v>1314</v>
      </c>
      <c r="AF41" s="392">
        <v>1.3</v>
      </c>
      <c r="AG41" s="392">
        <v>18</v>
      </c>
      <c r="AH41" s="337">
        <v>0</v>
      </c>
      <c r="AI41" s="335"/>
      <c r="AJ41" s="381" t="s">
        <v>1625</v>
      </c>
      <c r="AK41" s="398"/>
      <c r="AL41" s="334"/>
      <c r="AM41" s="335"/>
      <c r="AN41" s="335"/>
      <c r="AO41" s="335"/>
      <c r="AP41" s="409"/>
      <c r="AQ41" s="388"/>
      <c r="AR41" s="385"/>
      <c r="AS41" s="365"/>
      <c r="AT41" s="384" t="s">
        <v>1548</v>
      </c>
      <c r="AU41" s="385" t="s">
        <v>1480</v>
      </c>
      <c r="AV41" s="385" t="s">
        <v>1604</v>
      </c>
      <c r="AW41" s="399" t="s">
        <v>1626</v>
      </c>
      <c r="AX41" s="365"/>
      <c r="AY41" s="365"/>
      <c r="AZ41" s="385" t="s">
        <v>1572</v>
      </c>
      <c r="BA41" s="349"/>
      <c r="BB41" s="350"/>
      <c r="BC41" s="411"/>
      <c r="BD41" s="408"/>
      <c r="BE41" s="350"/>
      <c r="BF41" s="350"/>
      <c r="BG41" s="350"/>
    </row>
    <row r="42" s="348" customFormat="1">
      <c r="A42" s="333" t="s">
        <v>1479</v>
      </c>
      <c r="B42" s="335" t="s">
        <v>1457</v>
      </c>
      <c r="C42" s="334" t="s">
        <v>1468</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1479</v>
      </c>
      <c r="B43" s="335" t="s">
        <v>1457</v>
      </c>
      <c r="C43" s="334" t="s">
        <v>1480</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1479</v>
      </c>
      <c r="B44" s="335" t="s">
        <v>1457</v>
      </c>
      <c r="C44" s="334" t="s">
        <v>1480</v>
      </c>
      <c r="D44" s="383" t="s">
        <v>1530</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1599</v>
      </c>
      <c r="AE44" s="342" t="s">
        <v>1468</v>
      </c>
      <c r="AF44" s="392">
        <v>0.493</v>
      </c>
      <c r="AG44" s="392">
        <v>2</v>
      </c>
      <c r="AH44" s="414">
        <v>0</v>
      </c>
      <c r="AI44" s="385"/>
      <c r="AJ44" s="415" t="s">
        <v>1570</v>
      </c>
      <c r="AK44" s="403"/>
      <c r="AL44" s="334"/>
      <c r="AM44" s="335"/>
      <c r="AN44" s="335"/>
      <c r="AO44" s="335"/>
      <c r="AP44" s="409"/>
      <c r="AQ44" s="388"/>
      <c r="AR44" s="385"/>
      <c r="AS44" s="365"/>
      <c r="AT44" s="384" t="s">
        <v>1554</v>
      </c>
      <c r="AU44" s="383" t="s">
        <v>1480</v>
      </c>
      <c r="AV44" s="383" t="s">
        <v>1604</v>
      </c>
      <c r="AW44" s="399" t="s">
        <v>1627</v>
      </c>
      <c r="AX44" s="365"/>
      <c r="AY44" s="365"/>
      <c r="AZ44" s="385" t="s">
        <v>1572</v>
      </c>
      <c r="BB44" s="348"/>
      <c r="BC44" s="407"/>
      <c r="BE44" s="348"/>
      <c r="BF44" s="348"/>
      <c r="BG44" s="348"/>
    </row>
    <row r="45">
      <c r="A45" s="397" t="s">
        <v>1479</v>
      </c>
      <c r="B45" s="335" t="s">
        <v>1457</v>
      </c>
      <c r="C45" s="334" t="s">
        <v>1480</v>
      </c>
      <c r="D45" s="383" t="s">
        <v>1526</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1599</v>
      </c>
      <c r="AE45" s="383" t="s">
        <v>1314</v>
      </c>
      <c r="AF45" s="392">
        <v>0.493</v>
      </c>
      <c r="AG45" s="392">
        <v>2</v>
      </c>
      <c r="AH45" s="337">
        <v>0</v>
      </c>
      <c r="AI45" s="335"/>
      <c r="AJ45" s="381" t="s">
        <v>1575</v>
      </c>
      <c r="AK45" s="398"/>
      <c r="AL45" s="332"/>
      <c r="AM45" s="335"/>
      <c r="AN45" s="335"/>
      <c r="AO45" s="335"/>
      <c r="AP45" s="409"/>
      <c r="AQ45" s="388"/>
      <c r="AR45" s="385"/>
      <c r="AS45" s="365"/>
      <c r="AT45" s="384" t="s">
        <v>1558</v>
      </c>
      <c r="AU45" s="383" t="s">
        <v>1458</v>
      </c>
      <c r="AV45" s="383" t="s">
        <v>1593</v>
      </c>
      <c r="AW45" s="399" t="s">
        <v>1628</v>
      </c>
      <c r="AX45" s="365"/>
      <c r="AY45" s="365"/>
      <c r="AZ45" s="385" t="s">
        <v>1572</v>
      </c>
      <c r="BB45" s="348"/>
      <c r="BC45" s="407"/>
      <c r="BE45" s="348"/>
      <c r="BF45" s="348"/>
      <c r="BG45" s="348"/>
    </row>
    <row r="46">
      <c r="A46" s="397" t="s">
        <v>1479</v>
      </c>
      <c r="B46" s="335" t="s">
        <v>1457</v>
      </c>
      <c r="C46" s="334" t="s">
        <v>1480</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1629</v>
      </c>
      <c r="AE46" s="342" t="s">
        <v>1468</v>
      </c>
      <c r="AF46" s="335">
        <v>1.35</v>
      </c>
      <c r="AG46" s="335">
        <v>18</v>
      </c>
      <c r="AH46" s="337">
        <v>0</v>
      </c>
      <c r="AI46" s="335"/>
      <c r="AJ46" s="416" t="s">
        <v>1579</v>
      </c>
      <c r="AK46" s="398"/>
      <c r="AL46" s="332"/>
      <c r="AM46" s="335"/>
      <c r="AN46" s="335"/>
      <c r="AO46" s="335"/>
      <c r="AP46" s="409"/>
      <c r="AQ46" s="388"/>
      <c r="AR46" s="385"/>
      <c r="AS46" s="365"/>
      <c r="AT46" s="384" t="s">
        <v>1558</v>
      </c>
      <c r="AU46" s="383" t="s">
        <v>1468</v>
      </c>
      <c r="AV46" s="383" t="s">
        <v>1584</v>
      </c>
      <c r="AW46" s="399" t="s">
        <v>1630</v>
      </c>
      <c r="AX46" s="365"/>
      <c r="AY46" s="365"/>
      <c r="AZ46" s="385" t="s">
        <v>1572</v>
      </c>
      <c r="BB46" s="348"/>
      <c r="BC46" s="407"/>
      <c r="BE46" s="348"/>
      <c r="BF46" s="348"/>
      <c r="BG46" s="348"/>
    </row>
    <row r="47">
      <c r="A47" s="397" t="s">
        <v>1485</v>
      </c>
      <c r="B47" s="335" t="s">
        <v>1457</v>
      </c>
      <c r="C47" s="334" t="s">
        <v>1480</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1629</v>
      </c>
      <c r="AE47" s="383" t="s">
        <v>1314</v>
      </c>
      <c r="AF47" s="335">
        <v>1.35</v>
      </c>
      <c r="AG47" s="335">
        <v>18</v>
      </c>
      <c r="AH47" s="337">
        <v>0</v>
      </c>
      <c r="AI47" s="335"/>
      <c r="AJ47" s="416" t="s">
        <v>1631</v>
      </c>
      <c r="AK47" s="398"/>
      <c r="AL47" s="332"/>
      <c r="AM47" s="335"/>
      <c r="AN47" s="335"/>
      <c r="AO47" s="335"/>
      <c r="AP47" s="409"/>
      <c r="AQ47" s="388"/>
      <c r="AR47" s="385"/>
      <c r="AS47" s="365"/>
      <c r="AT47" s="399" t="s">
        <v>1561</v>
      </c>
      <c r="AU47" s="383" t="s">
        <v>1458</v>
      </c>
      <c r="AV47" s="383" t="s">
        <v>1593</v>
      </c>
      <c r="AW47" s="399" t="s">
        <v>1632</v>
      </c>
      <c r="AX47" s="365"/>
      <c r="AY47" s="365"/>
      <c r="AZ47" s="385" t="s">
        <v>1572</v>
      </c>
      <c r="BB47" s="348"/>
      <c r="BC47" s="407"/>
      <c r="BE47" s="348"/>
      <c r="BF47" s="348"/>
      <c r="BG47" s="348"/>
    </row>
    <row r="48">
      <c r="A48" s="397" t="s">
        <v>1485</v>
      </c>
      <c r="B48" s="335" t="s">
        <v>1457</v>
      </c>
      <c r="C48" s="334" t="s">
        <v>1480</v>
      </c>
      <c r="D48" s="383" t="s">
        <v>1530</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1592</v>
      </c>
      <c r="AE48" s="342" t="s">
        <v>1458</v>
      </c>
      <c r="AF48" s="335">
        <v>2.58</v>
      </c>
      <c r="AG48" s="335">
        <v>17.5</v>
      </c>
      <c r="AH48" s="337">
        <v>6</v>
      </c>
      <c r="AI48" s="335"/>
      <c r="AJ48" s="416" t="s">
        <v>1633</v>
      </c>
      <c r="AK48" s="398"/>
      <c r="AL48" s="332"/>
      <c r="AM48" s="335"/>
      <c r="AN48" s="335"/>
      <c r="AO48" s="335"/>
      <c r="AP48" s="409"/>
      <c r="AQ48" s="388"/>
      <c r="AR48" s="385"/>
      <c r="AS48" s="365"/>
      <c r="AT48" s="399" t="s">
        <v>1561</v>
      </c>
      <c r="AU48" s="383" t="s">
        <v>1468</v>
      </c>
      <c r="AV48" s="383" t="s">
        <v>1584</v>
      </c>
      <c r="AW48" s="384"/>
      <c r="AX48" s="365"/>
      <c r="AY48" s="365"/>
      <c r="AZ48" s="385"/>
      <c r="BB48" s="348"/>
      <c r="BC48" s="407"/>
      <c r="BE48" s="348"/>
      <c r="BF48" s="348"/>
      <c r="BG48" s="348"/>
    </row>
    <row r="49">
      <c r="A49" s="397" t="s">
        <v>1485</v>
      </c>
      <c r="B49" s="335" t="s">
        <v>1457</v>
      </c>
      <c r="C49" s="334" t="s">
        <v>1480</v>
      </c>
      <c r="D49" s="383" t="s">
        <v>1526</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1592</v>
      </c>
      <c r="AE49" s="342" t="s">
        <v>1468</v>
      </c>
      <c r="AF49" s="335">
        <v>2.58</v>
      </c>
      <c r="AG49" s="335">
        <v>17.5</v>
      </c>
      <c r="AH49" s="337">
        <v>6</v>
      </c>
      <c r="AI49" s="335"/>
      <c r="AJ49" s="381" t="s">
        <v>1634</v>
      </c>
      <c r="AK49" s="398"/>
      <c r="AL49" s="332"/>
      <c r="AM49" s="335"/>
      <c r="AN49" s="335"/>
      <c r="AO49" s="335"/>
      <c r="AP49" s="409"/>
      <c r="AQ49" s="388"/>
      <c r="AR49" s="385"/>
      <c r="AS49" s="365"/>
      <c r="AT49" s="399" t="s">
        <v>1564</v>
      </c>
      <c r="AU49" s="383" t="s">
        <v>1505</v>
      </c>
      <c r="AV49" s="383" t="s">
        <v>1635</v>
      </c>
      <c r="AW49" s="399"/>
      <c r="AX49" s="365"/>
      <c r="AY49" s="365"/>
      <c r="AZ49" s="385"/>
      <c r="BB49" s="348"/>
      <c r="BC49" s="407"/>
      <c r="BE49" s="348"/>
      <c r="BF49" s="348"/>
      <c r="BG49" s="348"/>
    </row>
    <row r="50">
      <c r="A50" s="397" t="s">
        <v>1485</v>
      </c>
      <c r="B50" s="335" t="s">
        <v>1457</v>
      </c>
      <c r="C50" s="334" t="s">
        <v>1480</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1592</v>
      </c>
      <c r="AE50" s="385" t="s">
        <v>1480</v>
      </c>
      <c r="AF50" s="335">
        <v>2.58</v>
      </c>
      <c r="AG50" s="335">
        <v>17.5</v>
      </c>
      <c r="AH50" s="337">
        <v>6</v>
      </c>
      <c r="AI50" s="335"/>
      <c r="AJ50" s="381" t="s">
        <v>1596</v>
      </c>
      <c r="AK50" s="398"/>
      <c r="AL50" s="332"/>
      <c r="AM50" s="335"/>
      <c r="AN50" s="335"/>
      <c r="AO50" s="335"/>
      <c r="AP50" s="409"/>
      <c r="AQ50" s="388"/>
      <c r="AR50" s="385"/>
      <c r="AS50" s="365"/>
      <c r="AT50" s="399" t="s">
        <v>1568</v>
      </c>
      <c r="AU50" s="385" t="s">
        <v>1463</v>
      </c>
      <c r="AV50" s="383" t="s">
        <v>1636</v>
      </c>
      <c r="AW50" s="399"/>
      <c r="AX50" s="365"/>
      <c r="AY50" s="365"/>
      <c r="AZ50" s="385"/>
      <c r="BB50" s="348"/>
      <c r="BC50" s="407"/>
      <c r="BE50" s="348"/>
      <c r="BF50" s="348"/>
      <c r="BG50" s="348"/>
    </row>
    <row r="51">
      <c r="A51" s="397" t="s">
        <v>1489</v>
      </c>
      <c r="B51" s="335" t="s">
        <v>1457</v>
      </c>
      <c r="C51" s="334" t="s">
        <v>1480</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1583</v>
      </c>
      <c r="AE51" s="342" t="s">
        <v>1458</v>
      </c>
      <c r="AF51" s="335">
        <v>2.58</v>
      </c>
      <c r="AG51" s="335">
        <v>18</v>
      </c>
      <c r="AH51" s="337">
        <v>6</v>
      </c>
      <c r="AI51" s="335"/>
      <c r="AJ51" s="381" t="s">
        <v>1602</v>
      </c>
      <c r="AK51" s="398"/>
      <c r="AL51" s="332"/>
      <c r="AM51" s="335"/>
      <c r="AN51" s="335"/>
      <c r="AO51" s="335"/>
      <c r="AP51" s="409"/>
      <c r="AQ51" s="388"/>
      <c r="AR51" s="385"/>
      <c r="AS51" s="365"/>
      <c r="AT51" s="399" t="s">
        <v>1573</v>
      </c>
      <c r="AU51" s="383" t="s">
        <v>1314</v>
      </c>
      <c r="AV51" s="383" t="s">
        <v>1637</v>
      </c>
      <c r="AW51" s="399"/>
      <c r="AX51" s="365"/>
      <c r="AY51" s="365"/>
      <c r="AZ51" s="385"/>
      <c r="BB51" s="348"/>
      <c r="BC51" s="407"/>
      <c r="BE51" s="348"/>
      <c r="BF51" s="348"/>
      <c r="BG51" s="348"/>
    </row>
    <row r="52">
      <c r="A52" s="397" t="s">
        <v>1489</v>
      </c>
      <c r="B52" s="335" t="s">
        <v>1457</v>
      </c>
      <c r="C52" s="334" t="s">
        <v>1480</v>
      </c>
      <c r="D52" s="383" t="s">
        <v>1530</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1625</v>
      </c>
      <c r="AE52" s="383" t="s">
        <v>1458</v>
      </c>
      <c r="AF52" s="335">
        <v>2.55</v>
      </c>
      <c r="AG52" s="335">
        <v>16.8</v>
      </c>
      <c r="AH52" s="337">
        <v>0</v>
      </c>
      <c r="AI52" s="335"/>
      <c r="AJ52" s="416" t="s">
        <v>1591</v>
      </c>
      <c r="AK52" s="398"/>
      <c r="AL52" s="332"/>
      <c r="AM52" s="335"/>
      <c r="AN52" s="335"/>
      <c r="AO52" s="335"/>
      <c r="AP52" s="409"/>
      <c r="AQ52" s="388"/>
      <c r="AR52" s="385"/>
      <c r="AS52" s="365"/>
      <c r="AT52" s="399" t="s">
        <v>1573</v>
      </c>
      <c r="AU52" s="383" t="s">
        <v>1474</v>
      </c>
      <c r="AV52" s="383" t="s">
        <v>1638</v>
      </c>
      <c r="AW52" s="399"/>
      <c r="AX52" s="365"/>
      <c r="AY52" s="365"/>
      <c r="AZ52" s="385"/>
      <c r="BB52" s="348"/>
      <c r="BC52" s="407"/>
      <c r="BE52" s="348"/>
      <c r="BF52" s="348"/>
      <c r="BG52" s="348"/>
      <c r="BH52" s="348"/>
      <c r="BI52" s="348"/>
      <c r="BJ52" s="348"/>
    </row>
    <row r="53">
      <c r="A53" s="397" t="s">
        <v>1489</v>
      </c>
      <c r="B53" s="335" t="s">
        <v>1457</v>
      </c>
      <c r="C53" s="334" t="s">
        <v>1480</v>
      </c>
      <c r="D53" s="383" t="s">
        <v>1526</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1625</v>
      </c>
      <c r="AE53" s="383" t="s">
        <v>1468</v>
      </c>
      <c r="AF53" s="335">
        <v>2.55</v>
      </c>
      <c r="AG53" s="335">
        <v>16.8</v>
      </c>
      <c r="AH53" s="337">
        <v>0</v>
      </c>
      <c r="AI53" s="335"/>
      <c r="AJ53" s="416" t="s">
        <v>1587</v>
      </c>
      <c r="AK53" s="398"/>
      <c r="AL53" s="332"/>
      <c r="AM53" s="335"/>
      <c r="AN53" s="335"/>
      <c r="AO53" s="335"/>
      <c r="AP53" s="409"/>
      <c r="AQ53" s="388"/>
      <c r="AR53" s="385"/>
      <c r="AS53" s="365"/>
      <c r="AT53" s="399" t="s">
        <v>1577</v>
      </c>
      <c r="AU53" s="385" t="s">
        <v>1468</v>
      </c>
      <c r="AV53" s="383" t="s">
        <v>1636</v>
      </c>
      <c r="AW53" s="384"/>
      <c r="AX53" s="365"/>
      <c r="AY53" s="365"/>
      <c r="AZ53" s="385"/>
      <c r="BH53" s="348"/>
      <c r="BI53" s="348"/>
      <c r="BJ53" s="348"/>
    </row>
    <row r="54" s="348" customFormat="1">
      <c r="A54" s="397" t="s">
        <v>1489</v>
      </c>
      <c r="B54" s="335" t="s">
        <v>1457</v>
      </c>
      <c r="C54" s="334" t="s">
        <v>1480</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1625</v>
      </c>
      <c r="AE54" s="383" t="s">
        <v>1314</v>
      </c>
      <c r="AF54" s="335">
        <v>2.55</v>
      </c>
      <c r="AG54" s="335">
        <v>17.5</v>
      </c>
      <c r="AH54" s="337">
        <v>0</v>
      </c>
      <c r="AI54" s="335"/>
      <c r="AJ54" s="416" t="s">
        <v>1607</v>
      </c>
      <c r="AK54" s="398"/>
      <c r="AL54" s="332"/>
      <c r="AM54" s="335"/>
      <c r="AN54" s="335"/>
      <c r="AO54" s="335"/>
      <c r="AP54" s="409"/>
      <c r="AQ54" s="388"/>
      <c r="AR54" s="385"/>
      <c r="AS54" s="365"/>
      <c r="AT54" s="399" t="s">
        <v>1577</v>
      </c>
      <c r="AU54" s="383" t="s">
        <v>1458</v>
      </c>
      <c r="AV54" s="383" t="s">
        <v>1638</v>
      </c>
      <c r="AW54" s="384"/>
      <c r="AX54" s="365"/>
      <c r="AY54" s="365"/>
      <c r="AZ54" s="385"/>
      <c r="BA54" s="349"/>
      <c r="BB54" s="350"/>
      <c r="BC54" s="411"/>
      <c r="BD54" s="408"/>
      <c r="BE54" s="350"/>
      <c r="BF54" s="350"/>
      <c r="BG54" s="350"/>
    </row>
    <row r="55" s="348" customFormat="1">
      <c r="A55" s="333" t="s">
        <v>1495</v>
      </c>
      <c r="B55" s="335" t="s">
        <v>1457</v>
      </c>
      <c r="C55" s="334" t="s">
        <v>1458</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1631</v>
      </c>
      <c r="AE55" s="383" t="s">
        <v>1468</v>
      </c>
      <c r="AF55" s="335">
        <v>1.47</v>
      </c>
      <c r="AG55" s="335">
        <v>17.3</v>
      </c>
      <c r="AH55" s="337">
        <v>0</v>
      </c>
      <c r="AI55" s="335"/>
      <c r="AJ55" s="335"/>
      <c r="AK55" s="419"/>
      <c r="AL55" s="332"/>
      <c r="AM55" s="335"/>
      <c r="AN55" s="335"/>
      <c r="AO55" s="335"/>
      <c r="AP55" s="409"/>
      <c r="AQ55" s="388"/>
      <c r="AR55" s="385"/>
      <c r="AS55" s="365"/>
      <c r="AT55" s="399" t="s">
        <v>1577</v>
      </c>
      <c r="AU55" s="383" t="s">
        <v>1480</v>
      </c>
      <c r="AV55" s="383" t="s">
        <v>1639</v>
      </c>
      <c r="AW55" s="384"/>
      <c r="AX55" s="365"/>
      <c r="AY55" s="365"/>
      <c r="AZ55" s="385"/>
      <c r="BA55" s="349"/>
      <c r="BB55" s="350"/>
      <c r="BC55" s="411"/>
      <c r="BD55" s="408"/>
      <c r="BE55" s="350"/>
      <c r="BF55" s="350"/>
      <c r="BG55" s="350"/>
    </row>
    <row r="56" s="348" customFormat="1">
      <c r="A56" s="333" t="s">
        <v>1495</v>
      </c>
      <c r="B56" s="335" t="s">
        <v>1457</v>
      </c>
      <c r="C56" s="334" t="s">
        <v>1458</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1631</v>
      </c>
      <c r="AE56" s="383" t="s">
        <v>1314</v>
      </c>
      <c r="AF56" s="335">
        <v>1.47</v>
      </c>
      <c r="AG56" s="335">
        <v>17.7</v>
      </c>
      <c r="AH56" s="337">
        <v>0</v>
      </c>
      <c r="AI56" s="335"/>
      <c r="AJ56" s="335"/>
      <c r="AK56" s="419"/>
      <c r="AL56" s="332"/>
      <c r="AM56" s="335"/>
      <c r="AN56" s="335"/>
      <c r="AO56" s="335"/>
      <c r="AP56" s="409"/>
      <c r="AQ56" s="388"/>
      <c r="AR56" s="385"/>
      <c r="AS56" s="365"/>
      <c r="AT56" s="399" t="s">
        <v>1581</v>
      </c>
      <c r="AU56" s="385" t="s">
        <v>1468</v>
      </c>
      <c r="AV56" s="383" t="s">
        <v>1636</v>
      </c>
      <c r="AW56" s="384"/>
      <c r="AX56" s="365"/>
      <c r="AY56" s="365"/>
      <c r="AZ56" s="385"/>
      <c r="BA56" s="349"/>
      <c r="BB56" s="350"/>
      <c r="BC56" s="411"/>
      <c r="BD56" s="408"/>
      <c r="BE56" s="350"/>
      <c r="BF56" s="350"/>
      <c r="BG56" s="350"/>
    </row>
    <row r="57" s="348" customFormat="1">
      <c r="A57" s="333" t="s">
        <v>1495</v>
      </c>
      <c r="B57" s="335" t="s">
        <v>1457</v>
      </c>
      <c r="C57" s="334" t="s">
        <v>1468</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1631</v>
      </c>
      <c r="AE57" s="383" t="s">
        <v>1463</v>
      </c>
      <c r="AF57" s="335">
        <v>1.47</v>
      </c>
      <c r="AG57" s="335">
        <v>18</v>
      </c>
      <c r="AH57" s="337">
        <v>0</v>
      </c>
      <c r="AI57" s="335"/>
      <c r="AJ57" s="335"/>
      <c r="AK57" s="419"/>
      <c r="AL57" s="332"/>
      <c r="AM57" s="335"/>
      <c r="AN57" s="335"/>
      <c r="AO57" s="335"/>
      <c r="AP57" s="409"/>
      <c r="AQ57" s="388"/>
      <c r="AR57" s="385"/>
      <c r="AS57" s="365"/>
      <c r="AT57" s="399" t="s">
        <v>1581</v>
      </c>
      <c r="AU57" s="383" t="s">
        <v>1458</v>
      </c>
      <c r="AV57" s="383" t="s">
        <v>1638</v>
      </c>
      <c r="AW57" s="384"/>
      <c r="AX57" s="365"/>
      <c r="AY57" s="365"/>
      <c r="AZ57" s="384"/>
      <c r="BA57" s="349"/>
      <c r="BB57" s="350"/>
      <c r="BC57" s="411"/>
      <c r="BD57" s="408"/>
      <c r="BE57" s="350"/>
      <c r="BF57" s="350"/>
      <c r="BG57" s="350"/>
    </row>
    <row r="58" s="348" customFormat="1">
      <c r="A58" s="333" t="s">
        <v>1495</v>
      </c>
      <c r="B58" s="335" t="s">
        <v>1457</v>
      </c>
      <c r="C58" s="334" t="s">
        <v>1468</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1510</v>
      </c>
      <c r="AE58" s="383" t="s">
        <v>1474</v>
      </c>
      <c r="AF58" s="335">
        <v>1.31</v>
      </c>
      <c r="AG58" s="335">
        <v>18</v>
      </c>
      <c r="AH58" s="337">
        <v>0</v>
      </c>
      <c r="AI58" s="335"/>
      <c r="AJ58" s="335"/>
      <c r="AK58" s="419"/>
      <c r="AL58" s="332"/>
      <c r="AM58" s="335"/>
      <c r="AN58" s="335"/>
      <c r="AO58" s="335"/>
      <c r="AP58" s="409"/>
      <c r="AQ58" s="388"/>
      <c r="AR58" s="385"/>
      <c r="AS58" s="365"/>
      <c r="AT58" s="399" t="s">
        <v>1581</v>
      </c>
      <c r="AU58" s="383" t="s">
        <v>1480</v>
      </c>
      <c r="AV58" s="383" t="s">
        <v>1639</v>
      </c>
      <c r="AW58" s="384"/>
      <c r="AX58" s="365"/>
      <c r="AY58" s="365"/>
      <c r="AZ58" s="384"/>
      <c r="BA58" s="349"/>
      <c r="BB58" s="350"/>
      <c r="BC58" s="411"/>
      <c r="BD58" s="408"/>
      <c r="BE58" s="350"/>
      <c r="BF58" s="350"/>
      <c r="BG58" s="350"/>
    </row>
    <row r="59" s="348" customFormat="1">
      <c r="A59" s="333" t="s">
        <v>1495</v>
      </c>
      <c r="B59" s="335" t="s">
        <v>1457</v>
      </c>
      <c r="C59" s="334" t="s">
        <v>1480</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1633</v>
      </c>
      <c r="AE59" s="383" t="s">
        <v>1468</v>
      </c>
      <c r="AF59" s="335">
        <v>1.94</v>
      </c>
      <c r="AG59" s="335">
        <v>17.5</v>
      </c>
      <c r="AH59" s="337">
        <v>0</v>
      </c>
      <c r="AI59" s="335"/>
      <c r="AJ59" s="335"/>
      <c r="AK59" s="419"/>
      <c r="AL59" s="332"/>
      <c r="AM59" s="335"/>
      <c r="AN59" s="335"/>
      <c r="AO59" s="335"/>
      <c r="AP59" s="409"/>
      <c r="AQ59" s="388"/>
      <c r="AR59" s="385"/>
      <c r="AS59" s="365"/>
      <c r="AT59" s="399" t="s">
        <v>1585</v>
      </c>
      <c r="AU59" s="385" t="s">
        <v>1468</v>
      </c>
      <c r="AV59" s="383" t="s">
        <v>1636</v>
      </c>
      <c r="AW59" s="384"/>
      <c r="AX59" s="365"/>
      <c r="AY59" s="365"/>
      <c r="AZ59" s="384"/>
      <c r="BA59" s="349"/>
      <c r="BB59" s="350"/>
      <c r="BC59" s="411"/>
      <c r="BD59" s="408"/>
      <c r="BE59" s="350"/>
      <c r="BF59" s="350"/>
      <c r="BG59" s="350"/>
    </row>
    <row r="60" s="348" customFormat="1">
      <c r="A60" s="399" t="s">
        <v>1495</v>
      </c>
      <c r="B60" s="335" t="s">
        <v>1457</v>
      </c>
      <c r="C60" s="334" t="s">
        <v>1480</v>
      </c>
      <c r="D60" s="383" t="s">
        <v>1530</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1633</v>
      </c>
      <c r="AE60" s="383" t="s">
        <v>1314</v>
      </c>
      <c r="AF60" s="335">
        <v>1.94</v>
      </c>
      <c r="AG60" s="335">
        <v>17.6</v>
      </c>
      <c r="AH60" s="337">
        <v>0</v>
      </c>
      <c r="AI60" s="335"/>
      <c r="AJ60" s="335"/>
      <c r="AK60" s="419"/>
      <c r="AL60" s="332"/>
      <c r="AM60" s="335"/>
      <c r="AN60" s="335"/>
      <c r="AO60" s="335"/>
      <c r="AP60" s="409"/>
      <c r="AQ60" s="388"/>
      <c r="AR60" s="385"/>
      <c r="AS60" s="365"/>
      <c r="AT60" s="399" t="s">
        <v>1585</v>
      </c>
      <c r="AU60" s="383" t="s">
        <v>1458</v>
      </c>
      <c r="AV60" s="383" t="s">
        <v>1638</v>
      </c>
      <c r="AW60" s="384"/>
      <c r="AX60" s="365"/>
      <c r="AY60" s="365"/>
      <c r="AZ60" s="384"/>
      <c r="BA60" s="349"/>
      <c r="BB60" s="350"/>
      <c r="BC60" s="411"/>
      <c r="BD60" s="408"/>
      <c r="BE60" s="350"/>
      <c r="BF60" s="350"/>
      <c r="BG60" s="350"/>
    </row>
    <row r="61" s="348" customFormat="1">
      <c r="A61" s="397" t="s">
        <v>1495</v>
      </c>
      <c r="B61" s="335" t="s">
        <v>1457</v>
      </c>
      <c r="C61" s="334" t="s">
        <v>1480</v>
      </c>
      <c r="D61" s="383" t="s">
        <v>1526</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1633</v>
      </c>
      <c r="AE61" s="383" t="s">
        <v>1463</v>
      </c>
      <c r="AF61" s="335">
        <v>1.94</v>
      </c>
      <c r="AG61" s="335">
        <v>18</v>
      </c>
      <c r="AH61" s="337">
        <v>0</v>
      </c>
      <c r="AI61" s="420"/>
      <c r="AJ61" s="420"/>
      <c r="AK61" s="419"/>
      <c r="AL61" s="338"/>
      <c r="AM61" s="335"/>
      <c r="AN61" s="335"/>
      <c r="AO61" s="335"/>
      <c r="AP61" s="409"/>
      <c r="AQ61" s="388"/>
      <c r="AR61" s="385"/>
      <c r="AS61" s="365"/>
      <c r="AT61" s="399" t="s">
        <v>1585</v>
      </c>
      <c r="AU61" s="383" t="s">
        <v>1480</v>
      </c>
      <c r="AV61" s="383" t="s">
        <v>1639</v>
      </c>
      <c r="AW61" s="384"/>
      <c r="AX61" s="365"/>
      <c r="AY61" s="365"/>
      <c r="AZ61" s="384"/>
      <c r="BA61" s="349"/>
      <c r="BB61" s="350"/>
      <c r="BC61" s="411"/>
      <c r="BD61" s="408"/>
      <c r="BE61" s="350"/>
      <c r="BF61" s="350"/>
      <c r="BG61" s="350"/>
      <c r="BH61" s="350"/>
      <c r="BI61" s="350"/>
      <c r="BJ61" s="350"/>
    </row>
    <row r="62" s="348" customFormat="1">
      <c r="A62" s="397" t="s">
        <v>1495</v>
      </c>
      <c r="B62" s="335" t="s">
        <v>1457</v>
      </c>
      <c r="C62" s="334" t="s">
        <v>1480</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1547</v>
      </c>
      <c r="AE62" s="409" t="s">
        <v>1468</v>
      </c>
      <c r="AF62" s="422">
        <v>1.39</v>
      </c>
      <c r="AG62" s="422">
        <v>17.4</v>
      </c>
      <c r="AH62" s="423">
        <v>0</v>
      </c>
      <c r="AI62" s="420"/>
      <c r="AJ62" s="420"/>
      <c r="AK62" s="419"/>
      <c r="AL62" s="338"/>
      <c r="AM62" s="335"/>
      <c r="AN62" s="335"/>
      <c r="AO62" s="335"/>
      <c r="AP62" s="409"/>
      <c r="AQ62" s="388"/>
      <c r="AR62" s="385"/>
      <c r="AS62" s="365"/>
      <c r="AT62" s="399" t="s">
        <v>1589</v>
      </c>
      <c r="AU62" s="385" t="s">
        <v>1468</v>
      </c>
      <c r="AV62" s="383" t="s">
        <v>1636</v>
      </c>
      <c r="AW62" s="384"/>
      <c r="AX62" s="365"/>
      <c r="AY62" s="365"/>
      <c r="AZ62" s="384"/>
      <c r="BA62" s="349"/>
      <c r="BB62" s="350"/>
      <c r="BC62" s="411"/>
      <c r="BD62" s="408"/>
      <c r="BE62" s="350"/>
      <c r="BF62" s="350"/>
      <c r="BG62" s="350"/>
      <c r="BH62" s="350"/>
      <c r="BI62" s="350"/>
      <c r="BJ62" s="350"/>
    </row>
    <row r="63">
      <c r="A63" s="397" t="s">
        <v>1502</v>
      </c>
      <c r="B63" s="335" t="s">
        <v>1457</v>
      </c>
      <c r="C63" s="334" t="s">
        <v>1480</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1547</v>
      </c>
      <c r="AE63" s="409" t="s">
        <v>1314</v>
      </c>
      <c r="AF63" s="422">
        <v>1.39</v>
      </c>
      <c r="AG63" s="422">
        <v>17.9</v>
      </c>
      <c r="AH63" s="423">
        <v>0</v>
      </c>
      <c r="AI63" s="420"/>
      <c r="AJ63" s="420"/>
      <c r="AK63" s="419"/>
      <c r="AL63" s="338"/>
      <c r="AM63" s="335"/>
      <c r="AN63" s="335"/>
      <c r="AO63" s="335"/>
      <c r="AP63" s="409"/>
      <c r="AQ63" s="388"/>
      <c r="AR63" s="385"/>
      <c r="AS63" s="365"/>
      <c r="AT63" s="399" t="s">
        <v>1589</v>
      </c>
      <c r="AU63" s="383" t="s">
        <v>1458</v>
      </c>
      <c r="AV63" s="383" t="s">
        <v>1638</v>
      </c>
      <c r="AW63" s="384"/>
      <c r="AX63" s="365"/>
      <c r="AY63" s="365"/>
      <c r="AZ63" s="384"/>
    </row>
    <row r="64">
      <c r="A64" s="397" t="s">
        <v>1502</v>
      </c>
      <c r="B64" s="335" t="s">
        <v>1457</v>
      </c>
      <c r="C64" s="334" t="s">
        <v>1480</v>
      </c>
      <c r="D64" s="383" t="s">
        <v>1530</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1542</v>
      </c>
      <c r="AE64" s="409" t="s">
        <v>1468</v>
      </c>
      <c r="AF64" s="422">
        <v>1.39</v>
      </c>
      <c r="AG64" s="422">
        <v>19.3</v>
      </c>
      <c r="AH64" s="423">
        <v>0</v>
      </c>
      <c r="AI64" s="420"/>
      <c r="AJ64" s="420"/>
      <c r="AK64" s="419"/>
      <c r="AL64" s="338"/>
      <c r="AM64" s="335"/>
      <c r="AN64" s="335"/>
      <c r="AO64" s="335"/>
      <c r="AP64" s="409"/>
      <c r="AQ64" s="388"/>
      <c r="AR64" s="385"/>
      <c r="AS64" s="365"/>
      <c r="AT64" s="399" t="s">
        <v>1589</v>
      </c>
      <c r="AU64" s="385" t="s">
        <v>1480</v>
      </c>
      <c r="AV64" s="385" t="s">
        <v>1639</v>
      </c>
      <c r="AW64" s="384"/>
      <c r="AX64" s="365"/>
      <c r="AY64" s="365"/>
      <c r="AZ64" s="384"/>
    </row>
    <row r="65">
      <c r="A65" s="397" t="s">
        <v>1502</v>
      </c>
      <c r="B65" s="335" t="s">
        <v>1457</v>
      </c>
      <c r="C65" s="334" t="s">
        <v>1480</v>
      </c>
      <c r="D65" s="383" t="s">
        <v>1526</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1542</v>
      </c>
      <c r="AE65" s="409" t="s">
        <v>1314</v>
      </c>
      <c r="AF65" s="422">
        <v>1.39</v>
      </c>
      <c r="AG65" s="388">
        <v>19.9</v>
      </c>
      <c r="AH65" s="423">
        <v>0</v>
      </c>
      <c r="AI65" s="388"/>
      <c r="AJ65" s="388"/>
      <c r="AK65" s="382"/>
      <c r="AL65" s="341"/>
      <c r="AM65" s="388"/>
      <c r="AN65" s="388"/>
      <c r="AO65" s="388"/>
      <c r="AP65" s="409"/>
      <c r="AQ65" s="388"/>
      <c r="AR65" s="385"/>
      <c r="AS65" s="365"/>
      <c r="AT65" s="384" t="s">
        <v>1594</v>
      </c>
      <c r="AU65" s="385" t="s">
        <v>1468</v>
      </c>
      <c r="AV65" s="385" t="s">
        <v>1636</v>
      </c>
      <c r="AW65" s="384"/>
      <c r="AX65" s="365"/>
      <c r="AY65" s="365"/>
      <c r="AZ65" s="384"/>
    </row>
    <row r="66">
      <c r="A66" s="397" t="s">
        <v>1502</v>
      </c>
      <c r="B66" s="335" t="s">
        <v>1457</v>
      </c>
      <c r="C66" s="334" t="s">
        <v>1480</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1537</v>
      </c>
      <c r="AE66" s="409" t="s">
        <v>1468</v>
      </c>
      <c r="AF66" s="388">
        <v>1.6</v>
      </c>
      <c r="AG66" s="388">
        <v>20</v>
      </c>
      <c r="AH66" s="423">
        <v>0</v>
      </c>
      <c r="AI66" s="388"/>
      <c r="AJ66" s="388"/>
      <c r="AK66" s="382"/>
      <c r="AL66" s="341"/>
      <c r="AM66" s="388"/>
      <c r="AN66" s="388"/>
      <c r="AO66" s="388"/>
      <c r="AP66" s="409"/>
      <c r="AQ66" s="388"/>
      <c r="AR66" s="385"/>
      <c r="AS66" s="365"/>
      <c r="AT66" s="384" t="s">
        <v>1594</v>
      </c>
      <c r="AU66" s="385" t="s">
        <v>1458</v>
      </c>
      <c r="AV66" s="385" t="s">
        <v>1638</v>
      </c>
      <c r="AW66" s="384"/>
      <c r="AX66" s="365"/>
      <c r="AY66" s="365"/>
      <c r="AZ66" s="384"/>
    </row>
    <row r="67">
      <c r="A67" s="333" t="s">
        <v>1509</v>
      </c>
      <c r="B67" s="335" t="s">
        <v>1457</v>
      </c>
      <c r="C67" s="334" t="s">
        <v>1458</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1537</v>
      </c>
      <c r="AE67" s="409" t="s">
        <v>1314</v>
      </c>
      <c r="AF67" s="388">
        <v>1.6</v>
      </c>
      <c r="AG67" s="388">
        <v>21</v>
      </c>
      <c r="AH67" s="423">
        <v>0</v>
      </c>
      <c r="AI67" s="388"/>
      <c r="AJ67" s="388"/>
      <c r="AK67" s="382"/>
      <c r="AL67" s="341"/>
      <c r="AM67" s="388"/>
      <c r="AN67" s="388"/>
      <c r="AO67" s="388"/>
      <c r="AP67" s="409"/>
      <c r="AQ67" s="388"/>
      <c r="AR67" s="385"/>
      <c r="AS67" s="365"/>
      <c r="AT67" s="384" t="s">
        <v>1594</v>
      </c>
      <c r="AU67" s="385" t="s">
        <v>1480</v>
      </c>
      <c r="AV67" s="385" t="s">
        <v>1639</v>
      </c>
      <c r="AW67" s="399"/>
      <c r="AX67" s="365"/>
      <c r="AY67" s="365"/>
      <c r="AZ67" s="384"/>
    </row>
    <row r="68">
      <c r="A68" s="333" t="s">
        <v>1509</v>
      </c>
      <c r="B68" s="335" t="s">
        <v>1457</v>
      </c>
      <c r="C68" s="334" t="s">
        <v>1458</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1567</v>
      </c>
      <c r="AE68" s="409" t="s">
        <v>1474</v>
      </c>
      <c r="AF68" s="388">
        <v>1.5</v>
      </c>
      <c r="AG68" s="388">
        <v>14.7</v>
      </c>
      <c r="AH68" s="423">
        <v>0</v>
      </c>
      <c r="AI68" s="388"/>
      <c r="AJ68" s="388"/>
      <c r="AK68" s="382"/>
      <c r="AL68" s="341"/>
      <c r="AM68" s="388"/>
      <c r="AN68" s="388"/>
      <c r="AO68" s="388"/>
      <c r="AP68" s="409"/>
      <c r="AQ68" s="388"/>
      <c r="AR68" s="385"/>
      <c r="AS68" s="365"/>
      <c r="AT68" s="384" t="s">
        <v>1597</v>
      </c>
      <c r="AU68" s="385" t="s">
        <v>1468</v>
      </c>
      <c r="AV68" s="385" t="s">
        <v>1636</v>
      </c>
      <c r="AW68" s="399"/>
      <c r="AX68" s="365"/>
      <c r="AY68" s="365"/>
      <c r="AZ68" s="385"/>
    </row>
    <row r="69">
      <c r="A69" s="333" t="s">
        <v>1509</v>
      </c>
      <c r="B69" s="335" t="s">
        <v>1457</v>
      </c>
      <c r="C69" s="334" t="s">
        <v>1458</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1567</v>
      </c>
      <c r="AE69" s="409" t="s">
        <v>1468</v>
      </c>
      <c r="AF69" s="388">
        <v>1.5</v>
      </c>
      <c r="AG69" s="388">
        <v>16.8</v>
      </c>
      <c r="AH69" s="423">
        <v>0</v>
      </c>
      <c r="AI69" s="388"/>
      <c r="AJ69" s="388"/>
      <c r="AK69" s="382"/>
      <c r="AL69" s="341"/>
      <c r="AM69" s="388"/>
      <c r="AN69" s="388"/>
      <c r="AO69" s="388"/>
      <c r="AP69" s="409"/>
      <c r="AQ69" s="388"/>
      <c r="AR69" s="385"/>
      <c r="AS69" s="365"/>
      <c r="AT69" s="384" t="s">
        <v>1597</v>
      </c>
      <c r="AU69" s="385" t="s">
        <v>1458</v>
      </c>
      <c r="AV69" s="385" t="s">
        <v>1638</v>
      </c>
      <c r="AW69" s="399"/>
      <c r="AX69" s="365"/>
      <c r="AY69" s="365"/>
      <c r="AZ69" s="385"/>
    </row>
    <row r="70">
      <c r="A70" s="333" t="s">
        <v>1509</v>
      </c>
      <c r="B70" s="335" t="s">
        <v>1457</v>
      </c>
      <c r="C70" s="334" t="s">
        <v>1468</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1567</v>
      </c>
      <c r="AE70" s="409" t="s">
        <v>1314</v>
      </c>
      <c r="AF70" s="388">
        <v>1.5</v>
      </c>
      <c r="AG70" s="388">
        <v>17.2</v>
      </c>
      <c r="AH70" s="423">
        <v>0</v>
      </c>
      <c r="AI70" s="388"/>
      <c r="AJ70" s="388"/>
      <c r="AK70" s="382"/>
      <c r="AL70" s="341"/>
      <c r="AM70" s="388"/>
      <c r="AN70" s="388"/>
      <c r="AO70" s="388"/>
      <c r="AP70" s="409"/>
      <c r="AQ70" s="388"/>
      <c r="AR70" s="385"/>
      <c r="AS70" s="365"/>
      <c r="AT70" s="384" t="s">
        <v>1600</v>
      </c>
      <c r="AU70" s="385" t="s">
        <v>1468</v>
      </c>
      <c r="AV70" s="385" t="s">
        <v>1636</v>
      </c>
      <c r="AW70" s="399"/>
      <c r="AX70" s="365"/>
      <c r="AY70" s="365"/>
      <c r="AZ70" s="385"/>
    </row>
    <row r="71">
      <c r="A71" s="333" t="s">
        <v>1509</v>
      </c>
      <c r="B71" s="335" t="s">
        <v>1457</v>
      </c>
      <c r="C71" s="334" t="s">
        <v>1468</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1623</v>
      </c>
      <c r="AE71" s="339" t="s">
        <v>1474</v>
      </c>
      <c r="AF71" s="335">
        <v>2.4</v>
      </c>
      <c r="AG71" s="335">
        <v>16.9</v>
      </c>
      <c r="AH71" s="337">
        <v>0</v>
      </c>
      <c r="AI71" s="388"/>
      <c r="AJ71" s="388"/>
      <c r="AK71" s="382"/>
      <c r="AL71" s="341"/>
      <c r="AM71" s="388"/>
      <c r="AN71" s="388"/>
      <c r="AO71" s="388"/>
      <c r="AP71" s="409"/>
      <c r="AQ71" s="388"/>
      <c r="AR71" s="385"/>
      <c r="AS71" s="365"/>
      <c r="AT71" s="399" t="s">
        <v>1600</v>
      </c>
      <c r="AU71" s="385" t="s">
        <v>1458</v>
      </c>
      <c r="AV71" s="385" t="s">
        <v>1638</v>
      </c>
      <c r="AW71" s="399"/>
      <c r="AX71" s="365"/>
      <c r="AY71" s="365"/>
      <c r="AZ71" s="385"/>
    </row>
    <row r="72">
      <c r="A72" s="333" t="s">
        <v>1509</v>
      </c>
      <c r="B72" s="335" t="s">
        <v>1457</v>
      </c>
      <c r="C72" s="334" t="s">
        <v>1468</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1640</v>
      </c>
      <c r="AE72" s="339" t="s">
        <v>1474</v>
      </c>
      <c r="AF72" s="420">
        <v>2.58</v>
      </c>
      <c r="AG72" s="420">
        <v>17</v>
      </c>
      <c r="AH72" s="426">
        <v>0</v>
      </c>
      <c r="AI72" s="420"/>
      <c r="AJ72" s="420"/>
      <c r="AK72" s="398"/>
      <c r="AL72" s="338"/>
      <c r="AM72" s="335"/>
      <c r="AN72" s="335"/>
      <c r="AO72" s="335"/>
      <c r="AP72" s="409"/>
      <c r="AQ72" s="388"/>
      <c r="AR72" s="385"/>
      <c r="AS72" s="365"/>
      <c r="AT72" s="399" t="s">
        <v>1605</v>
      </c>
      <c r="AU72" s="385" t="s">
        <v>1314</v>
      </c>
      <c r="AV72" s="385" t="s">
        <v>1641</v>
      </c>
      <c r="AW72" s="399"/>
      <c r="AX72" s="365"/>
      <c r="AY72" s="365"/>
      <c r="AZ72" s="384"/>
    </row>
    <row r="73">
      <c r="A73" s="397" t="s">
        <v>1509</v>
      </c>
      <c r="B73" s="335" t="s">
        <v>1457</v>
      </c>
      <c r="C73" s="334" t="s">
        <v>1480</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1640</v>
      </c>
      <c r="AE73" s="339" t="s">
        <v>1463</v>
      </c>
      <c r="AF73" s="420">
        <v>2.58</v>
      </c>
      <c r="AG73" s="420">
        <v>17.8</v>
      </c>
      <c r="AH73" s="426">
        <v>0</v>
      </c>
      <c r="AI73" s="420"/>
      <c r="AJ73" s="420"/>
      <c r="AK73" s="398"/>
      <c r="AL73" s="338"/>
      <c r="AM73" s="335"/>
      <c r="AN73" s="335"/>
      <c r="AO73" s="335"/>
      <c r="AP73" s="409"/>
      <c r="AQ73" s="388"/>
      <c r="AR73" s="385"/>
      <c r="AS73" s="365"/>
      <c r="AT73" s="399" t="s">
        <v>1609</v>
      </c>
      <c r="AU73" s="385" t="s">
        <v>1458</v>
      </c>
      <c r="AV73" s="385" t="s">
        <v>1642</v>
      </c>
      <c r="AW73" s="399"/>
      <c r="AX73" s="365"/>
      <c r="AY73" s="365"/>
      <c r="AZ73" s="384"/>
    </row>
    <row r="74">
      <c r="A74" s="397" t="s">
        <v>1509</v>
      </c>
      <c r="B74" s="335" t="s">
        <v>1457</v>
      </c>
      <c r="C74" s="334" t="s">
        <v>1480</v>
      </c>
      <c r="D74" s="383" t="s">
        <v>1530</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1552</v>
      </c>
      <c r="AE74" s="409" t="s">
        <v>1458</v>
      </c>
      <c r="AF74" s="422">
        <v>1.41</v>
      </c>
      <c r="AG74" s="422">
        <v>14.3</v>
      </c>
      <c r="AH74" s="423">
        <v>0</v>
      </c>
      <c r="AI74" s="422"/>
      <c r="AJ74" s="422"/>
      <c r="AK74" s="382"/>
      <c r="AL74" s="341"/>
      <c r="AM74" s="388"/>
      <c r="AN74" s="388"/>
      <c r="AO74" s="388"/>
      <c r="AP74" s="409"/>
      <c r="AQ74" s="388"/>
      <c r="AR74" s="385"/>
      <c r="AS74" s="365"/>
      <c r="AT74" s="399" t="s">
        <v>1611</v>
      </c>
      <c r="AU74" s="385" t="s">
        <v>1458</v>
      </c>
      <c r="AV74" s="385" t="s">
        <v>1642</v>
      </c>
      <c r="AW74" s="399"/>
      <c r="AX74" s="365"/>
      <c r="AY74" s="365"/>
      <c r="AZ74" s="384"/>
    </row>
    <row r="75">
      <c r="A75" s="397" t="s">
        <v>1509</v>
      </c>
      <c r="B75" s="335" t="s">
        <v>1457</v>
      </c>
      <c r="C75" s="334" t="s">
        <v>1480</v>
      </c>
      <c r="D75" s="383" t="s">
        <v>1526</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1552</v>
      </c>
      <c r="AE75" s="409" t="s">
        <v>1468</v>
      </c>
      <c r="AF75" s="422">
        <v>1.41</v>
      </c>
      <c r="AG75" s="422">
        <v>17.1</v>
      </c>
      <c r="AH75" s="423">
        <v>0</v>
      </c>
      <c r="AI75" s="422"/>
      <c r="AJ75" s="422"/>
      <c r="AK75" s="382"/>
      <c r="AL75" s="341"/>
      <c r="AM75" s="388"/>
      <c r="AN75" s="388"/>
      <c r="AO75" s="388"/>
      <c r="AP75" s="409"/>
      <c r="AQ75" s="388"/>
      <c r="AR75" s="385"/>
      <c r="AS75" s="365"/>
      <c r="AT75" s="399" t="s">
        <v>1614</v>
      </c>
      <c r="AU75" s="383" t="s">
        <v>1458</v>
      </c>
      <c r="AV75" s="383" t="s">
        <v>1642</v>
      </c>
      <c r="AW75" s="399"/>
      <c r="AX75" s="365"/>
      <c r="AY75" s="365"/>
      <c r="AZ75" s="385"/>
    </row>
    <row r="76">
      <c r="A76" s="397" t="s">
        <v>1509</v>
      </c>
      <c r="B76" s="335" t="s">
        <v>1457</v>
      </c>
      <c r="C76" s="334" t="s">
        <v>1480</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1552</v>
      </c>
      <c r="AE76" s="409" t="s">
        <v>1458</v>
      </c>
      <c r="AF76" s="422">
        <v>1.41</v>
      </c>
      <c r="AG76" s="422">
        <v>17.5</v>
      </c>
      <c r="AH76" s="423">
        <v>0</v>
      </c>
      <c r="AI76" s="420"/>
      <c r="AJ76" s="420"/>
      <c r="AK76" s="419"/>
      <c r="AL76" s="338"/>
      <c r="AM76" s="335"/>
      <c r="AN76" s="335"/>
      <c r="AO76" s="335"/>
      <c r="AP76" s="409"/>
      <c r="AQ76" s="388"/>
      <c r="AR76" s="385"/>
      <c r="AS76" s="365"/>
      <c r="AT76" s="399" t="s">
        <v>1616</v>
      </c>
      <c r="AU76" s="383" t="s">
        <v>1458</v>
      </c>
      <c r="AV76" s="383" t="s">
        <v>1642</v>
      </c>
      <c r="AW76" s="399"/>
      <c r="AX76" s="365"/>
      <c r="AY76" s="365"/>
      <c r="AZ76" s="385"/>
    </row>
    <row r="77">
      <c r="A77" s="397" t="s">
        <v>1516</v>
      </c>
      <c r="B77" s="335" t="s">
        <v>1457</v>
      </c>
      <c r="C77" s="334" t="s">
        <v>1480</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1613</v>
      </c>
      <c r="AE77" s="339" t="s">
        <v>1468</v>
      </c>
      <c r="AF77" s="420">
        <v>1.43</v>
      </c>
      <c r="AG77" s="420">
        <v>17.3</v>
      </c>
      <c r="AH77" s="426">
        <v>0</v>
      </c>
      <c r="AI77" s="420"/>
      <c r="AJ77" s="420"/>
      <c r="AK77" s="419"/>
      <c r="AL77" s="384"/>
      <c r="AM77" s="428"/>
      <c r="AN77" s="428"/>
      <c r="AO77" s="335"/>
      <c r="AP77" s="409"/>
      <c r="AQ77" s="388"/>
      <c r="AR77" s="385"/>
      <c r="AS77" s="365"/>
      <c r="AT77" s="399" t="s">
        <v>1618</v>
      </c>
      <c r="AU77" s="383" t="s">
        <v>1458</v>
      </c>
      <c r="AV77" s="383" t="s">
        <v>1642</v>
      </c>
      <c r="AW77" s="399"/>
      <c r="AX77" s="365"/>
      <c r="AY77" s="365"/>
      <c r="AZ77" s="385"/>
    </row>
    <row r="78">
      <c r="A78" s="397" t="s">
        <v>1516</v>
      </c>
      <c r="B78" s="335" t="s">
        <v>1457</v>
      </c>
      <c r="C78" s="334" t="s">
        <v>1480</v>
      </c>
      <c r="D78" s="383" t="s">
        <v>1530</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1613</v>
      </c>
      <c r="AE78" s="339" t="s">
        <v>1314</v>
      </c>
      <c r="AF78" s="420">
        <v>1.43</v>
      </c>
      <c r="AG78" s="420">
        <v>17.7</v>
      </c>
      <c r="AH78" s="426">
        <v>0</v>
      </c>
      <c r="AI78" s="420"/>
      <c r="AJ78" s="420"/>
      <c r="AK78" s="419"/>
      <c r="AL78" s="338"/>
      <c r="AM78" s="335"/>
      <c r="AN78" s="335"/>
      <c r="AO78" s="335"/>
      <c r="AP78" s="409"/>
      <c r="AQ78" s="388"/>
      <c r="AR78" s="385"/>
      <c r="AS78" s="365"/>
      <c r="AT78" s="399" t="s">
        <v>1620</v>
      </c>
      <c r="AU78" s="383" t="s">
        <v>1458</v>
      </c>
      <c r="AV78" s="383" t="s">
        <v>1642</v>
      </c>
      <c r="AW78" s="384"/>
      <c r="AX78" s="365"/>
      <c r="AY78" s="365"/>
      <c r="AZ78" s="385"/>
    </row>
    <row r="79">
      <c r="A79" s="397" t="s">
        <v>1516</v>
      </c>
      <c r="B79" s="335" t="s">
        <v>1457</v>
      </c>
      <c r="C79" s="334" t="s">
        <v>1480</v>
      </c>
      <c r="D79" s="383" t="s">
        <v>1526</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1563</v>
      </c>
      <c r="AE79" s="339" t="s">
        <v>1468</v>
      </c>
      <c r="AF79" s="420">
        <v>1.365</v>
      </c>
      <c r="AG79" s="420">
        <v>17.4</v>
      </c>
      <c r="AH79" s="426">
        <v>0</v>
      </c>
      <c r="AI79" s="420"/>
      <c r="AJ79" s="420"/>
      <c r="AK79" s="419"/>
      <c r="AL79" s="338"/>
      <c r="AM79" s="335"/>
      <c r="AN79" s="335"/>
      <c r="AO79" s="335"/>
      <c r="AP79" s="409"/>
      <c r="AQ79" s="388"/>
      <c r="AR79" s="385"/>
      <c r="AS79" s="365"/>
      <c r="AT79" s="399" t="s">
        <v>1622</v>
      </c>
      <c r="AU79" s="383" t="s">
        <v>1458</v>
      </c>
      <c r="AV79" s="383" t="s">
        <v>1642</v>
      </c>
      <c r="AW79" s="384"/>
      <c r="AX79" s="365"/>
      <c r="AY79" s="365"/>
      <c r="AZ79" s="385"/>
    </row>
    <row r="80">
      <c r="A80" s="397" t="s">
        <v>1516</v>
      </c>
      <c r="B80" s="335" t="s">
        <v>1457</v>
      </c>
      <c r="C80" s="334" t="s">
        <v>1480</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1563</v>
      </c>
      <c r="AE80" s="339" t="s">
        <v>1314</v>
      </c>
      <c r="AF80" s="420">
        <v>1.365</v>
      </c>
      <c r="AG80" s="420">
        <v>17.9</v>
      </c>
      <c r="AH80" s="426">
        <v>0</v>
      </c>
      <c r="AI80" s="420"/>
      <c r="AJ80" s="420"/>
      <c r="AK80" s="419"/>
      <c r="AL80" s="338"/>
      <c r="AM80" s="335"/>
      <c r="AN80" s="335"/>
      <c r="AO80" s="335"/>
      <c r="AP80" s="409"/>
      <c r="AQ80" s="388"/>
      <c r="AR80" s="385"/>
      <c r="AS80" s="365"/>
      <c r="AT80" s="399" t="s">
        <v>1624</v>
      </c>
      <c r="AU80" s="383" t="s">
        <v>1463</v>
      </c>
      <c r="AV80" s="383" t="s">
        <v>1643</v>
      </c>
      <c r="AW80" s="384"/>
      <c r="AX80" s="365"/>
      <c r="AY80" s="365"/>
      <c r="AZ80" s="385"/>
    </row>
    <row r="81">
      <c r="A81" s="397" t="s">
        <v>1562</v>
      </c>
      <c r="B81" s="335" t="s">
        <v>1457</v>
      </c>
      <c r="C81" s="334" t="s">
        <v>1505</v>
      </c>
      <c r="D81" s="383" t="s">
        <v>1526</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1626</v>
      </c>
      <c r="AU81" s="383" t="s">
        <v>1468</v>
      </c>
      <c r="AV81" s="383" t="s">
        <v>1643</v>
      </c>
      <c r="AW81" s="384"/>
      <c r="AX81" s="365"/>
      <c r="AY81" s="365"/>
      <c r="AZ81" s="385"/>
    </row>
    <row r="82">
      <c r="A82" s="397" t="s">
        <v>1562</v>
      </c>
      <c r="B82" s="335" t="s">
        <v>1457</v>
      </c>
      <c r="C82" s="334" t="s">
        <v>1505</v>
      </c>
      <c r="D82" s="383" t="s">
        <v>1534</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1644</v>
      </c>
      <c r="AU82" s="351" t="s">
        <v>1468</v>
      </c>
      <c r="AV82" s="351" t="s">
        <v>1643</v>
      </c>
      <c r="AW82" s="399"/>
      <c r="AX82" s="365"/>
      <c r="AY82" s="365"/>
      <c r="AZ82" s="385"/>
    </row>
    <row r="83">
      <c r="A83" s="391" t="s">
        <v>1522</v>
      </c>
      <c r="B83" s="335" t="s">
        <v>1457</v>
      </c>
      <c r="C83" s="334" t="s">
        <v>1314</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1645</v>
      </c>
      <c r="AU83" s="383" t="s">
        <v>1468</v>
      </c>
      <c r="AV83" s="383" t="s">
        <v>1643</v>
      </c>
      <c r="AW83" s="384"/>
      <c r="AX83" s="365"/>
      <c r="AY83" s="365"/>
      <c r="AZ83" s="385"/>
    </row>
    <row r="84">
      <c r="A84" s="399" t="s">
        <v>1522</v>
      </c>
      <c r="B84" s="335" t="s">
        <v>1457</v>
      </c>
      <c r="C84" s="334" t="s">
        <v>1314</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1627</v>
      </c>
      <c r="AU84" s="383" t="s">
        <v>1468</v>
      </c>
      <c r="AV84" s="383" t="s">
        <v>1643</v>
      </c>
      <c r="AW84" s="384"/>
      <c r="AX84" s="365"/>
      <c r="AY84" s="365"/>
      <c r="AZ84" s="385"/>
    </row>
    <row r="85">
      <c r="A85" s="399" t="s">
        <v>1522</v>
      </c>
      <c r="B85" s="335" t="s">
        <v>1457</v>
      </c>
      <c r="C85" s="334" t="s">
        <v>1314</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1628</v>
      </c>
      <c r="AU85" s="385" t="s">
        <v>1468</v>
      </c>
      <c r="AV85" s="385" t="s">
        <v>1643</v>
      </c>
      <c r="AW85" s="384"/>
      <c r="AX85" s="365"/>
      <c r="AY85" s="365"/>
      <c r="AZ85" s="385"/>
    </row>
    <row r="86">
      <c r="A86" s="399" t="s">
        <v>1527</v>
      </c>
      <c r="B86" s="335" t="s">
        <v>1457</v>
      </c>
      <c r="C86" s="334" t="s">
        <v>1314</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1630</v>
      </c>
      <c r="AU86" s="385" t="s">
        <v>1468</v>
      </c>
      <c r="AV86" s="385" t="s">
        <v>1643</v>
      </c>
      <c r="AW86" s="384"/>
      <c r="AX86" s="365"/>
      <c r="AY86" s="365"/>
      <c r="AZ86" s="385"/>
    </row>
    <row r="87">
      <c r="A87" s="399" t="s">
        <v>1527</v>
      </c>
      <c r="B87" s="335" t="s">
        <v>1457</v>
      </c>
      <c r="C87" s="334" t="s">
        <v>1314</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1632</v>
      </c>
      <c r="AU87" s="385" t="s">
        <v>1468</v>
      </c>
      <c r="AV87" s="385" t="s">
        <v>1643</v>
      </c>
      <c r="AW87" s="384"/>
      <c r="AX87" s="365"/>
      <c r="AY87" s="365"/>
      <c r="AZ87" s="385"/>
    </row>
    <row r="88">
      <c r="A88" s="399" t="s">
        <v>1535</v>
      </c>
      <c r="B88" s="335" t="s">
        <v>1457</v>
      </c>
      <c r="C88" s="334" t="s">
        <v>1314</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1535</v>
      </c>
      <c r="B89" s="335" t="s">
        <v>1457</v>
      </c>
      <c r="C89" s="334" t="s">
        <v>1314</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1535</v>
      </c>
      <c r="B90" s="335" t="s">
        <v>1457</v>
      </c>
      <c r="C90" s="334" t="s">
        <v>1314</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1545</v>
      </c>
      <c r="B91" s="335" t="s">
        <v>1457</v>
      </c>
      <c r="C91" s="334" t="s">
        <v>1458</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1545</v>
      </c>
      <c r="B92" s="335" t="s">
        <v>1457</v>
      </c>
      <c r="C92" s="334" t="s">
        <v>1458</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1545</v>
      </c>
      <c r="B93" s="335" t="s">
        <v>1457</v>
      </c>
      <c r="C93" s="334" t="s">
        <v>1458</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1545</v>
      </c>
      <c r="B94" s="335" t="s">
        <v>1457</v>
      </c>
      <c r="C94" s="334" t="s">
        <v>1458</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1545</v>
      </c>
      <c r="B95" s="335" t="s">
        <v>1457</v>
      </c>
      <c r="C95" s="334" t="s">
        <v>1468</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1545</v>
      </c>
      <c r="B96" s="335" t="s">
        <v>1457</v>
      </c>
      <c r="C96" s="334" t="s">
        <v>1468</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1545</v>
      </c>
      <c r="B97" s="335" t="s">
        <v>1457</v>
      </c>
      <c r="C97" s="334" t="s">
        <v>1468</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1545</v>
      </c>
      <c r="B98" s="335" t="s">
        <v>1457</v>
      </c>
      <c r="C98" s="334" t="s">
        <v>1468</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1545</v>
      </c>
      <c r="B99" s="335" t="s">
        <v>1457</v>
      </c>
      <c r="C99" s="334" t="s">
        <v>1314</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1545</v>
      </c>
      <c r="B100" s="335" t="s">
        <v>1457</v>
      </c>
      <c r="C100" s="334" t="s">
        <v>1314</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1545</v>
      </c>
      <c r="B101" s="335" t="s">
        <v>1457</v>
      </c>
      <c r="C101" s="334" t="s">
        <v>1314</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1545</v>
      </c>
      <c r="B102" s="335" t="s">
        <v>1457</v>
      </c>
      <c r="C102" s="334" t="s">
        <v>1480</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1545</v>
      </c>
      <c r="B103" s="335" t="s">
        <v>1457</v>
      </c>
      <c r="C103" s="334" t="s">
        <v>1480</v>
      </c>
      <c r="D103" s="383" t="s">
        <v>1530</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1545</v>
      </c>
      <c r="B104" s="335" t="s">
        <v>1457</v>
      </c>
      <c r="C104" s="334" t="s">
        <v>1480</v>
      </c>
      <c r="D104" s="383" t="s">
        <v>1526</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1545</v>
      </c>
      <c r="B105" s="335" t="s">
        <v>1457</v>
      </c>
      <c r="C105" s="334" t="s">
        <v>1480</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1540</v>
      </c>
      <c r="B106" s="335" t="s">
        <v>1457</v>
      </c>
      <c r="C106" s="334" t="s">
        <v>1458</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1540</v>
      </c>
      <c r="B107" s="335" t="s">
        <v>1457</v>
      </c>
      <c r="C107" s="334" t="s">
        <v>1458</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1540</v>
      </c>
      <c r="B108" s="335" t="s">
        <v>1457</v>
      </c>
      <c r="C108" s="334" t="s">
        <v>1458</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1540</v>
      </c>
      <c r="B109" s="335" t="s">
        <v>1457</v>
      </c>
      <c r="C109" s="334" t="s">
        <v>1468</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1540</v>
      </c>
      <c r="B110" s="335" t="s">
        <v>1457</v>
      </c>
      <c r="C110" s="334" t="s">
        <v>1468</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1540</v>
      </c>
      <c r="B111" s="335" t="s">
        <v>1457</v>
      </c>
      <c r="C111" s="334" t="s">
        <v>1314</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1540</v>
      </c>
      <c r="B112" s="335" t="s">
        <v>1457</v>
      </c>
      <c r="C112" s="334" t="s">
        <v>1314</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1540</v>
      </c>
      <c r="B113" s="335" t="s">
        <v>1457</v>
      </c>
      <c r="C113" s="334" t="s">
        <v>1314</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1540</v>
      </c>
      <c r="B114" s="335" t="s">
        <v>1457</v>
      </c>
      <c r="C114" s="334" t="s">
        <v>1474</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1646</v>
      </c>
      <c r="B115" s="383" t="s">
        <v>1457</v>
      </c>
      <c r="C115" s="383" t="s">
        <v>1463</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1647</v>
      </c>
      <c r="B116" s="383" t="s">
        <v>1457</v>
      </c>
      <c r="C116" s="383" t="s">
        <v>1463</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1648</v>
      </c>
      <c r="B117" s="335" t="s">
        <v>1457</v>
      </c>
      <c r="C117" s="334" t="s">
        <v>1468</v>
      </c>
      <c r="D117" s="540" t="s">
        <v>1649</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1648</v>
      </c>
      <c r="B118" s="335" t="s">
        <v>1457</v>
      </c>
      <c r="C118" s="334" t="s">
        <v>1468</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1603</v>
      </c>
      <c r="AE118" s="383" t="s">
        <v>1314</v>
      </c>
      <c r="AF118" s="392">
        <v>1.3</v>
      </c>
      <c r="AG118" s="392">
        <v>18.1</v>
      </c>
      <c r="AH118" s="337">
        <v>0</v>
      </c>
      <c r="AI118" s="385"/>
      <c r="AJ118" s="381" t="s">
        <v>1640</v>
      </c>
      <c r="AK118" s="398"/>
      <c r="AL118" s="334"/>
      <c r="AM118" s="335"/>
      <c r="AN118" s="335"/>
      <c r="AO118" s="335"/>
      <c r="AP118" s="409"/>
      <c r="AQ118" s="388"/>
      <c r="AR118" s="385"/>
      <c r="AS118" s="365"/>
      <c r="AT118" s="384" t="s">
        <v>1554</v>
      </c>
      <c r="AU118" s="383" t="s">
        <v>1458</v>
      </c>
      <c r="AV118" s="383" t="s">
        <v>1593</v>
      </c>
      <c r="AW118" s="399" t="s">
        <v>1644</v>
      </c>
      <c r="AX118" s="365"/>
      <c r="AY118" s="365"/>
      <c r="AZ118" s="385" t="s">
        <v>1572</v>
      </c>
      <c r="BA118" s="349"/>
      <c r="BB118" s="350"/>
      <c r="BC118" s="411"/>
      <c r="BD118" s="408"/>
      <c r="BE118" s="350"/>
      <c r="BF118" s="350"/>
      <c r="BG118" s="350"/>
      <c r="BH118" s="350"/>
      <c r="BI118" s="350"/>
      <c r="BJ118" s="350"/>
    </row>
    <row r="119" s="348" customFormat="1">
      <c r="A119" s="539" t="s">
        <v>1650</v>
      </c>
      <c r="B119" s="335" t="s">
        <v>1457</v>
      </c>
      <c r="C119" s="334" t="s">
        <v>1314</v>
      </c>
      <c r="D119" s="540" t="s">
        <v>1651</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1599</v>
      </c>
      <c r="AE119" s="342" t="s">
        <v>1458</v>
      </c>
      <c r="AF119" s="383">
        <v>0.493</v>
      </c>
      <c r="AG119" s="394">
        <v>2</v>
      </c>
      <c r="AH119" s="337">
        <v>0</v>
      </c>
      <c r="AI119" s="385"/>
      <c r="AJ119" s="415" t="s">
        <v>1582</v>
      </c>
      <c r="AK119" s="403"/>
      <c r="AL119" s="334"/>
      <c r="AM119" s="335"/>
      <c r="AN119" s="335"/>
      <c r="AO119" s="335"/>
      <c r="AP119" s="409"/>
      <c r="AQ119" s="388"/>
      <c r="AR119" s="385"/>
      <c r="AS119" s="365"/>
      <c r="AT119" s="384" t="s">
        <v>1554</v>
      </c>
      <c r="AU119" s="383" t="s">
        <v>1468</v>
      </c>
      <c r="AV119" s="383" t="s">
        <v>1584</v>
      </c>
      <c r="AW119" s="399" t="s">
        <v>1645</v>
      </c>
      <c r="AX119" s="365"/>
      <c r="AY119" s="365"/>
      <c r="AZ119" s="385" t="s">
        <v>1572</v>
      </c>
      <c r="BA119" s="349"/>
      <c r="BB119" s="350"/>
      <c r="BC119" s="411"/>
      <c r="BD119" s="408"/>
      <c r="BE119" s="350"/>
      <c r="BF119" s="350"/>
      <c r="BG119" s="350"/>
      <c r="BH119" s="350"/>
      <c r="BI119" s="350"/>
      <c r="BJ119" s="350"/>
    </row>
    <row r="120" s="348" customFormat="1">
      <c r="A120" s="539" t="s">
        <v>1650</v>
      </c>
      <c r="B120" s="335" t="s">
        <v>1457</v>
      </c>
      <c r="C120" s="334" t="s">
        <v>1314</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1565</v>
      </c>
      <c r="B121" s="335" t="s">
        <v>1457</v>
      </c>
      <c r="C121" s="334" t="s">
        <v>1458</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1565</v>
      </c>
      <c r="B122" s="335" t="s">
        <v>1457</v>
      </c>
      <c r="C122" s="334" t="s">
        <v>1458</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1565</v>
      </c>
      <c r="B123" s="335" t="s">
        <v>1457</v>
      </c>
      <c r="C123" s="334" t="s">
        <v>1468</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1565</v>
      </c>
      <c r="B124" s="335" t="s">
        <v>1457</v>
      </c>
      <c r="C124" s="334" t="s">
        <v>1468</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1565</v>
      </c>
      <c r="B125" s="335" t="s">
        <v>1457</v>
      </c>
      <c r="C125" s="334" t="s">
        <v>1480</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1565</v>
      </c>
      <c r="B126" s="335" t="s">
        <v>1457</v>
      </c>
      <c r="C126" s="334" t="s">
        <v>1480</v>
      </c>
      <c r="D126" s="383" t="s">
        <v>1652</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1565</v>
      </c>
      <c r="B127" s="335" t="s">
        <v>1457</v>
      </c>
      <c r="C127" s="334" t="s">
        <v>1480</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1569</v>
      </c>
      <c r="B128" s="335" t="s">
        <v>1457</v>
      </c>
      <c r="C128" s="334" t="s">
        <v>1458</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1569</v>
      </c>
      <c r="B129" s="335" t="s">
        <v>1457</v>
      </c>
      <c r="C129" s="334" t="s">
        <v>1458</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1569</v>
      </c>
      <c r="B130" s="335" t="s">
        <v>1457</v>
      </c>
      <c r="C130" s="334" t="s">
        <v>1458</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1569</v>
      </c>
      <c r="B131" s="335" t="s">
        <v>1457</v>
      </c>
      <c r="C131" s="334" t="s">
        <v>1458</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1569</v>
      </c>
      <c r="B132" s="335" t="s">
        <v>1457</v>
      </c>
      <c r="C132" s="334" t="s">
        <v>1468</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1569</v>
      </c>
      <c r="B133" s="335" t="s">
        <v>1457</v>
      </c>
      <c r="C133" s="334" t="s">
        <v>1468</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1569</v>
      </c>
      <c r="B134" s="335" t="s">
        <v>1457</v>
      </c>
      <c r="C134" s="334" t="s">
        <v>1468</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1569</v>
      </c>
      <c r="B135" s="335" t="s">
        <v>1457</v>
      </c>
      <c r="C135" s="334" t="s">
        <v>1468</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1569</v>
      </c>
      <c r="B136" s="335" t="s">
        <v>1457</v>
      </c>
      <c r="C136" s="334" t="s">
        <v>1480</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1569</v>
      </c>
      <c r="B137" s="335" t="s">
        <v>1457</v>
      </c>
      <c r="C137" s="334" t="s">
        <v>1480</v>
      </c>
      <c r="D137" s="383" t="s">
        <v>1530</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1569</v>
      </c>
      <c r="B138" s="335" t="s">
        <v>1457</v>
      </c>
      <c r="C138" s="334" t="s">
        <v>1480</v>
      </c>
      <c r="D138" s="383" t="s">
        <v>1526</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1569</v>
      </c>
      <c r="B139" s="335" t="s">
        <v>1457</v>
      </c>
      <c r="C139" s="334" t="s">
        <v>1480</v>
      </c>
      <c r="D139" s="383" t="s">
        <v>1652</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1569</v>
      </c>
      <c r="B140" s="335" t="s">
        <v>1457</v>
      </c>
      <c r="C140" s="334" t="s">
        <v>1480</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1574</v>
      </c>
      <c r="B141" s="335" t="s">
        <v>1457</v>
      </c>
      <c r="C141" s="334" t="s">
        <v>1458</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1574</v>
      </c>
      <c r="B142" s="335" t="s">
        <v>1457</v>
      </c>
      <c r="C142" s="334" t="s">
        <v>1458</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1574</v>
      </c>
      <c r="B143" s="335" t="s">
        <v>1457</v>
      </c>
      <c r="C143" s="334" t="s">
        <v>1458</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1574</v>
      </c>
      <c r="B144" s="335" t="s">
        <v>1457</v>
      </c>
      <c r="C144" s="334" t="s">
        <v>1458</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1574</v>
      </c>
      <c r="B145" s="335" t="s">
        <v>1457</v>
      </c>
      <c r="C145" s="334" t="s">
        <v>1468</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1574</v>
      </c>
      <c r="B146" s="335" t="s">
        <v>1457</v>
      </c>
      <c r="C146" s="334" t="s">
        <v>1468</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1574</v>
      </c>
      <c r="B147" s="335" t="s">
        <v>1457</v>
      </c>
      <c r="C147" s="334" t="s">
        <v>1468</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1574</v>
      </c>
      <c r="B148" s="335" t="s">
        <v>1457</v>
      </c>
      <c r="C148" s="334" t="s">
        <v>1314</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1574</v>
      </c>
      <c r="B149" s="335" t="s">
        <v>1457</v>
      </c>
      <c r="C149" s="334" t="s">
        <v>1314</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1574</v>
      </c>
      <c r="B150" s="335" t="s">
        <v>1457</v>
      </c>
      <c r="C150" s="334" t="s">
        <v>1480</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1574</v>
      </c>
      <c r="B151" s="335" t="s">
        <v>1457</v>
      </c>
      <c r="C151" s="334" t="s">
        <v>1480</v>
      </c>
      <c r="D151" s="383" t="s">
        <v>1530</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1574</v>
      </c>
      <c r="B152" s="335" t="s">
        <v>1457</v>
      </c>
      <c r="C152" s="334" t="s">
        <v>1480</v>
      </c>
      <c r="D152" s="383" t="s">
        <v>1526</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1574</v>
      </c>
      <c r="B153" s="335" t="s">
        <v>1457</v>
      </c>
      <c r="C153" s="334" t="s">
        <v>1480</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1578</v>
      </c>
      <c r="B154" s="335" t="s">
        <v>1457</v>
      </c>
      <c r="C154" s="334" t="s">
        <v>1458</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1578</v>
      </c>
      <c r="B155" s="335" t="s">
        <v>1457</v>
      </c>
      <c r="C155" s="334" t="s">
        <v>1458</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1578</v>
      </c>
      <c r="B156" s="335" t="s">
        <v>1457</v>
      </c>
      <c r="C156" s="334" t="s">
        <v>1458</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1578</v>
      </c>
      <c r="B157" s="335" t="s">
        <v>1457</v>
      </c>
      <c r="C157" s="334" t="s">
        <v>1458</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1578</v>
      </c>
      <c r="B158" s="335" t="s">
        <v>1457</v>
      </c>
      <c r="C158" s="334" t="s">
        <v>1458</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1578</v>
      </c>
      <c r="B159" s="335" t="s">
        <v>1457</v>
      </c>
      <c r="C159" s="334" t="s">
        <v>1468</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1578</v>
      </c>
      <c r="B160" s="335" t="s">
        <v>1457</v>
      </c>
      <c r="C160" s="334" t="s">
        <v>1468</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1578</v>
      </c>
      <c r="B161" s="335" t="s">
        <v>1457</v>
      </c>
      <c r="C161" s="334" t="s">
        <v>1468</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587</v>
      </c>
      <c r="B162" s="335" t="s">
        <v>1457</v>
      </c>
      <c r="C162" s="334" t="s">
        <v>1458</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587</v>
      </c>
      <c r="B163" s="335" t="s">
        <v>1457</v>
      </c>
      <c r="C163" s="334" t="s">
        <v>1458</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587</v>
      </c>
      <c r="B164" s="335" t="s">
        <v>1457</v>
      </c>
      <c r="C164" s="334" t="s">
        <v>1468</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587</v>
      </c>
      <c r="B165" s="335" t="s">
        <v>1457</v>
      </c>
      <c r="C165" s="334" t="s">
        <v>1468</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587</v>
      </c>
      <c r="B166" s="335" t="s">
        <v>1457</v>
      </c>
      <c r="C166" s="334" t="s">
        <v>1468</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587</v>
      </c>
      <c r="B167" s="335" t="s">
        <v>1457</v>
      </c>
      <c r="C167" s="334" t="s">
        <v>1314</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587</v>
      </c>
      <c r="B168" s="335" t="s">
        <v>1457</v>
      </c>
      <c r="C168" s="334" t="s">
        <v>1314</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1598</v>
      </c>
      <c r="B169" s="335" t="s">
        <v>1457</v>
      </c>
      <c r="C169" s="334" t="s">
        <v>1458</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1598</v>
      </c>
      <c r="B170" s="335" t="s">
        <v>1457</v>
      </c>
      <c r="C170" s="334" t="s">
        <v>1458</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1598</v>
      </c>
      <c r="B171" s="335" t="s">
        <v>1457</v>
      </c>
      <c r="C171" s="334" t="s">
        <v>1458</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1598</v>
      </c>
      <c r="B172" s="335" t="s">
        <v>1457</v>
      </c>
      <c r="C172" s="334" t="s">
        <v>1468</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1598</v>
      </c>
      <c r="B173" s="335" t="s">
        <v>1457</v>
      </c>
      <c r="C173" s="334" t="s">
        <v>1468</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1598</v>
      </c>
      <c r="B174" s="335" t="s">
        <v>1457</v>
      </c>
      <c r="C174" s="334" t="s">
        <v>1468</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1598</v>
      </c>
      <c r="B175" s="335" t="s">
        <v>1457</v>
      </c>
      <c r="C175" s="334" t="s">
        <v>1480</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1598</v>
      </c>
      <c r="B176" s="335" t="s">
        <v>1457</v>
      </c>
      <c r="C176" s="334" t="s">
        <v>1480</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1598</v>
      </c>
      <c r="B177" s="335" t="s">
        <v>1457</v>
      </c>
      <c r="C177" s="334" t="s">
        <v>1480</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1601</v>
      </c>
      <c r="B178" s="335" t="s">
        <v>1457</v>
      </c>
      <c r="C178" s="334" t="s">
        <v>1458</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1601</v>
      </c>
      <c r="B179" s="335" t="s">
        <v>1457</v>
      </c>
      <c r="C179" s="334" t="s">
        <v>1458</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1601</v>
      </c>
      <c r="B180" s="335" t="s">
        <v>1457</v>
      </c>
      <c r="C180" s="334" t="s">
        <v>1458</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1601</v>
      </c>
      <c r="B181" s="335" t="s">
        <v>1457</v>
      </c>
      <c r="C181" s="334" t="s">
        <v>1458</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1601</v>
      </c>
      <c r="B182" s="335" t="s">
        <v>1457</v>
      </c>
      <c r="C182" s="334" t="s">
        <v>1468</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1601</v>
      </c>
      <c r="B183" s="335" t="s">
        <v>1457</v>
      </c>
      <c r="C183" s="334" t="s">
        <v>1468</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1601</v>
      </c>
      <c r="B184" s="335" t="s">
        <v>1457</v>
      </c>
      <c r="C184" s="334" t="s">
        <v>1468</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1601</v>
      </c>
      <c r="B185" s="335" t="s">
        <v>1457</v>
      </c>
      <c r="C185" s="334" t="s">
        <v>1468</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1653</v>
      </c>
      <c r="B186" s="335" t="s">
        <v>1457</v>
      </c>
      <c r="C186" s="334" t="s">
        <v>1458</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1653</v>
      </c>
      <c r="B187" s="335" t="s">
        <v>1457</v>
      </c>
      <c r="C187" s="334" t="s">
        <v>1458</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1653</v>
      </c>
      <c r="B188" s="335" t="s">
        <v>1457</v>
      </c>
      <c r="C188" s="334" t="s">
        <v>1458</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1653</v>
      </c>
      <c r="B189" s="335" t="s">
        <v>1457</v>
      </c>
      <c r="C189" s="334" t="s">
        <v>1468</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1653</v>
      </c>
      <c r="B190" s="335" t="s">
        <v>1457</v>
      </c>
      <c r="C190" s="334" t="s">
        <v>1468</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1653</v>
      </c>
      <c r="B191" s="335" t="s">
        <v>1457</v>
      </c>
      <c r="C191" s="334" t="s">
        <v>1468</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1654</v>
      </c>
      <c r="B192" s="335" t="s">
        <v>1457</v>
      </c>
      <c r="C192" s="334" t="s">
        <v>1458</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1654</v>
      </c>
      <c r="B193" s="335" t="s">
        <v>1457</v>
      </c>
      <c r="C193" s="334" t="s">
        <v>1458</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1654</v>
      </c>
      <c r="B194" s="335" t="s">
        <v>1457</v>
      </c>
      <c r="C194" s="334" t="s">
        <v>1458</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1654</v>
      </c>
      <c r="B195" s="335" t="s">
        <v>1457</v>
      </c>
      <c r="C195" s="334" t="s">
        <v>1458</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1654</v>
      </c>
      <c r="B196" s="335" t="s">
        <v>1457</v>
      </c>
      <c r="C196" s="334" t="s">
        <v>1458</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1654</v>
      </c>
      <c r="B197" s="335" t="s">
        <v>1457</v>
      </c>
      <c r="C197" s="334" t="s">
        <v>1458</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1654</v>
      </c>
      <c r="B198" s="335" t="s">
        <v>1457</v>
      </c>
      <c r="C198" s="334" t="s">
        <v>1468</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1654</v>
      </c>
      <c r="B199" s="335" t="s">
        <v>1457</v>
      </c>
      <c r="C199" s="334" t="s">
        <v>1468</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1654</v>
      </c>
      <c r="B200" s="335" t="s">
        <v>1457</v>
      </c>
      <c r="C200" s="334" t="s">
        <v>1468</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1654</v>
      </c>
      <c r="B201" s="335" t="s">
        <v>1457</v>
      </c>
      <c r="C201" s="334" t="s">
        <v>1468</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1654</v>
      </c>
      <c r="B202" s="335" t="s">
        <v>1457</v>
      </c>
      <c r="C202" s="334" t="s">
        <v>1468</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1654</v>
      </c>
      <c r="B203" s="335" t="s">
        <v>1457</v>
      </c>
      <c r="C203" s="334" t="s">
        <v>1468</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1655</v>
      </c>
      <c r="B204" s="383" t="s">
        <v>1457</v>
      </c>
      <c r="C204" s="383" t="s">
        <v>1463</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1656</v>
      </c>
      <c r="B205" s="335" t="s">
        <v>1457</v>
      </c>
      <c r="C205" s="334" t="s">
        <v>1458</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1656</v>
      </c>
      <c r="B206" s="335" t="s">
        <v>1457</v>
      </c>
      <c r="C206" s="334" t="s">
        <v>1458</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1656</v>
      </c>
      <c r="B207" s="335" t="s">
        <v>1457</v>
      </c>
      <c r="C207" s="334" t="s">
        <v>1458</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1656</v>
      </c>
      <c r="B208" s="335" t="s">
        <v>1457</v>
      </c>
      <c r="C208" s="334" t="s">
        <v>1458</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1656</v>
      </c>
      <c r="B209" s="335" t="s">
        <v>1457</v>
      </c>
      <c r="C209" s="334" t="s">
        <v>1458</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1656</v>
      </c>
      <c r="B210" s="335" t="s">
        <v>1457</v>
      </c>
      <c r="C210" s="334" t="s">
        <v>1458</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1656</v>
      </c>
      <c r="B211" s="335" t="s">
        <v>1457</v>
      </c>
      <c r="C211" s="334" t="s">
        <v>1468</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1656</v>
      </c>
      <c r="B212" s="335" t="s">
        <v>1457</v>
      </c>
      <c r="C212" s="334" t="s">
        <v>1468</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1656</v>
      </c>
      <c r="B213" s="335" t="s">
        <v>1457</v>
      </c>
      <c r="C213" s="334" t="s">
        <v>1468</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1656</v>
      </c>
      <c r="B214" s="335" t="s">
        <v>1457</v>
      </c>
      <c r="C214" s="334" t="s">
        <v>1468</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1656</v>
      </c>
      <c r="B215" s="335" t="s">
        <v>1457</v>
      </c>
      <c r="C215" s="334" t="s">
        <v>1468</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1656</v>
      </c>
      <c r="B216" s="335" t="s">
        <v>1457</v>
      </c>
      <c r="C216" s="334" t="s">
        <v>1468</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1657</v>
      </c>
      <c r="B217" s="335" t="s">
        <v>1457</v>
      </c>
      <c r="C217" s="334" t="s">
        <v>1314</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1657</v>
      </c>
      <c r="B218" s="335" t="s">
        <v>1457</v>
      </c>
      <c r="C218" s="334" t="s">
        <v>1314</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1621</v>
      </c>
      <c r="B219" s="335" t="s">
        <v>1457</v>
      </c>
      <c r="C219" s="334" t="s">
        <v>1458</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1658</v>
      </c>
      <c r="B220" s="335" t="s">
        <v>1457</v>
      </c>
      <c r="C220" s="334" t="s">
        <v>1474</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1659</v>
      </c>
      <c r="B221" s="383" t="s">
        <v>1457</v>
      </c>
      <c r="C221" s="383" t="s">
        <v>1463</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1660</v>
      </c>
      <c r="B222" s="383" t="s">
        <v>1457</v>
      </c>
      <c r="C222" s="383" t="s">
        <v>1463</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1661</v>
      </c>
      <c r="B223" s="335" t="s">
        <v>1457</v>
      </c>
      <c r="C223" s="334" t="s">
        <v>1314</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1661</v>
      </c>
      <c r="B224" s="335" t="s">
        <v>1457</v>
      </c>
      <c r="C224" s="334" t="s">
        <v>1314</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1661</v>
      </c>
      <c r="B225" s="335" t="s">
        <v>1457</v>
      </c>
      <c r="C225" s="334" t="s">
        <v>1314</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1662</v>
      </c>
      <c r="B226" s="335" t="s">
        <v>1457</v>
      </c>
      <c r="C226" s="334" t="s">
        <v>1314</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1662</v>
      </c>
      <c r="B227" s="335" t="s">
        <v>1457</v>
      </c>
      <c r="C227" s="334" t="s">
        <v>1314</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1662</v>
      </c>
      <c r="B228" s="335" t="s">
        <v>1457</v>
      </c>
      <c r="C228" s="334" t="s">
        <v>1314</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1663</v>
      </c>
      <c r="B229" s="335" t="s">
        <v>1457</v>
      </c>
      <c r="C229" s="334" t="s">
        <v>1474</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1612</v>
      </c>
      <c r="B230" s="335" t="s">
        <v>1457</v>
      </c>
      <c r="C230" s="334" t="s">
        <v>1458</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1612</v>
      </c>
      <c r="B231" s="335" t="s">
        <v>1457</v>
      </c>
      <c r="C231" s="334" t="s">
        <v>1458</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1612</v>
      </c>
      <c r="B232" s="335" t="s">
        <v>1457</v>
      </c>
      <c r="C232" s="334" t="s">
        <v>1458</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1612</v>
      </c>
      <c r="B233" s="335" t="s">
        <v>1457</v>
      </c>
      <c r="C233" s="334" t="s">
        <v>1468</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1612</v>
      </c>
      <c r="B234" s="335" t="s">
        <v>1457</v>
      </c>
      <c r="C234" s="334" t="s">
        <v>1468</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1612</v>
      </c>
      <c r="B235" s="335" t="s">
        <v>1457</v>
      </c>
      <c r="C235" s="334" t="s">
        <v>1468</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1612</v>
      </c>
      <c r="B236" s="335" t="s">
        <v>1457</v>
      </c>
      <c r="C236" s="334" t="s">
        <v>1468</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1612</v>
      </c>
      <c r="B237" s="335" t="s">
        <v>1457</v>
      </c>
      <c r="C237" s="334" t="s">
        <v>1480</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1612</v>
      </c>
      <c r="B238" s="335" t="s">
        <v>1457</v>
      </c>
      <c r="C238" s="334" t="s">
        <v>1480</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1612</v>
      </c>
      <c r="B239" s="335" t="s">
        <v>1457</v>
      </c>
      <c r="C239" s="334" t="s">
        <v>1480</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1612</v>
      </c>
      <c r="B240" s="335" t="s">
        <v>1457</v>
      </c>
      <c r="C240" s="334" t="s">
        <v>1480</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1617</v>
      </c>
      <c r="B241" s="335" t="s">
        <v>1457</v>
      </c>
      <c r="C241" s="334" t="s">
        <v>1498</v>
      </c>
      <c r="D241" s="383" t="s">
        <v>1526</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1617</v>
      </c>
      <c r="B242" s="335" t="s">
        <v>1457</v>
      </c>
      <c r="C242" s="334" t="s">
        <v>1498</v>
      </c>
      <c r="D242" s="383" t="s">
        <v>1534</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1619</v>
      </c>
      <c r="B243" s="383" t="s">
        <v>1457</v>
      </c>
      <c r="C243" s="383" t="s">
        <v>1463</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1615</v>
      </c>
      <c r="B244" s="335" t="s">
        <v>1457</v>
      </c>
      <c r="C244" s="334" t="s">
        <v>1314</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1615</v>
      </c>
      <c r="B245" s="335" t="s">
        <v>1457</v>
      </c>
      <c r="C245" s="334" t="s">
        <v>1314</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1615</v>
      </c>
      <c r="B246" s="335" t="s">
        <v>1457</v>
      </c>
      <c r="C246" s="334" t="s">
        <v>1314</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1586</v>
      </c>
      <c r="B247" s="335" t="s">
        <v>1457</v>
      </c>
      <c r="C247" s="334" t="s">
        <v>1458</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1586</v>
      </c>
      <c r="B248" s="335" t="s">
        <v>1457</v>
      </c>
      <c r="C248" s="334" t="s">
        <v>1458</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1586</v>
      </c>
      <c r="B249" s="335" t="s">
        <v>1457</v>
      </c>
      <c r="C249" s="334" t="s">
        <v>1458</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1586</v>
      </c>
      <c r="B250" s="335" t="s">
        <v>1457</v>
      </c>
      <c r="C250" s="334" t="s">
        <v>1468</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1586</v>
      </c>
      <c r="B251" s="335" t="s">
        <v>1457</v>
      </c>
      <c r="C251" s="334" t="s">
        <v>1468</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1586</v>
      </c>
      <c r="B252" s="335" t="s">
        <v>1457</v>
      </c>
      <c r="C252" s="334" t="s">
        <v>1314</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1586</v>
      </c>
      <c r="B253" s="335" t="s">
        <v>1457</v>
      </c>
      <c r="C253" s="334" t="s">
        <v>1314</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1586</v>
      </c>
      <c r="B254" s="335" t="s">
        <v>1457</v>
      </c>
      <c r="C254" s="334" t="s">
        <v>1480</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1586</v>
      </c>
      <c r="B255" s="335" t="s">
        <v>1457</v>
      </c>
      <c r="C255" s="334" t="s">
        <v>1480</v>
      </c>
      <c r="D255" s="383" t="s">
        <v>1530</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1586</v>
      </c>
      <c r="B256" s="335" t="s">
        <v>1457</v>
      </c>
      <c r="C256" s="334" t="s">
        <v>1480</v>
      </c>
      <c r="D256" s="383" t="s">
        <v>1526</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1586</v>
      </c>
      <c r="B257" s="335" t="s">
        <v>1457</v>
      </c>
      <c r="C257" s="334" t="s">
        <v>1480</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1590</v>
      </c>
      <c r="B258" s="335" t="s">
        <v>1457</v>
      </c>
      <c r="C258" s="334" t="s">
        <v>1458</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1590</v>
      </c>
      <c r="B259" s="335" t="s">
        <v>1457</v>
      </c>
      <c r="C259" s="334" t="s">
        <v>1458</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1590</v>
      </c>
      <c r="B260" s="335" t="s">
        <v>1457</v>
      </c>
      <c r="C260" s="334" t="s">
        <v>1458</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1590</v>
      </c>
      <c r="B261" s="335" t="s">
        <v>1457</v>
      </c>
      <c r="C261" s="334" t="s">
        <v>1468</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1590</v>
      </c>
      <c r="B262" s="335" t="s">
        <v>1457</v>
      </c>
      <c r="C262" s="334" t="s">
        <v>1468</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1590</v>
      </c>
      <c r="B263" s="335" t="s">
        <v>1457</v>
      </c>
      <c r="C263" s="334" t="s">
        <v>1480</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1590</v>
      </c>
      <c r="B264" s="335" t="s">
        <v>1457</v>
      </c>
      <c r="C264" s="334" t="s">
        <v>1480</v>
      </c>
      <c r="D264" s="383" t="s">
        <v>1530</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1590</v>
      </c>
      <c r="B265" s="335" t="s">
        <v>1457</v>
      </c>
      <c r="C265" s="334" t="s">
        <v>1480</v>
      </c>
      <c r="D265" s="383" t="s">
        <v>1526</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1590</v>
      </c>
      <c r="B266" s="335" t="s">
        <v>1457</v>
      </c>
      <c r="C266" s="334" t="s">
        <v>1480</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1664</v>
      </c>
      <c r="B267" s="335" t="s">
        <v>1457</v>
      </c>
      <c r="C267" s="334" t="s">
        <v>1314</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1595</v>
      </c>
      <c r="B268" s="335" t="s">
        <v>1457</v>
      </c>
      <c r="C268" s="334" t="s">
        <v>1458</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1595</v>
      </c>
      <c r="B269" s="335" t="s">
        <v>1457</v>
      </c>
      <c r="C269" s="334" t="s">
        <v>1458</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1595</v>
      </c>
      <c r="B270" s="335" t="s">
        <v>1457</v>
      </c>
      <c r="C270" s="334" t="s">
        <v>1458</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1595</v>
      </c>
      <c r="B271" s="335" t="s">
        <v>1457</v>
      </c>
      <c r="C271" s="334" t="s">
        <v>1468</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1595</v>
      </c>
      <c r="B272" s="335" t="s">
        <v>1457</v>
      </c>
      <c r="C272" s="334" t="s">
        <v>1468</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1595</v>
      </c>
      <c r="B273" s="335" t="s">
        <v>1457</v>
      </c>
      <c r="C273" s="334" t="s">
        <v>1480</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1595</v>
      </c>
      <c r="B274" s="335" t="s">
        <v>1457</v>
      </c>
      <c r="C274" s="334" t="s">
        <v>1480</v>
      </c>
      <c r="D274" s="383" t="s">
        <v>1530</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1595</v>
      </c>
      <c r="B275" s="335" t="s">
        <v>1457</v>
      </c>
      <c r="C275" s="334" t="s">
        <v>1480</v>
      </c>
      <c r="D275" s="383" t="s">
        <v>1526</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1595</v>
      </c>
      <c r="B276" s="335" t="s">
        <v>1457</v>
      </c>
      <c r="C276" s="334" t="s">
        <v>1480</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1665</v>
      </c>
      <c r="B277" s="335" t="s">
        <v>1457</v>
      </c>
      <c r="C277" s="334" t="s">
        <v>1314</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1666</v>
      </c>
      <c r="B278" s="335" t="s">
        <v>1457</v>
      </c>
      <c r="C278" s="334" t="s">
        <v>1314</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1574</v>
      </c>
      <c r="B279" s="335" t="s">
        <v>1457</v>
      </c>
      <c r="C279" s="334" t="s">
        <v>1314</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1574</v>
      </c>
      <c r="B280" s="335" t="s">
        <v>1457</v>
      </c>
      <c r="C280" s="334" t="s">
        <v>1314</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587</v>
      </c>
      <c r="B281" s="335" t="s">
        <v>1457</v>
      </c>
      <c r="C281" s="334" t="s">
        <v>1314</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587</v>
      </c>
      <c r="B282" s="335" t="s">
        <v>1457</v>
      </c>
      <c r="C282" s="334" t="s">
        <v>1314</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1667</v>
      </c>
      <c r="B283" s="383" t="s">
        <v>1457</v>
      </c>
      <c r="C283" s="383" t="s">
        <v>1463</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1668</v>
      </c>
      <c r="B284" s="383" t="s">
        <v>1457</v>
      </c>
      <c r="C284" s="383" t="s">
        <v>1314</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1668</v>
      </c>
      <c r="B285" s="383" t="s">
        <v>1457</v>
      </c>
      <c r="C285" s="383" t="s">
        <v>1314</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1668</v>
      </c>
      <c r="B286" s="383" t="s">
        <v>1457</v>
      </c>
      <c r="C286" s="383" t="s">
        <v>1314</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1668</v>
      </c>
      <c r="B287" s="383" t="s">
        <v>1457</v>
      </c>
      <c r="C287" s="383" t="s">
        <v>1314</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1598</v>
      </c>
      <c r="B288" s="448" t="s">
        <v>1457</v>
      </c>
      <c r="C288" s="449" t="s">
        <v>1480</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1598</v>
      </c>
      <c r="B289" s="448" t="s">
        <v>1457</v>
      </c>
      <c r="C289" s="449" t="s">
        <v>1480</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1617</v>
      </c>
      <c r="B290" s="448" t="s">
        <v>1457</v>
      </c>
      <c r="C290" s="449" t="s">
        <v>1498</v>
      </c>
      <c r="D290" s="451" t="s">
        <v>1526</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1617</v>
      </c>
      <c r="B291" s="448" t="s">
        <v>1457</v>
      </c>
      <c r="C291" s="449" t="s">
        <v>1498</v>
      </c>
      <c r="D291" s="451" t="s">
        <v>1534</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1550</v>
      </c>
      <c r="B292" s="448" t="s">
        <v>1457</v>
      </c>
      <c r="C292" s="449" t="s">
        <v>1505</v>
      </c>
      <c r="D292" s="451" t="s">
        <v>1526</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1550</v>
      </c>
      <c r="B293" s="448" t="s">
        <v>1457</v>
      </c>
      <c r="C293" s="449" t="s">
        <v>1505</v>
      </c>
      <c r="D293" s="451" t="s">
        <v>1534</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1556</v>
      </c>
      <c r="B294" s="448" t="s">
        <v>1457</v>
      </c>
      <c r="C294" s="449" t="s">
        <v>1505</v>
      </c>
      <c r="D294" s="451" t="s">
        <v>1526</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1556</v>
      </c>
      <c r="B295" s="448" t="s">
        <v>1457</v>
      </c>
      <c r="C295" s="449" t="s">
        <v>1505</v>
      </c>
      <c r="D295" s="451" t="s">
        <v>1534</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1559</v>
      </c>
      <c r="B296" s="448" t="s">
        <v>1457</v>
      </c>
      <c r="C296" s="449" t="s">
        <v>1505</v>
      </c>
      <c r="D296" s="451" t="s">
        <v>1526</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1559</v>
      </c>
      <c r="B297" s="448" t="s">
        <v>1457</v>
      </c>
      <c r="C297" s="449" t="s">
        <v>1505</v>
      </c>
      <c r="D297" s="451" t="s">
        <v>1534</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1562</v>
      </c>
      <c r="B298" s="448" t="s">
        <v>1457</v>
      </c>
      <c r="C298" s="449" t="s">
        <v>1505</v>
      </c>
      <c r="D298" s="451" t="s">
        <v>1526</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1562</v>
      </c>
      <c r="B299" s="448" t="s">
        <v>1457</v>
      </c>
      <c r="C299" s="449" t="s">
        <v>1505</v>
      </c>
      <c r="D299" s="451" t="s">
        <v>1534</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1669</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1669</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1669</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1669</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1669</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1669</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1669</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1669</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1669</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1669</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1669</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1669</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1669</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1669</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1669</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1669</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1669</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1669</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1669</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1669</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1669</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1669</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1669</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1669</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1669</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1669</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1669</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1669</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1669</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1619</v>
      </c>
      <c r="B329" s="455" t="s">
        <v>1457</v>
      </c>
      <c r="C329" s="456" t="s">
        <v>1463</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1621</v>
      </c>
      <c r="B330" s="455" t="s">
        <v>1457</v>
      </c>
      <c r="C330" s="456" t="s">
        <v>1463</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1540</v>
      </c>
      <c r="B331" s="455" t="s">
        <v>1457</v>
      </c>
      <c r="C331" s="456" t="s">
        <v>1463</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1670</v>
      </c>
      <c r="B332" s="455" t="s">
        <v>1457</v>
      </c>
      <c r="C332" s="456" t="s">
        <v>1463</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1586</v>
      </c>
      <c r="B335" s="455"/>
      <c r="C335" s="456" t="s">
        <v>1314</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1586</v>
      </c>
      <c r="B336" s="455"/>
      <c r="C336" s="456" t="s">
        <v>1474</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173296C7-2BF8-4AF8-A118-006DBD2AA82A}"/>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1409</v>
      </c>
      <c r="D1" s="497" t="s">
        <v>1410</v>
      </c>
      <c r="E1" s="497" t="s">
        <v>1411</v>
      </c>
      <c r="F1" s="497" t="s">
        <v>1412</v>
      </c>
      <c r="G1" s="497" t="s">
        <v>1413</v>
      </c>
      <c r="H1" s="498" t="s">
        <v>1414</v>
      </c>
      <c r="I1" s="497" t="s">
        <v>1415</v>
      </c>
      <c r="J1" s="497" t="s">
        <v>1416</v>
      </c>
      <c r="K1" s="497" t="s">
        <v>1417</v>
      </c>
      <c r="L1" s="498" t="s">
        <v>112</v>
      </c>
      <c r="M1" s="498" t="s">
        <v>144</v>
      </c>
    </row>
    <row r="2" ht="33">
      <c r="A2" s="217" t="s">
        <v>1178</v>
      </c>
      <c r="B2" s="478" t="str">
        <f>INDEX(ApplicantNameList,MATCH(A2,ApplicantIDList,0))</f>
        <v>TỔNG CÔNG TY MẠNG LƯỚI VIETTEL</v>
      </c>
      <c r="C2" s="219" t="s">
        <v>1418</v>
      </c>
      <c r="D2" s="220">
        <v>42150</v>
      </c>
      <c r="E2" s="219">
        <v>247</v>
      </c>
      <c r="F2" s="219">
        <v>247</v>
      </c>
      <c r="G2" s="220">
        <v>42150</v>
      </c>
      <c r="H2" s="479">
        <f>F2*2500000</f>
        <v>617500000</v>
      </c>
      <c r="I2" s="221" t="s">
        <v>1419</v>
      </c>
      <c r="J2" s="220">
        <v>42150</v>
      </c>
      <c r="K2" s="220">
        <v>42150</v>
      </c>
      <c r="L2" s="480" t="str">
        <f>INDEX(Applicant!$H:$H,MATCH(A2,ApplicantIDList,0))</f>
        <v>VIETTEL-2016</v>
      </c>
      <c r="M2" s="481" t="str">
        <f>INDEX(OperatorNameList,MATCH(L2,OperatorIDList,0))</f>
        <v>TỔNG CÔNG TY MẠNG LƯỚI VIETTEL</v>
      </c>
    </row>
    <row r="3">
      <c r="A3" s="217"/>
    </row>
  </sheetData>
  <sheetProtection sheet="1" objects="1" scenarios="1" formatCells="0" formatColumns="0" formatRows="0" sort="0" autoFilter="0" pivotTables="0"/>
  <conditionalFormatting sqref="D2">
    <cfRule type="expression" dxfId="0" priority="15">
      <formula>NOT(isdate($D$2))</formula>
    </cfRule>
  </conditionalFormatting>
  <conditionalFormatting sqref="E2">
    <cfRule type="expression" dxfId="0" priority="14">
      <formula>NOT(ISNUMBER($E$2))</formula>
    </cfRule>
  </conditionalFormatting>
  <conditionalFormatting sqref="F2">
    <cfRule type="expression" dxfId="0" priority="13">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FBDD70C4-7A33-401E-AF92-6879898BEB7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1174</v>
      </c>
      <c r="D2" s="217" t="s">
        <v>26</v>
      </c>
      <c r="E2" s="793">
        <v>106.698889</v>
      </c>
      <c r="F2" s="793">
        <v>10.759444</v>
      </c>
      <c r="G2" s="224">
        <v>1</v>
      </c>
      <c r="H2" s="482" t="str">
        <f>INDEX(CityIDList,MATCH(D2,CityNameList,0))</f>
        <v>HCM</v>
      </c>
    </row>
    <row r="3" ht="16.5">
      <c r="A3" s="224">
        <v>2</v>
      </c>
      <c r="B3" s="793">
        <v>359184</v>
      </c>
      <c r="C3" s="224" t="s">
        <v>1175</v>
      </c>
      <c r="D3" s="217" t="s">
        <v>26</v>
      </c>
      <c r="E3" s="793">
        <v>106.6932</v>
      </c>
      <c r="F3" s="793">
        <v>10.77212</v>
      </c>
      <c r="G3" s="224">
        <v>1</v>
      </c>
      <c r="H3" s="215" t="str">
        <f>INDEX(CityIDList,MATCH(D3,CityNameList,0))</f>
        <v>HCM</v>
      </c>
    </row>
    <row r="4" ht="16.5">
      <c r="A4" s="224">
        <v>3</v>
      </c>
      <c r="B4" s="793">
        <v>359356</v>
      </c>
      <c r="C4" s="224" t="s">
        <v>1176</v>
      </c>
      <c r="D4" s="217" t="s">
        <v>26</v>
      </c>
      <c r="E4" s="793">
        <v>106.68681</v>
      </c>
      <c r="F4" s="793">
        <v>10.76398</v>
      </c>
      <c r="G4" s="224">
        <v>1</v>
      </c>
      <c r="H4" s="215" t="str">
        <f>INDEX(CityIDList,MATCH(D4,CityNameList,0))</f>
        <v>HCM</v>
      </c>
    </row>
    <row r="5" ht="16.5">
      <c r="A5" s="224">
        <v>4</v>
      </c>
      <c r="B5" s="793">
        <v>359389</v>
      </c>
      <c r="C5" s="224" t="s">
        <v>1177</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1167</v>
      </c>
      <c r="B1" s="596" t="s">
        <v>1168</v>
      </c>
      <c r="C1" s="596" t="s">
        <v>1169</v>
      </c>
      <c r="D1" s="596" t="s">
        <v>1170</v>
      </c>
    </row>
    <row r="2">
      <c r="A2" s="235">
        <v>1</v>
      </c>
      <c r="B2" s="235" t="b">
        <v>1</v>
      </c>
      <c r="C2" s="235" t="s">
        <v>1171</v>
      </c>
      <c r="D2" s="235" t="s">
        <v>675</v>
      </c>
    </row>
    <row r="3">
      <c r="A3" s="235">
        <v>2</v>
      </c>
      <c r="B3" s="235" t="b">
        <v>0</v>
      </c>
      <c r="C3" s="235" t="s">
        <v>1172</v>
      </c>
      <c r="D3" s="235" t="s">
        <v>0</v>
      </c>
    </row>
    <row r="5">
      <c r="C5" s="556"/>
      <c r="D5" s="555" t="s">
        <v>140</v>
      </c>
      <c r="E5" s="555" t="s">
        <v>332</v>
      </c>
    </row>
    <row r="6">
      <c r="C6" s="557" t="s">
        <v>1173</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50B79C90-28BD-4694-8C3B-1DE686C8F266}">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69"/>
  <sheetViews>
    <sheetView topLeftCell="R1" zoomScaleNormal="100" workbookViewId="0">
      <selection activeCell="H5" sqref="H5"/>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47.25" s="577" customFormat="1">
      <c r="A2" s="559">
        <v>1</v>
      </c>
      <c r="B2" s="602">
        <v>38</v>
      </c>
      <c r="C2" s="469"/>
      <c r="D2" s="469" t="s">
        <v>575</v>
      </c>
      <c r="E2" s="560" t="s">
        <v>576</v>
      </c>
      <c r="F2" s="564" t="s">
        <v>576</v>
      </c>
      <c r="G2" s="561" t="s">
        <v>577</v>
      </c>
      <c r="H2" s="562" t="s">
        <v>26</v>
      </c>
      <c r="I2" s="562" t="s">
        <v>578</v>
      </c>
      <c r="J2" s="562" t="s">
        <v>579</v>
      </c>
      <c r="K2" s="469" t="s">
        <v>580</v>
      </c>
      <c r="L2" s="563">
        <v>42636</v>
      </c>
      <c r="M2" s="563">
        <v>42623</v>
      </c>
      <c r="N2" s="603" t="s">
        <v>581</v>
      </c>
      <c r="O2" s="604" t="s">
        <v>582</v>
      </c>
      <c r="P2" s="605" t="s">
        <v>583</v>
      </c>
      <c r="Q2" s="603" t="s">
        <v>364</v>
      </c>
      <c r="R2" s="605" t="s">
        <v>584</v>
      </c>
      <c r="S2" s="605" t="s">
        <v>585</v>
      </c>
      <c r="T2" s="234" t="s">
        <v>584</v>
      </c>
      <c r="U2" s="234" t="s">
        <v>585</v>
      </c>
      <c r="V2" s="562">
        <v>3</v>
      </c>
      <c r="W2" s="562" t="s">
        <v>0</v>
      </c>
      <c r="X2" s="564" t="s">
        <v>576</v>
      </c>
      <c r="Y2" s="564" t="s">
        <v>586</v>
      </c>
      <c r="Z2" s="564" t="s">
        <v>587</v>
      </c>
      <c r="AA2" s="564">
        <v>3</v>
      </c>
      <c r="AB2" s="565" t="s">
        <v>588</v>
      </c>
      <c r="AC2" s="565" t="s">
        <v>588</v>
      </c>
      <c r="AD2" s="565" t="s">
        <v>588</v>
      </c>
      <c r="AE2" s="565"/>
      <c r="AF2" s="566" t="s">
        <v>589</v>
      </c>
      <c r="AG2" s="565" t="s">
        <v>590</v>
      </c>
      <c r="AH2" s="565" t="s">
        <v>590</v>
      </c>
      <c r="AI2" s="565" t="s">
        <v>590</v>
      </c>
      <c r="AJ2" s="565"/>
      <c r="AK2" s="562" t="s">
        <v>591</v>
      </c>
      <c r="AL2" s="564" t="s">
        <v>592</v>
      </c>
      <c r="AM2" s="564" t="s">
        <v>593</v>
      </c>
      <c r="AN2" s="567" t="s">
        <v>576</v>
      </c>
      <c r="AO2" s="567" t="s">
        <v>586</v>
      </c>
      <c r="AP2" s="567" t="s">
        <v>587</v>
      </c>
      <c r="AQ2" s="567">
        <v>3</v>
      </c>
      <c r="AR2" s="568">
        <v>4</v>
      </c>
      <c r="AS2" s="568" t="s">
        <v>588</v>
      </c>
      <c r="AT2" s="568" t="s">
        <v>588</v>
      </c>
      <c r="AU2" s="568"/>
      <c r="AV2" s="663" t="s">
        <v>589</v>
      </c>
      <c r="AW2" s="568" t="s">
        <v>590</v>
      </c>
      <c r="AX2" s="568" t="s">
        <v>590</v>
      </c>
      <c r="AY2" s="568" t="s">
        <v>590</v>
      </c>
      <c r="AZ2" s="568"/>
      <c r="BA2" s="663" t="s">
        <v>591</v>
      </c>
      <c r="BB2" s="567" t="s">
        <v>594</v>
      </c>
      <c r="BC2" s="567" t="s">
        <v>595</v>
      </c>
      <c r="BD2" s="569" t="s">
        <v>576</v>
      </c>
      <c r="BE2" s="569" t="s">
        <v>586</v>
      </c>
      <c r="BF2" s="569" t="s">
        <v>587</v>
      </c>
      <c r="BG2" s="569">
        <v>3</v>
      </c>
      <c r="BH2" s="569" t="s">
        <v>596</v>
      </c>
      <c r="BI2" s="569" t="s">
        <v>596</v>
      </c>
      <c r="BJ2" s="569" t="s">
        <v>596</v>
      </c>
      <c r="BK2" s="569"/>
      <c r="BL2" s="566" t="s">
        <v>597</v>
      </c>
      <c r="BM2" s="569" t="s">
        <v>598</v>
      </c>
      <c r="BN2" s="569" t="s">
        <v>598</v>
      </c>
      <c r="BO2" s="569" t="s">
        <v>598</v>
      </c>
      <c r="BP2" s="569"/>
      <c r="BQ2" s="562" t="s">
        <v>599</v>
      </c>
      <c r="BR2" s="569" t="s">
        <v>600</v>
      </c>
      <c r="BS2" s="569" t="s">
        <v>595</v>
      </c>
      <c r="BT2" s="570"/>
      <c r="BU2" s="570"/>
      <c r="BV2" s="570"/>
      <c r="BW2" s="570" t="s">
        <v>601</v>
      </c>
      <c r="BX2" s="571" t="s">
        <v>601</v>
      </c>
      <c r="BY2" s="571" t="s">
        <v>601</v>
      </c>
      <c r="BZ2" s="571" t="s">
        <v>601</v>
      </c>
      <c r="CA2" s="566" t="s">
        <v>601</v>
      </c>
      <c r="CB2" s="571" t="s">
        <v>601</v>
      </c>
      <c r="CC2" s="571" t="s">
        <v>601</v>
      </c>
      <c r="CD2" s="571" t="s">
        <v>601</v>
      </c>
      <c r="CE2" s="562" t="s">
        <v>601</v>
      </c>
      <c r="CF2" s="570" t="s">
        <v>601</v>
      </c>
      <c r="CG2" s="570" t="s">
        <v>601</v>
      </c>
      <c r="CH2" s="572" t="s">
        <v>601</v>
      </c>
      <c r="CI2" s="572" t="s">
        <v>601</v>
      </c>
      <c r="CJ2" s="572" t="s">
        <v>601</v>
      </c>
      <c r="CK2" s="572" t="s">
        <v>601</v>
      </c>
      <c r="CL2" s="573" t="s">
        <v>601</v>
      </c>
      <c r="CM2" s="573" t="s">
        <v>601</v>
      </c>
      <c r="CN2" s="573" t="s">
        <v>601</v>
      </c>
      <c r="CO2" s="566" t="s">
        <v>601</v>
      </c>
      <c r="CP2" s="573" t="s">
        <v>601</v>
      </c>
      <c r="CQ2" s="573" t="s">
        <v>601</v>
      </c>
      <c r="CR2" s="573" t="s">
        <v>601</v>
      </c>
      <c r="CS2" s="562" t="s">
        <v>601</v>
      </c>
      <c r="CT2" s="572" t="s">
        <v>601</v>
      </c>
      <c r="CU2" s="572" t="s">
        <v>601</v>
      </c>
      <c r="CV2" s="574" t="s">
        <v>601</v>
      </c>
      <c r="CW2" s="574" t="s">
        <v>601</v>
      </c>
      <c r="CX2" s="574" t="s">
        <v>601</v>
      </c>
      <c r="CY2" s="574" t="s">
        <v>601</v>
      </c>
      <c r="CZ2" s="575" t="s">
        <v>601</v>
      </c>
      <c r="DA2" s="575" t="s">
        <v>601</v>
      </c>
      <c r="DB2" s="575" t="s">
        <v>601</v>
      </c>
      <c r="DC2" s="566" t="s">
        <v>601</v>
      </c>
      <c r="DD2" s="575" t="s">
        <v>601</v>
      </c>
      <c r="DE2" s="575" t="s">
        <v>601</v>
      </c>
      <c r="DF2" s="575" t="s">
        <v>601</v>
      </c>
      <c r="DG2" s="562" t="s">
        <v>601</v>
      </c>
      <c r="DH2" s="574" t="s">
        <v>601</v>
      </c>
      <c r="DI2" s="574" t="s">
        <v>601</v>
      </c>
      <c r="DJ2" s="469">
        <v>3</v>
      </c>
      <c r="DK2" s="469" t="s">
        <v>602</v>
      </c>
      <c r="DL2" s="469" t="s">
        <v>603</v>
      </c>
      <c r="DM2" s="469" t="s">
        <v>603</v>
      </c>
      <c r="DN2" s="469" t="s">
        <v>604</v>
      </c>
      <c r="DO2" s="469" t="s">
        <v>604</v>
      </c>
      <c r="DP2" s="469" t="s">
        <v>604</v>
      </c>
      <c r="DQ2" s="469">
        <v>3</v>
      </c>
      <c r="DR2" s="576"/>
      <c r="DS2" s="606"/>
      <c r="DT2" s="606"/>
      <c r="DU2" s="562"/>
      <c r="DV2" s="606"/>
      <c r="DW2" s="606"/>
      <c r="DX2" s="607"/>
      <c r="DY2" s="611"/>
      <c r="DZ2" s="607"/>
      <c r="EA2" s="607"/>
      <c r="EB2" s="607"/>
      <c r="EC2" s="607"/>
      <c r="ED2" s="607"/>
      <c r="EE2" s="607"/>
      <c r="EF2" s="607"/>
      <c r="EG2" s="607"/>
      <c r="EH2" s="607"/>
      <c r="EI2" s="608"/>
      <c r="EJ2" s="608"/>
      <c r="EK2" s="608"/>
      <c r="EL2" s="608"/>
      <c r="EM2" s="608"/>
      <c r="EN2" s="608"/>
      <c r="EO2" s="562"/>
      <c r="EP2" s="608"/>
      <c r="EQ2" s="608"/>
      <c r="ER2" s="608"/>
      <c r="ES2" s="562"/>
      <c r="ET2" s="608"/>
      <c r="EU2" s="608"/>
      <c r="EV2" s="609"/>
      <c r="EW2" s="609"/>
      <c r="EX2" s="609"/>
      <c r="EY2" s="609"/>
      <c r="EZ2" s="609"/>
      <c r="FA2" s="609"/>
      <c r="FB2" s="562"/>
      <c r="FC2" s="609"/>
      <c r="FD2" s="609"/>
      <c r="FE2" s="609"/>
      <c r="FF2" s="562"/>
      <c r="FG2" s="609"/>
      <c r="FH2" s="609"/>
      <c r="FI2" s="562"/>
      <c r="FJ2" s="562"/>
      <c r="FK2" s="562"/>
      <c r="FL2" s="562"/>
      <c r="FM2" s="562"/>
      <c r="FN2" s="562"/>
      <c r="FO2" s="562"/>
      <c r="FP2" s="562"/>
      <c r="FQ2" s="562"/>
      <c r="FR2" s="562"/>
      <c r="FS2" s="562"/>
      <c r="FT2" s="562"/>
      <c r="FU2" s="562"/>
      <c r="FV2" s="610"/>
      <c r="FW2" s="611"/>
      <c r="FX2" s="611"/>
      <c r="FY2" s="562"/>
      <c r="FZ2" s="612"/>
      <c r="GA2" s="603"/>
      <c r="GB2" s="603"/>
      <c r="GC2" s="613"/>
      <c r="GD2" s="613"/>
      <c r="GE2" s="613"/>
      <c r="GF2" s="614"/>
      <c r="GG2" s="614"/>
      <c r="GH2" s="615"/>
      <c r="GI2" s="615"/>
      <c r="GJ2" s="615"/>
      <c r="GK2" s="615"/>
      <c r="GL2" s="615"/>
      <c r="GM2" s="615"/>
      <c r="GN2" s="615"/>
      <c r="GO2" s="615"/>
      <c r="GP2" s="615"/>
      <c r="GQ2" s="615"/>
      <c r="GR2" s="615"/>
      <c r="GS2" s="609"/>
      <c r="GT2" s="609"/>
      <c r="GU2" s="609"/>
      <c r="GV2" s="609"/>
      <c r="GW2" s="609"/>
      <c r="GX2" s="609"/>
      <c r="GY2" s="609"/>
      <c r="GZ2" s="609"/>
      <c r="HA2" s="609"/>
      <c r="HB2" s="609"/>
      <c r="HC2" s="609"/>
      <c r="HD2" s="616"/>
      <c r="HE2" s="616"/>
      <c r="HF2" s="616"/>
      <c r="HG2" s="616"/>
      <c r="HH2" s="616"/>
      <c r="HI2" s="616"/>
      <c r="HJ2" s="616"/>
      <c r="HK2" s="616"/>
      <c r="HL2" s="616"/>
      <c r="HM2" s="616"/>
      <c r="HN2" s="616"/>
      <c r="HO2" s="617"/>
      <c r="HP2" s="617"/>
      <c r="HQ2" s="617"/>
      <c r="HR2" s="617"/>
      <c r="HS2" s="617"/>
      <c r="HT2" s="617"/>
      <c r="HU2" s="617"/>
      <c r="HV2" s="617"/>
      <c r="HW2" s="617"/>
      <c r="HX2" s="617"/>
      <c r="HY2" s="617"/>
    </row>
    <row r="3" ht="47.25">
      <c r="A3" s="559">
        <v>2</v>
      </c>
      <c r="B3" s="602">
        <v>38</v>
      </c>
      <c r="C3" s="469"/>
      <c r="D3" s="469" t="s">
        <v>605</v>
      </c>
      <c r="E3" s="560" t="s">
        <v>576</v>
      </c>
      <c r="F3" s="564" t="s">
        <v>576</v>
      </c>
      <c r="G3" s="561" t="s">
        <v>606</v>
      </c>
      <c r="H3" s="562" t="s">
        <v>26</v>
      </c>
      <c r="I3" s="562" t="s">
        <v>607</v>
      </c>
      <c r="J3" s="562" t="s">
        <v>608</v>
      </c>
      <c r="K3" s="469" t="s">
        <v>609</v>
      </c>
      <c r="L3" s="563">
        <v>42636</v>
      </c>
      <c r="M3" s="563">
        <v>42624</v>
      </c>
      <c r="N3" s="603" t="s">
        <v>610</v>
      </c>
      <c r="O3" s="604" t="s">
        <v>611</v>
      </c>
      <c r="P3" s="605" t="s">
        <v>583</v>
      </c>
      <c r="Q3" s="603" t="s">
        <v>364</v>
      </c>
      <c r="R3" s="605" t="s">
        <v>584</v>
      </c>
      <c r="S3" s="605" t="s">
        <v>585</v>
      </c>
      <c r="T3" s="234" t="s">
        <v>584</v>
      </c>
      <c r="U3" s="234" t="s">
        <v>585</v>
      </c>
      <c r="V3" s="562">
        <v>2</v>
      </c>
      <c r="W3" s="562" t="s">
        <v>0</v>
      </c>
      <c r="X3" s="564" t="s">
        <v>576</v>
      </c>
      <c r="Y3" s="564" t="s">
        <v>612</v>
      </c>
      <c r="Z3" s="564" t="s">
        <v>587</v>
      </c>
      <c r="AA3" s="564">
        <v>3</v>
      </c>
      <c r="AB3" s="565" t="s">
        <v>588</v>
      </c>
      <c r="AC3" s="565" t="s">
        <v>588</v>
      </c>
      <c r="AD3" s="565" t="s">
        <v>588</v>
      </c>
      <c r="AE3" s="565"/>
      <c r="AF3" s="566" t="s">
        <v>589</v>
      </c>
      <c r="AG3" s="565" t="s">
        <v>590</v>
      </c>
      <c r="AH3" s="565" t="s">
        <v>590</v>
      </c>
      <c r="AI3" s="565" t="s">
        <v>590</v>
      </c>
      <c r="AJ3" s="565"/>
      <c r="AK3" s="562" t="s">
        <v>591</v>
      </c>
      <c r="AL3" s="564" t="s">
        <v>594</v>
      </c>
      <c r="AM3" s="564" t="s">
        <v>613</v>
      </c>
      <c r="AN3" s="567" t="s">
        <v>576</v>
      </c>
      <c r="AO3" s="567" t="s">
        <v>612</v>
      </c>
      <c r="AP3" s="567" t="s">
        <v>587</v>
      </c>
      <c r="AQ3" s="567">
        <v>3</v>
      </c>
      <c r="AR3" s="568" t="s">
        <v>596</v>
      </c>
      <c r="AS3" s="568" t="s">
        <v>596</v>
      </c>
      <c r="AT3" s="568" t="s">
        <v>596</v>
      </c>
      <c r="AU3" s="568"/>
      <c r="AV3" s="663" t="s">
        <v>597</v>
      </c>
      <c r="AW3" s="568" t="s">
        <v>598</v>
      </c>
      <c r="AX3" s="568" t="s">
        <v>598</v>
      </c>
      <c r="AY3" s="568" t="s">
        <v>598</v>
      </c>
      <c r="AZ3" s="568"/>
      <c r="BA3" s="663" t="s">
        <v>599</v>
      </c>
      <c r="BB3" s="567" t="s">
        <v>600</v>
      </c>
      <c r="BC3" s="567" t="s">
        <v>613</v>
      </c>
      <c r="BD3" s="569"/>
      <c r="BE3" s="569"/>
      <c r="BF3" s="569"/>
      <c r="BG3" s="569"/>
      <c r="BH3" s="569"/>
      <c r="BI3" s="569"/>
      <c r="BJ3" s="569"/>
      <c r="BK3" s="569"/>
      <c r="BL3" s="566" t="s">
        <v>601</v>
      </c>
      <c r="BM3" s="569"/>
      <c r="BN3" s="569"/>
      <c r="BO3" s="569"/>
      <c r="BP3" s="569"/>
      <c r="BQ3" s="562" t="s">
        <v>601</v>
      </c>
      <c r="BR3" s="569"/>
      <c r="BS3" s="569"/>
      <c r="BT3" s="570" t="s">
        <v>601</v>
      </c>
      <c r="BU3" s="570" t="s">
        <v>601</v>
      </c>
      <c r="BV3" s="570" t="s">
        <v>601</v>
      </c>
      <c r="BW3" s="570" t="s">
        <v>601</v>
      </c>
      <c r="BX3" s="571" t="s">
        <v>601</v>
      </c>
      <c r="BY3" s="571" t="s">
        <v>601</v>
      </c>
      <c r="BZ3" s="571" t="s">
        <v>601</v>
      </c>
      <c r="CA3" s="566" t="s">
        <v>601</v>
      </c>
      <c r="CB3" s="571" t="s">
        <v>601</v>
      </c>
      <c r="CC3" s="571" t="s">
        <v>601</v>
      </c>
      <c r="CD3" s="571" t="s">
        <v>601</v>
      </c>
      <c r="CE3" s="562" t="s">
        <v>601</v>
      </c>
      <c r="CF3" s="570" t="s">
        <v>601</v>
      </c>
      <c r="CG3" s="570" t="s">
        <v>601</v>
      </c>
      <c r="CH3" s="572" t="s">
        <v>601</v>
      </c>
      <c r="CI3" s="572" t="s">
        <v>601</v>
      </c>
      <c r="CJ3" s="572" t="s">
        <v>601</v>
      </c>
      <c r="CK3" s="572" t="s">
        <v>601</v>
      </c>
      <c r="CL3" s="573" t="s">
        <v>601</v>
      </c>
      <c r="CM3" s="573" t="s">
        <v>601</v>
      </c>
      <c r="CN3" s="573" t="s">
        <v>601</v>
      </c>
      <c r="CO3" s="566" t="s">
        <v>601</v>
      </c>
      <c r="CP3" s="573" t="s">
        <v>601</v>
      </c>
      <c r="CQ3" s="573" t="s">
        <v>601</v>
      </c>
      <c r="CR3" s="573" t="s">
        <v>601</v>
      </c>
      <c r="CS3" s="562" t="s">
        <v>601</v>
      </c>
      <c r="CT3" s="572" t="s">
        <v>601</v>
      </c>
      <c r="CU3" s="572" t="s">
        <v>601</v>
      </c>
      <c r="CV3" s="574" t="s">
        <v>601</v>
      </c>
      <c r="CW3" s="574" t="s">
        <v>601</v>
      </c>
      <c r="CX3" s="574" t="s">
        <v>601</v>
      </c>
      <c r="CY3" s="574" t="s">
        <v>601</v>
      </c>
      <c r="CZ3" s="575" t="s">
        <v>601</v>
      </c>
      <c r="DA3" s="575" t="s">
        <v>601</v>
      </c>
      <c r="DB3" s="575" t="s">
        <v>601</v>
      </c>
      <c r="DC3" s="566" t="s">
        <v>601</v>
      </c>
      <c r="DD3" s="575" t="s">
        <v>601</v>
      </c>
      <c r="DE3" s="575" t="s">
        <v>601</v>
      </c>
      <c r="DF3" s="575" t="s">
        <v>601</v>
      </c>
      <c r="DG3" s="562" t="s">
        <v>601</v>
      </c>
      <c r="DH3" s="574" t="s">
        <v>601</v>
      </c>
      <c r="DI3" s="574" t="s">
        <v>601</v>
      </c>
      <c r="DJ3" s="469">
        <v>2</v>
      </c>
      <c r="DK3" s="469" t="s">
        <v>614</v>
      </c>
      <c r="DL3" s="469" t="s">
        <v>603</v>
      </c>
      <c r="DM3" s="469" t="s">
        <v>601</v>
      </c>
      <c r="DN3" s="469" t="s">
        <v>604</v>
      </c>
      <c r="DO3" s="469" t="s">
        <v>604</v>
      </c>
      <c r="DP3" s="469" t="s">
        <v>604</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c r="FZ3" s="611"/>
      <c r="GA3" s="562"/>
      <c r="GB3" s="612"/>
      <c r="GC3" s="603"/>
      <c r="GD3" s="603"/>
      <c r="GE3" s="613"/>
      <c r="GF3" s="613"/>
      <c r="GG3" s="613"/>
      <c r="GH3" s="614"/>
      <c r="GI3" s="614"/>
      <c r="GJ3" s="615"/>
      <c r="GK3" s="615"/>
      <c r="GL3" s="615"/>
      <c r="GM3" s="615"/>
      <c r="GN3" s="615"/>
      <c r="GO3" s="615"/>
      <c r="GP3" s="615"/>
      <c r="GQ3" s="615"/>
      <c r="GR3" s="615"/>
      <c r="GS3" s="615"/>
      <c r="GT3" s="615"/>
      <c r="GU3" s="609"/>
      <c r="GV3" s="609"/>
      <c r="GW3" s="609"/>
      <c r="GX3" s="609"/>
      <c r="GY3" s="609"/>
      <c r="GZ3" s="609"/>
      <c r="HA3" s="609"/>
      <c r="HB3" s="609"/>
      <c r="HC3" s="609"/>
      <c r="HD3" s="609"/>
      <c r="HE3" s="609"/>
      <c r="HF3" s="616"/>
      <c r="HG3" s="616"/>
      <c r="HH3" s="616"/>
      <c r="HI3" s="616"/>
      <c r="HJ3" s="616"/>
      <c r="HK3" s="616"/>
      <c r="HL3" s="616"/>
      <c r="HM3" s="616"/>
      <c r="HN3" s="616"/>
      <c r="HO3" s="616"/>
      <c r="HP3" s="616"/>
      <c r="HQ3" s="617"/>
      <c r="HR3" s="617"/>
      <c r="HS3" s="617"/>
      <c r="HT3" s="617"/>
      <c r="HU3" s="617"/>
      <c r="HV3" s="617"/>
    </row>
    <row r="4" ht="47.25">
      <c r="A4" s="559">
        <v>3</v>
      </c>
      <c r="B4" s="602">
        <v>38</v>
      </c>
      <c r="C4" s="469"/>
      <c r="D4" s="469" t="s">
        <v>615</v>
      </c>
      <c r="E4" s="560" t="s">
        <v>576</v>
      </c>
      <c r="F4" s="564" t="s">
        <v>576</v>
      </c>
      <c r="G4" s="561" t="s">
        <v>616</v>
      </c>
      <c r="H4" s="562" t="s">
        <v>26</v>
      </c>
      <c r="I4" s="562" t="s">
        <v>617</v>
      </c>
      <c r="J4" s="562" t="s">
        <v>618</v>
      </c>
      <c r="K4" s="469" t="s">
        <v>619</v>
      </c>
      <c r="L4" s="563">
        <v>42636</v>
      </c>
      <c r="M4" s="563">
        <v>42624</v>
      </c>
      <c r="N4" s="603" t="s">
        <v>620</v>
      </c>
      <c r="O4" s="604" t="s">
        <v>621</v>
      </c>
      <c r="P4" s="605" t="s">
        <v>583</v>
      </c>
      <c r="Q4" s="603" t="s">
        <v>364</v>
      </c>
      <c r="R4" s="605" t="s">
        <v>584</v>
      </c>
      <c r="S4" s="605" t="s">
        <v>585</v>
      </c>
      <c r="T4" s="234" t="s">
        <v>584</v>
      </c>
      <c r="U4" s="234" t="s">
        <v>585</v>
      </c>
      <c r="V4" s="562">
        <v>1</v>
      </c>
      <c r="W4" s="562" t="s">
        <v>0</v>
      </c>
      <c r="X4" s="564" t="s">
        <v>576</v>
      </c>
      <c r="Y4" s="564" t="s">
        <v>622</v>
      </c>
      <c r="Z4" s="564" t="s">
        <v>587</v>
      </c>
      <c r="AA4" s="564">
        <v>3</v>
      </c>
      <c r="AB4" s="565" t="s">
        <v>596</v>
      </c>
      <c r="AC4" s="565" t="s">
        <v>596</v>
      </c>
      <c r="AD4" s="565" t="s">
        <v>596</v>
      </c>
      <c r="AE4" s="565"/>
      <c r="AF4" s="566" t="s">
        <v>597</v>
      </c>
      <c r="AG4" s="565" t="s">
        <v>598</v>
      </c>
      <c r="AH4" s="565" t="s">
        <v>598</v>
      </c>
      <c r="AI4" s="565" t="s">
        <v>598</v>
      </c>
      <c r="AJ4" s="565"/>
      <c r="AK4" s="562" t="s">
        <v>599</v>
      </c>
      <c r="AL4" s="564">
        <v>2100</v>
      </c>
      <c r="AM4" s="564" t="s">
        <v>595</v>
      </c>
      <c r="AN4" s="567"/>
      <c r="AO4" s="567"/>
      <c r="AP4" s="567"/>
      <c r="AQ4" s="567"/>
      <c r="AR4" s="568"/>
      <c r="AS4" s="568"/>
      <c r="AT4" s="568"/>
      <c r="AU4" s="568"/>
      <c r="AV4" s="663" t="s">
        <v>601</v>
      </c>
      <c r="AW4" s="568"/>
      <c r="AX4" s="568"/>
      <c r="AY4" s="568"/>
      <c r="AZ4" s="568"/>
      <c r="BA4" s="663" t="s">
        <v>601</v>
      </c>
      <c r="BB4" s="567"/>
      <c r="BC4" s="567"/>
      <c r="BD4" s="569"/>
      <c r="BE4" s="569"/>
      <c r="BF4" s="569"/>
      <c r="BG4" s="569"/>
      <c r="BH4" s="569"/>
      <c r="BI4" s="569"/>
      <c r="BJ4" s="569"/>
      <c r="BK4" s="569"/>
      <c r="BL4" s="566" t="s">
        <v>601</v>
      </c>
      <c r="BM4" s="569"/>
      <c r="BN4" s="569"/>
      <c r="BO4" s="569"/>
      <c r="BP4" s="569"/>
      <c r="BQ4" s="562" t="s">
        <v>601</v>
      </c>
      <c r="BR4" s="569"/>
      <c r="BS4" s="569"/>
      <c r="BT4" s="570" t="s">
        <v>601</v>
      </c>
      <c r="BU4" s="570" t="s">
        <v>601</v>
      </c>
      <c r="BV4" s="570" t="s">
        <v>601</v>
      </c>
      <c r="BW4" s="570" t="s">
        <v>601</v>
      </c>
      <c r="BX4" s="571" t="s">
        <v>601</v>
      </c>
      <c r="BY4" s="571" t="s">
        <v>601</v>
      </c>
      <c r="BZ4" s="571" t="s">
        <v>601</v>
      </c>
      <c r="CA4" s="566" t="s">
        <v>601</v>
      </c>
      <c r="CB4" s="571" t="s">
        <v>601</v>
      </c>
      <c r="CC4" s="571" t="s">
        <v>601</v>
      </c>
      <c r="CD4" s="571" t="s">
        <v>601</v>
      </c>
      <c r="CE4" s="562" t="s">
        <v>601</v>
      </c>
      <c r="CF4" s="570" t="s">
        <v>601</v>
      </c>
      <c r="CG4" s="570" t="s">
        <v>601</v>
      </c>
      <c r="CH4" s="572" t="s">
        <v>601</v>
      </c>
      <c r="CI4" s="572" t="s">
        <v>601</v>
      </c>
      <c r="CJ4" s="572" t="s">
        <v>601</v>
      </c>
      <c r="CK4" s="572" t="s">
        <v>601</v>
      </c>
      <c r="CL4" s="573" t="s">
        <v>601</v>
      </c>
      <c r="CM4" s="573" t="s">
        <v>601</v>
      </c>
      <c r="CN4" s="573" t="s">
        <v>601</v>
      </c>
      <c r="CO4" s="566" t="s">
        <v>601</v>
      </c>
      <c r="CP4" s="573" t="s">
        <v>601</v>
      </c>
      <c r="CQ4" s="573" t="s">
        <v>601</v>
      </c>
      <c r="CR4" s="573" t="s">
        <v>601</v>
      </c>
      <c r="CS4" s="562" t="s">
        <v>601</v>
      </c>
      <c r="CT4" s="572" t="s">
        <v>601</v>
      </c>
      <c r="CU4" s="572" t="s">
        <v>601</v>
      </c>
      <c r="CV4" s="574" t="s">
        <v>601</v>
      </c>
      <c r="CW4" s="574" t="s">
        <v>601</v>
      </c>
      <c r="CX4" s="574" t="s">
        <v>601</v>
      </c>
      <c r="CY4" s="574" t="s">
        <v>601</v>
      </c>
      <c r="CZ4" s="575" t="s">
        <v>601</v>
      </c>
      <c r="DA4" s="575" t="s">
        <v>601</v>
      </c>
      <c r="DB4" s="575" t="s">
        <v>601</v>
      </c>
      <c r="DC4" s="566" t="s">
        <v>601</v>
      </c>
      <c r="DD4" s="575" t="s">
        <v>601</v>
      </c>
      <c r="DE4" s="575" t="s">
        <v>601</v>
      </c>
      <c r="DF4" s="575" t="s">
        <v>601</v>
      </c>
      <c r="DG4" s="562" t="s">
        <v>601</v>
      </c>
      <c r="DH4" s="574" t="s">
        <v>601</v>
      </c>
      <c r="DI4" s="574" t="s">
        <v>601</v>
      </c>
      <c r="DJ4" s="469">
        <v>1</v>
      </c>
      <c r="DK4" s="469" t="s">
        <v>623</v>
      </c>
      <c r="DL4" s="469" t="s">
        <v>601</v>
      </c>
      <c r="DM4" s="469" t="s">
        <v>601</v>
      </c>
      <c r="DN4" s="469" t="s">
        <v>604</v>
      </c>
      <c r="DO4" s="469" t="s">
        <v>604</v>
      </c>
      <c r="DP4" s="469" t="s">
        <v>604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c r="FZ4" s="611"/>
      <c r="GA4" s="562"/>
      <c r="GB4" s="612"/>
      <c r="GC4" s="603"/>
      <c r="GD4" s="603"/>
      <c r="GE4" s="613"/>
      <c r="GF4" s="613"/>
      <c r="GG4" s="613"/>
      <c r="GH4" s="614"/>
      <c r="GI4" s="614"/>
      <c r="GJ4" s="615"/>
      <c r="GK4" s="615"/>
      <c r="GL4" s="615"/>
      <c r="GM4" s="615"/>
      <c r="GN4" s="615"/>
      <c r="GO4" s="615"/>
      <c r="GP4" s="615"/>
      <c r="GQ4" s="615"/>
      <c r="GR4" s="615"/>
      <c r="GS4" s="615"/>
      <c r="GT4" s="615"/>
      <c r="GU4" s="609"/>
      <c r="GV4" s="609"/>
      <c r="GW4" s="609"/>
      <c r="GX4" s="609"/>
      <c r="GY4" s="609"/>
      <c r="GZ4" s="609"/>
      <c r="HA4" s="609"/>
      <c r="HB4" s="609"/>
      <c r="HC4" s="609"/>
      <c r="HD4" s="609"/>
      <c r="HE4" s="609"/>
      <c r="HF4" s="616"/>
      <c r="HG4" s="616"/>
      <c r="HH4" s="616"/>
      <c r="HI4" s="616"/>
      <c r="HJ4" s="616"/>
      <c r="HK4" s="616"/>
      <c r="HL4" s="616"/>
      <c r="HM4" s="616"/>
      <c r="HN4" s="616"/>
      <c r="HO4" s="616"/>
      <c r="HP4" s="616"/>
      <c r="HQ4" s="617"/>
      <c r="HR4" s="617"/>
      <c r="HS4" s="617"/>
      <c r="HT4" s="617"/>
      <c r="HU4" s="617"/>
      <c r="HV4" s="617"/>
    </row>
    <row r="5" ht="47.25">
      <c r="A5" s="559">
        <v>4</v>
      </c>
      <c r="B5" s="602">
        <v>38</v>
      </c>
      <c r="C5" s="469"/>
      <c r="D5" s="469" t="s">
        <v>624</v>
      </c>
      <c r="E5" s="560" t="s">
        <v>576</v>
      </c>
      <c r="F5" s="564" t="s">
        <v>576</v>
      </c>
      <c r="G5" s="561" t="s">
        <v>625</v>
      </c>
      <c r="H5" s="562" t="s">
        <v>26</v>
      </c>
      <c r="I5" s="562" t="s">
        <v>626</v>
      </c>
      <c r="J5" s="562" t="s">
        <v>627</v>
      </c>
      <c r="K5" s="469" t="s">
        <v>628</v>
      </c>
      <c r="L5" s="563">
        <v>42636</v>
      </c>
      <c r="M5" s="563">
        <v>42624</v>
      </c>
      <c r="N5" s="603" t="s">
        <v>629</v>
      </c>
      <c r="O5" s="604" t="s">
        <v>630</v>
      </c>
      <c r="P5" s="605" t="s">
        <v>583</v>
      </c>
      <c r="Q5" s="603" t="s">
        <v>364</v>
      </c>
      <c r="R5" s="605" t="s">
        <v>584</v>
      </c>
      <c r="S5" s="605" t="s">
        <v>585</v>
      </c>
      <c r="T5" s="234" t="s">
        <v>584</v>
      </c>
      <c r="U5" s="234" t="s">
        <v>585</v>
      </c>
      <c r="V5" s="562">
        <v>1</v>
      </c>
      <c r="W5" s="562" t="s">
        <v>0</v>
      </c>
      <c r="X5" s="564" t="s">
        <v>576</v>
      </c>
      <c r="Y5" s="564" t="s">
        <v>631</v>
      </c>
      <c r="Z5" s="564" t="s">
        <v>587</v>
      </c>
      <c r="AA5" s="564">
        <v>3</v>
      </c>
      <c r="AB5" s="565" t="s">
        <v>596</v>
      </c>
      <c r="AC5" s="565" t="s">
        <v>596</v>
      </c>
      <c r="AD5" s="565" t="s">
        <v>596</v>
      </c>
      <c r="AE5" s="565"/>
      <c r="AF5" s="566" t="s">
        <v>597</v>
      </c>
      <c r="AG5" s="565" t="s">
        <v>598</v>
      </c>
      <c r="AH5" s="565" t="s">
        <v>598</v>
      </c>
      <c r="AI5" s="565" t="s">
        <v>598</v>
      </c>
      <c r="AJ5" s="565"/>
      <c r="AK5" s="562" t="s">
        <v>599</v>
      </c>
      <c r="AL5" s="564">
        <v>2100</v>
      </c>
      <c r="AM5" s="564" t="s">
        <v>595</v>
      </c>
      <c r="AN5" s="567"/>
      <c r="AO5" s="567"/>
      <c r="AP5" s="567"/>
      <c r="AQ5" s="567"/>
      <c r="AR5" s="568"/>
      <c r="AS5" s="568"/>
      <c r="AT5" s="568"/>
      <c r="AU5" s="568"/>
      <c r="AV5" s="663" t="s">
        <v>601</v>
      </c>
      <c r="AW5" s="568"/>
      <c r="AX5" s="568"/>
      <c r="AY5" s="568"/>
      <c r="AZ5" s="568"/>
      <c r="BA5" s="663" t="s">
        <v>601</v>
      </c>
      <c r="BB5" s="567"/>
      <c r="BC5" s="567"/>
      <c r="BD5" s="569"/>
      <c r="BE5" s="569"/>
      <c r="BF5" s="569"/>
      <c r="BG5" s="569"/>
      <c r="BH5" s="569"/>
      <c r="BI5" s="569"/>
      <c r="BJ5" s="569"/>
      <c r="BK5" s="569"/>
      <c r="BL5" s="566" t="s">
        <v>601</v>
      </c>
      <c r="BM5" s="569"/>
      <c r="BN5" s="569"/>
      <c r="BO5" s="569"/>
      <c r="BP5" s="569"/>
      <c r="BQ5" s="562" t="s">
        <v>601</v>
      </c>
      <c r="BR5" s="569"/>
      <c r="BS5" s="569"/>
      <c r="BT5" s="570" t="s">
        <v>601</v>
      </c>
      <c r="BU5" s="570" t="s">
        <v>601</v>
      </c>
      <c r="BV5" s="570" t="s">
        <v>601</v>
      </c>
      <c r="BW5" s="570" t="s">
        <v>601</v>
      </c>
      <c r="BX5" s="571" t="s">
        <v>601</v>
      </c>
      <c r="BY5" s="571" t="s">
        <v>601</v>
      </c>
      <c r="BZ5" s="571" t="s">
        <v>601</v>
      </c>
      <c r="CA5" s="566" t="s">
        <v>601</v>
      </c>
      <c r="CB5" s="571" t="s">
        <v>601</v>
      </c>
      <c r="CC5" s="571" t="s">
        <v>601</v>
      </c>
      <c r="CD5" s="571" t="s">
        <v>601</v>
      </c>
      <c r="CE5" s="562" t="s">
        <v>601</v>
      </c>
      <c r="CF5" s="570" t="s">
        <v>601</v>
      </c>
      <c r="CG5" s="570" t="s">
        <v>601</v>
      </c>
      <c r="CH5" s="572" t="s">
        <v>601</v>
      </c>
      <c r="CI5" s="572" t="s">
        <v>601</v>
      </c>
      <c r="CJ5" s="572" t="s">
        <v>601</v>
      </c>
      <c r="CK5" s="572" t="s">
        <v>601</v>
      </c>
      <c r="CL5" s="573" t="s">
        <v>601</v>
      </c>
      <c r="CM5" s="573" t="s">
        <v>601</v>
      </c>
      <c r="CN5" s="573" t="s">
        <v>601</v>
      </c>
      <c r="CO5" s="566" t="s">
        <v>601</v>
      </c>
      <c r="CP5" s="573" t="s">
        <v>601</v>
      </c>
      <c r="CQ5" s="573" t="s">
        <v>601</v>
      </c>
      <c r="CR5" s="573" t="s">
        <v>601</v>
      </c>
      <c r="CS5" s="562" t="s">
        <v>601</v>
      </c>
      <c r="CT5" s="572" t="s">
        <v>601</v>
      </c>
      <c r="CU5" s="572" t="s">
        <v>601</v>
      </c>
      <c r="CV5" s="574" t="s">
        <v>601</v>
      </c>
      <c r="CW5" s="574" t="s">
        <v>601</v>
      </c>
      <c r="CX5" s="574" t="s">
        <v>601</v>
      </c>
      <c r="CY5" s="574" t="s">
        <v>601</v>
      </c>
      <c r="CZ5" s="575" t="s">
        <v>601</v>
      </c>
      <c r="DA5" s="575" t="s">
        <v>601</v>
      </c>
      <c r="DB5" s="575" t="s">
        <v>601</v>
      </c>
      <c r="DC5" s="566" t="s">
        <v>601</v>
      </c>
      <c r="DD5" s="575" t="s">
        <v>601</v>
      </c>
      <c r="DE5" s="575" t="s">
        <v>601</v>
      </c>
      <c r="DF5" s="575" t="s">
        <v>601</v>
      </c>
      <c r="DG5" s="562" t="s">
        <v>601</v>
      </c>
      <c r="DH5" s="574" t="s">
        <v>601</v>
      </c>
      <c r="DI5" s="574" t="s">
        <v>601</v>
      </c>
      <c r="DJ5" s="469">
        <v>1</v>
      </c>
      <c r="DK5" s="469" t="s">
        <v>623</v>
      </c>
      <c r="DL5" s="469" t="s">
        <v>601</v>
      </c>
      <c r="DM5" s="469" t="s">
        <v>601</v>
      </c>
      <c r="DN5" s="469" t="s">
        <v>604</v>
      </c>
      <c r="DO5" s="469" t="s">
        <v>604</v>
      </c>
      <c r="DP5" s="469" t="s">
        <v>604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c r="FZ5" s="611"/>
      <c r="GA5" s="562"/>
      <c r="GB5" s="612"/>
      <c r="GC5" s="603"/>
      <c r="GD5" s="603"/>
      <c r="GE5" s="613"/>
      <c r="GF5" s="613"/>
      <c r="GG5" s="613"/>
      <c r="GH5" s="614"/>
      <c r="GI5" s="614"/>
      <c r="GJ5" s="615"/>
      <c r="GK5" s="615"/>
      <c r="GL5" s="615"/>
      <c r="GM5" s="615"/>
      <c r="GN5" s="615"/>
      <c r="GO5" s="615"/>
      <c r="GP5" s="615"/>
      <c r="GQ5" s="615"/>
      <c r="GR5" s="615"/>
      <c r="GS5" s="615"/>
      <c r="GT5" s="615"/>
      <c r="GU5" s="609"/>
      <c r="GV5" s="609"/>
      <c r="GW5" s="609"/>
      <c r="GX5" s="609"/>
      <c r="GY5" s="609"/>
      <c r="GZ5" s="609"/>
      <c r="HA5" s="609"/>
      <c r="HB5" s="609"/>
      <c r="HC5" s="609"/>
      <c r="HD5" s="609"/>
      <c r="HE5" s="609"/>
      <c r="HF5" s="616"/>
      <c r="HG5" s="616"/>
      <c r="HH5" s="616"/>
      <c r="HI5" s="616"/>
      <c r="HJ5" s="616"/>
      <c r="HK5" s="616"/>
      <c r="HL5" s="616"/>
      <c r="HM5" s="616"/>
      <c r="HN5" s="616"/>
      <c r="HO5" s="616"/>
      <c r="HP5" s="616"/>
      <c r="HQ5" s="617"/>
      <c r="HR5" s="617"/>
      <c r="HS5" s="617"/>
      <c r="HT5" s="617"/>
      <c r="HU5" s="617"/>
      <c r="HV5" s="617"/>
    </row>
    <row r="6" ht="47.25">
      <c r="A6" s="559">
        <v>5</v>
      </c>
      <c r="B6" s="602">
        <v>38</v>
      </c>
      <c r="C6" s="469"/>
      <c r="D6" s="469" t="s">
        <v>632</v>
      </c>
      <c r="E6" s="560" t="s">
        <v>576</v>
      </c>
      <c r="F6" s="564" t="s">
        <v>576</v>
      </c>
      <c r="G6" s="561" t="s">
        <v>633</v>
      </c>
      <c r="H6" s="562" t="s">
        <v>26</v>
      </c>
      <c r="I6" s="562" t="s">
        <v>634</v>
      </c>
      <c r="J6" s="562" t="s">
        <v>635</v>
      </c>
      <c r="K6" s="469" t="s">
        <v>636</v>
      </c>
      <c r="L6" s="563">
        <v>42636</v>
      </c>
      <c r="M6" s="563">
        <v>42625</v>
      </c>
      <c r="N6" s="603" t="s">
        <v>637</v>
      </c>
      <c r="O6" s="604" t="s">
        <v>638</v>
      </c>
      <c r="P6" s="605" t="s">
        <v>583</v>
      </c>
      <c r="Q6" s="603" t="s">
        <v>364</v>
      </c>
      <c r="R6" s="605" t="s">
        <v>584</v>
      </c>
      <c r="S6" s="605" t="s">
        <v>585</v>
      </c>
      <c r="T6" s="234" t="s">
        <v>584</v>
      </c>
      <c r="U6" s="234" t="s">
        <v>585</v>
      </c>
      <c r="V6" s="562">
        <v>1</v>
      </c>
      <c r="W6" s="562" t="s">
        <v>0</v>
      </c>
      <c r="X6" s="564" t="s">
        <v>576</v>
      </c>
      <c r="Y6" s="564" t="s">
        <v>639</v>
      </c>
      <c r="Z6" s="564" t="s">
        <v>587</v>
      </c>
      <c r="AA6" s="564">
        <v>3</v>
      </c>
      <c r="AB6" s="565" t="s">
        <v>596</v>
      </c>
      <c r="AC6" s="565" t="s">
        <v>596</v>
      </c>
      <c r="AD6" s="565" t="s">
        <v>596</v>
      </c>
      <c r="AE6" s="565"/>
      <c r="AF6" s="566" t="s">
        <v>597</v>
      </c>
      <c r="AG6" s="565" t="s">
        <v>598</v>
      </c>
      <c r="AH6" s="565" t="s">
        <v>598</v>
      </c>
      <c r="AI6" s="565" t="s">
        <v>598</v>
      </c>
      <c r="AJ6" s="565"/>
      <c r="AK6" s="562" t="s">
        <v>599</v>
      </c>
      <c r="AL6" s="564">
        <v>2100</v>
      </c>
      <c r="AM6" s="564" t="s">
        <v>593</v>
      </c>
      <c r="AN6" s="567"/>
      <c r="AO6" s="567"/>
      <c r="AP6" s="567"/>
      <c r="AQ6" s="567"/>
      <c r="AR6" s="568"/>
      <c r="AS6" s="568"/>
      <c r="AT6" s="568"/>
      <c r="AU6" s="568"/>
      <c r="AV6" s="663" t="s">
        <v>601</v>
      </c>
      <c r="AW6" s="568"/>
      <c r="AX6" s="568"/>
      <c r="AY6" s="568"/>
      <c r="AZ6" s="568"/>
      <c r="BA6" s="663" t="s">
        <v>601</v>
      </c>
      <c r="BB6" s="567"/>
      <c r="BC6" s="567"/>
      <c r="BD6" s="569"/>
      <c r="BE6" s="569"/>
      <c r="BF6" s="569"/>
      <c r="BG6" s="569"/>
      <c r="BH6" s="569"/>
      <c r="BI6" s="569"/>
      <c r="BJ6" s="569"/>
      <c r="BK6" s="569"/>
      <c r="BL6" s="566" t="s">
        <v>601</v>
      </c>
      <c r="BM6" s="569"/>
      <c r="BN6" s="569"/>
      <c r="BO6" s="569"/>
      <c r="BP6" s="569"/>
      <c r="BQ6" s="562" t="s">
        <v>601</v>
      </c>
      <c r="BR6" s="569"/>
      <c r="BS6" s="569"/>
      <c r="BT6" s="570" t="s">
        <v>601</v>
      </c>
      <c r="BU6" s="570" t="s">
        <v>601</v>
      </c>
      <c r="BV6" s="570" t="s">
        <v>601</v>
      </c>
      <c r="BW6" s="570" t="s">
        <v>601</v>
      </c>
      <c r="BX6" s="571" t="s">
        <v>601</v>
      </c>
      <c r="BY6" s="571" t="s">
        <v>601</v>
      </c>
      <c r="BZ6" s="571" t="s">
        <v>601</v>
      </c>
      <c r="CA6" s="566" t="s">
        <v>601</v>
      </c>
      <c r="CB6" s="571" t="s">
        <v>601</v>
      </c>
      <c r="CC6" s="571" t="s">
        <v>601</v>
      </c>
      <c r="CD6" s="571" t="s">
        <v>601</v>
      </c>
      <c r="CE6" s="562" t="s">
        <v>601</v>
      </c>
      <c r="CF6" s="570" t="s">
        <v>601</v>
      </c>
      <c r="CG6" s="570" t="s">
        <v>601</v>
      </c>
      <c r="CH6" s="572" t="s">
        <v>601</v>
      </c>
      <c r="CI6" s="572" t="s">
        <v>601</v>
      </c>
      <c r="CJ6" s="572" t="s">
        <v>601</v>
      </c>
      <c r="CK6" s="572" t="s">
        <v>601</v>
      </c>
      <c r="CL6" s="573" t="s">
        <v>601</v>
      </c>
      <c r="CM6" s="573" t="s">
        <v>601</v>
      </c>
      <c r="CN6" s="573" t="s">
        <v>601</v>
      </c>
      <c r="CO6" s="566" t="s">
        <v>601</v>
      </c>
      <c r="CP6" s="573" t="s">
        <v>601</v>
      </c>
      <c r="CQ6" s="573" t="s">
        <v>601</v>
      </c>
      <c r="CR6" s="573" t="s">
        <v>601</v>
      </c>
      <c r="CS6" s="562" t="s">
        <v>601</v>
      </c>
      <c r="CT6" s="572" t="s">
        <v>601</v>
      </c>
      <c r="CU6" s="572" t="s">
        <v>601</v>
      </c>
      <c r="CV6" s="574" t="s">
        <v>601</v>
      </c>
      <c r="CW6" s="574" t="s">
        <v>601</v>
      </c>
      <c r="CX6" s="574" t="s">
        <v>601</v>
      </c>
      <c r="CY6" s="574" t="s">
        <v>601</v>
      </c>
      <c r="CZ6" s="575" t="s">
        <v>601</v>
      </c>
      <c r="DA6" s="575" t="s">
        <v>601</v>
      </c>
      <c r="DB6" s="575" t="s">
        <v>601</v>
      </c>
      <c r="DC6" s="566" t="s">
        <v>601</v>
      </c>
      <c r="DD6" s="575" t="s">
        <v>601</v>
      </c>
      <c r="DE6" s="575" t="s">
        <v>601</v>
      </c>
      <c r="DF6" s="575" t="s">
        <v>601</v>
      </c>
      <c r="DG6" s="562" t="s">
        <v>601</v>
      </c>
      <c r="DH6" s="574" t="s">
        <v>601</v>
      </c>
      <c r="DI6" s="574" t="s">
        <v>601</v>
      </c>
      <c r="DJ6" s="469">
        <v>1</v>
      </c>
      <c r="DK6" s="469" t="s">
        <v>623</v>
      </c>
      <c r="DL6" s="469" t="s">
        <v>601</v>
      </c>
      <c r="DM6" s="469" t="s">
        <v>601</v>
      </c>
      <c r="DN6" s="469" t="s">
        <v>604</v>
      </c>
      <c r="DO6" s="469" t="s">
        <v>604</v>
      </c>
      <c r="DP6" s="469" t="s">
        <v>604</v>
      </c>
      <c r="DQ6" s="469">
        <v>1</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c r="FZ6" s="611"/>
      <c r="GA6" s="562"/>
      <c r="GB6" s="612"/>
      <c r="GC6" s="603"/>
      <c r="GD6" s="603"/>
      <c r="GE6" s="613"/>
      <c r="GF6" s="613"/>
      <c r="GG6" s="613"/>
      <c r="GH6" s="614"/>
      <c r="GI6" s="614"/>
      <c r="GJ6" s="615"/>
      <c r="GK6" s="615"/>
      <c r="GL6" s="615"/>
      <c r="GM6" s="615"/>
      <c r="GN6" s="615"/>
      <c r="GO6" s="615"/>
      <c r="GP6" s="615"/>
      <c r="GQ6" s="615"/>
      <c r="GR6" s="615"/>
      <c r="GS6" s="615"/>
      <c r="GT6" s="615"/>
      <c r="GU6" s="609"/>
      <c r="GV6" s="609"/>
      <c r="GW6" s="609"/>
      <c r="GX6" s="609"/>
      <c r="GY6" s="609"/>
      <c r="GZ6" s="609"/>
      <c r="HA6" s="609"/>
      <c r="HB6" s="609"/>
      <c r="HC6" s="609"/>
      <c r="HD6" s="609"/>
      <c r="HE6" s="609"/>
      <c r="HF6" s="616"/>
      <c r="HG6" s="616"/>
      <c r="HH6" s="616"/>
      <c r="HI6" s="616"/>
      <c r="HJ6" s="616"/>
      <c r="HK6" s="616"/>
      <c r="HL6" s="616"/>
      <c r="HM6" s="616"/>
      <c r="HN6" s="616"/>
      <c r="HO6" s="616"/>
      <c r="HP6" s="616"/>
      <c r="HQ6" s="617"/>
      <c r="HR6" s="617"/>
      <c r="HS6" s="617"/>
      <c r="HT6" s="617"/>
      <c r="HU6" s="617"/>
      <c r="HV6" s="617"/>
    </row>
    <row r="7" ht="47.25">
      <c r="A7" s="559">
        <v>6</v>
      </c>
      <c r="B7" s="602">
        <v>38</v>
      </c>
      <c r="C7" s="469"/>
      <c r="D7" s="469" t="s">
        <v>640</v>
      </c>
      <c r="E7" s="560" t="s">
        <v>576</v>
      </c>
      <c r="F7" s="564" t="s">
        <v>576</v>
      </c>
      <c r="G7" s="561" t="s">
        <v>641</v>
      </c>
      <c r="H7" s="562" t="s">
        <v>26</v>
      </c>
      <c r="I7" s="562" t="s">
        <v>642</v>
      </c>
      <c r="J7" s="562" t="s">
        <v>643</v>
      </c>
      <c r="K7" s="469" t="s">
        <v>644</v>
      </c>
      <c r="L7" s="563">
        <v>42636</v>
      </c>
      <c r="M7" s="563">
        <v>42625</v>
      </c>
      <c r="N7" s="603" t="s">
        <v>645</v>
      </c>
      <c r="O7" s="604" t="s">
        <v>646</v>
      </c>
      <c r="P7" s="605" t="s">
        <v>583</v>
      </c>
      <c r="Q7" s="603" t="s">
        <v>364</v>
      </c>
      <c r="R7" s="605" t="s">
        <v>584</v>
      </c>
      <c r="S7" s="605" t="s">
        <v>585</v>
      </c>
      <c r="T7" s="234" t="s">
        <v>584</v>
      </c>
      <c r="U7" s="234" t="s">
        <v>585</v>
      </c>
      <c r="V7" s="562">
        <v>2</v>
      </c>
      <c r="W7" s="562" t="s">
        <v>0</v>
      </c>
      <c r="X7" s="564" t="s">
        <v>576</v>
      </c>
      <c r="Y7" s="564" t="s">
        <v>647</v>
      </c>
      <c r="Z7" s="564" t="s">
        <v>587</v>
      </c>
      <c r="AA7" s="564">
        <v>3</v>
      </c>
      <c r="AB7" s="565" t="s">
        <v>596</v>
      </c>
      <c r="AC7" s="565" t="s">
        <v>596</v>
      </c>
      <c r="AD7" s="565" t="s">
        <v>596</v>
      </c>
      <c r="AE7" s="565"/>
      <c r="AF7" s="566" t="s">
        <v>597</v>
      </c>
      <c r="AG7" s="565" t="s">
        <v>598</v>
      </c>
      <c r="AH7" s="565" t="s">
        <v>598</v>
      </c>
      <c r="AI7" s="565" t="s">
        <v>598</v>
      </c>
      <c r="AJ7" s="565"/>
      <c r="AK7" s="562" t="s">
        <v>599</v>
      </c>
      <c r="AL7" s="564" t="s">
        <v>592</v>
      </c>
      <c r="AM7" s="564" t="s">
        <v>595</v>
      </c>
      <c r="AN7" s="567" t="s">
        <v>576</v>
      </c>
      <c r="AO7" s="567" t="s">
        <v>648</v>
      </c>
      <c r="AP7" s="567" t="s">
        <v>587</v>
      </c>
      <c r="AQ7" s="567">
        <v>3</v>
      </c>
      <c r="AR7" s="568" t="s">
        <v>596</v>
      </c>
      <c r="AS7" s="568" t="s">
        <v>596</v>
      </c>
      <c r="AT7" s="568" t="s">
        <v>596</v>
      </c>
      <c r="AU7" s="568"/>
      <c r="AV7" s="663" t="s">
        <v>597</v>
      </c>
      <c r="AW7" s="568" t="s">
        <v>598</v>
      </c>
      <c r="AX7" s="568" t="s">
        <v>598</v>
      </c>
      <c r="AY7" s="568" t="s">
        <v>598</v>
      </c>
      <c r="AZ7" s="568"/>
      <c r="BA7" s="663" t="s">
        <v>599</v>
      </c>
      <c r="BB7" s="567" t="s">
        <v>600</v>
      </c>
      <c r="BC7" s="567" t="s">
        <v>649</v>
      </c>
      <c r="BD7" s="569"/>
      <c r="BE7" s="569"/>
      <c r="BF7" s="569"/>
      <c r="BG7" s="569"/>
      <c r="BH7" s="569"/>
      <c r="BI7" s="569"/>
      <c r="BJ7" s="569"/>
      <c r="BK7" s="569"/>
      <c r="BL7" s="566" t="s">
        <v>601</v>
      </c>
      <c r="BM7" s="569"/>
      <c r="BN7" s="569"/>
      <c r="BO7" s="569"/>
      <c r="BP7" s="569"/>
      <c r="BQ7" s="562" t="s">
        <v>601</v>
      </c>
      <c r="BR7" s="569"/>
      <c r="BS7" s="569"/>
      <c r="BT7" s="570" t="s">
        <v>601</v>
      </c>
      <c r="BU7" s="570" t="s">
        <v>601</v>
      </c>
      <c r="BV7" s="570" t="s">
        <v>601</v>
      </c>
      <c r="BW7" s="570" t="s">
        <v>601</v>
      </c>
      <c r="BX7" s="571" t="s">
        <v>601</v>
      </c>
      <c r="BY7" s="571" t="s">
        <v>601</v>
      </c>
      <c r="BZ7" s="571" t="s">
        <v>601</v>
      </c>
      <c r="CA7" s="566" t="s">
        <v>601</v>
      </c>
      <c r="CB7" s="571" t="s">
        <v>601</v>
      </c>
      <c r="CC7" s="571" t="s">
        <v>601</v>
      </c>
      <c r="CD7" s="571" t="s">
        <v>601</v>
      </c>
      <c r="CE7" s="562" t="s">
        <v>601</v>
      </c>
      <c r="CF7" s="570" t="s">
        <v>601</v>
      </c>
      <c r="CG7" s="570" t="s">
        <v>601</v>
      </c>
      <c r="CH7" s="572" t="s">
        <v>601</v>
      </c>
      <c r="CI7" s="572" t="s">
        <v>601</v>
      </c>
      <c r="CJ7" s="572" t="s">
        <v>601</v>
      </c>
      <c r="CK7" s="572" t="s">
        <v>601</v>
      </c>
      <c r="CL7" s="573" t="s">
        <v>601</v>
      </c>
      <c r="CM7" s="573" t="s">
        <v>601</v>
      </c>
      <c r="CN7" s="573" t="s">
        <v>601</v>
      </c>
      <c r="CO7" s="566" t="s">
        <v>601</v>
      </c>
      <c r="CP7" s="573" t="s">
        <v>601</v>
      </c>
      <c r="CQ7" s="573" t="s">
        <v>601</v>
      </c>
      <c r="CR7" s="573" t="s">
        <v>601</v>
      </c>
      <c r="CS7" s="562" t="s">
        <v>601</v>
      </c>
      <c r="CT7" s="572" t="s">
        <v>601</v>
      </c>
      <c r="CU7" s="572" t="s">
        <v>601</v>
      </c>
      <c r="CV7" s="574" t="s">
        <v>601</v>
      </c>
      <c r="CW7" s="574" t="s">
        <v>601</v>
      </c>
      <c r="CX7" s="574" t="s">
        <v>601</v>
      </c>
      <c r="CY7" s="574" t="s">
        <v>601</v>
      </c>
      <c r="CZ7" s="575" t="s">
        <v>601</v>
      </c>
      <c r="DA7" s="575" t="s">
        <v>601</v>
      </c>
      <c r="DB7" s="575" t="s">
        <v>601</v>
      </c>
      <c r="DC7" s="566" t="s">
        <v>601</v>
      </c>
      <c r="DD7" s="575" t="s">
        <v>601</v>
      </c>
      <c r="DE7" s="575" t="s">
        <v>601</v>
      </c>
      <c r="DF7" s="575" t="s">
        <v>601</v>
      </c>
      <c r="DG7" s="562" t="s">
        <v>601</v>
      </c>
      <c r="DH7" s="574" t="s">
        <v>601</v>
      </c>
      <c r="DI7" s="574" t="s">
        <v>601</v>
      </c>
      <c r="DJ7" s="469">
        <v>2</v>
      </c>
      <c r="DK7" s="469" t="s">
        <v>614</v>
      </c>
      <c r="DL7" s="469" t="s">
        <v>603</v>
      </c>
      <c r="DM7" s="469" t="s">
        <v>601</v>
      </c>
      <c r="DN7" s="469" t="s">
        <v>604</v>
      </c>
      <c r="DO7" s="469" t="s">
        <v>604</v>
      </c>
      <c r="DP7" s="469" t="s">
        <v>604</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c r="FZ7" s="611"/>
      <c r="GA7" s="562"/>
      <c r="GB7" s="612"/>
      <c r="GC7" s="603"/>
      <c r="GD7" s="603"/>
      <c r="GE7" s="613"/>
      <c r="GF7" s="613"/>
      <c r="GG7" s="613"/>
      <c r="GH7" s="614"/>
      <c r="GI7" s="614"/>
      <c r="GJ7" s="615"/>
      <c r="GK7" s="615"/>
      <c r="GL7" s="615"/>
      <c r="GM7" s="615"/>
      <c r="GN7" s="615"/>
      <c r="GO7" s="615"/>
      <c r="GP7" s="615"/>
      <c r="GQ7" s="615"/>
      <c r="GR7" s="615"/>
      <c r="GS7" s="615"/>
      <c r="GT7" s="615"/>
      <c r="GU7" s="609"/>
      <c r="GV7" s="609"/>
      <c r="GW7" s="609"/>
      <c r="GX7" s="609"/>
      <c r="GY7" s="609"/>
      <c r="GZ7" s="609"/>
      <c r="HA7" s="609"/>
      <c r="HB7" s="609"/>
      <c r="HC7" s="609"/>
      <c r="HD7" s="609"/>
      <c r="HE7" s="609"/>
      <c r="HF7" s="616"/>
      <c r="HG7" s="616"/>
      <c r="HH7" s="616"/>
      <c r="HI7" s="616"/>
      <c r="HJ7" s="616"/>
      <c r="HK7" s="616"/>
      <c r="HL7" s="616"/>
      <c r="HM7" s="616"/>
      <c r="HN7" s="616"/>
      <c r="HO7" s="616"/>
      <c r="HP7" s="616"/>
      <c r="HQ7" s="617"/>
      <c r="HR7" s="617"/>
      <c r="HS7" s="617"/>
      <c r="HT7" s="617"/>
      <c r="HU7" s="617"/>
      <c r="HV7" s="617"/>
    </row>
    <row r="8" ht="47.25">
      <c r="A8" s="559">
        <v>7</v>
      </c>
      <c r="B8" s="602">
        <v>38</v>
      </c>
      <c r="C8" s="469"/>
      <c r="D8" s="469" t="s">
        <v>650</v>
      </c>
      <c r="E8" s="560" t="s">
        <v>576</v>
      </c>
      <c r="F8" s="564" t="s">
        <v>576</v>
      </c>
      <c r="G8" s="561" t="s">
        <v>651</v>
      </c>
      <c r="H8" s="562" t="s">
        <v>26</v>
      </c>
      <c r="I8" s="562" t="s">
        <v>652</v>
      </c>
      <c r="J8" s="562" t="s">
        <v>653</v>
      </c>
      <c r="K8" s="469" t="s">
        <v>654</v>
      </c>
      <c r="L8" s="563">
        <v>42636</v>
      </c>
      <c r="M8" s="563">
        <v>42625</v>
      </c>
      <c r="N8" s="603" t="s">
        <v>655</v>
      </c>
      <c r="O8" s="604" t="s">
        <v>656</v>
      </c>
      <c r="P8" s="605" t="s">
        <v>583</v>
      </c>
      <c r="Q8" s="603" t="s">
        <v>364</v>
      </c>
      <c r="R8" s="605" t="s">
        <v>584</v>
      </c>
      <c r="S8" s="605" t="s">
        <v>585</v>
      </c>
      <c r="T8" s="234" t="s">
        <v>584</v>
      </c>
      <c r="U8" s="234" t="s">
        <v>585</v>
      </c>
      <c r="V8" s="562">
        <v>2</v>
      </c>
      <c r="W8" s="562" t="s">
        <v>0</v>
      </c>
      <c r="X8" s="564" t="s">
        <v>576</v>
      </c>
      <c r="Y8" s="564" t="s">
        <v>657</v>
      </c>
      <c r="Z8" s="564" t="s">
        <v>587</v>
      </c>
      <c r="AA8" s="564">
        <v>3</v>
      </c>
      <c r="AB8" s="565" t="s">
        <v>596</v>
      </c>
      <c r="AC8" s="565" t="s">
        <v>596</v>
      </c>
      <c r="AD8" s="565" t="s">
        <v>596</v>
      </c>
      <c r="AE8" s="565"/>
      <c r="AF8" s="566" t="s">
        <v>597</v>
      </c>
      <c r="AG8" s="565" t="s">
        <v>598</v>
      </c>
      <c r="AH8" s="565" t="s">
        <v>598</v>
      </c>
      <c r="AI8" s="565" t="s">
        <v>598</v>
      </c>
      <c r="AJ8" s="565"/>
      <c r="AK8" s="562" t="s">
        <v>599</v>
      </c>
      <c r="AL8" s="564" t="s">
        <v>594</v>
      </c>
      <c r="AM8" s="564" t="s">
        <v>658</v>
      </c>
      <c r="AN8" s="567" t="s">
        <v>576</v>
      </c>
      <c r="AO8" s="567" t="s">
        <v>659</v>
      </c>
      <c r="AP8" s="567" t="s">
        <v>587</v>
      </c>
      <c r="AQ8" s="567">
        <v>3</v>
      </c>
      <c r="AR8" s="568" t="s">
        <v>596</v>
      </c>
      <c r="AS8" s="568" t="s">
        <v>596</v>
      </c>
      <c r="AT8" s="568" t="s">
        <v>596</v>
      </c>
      <c r="AU8" s="568"/>
      <c r="AV8" s="663" t="s">
        <v>597</v>
      </c>
      <c r="AW8" s="568" t="s">
        <v>598</v>
      </c>
      <c r="AX8" s="568" t="s">
        <v>598</v>
      </c>
      <c r="AY8" s="568" t="s">
        <v>598</v>
      </c>
      <c r="AZ8" s="568"/>
      <c r="BA8" s="663" t="s">
        <v>599</v>
      </c>
      <c r="BB8" s="567" t="s">
        <v>600</v>
      </c>
      <c r="BC8" s="567" t="s">
        <v>658</v>
      </c>
      <c r="BD8" s="569"/>
      <c r="BE8" s="569"/>
      <c r="BF8" s="569"/>
      <c r="BG8" s="569"/>
      <c r="BH8" s="569"/>
      <c r="BI8" s="569"/>
      <c r="BJ8" s="569"/>
      <c r="BK8" s="569"/>
      <c r="BL8" s="566" t="s">
        <v>601</v>
      </c>
      <c r="BM8" s="569"/>
      <c r="BN8" s="569"/>
      <c r="BO8" s="569"/>
      <c r="BP8" s="569"/>
      <c r="BQ8" s="562" t="s">
        <v>601</v>
      </c>
      <c r="BR8" s="569"/>
      <c r="BS8" s="569"/>
      <c r="BT8" s="570" t="s">
        <v>601</v>
      </c>
      <c r="BU8" s="570" t="s">
        <v>601</v>
      </c>
      <c r="BV8" s="570" t="s">
        <v>601</v>
      </c>
      <c r="BW8" s="570" t="s">
        <v>601</v>
      </c>
      <c r="BX8" s="571" t="s">
        <v>601</v>
      </c>
      <c r="BY8" s="571" t="s">
        <v>601</v>
      </c>
      <c r="BZ8" s="571" t="s">
        <v>601</v>
      </c>
      <c r="CA8" s="566" t="s">
        <v>601</v>
      </c>
      <c r="CB8" s="571" t="s">
        <v>601</v>
      </c>
      <c r="CC8" s="571" t="s">
        <v>601</v>
      </c>
      <c r="CD8" s="571" t="s">
        <v>601</v>
      </c>
      <c r="CE8" s="562" t="s">
        <v>601</v>
      </c>
      <c r="CF8" s="570" t="s">
        <v>601</v>
      </c>
      <c r="CG8" s="570" t="s">
        <v>601</v>
      </c>
      <c r="CH8" s="572" t="s">
        <v>601</v>
      </c>
      <c r="CI8" s="572" t="s">
        <v>601</v>
      </c>
      <c r="CJ8" s="572" t="s">
        <v>601</v>
      </c>
      <c r="CK8" s="572" t="s">
        <v>601</v>
      </c>
      <c r="CL8" s="573" t="s">
        <v>601</v>
      </c>
      <c r="CM8" s="573" t="s">
        <v>601</v>
      </c>
      <c r="CN8" s="573" t="s">
        <v>601</v>
      </c>
      <c r="CO8" s="566" t="s">
        <v>601</v>
      </c>
      <c r="CP8" s="573" t="s">
        <v>601</v>
      </c>
      <c r="CQ8" s="573" t="s">
        <v>601</v>
      </c>
      <c r="CR8" s="573" t="s">
        <v>601</v>
      </c>
      <c r="CS8" s="562" t="s">
        <v>601</v>
      </c>
      <c r="CT8" s="572" t="s">
        <v>601</v>
      </c>
      <c r="CU8" s="572" t="s">
        <v>601</v>
      </c>
      <c r="CV8" s="574" t="s">
        <v>601</v>
      </c>
      <c r="CW8" s="574" t="s">
        <v>601</v>
      </c>
      <c r="CX8" s="574" t="s">
        <v>601</v>
      </c>
      <c r="CY8" s="574" t="s">
        <v>601</v>
      </c>
      <c r="CZ8" s="575" t="s">
        <v>601</v>
      </c>
      <c r="DA8" s="575" t="s">
        <v>601</v>
      </c>
      <c r="DB8" s="575" t="s">
        <v>601</v>
      </c>
      <c r="DC8" s="566" t="s">
        <v>601</v>
      </c>
      <c r="DD8" s="575" t="s">
        <v>601</v>
      </c>
      <c r="DE8" s="575" t="s">
        <v>601</v>
      </c>
      <c r="DF8" s="575" t="s">
        <v>601</v>
      </c>
      <c r="DG8" s="562" t="s">
        <v>601</v>
      </c>
      <c r="DH8" s="574" t="s">
        <v>601</v>
      </c>
      <c r="DI8" s="574" t="s">
        <v>601</v>
      </c>
      <c r="DJ8" s="469">
        <v>2</v>
      </c>
      <c r="DK8" s="469" t="s">
        <v>614</v>
      </c>
      <c r="DL8" s="469" t="s">
        <v>603</v>
      </c>
      <c r="DM8" s="469" t="s">
        <v>601</v>
      </c>
      <c r="DN8" s="469" t="s">
        <v>604</v>
      </c>
      <c r="DO8" s="469" t="s">
        <v>604</v>
      </c>
      <c r="DP8" s="469" t="s">
        <v>604</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c r="FZ8" s="611"/>
      <c r="GA8" s="562"/>
      <c r="GB8" s="612"/>
      <c r="GC8" s="603"/>
      <c r="GD8" s="603"/>
      <c r="GE8" s="613"/>
      <c r="GF8" s="613"/>
      <c r="GG8" s="613"/>
      <c r="GH8" s="614"/>
      <c r="GI8" s="614"/>
      <c r="GJ8" s="615"/>
      <c r="GK8" s="615"/>
      <c r="GL8" s="615"/>
      <c r="GM8" s="615"/>
      <c r="GN8" s="615"/>
      <c r="GO8" s="615"/>
      <c r="GP8" s="615"/>
      <c r="GQ8" s="615"/>
      <c r="GR8" s="615"/>
      <c r="GS8" s="615"/>
      <c r="GT8" s="615"/>
      <c r="GU8" s="609"/>
      <c r="GV8" s="609"/>
      <c r="GW8" s="609"/>
      <c r="GX8" s="609"/>
      <c r="GY8" s="609"/>
      <c r="GZ8" s="609"/>
      <c r="HA8" s="609"/>
      <c r="HB8" s="609"/>
      <c r="HC8" s="609"/>
      <c r="HD8" s="609"/>
      <c r="HE8" s="609"/>
      <c r="HF8" s="616"/>
      <c r="HG8" s="616"/>
      <c r="HH8" s="616"/>
      <c r="HI8" s="616"/>
      <c r="HJ8" s="616"/>
      <c r="HK8" s="616"/>
      <c r="HL8" s="616"/>
      <c r="HM8" s="616"/>
      <c r="HN8" s="616"/>
      <c r="HO8" s="616"/>
      <c r="HP8" s="616"/>
      <c r="HQ8" s="617"/>
      <c r="HR8" s="617"/>
      <c r="HS8" s="617"/>
      <c r="HT8" s="617"/>
      <c r="HU8" s="617"/>
      <c r="HV8" s="617"/>
    </row>
    <row r="9" ht="47.25">
      <c r="A9" s="559">
        <v>8</v>
      </c>
      <c r="B9" s="602">
        <v>38</v>
      </c>
      <c r="C9" s="469"/>
      <c r="D9" s="469" t="s">
        <v>660</v>
      </c>
      <c r="E9" s="560" t="s">
        <v>576</v>
      </c>
      <c r="F9" s="564" t="s">
        <v>576</v>
      </c>
      <c r="G9" s="561" t="s">
        <v>661</v>
      </c>
      <c r="H9" s="562" t="s">
        <v>26</v>
      </c>
      <c r="I9" s="562" t="s">
        <v>662</v>
      </c>
      <c r="J9" s="562" t="s">
        <v>663</v>
      </c>
      <c r="K9" s="469" t="s">
        <v>664</v>
      </c>
      <c r="L9" s="563">
        <v>42636</v>
      </c>
      <c r="M9" s="563">
        <v>42625</v>
      </c>
      <c r="N9" s="603" t="s">
        <v>665</v>
      </c>
      <c r="O9" s="604" t="s">
        <v>666</v>
      </c>
      <c r="P9" s="605" t="s">
        <v>583</v>
      </c>
      <c r="Q9" s="603" t="s">
        <v>364</v>
      </c>
      <c r="R9" s="605" t="s">
        <v>584</v>
      </c>
      <c r="S9" s="605" t="s">
        <v>585</v>
      </c>
      <c r="T9" s="234" t="s">
        <v>584</v>
      </c>
      <c r="U9" s="234" t="s">
        <v>585</v>
      </c>
      <c r="V9" s="562">
        <v>1</v>
      </c>
      <c r="W9" s="562" t="s">
        <v>0</v>
      </c>
      <c r="X9" s="564" t="s">
        <v>576</v>
      </c>
      <c r="Y9" s="564" t="s">
        <v>667</v>
      </c>
      <c r="Z9" s="564" t="s">
        <v>587</v>
      </c>
      <c r="AA9" s="564">
        <v>3</v>
      </c>
      <c r="AB9" s="565" t="s">
        <v>596</v>
      </c>
      <c r="AC9" s="565" t="s">
        <v>596</v>
      </c>
      <c r="AD9" s="565" t="s">
        <v>596</v>
      </c>
      <c r="AE9" s="565"/>
      <c r="AF9" s="566" t="s">
        <v>597</v>
      </c>
      <c r="AG9" s="565" t="s">
        <v>598</v>
      </c>
      <c r="AH9" s="565" t="s">
        <v>598</v>
      </c>
      <c r="AI9" s="565" t="s">
        <v>598</v>
      </c>
      <c r="AJ9" s="565"/>
      <c r="AK9" s="562" t="s">
        <v>599</v>
      </c>
      <c r="AL9" s="564">
        <v>2100</v>
      </c>
      <c r="AM9" s="564" t="s">
        <v>593</v>
      </c>
      <c r="AN9" s="567"/>
      <c r="AO9" s="567"/>
      <c r="AP9" s="567"/>
      <c r="AQ9" s="567"/>
      <c r="AR9" s="568"/>
      <c r="AS9" s="568"/>
      <c r="AT9" s="568"/>
      <c r="AU9" s="568"/>
      <c r="AV9" s="663" t="s">
        <v>601</v>
      </c>
      <c r="AW9" s="568"/>
      <c r="AX9" s="568"/>
      <c r="AY9" s="568"/>
      <c r="AZ9" s="568"/>
      <c r="BA9" s="663" t="s">
        <v>601</v>
      </c>
      <c r="BB9" s="567"/>
      <c r="BC9" s="567"/>
      <c r="BD9" s="569"/>
      <c r="BE9" s="569"/>
      <c r="BF9" s="569"/>
      <c r="BG9" s="569"/>
      <c r="BH9" s="569"/>
      <c r="BI9" s="569"/>
      <c r="BJ9" s="569"/>
      <c r="BK9" s="569"/>
      <c r="BL9" s="566" t="s">
        <v>601</v>
      </c>
      <c r="BM9" s="569"/>
      <c r="BN9" s="569"/>
      <c r="BO9" s="569"/>
      <c r="BP9" s="569"/>
      <c r="BQ9" s="562" t="s">
        <v>601</v>
      </c>
      <c r="BR9" s="569"/>
      <c r="BS9" s="569"/>
      <c r="BT9" s="570" t="s">
        <v>601</v>
      </c>
      <c r="BU9" s="570" t="s">
        <v>601</v>
      </c>
      <c r="BV9" s="570" t="s">
        <v>601</v>
      </c>
      <c r="BW9" s="570" t="s">
        <v>601</v>
      </c>
      <c r="BX9" s="571" t="s">
        <v>601</v>
      </c>
      <c r="BY9" s="571" t="s">
        <v>601</v>
      </c>
      <c r="BZ9" s="571" t="s">
        <v>601</v>
      </c>
      <c r="CA9" s="566" t="s">
        <v>601</v>
      </c>
      <c r="CB9" s="571" t="s">
        <v>601</v>
      </c>
      <c r="CC9" s="571" t="s">
        <v>601</v>
      </c>
      <c r="CD9" s="571" t="s">
        <v>601</v>
      </c>
      <c r="CE9" s="562" t="s">
        <v>601</v>
      </c>
      <c r="CF9" s="570" t="s">
        <v>601</v>
      </c>
      <c r="CG9" s="570" t="s">
        <v>601</v>
      </c>
      <c r="CH9" s="572" t="s">
        <v>601</v>
      </c>
      <c r="CI9" s="572" t="s">
        <v>601</v>
      </c>
      <c r="CJ9" s="572" t="s">
        <v>601</v>
      </c>
      <c r="CK9" s="572" t="s">
        <v>601</v>
      </c>
      <c r="CL9" s="573" t="s">
        <v>601</v>
      </c>
      <c r="CM9" s="573" t="s">
        <v>601</v>
      </c>
      <c r="CN9" s="573" t="s">
        <v>601</v>
      </c>
      <c r="CO9" s="566" t="s">
        <v>601</v>
      </c>
      <c r="CP9" s="573" t="s">
        <v>601</v>
      </c>
      <c r="CQ9" s="573" t="s">
        <v>601</v>
      </c>
      <c r="CR9" s="573" t="s">
        <v>601</v>
      </c>
      <c r="CS9" s="562" t="s">
        <v>601</v>
      </c>
      <c r="CT9" s="572" t="s">
        <v>601</v>
      </c>
      <c r="CU9" s="572" t="s">
        <v>601</v>
      </c>
      <c r="CV9" s="574" t="s">
        <v>601</v>
      </c>
      <c r="CW9" s="574" t="s">
        <v>601</v>
      </c>
      <c r="CX9" s="574" t="s">
        <v>601</v>
      </c>
      <c r="CY9" s="574" t="s">
        <v>601</v>
      </c>
      <c r="CZ9" s="575" t="s">
        <v>601</v>
      </c>
      <c r="DA9" s="575" t="s">
        <v>601</v>
      </c>
      <c r="DB9" s="575" t="s">
        <v>601</v>
      </c>
      <c r="DC9" s="566" t="s">
        <v>601</v>
      </c>
      <c r="DD9" s="575" t="s">
        <v>601</v>
      </c>
      <c r="DE9" s="575" t="s">
        <v>601</v>
      </c>
      <c r="DF9" s="575" t="s">
        <v>601</v>
      </c>
      <c r="DG9" s="562" t="s">
        <v>601</v>
      </c>
      <c r="DH9" s="574" t="s">
        <v>601</v>
      </c>
      <c r="DI9" s="574" t="s">
        <v>601</v>
      </c>
      <c r="DJ9" s="469">
        <v>1</v>
      </c>
      <c r="DK9" s="469" t="s">
        <v>623</v>
      </c>
      <c r="DL9" s="469" t="s">
        <v>601</v>
      </c>
      <c r="DM9" s="469" t="s">
        <v>601</v>
      </c>
      <c r="DN9" s="469" t="s">
        <v>604</v>
      </c>
      <c r="DO9" s="469" t="s">
        <v>604</v>
      </c>
      <c r="DP9" s="469" t="s">
        <v>604</v>
      </c>
      <c r="DQ9" s="469">
        <v>1</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c r="FZ9" s="611"/>
      <c r="GA9" s="562"/>
      <c r="GB9" s="612"/>
      <c r="GC9" s="603"/>
      <c r="GD9" s="603"/>
      <c r="GE9" s="613"/>
      <c r="GF9" s="613"/>
      <c r="GG9" s="613"/>
      <c r="GH9" s="614"/>
      <c r="GI9" s="614"/>
      <c r="GJ9" s="615"/>
      <c r="GK9" s="615"/>
      <c r="GL9" s="615"/>
      <c r="GM9" s="615"/>
      <c r="GN9" s="615"/>
      <c r="GO9" s="615"/>
      <c r="GP9" s="615"/>
      <c r="GQ9" s="615"/>
      <c r="GR9" s="615"/>
      <c r="GS9" s="615"/>
      <c r="GT9" s="615"/>
      <c r="GU9" s="609"/>
      <c r="GV9" s="609"/>
      <c r="GW9" s="609"/>
      <c r="GX9" s="609"/>
      <c r="GY9" s="609"/>
      <c r="GZ9" s="609"/>
      <c r="HA9" s="609"/>
      <c r="HB9" s="609"/>
      <c r="HC9" s="609"/>
      <c r="HD9" s="609"/>
      <c r="HE9" s="609"/>
      <c r="HF9" s="616"/>
      <c r="HG9" s="616"/>
      <c r="HH9" s="616"/>
      <c r="HI9" s="616"/>
      <c r="HJ9" s="616"/>
      <c r="HK9" s="616"/>
      <c r="HL9" s="616"/>
      <c r="HM9" s="616"/>
      <c r="HN9" s="616"/>
      <c r="HO9" s="616"/>
      <c r="HP9" s="616"/>
      <c r="HQ9" s="617"/>
      <c r="HR9" s="617"/>
      <c r="HS9" s="617"/>
      <c r="HT9" s="617"/>
      <c r="HU9" s="617"/>
      <c r="HV9" s="617"/>
    </row>
    <row r="10" ht="47.25">
      <c r="A10" s="559">
        <v>9</v>
      </c>
      <c r="B10" s="602">
        <v>38</v>
      </c>
      <c r="C10" s="469"/>
      <c r="D10" s="469" t="s">
        <v>668</v>
      </c>
      <c r="E10" s="560" t="s">
        <v>576</v>
      </c>
      <c r="F10" s="564" t="s">
        <v>576</v>
      </c>
      <c r="G10" s="561" t="s">
        <v>669</v>
      </c>
      <c r="H10" s="562" t="s">
        <v>26</v>
      </c>
      <c r="I10" s="562" t="s">
        <v>670</v>
      </c>
      <c r="J10" s="562" t="s">
        <v>671</v>
      </c>
      <c r="K10" s="469" t="s">
        <v>672</v>
      </c>
      <c r="L10" s="563">
        <v>42636</v>
      </c>
      <c r="M10" s="563">
        <v>42625</v>
      </c>
      <c r="N10" s="603" t="s">
        <v>673</v>
      </c>
      <c r="O10" s="604" t="s">
        <v>674</v>
      </c>
      <c r="P10" s="605" t="s">
        <v>583</v>
      </c>
      <c r="Q10" s="603" t="s">
        <v>364</v>
      </c>
      <c r="R10" s="605" t="s">
        <v>584</v>
      </c>
      <c r="S10" s="605" t="s">
        <v>585</v>
      </c>
      <c r="T10" s="234" t="s">
        <v>584</v>
      </c>
      <c r="U10" s="234" t="s">
        <v>585</v>
      </c>
      <c r="V10" s="562">
        <v>1</v>
      </c>
      <c r="W10" s="562" t="s">
        <v>675</v>
      </c>
      <c r="X10" s="564" t="s">
        <v>576</v>
      </c>
      <c r="Y10" s="564" t="s">
        <v>676</v>
      </c>
      <c r="Z10" s="564" t="s">
        <v>587</v>
      </c>
      <c r="AA10" s="564">
        <v>3</v>
      </c>
      <c r="AB10" s="565" t="s">
        <v>596</v>
      </c>
      <c r="AC10" s="565" t="s">
        <v>596</v>
      </c>
      <c r="AD10" s="565" t="s">
        <v>596</v>
      </c>
      <c r="AE10" s="565"/>
      <c r="AF10" s="566" t="s">
        <v>597</v>
      </c>
      <c r="AG10" s="565" t="s">
        <v>598</v>
      </c>
      <c r="AH10" s="565" t="s">
        <v>598</v>
      </c>
      <c r="AI10" s="565" t="s">
        <v>598</v>
      </c>
      <c r="AJ10" s="565"/>
      <c r="AK10" s="562" t="s">
        <v>599</v>
      </c>
      <c r="AL10" s="564">
        <v>2100</v>
      </c>
      <c r="AM10" s="564" t="s">
        <v>649</v>
      </c>
      <c r="AN10" s="567"/>
      <c r="AO10" s="567"/>
      <c r="AP10" s="567"/>
      <c r="AQ10" s="567"/>
      <c r="AR10" s="568"/>
      <c r="AS10" s="568"/>
      <c r="AT10" s="568"/>
      <c r="AU10" s="568"/>
      <c r="AV10" s="663" t="s">
        <v>601</v>
      </c>
      <c r="AW10" s="568"/>
      <c r="AX10" s="568"/>
      <c r="AY10" s="568"/>
      <c r="AZ10" s="568"/>
      <c r="BA10" s="663" t="s">
        <v>601</v>
      </c>
      <c r="BB10" s="567"/>
      <c r="BC10" s="567"/>
      <c r="BD10" s="569"/>
      <c r="BE10" s="569"/>
      <c r="BF10" s="569"/>
      <c r="BG10" s="569"/>
      <c r="BH10" s="569"/>
      <c r="BI10" s="569"/>
      <c r="BJ10" s="569"/>
      <c r="BK10" s="569"/>
      <c r="BL10" s="566" t="s">
        <v>601</v>
      </c>
      <c r="BM10" s="569"/>
      <c r="BN10" s="569"/>
      <c r="BO10" s="569"/>
      <c r="BP10" s="569"/>
      <c r="BQ10" s="562" t="s">
        <v>601</v>
      </c>
      <c r="BR10" s="569"/>
      <c r="BS10" s="569"/>
      <c r="BT10" s="570" t="s">
        <v>601</v>
      </c>
      <c r="BU10" s="570" t="s">
        <v>601</v>
      </c>
      <c r="BV10" s="570" t="s">
        <v>601</v>
      </c>
      <c r="BW10" s="570" t="s">
        <v>601</v>
      </c>
      <c r="BX10" s="571" t="s">
        <v>601</v>
      </c>
      <c r="BY10" s="571" t="s">
        <v>601</v>
      </c>
      <c r="BZ10" s="571" t="s">
        <v>601</v>
      </c>
      <c r="CA10" s="566" t="s">
        <v>601</v>
      </c>
      <c r="CB10" s="571" t="s">
        <v>601</v>
      </c>
      <c r="CC10" s="571" t="s">
        <v>601</v>
      </c>
      <c r="CD10" s="571" t="s">
        <v>601</v>
      </c>
      <c r="CE10" s="562" t="s">
        <v>601</v>
      </c>
      <c r="CF10" s="570" t="s">
        <v>601</v>
      </c>
      <c r="CG10" s="570" t="s">
        <v>601</v>
      </c>
      <c r="CH10" s="572" t="s">
        <v>601</v>
      </c>
      <c r="CI10" s="572" t="s">
        <v>601</v>
      </c>
      <c r="CJ10" s="572" t="s">
        <v>601</v>
      </c>
      <c r="CK10" s="572" t="s">
        <v>601</v>
      </c>
      <c r="CL10" s="573" t="s">
        <v>601</v>
      </c>
      <c r="CM10" s="573" t="s">
        <v>601</v>
      </c>
      <c r="CN10" s="573" t="s">
        <v>601</v>
      </c>
      <c r="CO10" s="566" t="s">
        <v>601</v>
      </c>
      <c r="CP10" s="573" t="s">
        <v>601</v>
      </c>
      <c r="CQ10" s="573" t="s">
        <v>601</v>
      </c>
      <c r="CR10" s="573" t="s">
        <v>601</v>
      </c>
      <c r="CS10" s="562" t="s">
        <v>601</v>
      </c>
      <c r="CT10" s="572" t="s">
        <v>601</v>
      </c>
      <c r="CU10" s="572" t="s">
        <v>601</v>
      </c>
      <c r="CV10" s="574" t="s">
        <v>601</v>
      </c>
      <c r="CW10" s="574" t="s">
        <v>601</v>
      </c>
      <c r="CX10" s="574" t="s">
        <v>601</v>
      </c>
      <c r="CY10" s="574" t="s">
        <v>601</v>
      </c>
      <c r="CZ10" s="575" t="s">
        <v>601</v>
      </c>
      <c r="DA10" s="575" t="s">
        <v>601</v>
      </c>
      <c r="DB10" s="575" t="s">
        <v>601</v>
      </c>
      <c r="DC10" s="566" t="s">
        <v>601</v>
      </c>
      <c r="DD10" s="575" t="s">
        <v>601</v>
      </c>
      <c r="DE10" s="575" t="s">
        <v>601</v>
      </c>
      <c r="DF10" s="575" t="s">
        <v>601</v>
      </c>
      <c r="DG10" s="562" t="s">
        <v>601</v>
      </c>
      <c r="DH10" s="574" t="s">
        <v>601</v>
      </c>
      <c r="DI10" s="574" t="s">
        <v>601</v>
      </c>
      <c r="DJ10" s="469">
        <v>1</v>
      </c>
      <c r="DK10" s="469" t="s">
        <v>623</v>
      </c>
      <c r="DL10" s="469" t="s">
        <v>601</v>
      </c>
      <c r="DM10" s="469" t="s">
        <v>601</v>
      </c>
      <c r="DN10" s="469" t="s">
        <v>604</v>
      </c>
      <c r="DO10" s="469" t="s">
        <v>604</v>
      </c>
      <c r="DP10" s="469" t="s">
        <v>604</v>
      </c>
      <c r="DQ10" s="469">
        <v>1</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v>1</v>
      </c>
      <c r="FY10" s="611"/>
      <c r="FZ10" s="611">
        <v>1</v>
      </c>
      <c r="GA10" s="562"/>
      <c r="GB10" s="612"/>
      <c r="GC10" s="603"/>
      <c r="GD10" s="603"/>
      <c r="GE10" s="613"/>
      <c r="GF10" s="613"/>
      <c r="GG10" s="613"/>
      <c r="GH10" s="614"/>
      <c r="GI10" s="614"/>
      <c r="GJ10" s="615"/>
      <c r="GK10" s="615"/>
      <c r="GL10" s="615"/>
      <c r="GM10" s="615"/>
      <c r="GN10" s="615"/>
      <c r="GO10" s="615"/>
      <c r="GP10" s="615"/>
      <c r="GQ10" s="615"/>
      <c r="GR10" s="615"/>
      <c r="GS10" s="615"/>
      <c r="GT10" s="615"/>
      <c r="GU10" s="609"/>
      <c r="GV10" s="609"/>
      <c r="GW10" s="609"/>
      <c r="GX10" s="609"/>
      <c r="GY10" s="609"/>
      <c r="GZ10" s="609"/>
      <c r="HA10" s="609"/>
      <c r="HB10" s="609"/>
      <c r="HC10" s="609"/>
      <c r="HD10" s="609"/>
      <c r="HE10" s="609"/>
      <c r="HF10" s="616"/>
      <c r="HG10" s="616"/>
      <c r="HH10" s="616"/>
      <c r="HI10" s="616"/>
      <c r="HJ10" s="616"/>
      <c r="HK10" s="616"/>
      <c r="HL10" s="616"/>
      <c r="HM10" s="616"/>
      <c r="HN10" s="616"/>
      <c r="HO10" s="616"/>
      <c r="HP10" s="616"/>
      <c r="HQ10" s="617"/>
      <c r="HR10" s="617"/>
      <c r="HS10" s="617"/>
      <c r="HT10" s="617"/>
      <c r="HU10" s="617"/>
      <c r="HV10" s="617"/>
    </row>
    <row r="11" ht="47.25">
      <c r="A11" s="559">
        <v>10</v>
      </c>
      <c r="B11" s="602">
        <v>38</v>
      </c>
      <c r="C11" s="469"/>
      <c r="D11" s="469" t="s">
        <v>677</v>
      </c>
      <c r="E11" s="560" t="s">
        <v>576</v>
      </c>
      <c r="F11" s="564" t="s">
        <v>576</v>
      </c>
      <c r="G11" s="561" t="s">
        <v>678</v>
      </c>
      <c r="H11" s="562" t="s">
        <v>26</v>
      </c>
      <c r="I11" s="562" t="s">
        <v>679</v>
      </c>
      <c r="J11" s="562" t="s">
        <v>680</v>
      </c>
      <c r="K11" s="469" t="s">
        <v>681</v>
      </c>
      <c r="L11" s="563">
        <v>42636</v>
      </c>
      <c r="M11" s="563">
        <v>42625</v>
      </c>
      <c r="N11" s="603" t="s">
        <v>682</v>
      </c>
      <c r="O11" s="604" t="s">
        <v>683</v>
      </c>
      <c r="P11" s="605" t="s">
        <v>583</v>
      </c>
      <c r="Q11" s="603" t="s">
        <v>364</v>
      </c>
      <c r="R11" s="605" t="s">
        <v>584</v>
      </c>
      <c r="S11" s="605" t="s">
        <v>585</v>
      </c>
      <c r="T11" s="234" t="s">
        <v>584</v>
      </c>
      <c r="U11" s="234" t="s">
        <v>585</v>
      </c>
      <c r="V11" s="562">
        <v>1</v>
      </c>
      <c r="W11" s="562" t="s">
        <v>675</v>
      </c>
      <c r="X11" s="564" t="s">
        <v>576</v>
      </c>
      <c r="Y11" s="564" t="s">
        <v>684</v>
      </c>
      <c r="Z11" s="564" t="s">
        <v>587</v>
      </c>
      <c r="AA11" s="564">
        <v>3</v>
      </c>
      <c r="AB11" s="565" t="s">
        <v>596</v>
      </c>
      <c r="AC11" s="565" t="s">
        <v>596</v>
      </c>
      <c r="AD11" s="565" t="s">
        <v>596</v>
      </c>
      <c r="AE11" s="565"/>
      <c r="AF11" s="566" t="s">
        <v>597</v>
      </c>
      <c r="AG11" s="565" t="s">
        <v>598</v>
      </c>
      <c r="AH11" s="565" t="s">
        <v>598</v>
      </c>
      <c r="AI11" s="565" t="s">
        <v>598</v>
      </c>
      <c r="AJ11" s="565"/>
      <c r="AK11" s="562" t="s">
        <v>599</v>
      </c>
      <c r="AL11" s="564">
        <v>2100</v>
      </c>
      <c r="AM11" s="564" t="s">
        <v>649</v>
      </c>
      <c r="AN11" s="567"/>
      <c r="AO11" s="567"/>
      <c r="AP11" s="567"/>
      <c r="AQ11" s="567"/>
      <c r="AR11" s="568"/>
      <c r="AS11" s="568"/>
      <c r="AT11" s="568"/>
      <c r="AU11" s="568"/>
      <c r="AV11" s="663" t="s">
        <v>601</v>
      </c>
      <c r="AW11" s="568"/>
      <c r="AX11" s="568"/>
      <c r="AY11" s="568"/>
      <c r="AZ11" s="568"/>
      <c r="BA11" s="663" t="s">
        <v>601</v>
      </c>
      <c r="BB11" s="567"/>
      <c r="BC11" s="567"/>
      <c r="BD11" s="569"/>
      <c r="BE11" s="569"/>
      <c r="BF11" s="569"/>
      <c r="BG11" s="569"/>
      <c r="BH11" s="569"/>
      <c r="BI11" s="569"/>
      <c r="BJ11" s="569"/>
      <c r="BK11" s="569"/>
      <c r="BL11" s="566" t="s">
        <v>601</v>
      </c>
      <c r="BM11" s="569"/>
      <c r="BN11" s="569"/>
      <c r="BO11" s="569"/>
      <c r="BP11" s="569"/>
      <c r="BQ11" s="562" t="s">
        <v>601</v>
      </c>
      <c r="BR11" s="569"/>
      <c r="BS11" s="569"/>
      <c r="BT11" s="570" t="s">
        <v>601</v>
      </c>
      <c r="BU11" s="570" t="s">
        <v>601</v>
      </c>
      <c r="BV11" s="570" t="s">
        <v>601</v>
      </c>
      <c r="BW11" s="570" t="s">
        <v>601</v>
      </c>
      <c r="BX11" s="571" t="s">
        <v>601</v>
      </c>
      <c r="BY11" s="571" t="s">
        <v>601</v>
      </c>
      <c r="BZ11" s="571" t="s">
        <v>601</v>
      </c>
      <c r="CA11" s="566" t="s">
        <v>601</v>
      </c>
      <c r="CB11" s="571" t="s">
        <v>601</v>
      </c>
      <c r="CC11" s="571" t="s">
        <v>601</v>
      </c>
      <c r="CD11" s="571" t="s">
        <v>601</v>
      </c>
      <c r="CE11" s="562" t="s">
        <v>601</v>
      </c>
      <c r="CF11" s="570" t="s">
        <v>601</v>
      </c>
      <c r="CG11" s="570" t="s">
        <v>601</v>
      </c>
      <c r="CH11" s="572" t="s">
        <v>601</v>
      </c>
      <c r="CI11" s="572" t="s">
        <v>601</v>
      </c>
      <c r="CJ11" s="572" t="s">
        <v>601</v>
      </c>
      <c r="CK11" s="572" t="s">
        <v>601</v>
      </c>
      <c r="CL11" s="573" t="s">
        <v>601</v>
      </c>
      <c r="CM11" s="573" t="s">
        <v>601</v>
      </c>
      <c r="CN11" s="573" t="s">
        <v>601</v>
      </c>
      <c r="CO11" s="566" t="s">
        <v>601</v>
      </c>
      <c r="CP11" s="573" t="s">
        <v>601</v>
      </c>
      <c r="CQ11" s="573" t="s">
        <v>601</v>
      </c>
      <c r="CR11" s="573" t="s">
        <v>601</v>
      </c>
      <c r="CS11" s="562" t="s">
        <v>601</v>
      </c>
      <c r="CT11" s="572" t="s">
        <v>601</v>
      </c>
      <c r="CU11" s="572" t="s">
        <v>601</v>
      </c>
      <c r="CV11" s="574" t="s">
        <v>601</v>
      </c>
      <c r="CW11" s="574" t="s">
        <v>601</v>
      </c>
      <c r="CX11" s="574" t="s">
        <v>601</v>
      </c>
      <c r="CY11" s="574" t="s">
        <v>601</v>
      </c>
      <c r="CZ11" s="575" t="s">
        <v>601</v>
      </c>
      <c r="DA11" s="575" t="s">
        <v>601</v>
      </c>
      <c r="DB11" s="575" t="s">
        <v>601</v>
      </c>
      <c r="DC11" s="566" t="s">
        <v>601</v>
      </c>
      <c r="DD11" s="575" t="s">
        <v>601</v>
      </c>
      <c r="DE11" s="575" t="s">
        <v>601</v>
      </c>
      <c r="DF11" s="575" t="s">
        <v>601</v>
      </c>
      <c r="DG11" s="562" t="s">
        <v>601</v>
      </c>
      <c r="DH11" s="574" t="s">
        <v>601</v>
      </c>
      <c r="DI11" s="574" t="s">
        <v>601</v>
      </c>
      <c r="DJ11" s="469">
        <v>1</v>
      </c>
      <c r="DK11" s="469" t="s">
        <v>623</v>
      </c>
      <c r="DL11" s="469" t="s">
        <v>601</v>
      </c>
      <c r="DM11" s="469" t="s">
        <v>601</v>
      </c>
      <c r="DN11" s="469" t="s">
        <v>604</v>
      </c>
      <c r="DO11" s="469" t="s">
        <v>604</v>
      </c>
      <c r="DP11" s="469" t="s">
        <v>604</v>
      </c>
      <c r="DQ11" s="469">
        <v>1</v>
      </c>
      <c r="DR11" s="576"/>
      <c r="DS11" s="606"/>
      <c r="DT11" s="606"/>
      <c r="DU11" s="562"/>
      <c r="DV11" s="606"/>
      <c r="DW11" s="606"/>
      <c r="DX11" s="607"/>
      <c r="DY11" s="611"/>
      <c r="DZ11" s="607"/>
      <c r="EA11" s="607"/>
      <c r="EB11" s="607"/>
      <c r="EC11" s="607"/>
      <c r="ED11" s="562"/>
      <c r="EE11" s="607"/>
      <c r="EF11" s="607"/>
      <c r="EG11" s="607"/>
      <c r="EH11" s="562"/>
      <c r="EI11" s="607"/>
      <c r="EJ11" s="607"/>
      <c r="EK11" s="608"/>
      <c r="EL11" s="608"/>
      <c r="EM11" s="608"/>
      <c r="EN11" s="608"/>
      <c r="EO11" s="608"/>
      <c r="EP11" s="608"/>
      <c r="EQ11" s="562"/>
      <c r="ER11" s="608"/>
      <c r="ES11" s="608"/>
      <c r="ET11" s="608"/>
      <c r="EU11" s="562"/>
      <c r="EV11" s="608"/>
      <c r="EW11" s="608"/>
      <c r="EX11" s="609"/>
      <c r="EY11" s="609"/>
      <c r="EZ11" s="609"/>
      <c r="FA11" s="609"/>
      <c r="FB11" s="609"/>
      <c r="FC11" s="609"/>
      <c r="FD11" s="562"/>
      <c r="FE11" s="609"/>
      <c r="FF11" s="609"/>
      <c r="FG11" s="609"/>
      <c r="FH11" s="562"/>
      <c r="FI11" s="609"/>
      <c r="FJ11" s="609"/>
      <c r="FK11" s="562"/>
      <c r="FL11" s="562"/>
      <c r="FM11" s="562"/>
      <c r="FN11" s="562"/>
      <c r="FO11" s="562"/>
      <c r="FP11" s="562"/>
      <c r="FQ11" s="562"/>
      <c r="FR11" s="562"/>
      <c r="FS11" s="562"/>
      <c r="FT11" s="562"/>
      <c r="FU11" s="562"/>
      <c r="FV11" s="562"/>
      <c r="FW11" s="562"/>
      <c r="FX11" s="610">
        <v>1</v>
      </c>
      <c r="FY11" s="611"/>
      <c r="FZ11" s="611">
        <v>1</v>
      </c>
      <c r="GA11" s="562"/>
      <c r="GB11" s="612"/>
      <c r="GC11" s="603"/>
      <c r="GD11" s="603"/>
      <c r="GE11" s="613"/>
      <c r="GF11" s="613"/>
      <c r="GG11" s="613"/>
      <c r="GH11" s="614"/>
      <c r="GI11" s="614"/>
      <c r="GJ11" s="615"/>
      <c r="GK11" s="615"/>
      <c r="GL11" s="615"/>
      <c r="GM11" s="615"/>
      <c r="GN11" s="615"/>
      <c r="GO11" s="615"/>
      <c r="GP11" s="615"/>
      <c r="GQ11" s="615"/>
      <c r="GR11" s="615"/>
      <c r="GS11" s="615"/>
      <c r="GT11" s="615"/>
      <c r="GU11" s="609"/>
      <c r="GV11" s="609"/>
      <c r="GW11" s="609"/>
      <c r="GX11" s="609"/>
      <c r="GY11" s="609"/>
      <c r="GZ11" s="609"/>
      <c r="HA11" s="609"/>
      <c r="HB11" s="609"/>
      <c r="HC11" s="609"/>
      <c r="HD11" s="609"/>
      <c r="HE11" s="609"/>
      <c r="HF11" s="616"/>
      <c r="HG11" s="616"/>
      <c r="HH11" s="616"/>
      <c r="HI11" s="616"/>
      <c r="HJ11" s="616"/>
      <c r="HK11" s="616"/>
      <c r="HL11" s="616"/>
      <c r="HM11" s="616"/>
      <c r="HN11" s="616"/>
      <c r="HO11" s="616"/>
      <c r="HP11" s="616"/>
      <c r="HQ11" s="617"/>
      <c r="HR11" s="617"/>
      <c r="HS11" s="617"/>
      <c r="HT11" s="617"/>
      <c r="HU11" s="617"/>
      <c r="HV11" s="617"/>
    </row>
    <row r="12" ht="47.25">
      <c r="A12" s="559">
        <v>11</v>
      </c>
      <c r="B12" s="602">
        <v>38</v>
      </c>
      <c r="C12" s="469"/>
      <c r="D12" s="469" t="s">
        <v>685</v>
      </c>
      <c r="E12" s="560" t="s">
        <v>576</v>
      </c>
      <c r="F12" s="564" t="s">
        <v>576</v>
      </c>
      <c r="G12" s="561" t="s">
        <v>686</v>
      </c>
      <c r="H12" s="562" t="s">
        <v>26</v>
      </c>
      <c r="I12" s="562" t="s">
        <v>687</v>
      </c>
      <c r="J12" s="562" t="s">
        <v>688</v>
      </c>
      <c r="K12" s="469" t="s">
        <v>689</v>
      </c>
      <c r="L12" s="563">
        <v>42636</v>
      </c>
      <c r="M12" s="563">
        <v>42626</v>
      </c>
      <c r="N12" s="603" t="s">
        <v>690</v>
      </c>
      <c r="O12" s="604" t="s">
        <v>691</v>
      </c>
      <c r="P12" s="605" t="s">
        <v>583</v>
      </c>
      <c r="Q12" s="603" t="s">
        <v>364</v>
      </c>
      <c r="R12" s="605" t="s">
        <v>584</v>
      </c>
      <c r="S12" s="605" t="s">
        <v>585</v>
      </c>
      <c r="T12" s="234" t="s">
        <v>584</v>
      </c>
      <c r="U12" s="234" t="s">
        <v>585</v>
      </c>
      <c r="V12" s="562">
        <v>1</v>
      </c>
      <c r="W12" s="562" t="s">
        <v>675</v>
      </c>
      <c r="X12" s="564" t="s">
        <v>576</v>
      </c>
      <c r="Y12" s="564" t="s">
        <v>692</v>
      </c>
      <c r="Z12" s="564" t="s">
        <v>587</v>
      </c>
      <c r="AA12" s="564">
        <v>3</v>
      </c>
      <c r="AB12" s="565" t="s">
        <v>596</v>
      </c>
      <c r="AC12" s="565" t="s">
        <v>596</v>
      </c>
      <c r="AD12" s="565" t="s">
        <v>596</v>
      </c>
      <c r="AE12" s="565"/>
      <c r="AF12" s="566" t="s">
        <v>597</v>
      </c>
      <c r="AG12" s="565" t="s">
        <v>598</v>
      </c>
      <c r="AH12" s="565" t="s">
        <v>598</v>
      </c>
      <c r="AI12" s="565" t="s">
        <v>598</v>
      </c>
      <c r="AJ12" s="565"/>
      <c r="AK12" s="562" t="s">
        <v>599</v>
      </c>
      <c r="AL12" s="564">
        <v>2100</v>
      </c>
      <c r="AM12" s="564" t="s">
        <v>649</v>
      </c>
      <c r="AN12" s="567"/>
      <c r="AO12" s="567"/>
      <c r="AP12" s="567"/>
      <c r="AQ12" s="567"/>
      <c r="AR12" s="568"/>
      <c r="AS12" s="568"/>
      <c r="AT12" s="568"/>
      <c r="AU12" s="568"/>
      <c r="AV12" s="663" t="s">
        <v>601</v>
      </c>
      <c r="AW12" s="568"/>
      <c r="AX12" s="568"/>
      <c r="AY12" s="568"/>
      <c r="AZ12" s="568"/>
      <c r="BA12" s="663" t="s">
        <v>601</v>
      </c>
      <c r="BB12" s="567"/>
      <c r="BC12" s="567"/>
      <c r="BD12" s="569"/>
      <c r="BE12" s="569"/>
      <c r="BF12" s="569"/>
      <c r="BG12" s="569"/>
      <c r="BH12" s="569"/>
      <c r="BI12" s="569"/>
      <c r="BJ12" s="569"/>
      <c r="BK12" s="569"/>
      <c r="BL12" s="566" t="s">
        <v>601</v>
      </c>
      <c r="BM12" s="569"/>
      <c r="BN12" s="569"/>
      <c r="BO12" s="569"/>
      <c r="BP12" s="569"/>
      <c r="BQ12" s="562" t="s">
        <v>601</v>
      </c>
      <c r="BR12" s="569"/>
      <c r="BS12" s="569"/>
      <c r="BT12" s="570" t="s">
        <v>601</v>
      </c>
      <c r="BU12" s="570" t="s">
        <v>601</v>
      </c>
      <c r="BV12" s="570" t="s">
        <v>601</v>
      </c>
      <c r="BW12" s="570" t="s">
        <v>601</v>
      </c>
      <c r="BX12" s="571" t="s">
        <v>601</v>
      </c>
      <c r="BY12" s="571" t="s">
        <v>601</v>
      </c>
      <c r="BZ12" s="571" t="s">
        <v>601</v>
      </c>
      <c r="CA12" s="566" t="s">
        <v>601</v>
      </c>
      <c r="CB12" s="571" t="s">
        <v>601</v>
      </c>
      <c r="CC12" s="571" t="s">
        <v>601</v>
      </c>
      <c r="CD12" s="571" t="s">
        <v>601</v>
      </c>
      <c r="CE12" s="562" t="s">
        <v>601</v>
      </c>
      <c r="CF12" s="570" t="s">
        <v>601</v>
      </c>
      <c r="CG12" s="570" t="s">
        <v>601</v>
      </c>
      <c r="CH12" s="572" t="s">
        <v>601</v>
      </c>
      <c r="CI12" s="572" t="s">
        <v>601</v>
      </c>
      <c r="CJ12" s="572" t="s">
        <v>601</v>
      </c>
      <c r="CK12" s="572" t="s">
        <v>601</v>
      </c>
      <c r="CL12" s="573" t="s">
        <v>601</v>
      </c>
      <c r="CM12" s="573" t="s">
        <v>601</v>
      </c>
      <c r="CN12" s="573" t="s">
        <v>601</v>
      </c>
      <c r="CO12" s="566" t="s">
        <v>601</v>
      </c>
      <c r="CP12" s="573" t="s">
        <v>601</v>
      </c>
      <c r="CQ12" s="573" t="s">
        <v>601</v>
      </c>
      <c r="CR12" s="573" t="s">
        <v>601</v>
      </c>
      <c r="CS12" s="562" t="s">
        <v>601</v>
      </c>
      <c r="CT12" s="572" t="s">
        <v>601</v>
      </c>
      <c r="CU12" s="572" t="s">
        <v>601</v>
      </c>
      <c r="CV12" s="574" t="s">
        <v>601</v>
      </c>
      <c r="CW12" s="574" t="s">
        <v>601</v>
      </c>
      <c r="CX12" s="574" t="s">
        <v>601</v>
      </c>
      <c r="CY12" s="574" t="s">
        <v>601</v>
      </c>
      <c r="CZ12" s="575" t="s">
        <v>601</v>
      </c>
      <c r="DA12" s="575" t="s">
        <v>601</v>
      </c>
      <c r="DB12" s="575" t="s">
        <v>601</v>
      </c>
      <c r="DC12" s="566" t="s">
        <v>601</v>
      </c>
      <c r="DD12" s="575" t="s">
        <v>601</v>
      </c>
      <c r="DE12" s="575" t="s">
        <v>601</v>
      </c>
      <c r="DF12" s="575" t="s">
        <v>601</v>
      </c>
      <c r="DG12" s="562" t="s">
        <v>601</v>
      </c>
      <c r="DH12" s="574" t="s">
        <v>601</v>
      </c>
      <c r="DI12" s="574" t="s">
        <v>601</v>
      </c>
      <c r="DJ12" s="469">
        <v>1</v>
      </c>
      <c r="DK12" s="469" t="s">
        <v>623</v>
      </c>
      <c r="DL12" s="469" t="s">
        <v>601</v>
      </c>
      <c r="DM12" s="469" t="s">
        <v>601</v>
      </c>
      <c r="DN12" s="469" t="s">
        <v>604</v>
      </c>
      <c r="DO12" s="469" t="s">
        <v>604</v>
      </c>
      <c r="DP12" s="469" t="s">
        <v>604</v>
      </c>
      <c r="DQ12" s="469">
        <v>1</v>
      </c>
      <c r="DR12" s="576"/>
      <c r="DS12" s="606"/>
      <c r="DT12" s="606"/>
      <c r="DU12" s="562"/>
      <c r="DV12" s="606"/>
      <c r="DW12" s="606"/>
      <c r="DX12" s="607"/>
      <c r="DY12" s="611"/>
      <c r="DZ12" s="607"/>
      <c r="EA12" s="607"/>
      <c r="EB12" s="607"/>
      <c r="EC12" s="607"/>
      <c r="ED12" s="562"/>
      <c r="EE12" s="607"/>
      <c r="EF12" s="607"/>
      <c r="EG12" s="607"/>
      <c r="EH12" s="562"/>
      <c r="EI12" s="607"/>
      <c r="EJ12" s="607"/>
      <c r="EK12" s="608"/>
      <c r="EL12" s="608"/>
      <c r="EM12" s="608"/>
      <c r="EN12" s="608"/>
      <c r="EO12" s="608"/>
      <c r="EP12" s="608"/>
      <c r="EQ12" s="562"/>
      <c r="ER12" s="608"/>
      <c r="ES12" s="608"/>
      <c r="ET12" s="608"/>
      <c r="EU12" s="562"/>
      <c r="EV12" s="608"/>
      <c r="EW12" s="608"/>
      <c r="EX12" s="609"/>
      <c r="EY12" s="609"/>
      <c r="EZ12" s="609"/>
      <c r="FA12" s="609"/>
      <c r="FB12" s="609"/>
      <c r="FC12" s="609"/>
      <c r="FD12" s="562"/>
      <c r="FE12" s="609"/>
      <c r="FF12" s="609"/>
      <c r="FG12" s="609"/>
      <c r="FH12" s="562"/>
      <c r="FI12" s="609"/>
      <c r="FJ12" s="609"/>
      <c r="FK12" s="562"/>
      <c r="FL12" s="562"/>
      <c r="FM12" s="562"/>
      <c r="FN12" s="562"/>
      <c r="FO12" s="562"/>
      <c r="FP12" s="562"/>
      <c r="FQ12" s="562"/>
      <c r="FR12" s="562"/>
      <c r="FS12" s="562"/>
      <c r="FT12" s="562"/>
      <c r="FU12" s="562"/>
      <c r="FV12" s="562"/>
      <c r="FW12" s="562"/>
      <c r="FX12" s="610">
        <v>1</v>
      </c>
      <c r="FY12" s="611"/>
      <c r="FZ12" s="611">
        <v>1</v>
      </c>
      <c r="GA12" s="562"/>
      <c r="GB12" s="612"/>
      <c r="GC12" s="603"/>
      <c r="GD12" s="603"/>
      <c r="GE12" s="613"/>
      <c r="GF12" s="613"/>
      <c r="GG12" s="613"/>
      <c r="GH12" s="614"/>
      <c r="GI12" s="614"/>
      <c r="GJ12" s="615"/>
      <c r="GK12" s="615"/>
      <c r="GL12" s="615"/>
      <c r="GM12" s="615"/>
      <c r="GN12" s="615"/>
      <c r="GO12" s="615"/>
      <c r="GP12" s="615"/>
      <c r="GQ12" s="615"/>
      <c r="GR12" s="615"/>
      <c r="GS12" s="615"/>
      <c r="GT12" s="615"/>
      <c r="GU12" s="609"/>
      <c r="GV12" s="609"/>
      <c r="GW12" s="609"/>
      <c r="GX12" s="609"/>
      <c r="GY12" s="609"/>
      <c r="GZ12" s="609"/>
      <c r="HA12" s="609"/>
      <c r="HB12" s="609"/>
      <c r="HC12" s="609"/>
      <c r="HD12" s="609"/>
      <c r="HE12" s="609"/>
      <c r="HF12" s="616"/>
      <c r="HG12" s="616"/>
      <c r="HH12" s="616"/>
      <c r="HI12" s="616"/>
      <c r="HJ12" s="616"/>
      <c r="HK12" s="616"/>
      <c r="HL12" s="616"/>
      <c r="HM12" s="616"/>
      <c r="HN12" s="616"/>
      <c r="HO12" s="616"/>
      <c r="HP12" s="616"/>
      <c r="HQ12" s="617"/>
      <c r="HR12" s="617"/>
      <c r="HS12" s="617"/>
      <c r="HT12" s="617"/>
      <c r="HU12" s="617"/>
      <c r="HV12" s="617"/>
    </row>
    <row r="13" ht="47.25">
      <c r="A13" s="559">
        <v>12</v>
      </c>
      <c r="B13" s="602">
        <v>38</v>
      </c>
      <c r="C13" s="469"/>
      <c r="D13" s="469" t="s">
        <v>693</v>
      </c>
      <c r="E13" s="560" t="s">
        <v>576</v>
      </c>
      <c r="F13" s="564" t="s">
        <v>576</v>
      </c>
      <c r="G13" s="561" t="s">
        <v>694</v>
      </c>
      <c r="H13" s="562" t="s">
        <v>26</v>
      </c>
      <c r="I13" s="562" t="s">
        <v>695</v>
      </c>
      <c r="J13" s="562" t="s">
        <v>696</v>
      </c>
      <c r="K13" s="469" t="s">
        <v>697</v>
      </c>
      <c r="L13" s="563">
        <v>42636</v>
      </c>
      <c r="M13" s="563">
        <v>42626</v>
      </c>
      <c r="N13" s="603" t="s">
        <v>698</v>
      </c>
      <c r="O13" s="604" t="s">
        <v>699</v>
      </c>
      <c r="P13" s="605" t="s">
        <v>583</v>
      </c>
      <c r="Q13" s="603" t="s">
        <v>364</v>
      </c>
      <c r="R13" s="605" t="s">
        <v>584</v>
      </c>
      <c r="S13" s="605" t="s">
        <v>585</v>
      </c>
      <c r="T13" s="234" t="s">
        <v>584</v>
      </c>
      <c r="U13" s="234" t="s">
        <v>585</v>
      </c>
      <c r="V13" s="562">
        <v>1</v>
      </c>
      <c r="W13" s="562" t="s">
        <v>0</v>
      </c>
      <c r="X13" s="564" t="s">
        <v>576</v>
      </c>
      <c r="Y13" s="564" t="s">
        <v>700</v>
      </c>
      <c r="Z13" s="564" t="s">
        <v>587</v>
      </c>
      <c r="AA13" s="564">
        <v>3</v>
      </c>
      <c r="AB13" s="565" t="s">
        <v>596</v>
      </c>
      <c r="AC13" s="565" t="s">
        <v>596</v>
      </c>
      <c r="AD13" s="565" t="s">
        <v>596</v>
      </c>
      <c r="AE13" s="565"/>
      <c r="AF13" s="566" t="s">
        <v>597</v>
      </c>
      <c r="AG13" s="565" t="s">
        <v>598</v>
      </c>
      <c r="AH13" s="565" t="s">
        <v>598</v>
      </c>
      <c r="AI13" s="565" t="s">
        <v>598</v>
      </c>
      <c r="AJ13" s="565"/>
      <c r="AK13" s="562" t="s">
        <v>599</v>
      </c>
      <c r="AL13" s="564">
        <v>2100</v>
      </c>
      <c r="AM13" s="564" t="s">
        <v>593</v>
      </c>
      <c r="AN13" s="567"/>
      <c r="AO13" s="567"/>
      <c r="AP13" s="567"/>
      <c r="AQ13" s="567"/>
      <c r="AR13" s="568"/>
      <c r="AS13" s="568"/>
      <c r="AT13" s="568"/>
      <c r="AU13" s="568"/>
      <c r="AV13" s="663" t="s">
        <v>601</v>
      </c>
      <c r="AW13" s="568"/>
      <c r="AX13" s="568"/>
      <c r="AY13" s="568"/>
      <c r="AZ13" s="568"/>
      <c r="BA13" s="663" t="s">
        <v>601</v>
      </c>
      <c r="BB13" s="567"/>
      <c r="BC13" s="567"/>
      <c r="BD13" s="569"/>
      <c r="BE13" s="569"/>
      <c r="BF13" s="569"/>
      <c r="BG13" s="569"/>
      <c r="BH13" s="569"/>
      <c r="BI13" s="569"/>
      <c r="BJ13" s="569"/>
      <c r="BK13" s="569"/>
      <c r="BL13" s="566" t="s">
        <v>601</v>
      </c>
      <c r="BM13" s="569"/>
      <c r="BN13" s="569"/>
      <c r="BO13" s="569"/>
      <c r="BP13" s="569"/>
      <c r="BQ13" s="562" t="s">
        <v>601</v>
      </c>
      <c r="BR13" s="569"/>
      <c r="BS13" s="569"/>
      <c r="BT13" s="570" t="s">
        <v>601</v>
      </c>
      <c r="BU13" s="570" t="s">
        <v>601</v>
      </c>
      <c r="BV13" s="570" t="s">
        <v>601</v>
      </c>
      <c r="BW13" s="570" t="s">
        <v>601</v>
      </c>
      <c r="BX13" s="571" t="s">
        <v>601</v>
      </c>
      <c r="BY13" s="571" t="s">
        <v>601</v>
      </c>
      <c r="BZ13" s="571" t="s">
        <v>601</v>
      </c>
      <c r="CA13" s="566" t="s">
        <v>601</v>
      </c>
      <c r="CB13" s="571" t="s">
        <v>601</v>
      </c>
      <c r="CC13" s="571" t="s">
        <v>601</v>
      </c>
      <c r="CD13" s="571" t="s">
        <v>601</v>
      </c>
      <c r="CE13" s="562" t="s">
        <v>601</v>
      </c>
      <c r="CF13" s="570" t="s">
        <v>601</v>
      </c>
      <c r="CG13" s="570" t="s">
        <v>601</v>
      </c>
      <c r="CH13" s="572" t="s">
        <v>601</v>
      </c>
      <c r="CI13" s="572" t="s">
        <v>601</v>
      </c>
      <c r="CJ13" s="572" t="s">
        <v>601</v>
      </c>
      <c r="CK13" s="572" t="s">
        <v>601</v>
      </c>
      <c r="CL13" s="573" t="s">
        <v>601</v>
      </c>
      <c r="CM13" s="573" t="s">
        <v>601</v>
      </c>
      <c r="CN13" s="573" t="s">
        <v>601</v>
      </c>
      <c r="CO13" s="566" t="s">
        <v>601</v>
      </c>
      <c r="CP13" s="573" t="s">
        <v>601</v>
      </c>
      <c r="CQ13" s="573" t="s">
        <v>601</v>
      </c>
      <c r="CR13" s="573" t="s">
        <v>601</v>
      </c>
      <c r="CS13" s="562" t="s">
        <v>601</v>
      </c>
      <c r="CT13" s="572" t="s">
        <v>601</v>
      </c>
      <c r="CU13" s="572" t="s">
        <v>601</v>
      </c>
      <c r="CV13" s="574" t="s">
        <v>601</v>
      </c>
      <c r="CW13" s="574" t="s">
        <v>601</v>
      </c>
      <c r="CX13" s="574" t="s">
        <v>601</v>
      </c>
      <c r="CY13" s="574" t="s">
        <v>601</v>
      </c>
      <c r="CZ13" s="575" t="s">
        <v>601</v>
      </c>
      <c r="DA13" s="575" t="s">
        <v>601</v>
      </c>
      <c r="DB13" s="575" t="s">
        <v>601</v>
      </c>
      <c r="DC13" s="566" t="s">
        <v>601</v>
      </c>
      <c r="DD13" s="575" t="s">
        <v>601</v>
      </c>
      <c r="DE13" s="575" t="s">
        <v>601</v>
      </c>
      <c r="DF13" s="575" t="s">
        <v>601</v>
      </c>
      <c r="DG13" s="562" t="s">
        <v>601</v>
      </c>
      <c r="DH13" s="574" t="s">
        <v>601</v>
      </c>
      <c r="DI13" s="574" t="s">
        <v>601</v>
      </c>
      <c r="DJ13" s="469">
        <v>1</v>
      </c>
      <c r="DK13" s="469" t="s">
        <v>623</v>
      </c>
      <c r="DL13" s="469" t="s">
        <v>601</v>
      </c>
      <c r="DM13" s="469" t="s">
        <v>601</v>
      </c>
      <c r="DN13" s="469" t="s">
        <v>604</v>
      </c>
      <c r="DO13" s="469" t="s">
        <v>604</v>
      </c>
      <c r="DP13" s="469" t="s">
        <v>604</v>
      </c>
      <c r="DQ13" s="469">
        <v>1</v>
      </c>
      <c r="DR13" s="576"/>
      <c r="DS13" s="606"/>
      <c r="DT13" s="606"/>
      <c r="DU13" s="562"/>
      <c r="DV13" s="606"/>
      <c r="DW13" s="606"/>
      <c r="DX13" s="607"/>
      <c r="DY13" s="611"/>
      <c r="DZ13" s="607"/>
      <c r="EA13" s="607"/>
      <c r="EB13" s="607"/>
      <c r="EC13" s="607"/>
      <c r="ED13" s="562"/>
      <c r="EE13" s="607"/>
      <c r="EF13" s="607"/>
      <c r="EG13" s="607"/>
      <c r="EH13" s="562"/>
      <c r="EI13" s="607"/>
      <c r="EJ13" s="607"/>
      <c r="EK13" s="608"/>
      <c r="EL13" s="608"/>
      <c r="EM13" s="608"/>
      <c r="EN13" s="608"/>
      <c r="EO13" s="608"/>
      <c r="EP13" s="608"/>
      <c r="EQ13" s="562"/>
      <c r="ER13" s="608"/>
      <c r="ES13" s="608"/>
      <c r="ET13" s="608"/>
      <c r="EU13" s="562"/>
      <c r="EV13" s="608"/>
      <c r="EW13" s="608"/>
      <c r="EX13" s="609"/>
      <c r="EY13" s="609"/>
      <c r="EZ13" s="609"/>
      <c r="FA13" s="609"/>
      <c r="FB13" s="609"/>
      <c r="FC13" s="609"/>
      <c r="FD13" s="562"/>
      <c r="FE13" s="609"/>
      <c r="FF13" s="609"/>
      <c r="FG13" s="609"/>
      <c r="FH13" s="562"/>
      <c r="FI13" s="609"/>
      <c r="FJ13" s="609"/>
      <c r="FK13" s="562"/>
      <c r="FL13" s="562"/>
      <c r="FM13" s="562"/>
      <c r="FN13" s="562"/>
      <c r="FO13" s="562"/>
      <c r="FP13" s="562"/>
      <c r="FQ13" s="562"/>
      <c r="FR13" s="562"/>
      <c r="FS13" s="562"/>
      <c r="FT13" s="562"/>
      <c r="FU13" s="562"/>
      <c r="FV13" s="562"/>
      <c r="FW13" s="562"/>
      <c r="FX13" s="610"/>
      <c r="FY13" s="611"/>
      <c r="FZ13" s="611"/>
      <c r="GA13" s="562"/>
      <c r="GB13" s="612"/>
      <c r="GC13" s="603"/>
      <c r="GD13" s="603"/>
      <c r="GE13" s="613"/>
      <c r="GF13" s="613"/>
      <c r="GG13" s="613"/>
      <c r="GH13" s="614"/>
      <c r="GI13" s="614"/>
      <c r="GJ13" s="615"/>
      <c r="GK13" s="615"/>
      <c r="GL13" s="615"/>
      <c r="GM13" s="615"/>
      <c r="GN13" s="615"/>
      <c r="GO13" s="615"/>
      <c r="GP13" s="615"/>
      <c r="GQ13" s="615"/>
      <c r="GR13" s="615"/>
      <c r="GS13" s="615"/>
      <c r="GT13" s="615"/>
      <c r="GU13" s="609"/>
      <c r="GV13" s="609"/>
      <c r="GW13" s="609"/>
      <c r="GX13" s="609"/>
      <c r="GY13" s="609"/>
      <c r="GZ13" s="609"/>
      <c r="HA13" s="609"/>
      <c r="HB13" s="609"/>
      <c r="HC13" s="609"/>
      <c r="HD13" s="609"/>
      <c r="HE13" s="609"/>
      <c r="HF13" s="616"/>
      <c r="HG13" s="616"/>
      <c r="HH13" s="616"/>
      <c r="HI13" s="616"/>
      <c r="HJ13" s="616"/>
      <c r="HK13" s="616"/>
      <c r="HL13" s="616"/>
      <c r="HM13" s="616"/>
      <c r="HN13" s="616"/>
      <c r="HO13" s="616"/>
      <c r="HP13" s="616"/>
      <c r="HQ13" s="617"/>
      <c r="HR13" s="617"/>
      <c r="HS13" s="617"/>
      <c r="HT13" s="617"/>
      <c r="HU13" s="617"/>
      <c r="HV13" s="617"/>
    </row>
    <row r="14" ht="47.25">
      <c r="A14" s="559">
        <v>13</v>
      </c>
      <c r="B14" s="602">
        <v>38</v>
      </c>
      <c r="C14" s="469"/>
      <c r="D14" s="469" t="s">
        <v>701</v>
      </c>
      <c r="E14" s="560" t="s">
        <v>576</v>
      </c>
      <c r="F14" s="564" t="s">
        <v>576</v>
      </c>
      <c r="G14" s="561" t="s">
        <v>702</v>
      </c>
      <c r="H14" s="562" t="s">
        <v>26</v>
      </c>
      <c r="I14" s="562" t="s">
        <v>703</v>
      </c>
      <c r="J14" s="562" t="s">
        <v>704</v>
      </c>
      <c r="K14" s="469" t="s">
        <v>705</v>
      </c>
      <c r="L14" s="563">
        <v>42636</v>
      </c>
      <c r="M14" s="563">
        <v>42626</v>
      </c>
      <c r="N14" s="603" t="s">
        <v>706</v>
      </c>
      <c r="O14" s="604" t="s">
        <v>707</v>
      </c>
      <c r="P14" s="605" t="s">
        <v>583</v>
      </c>
      <c r="Q14" s="603" t="s">
        <v>364</v>
      </c>
      <c r="R14" s="605" t="s">
        <v>584</v>
      </c>
      <c r="S14" s="605" t="s">
        <v>585</v>
      </c>
      <c r="T14" s="234" t="s">
        <v>584</v>
      </c>
      <c r="U14" s="234" t="s">
        <v>585</v>
      </c>
      <c r="V14" s="562">
        <v>1</v>
      </c>
      <c r="W14" s="562" t="s">
        <v>0</v>
      </c>
      <c r="X14" s="564" t="s">
        <v>576</v>
      </c>
      <c r="Y14" s="564" t="s">
        <v>708</v>
      </c>
      <c r="Z14" s="564" t="s">
        <v>587</v>
      </c>
      <c r="AA14" s="564">
        <v>3</v>
      </c>
      <c r="AB14" s="565" t="s">
        <v>596</v>
      </c>
      <c r="AC14" s="565" t="s">
        <v>596</v>
      </c>
      <c r="AD14" s="565" t="s">
        <v>596</v>
      </c>
      <c r="AE14" s="565"/>
      <c r="AF14" s="566" t="s">
        <v>597</v>
      </c>
      <c r="AG14" s="565" t="s">
        <v>598</v>
      </c>
      <c r="AH14" s="565" t="s">
        <v>598</v>
      </c>
      <c r="AI14" s="565" t="s">
        <v>598</v>
      </c>
      <c r="AJ14" s="565"/>
      <c r="AK14" s="562" t="s">
        <v>599</v>
      </c>
      <c r="AL14" s="564">
        <v>2100</v>
      </c>
      <c r="AM14" s="564" t="s">
        <v>709</v>
      </c>
      <c r="AN14" s="567"/>
      <c r="AO14" s="567"/>
      <c r="AP14" s="567"/>
      <c r="AQ14" s="567"/>
      <c r="AR14" s="568"/>
      <c r="AS14" s="568"/>
      <c r="AT14" s="568"/>
      <c r="AU14" s="568"/>
      <c r="AV14" s="663" t="s">
        <v>601</v>
      </c>
      <c r="AW14" s="568"/>
      <c r="AX14" s="568"/>
      <c r="AY14" s="568"/>
      <c r="AZ14" s="568"/>
      <c r="BA14" s="663" t="s">
        <v>601</v>
      </c>
      <c r="BB14" s="567"/>
      <c r="BC14" s="567"/>
      <c r="BD14" s="569"/>
      <c r="BE14" s="569"/>
      <c r="BF14" s="569"/>
      <c r="BG14" s="569"/>
      <c r="BH14" s="569"/>
      <c r="BI14" s="569"/>
      <c r="BJ14" s="569"/>
      <c r="BK14" s="569"/>
      <c r="BL14" s="566" t="s">
        <v>601</v>
      </c>
      <c r="BM14" s="569"/>
      <c r="BN14" s="569"/>
      <c r="BO14" s="569"/>
      <c r="BP14" s="569"/>
      <c r="BQ14" s="562" t="s">
        <v>601</v>
      </c>
      <c r="BR14" s="569"/>
      <c r="BS14" s="569"/>
      <c r="BT14" s="570" t="s">
        <v>601</v>
      </c>
      <c r="BU14" s="570" t="s">
        <v>601</v>
      </c>
      <c r="BV14" s="570" t="s">
        <v>601</v>
      </c>
      <c r="BW14" s="570" t="s">
        <v>601</v>
      </c>
      <c r="BX14" s="571" t="s">
        <v>601</v>
      </c>
      <c r="BY14" s="571" t="s">
        <v>601</v>
      </c>
      <c r="BZ14" s="571" t="s">
        <v>601</v>
      </c>
      <c r="CA14" s="566" t="s">
        <v>601</v>
      </c>
      <c r="CB14" s="571" t="s">
        <v>601</v>
      </c>
      <c r="CC14" s="571" t="s">
        <v>601</v>
      </c>
      <c r="CD14" s="571" t="s">
        <v>601</v>
      </c>
      <c r="CE14" s="562" t="s">
        <v>601</v>
      </c>
      <c r="CF14" s="570" t="s">
        <v>601</v>
      </c>
      <c r="CG14" s="570" t="s">
        <v>601</v>
      </c>
      <c r="CH14" s="572" t="s">
        <v>601</v>
      </c>
      <c r="CI14" s="572" t="s">
        <v>601</v>
      </c>
      <c r="CJ14" s="572" t="s">
        <v>601</v>
      </c>
      <c r="CK14" s="572" t="s">
        <v>601</v>
      </c>
      <c r="CL14" s="573" t="s">
        <v>601</v>
      </c>
      <c r="CM14" s="573" t="s">
        <v>601</v>
      </c>
      <c r="CN14" s="573" t="s">
        <v>601</v>
      </c>
      <c r="CO14" s="566" t="s">
        <v>601</v>
      </c>
      <c r="CP14" s="573" t="s">
        <v>601</v>
      </c>
      <c r="CQ14" s="573" t="s">
        <v>601</v>
      </c>
      <c r="CR14" s="573" t="s">
        <v>601</v>
      </c>
      <c r="CS14" s="562" t="s">
        <v>601</v>
      </c>
      <c r="CT14" s="572" t="s">
        <v>601</v>
      </c>
      <c r="CU14" s="572" t="s">
        <v>601</v>
      </c>
      <c r="CV14" s="574" t="s">
        <v>601</v>
      </c>
      <c r="CW14" s="574" t="s">
        <v>601</v>
      </c>
      <c r="CX14" s="574" t="s">
        <v>601</v>
      </c>
      <c r="CY14" s="574" t="s">
        <v>601</v>
      </c>
      <c r="CZ14" s="575" t="s">
        <v>601</v>
      </c>
      <c r="DA14" s="575" t="s">
        <v>601</v>
      </c>
      <c r="DB14" s="575" t="s">
        <v>601</v>
      </c>
      <c r="DC14" s="566" t="s">
        <v>601</v>
      </c>
      <c r="DD14" s="575" t="s">
        <v>601</v>
      </c>
      <c r="DE14" s="575" t="s">
        <v>601</v>
      </c>
      <c r="DF14" s="575" t="s">
        <v>601</v>
      </c>
      <c r="DG14" s="562" t="s">
        <v>601</v>
      </c>
      <c r="DH14" s="574" t="s">
        <v>601</v>
      </c>
      <c r="DI14" s="574" t="s">
        <v>601</v>
      </c>
      <c r="DJ14" s="469">
        <v>1</v>
      </c>
      <c r="DK14" s="469" t="s">
        <v>623</v>
      </c>
      <c r="DL14" s="469" t="s">
        <v>601</v>
      </c>
      <c r="DM14" s="469" t="s">
        <v>601</v>
      </c>
      <c r="DN14" s="469" t="s">
        <v>604</v>
      </c>
      <c r="DO14" s="469" t="s">
        <v>604</v>
      </c>
      <c r="DP14" s="469" t="s">
        <v>604</v>
      </c>
      <c r="DQ14" s="469">
        <v>1</v>
      </c>
      <c r="DR14" s="576"/>
      <c r="DS14" s="606"/>
      <c r="DT14" s="606"/>
      <c r="DU14" s="562"/>
      <c r="DV14" s="606"/>
      <c r="DW14" s="606"/>
      <c r="DX14" s="607"/>
      <c r="DY14" s="611"/>
      <c r="DZ14" s="607"/>
      <c r="EA14" s="607"/>
      <c r="EB14" s="607"/>
      <c r="EC14" s="607"/>
      <c r="ED14" s="562"/>
      <c r="EE14" s="607"/>
      <c r="EF14" s="607"/>
      <c r="EG14" s="607"/>
      <c r="EH14" s="562"/>
      <c r="EI14" s="607"/>
      <c r="EJ14" s="607"/>
      <c r="EK14" s="608"/>
      <c r="EL14" s="608"/>
      <c r="EM14" s="608"/>
      <c r="EN14" s="608"/>
      <c r="EO14" s="608"/>
      <c r="EP14" s="608"/>
      <c r="EQ14" s="562"/>
      <c r="ER14" s="608"/>
      <c r="ES14" s="608"/>
      <c r="ET14" s="608"/>
      <c r="EU14" s="562"/>
      <c r="EV14" s="608"/>
      <c r="EW14" s="608"/>
      <c r="EX14" s="609"/>
      <c r="EY14" s="609"/>
      <c r="EZ14" s="609"/>
      <c r="FA14" s="609"/>
      <c r="FB14" s="609"/>
      <c r="FC14" s="609"/>
      <c r="FD14" s="562"/>
      <c r="FE14" s="609"/>
      <c r="FF14" s="609"/>
      <c r="FG14" s="609"/>
      <c r="FH14" s="562"/>
      <c r="FI14" s="609"/>
      <c r="FJ14" s="609"/>
      <c r="FK14" s="562"/>
      <c r="FL14" s="562"/>
      <c r="FM14" s="562"/>
      <c r="FN14" s="562"/>
      <c r="FO14" s="562"/>
      <c r="FP14" s="562"/>
      <c r="FQ14" s="562"/>
      <c r="FR14" s="562"/>
      <c r="FS14" s="562"/>
      <c r="FT14" s="562"/>
      <c r="FU14" s="562"/>
      <c r="FV14" s="562"/>
      <c r="FW14" s="562"/>
      <c r="FX14" s="610"/>
      <c r="FY14" s="611"/>
      <c r="FZ14" s="611"/>
      <c r="GA14" s="562"/>
      <c r="GB14" s="612"/>
      <c r="GC14" s="603"/>
      <c r="GD14" s="603"/>
      <c r="GE14" s="613"/>
      <c r="GF14" s="613"/>
      <c r="GG14" s="613"/>
      <c r="GH14" s="614"/>
      <c r="GI14" s="614"/>
      <c r="GJ14" s="615"/>
      <c r="GK14" s="615"/>
      <c r="GL14" s="615"/>
      <c r="GM14" s="615"/>
      <c r="GN14" s="615"/>
      <c r="GO14" s="615"/>
      <c r="GP14" s="615"/>
      <c r="GQ14" s="615"/>
      <c r="GR14" s="615"/>
      <c r="GS14" s="615"/>
      <c r="GT14" s="615"/>
      <c r="GU14" s="609"/>
      <c r="GV14" s="609"/>
      <c r="GW14" s="609"/>
      <c r="GX14" s="609"/>
      <c r="GY14" s="609"/>
      <c r="GZ14" s="609"/>
      <c r="HA14" s="609"/>
      <c r="HB14" s="609"/>
      <c r="HC14" s="609"/>
      <c r="HD14" s="609"/>
      <c r="HE14" s="609"/>
      <c r="HF14" s="616"/>
      <c r="HG14" s="616"/>
      <c r="HH14" s="616"/>
      <c r="HI14" s="616"/>
      <c r="HJ14" s="616"/>
      <c r="HK14" s="616"/>
      <c r="HL14" s="616"/>
      <c r="HM14" s="616"/>
      <c r="HN14" s="616"/>
      <c r="HO14" s="616"/>
      <c r="HP14" s="616"/>
      <c r="HQ14" s="617"/>
      <c r="HR14" s="617"/>
      <c r="HS14" s="617"/>
      <c r="HT14" s="617"/>
      <c r="HU14" s="617"/>
      <c r="HV14" s="617"/>
    </row>
    <row r="15" ht="47.25">
      <c r="A15" s="559">
        <v>14</v>
      </c>
      <c r="B15" s="602">
        <v>38</v>
      </c>
      <c r="C15" s="469"/>
      <c r="D15" s="469" t="s">
        <v>710</v>
      </c>
      <c r="E15" s="560" t="s">
        <v>576</v>
      </c>
      <c r="F15" s="564" t="s">
        <v>576</v>
      </c>
      <c r="G15" s="561" t="s">
        <v>711</v>
      </c>
      <c r="H15" s="562" t="s">
        <v>26</v>
      </c>
      <c r="I15" s="562" t="s">
        <v>712</v>
      </c>
      <c r="J15" s="562" t="s">
        <v>713</v>
      </c>
      <c r="K15" s="469" t="s">
        <v>714</v>
      </c>
      <c r="L15" s="563">
        <v>42636</v>
      </c>
      <c r="M15" s="563">
        <v>42626</v>
      </c>
      <c r="N15" s="603" t="s">
        <v>715</v>
      </c>
      <c r="O15" s="604" t="s">
        <v>716</v>
      </c>
      <c r="P15" s="605" t="s">
        <v>583</v>
      </c>
      <c r="Q15" s="603" t="s">
        <v>364</v>
      </c>
      <c r="R15" s="605" t="s">
        <v>584</v>
      </c>
      <c r="S15" s="605" t="s">
        <v>585</v>
      </c>
      <c r="T15" s="234" t="s">
        <v>584</v>
      </c>
      <c r="U15" s="234" t="s">
        <v>585</v>
      </c>
      <c r="V15" s="562">
        <v>1</v>
      </c>
      <c r="W15" s="562" t="s">
        <v>0</v>
      </c>
      <c r="X15" s="564" t="s">
        <v>576</v>
      </c>
      <c r="Y15" s="564" t="s">
        <v>717</v>
      </c>
      <c r="Z15" s="564" t="s">
        <v>587</v>
      </c>
      <c r="AA15" s="564">
        <v>3</v>
      </c>
      <c r="AB15" s="565" t="s">
        <v>596</v>
      </c>
      <c r="AC15" s="565" t="s">
        <v>596</v>
      </c>
      <c r="AD15" s="565" t="s">
        <v>596</v>
      </c>
      <c r="AE15" s="565"/>
      <c r="AF15" s="566" t="s">
        <v>597</v>
      </c>
      <c r="AG15" s="565" t="s">
        <v>598</v>
      </c>
      <c r="AH15" s="565" t="s">
        <v>598</v>
      </c>
      <c r="AI15" s="565" t="s">
        <v>598</v>
      </c>
      <c r="AJ15" s="565"/>
      <c r="AK15" s="562" t="s">
        <v>599</v>
      </c>
      <c r="AL15" s="564">
        <v>2100</v>
      </c>
      <c r="AM15" s="564" t="s">
        <v>593</v>
      </c>
      <c r="AN15" s="567"/>
      <c r="AO15" s="567"/>
      <c r="AP15" s="567"/>
      <c r="AQ15" s="567"/>
      <c r="AR15" s="568"/>
      <c r="AS15" s="568"/>
      <c r="AT15" s="568"/>
      <c r="AU15" s="568"/>
      <c r="AV15" s="663" t="s">
        <v>601</v>
      </c>
      <c r="AW15" s="568"/>
      <c r="AX15" s="568"/>
      <c r="AY15" s="568"/>
      <c r="AZ15" s="568"/>
      <c r="BA15" s="663" t="s">
        <v>601</v>
      </c>
      <c r="BB15" s="567"/>
      <c r="BC15" s="567"/>
      <c r="BD15" s="569"/>
      <c r="BE15" s="569"/>
      <c r="BF15" s="569"/>
      <c r="BG15" s="569"/>
      <c r="BH15" s="569"/>
      <c r="BI15" s="569"/>
      <c r="BJ15" s="569"/>
      <c r="BK15" s="569"/>
      <c r="BL15" s="566" t="s">
        <v>601</v>
      </c>
      <c r="BM15" s="569"/>
      <c r="BN15" s="569"/>
      <c r="BO15" s="569"/>
      <c r="BP15" s="569"/>
      <c r="BQ15" s="562" t="s">
        <v>601</v>
      </c>
      <c r="BR15" s="569"/>
      <c r="BS15" s="569"/>
      <c r="BT15" s="570" t="s">
        <v>601</v>
      </c>
      <c r="BU15" s="570" t="s">
        <v>601</v>
      </c>
      <c r="BV15" s="570" t="s">
        <v>601</v>
      </c>
      <c r="BW15" s="570" t="s">
        <v>601</v>
      </c>
      <c r="BX15" s="571" t="s">
        <v>601</v>
      </c>
      <c r="BY15" s="571" t="s">
        <v>601</v>
      </c>
      <c r="BZ15" s="571" t="s">
        <v>601</v>
      </c>
      <c r="CA15" s="566" t="s">
        <v>601</v>
      </c>
      <c r="CB15" s="571" t="s">
        <v>601</v>
      </c>
      <c r="CC15" s="571" t="s">
        <v>601</v>
      </c>
      <c r="CD15" s="571" t="s">
        <v>601</v>
      </c>
      <c r="CE15" s="562" t="s">
        <v>601</v>
      </c>
      <c r="CF15" s="570" t="s">
        <v>601</v>
      </c>
      <c r="CG15" s="570" t="s">
        <v>601</v>
      </c>
      <c r="CH15" s="572" t="s">
        <v>601</v>
      </c>
      <c r="CI15" s="572" t="s">
        <v>601</v>
      </c>
      <c r="CJ15" s="572" t="s">
        <v>601</v>
      </c>
      <c r="CK15" s="572" t="s">
        <v>601</v>
      </c>
      <c r="CL15" s="573" t="s">
        <v>601</v>
      </c>
      <c r="CM15" s="573" t="s">
        <v>601</v>
      </c>
      <c r="CN15" s="573" t="s">
        <v>601</v>
      </c>
      <c r="CO15" s="566" t="s">
        <v>601</v>
      </c>
      <c r="CP15" s="573" t="s">
        <v>601</v>
      </c>
      <c r="CQ15" s="573" t="s">
        <v>601</v>
      </c>
      <c r="CR15" s="573" t="s">
        <v>601</v>
      </c>
      <c r="CS15" s="562" t="s">
        <v>601</v>
      </c>
      <c r="CT15" s="572" t="s">
        <v>601</v>
      </c>
      <c r="CU15" s="572" t="s">
        <v>601</v>
      </c>
      <c r="CV15" s="574" t="s">
        <v>601</v>
      </c>
      <c r="CW15" s="574" t="s">
        <v>601</v>
      </c>
      <c r="CX15" s="574" t="s">
        <v>601</v>
      </c>
      <c r="CY15" s="574" t="s">
        <v>601</v>
      </c>
      <c r="CZ15" s="575" t="s">
        <v>601</v>
      </c>
      <c r="DA15" s="575" t="s">
        <v>601</v>
      </c>
      <c r="DB15" s="575" t="s">
        <v>601</v>
      </c>
      <c r="DC15" s="566" t="s">
        <v>601</v>
      </c>
      <c r="DD15" s="575" t="s">
        <v>601</v>
      </c>
      <c r="DE15" s="575" t="s">
        <v>601</v>
      </c>
      <c r="DF15" s="575" t="s">
        <v>601</v>
      </c>
      <c r="DG15" s="562" t="s">
        <v>601</v>
      </c>
      <c r="DH15" s="574" t="s">
        <v>601</v>
      </c>
      <c r="DI15" s="574" t="s">
        <v>601</v>
      </c>
      <c r="DJ15" s="469">
        <v>1</v>
      </c>
      <c r="DK15" s="469" t="s">
        <v>623</v>
      </c>
      <c r="DL15" s="469" t="s">
        <v>601</v>
      </c>
      <c r="DM15" s="469" t="s">
        <v>601</v>
      </c>
      <c r="DN15" s="469" t="s">
        <v>604</v>
      </c>
      <c r="DO15" s="469" t="s">
        <v>604</v>
      </c>
      <c r="DP15" s="469" t="s">
        <v>604</v>
      </c>
      <c r="DQ15" s="469">
        <v>1</v>
      </c>
      <c r="DR15" s="576"/>
      <c r="DS15" s="606"/>
      <c r="DT15" s="606"/>
      <c r="DU15" s="562"/>
      <c r="DV15" s="606"/>
      <c r="DW15" s="606"/>
      <c r="DX15" s="607"/>
      <c r="DY15" s="611"/>
      <c r="DZ15" s="607"/>
      <c r="EA15" s="607"/>
      <c r="EB15" s="607"/>
      <c r="EC15" s="607"/>
      <c r="ED15" s="562"/>
      <c r="EE15" s="607"/>
      <c r="EF15" s="607"/>
      <c r="EG15" s="607"/>
      <c r="EH15" s="562"/>
      <c r="EI15" s="607"/>
      <c r="EJ15" s="607"/>
      <c r="EK15" s="608"/>
      <c r="EL15" s="608"/>
      <c r="EM15" s="608"/>
      <c r="EN15" s="608"/>
      <c r="EO15" s="608"/>
      <c r="EP15" s="608"/>
      <c r="EQ15" s="562"/>
      <c r="ER15" s="608"/>
      <c r="ES15" s="608"/>
      <c r="ET15" s="608"/>
      <c r="EU15" s="562"/>
      <c r="EV15" s="608"/>
      <c r="EW15" s="608"/>
      <c r="EX15" s="609"/>
      <c r="EY15" s="609"/>
      <c r="EZ15" s="609"/>
      <c r="FA15" s="609"/>
      <c r="FB15" s="609"/>
      <c r="FC15" s="609"/>
      <c r="FD15" s="562"/>
      <c r="FE15" s="609"/>
      <c r="FF15" s="609"/>
      <c r="FG15" s="609"/>
      <c r="FH15" s="562"/>
      <c r="FI15" s="609"/>
      <c r="FJ15" s="609"/>
      <c r="FK15" s="562"/>
      <c r="FL15" s="562"/>
      <c r="FM15" s="562"/>
      <c r="FN15" s="562"/>
      <c r="FO15" s="562"/>
      <c r="FP15" s="562"/>
      <c r="FQ15" s="562"/>
      <c r="FR15" s="562"/>
      <c r="FS15" s="562"/>
      <c r="FT15" s="562"/>
      <c r="FU15" s="562"/>
      <c r="FV15" s="562"/>
      <c r="FW15" s="562"/>
      <c r="FX15" s="610"/>
      <c r="FY15" s="611"/>
      <c r="FZ15" s="611"/>
      <c r="GA15" s="562"/>
      <c r="GB15" s="612"/>
      <c r="GC15" s="603"/>
      <c r="GD15" s="603"/>
      <c r="GE15" s="613"/>
      <c r="GF15" s="613"/>
      <c r="GG15" s="613"/>
      <c r="GH15" s="614"/>
      <c r="GI15" s="614"/>
      <c r="GJ15" s="615"/>
      <c r="GK15" s="615"/>
      <c r="GL15" s="615"/>
      <c r="GM15" s="615"/>
      <c r="GN15" s="615"/>
      <c r="GO15" s="615"/>
      <c r="GP15" s="615"/>
      <c r="GQ15" s="615"/>
      <c r="GR15" s="615"/>
      <c r="GS15" s="615"/>
      <c r="GT15" s="615"/>
      <c r="GU15" s="609"/>
      <c r="GV15" s="609"/>
      <c r="GW15" s="609"/>
      <c r="GX15" s="609"/>
      <c r="GY15" s="609"/>
      <c r="GZ15" s="609"/>
      <c r="HA15" s="609"/>
      <c r="HB15" s="609"/>
      <c r="HC15" s="609"/>
      <c r="HD15" s="609"/>
      <c r="HE15" s="609"/>
      <c r="HF15" s="616"/>
      <c r="HG15" s="616"/>
      <c r="HH15" s="616"/>
      <c r="HI15" s="616"/>
      <c r="HJ15" s="616"/>
      <c r="HK15" s="616"/>
      <c r="HL15" s="616"/>
      <c r="HM15" s="616"/>
      <c r="HN15" s="616"/>
      <c r="HO15" s="616"/>
      <c r="HP15" s="616"/>
      <c r="HQ15" s="617"/>
      <c r="HR15" s="617"/>
      <c r="HS15" s="617"/>
      <c r="HT15" s="617"/>
      <c r="HU15" s="617"/>
      <c r="HV15" s="617"/>
    </row>
    <row r="16" ht="47.25">
      <c r="A16" s="559">
        <v>15</v>
      </c>
      <c r="B16" s="602">
        <v>38</v>
      </c>
      <c r="C16" s="469"/>
      <c r="D16" s="469" t="s">
        <v>718</v>
      </c>
      <c r="E16" s="560" t="s">
        <v>576</v>
      </c>
      <c r="F16" s="564" t="s">
        <v>576</v>
      </c>
      <c r="G16" s="561" t="s">
        <v>719</v>
      </c>
      <c r="H16" s="562" t="s">
        <v>26</v>
      </c>
      <c r="I16" s="562" t="s">
        <v>720</v>
      </c>
      <c r="J16" s="562" t="s">
        <v>721</v>
      </c>
      <c r="K16" s="469" t="s">
        <v>722</v>
      </c>
      <c r="L16" s="563">
        <v>42636</v>
      </c>
      <c r="M16" s="563">
        <v>42626</v>
      </c>
      <c r="N16" s="603" t="s">
        <v>723</v>
      </c>
      <c r="O16" s="604" t="s">
        <v>724</v>
      </c>
      <c r="P16" s="605" t="s">
        <v>583</v>
      </c>
      <c r="Q16" s="603" t="s">
        <v>364</v>
      </c>
      <c r="R16" s="605" t="s">
        <v>584</v>
      </c>
      <c r="S16" s="605" t="s">
        <v>585</v>
      </c>
      <c r="T16" s="234" t="s">
        <v>584</v>
      </c>
      <c r="U16" s="234" t="s">
        <v>585</v>
      </c>
      <c r="V16" s="562">
        <v>1</v>
      </c>
      <c r="W16" s="562" t="s">
        <v>675</v>
      </c>
      <c r="X16" s="564" t="s">
        <v>576</v>
      </c>
      <c r="Y16" s="564" t="s">
        <v>725</v>
      </c>
      <c r="Z16" s="564" t="s">
        <v>587</v>
      </c>
      <c r="AA16" s="564">
        <v>3</v>
      </c>
      <c r="AB16" s="565" t="s">
        <v>596</v>
      </c>
      <c r="AC16" s="565" t="s">
        <v>596</v>
      </c>
      <c r="AD16" s="565" t="s">
        <v>596</v>
      </c>
      <c r="AE16" s="565"/>
      <c r="AF16" s="566" t="s">
        <v>597</v>
      </c>
      <c r="AG16" s="565" t="s">
        <v>598</v>
      </c>
      <c r="AH16" s="565" t="s">
        <v>598</v>
      </c>
      <c r="AI16" s="565" t="s">
        <v>598</v>
      </c>
      <c r="AJ16" s="565"/>
      <c r="AK16" s="562" t="s">
        <v>599</v>
      </c>
      <c r="AL16" s="564">
        <v>2100</v>
      </c>
      <c r="AM16" s="564" t="s">
        <v>726</v>
      </c>
      <c r="AN16" s="567"/>
      <c r="AO16" s="567"/>
      <c r="AP16" s="567"/>
      <c r="AQ16" s="567"/>
      <c r="AR16" s="568"/>
      <c r="AS16" s="568"/>
      <c r="AT16" s="568"/>
      <c r="AU16" s="568"/>
      <c r="AV16" s="663" t="s">
        <v>601</v>
      </c>
      <c r="AW16" s="568"/>
      <c r="AX16" s="568"/>
      <c r="AY16" s="568"/>
      <c r="AZ16" s="568"/>
      <c r="BA16" s="663" t="s">
        <v>601</v>
      </c>
      <c r="BB16" s="567"/>
      <c r="BC16" s="567"/>
      <c r="BD16" s="569"/>
      <c r="BE16" s="569"/>
      <c r="BF16" s="569"/>
      <c r="BG16" s="569"/>
      <c r="BH16" s="569"/>
      <c r="BI16" s="569"/>
      <c r="BJ16" s="569"/>
      <c r="BK16" s="569"/>
      <c r="BL16" s="566" t="s">
        <v>601</v>
      </c>
      <c r="BM16" s="569"/>
      <c r="BN16" s="569"/>
      <c r="BO16" s="569"/>
      <c r="BP16" s="569"/>
      <c r="BQ16" s="562" t="s">
        <v>601</v>
      </c>
      <c r="BR16" s="569"/>
      <c r="BS16" s="569"/>
      <c r="BT16" s="570" t="s">
        <v>601</v>
      </c>
      <c r="BU16" s="570" t="s">
        <v>601</v>
      </c>
      <c r="BV16" s="570" t="s">
        <v>601</v>
      </c>
      <c r="BW16" s="570" t="s">
        <v>601</v>
      </c>
      <c r="BX16" s="571" t="s">
        <v>601</v>
      </c>
      <c r="BY16" s="571" t="s">
        <v>601</v>
      </c>
      <c r="BZ16" s="571" t="s">
        <v>601</v>
      </c>
      <c r="CA16" s="566" t="s">
        <v>601</v>
      </c>
      <c r="CB16" s="571" t="s">
        <v>601</v>
      </c>
      <c r="CC16" s="571" t="s">
        <v>601</v>
      </c>
      <c r="CD16" s="571" t="s">
        <v>601</v>
      </c>
      <c r="CE16" s="562" t="s">
        <v>601</v>
      </c>
      <c r="CF16" s="570" t="s">
        <v>601</v>
      </c>
      <c r="CG16" s="570" t="s">
        <v>601</v>
      </c>
      <c r="CH16" s="572" t="s">
        <v>601</v>
      </c>
      <c r="CI16" s="572" t="s">
        <v>601</v>
      </c>
      <c r="CJ16" s="572" t="s">
        <v>601</v>
      </c>
      <c r="CK16" s="572" t="s">
        <v>601</v>
      </c>
      <c r="CL16" s="573" t="s">
        <v>601</v>
      </c>
      <c r="CM16" s="573" t="s">
        <v>601</v>
      </c>
      <c r="CN16" s="573" t="s">
        <v>601</v>
      </c>
      <c r="CO16" s="566" t="s">
        <v>601</v>
      </c>
      <c r="CP16" s="573" t="s">
        <v>601</v>
      </c>
      <c r="CQ16" s="573" t="s">
        <v>601</v>
      </c>
      <c r="CR16" s="573" t="s">
        <v>601</v>
      </c>
      <c r="CS16" s="562" t="s">
        <v>601</v>
      </c>
      <c r="CT16" s="572" t="s">
        <v>601</v>
      </c>
      <c r="CU16" s="572" t="s">
        <v>601</v>
      </c>
      <c r="CV16" s="574" t="s">
        <v>601</v>
      </c>
      <c r="CW16" s="574" t="s">
        <v>601</v>
      </c>
      <c r="CX16" s="574" t="s">
        <v>601</v>
      </c>
      <c r="CY16" s="574" t="s">
        <v>601</v>
      </c>
      <c r="CZ16" s="575" t="s">
        <v>601</v>
      </c>
      <c r="DA16" s="575" t="s">
        <v>601</v>
      </c>
      <c r="DB16" s="575" t="s">
        <v>601</v>
      </c>
      <c r="DC16" s="566" t="s">
        <v>601</v>
      </c>
      <c r="DD16" s="575" t="s">
        <v>601</v>
      </c>
      <c r="DE16" s="575" t="s">
        <v>601</v>
      </c>
      <c r="DF16" s="575" t="s">
        <v>601</v>
      </c>
      <c r="DG16" s="562" t="s">
        <v>601</v>
      </c>
      <c r="DH16" s="574" t="s">
        <v>601</v>
      </c>
      <c r="DI16" s="574" t="s">
        <v>601</v>
      </c>
      <c r="DJ16" s="469">
        <v>1</v>
      </c>
      <c r="DK16" s="469" t="s">
        <v>623</v>
      </c>
      <c r="DL16" s="469" t="s">
        <v>601</v>
      </c>
      <c r="DM16" s="469" t="s">
        <v>601</v>
      </c>
      <c r="DN16" s="469" t="s">
        <v>604</v>
      </c>
      <c r="DO16" s="469" t="s">
        <v>604</v>
      </c>
      <c r="DP16" s="469" t="s">
        <v>604</v>
      </c>
      <c r="DQ16" s="469">
        <v>1</v>
      </c>
      <c r="DR16" s="576"/>
      <c r="DS16" s="606"/>
      <c r="DT16" s="606"/>
      <c r="DU16" s="562"/>
      <c r="DV16" s="606"/>
      <c r="DW16" s="606"/>
      <c r="DX16" s="607"/>
      <c r="DY16" s="611"/>
      <c r="DZ16" s="607"/>
      <c r="EA16" s="607"/>
      <c r="EB16" s="607"/>
      <c r="EC16" s="607"/>
      <c r="ED16" s="562"/>
      <c r="EE16" s="607"/>
      <c r="EF16" s="607"/>
      <c r="EG16" s="607"/>
      <c r="EH16" s="562"/>
      <c r="EI16" s="607"/>
      <c r="EJ16" s="607"/>
      <c r="EK16" s="608"/>
      <c r="EL16" s="608"/>
      <c r="EM16" s="608"/>
      <c r="EN16" s="608"/>
      <c r="EO16" s="608"/>
      <c r="EP16" s="608"/>
      <c r="EQ16" s="562"/>
      <c r="ER16" s="608"/>
      <c r="ES16" s="608"/>
      <c r="ET16" s="608"/>
      <c r="EU16" s="562"/>
      <c r="EV16" s="608"/>
      <c r="EW16" s="608"/>
      <c r="EX16" s="609"/>
      <c r="EY16" s="609"/>
      <c r="EZ16" s="609"/>
      <c r="FA16" s="609"/>
      <c r="FB16" s="609"/>
      <c r="FC16" s="609"/>
      <c r="FD16" s="562"/>
      <c r="FE16" s="609"/>
      <c r="FF16" s="609"/>
      <c r="FG16" s="609"/>
      <c r="FH16" s="562"/>
      <c r="FI16" s="609"/>
      <c r="FJ16" s="609"/>
      <c r="FK16" s="562"/>
      <c r="FL16" s="562"/>
      <c r="FM16" s="562"/>
      <c r="FN16" s="562"/>
      <c r="FO16" s="562"/>
      <c r="FP16" s="562"/>
      <c r="FQ16" s="562"/>
      <c r="FR16" s="562"/>
      <c r="FS16" s="562"/>
      <c r="FT16" s="562"/>
      <c r="FU16" s="562"/>
      <c r="FV16" s="562"/>
      <c r="FW16" s="562"/>
      <c r="FX16" s="610">
        <v>1</v>
      </c>
      <c r="FY16" s="611"/>
      <c r="FZ16" s="611">
        <v>1</v>
      </c>
      <c r="GA16" s="562"/>
      <c r="GB16" s="612"/>
      <c r="GC16" s="603"/>
      <c r="GD16" s="603"/>
      <c r="GE16" s="613"/>
      <c r="GF16" s="613"/>
      <c r="GG16" s="613"/>
      <c r="GH16" s="614"/>
      <c r="GI16" s="614"/>
      <c r="GJ16" s="615"/>
      <c r="GK16" s="615"/>
      <c r="GL16" s="615"/>
      <c r="GM16" s="615"/>
      <c r="GN16" s="615"/>
      <c r="GO16" s="615"/>
      <c r="GP16" s="615"/>
      <c r="GQ16" s="615"/>
      <c r="GR16" s="615"/>
      <c r="GS16" s="615"/>
      <c r="GT16" s="615"/>
      <c r="GU16" s="609"/>
      <c r="GV16" s="609"/>
      <c r="GW16" s="609"/>
      <c r="GX16" s="609"/>
      <c r="GY16" s="609"/>
      <c r="GZ16" s="609"/>
      <c r="HA16" s="609"/>
      <c r="HB16" s="609"/>
      <c r="HC16" s="609"/>
      <c r="HD16" s="609"/>
      <c r="HE16" s="609"/>
      <c r="HF16" s="616"/>
      <c r="HG16" s="616"/>
      <c r="HH16" s="616"/>
      <c r="HI16" s="616"/>
      <c r="HJ16" s="616"/>
      <c r="HK16" s="616"/>
      <c r="HL16" s="616"/>
      <c r="HM16" s="616"/>
      <c r="HN16" s="616"/>
      <c r="HO16" s="616"/>
      <c r="HP16" s="616"/>
      <c r="HQ16" s="617"/>
      <c r="HR16" s="617"/>
      <c r="HS16" s="617"/>
      <c r="HT16" s="617"/>
      <c r="HU16" s="617"/>
      <c r="HV16" s="617"/>
    </row>
    <row r="17" ht="47.25">
      <c r="A17" s="559">
        <v>16</v>
      </c>
      <c r="B17" s="602">
        <v>38</v>
      </c>
      <c r="C17" s="469"/>
      <c r="D17" s="469" t="s">
        <v>727</v>
      </c>
      <c r="E17" s="560" t="s">
        <v>576</v>
      </c>
      <c r="F17" s="564" t="s">
        <v>576</v>
      </c>
      <c r="G17" s="561" t="s">
        <v>728</v>
      </c>
      <c r="H17" s="562" t="s">
        <v>26</v>
      </c>
      <c r="I17" s="562" t="s">
        <v>729</v>
      </c>
      <c r="J17" s="562" t="s">
        <v>730</v>
      </c>
      <c r="K17" s="469" t="s">
        <v>731</v>
      </c>
      <c r="L17" s="563">
        <v>42636</v>
      </c>
      <c r="M17" s="563">
        <v>42627</v>
      </c>
      <c r="N17" s="603" t="s">
        <v>732</v>
      </c>
      <c r="O17" s="604" t="s">
        <v>733</v>
      </c>
      <c r="P17" s="605" t="s">
        <v>583</v>
      </c>
      <c r="Q17" s="603" t="s">
        <v>364</v>
      </c>
      <c r="R17" s="605" t="s">
        <v>584</v>
      </c>
      <c r="S17" s="605" t="s">
        <v>585</v>
      </c>
      <c r="T17" s="234" t="s">
        <v>584</v>
      </c>
      <c r="U17" s="234" t="s">
        <v>585</v>
      </c>
      <c r="V17" s="562">
        <v>1</v>
      </c>
      <c r="W17" s="562" t="s">
        <v>675</v>
      </c>
      <c r="X17" s="564" t="s">
        <v>576</v>
      </c>
      <c r="Y17" s="564" t="s">
        <v>734</v>
      </c>
      <c r="Z17" s="564" t="s">
        <v>587</v>
      </c>
      <c r="AA17" s="564">
        <v>3</v>
      </c>
      <c r="AB17" s="565" t="s">
        <v>596</v>
      </c>
      <c r="AC17" s="565" t="s">
        <v>596</v>
      </c>
      <c r="AD17" s="565" t="s">
        <v>596</v>
      </c>
      <c r="AE17" s="565"/>
      <c r="AF17" s="566" t="s">
        <v>597</v>
      </c>
      <c r="AG17" s="565" t="s">
        <v>598</v>
      </c>
      <c r="AH17" s="565" t="s">
        <v>598</v>
      </c>
      <c r="AI17" s="565" t="s">
        <v>598</v>
      </c>
      <c r="AJ17" s="565"/>
      <c r="AK17" s="562" t="s">
        <v>599</v>
      </c>
      <c r="AL17" s="564">
        <v>2100</v>
      </c>
      <c r="AM17" s="564" t="s">
        <v>649</v>
      </c>
      <c r="AN17" s="567"/>
      <c r="AO17" s="567"/>
      <c r="AP17" s="567"/>
      <c r="AQ17" s="567"/>
      <c r="AR17" s="568"/>
      <c r="AS17" s="568"/>
      <c r="AT17" s="568"/>
      <c r="AU17" s="568"/>
      <c r="AV17" s="663" t="s">
        <v>601</v>
      </c>
      <c r="AW17" s="568"/>
      <c r="AX17" s="568"/>
      <c r="AY17" s="568"/>
      <c r="AZ17" s="568"/>
      <c r="BA17" s="663" t="s">
        <v>601</v>
      </c>
      <c r="BB17" s="567"/>
      <c r="BC17" s="567"/>
      <c r="BD17" s="569"/>
      <c r="BE17" s="569"/>
      <c r="BF17" s="569"/>
      <c r="BG17" s="569"/>
      <c r="BH17" s="569"/>
      <c r="BI17" s="569"/>
      <c r="BJ17" s="569"/>
      <c r="BK17" s="569"/>
      <c r="BL17" s="566" t="s">
        <v>601</v>
      </c>
      <c r="BM17" s="569"/>
      <c r="BN17" s="569"/>
      <c r="BO17" s="569"/>
      <c r="BP17" s="569"/>
      <c r="BQ17" s="562" t="s">
        <v>601</v>
      </c>
      <c r="BR17" s="569"/>
      <c r="BS17" s="569"/>
      <c r="BT17" s="570" t="s">
        <v>601</v>
      </c>
      <c r="BU17" s="570" t="s">
        <v>601</v>
      </c>
      <c r="BV17" s="570" t="s">
        <v>601</v>
      </c>
      <c r="BW17" s="570" t="s">
        <v>601</v>
      </c>
      <c r="BX17" s="571" t="s">
        <v>601</v>
      </c>
      <c r="BY17" s="571" t="s">
        <v>601</v>
      </c>
      <c r="BZ17" s="571" t="s">
        <v>601</v>
      </c>
      <c r="CA17" s="566" t="s">
        <v>601</v>
      </c>
      <c r="CB17" s="571" t="s">
        <v>601</v>
      </c>
      <c r="CC17" s="571" t="s">
        <v>601</v>
      </c>
      <c r="CD17" s="571" t="s">
        <v>601</v>
      </c>
      <c r="CE17" s="562" t="s">
        <v>601</v>
      </c>
      <c r="CF17" s="570" t="s">
        <v>601</v>
      </c>
      <c r="CG17" s="570" t="s">
        <v>601</v>
      </c>
      <c r="CH17" s="572" t="s">
        <v>601</v>
      </c>
      <c r="CI17" s="572" t="s">
        <v>601</v>
      </c>
      <c r="CJ17" s="572" t="s">
        <v>601</v>
      </c>
      <c r="CK17" s="572" t="s">
        <v>601</v>
      </c>
      <c r="CL17" s="573" t="s">
        <v>601</v>
      </c>
      <c r="CM17" s="573" t="s">
        <v>601</v>
      </c>
      <c r="CN17" s="573" t="s">
        <v>601</v>
      </c>
      <c r="CO17" s="566" t="s">
        <v>601</v>
      </c>
      <c r="CP17" s="573" t="s">
        <v>601</v>
      </c>
      <c r="CQ17" s="573" t="s">
        <v>601</v>
      </c>
      <c r="CR17" s="573" t="s">
        <v>601</v>
      </c>
      <c r="CS17" s="562" t="s">
        <v>601</v>
      </c>
      <c r="CT17" s="572" t="s">
        <v>601</v>
      </c>
      <c r="CU17" s="572" t="s">
        <v>601</v>
      </c>
      <c r="CV17" s="574" t="s">
        <v>601</v>
      </c>
      <c r="CW17" s="574" t="s">
        <v>601</v>
      </c>
      <c r="CX17" s="574" t="s">
        <v>601</v>
      </c>
      <c r="CY17" s="574" t="s">
        <v>601</v>
      </c>
      <c r="CZ17" s="575" t="s">
        <v>601</v>
      </c>
      <c r="DA17" s="575" t="s">
        <v>601</v>
      </c>
      <c r="DB17" s="575" t="s">
        <v>601</v>
      </c>
      <c r="DC17" s="566" t="s">
        <v>601</v>
      </c>
      <c r="DD17" s="575" t="s">
        <v>601</v>
      </c>
      <c r="DE17" s="575" t="s">
        <v>601</v>
      </c>
      <c r="DF17" s="575" t="s">
        <v>601</v>
      </c>
      <c r="DG17" s="562" t="s">
        <v>601</v>
      </c>
      <c r="DH17" s="574" t="s">
        <v>601</v>
      </c>
      <c r="DI17" s="574" t="s">
        <v>601</v>
      </c>
      <c r="DJ17" s="469">
        <v>1</v>
      </c>
      <c r="DK17" s="469" t="s">
        <v>623</v>
      </c>
      <c r="DL17" s="469" t="s">
        <v>601</v>
      </c>
      <c r="DM17" s="469" t="s">
        <v>601</v>
      </c>
      <c r="DN17" s="469" t="s">
        <v>604</v>
      </c>
      <c r="DO17" s="469" t="s">
        <v>604</v>
      </c>
      <c r="DP17" s="469" t="s">
        <v>604</v>
      </c>
      <c r="DQ17" s="469">
        <v>1</v>
      </c>
      <c r="DR17" s="576"/>
      <c r="DS17" s="606"/>
      <c r="DT17" s="606"/>
      <c r="DU17" s="562"/>
      <c r="DV17" s="606"/>
      <c r="DW17" s="606"/>
      <c r="DX17" s="607"/>
      <c r="DY17" s="611"/>
      <c r="DZ17" s="607"/>
      <c r="EA17" s="607"/>
      <c r="EB17" s="607"/>
      <c r="EC17" s="607"/>
      <c r="ED17" s="562"/>
      <c r="EE17" s="607"/>
      <c r="EF17" s="607"/>
      <c r="EG17" s="607"/>
      <c r="EH17" s="562"/>
      <c r="EI17" s="607"/>
      <c r="EJ17" s="607"/>
      <c r="EK17" s="608"/>
      <c r="EL17" s="608"/>
      <c r="EM17" s="608"/>
      <c r="EN17" s="608"/>
      <c r="EO17" s="608"/>
      <c r="EP17" s="608"/>
      <c r="EQ17" s="562"/>
      <c r="ER17" s="608"/>
      <c r="ES17" s="608"/>
      <c r="ET17" s="608"/>
      <c r="EU17" s="562"/>
      <c r="EV17" s="608"/>
      <c r="EW17" s="608"/>
      <c r="EX17" s="609"/>
      <c r="EY17" s="609"/>
      <c r="EZ17" s="609"/>
      <c r="FA17" s="609"/>
      <c r="FB17" s="609"/>
      <c r="FC17" s="609"/>
      <c r="FD17" s="562"/>
      <c r="FE17" s="609"/>
      <c r="FF17" s="609"/>
      <c r="FG17" s="609"/>
      <c r="FH17" s="562"/>
      <c r="FI17" s="609"/>
      <c r="FJ17" s="609"/>
      <c r="FK17" s="562"/>
      <c r="FL17" s="562"/>
      <c r="FM17" s="562"/>
      <c r="FN17" s="562"/>
      <c r="FO17" s="562"/>
      <c r="FP17" s="562"/>
      <c r="FQ17" s="562"/>
      <c r="FR17" s="562"/>
      <c r="FS17" s="562"/>
      <c r="FT17" s="562"/>
      <c r="FU17" s="562"/>
      <c r="FV17" s="562"/>
      <c r="FW17" s="562"/>
      <c r="FX17" s="610">
        <v>1</v>
      </c>
      <c r="FY17" s="611"/>
      <c r="FZ17" s="611">
        <v>1</v>
      </c>
      <c r="GA17" s="562"/>
      <c r="GB17" s="612"/>
      <c r="GC17" s="603"/>
      <c r="GD17" s="603"/>
      <c r="GE17" s="613"/>
      <c r="GF17" s="613"/>
      <c r="GG17" s="613"/>
      <c r="GH17" s="614"/>
      <c r="GI17" s="614"/>
      <c r="GJ17" s="615"/>
      <c r="GK17" s="615"/>
      <c r="GL17" s="615"/>
      <c r="GM17" s="615"/>
      <c r="GN17" s="615"/>
      <c r="GO17" s="615"/>
      <c r="GP17" s="615"/>
      <c r="GQ17" s="615"/>
      <c r="GR17" s="615"/>
      <c r="GS17" s="615"/>
      <c r="GT17" s="615"/>
      <c r="GU17" s="609"/>
      <c r="GV17" s="609"/>
      <c r="GW17" s="609"/>
      <c r="GX17" s="609"/>
      <c r="GY17" s="609"/>
      <c r="GZ17" s="609"/>
      <c r="HA17" s="609"/>
      <c r="HB17" s="609"/>
      <c r="HC17" s="609"/>
      <c r="HD17" s="609"/>
      <c r="HE17" s="609"/>
      <c r="HF17" s="616"/>
      <c r="HG17" s="616"/>
      <c r="HH17" s="616"/>
      <c r="HI17" s="616"/>
      <c r="HJ17" s="616"/>
      <c r="HK17" s="616"/>
      <c r="HL17" s="616"/>
      <c r="HM17" s="616"/>
      <c r="HN17" s="616"/>
      <c r="HO17" s="616"/>
      <c r="HP17" s="616"/>
      <c r="HQ17" s="617"/>
      <c r="HR17" s="617"/>
      <c r="HS17" s="617"/>
      <c r="HT17" s="617"/>
      <c r="HU17" s="617"/>
      <c r="HV17" s="617"/>
    </row>
    <row r="18" ht="47.25">
      <c r="A18" s="559">
        <v>17</v>
      </c>
      <c r="B18" s="602">
        <v>38</v>
      </c>
      <c r="C18" s="469"/>
      <c r="D18" s="469" t="s">
        <v>735</v>
      </c>
      <c r="E18" s="560" t="s">
        <v>576</v>
      </c>
      <c r="F18" s="564" t="s">
        <v>576</v>
      </c>
      <c r="G18" s="561" t="s">
        <v>736</v>
      </c>
      <c r="H18" s="562" t="s">
        <v>26</v>
      </c>
      <c r="I18" s="562" t="s">
        <v>737</v>
      </c>
      <c r="J18" s="562" t="s">
        <v>738</v>
      </c>
      <c r="K18" s="469" t="s">
        <v>739</v>
      </c>
      <c r="L18" s="563">
        <v>42636</v>
      </c>
      <c r="M18" s="563">
        <v>42627</v>
      </c>
      <c r="N18" s="603" t="s">
        <v>740</v>
      </c>
      <c r="O18" s="604" t="s">
        <v>741</v>
      </c>
      <c r="P18" s="605" t="s">
        <v>583</v>
      </c>
      <c r="Q18" s="603" t="s">
        <v>364</v>
      </c>
      <c r="R18" s="605" t="s">
        <v>584</v>
      </c>
      <c r="S18" s="605" t="s">
        <v>585</v>
      </c>
      <c r="T18" s="234" t="s">
        <v>584</v>
      </c>
      <c r="U18" s="234" t="s">
        <v>585</v>
      </c>
      <c r="V18" s="562">
        <v>1</v>
      </c>
      <c r="W18" s="562" t="s">
        <v>0</v>
      </c>
      <c r="X18" s="564" t="s">
        <v>576</v>
      </c>
      <c r="Y18" s="564" t="s">
        <v>742</v>
      </c>
      <c r="Z18" s="564" t="s">
        <v>587</v>
      </c>
      <c r="AA18" s="564">
        <v>3</v>
      </c>
      <c r="AB18" s="565" t="s">
        <v>596</v>
      </c>
      <c r="AC18" s="565" t="s">
        <v>596</v>
      </c>
      <c r="AD18" s="565" t="s">
        <v>596</v>
      </c>
      <c r="AE18" s="565"/>
      <c r="AF18" s="566" t="s">
        <v>597</v>
      </c>
      <c r="AG18" s="565" t="s">
        <v>598</v>
      </c>
      <c r="AH18" s="565" t="s">
        <v>598</v>
      </c>
      <c r="AI18" s="565" t="s">
        <v>598</v>
      </c>
      <c r="AJ18" s="565"/>
      <c r="AK18" s="562" t="s">
        <v>599</v>
      </c>
      <c r="AL18" s="564">
        <v>2100</v>
      </c>
      <c r="AM18" s="564" t="s">
        <v>593</v>
      </c>
      <c r="AN18" s="567"/>
      <c r="AO18" s="567"/>
      <c r="AP18" s="567"/>
      <c r="AQ18" s="567"/>
      <c r="AR18" s="568"/>
      <c r="AS18" s="568"/>
      <c r="AT18" s="568"/>
      <c r="AU18" s="568"/>
      <c r="AV18" s="663" t="s">
        <v>601</v>
      </c>
      <c r="AW18" s="568"/>
      <c r="AX18" s="568"/>
      <c r="AY18" s="568"/>
      <c r="AZ18" s="568"/>
      <c r="BA18" s="663" t="s">
        <v>601</v>
      </c>
      <c r="BB18" s="567"/>
      <c r="BC18" s="567"/>
      <c r="BD18" s="569"/>
      <c r="BE18" s="569"/>
      <c r="BF18" s="569"/>
      <c r="BG18" s="569"/>
      <c r="BH18" s="569"/>
      <c r="BI18" s="569"/>
      <c r="BJ18" s="569"/>
      <c r="BK18" s="569"/>
      <c r="BL18" s="566" t="s">
        <v>601</v>
      </c>
      <c r="BM18" s="569"/>
      <c r="BN18" s="569"/>
      <c r="BO18" s="569"/>
      <c r="BP18" s="569"/>
      <c r="BQ18" s="562" t="s">
        <v>601</v>
      </c>
      <c r="BR18" s="569"/>
      <c r="BS18" s="569"/>
      <c r="BT18" s="570" t="s">
        <v>601</v>
      </c>
      <c r="BU18" s="570" t="s">
        <v>601</v>
      </c>
      <c r="BV18" s="570" t="s">
        <v>601</v>
      </c>
      <c r="BW18" s="570" t="s">
        <v>601</v>
      </c>
      <c r="BX18" s="571" t="s">
        <v>601</v>
      </c>
      <c r="BY18" s="571" t="s">
        <v>601</v>
      </c>
      <c r="BZ18" s="571" t="s">
        <v>601</v>
      </c>
      <c r="CA18" s="566" t="s">
        <v>601</v>
      </c>
      <c r="CB18" s="571" t="s">
        <v>601</v>
      </c>
      <c r="CC18" s="571" t="s">
        <v>601</v>
      </c>
      <c r="CD18" s="571" t="s">
        <v>601</v>
      </c>
      <c r="CE18" s="562" t="s">
        <v>601</v>
      </c>
      <c r="CF18" s="570" t="s">
        <v>601</v>
      </c>
      <c r="CG18" s="570" t="s">
        <v>601</v>
      </c>
      <c r="CH18" s="572" t="s">
        <v>601</v>
      </c>
      <c r="CI18" s="572" t="s">
        <v>601</v>
      </c>
      <c r="CJ18" s="572" t="s">
        <v>601</v>
      </c>
      <c r="CK18" s="572" t="s">
        <v>601</v>
      </c>
      <c r="CL18" s="573" t="s">
        <v>601</v>
      </c>
      <c r="CM18" s="573" t="s">
        <v>601</v>
      </c>
      <c r="CN18" s="573" t="s">
        <v>601</v>
      </c>
      <c r="CO18" s="566" t="s">
        <v>601</v>
      </c>
      <c r="CP18" s="573" t="s">
        <v>601</v>
      </c>
      <c r="CQ18" s="573" t="s">
        <v>601</v>
      </c>
      <c r="CR18" s="573" t="s">
        <v>601</v>
      </c>
      <c r="CS18" s="562" t="s">
        <v>601</v>
      </c>
      <c r="CT18" s="572" t="s">
        <v>601</v>
      </c>
      <c r="CU18" s="572" t="s">
        <v>601</v>
      </c>
      <c r="CV18" s="574" t="s">
        <v>601</v>
      </c>
      <c r="CW18" s="574" t="s">
        <v>601</v>
      </c>
      <c r="CX18" s="574" t="s">
        <v>601</v>
      </c>
      <c r="CY18" s="574" t="s">
        <v>601</v>
      </c>
      <c r="CZ18" s="575" t="s">
        <v>601</v>
      </c>
      <c r="DA18" s="575" t="s">
        <v>601</v>
      </c>
      <c r="DB18" s="575" t="s">
        <v>601</v>
      </c>
      <c r="DC18" s="566" t="s">
        <v>601</v>
      </c>
      <c r="DD18" s="575" t="s">
        <v>601</v>
      </c>
      <c r="DE18" s="575" t="s">
        <v>601</v>
      </c>
      <c r="DF18" s="575" t="s">
        <v>601</v>
      </c>
      <c r="DG18" s="562" t="s">
        <v>601</v>
      </c>
      <c r="DH18" s="574" t="s">
        <v>601</v>
      </c>
      <c r="DI18" s="574" t="s">
        <v>601</v>
      </c>
      <c r="DJ18" s="469">
        <v>1</v>
      </c>
      <c r="DK18" s="469" t="s">
        <v>623</v>
      </c>
      <c r="DL18" s="469" t="s">
        <v>601</v>
      </c>
      <c r="DM18" s="469" t="s">
        <v>601</v>
      </c>
      <c r="DN18" s="469" t="s">
        <v>604</v>
      </c>
      <c r="DO18" s="469" t="s">
        <v>604</v>
      </c>
      <c r="DP18" s="469" t="s">
        <v>604</v>
      </c>
      <c r="DQ18" s="469">
        <v>1</v>
      </c>
      <c r="DR18" s="576"/>
      <c r="DS18" s="606"/>
      <c r="DT18" s="606"/>
      <c r="DU18" s="562"/>
      <c r="DV18" s="606"/>
      <c r="DW18" s="606"/>
      <c r="DX18" s="607"/>
      <c r="DY18" s="611"/>
      <c r="DZ18" s="607"/>
      <c r="EA18" s="607"/>
      <c r="EB18" s="607"/>
      <c r="EC18" s="607"/>
      <c r="ED18" s="562"/>
      <c r="EE18" s="607"/>
      <c r="EF18" s="607"/>
      <c r="EG18" s="607"/>
      <c r="EH18" s="562"/>
      <c r="EI18" s="607"/>
      <c r="EJ18" s="607"/>
      <c r="EK18" s="608"/>
      <c r="EL18" s="608"/>
      <c r="EM18" s="608"/>
      <c r="EN18" s="608"/>
      <c r="EO18" s="608"/>
      <c r="EP18" s="608"/>
      <c r="EQ18" s="562"/>
      <c r="ER18" s="608"/>
      <c r="ES18" s="608"/>
      <c r="ET18" s="608"/>
      <c r="EU18" s="562"/>
      <c r="EV18" s="608"/>
      <c r="EW18" s="608"/>
      <c r="EX18" s="609"/>
      <c r="EY18" s="609"/>
      <c r="EZ18" s="609"/>
      <c r="FA18" s="609"/>
      <c r="FB18" s="609"/>
      <c r="FC18" s="609"/>
      <c r="FD18" s="562"/>
      <c r="FE18" s="609"/>
      <c r="FF18" s="609"/>
      <c r="FG18" s="609"/>
      <c r="FH18" s="562"/>
      <c r="FI18" s="609"/>
      <c r="FJ18" s="609"/>
      <c r="FK18" s="562"/>
      <c r="FL18" s="562"/>
      <c r="FM18" s="562"/>
      <c r="FN18" s="562"/>
      <c r="FO18" s="562"/>
      <c r="FP18" s="562"/>
      <c r="FQ18" s="562"/>
      <c r="FR18" s="562"/>
      <c r="FS18" s="562"/>
      <c r="FT18" s="562"/>
      <c r="FU18" s="562"/>
      <c r="FV18" s="562"/>
      <c r="FW18" s="562"/>
      <c r="FX18" s="610"/>
      <c r="FY18" s="611"/>
      <c r="FZ18" s="611"/>
      <c r="GA18" s="562"/>
      <c r="GB18" s="612"/>
      <c r="GC18" s="603"/>
      <c r="GD18" s="603"/>
      <c r="GE18" s="613"/>
      <c r="GF18" s="613"/>
      <c r="GG18" s="613"/>
      <c r="GH18" s="614"/>
      <c r="GI18" s="614"/>
      <c r="GJ18" s="615"/>
      <c r="GK18" s="615"/>
      <c r="GL18" s="615"/>
      <c r="GM18" s="615"/>
      <c r="GN18" s="615"/>
      <c r="GO18" s="615"/>
      <c r="GP18" s="615"/>
      <c r="GQ18" s="615"/>
      <c r="GR18" s="615"/>
      <c r="GS18" s="615"/>
      <c r="GT18" s="615"/>
      <c r="GU18" s="609"/>
      <c r="GV18" s="609"/>
      <c r="GW18" s="609"/>
      <c r="GX18" s="609"/>
      <c r="GY18" s="609"/>
      <c r="GZ18" s="609"/>
      <c r="HA18" s="609"/>
      <c r="HB18" s="609"/>
      <c r="HC18" s="609"/>
      <c r="HD18" s="609"/>
      <c r="HE18" s="609"/>
      <c r="HF18" s="616"/>
      <c r="HG18" s="616"/>
      <c r="HH18" s="616"/>
      <c r="HI18" s="616"/>
      <c r="HJ18" s="616"/>
      <c r="HK18" s="616"/>
      <c r="HL18" s="616"/>
      <c r="HM18" s="616"/>
      <c r="HN18" s="616"/>
      <c r="HO18" s="616"/>
      <c r="HP18" s="616"/>
      <c r="HQ18" s="617"/>
      <c r="HR18" s="617"/>
      <c r="HS18" s="617"/>
      <c r="HT18" s="617"/>
      <c r="HU18" s="617"/>
      <c r="HV18" s="617"/>
    </row>
    <row r="19" ht="47.25">
      <c r="A19" s="559">
        <v>18</v>
      </c>
      <c r="B19" s="602">
        <v>38</v>
      </c>
      <c r="C19" s="469"/>
      <c r="D19" s="469" t="s">
        <v>743</v>
      </c>
      <c r="E19" s="560" t="s">
        <v>576</v>
      </c>
      <c r="F19" s="564" t="s">
        <v>576</v>
      </c>
      <c r="G19" s="561" t="s">
        <v>744</v>
      </c>
      <c r="H19" s="562" t="s">
        <v>26</v>
      </c>
      <c r="I19" s="562" t="s">
        <v>745</v>
      </c>
      <c r="J19" s="562" t="s">
        <v>746</v>
      </c>
      <c r="K19" s="469" t="s">
        <v>747</v>
      </c>
      <c r="L19" s="563">
        <v>42636</v>
      </c>
      <c r="M19" s="563">
        <v>42627</v>
      </c>
      <c r="N19" s="603" t="s">
        <v>748</v>
      </c>
      <c r="O19" s="604" t="s">
        <v>749</v>
      </c>
      <c r="P19" s="605" t="s">
        <v>583</v>
      </c>
      <c r="Q19" s="603" t="s">
        <v>364</v>
      </c>
      <c r="R19" s="605" t="s">
        <v>584</v>
      </c>
      <c r="S19" s="605" t="s">
        <v>585</v>
      </c>
      <c r="T19" s="234" t="s">
        <v>584</v>
      </c>
      <c r="U19" s="234" t="s">
        <v>585</v>
      </c>
      <c r="V19" s="562">
        <v>1</v>
      </c>
      <c r="W19" s="562" t="s">
        <v>0</v>
      </c>
      <c r="X19" s="564" t="s">
        <v>576</v>
      </c>
      <c r="Y19" s="564" t="s">
        <v>750</v>
      </c>
      <c r="Z19" s="564" t="s">
        <v>587</v>
      </c>
      <c r="AA19" s="564">
        <v>3</v>
      </c>
      <c r="AB19" s="565" t="s">
        <v>596</v>
      </c>
      <c r="AC19" s="565" t="s">
        <v>596</v>
      </c>
      <c r="AD19" s="565" t="s">
        <v>596</v>
      </c>
      <c r="AE19" s="565"/>
      <c r="AF19" s="566" t="s">
        <v>597</v>
      </c>
      <c r="AG19" s="565" t="s">
        <v>598</v>
      </c>
      <c r="AH19" s="565" t="s">
        <v>598</v>
      </c>
      <c r="AI19" s="565" t="s">
        <v>598</v>
      </c>
      <c r="AJ19" s="565"/>
      <c r="AK19" s="562" t="s">
        <v>599</v>
      </c>
      <c r="AL19" s="564">
        <v>2100</v>
      </c>
      <c r="AM19" s="564" t="s">
        <v>751</v>
      </c>
      <c r="AN19" s="567"/>
      <c r="AO19" s="567"/>
      <c r="AP19" s="567"/>
      <c r="AQ19" s="567"/>
      <c r="AR19" s="568"/>
      <c r="AS19" s="568"/>
      <c r="AT19" s="568"/>
      <c r="AU19" s="568"/>
      <c r="AV19" s="663" t="s">
        <v>601</v>
      </c>
      <c r="AW19" s="568"/>
      <c r="AX19" s="568"/>
      <c r="AY19" s="568"/>
      <c r="AZ19" s="568"/>
      <c r="BA19" s="663" t="s">
        <v>601</v>
      </c>
      <c r="BB19" s="567"/>
      <c r="BC19" s="567"/>
      <c r="BD19" s="569"/>
      <c r="BE19" s="569"/>
      <c r="BF19" s="569"/>
      <c r="BG19" s="569"/>
      <c r="BH19" s="569"/>
      <c r="BI19" s="569"/>
      <c r="BJ19" s="569"/>
      <c r="BK19" s="569"/>
      <c r="BL19" s="566" t="s">
        <v>601</v>
      </c>
      <c r="BM19" s="569"/>
      <c r="BN19" s="569"/>
      <c r="BO19" s="569"/>
      <c r="BP19" s="569"/>
      <c r="BQ19" s="562" t="s">
        <v>601</v>
      </c>
      <c r="BR19" s="569"/>
      <c r="BS19" s="569"/>
      <c r="BT19" s="570" t="s">
        <v>601</v>
      </c>
      <c r="BU19" s="570" t="s">
        <v>601</v>
      </c>
      <c r="BV19" s="570" t="s">
        <v>601</v>
      </c>
      <c r="BW19" s="570" t="s">
        <v>601</v>
      </c>
      <c r="BX19" s="571" t="s">
        <v>601</v>
      </c>
      <c r="BY19" s="571" t="s">
        <v>601</v>
      </c>
      <c r="BZ19" s="571" t="s">
        <v>601</v>
      </c>
      <c r="CA19" s="566" t="s">
        <v>601</v>
      </c>
      <c r="CB19" s="571" t="s">
        <v>601</v>
      </c>
      <c r="CC19" s="571" t="s">
        <v>601</v>
      </c>
      <c r="CD19" s="571" t="s">
        <v>601</v>
      </c>
      <c r="CE19" s="562" t="s">
        <v>601</v>
      </c>
      <c r="CF19" s="570" t="s">
        <v>601</v>
      </c>
      <c r="CG19" s="570" t="s">
        <v>601</v>
      </c>
      <c r="CH19" s="572" t="s">
        <v>601</v>
      </c>
      <c r="CI19" s="572" t="s">
        <v>601</v>
      </c>
      <c r="CJ19" s="572" t="s">
        <v>601</v>
      </c>
      <c r="CK19" s="572" t="s">
        <v>601</v>
      </c>
      <c r="CL19" s="573" t="s">
        <v>601</v>
      </c>
      <c r="CM19" s="573" t="s">
        <v>601</v>
      </c>
      <c r="CN19" s="573" t="s">
        <v>601</v>
      </c>
      <c r="CO19" s="566" t="s">
        <v>601</v>
      </c>
      <c r="CP19" s="573" t="s">
        <v>601</v>
      </c>
      <c r="CQ19" s="573" t="s">
        <v>601</v>
      </c>
      <c r="CR19" s="573" t="s">
        <v>601</v>
      </c>
      <c r="CS19" s="562" t="s">
        <v>601</v>
      </c>
      <c r="CT19" s="572" t="s">
        <v>601</v>
      </c>
      <c r="CU19" s="572" t="s">
        <v>601</v>
      </c>
      <c r="CV19" s="574" t="s">
        <v>601</v>
      </c>
      <c r="CW19" s="574" t="s">
        <v>601</v>
      </c>
      <c r="CX19" s="574" t="s">
        <v>601</v>
      </c>
      <c r="CY19" s="574" t="s">
        <v>601</v>
      </c>
      <c r="CZ19" s="575" t="s">
        <v>601</v>
      </c>
      <c r="DA19" s="575" t="s">
        <v>601</v>
      </c>
      <c r="DB19" s="575" t="s">
        <v>601</v>
      </c>
      <c r="DC19" s="566" t="s">
        <v>601</v>
      </c>
      <c r="DD19" s="575" t="s">
        <v>601</v>
      </c>
      <c r="DE19" s="575" t="s">
        <v>601</v>
      </c>
      <c r="DF19" s="575" t="s">
        <v>601</v>
      </c>
      <c r="DG19" s="562" t="s">
        <v>601</v>
      </c>
      <c r="DH19" s="574" t="s">
        <v>601</v>
      </c>
      <c r="DI19" s="574" t="s">
        <v>601</v>
      </c>
      <c r="DJ19" s="469">
        <v>1</v>
      </c>
      <c r="DK19" s="469" t="s">
        <v>623</v>
      </c>
      <c r="DL19" s="469" t="s">
        <v>601</v>
      </c>
      <c r="DM19" s="469" t="s">
        <v>601</v>
      </c>
      <c r="DN19" s="469" t="s">
        <v>604</v>
      </c>
      <c r="DO19" s="469" t="s">
        <v>604</v>
      </c>
      <c r="DP19" s="469" t="s">
        <v>604</v>
      </c>
      <c r="DQ19" s="469">
        <v>1</v>
      </c>
      <c r="DR19" s="576"/>
      <c r="DS19" s="606"/>
      <c r="DT19" s="606"/>
      <c r="DU19" s="562"/>
      <c r="DV19" s="606"/>
      <c r="DW19" s="606"/>
      <c r="DX19" s="607"/>
      <c r="DY19" s="611"/>
      <c r="DZ19" s="607"/>
      <c r="EA19" s="607"/>
      <c r="EB19" s="607"/>
      <c r="EC19" s="607"/>
      <c r="ED19" s="562"/>
      <c r="EE19" s="607"/>
      <c r="EF19" s="607"/>
      <c r="EG19" s="607"/>
      <c r="EH19" s="562"/>
      <c r="EI19" s="607"/>
      <c r="EJ19" s="607"/>
      <c r="EK19" s="608"/>
      <c r="EL19" s="608"/>
      <c r="EM19" s="608"/>
      <c r="EN19" s="608"/>
      <c r="EO19" s="608"/>
      <c r="EP19" s="608"/>
      <c r="EQ19" s="562"/>
      <c r="ER19" s="608"/>
      <c r="ES19" s="608"/>
      <c r="ET19" s="608"/>
      <c r="EU19" s="562"/>
      <c r="EV19" s="608"/>
      <c r="EW19" s="608"/>
      <c r="EX19" s="609"/>
      <c r="EY19" s="609"/>
      <c r="EZ19" s="609"/>
      <c r="FA19" s="609"/>
      <c r="FB19" s="609"/>
      <c r="FC19" s="609"/>
      <c r="FD19" s="562"/>
      <c r="FE19" s="609"/>
      <c r="FF19" s="609"/>
      <c r="FG19" s="609"/>
      <c r="FH19" s="562"/>
      <c r="FI19" s="609"/>
      <c r="FJ19" s="609"/>
      <c r="FK19" s="562"/>
      <c r="FL19" s="562"/>
      <c r="FM19" s="562"/>
      <c r="FN19" s="562"/>
      <c r="FO19" s="562"/>
      <c r="FP19" s="562"/>
      <c r="FQ19" s="562"/>
      <c r="FR19" s="562"/>
      <c r="FS19" s="562"/>
      <c r="FT19" s="562"/>
      <c r="FU19" s="562"/>
      <c r="FV19" s="562"/>
      <c r="FW19" s="562"/>
      <c r="FX19" s="610"/>
      <c r="FY19" s="611"/>
      <c r="FZ19" s="611"/>
      <c r="GA19" s="562"/>
      <c r="GB19" s="612"/>
      <c r="GC19" s="603"/>
      <c r="GD19" s="603"/>
      <c r="GE19" s="613"/>
      <c r="GF19" s="613"/>
      <c r="GG19" s="613"/>
      <c r="GH19" s="614"/>
      <c r="GI19" s="614"/>
      <c r="GJ19" s="615"/>
      <c r="GK19" s="615"/>
      <c r="GL19" s="615"/>
      <c r="GM19" s="615"/>
      <c r="GN19" s="615"/>
      <c r="GO19" s="615"/>
      <c r="GP19" s="615"/>
      <c r="GQ19" s="615"/>
      <c r="GR19" s="615"/>
      <c r="GS19" s="615"/>
      <c r="GT19" s="615"/>
      <c r="GU19" s="609"/>
      <c r="GV19" s="609"/>
      <c r="GW19" s="609"/>
      <c r="GX19" s="609"/>
      <c r="GY19" s="609"/>
      <c r="GZ19" s="609"/>
      <c r="HA19" s="609"/>
      <c r="HB19" s="609"/>
      <c r="HC19" s="609"/>
      <c r="HD19" s="609"/>
      <c r="HE19" s="609"/>
      <c r="HF19" s="616"/>
      <c r="HG19" s="616"/>
      <c r="HH19" s="616"/>
      <c r="HI19" s="616"/>
      <c r="HJ19" s="616"/>
      <c r="HK19" s="616"/>
      <c r="HL19" s="616"/>
      <c r="HM19" s="616"/>
      <c r="HN19" s="616"/>
      <c r="HO19" s="616"/>
      <c r="HP19" s="616"/>
      <c r="HQ19" s="617"/>
      <c r="HR19" s="617"/>
      <c r="HS19" s="617"/>
      <c r="HT19" s="617"/>
      <c r="HU19" s="617"/>
      <c r="HV19" s="617"/>
    </row>
    <row r="20" ht="47.25">
      <c r="A20" s="559">
        <v>19</v>
      </c>
      <c r="B20" s="602">
        <v>38</v>
      </c>
      <c r="C20" s="469"/>
      <c r="D20" s="469" t="s">
        <v>752</v>
      </c>
      <c r="E20" s="560" t="s">
        <v>576</v>
      </c>
      <c r="F20" s="564" t="s">
        <v>576</v>
      </c>
      <c r="G20" s="561" t="s">
        <v>753</v>
      </c>
      <c r="H20" s="562" t="s">
        <v>26</v>
      </c>
      <c r="I20" s="562" t="s">
        <v>754</v>
      </c>
      <c r="J20" s="562" t="s">
        <v>755</v>
      </c>
      <c r="K20" s="469" t="s">
        <v>756</v>
      </c>
      <c r="L20" s="563">
        <v>42636</v>
      </c>
      <c r="M20" s="563">
        <v>42627</v>
      </c>
      <c r="N20" s="603" t="s">
        <v>757</v>
      </c>
      <c r="O20" s="604" t="s">
        <v>758</v>
      </c>
      <c r="P20" s="605" t="s">
        <v>583</v>
      </c>
      <c r="Q20" s="603" t="s">
        <v>364</v>
      </c>
      <c r="R20" s="605" t="s">
        <v>584</v>
      </c>
      <c r="S20" s="605" t="s">
        <v>585</v>
      </c>
      <c r="T20" s="234" t="s">
        <v>584</v>
      </c>
      <c r="U20" s="234" t="s">
        <v>585</v>
      </c>
      <c r="V20" s="562">
        <v>1</v>
      </c>
      <c r="W20" s="562" t="s">
        <v>675</v>
      </c>
      <c r="X20" s="564" t="s">
        <v>576</v>
      </c>
      <c r="Y20" s="564" t="s">
        <v>759</v>
      </c>
      <c r="Z20" s="564" t="s">
        <v>587</v>
      </c>
      <c r="AA20" s="564">
        <v>3</v>
      </c>
      <c r="AB20" s="565" t="s">
        <v>596</v>
      </c>
      <c r="AC20" s="565" t="s">
        <v>596</v>
      </c>
      <c r="AD20" s="565" t="s">
        <v>596</v>
      </c>
      <c r="AE20" s="565"/>
      <c r="AF20" s="566" t="s">
        <v>597</v>
      </c>
      <c r="AG20" s="565" t="s">
        <v>598</v>
      </c>
      <c r="AH20" s="565" t="s">
        <v>598</v>
      </c>
      <c r="AI20" s="565" t="s">
        <v>598</v>
      </c>
      <c r="AJ20" s="565"/>
      <c r="AK20" s="562" t="s">
        <v>599</v>
      </c>
      <c r="AL20" s="564">
        <v>2100</v>
      </c>
      <c r="AM20" s="564" t="s">
        <v>649</v>
      </c>
      <c r="AN20" s="567"/>
      <c r="AO20" s="567"/>
      <c r="AP20" s="567"/>
      <c r="AQ20" s="567"/>
      <c r="AR20" s="568"/>
      <c r="AS20" s="568"/>
      <c r="AT20" s="568"/>
      <c r="AU20" s="568"/>
      <c r="AV20" s="663" t="s">
        <v>601</v>
      </c>
      <c r="AW20" s="568"/>
      <c r="AX20" s="568"/>
      <c r="AY20" s="568"/>
      <c r="AZ20" s="568"/>
      <c r="BA20" s="663" t="s">
        <v>601</v>
      </c>
      <c r="BB20" s="567"/>
      <c r="BC20" s="567"/>
      <c r="BD20" s="569"/>
      <c r="BE20" s="569"/>
      <c r="BF20" s="569"/>
      <c r="BG20" s="569"/>
      <c r="BH20" s="569"/>
      <c r="BI20" s="569"/>
      <c r="BJ20" s="569"/>
      <c r="BK20" s="569"/>
      <c r="BL20" s="566" t="s">
        <v>601</v>
      </c>
      <c r="BM20" s="569"/>
      <c r="BN20" s="569"/>
      <c r="BO20" s="569"/>
      <c r="BP20" s="569"/>
      <c r="BQ20" s="562" t="s">
        <v>601</v>
      </c>
      <c r="BR20" s="569"/>
      <c r="BS20" s="569"/>
      <c r="BT20" s="570" t="s">
        <v>601</v>
      </c>
      <c r="BU20" s="570" t="s">
        <v>601</v>
      </c>
      <c r="BV20" s="570" t="s">
        <v>601</v>
      </c>
      <c r="BW20" s="570" t="s">
        <v>601</v>
      </c>
      <c r="BX20" s="571" t="s">
        <v>601</v>
      </c>
      <c r="BY20" s="571" t="s">
        <v>601</v>
      </c>
      <c r="BZ20" s="571" t="s">
        <v>601</v>
      </c>
      <c r="CA20" s="566" t="s">
        <v>601</v>
      </c>
      <c r="CB20" s="571" t="s">
        <v>601</v>
      </c>
      <c r="CC20" s="571" t="s">
        <v>601</v>
      </c>
      <c r="CD20" s="571" t="s">
        <v>601</v>
      </c>
      <c r="CE20" s="562" t="s">
        <v>601</v>
      </c>
      <c r="CF20" s="570" t="s">
        <v>601</v>
      </c>
      <c r="CG20" s="570" t="s">
        <v>601</v>
      </c>
      <c r="CH20" s="572" t="s">
        <v>601</v>
      </c>
      <c r="CI20" s="572" t="s">
        <v>601</v>
      </c>
      <c r="CJ20" s="572" t="s">
        <v>601</v>
      </c>
      <c r="CK20" s="572" t="s">
        <v>601</v>
      </c>
      <c r="CL20" s="573" t="s">
        <v>601</v>
      </c>
      <c r="CM20" s="573" t="s">
        <v>601</v>
      </c>
      <c r="CN20" s="573" t="s">
        <v>601</v>
      </c>
      <c r="CO20" s="566" t="s">
        <v>601</v>
      </c>
      <c r="CP20" s="573" t="s">
        <v>601</v>
      </c>
      <c r="CQ20" s="573" t="s">
        <v>601</v>
      </c>
      <c r="CR20" s="573" t="s">
        <v>601</v>
      </c>
      <c r="CS20" s="562" t="s">
        <v>601</v>
      </c>
      <c r="CT20" s="572" t="s">
        <v>601</v>
      </c>
      <c r="CU20" s="572" t="s">
        <v>601</v>
      </c>
      <c r="CV20" s="574" t="s">
        <v>601</v>
      </c>
      <c r="CW20" s="574" t="s">
        <v>601</v>
      </c>
      <c r="CX20" s="574" t="s">
        <v>601</v>
      </c>
      <c r="CY20" s="574" t="s">
        <v>601</v>
      </c>
      <c r="CZ20" s="575" t="s">
        <v>601</v>
      </c>
      <c r="DA20" s="575" t="s">
        <v>601</v>
      </c>
      <c r="DB20" s="575" t="s">
        <v>601</v>
      </c>
      <c r="DC20" s="566" t="s">
        <v>601</v>
      </c>
      <c r="DD20" s="575" t="s">
        <v>601</v>
      </c>
      <c r="DE20" s="575" t="s">
        <v>601</v>
      </c>
      <c r="DF20" s="575" t="s">
        <v>601</v>
      </c>
      <c r="DG20" s="562" t="s">
        <v>601</v>
      </c>
      <c r="DH20" s="574" t="s">
        <v>601</v>
      </c>
      <c r="DI20" s="574" t="s">
        <v>601</v>
      </c>
      <c r="DJ20" s="469">
        <v>1</v>
      </c>
      <c r="DK20" s="469" t="s">
        <v>623</v>
      </c>
      <c r="DL20" s="469" t="s">
        <v>601</v>
      </c>
      <c r="DM20" s="469" t="s">
        <v>601</v>
      </c>
      <c r="DN20" s="469" t="s">
        <v>604</v>
      </c>
      <c r="DO20" s="469" t="s">
        <v>604</v>
      </c>
      <c r="DP20" s="469" t="s">
        <v>604</v>
      </c>
      <c r="DQ20" s="469">
        <v>1</v>
      </c>
      <c r="DR20" s="576"/>
      <c r="DS20" s="606"/>
      <c r="DT20" s="606"/>
      <c r="DU20" s="562"/>
      <c r="DV20" s="606"/>
      <c r="DW20" s="606"/>
      <c r="DX20" s="607"/>
      <c r="DY20" s="611"/>
      <c r="DZ20" s="607"/>
      <c r="EA20" s="607"/>
      <c r="EB20" s="607"/>
      <c r="EC20" s="607"/>
      <c r="ED20" s="562"/>
      <c r="EE20" s="607"/>
      <c r="EF20" s="607"/>
      <c r="EG20" s="607"/>
      <c r="EH20" s="562"/>
      <c r="EI20" s="607"/>
      <c r="EJ20" s="607"/>
      <c r="EK20" s="608"/>
      <c r="EL20" s="608"/>
      <c r="EM20" s="608"/>
      <c r="EN20" s="608"/>
      <c r="EO20" s="608"/>
      <c r="EP20" s="608"/>
      <c r="EQ20" s="562"/>
      <c r="ER20" s="608"/>
      <c r="ES20" s="608"/>
      <c r="ET20" s="608"/>
      <c r="EU20" s="562"/>
      <c r="EV20" s="608"/>
      <c r="EW20" s="608"/>
      <c r="EX20" s="609"/>
      <c r="EY20" s="609"/>
      <c r="EZ20" s="609"/>
      <c r="FA20" s="609"/>
      <c r="FB20" s="609"/>
      <c r="FC20" s="609"/>
      <c r="FD20" s="562"/>
      <c r="FE20" s="609"/>
      <c r="FF20" s="609"/>
      <c r="FG20" s="609"/>
      <c r="FH20" s="562"/>
      <c r="FI20" s="609"/>
      <c r="FJ20" s="609"/>
      <c r="FK20" s="562"/>
      <c r="FL20" s="562"/>
      <c r="FM20" s="562"/>
      <c r="FN20" s="562"/>
      <c r="FO20" s="562"/>
      <c r="FP20" s="562"/>
      <c r="FQ20" s="562"/>
      <c r="FR20" s="562"/>
      <c r="FS20" s="562"/>
      <c r="FT20" s="562"/>
      <c r="FU20" s="562"/>
      <c r="FV20" s="562"/>
      <c r="FW20" s="562"/>
      <c r="FX20" s="610">
        <v>1</v>
      </c>
      <c r="FY20" s="611"/>
      <c r="FZ20" s="611">
        <v>1</v>
      </c>
      <c r="GA20" s="562"/>
      <c r="GB20" s="612"/>
      <c r="GC20" s="603"/>
      <c r="GD20" s="603"/>
      <c r="GE20" s="613"/>
      <c r="GF20" s="613"/>
      <c r="GG20" s="613"/>
      <c r="GH20" s="614"/>
      <c r="GI20" s="614"/>
      <c r="GJ20" s="615"/>
      <c r="GK20" s="615"/>
      <c r="GL20" s="615"/>
      <c r="GM20" s="615"/>
      <c r="GN20" s="615"/>
      <c r="GO20" s="615"/>
      <c r="GP20" s="615"/>
      <c r="GQ20" s="615"/>
      <c r="GR20" s="615"/>
      <c r="GS20" s="615"/>
      <c r="GT20" s="615"/>
      <c r="GU20" s="609"/>
      <c r="GV20" s="609"/>
      <c r="GW20" s="609"/>
      <c r="GX20" s="609"/>
      <c r="GY20" s="609"/>
      <c r="GZ20" s="609"/>
      <c r="HA20" s="609"/>
      <c r="HB20" s="609"/>
      <c r="HC20" s="609"/>
      <c r="HD20" s="609"/>
      <c r="HE20" s="609"/>
      <c r="HF20" s="616"/>
      <c r="HG20" s="616"/>
      <c r="HH20" s="616"/>
      <c r="HI20" s="616"/>
      <c r="HJ20" s="616"/>
      <c r="HK20" s="616"/>
      <c r="HL20" s="616"/>
      <c r="HM20" s="616"/>
      <c r="HN20" s="616"/>
      <c r="HO20" s="616"/>
      <c r="HP20" s="616"/>
      <c r="HQ20" s="617"/>
      <c r="HR20" s="617"/>
      <c r="HS20" s="617"/>
      <c r="HT20" s="617"/>
      <c r="HU20" s="617"/>
      <c r="HV20" s="617"/>
    </row>
    <row r="21" ht="47.25">
      <c r="A21" s="559">
        <v>20</v>
      </c>
      <c r="B21" s="602">
        <v>38</v>
      </c>
      <c r="C21" s="469"/>
      <c r="D21" s="469" t="s">
        <v>760</v>
      </c>
      <c r="E21" s="560" t="s">
        <v>576</v>
      </c>
      <c r="F21" s="564" t="s">
        <v>576</v>
      </c>
      <c r="G21" s="561" t="s">
        <v>761</v>
      </c>
      <c r="H21" s="562" t="s">
        <v>26</v>
      </c>
      <c r="I21" s="562" t="s">
        <v>762</v>
      </c>
      <c r="J21" s="562" t="s">
        <v>763</v>
      </c>
      <c r="K21" s="469" t="s">
        <v>764</v>
      </c>
      <c r="L21" s="563">
        <v>42636</v>
      </c>
      <c r="M21" s="563">
        <v>42627</v>
      </c>
      <c r="N21" s="603" t="s">
        <v>765</v>
      </c>
      <c r="O21" s="604" t="s">
        <v>766</v>
      </c>
      <c r="P21" s="605" t="s">
        <v>583</v>
      </c>
      <c r="Q21" s="603" t="s">
        <v>364</v>
      </c>
      <c r="R21" s="605" t="s">
        <v>584</v>
      </c>
      <c r="S21" s="605" t="s">
        <v>585</v>
      </c>
      <c r="T21" s="234" t="s">
        <v>584</v>
      </c>
      <c r="U21" s="234" t="s">
        <v>585</v>
      </c>
      <c r="V21" s="562">
        <v>1</v>
      </c>
      <c r="W21" s="562" t="s">
        <v>675</v>
      </c>
      <c r="X21" s="564" t="s">
        <v>576</v>
      </c>
      <c r="Y21" s="564" t="s">
        <v>767</v>
      </c>
      <c r="Z21" s="564" t="s">
        <v>587</v>
      </c>
      <c r="AA21" s="564">
        <v>3</v>
      </c>
      <c r="AB21" s="565" t="s">
        <v>596</v>
      </c>
      <c r="AC21" s="565" t="s">
        <v>596</v>
      </c>
      <c r="AD21" s="565" t="s">
        <v>596</v>
      </c>
      <c r="AE21" s="565"/>
      <c r="AF21" s="566" t="s">
        <v>597</v>
      </c>
      <c r="AG21" s="565" t="s">
        <v>598</v>
      </c>
      <c r="AH21" s="565" t="s">
        <v>598</v>
      </c>
      <c r="AI21" s="565" t="s">
        <v>598</v>
      </c>
      <c r="AJ21" s="565"/>
      <c r="AK21" s="562" t="s">
        <v>599</v>
      </c>
      <c r="AL21" s="564">
        <v>2100</v>
      </c>
      <c r="AM21" s="564" t="s">
        <v>649</v>
      </c>
      <c r="AN21" s="567"/>
      <c r="AO21" s="567"/>
      <c r="AP21" s="567"/>
      <c r="AQ21" s="567"/>
      <c r="AR21" s="568"/>
      <c r="AS21" s="568"/>
      <c r="AT21" s="568"/>
      <c r="AU21" s="568"/>
      <c r="AV21" s="663" t="s">
        <v>601</v>
      </c>
      <c r="AW21" s="568"/>
      <c r="AX21" s="568"/>
      <c r="AY21" s="568"/>
      <c r="AZ21" s="568"/>
      <c r="BA21" s="663" t="s">
        <v>601</v>
      </c>
      <c r="BB21" s="567"/>
      <c r="BC21" s="567"/>
      <c r="BD21" s="569"/>
      <c r="BE21" s="569"/>
      <c r="BF21" s="569"/>
      <c r="BG21" s="569"/>
      <c r="BH21" s="569"/>
      <c r="BI21" s="569"/>
      <c r="BJ21" s="569"/>
      <c r="BK21" s="569"/>
      <c r="BL21" s="566" t="s">
        <v>601</v>
      </c>
      <c r="BM21" s="569"/>
      <c r="BN21" s="569"/>
      <c r="BO21" s="569"/>
      <c r="BP21" s="569"/>
      <c r="BQ21" s="562" t="s">
        <v>601</v>
      </c>
      <c r="BR21" s="569"/>
      <c r="BS21" s="569"/>
      <c r="BT21" s="570" t="s">
        <v>601</v>
      </c>
      <c r="BU21" s="570" t="s">
        <v>601</v>
      </c>
      <c r="BV21" s="570" t="s">
        <v>601</v>
      </c>
      <c r="BW21" s="570" t="s">
        <v>601</v>
      </c>
      <c r="BX21" s="571" t="s">
        <v>601</v>
      </c>
      <c r="BY21" s="571" t="s">
        <v>601</v>
      </c>
      <c r="BZ21" s="571" t="s">
        <v>601</v>
      </c>
      <c r="CA21" s="566" t="s">
        <v>601</v>
      </c>
      <c r="CB21" s="571" t="s">
        <v>601</v>
      </c>
      <c r="CC21" s="571" t="s">
        <v>601</v>
      </c>
      <c r="CD21" s="571" t="s">
        <v>601</v>
      </c>
      <c r="CE21" s="562" t="s">
        <v>601</v>
      </c>
      <c r="CF21" s="570" t="s">
        <v>601</v>
      </c>
      <c r="CG21" s="570" t="s">
        <v>601</v>
      </c>
      <c r="CH21" s="572" t="s">
        <v>601</v>
      </c>
      <c r="CI21" s="572" t="s">
        <v>601</v>
      </c>
      <c r="CJ21" s="572" t="s">
        <v>601</v>
      </c>
      <c r="CK21" s="572" t="s">
        <v>601</v>
      </c>
      <c r="CL21" s="573" t="s">
        <v>601</v>
      </c>
      <c r="CM21" s="573" t="s">
        <v>601</v>
      </c>
      <c r="CN21" s="573" t="s">
        <v>601</v>
      </c>
      <c r="CO21" s="566" t="s">
        <v>601</v>
      </c>
      <c r="CP21" s="573" t="s">
        <v>601</v>
      </c>
      <c r="CQ21" s="573" t="s">
        <v>601</v>
      </c>
      <c r="CR21" s="573" t="s">
        <v>601</v>
      </c>
      <c r="CS21" s="562" t="s">
        <v>601</v>
      </c>
      <c r="CT21" s="572" t="s">
        <v>601</v>
      </c>
      <c r="CU21" s="572" t="s">
        <v>601</v>
      </c>
      <c r="CV21" s="574" t="s">
        <v>601</v>
      </c>
      <c r="CW21" s="574" t="s">
        <v>601</v>
      </c>
      <c r="CX21" s="574" t="s">
        <v>601</v>
      </c>
      <c r="CY21" s="574" t="s">
        <v>601</v>
      </c>
      <c r="CZ21" s="575" t="s">
        <v>601</v>
      </c>
      <c r="DA21" s="575" t="s">
        <v>601</v>
      </c>
      <c r="DB21" s="575" t="s">
        <v>601</v>
      </c>
      <c r="DC21" s="566" t="s">
        <v>601</v>
      </c>
      <c r="DD21" s="575" t="s">
        <v>601</v>
      </c>
      <c r="DE21" s="575" t="s">
        <v>601</v>
      </c>
      <c r="DF21" s="575" t="s">
        <v>601</v>
      </c>
      <c r="DG21" s="562" t="s">
        <v>601</v>
      </c>
      <c r="DH21" s="574" t="s">
        <v>601</v>
      </c>
      <c r="DI21" s="574" t="s">
        <v>601</v>
      </c>
      <c r="DJ21" s="469">
        <v>1</v>
      </c>
      <c r="DK21" s="469" t="s">
        <v>623</v>
      </c>
      <c r="DL21" s="469" t="s">
        <v>601</v>
      </c>
      <c r="DM21" s="469" t="s">
        <v>601</v>
      </c>
      <c r="DN21" s="469" t="s">
        <v>604</v>
      </c>
      <c r="DO21" s="469" t="s">
        <v>604</v>
      </c>
      <c r="DP21" s="469" t="s">
        <v>604</v>
      </c>
      <c r="DQ21" s="469">
        <v>1</v>
      </c>
      <c r="DR21" s="576"/>
      <c r="DS21" s="606"/>
      <c r="DT21" s="606"/>
      <c r="DU21" s="562"/>
      <c r="DV21" s="606"/>
      <c r="DW21" s="606"/>
      <c r="DX21" s="607"/>
      <c r="DY21" s="611"/>
      <c r="DZ21" s="607"/>
      <c r="EA21" s="607"/>
      <c r="EB21" s="607"/>
      <c r="EC21" s="607"/>
      <c r="ED21" s="562"/>
      <c r="EE21" s="607"/>
      <c r="EF21" s="607"/>
      <c r="EG21" s="607"/>
      <c r="EH21" s="562"/>
      <c r="EI21" s="607"/>
      <c r="EJ21" s="607"/>
      <c r="EK21" s="608"/>
      <c r="EL21" s="608"/>
      <c r="EM21" s="608"/>
      <c r="EN21" s="608"/>
      <c r="EO21" s="608"/>
      <c r="EP21" s="608"/>
      <c r="EQ21" s="562"/>
      <c r="ER21" s="608"/>
      <c r="ES21" s="608"/>
      <c r="ET21" s="608"/>
      <c r="EU21" s="562"/>
      <c r="EV21" s="608"/>
      <c r="EW21" s="608"/>
      <c r="EX21" s="609"/>
      <c r="EY21" s="609"/>
      <c r="EZ21" s="609"/>
      <c r="FA21" s="609"/>
      <c r="FB21" s="609"/>
      <c r="FC21" s="609"/>
      <c r="FD21" s="562"/>
      <c r="FE21" s="609"/>
      <c r="FF21" s="609"/>
      <c r="FG21" s="609"/>
      <c r="FH21" s="562"/>
      <c r="FI21" s="609"/>
      <c r="FJ21" s="609"/>
      <c r="FK21" s="562"/>
      <c r="FL21" s="562"/>
      <c r="FM21" s="562"/>
      <c r="FN21" s="562"/>
      <c r="FO21" s="562"/>
      <c r="FP21" s="562"/>
      <c r="FQ21" s="562"/>
      <c r="FR21" s="562"/>
      <c r="FS21" s="562"/>
      <c r="FT21" s="562"/>
      <c r="FU21" s="562"/>
      <c r="FV21" s="562"/>
      <c r="FW21" s="562"/>
      <c r="FX21" s="610">
        <v>1</v>
      </c>
      <c r="FY21" s="611"/>
      <c r="FZ21" s="611">
        <v>1</v>
      </c>
      <c r="GA21" s="562"/>
      <c r="GB21" s="612"/>
      <c r="GC21" s="603"/>
      <c r="GD21" s="603"/>
      <c r="GE21" s="613"/>
      <c r="GF21" s="613"/>
      <c r="GG21" s="613"/>
      <c r="GH21" s="614"/>
      <c r="GI21" s="614"/>
      <c r="GJ21" s="615"/>
      <c r="GK21" s="615"/>
      <c r="GL21" s="615"/>
      <c r="GM21" s="615"/>
      <c r="GN21" s="615"/>
      <c r="GO21" s="615"/>
      <c r="GP21" s="615"/>
      <c r="GQ21" s="615"/>
      <c r="GR21" s="615"/>
      <c r="GS21" s="615"/>
      <c r="GT21" s="615"/>
      <c r="GU21" s="609"/>
      <c r="GV21" s="609"/>
      <c r="GW21" s="609"/>
      <c r="GX21" s="609"/>
      <c r="GY21" s="609"/>
      <c r="GZ21" s="609"/>
      <c r="HA21" s="609"/>
      <c r="HB21" s="609"/>
      <c r="HC21" s="609"/>
      <c r="HD21" s="609"/>
      <c r="HE21" s="609"/>
      <c r="HF21" s="616"/>
      <c r="HG21" s="616"/>
      <c r="HH21" s="616"/>
      <c r="HI21" s="616"/>
      <c r="HJ21" s="616"/>
      <c r="HK21" s="616"/>
      <c r="HL21" s="616"/>
      <c r="HM21" s="616"/>
      <c r="HN21" s="616"/>
      <c r="HO21" s="616"/>
      <c r="HP21" s="616"/>
      <c r="HQ21" s="617"/>
      <c r="HR21" s="617"/>
      <c r="HS21" s="617"/>
      <c r="HT21" s="617"/>
      <c r="HU21" s="617"/>
      <c r="HV21" s="617"/>
    </row>
    <row r="22" ht="47.25">
      <c r="A22" s="559">
        <v>21</v>
      </c>
      <c r="B22" s="602">
        <v>38</v>
      </c>
      <c r="C22" s="469"/>
      <c r="D22" s="469" t="s">
        <v>768</v>
      </c>
      <c r="E22" s="560" t="s">
        <v>576</v>
      </c>
      <c r="F22" s="564" t="s">
        <v>576</v>
      </c>
      <c r="G22" s="561" t="s">
        <v>769</v>
      </c>
      <c r="H22" s="562" t="s">
        <v>26</v>
      </c>
      <c r="I22" s="562" t="s">
        <v>770</v>
      </c>
      <c r="J22" s="562" t="s">
        <v>771</v>
      </c>
      <c r="K22" s="469" t="s">
        <v>772</v>
      </c>
      <c r="L22" s="563">
        <v>42636</v>
      </c>
      <c r="M22" s="563">
        <v>42627</v>
      </c>
      <c r="N22" s="603" t="s">
        <v>773</v>
      </c>
      <c r="O22" s="604" t="s">
        <v>774</v>
      </c>
      <c r="P22" s="605" t="s">
        <v>583</v>
      </c>
      <c r="Q22" s="603" t="s">
        <v>364</v>
      </c>
      <c r="R22" s="605" t="s">
        <v>584</v>
      </c>
      <c r="S22" s="605" t="s">
        <v>585</v>
      </c>
      <c r="T22" s="234" t="s">
        <v>584</v>
      </c>
      <c r="U22" s="234" t="s">
        <v>585</v>
      </c>
      <c r="V22" s="562">
        <v>1</v>
      </c>
      <c r="W22" s="562" t="s">
        <v>675</v>
      </c>
      <c r="X22" s="564" t="s">
        <v>576</v>
      </c>
      <c r="Y22" s="564" t="s">
        <v>775</v>
      </c>
      <c r="Z22" s="564" t="s">
        <v>587</v>
      </c>
      <c r="AA22" s="564">
        <v>3</v>
      </c>
      <c r="AB22" s="565" t="s">
        <v>596</v>
      </c>
      <c r="AC22" s="565" t="s">
        <v>596</v>
      </c>
      <c r="AD22" s="565" t="s">
        <v>596</v>
      </c>
      <c r="AE22" s="565"/>
      <c r="AF22" s="566" t="s">
        <v>597</v>
      </c>
      <c r="AG22" s="565" t="s">
        <v>598</v>
      </c>
      <c r="AH22" s="565" t="s">
        <v>598</v>
      </c>
      <c r="AI22" s="565" t="s">
        <v>598</v>
      </c>
      <c r="AJ22" s="565"/>
      <c r="AK22" s="562" t="s">
        <v>599</v>
      </c>
      <c r="AL22" s="564">
        <v>2100</v>
      </c>
      <c r="AM22" s="564" t="s">
        <v>649</v>
      </c>
      <c r="AN22" s="567"/>
      <c r="AO22" s="567"/>
      <c r="AP22" s="567"/>
      <c r="AQ22" s="567"/>
      <c r="AR22" s="568"/>
      <c r="AS22" s="568"/>
      <c r="AT22" s="568"/>
      <c r="AU22" s="568"/>
      <c r="AV22" s="663" t="s">
        <v>601</v>
      </c>
      <c r="AW22" s="568"/>
      <c r="AX22" s="568"/>
      <c r="AY22" s="568"/>
      <c r="AZ22" s="568"/>
      <c r="BA22" s="663" t="s">
        <v>601</v>
      </c>
      <c r="BB22" s="567"/>
      <c r="BC22" s="567"/>
      <c r="BD22" s="569"/>
      <c r="BE22" s="569"/>
      <c r="BF22" s="569"/>
      <c r="BG22" s="569"/>
      <c r="BH22" s="569"/>
      <c r="BI22" s="569"/>
      <c r="BJ22" s="569"/>
      <c r="BK22" s="569"/>
      <c r="BL22" s="566" t="s">
        <v>601</v>
      </c>
      <c r="BM22" s="569"/>
      <c r="BN22" s="569"/>
      <c r="BO22" s="569"/>
      <c r="BP22" s="569"/>
      <c r="BQ22" s="562" t="s">
        <v>601</v>
      </c>
      <c r="BR22" s="569"/>
      <c r="BS22" s="569"/>
      <c r="BT22" s="570" t="s">
        <v>601</v>
      </c>
      <c r="BU22" s="570" t="s">
        <v>601</v>
      </c>
      <c r="BV22" s="570" t="s">
        <v>601</v>
      </c>
      <c r="BW22" s="570" t="s">
        <v>601</v>
      </c>
      <c r="BX22" s="571" t="s">
        <v>601</v>
      </c>
      <c r="BY22" s="571" t="s">
        <v>601</v>
      </c>
      <c r="BZ22" s="571" t="s">
        <v>601</v>
      </c>
      <c r="CA22" s="566" t="s">
        <v>601</v>
      </c>
      <c r="CB22" s="571" t="s">
        <v>601</v>
      </c>
      <c r="CC22" s="571" t="s">
        <v>601</v>
      </c>
      <c r="CD22" s="571" t="s">
        <v>601</v>
      </c>
      <c r="CE22" s="562" t="s">
        <v>601</v>
      </c>
      <c r="CF22" s="570" t="s">
        <v>601</v>
      </c>
      <c r="CG22" s="570" t="s">
        <v>601</v>
      </c>
      <c r="CH22" s="572" t="s">
        <v>601</v>
      </c>
      <c r="CI22" s="572" t="s">
        <v>601</v>
      </c>
      <c r="CJ22" s="572" t="s">
        <v>601</v>
      </c>
      <c r="CK22" s="572" t="s">
        <v>601</v>
      </c>
      <c r="CL22" s="573" t="s">
        <v>601</v>
      </c>
      <c r="CM22" s="573" t="s">
        <v>601</v>
      </c>
      <c r="CN22" s="573" t="s">
        <v>601</v>
      </c>
      <c r="CO22" s="566" t="s">
        <v>601</v>
      </c>
      <c r="CP22" s="573" t="s">
        <v>601</v>
      </c>
      <c r="CQ22" s="573" t="s">
        <v>601</v>
      </c>
      <c r="CR22" s="573" t="s">
        <v>601</v>
      </c>
      <c r="CS22" s="562" t="s">
        <v>601</v>
      </c>
      <c r="CT22" s="572" t="s">
        <v>601</v>
      </c>
      <c r="CU22" s="572" t="s">
        <v>601</v>
      </c>
      <c r="CV22" s="574" t="s">
        <v>601</v>
      </c>
      <c r="CW22" s="574" t="s">
        <v>601</v>
      </c>
      <c r="CX22" s="574" t="s">
        <v>601</v>
      </c>
      <c r="CY22" s="574" t="s">
        <v>601</v>
      </c>
      <c r="CZ22" s="575" t="s">
        <v>601</v>
      </c>
      <c r="DA22" s="575" t="s">
        <v>601</v>
      </c>
      <c r="DB22" s="575" t="s">
        <v>601</v>
      </c>
      <c r="DC22" s="566" t="s">
        <v>601</v>
      </c>
      <c r="DD22" s="575" t="s">
        <v>601</v>
      </c>
      <c r="DE22" s="575" t="s">
        <v>601</v>
      </c>
      <c r="DF22" s="575" t="s">
        <v>601</v>
      </c>
      <c r="DG22" s="562" t="s">
        <v>601</v>
      </c>
      <c r="DH22" s="574" t="s">
        <v>601</v>
      </c>
      <c r="DI22" s="574" t="s">
        <v>601</v>
      </c>
      <c r="DJ22" s="469">
        <v>1</v>
      </c>
      <c r="DK22" s="469" t="s">
        <v>623</v>
      </c>
      <c r="DL22" s="469" t="s">
        <v>601</v>
      </c>
      <c r="DM22" s="469" t="s">
        <v>601</v>
      </c>
      <c r="DN22" s="469" t="s">
        <v>604</v>
      </c>
      <c r="DO22" s="469" t="s">
        <v>604</v>
      </c>
      <c r="DP22" s="469" t="s">
        <v>604</v>
      </c>
      <c r="DQ22" s="469">
        <v>1</v>
      </c>
      <c r="DR22" s="576"/>
      <c r="DS22" s="606"/>
      <c r="DT22" s="606"/>
      <c r="DU22" s="562"/>
      <c r="DV22" s="606"/>
      <c r="DW22" s="606"/>
      <c r="DX22" s="607"/>
      <c r="DY22" s="611"/>
      <c r="DZ22" s="607"/>
      <c r="EA22" s="607"/>
      <c r="EB22" s="607"/>
      <c r="EC22" s="607"/>
      <c r="ED22" s="562"/>
      <c r="EE22" s="607"/>
      <c r="EF22" s="607"/>
      <c r="EG22" s="607"/>
      <c r="EH22" s="562"/>
      <c r="EI22" s="607"/>
      <c r="EJ22" s="607"/>
      <c r="EK22" s="608"/>
      <c r="EL22" s="608"/>
      <c r="EM22" s="608"/>
      <c r="EN22" s="608"/>
      <c r="EO22" s="608"/>
      <c r="EP22" s="608"/>
      <c r="EQ22" s="562"/>
      <c r="ER22" s="608"/>
      <c r="ES22" s="608"/>
      <c r="ET22" s="608"/>
      <c r="EU22" s="562"/>
      <c r="EV22" s="608"/>
      <c r="EW22" s="608"/>
      <c r="EX22" s="609"/>
      <c r="EY22" s="609"/>
      <c r="EZ22" s="609"/>
      <c r="FA22" s="609"/>
      <c r="FB22" s="609"/>
      <c r="FC22" s="609"/>
      <c r="FD22" s="562"/>
      <c r="FE22" s="609"/>
      <c r="FF22" s="609"/>
      <c r="FG22" s="609"/>
      <c r="FH22" s="562"/>
      <c r="FI22" s="609"/>
      <c r="FJ22" s="609"/>
      <c r="FK22" s="562"/>
      <c r="FL22" s="562"/>
      <c r="FM22" s="562"/>
      <c r="FN22" s="562"/>
      <c r="FO22" s="562"/>
      <c r="FP22" s="562"/>
      <c r="FQ22" s="562"/>
      <c r="FR22" s="562"/>
      <c r="FS22" s="562"/>
      <c r="FT22" s="562"/>
      <c r="FU22" s="562"/>
      <c r="FV22" s="562"/>
      <c r="FW22" s="562"/>
      <c r="FX22" s="610">
        <v>1</v>
      </c>
      <c r="FY22" s="611"/>
      <c r="FZ22" s="611">
        <v>1</v>
      </c>
      <c r="GA22" s="562"/>
      <c r="GB22" s="612"/>
      <c r="GC22" s="603"/>
      <c r="GD22" s="603"/>
      <c r="GE22" s="613"/>
      <c r="GF22" s="613"/>
      <c r="GG22" s="613"/>
      <c r="GH22" s="614"/>
      <c r="GI22" s="614"/>
      <c r="GJ22" s="615"/>
      <c r="GK22" s="615"/>
      <c r="GL22" s="615"/>
      <c r="GM22" s="615"/>
      <c r="GN22" s="615"/>
      <c r="GO22" s="615"/>
      <c r="GP22" s="615"/>
      <c r="GQ22" s="615"/>
      <c r="GR22" s="615"/>
      <c r="GS22" s="615"/>
      <c r="GT22" s="615"/>
      <c r="GU22" s="609"/>
      <c r="GV22" s="609"/>
      <c r="GW22" s="609"/>
      <c r="GX22" s="609"/>
      <c r="GY22" s="609"/>
      <c r="GZ22" s="609"/>
      <c r="HA22" s="609"/>
      <c r="HB22" s="609"/>
      <c r="HC22" s="609"/>
      <c r="HD22" s="609"/>
      <c r="HE22" s="609"/>
      <c r="HF22" s="616"/>
      <c r="HG22" s="616"/>
      <c r="HH22" s="616"/>
      <c r="HI22" s="616"/>
      <c r="HJ22" s="616"/>
      <c r="HK22" s="616"/>
      <c r="HL22" s="616"/>
      <c r="HM22" s="616"/>
      <c r="HN22" s="616"/>
      <c r="HO22" s="616"/>
      <c r="HP22" s="616"/>
      <c r="HQ22" s="617"/>
      <c r="HR22" s="617"/>
      <c r="HS22" s="617"/>
      <c r="HT22" s="617"/>
      <c r="HU22" s="617"/>
      <c r="HV22" s="617"/>
    </row>
    <row r="23" ht="47.25">
      <c r="A23" s="559">
        <v>22</v>
      </c>
      <c r="B23" s="602">
        <v>38</v>
      </c>
      <c r="C23" s="469"/>
      <c r="D23" s="469" t="s">
        <v>776</v>
      </c>
      <c r="E23" s="560" t="s">
        <v>576</v>
      </c>
      <c r="F23" s="564" t="s">
        <v>576</v>
      </c>
      <c r="G23" s="561" t="s">
        <v>777</v>
      </c>
      <c r="H23" s="562" t="s">
        <v>26</v>
      </c>
      <c r="I23" s="562" t="s">
        <v>778</v>
      </c>
      <c r="J23" s="562" t="s">
        <v>779</v>
      </c>
      <c r="K23" s="469" t="s">
        <v>780</v>
      </c>
      <c r="L23" s="563">
        <v>42636</v>
      </c>
      <c r="M23" s="563">
        <v>42628</v>
      </c>
      <c r="N23" s="603" t="s">
        <v>781</v>
      </c>
      <c r="O23" s="604" t="s">
        <v>782</v>
      </c>
      <c r="P23" s="605" t="s">
        <v>583</v>
      </c>
      <c r="Q23" s="603" t="s">
        <v>364</v>
      </c>
      <c r="R23" s="605" t="s">
        <v>584</v>
      </c>
      <c r="S23" s="605" t="s">
        <v>585</v>
      </c>
      <c r="T23" s="234" t="s">
        <v>584</v>
      </c>
      <c r="U23" s="234" t="s">
        <v>585</v>
      </c>
      <c r="V23" s="562">
        <v>2</v>
      </c>
      <c r="W23" s="562" t="s">
        <v>0</v>
      </c>
      <c r="X23" s="564" t="s">
        <v>576</v>
      </c>
      <c r="Y23" s="564" t="s">
        <v>783</v>
      </c>
      <c r="Z23" s="564" t="s">
        <v>587</v>
      </c>
      <c r="AA23" s="564">
        <v>3</v>
      </c>
      <c r="AB23" s="565" t="s">
        <v>596</v>
      </c>
      <c r="AC23" s="565" t="s">
        <v>596</v>
      </c>
      <c r="AD23" s="565" t="s">
        <v>596</v>
      </c>
      <c r="AE23" s="565"/>
      <c r="AF23" s="566" t="s">
        <v>597</v>
      </c>
      <c r="AG23" s="565" t="s">
        <v>598</v>
      </c>
      <c r="AH23" s="565" t="s">
        <v>598</v>
      </c>
      <c r="AI23" s="565" t="s">
        <v>598</v>
      </c>
      <c r="AJ23" s="565"/>
      <c r="AK23" s="562" t="s">
        <v>599</v>
      </c>
      <c r="AL23" s="564" t="s">
        <v>592</v>
      </c>
      <c r="AM23" s="564" t="s">
        <v>751</v>
      </c>
      <c r="AN23" s="567" t="s">
        <v>576</v>
      </c>
      <c r="AO23" s="567" t="s">
        <v>783</v>
      </c>
      <c r="AP23" s="567" t="s">
        <v>587</v>
      </c>
      <c r="AQ23" s="567">
        <v>3</v>
      </c>
      <c r="AR23" s="568" t="s">
        <v>596</v>
      </c>
      <c r="AS23" s="568" t="s">
        <v>596</v>
      </c>
      <c r="AT23" s="568" t="s">
        <v>596</v>
      </c>
      <c r="AU23" s="568"/>
      <c r="AV23" s="663" t="s">
        <v>597</v>
      </c>
      <c r="AW23" s="568" t="s">
        <v>598</v>
      </c>
      <c r="AX23" s="568" t="s">
        <v>598</v>
      </c>
      <c r="AY23" s="568" t="s">
        <v>598</v>
      </c>
      <c r="AZ23" s="568"/>
      <c r="BA23" s="663" t="s">
        <v>599</v>
      </c>
      <c r="BB23" s="567" t="s">
        <v>600</v>
      </c>
      <c r="BC23" s="567" t="s">
        <v>593</v>
      </c>
      <c r="BD23" s="569"/>
      <c r="BE23" s="569"/>
      <c r="BF23" s="569"/>
      <c r="BG23" s="569"/>
      <c r="BH23" s="569"/>
      <c r="BI23" s="569"/>
      <c r="BJ23" s="569"/>
      <c r="BK23" s="569"/>
      <c r="BL23" s="566" t="s">
        <v>601</v>
      </c>
      <c r="BM23" s="569"/>
      <c r="BN23" s="569"/>
      <c r="BO23" s="569"/>
      <c r="BP23" s="569"/>
      <c r="BQ23" s="562" t="s">
        <v>601</v>
      </c>
      <c r="BR23" s="569"/>
      <c r="BS23" s="569"/>
      <c r="BT23" s="570" t="s">
        <v>601</v>
      </c>
      <c r="BU23" s="570" t="s">
        <v>601</v>
      </c>
      <c r="BV23" s="570" t="s">
        <v>601</v>
      </c>
      <c r="BW23" s="570" t="s">
        <v>601</v>
      </c>
      <c r="BX23" s="571" t="s">
        <v>601</v>
      </c>
      <c r="BY23" s="571" t="s">
        <v>601</v>
      </c>
      <c r="BZ23" s="571" t="s">
        <v>601</v>
      </c>
      <c r="CA23" s="566" t="s">
        <v>601</v>
      </c>
      <c r="CB23" s="571" t="s">
        <v>601</v>
      </c>
      <c r="CC23" s="571" t="s">
        <v>601</v>
      </c>
      <c r="CD23" s="571" t="s">
        <v>601</v>
      </c>
      <c r="CE23" s="562" t="s">
        <v>601</v>
      </c>
      <c r="CF23" s="570" t="s">
        <v>601</v>
      </c>
      <c r="CG23" s="570" t="s">
        <v>601</v>
      </c>
      <c r="CH23" s="572" t="s">
        <v>601</v>
      </c>
      <c r="CI23" s="572" t="s">
        <v>601</v>
      </c>
      <c r="CJ23" s="572" t="s">
        <v>601</v>
      </c>
      <c r="CK23" s="572" t="s">
        <v>601</v>
      </c>
      <c r="CL23" s="573" t="s">
        <v>601</v>
      </c>
      <c r="CM23" s="573" t="s">
        <v>601</v>
      </c>
      <c r="CN23" s="573" t="s">
        <v>601</v>
      </c>
      <c r="CO23" s="566" t="s">
        <v>601</v>
      </c>
      <c r="CP23" s="573" t="s">
        <v>601</v>
      </c>
      <c r="CQ23" s="573" t="s">
        <v>601</v>
      </c>
      <c r="CR23" s="573" t="s">
        <v>601</v>
      </c>
      <c r="CS23" s="562" t="s">
        <v>601</v>
      </c>
      <c r="CT23" s="572" t="s">
        <v>601</v>
      </c>
      <c r="CU23" s="572" t="s">
        <v>601</v>
      </c>
      <c r="CV23" s="574" t="s">
        <v>601</v>
      </c>
      <c r="CW23" s="574" t="s">
        <v>601</v>
      </c>
      <c r="CX23" s="574" t="s">
        <v>601</v>
      </c>
      <c r="CY23" s="574" t="s">
        <v>601</v>
      </c>
      <c r="CZ23" s="575" t="s">
        <v>601</v>
      </c>
      <c r="DA23" s="575" t="s">
        <v>601</v>
      </c>
      <c r="DB23" s="575" t="s">
        <v>601</v>
      </c>
      <c r="DC23" s="566" t="s">
        <v>601</v>
      </c>
      <c r="DD23" s="575" t="s">
        <v>601</v>
      </c>
      <c r="DE23" s="575" t="s">
        <v>601</v>
      </c>
      <c r="DF23" s="575" t="s">
        <v>601</v>
      </c>
      <c r="DG23" s="562" t="s">
        <v>601</v>
      </c>
      <c r="DH23" s="574" t="s">
        <v>601</v>
      </c>
      <c r="DI23" s="574" t="s">
        <v>601</v>
      </c>
      <c r="DJ23" s="469">
        <v>2</v>
      </c>
      <c r="DK23" s="469" t="s">
        <v>614</v>
      </c>
      <c r="DL23" s="469" t="s">
        <v>603</v>
      </c>
      <c r="DM23" s="469" t="s">
        <v>601</v>
      </c>
      <c r="DN23" s="469" t="s">
        <v>604</v>
      </c>
      <c r="DO23" s="469" t="s">
        <v>604</v>
      </c>
      <c r="DP23" s="469" t="s">
        <v>604</v>
      </c>
      <c r="DQ23" s="469">
        <v>2</v>
      </c>
      <c r="DR23" s="576"/>
      <c r="DS23" s="606"/>
      <c r="DT23" s="606"/>
      <c r="DU23" s="562"/>
      <c r="DV23" s="606"/>
      <c r="DW23" s="606"/>
      <c r="DX23" s="607"/>
      <c r="DY23" s="611"/>
      <c r="DZ23" s="607"/>
      <c r="EA23" s="607"/>
      <c r="EB23" s="607"/>
      <c r="EC23" s="607"/>
      <c r="ED23" s="562"/>
      <c r="EE23" s="607"/>
      <c r="EF23" s="607"/>
      <c r="EG23" s="607"/>
      <c r="EH23" s="562"/>
      <c r="EI23" s="607"/>
      <c r="EJ23" s="607"/>
      <c r="EK23" s="608"/>
      <c r="EL23" s="608"/>
      <c r="EM23" s="608"/>
      <c r="EN23" s="608"/>
      <c r="EO23" s="608"/>
      <c r="EP23" s="608"/>
      <c r="EQ23" s="562"/>
      <c r="ER23" s="608"/>
      <c r="ES23" s="608"/>
      <c r="ET23" s="608"/>
      <c r="EU23" s="562"/>
      <c r="EV23" s="608"/>
      <c r="EW23" s="608"/>
      <c r="EX23" s="609"/>
      <c r="EY23" s="609"/>
      <c r="EZ23" s="609"/>
      <c r="FA23" s="609"/>
      <c r="FB23" s="609"/>
      <c r="FC23" s="609"/>
      <c r="FD23" s="562"/>
      <c r="FE23" s="609"/>
      <c r="FF23" s="609"/>
      <c r="FG23" s="609"/>
      <c r="FH23" s="562"/>
      <c r="FI23" s="609"/>
      <c r="FJ23" s="609"/>
      <c r="FK23" s="562"/>
      <c r="FL23" s="562"/>
      <c r="FM23" s="562"/>
      <c r="FN23" s="562"/>
      <c r="FO23" s="562"/>
      <c r="FP23" s="562"/>
      <c r="FQ23" s="562"/>
      <c r="FR23" s="562"/>
      <c r="FS23" s="562"/>
      <c r="FT23" s="562"/>
      <c r="FU23" s="562"/>
      <c r="FV23" s="562"/>
      <c r="FW23" s="562"/>
      <c r="FX23" s="610"/>
      <c r="FY23" s="611"/>
      <c r="FZ23" s="611"/>
      <c r="GA23" s="562"/>
      <c r="GB23" s="612"/>
      <c r="GC23" s="603"/>
      <c r="GD23" s="603"/>
      <c r="GE23" s="613"/>
      <c r="GF23" s="613"/>
      <c r="GG23" s="613"/>
      <c r="GH23" s="614"/>
      <c r="GI23" s="614"/>
      <c r="GJ23" s="615"/>
      <c r="GK23" s="615"/>
      <c r="GL23" s="615"/>
      <c r="GM23" s="615"/>
      <c r="GN23" s="615"/>
      <c r="GO23" s="615"/>
      <c r="GP23" s="615"/>
      <c r="GQ23" s="615"/>
      <c r="GR23" s="615"/>
      <c r="GS23" s="615"/>
      <c r="GT23" s="615"/>
      <c r="GU23" s="609"/>
      <c r="GV23" s="609"/>
      <c r="GW23" s="609"/>
      <c r="GX23" s="609"/>
      <c r="GY23" s="609"/>
      <c r="GZ23" s="609"/>
      <c r="HA23" s="609"/>
      <c r="HB23" s="609"/>
      <c r="HC23" s="609"/>
      <c r="HD23" s="609"/>
      <c r="HE23" s="609"/>
      <c r="HF23" s="616"/>
      <c r="HG23" s="616"/>
      <c r="HH23" s="616"/>
      <c r="HI23" s="616"/>
      <c r="HJ23" s="616"/>
      <c r="HK23" s="616"/>
      <c r="HL23" s="616"/>
      <c r="HM23" s="616"/>
      <c r="HN23" s="616"/>
      <c r="HO23" s="616"/>
      <c r="HP23" s="616"/>
      <c r="HQ23" s="617"/>
      <c r="HR23" s="617"/>
      <c r="HS23" s="617"/>
      <c r="HT23" s="617"/>
      <c r="HU23" s="617"/>
      <c r="HV23" s="617"/>
    </row>
    <row r="24" ht="47.25">
      <c r="A24" s="559">
        <v>23</v>
      </c>
      <c r="B24" s="602">
        <v>38</v>
      </c>
      <c r="C24" s="469"/>
      <c r="D24" s="469" t="s">
        <v>784</v>
      </c>
      <c r="E24" s="560" t="s">
        <v>576</v>
      </c>
      <c r="F24" s="564" t="s">
        <v>576</v>
      </c>
      <c r="G24" s="561" t="s">
        <v>785</v>
      </c>
      <c r="H24" s="562" t="s">
        <v>26</v>
      </c>
      <c r="I24" s="562" t="s">
        <v>786</v>
      </c>
      <c r="J24" s="562" t="s">
        <v>787</v>
      </c>
      <c r="K24" s="469" t="s">
        <v>788</v>
      </c>
      <c r="L24" s="563">
        <v>42636</v>
      </c>
      <c r="M24" s="563">
        <v>42628</v>
      </c>
      <c r="N24" s="603" t="s">
        <v>789</v>
      </c>
      <c r="O24" s="604" t="s">
        <v>790</v>
      </c>
      <c r="P24" s="605" t="s">
        <v>583</v>
      </c>
      <c r="Q24" s="603" t="s">
        <v>364</v>
      </c>
      <c r="R24" s="605" t="s">
        <v>584</v>
      </c>
      <c r="S24" s="605" t="s">
        <v>585</v>
      </c>
      <c r="T24" s="234" t="s">
        <v>584</v>
      </c>
      <c r="U24" s="234" t="s">
        <v>585</v>
      </c>
      <c r="V24" s="562">
        <v>1</v>
      </c>
      <c r="W24" s="562" t="s">
        <v>0</v>
      </c>
      <c r="X24" s="564" t="s">
        <v>576</v>
      </c>
      <c r="Y24" s="564" t="s">
        <v>791</v>
      </c>
      <c r="Z24" s="564" t="s">
        <v>587</v>
      </c>
      <c r="AA24" s="564">
        <v>3</v>
      </c>
      <c r="AB24" s="565" t="s">
        <v>596</v>
      </c>
      <c r="AC24" s="565" t="s">
        <v>596</v>
      </c>
      <c r="AD24" s="565" t="s">
        <v>596</v>
      </c>
      <c r="AE24" s="565"/>
      <c r="AF24" s="566" t="s">
        <v>597</v>
      </c>
      <c r="AG24" s="565" t="s">
        <v>598</v>
      </c>
      <c r="AH24" s="565" t="s">
        <v>598</v>
      </c>
      <c r="AI24" s="565" t="s">
        <v>598</v>
      </c>
      <c r="AJ24" s="565"/>
      <c r="AK24" s="562" t="s">
        <v>599</v>
      </c>
      <c r="AL24" s="564">
        <v>2100</v>
      </c>
      <c r="AM24" s="564" t="s">
        <v>792</v>
      </c>
      <c r="AN24" s="567"/>
      <c r="AO24" s="567"/>
      <c r="AP24" s="567"/>
      <c r="AQ24" s="567"/>
      <c r="AR24" s="568"/>
      <c r="AS24" s="568"/>
      <c r="AT24" s="568"/>
      <c r="AU24" s="568"/>
      <c r="AV24" s="663" t="s">
        <v>601</v>
      </c>
      <c r="AW24" s="568"/>
      <c r="AX24" s="568"/>
      <c r="AY24" s="568"/>
      <c r="AZ24" s="568"/>
      <c r="BA24" s="663" t="s">
        <v>601</v>
      </c>
      <c r="BB24" s="567"/>
      <c r="BC24" s="567"/>
      <c r="BD24" s="569"/>
      <c r="BE24" s="569"/>
      <c r="BF24" s="569"/>
      <c r="BG24" s="569"/>
      <c r="BH24" s="569"/>
      <c r="BI24" s="569"/>
      <c r="BJ24" s="569"/>
      <c r="BK24" s="569"/>
      <c r="BL24" s="566" t="s">
        <v>601</v>
      </c>
      <c r="BM24" s="569"/>
      <c r="BN24" s="569"/>
      <c r="BO24" s="569"/>
      <c r="BP24" s="569"/>
      <c r="BQ24" s="562" t="s">
        <v>601</v>
      </c>
      <c r="BR24" s="569"/>
      <c r="BS24" s="569"/>
      <c r="BT24" s="570" t="s">
        <v>601</v>
      </c>
      <c r="BU24" s="570" t="s">
        <v>601</v>
      </c>
      <c r="BV24" s="570" t="s">
        <v>601</v>
      </c>
      <c r="BW24" s="570" t="s">
        <v>601</v>
      </c>
      <c r="BX24" s="571" t="s">
        <v>601</v>
      </c>
      <c r="BY24" s="571" t="s">
        <v>601</v>
      </c>
      <c r="BZ24" s="571" t="s">
        <v>601</v>
      </c>
      <c r="CA24" s="566" t="s">
        <v>601</v>
      </c>
      <c r="CB24" s="571" t="s">
        <v>601</v>
      </c>
      <c r="CC24" s="571" t="s">
        <v>601</v>
      </c>
      <c r="CD24" s="571" t="s">
        <v>601</v>
      </c>
      <c r="CE24" s="562" t="s">
        <v>601</v>
      </c>
      <c r="CF24" s="570" t="s">
        <v>601</v>
      </c>
      <c r="CG24" s="570" t="s">
        <v>601</v>
      </c>
      <c r="CH24" s="572" t="s">
        <v>601</v>
      </c>
      <c r="CI24" s="572" t="s">
        <v>601</v>
      </c>
      <c r="CJ24" s="572" t="s">
        <v>601</v>
      </c>
      <c r="CK24" s="572" t="s">
        <v>601</v>
      </c>
      <c r="CL24" s="573" t="s">
        <v>601</v>
      </c>
      <c r="CM24" s="573" t="s">
        <v>601</v>
      </c>
      <c r="CN24" s="573" t="s">
        <v>601</v>
      </c>
      <c r="CO24" s="566" t="s">
        <v>601</v>
      </c>
      <c r="CP24" s="573" t="s">
        <v>601</v>
      </c>
      <c r="CQ24" s="573" t="s">
        <v>601</v>
      </c>
      <c r="CR24" s="573" t="s">
        <v>601</v>
      </c>
      <c r="CS24" s="562" t="s">
        <v>601</v>
      </c>
      <c r="CT24" s="572" t="s">
        <v>601</v>
      </c>
      <c r="CU24" s="572" t="s">
        <v>601</v>
      </c>
      <c r="CV24" s="574" t="s">
        <v>601</v>
      </c>
      <c r="CW24" s="574" t="s">
        <v>601</v>
      </c>
      <c r="CX24" s="574" t="s">
        <v>601</v>
      </c>
      <c r="CY24" s="574" t="s">
        <v>601</v>
      </c>
      <c r="CZ24" s="575" t="s">
        <v>601</v>
      </c>
      <c r="DA24" s="575" t="s">
        <v>601</v>
      </c>
      <c r="DB24" s="575" t="s">
        <v>601</v>
      </c>
      <c r="DC24" s="566" t="s">
        <v>601</v>
      </c>
      <c r="DD24" s="575" t="s">
        <v>601</v>
      </c>
      <c r="DE24" s="575" t="s">
        <v>601</v>
      </c>
      <c r="DF24" s="575" t="s">
        <v>601</v>
      </c>
      <c r="DG24" s="562" t="s">
        <v>601</v>
      </c>
      <c r="DH24" s="574" t="s">
        <v>601</v>
      </c>
      <c r="DI24" s="574" t="s">
        <v>601</v>
      </c>
      <c r="DJ24" s="469">
        <v>1</v>
      </c>
      <c r="DK24" s="469" t="s">
        <v>623</v>
      </c>
      <c r="DL24" s="469" t="s">
        <v>601</v>
      </c>
      <c r="DM24" s="469" t="s">
        <v>601</v>
      </c>
      <c r="DN24" s="469" t="s">
        <v>604</v>
      </c>
      <c r="DO24" s="469" t="s">
        <v>604</v>
      </c>
      <c r="DP24" s="469" t="s">
        <v>604</v>
      </c>
      <c r="DQ24" s="469">
        <v>1</v>
      </c>
      <c r="DR24" s="576"/>
      <c r="DS24" s="606"/>
      <c r="DT24" s="606"/>
      <c r="DU24" s="562"/>
      <c r="DV24" s="606"/>
      <c r="DW24" s="606"/>
      <c r="DX24" s="607"/>
      <c r="DY24" s="611"/>
      <c r="DZ24" s="607"/>
      <c r="EA24" s="607"/>
      <c r="EB24" s="607"/>
      <c r="EC24" s="607"/>
      <c r="ED24" s="562"/>
      <c r="EE24" s="607"/>
      <c r="EF24" s="607"/>
      <c r="EG24" s="607"/>
      <c r="EH24" s="562"/>
      <c r="EI24" s="607"/>
      <c r="EJ24" s="607"/>
      <c r="EK24" s="608"/>
      <c r="EL24" s="608"/>
      <c r="EM24" s="608"/>
      <c r="EN24" s="608"/>
      <c r="EO24" s="608"/>
      <c r="EP24" s="608"/>
      <c r="EQ24" s="562"/>
      <c r="ER24" s="608"/>
      <c r="ES24" s="608"/>
      <c r="ET24" s="608"/>
      <c r="EU24" s="562"/>
      <c r="EV24" s="608"/>
      <c r="EW24" s="608"/>
      <c r="EX24" s="609"/>
      <c r="EY24" s="609"/>
      <c r="EZ24" s="609"/>
      <c r="FA24" s="609"/>
      <c r="FB24" s="609"/>
      <c r="FC24" s="609"/>
      <c r="FD24" s="562"/>
      <c r="FE24" s="609"/>
      <c r="FF24" s="609"/>
      <c r="FG24" s="609"/>
      <c r="FH24" s="562"/>
      <c r="FI24" s="609"/>
      <c r="FJ24" s="609"/>
      <c r="FK24" s="562"/>
      <c r="FL24" s="562"/>
      <c r="FM24" s="562"/>
      <c r="FN24" s="562"/>
      <c r="FO24" s="562"/>
      <c r="FP24" s="562"/>
      <c r="FQ24" s="562"/>
      <c r="FR24" s="562"/>
      <c r="FS24" s="562"/>
      <c r="FT24" s="562"/>
      <c r="FU24" s="562"/>
      <c r="FV24" s="562"/>
      <c r="FW24" s="562"/>
      <c r="FX24" s="610"/>
      <c r="FY24" s="611"/>
      <c r="FZ24" s="611"/>
      <c r="GA24" s="562"/>
      <c r="GB24" s="612"/>
      <c r="GC24" s="603"/>
      <c r="GD24" s="603"/>
      <c r="GE24" s="613"/>
      <c r="GF24" s="613"/>
      <c r="GG24" s="613"/>
      <c r="GH24" s="614"/>
      <c r="GI24" s="614"/>
      <c r="GJ24" s="615"/>
      <c r="GK24" s="615"/>
      <c r="GL24" s="615"/>
      <c r="GM24" s="615"/>
      <c r="GN24" s="615"/>
      <c r="GO24" s="615"/>
      <c r="GP24" s="615"/>
      <c r="GQ24" s="615"/>
      <c r="GR24" s="615"/>
      <c r="GS24" s="615"/>
      <c r="GT24" s="615"/>
      <c r="GU24" s="609"/>
      <c r="GV24" s="609"/>
      <c r="GW24" s="609"/>
      <c r="GX24" s="609"/>
      <c r="GY24" s="609"/>
      <c r="GZ24" s="609"/>
      <c r="HA24" s="609"/>
      <c r="HB24" s="609"/>
      <c r="HC24" s="609"/>
      <c r="HD24" s="609"/>
      <c r="HE24" s="609"/>
      <c r="HF24" s="616"/>
      <c r="HG24" s="616"/>
      <c r="HH24" s="616"/>
      <c r="HI24" s="616"/>
      <c r="HJ24" s="616"/>
      <c r="HK24" s="616"/>
      <c r="HL24" s="616"/>
      <c r="HM24" s="616"/>
      <c r="HN24" s="616"/>
      <c r="HO24" s="616"/>
      <c r="HP24" s="616"/>
      <c r="HQ24" s="617"/>
      <c r="HR24" s="617"/>
      <c r="HS24" s="617"/>
      <c r="HT24" s="617"/>
      <c r="HU24" s="617"/>
      <c r="HV24" s="617"/>
    </row>
    <row r="25" ht="47.25">
      <c r="A25" s="559">
        <v>24</v>
      </c>
      <c r="B25" s="602">
        <v>38</v>
      </c>
      <c r="C25" s="469"/>
      <c r="D25" s="469" t="s">
        <v>793</v>
      </c>
      <c r="E25" s="560" t="s">
        <v>576</v>
      </c>
      <c r="F25" s="564" t="s">
        <v>576</v>
      </c>
      <c r="G25" s="561" t="s">
        <v>794</v>
      </c>
      <c r="H25" s="562" t="s">
        <v>26</v>
      </c>
      <c r="I25" s="562" t="s">
        <v>795</v>
      </c>
      <c r="J25" s="562" t="s">
        <v>796</v>
      </c>
      <c r="K25" s="469" t="s">
        <v>797</v>
      </c>
      <c r="L25" s="563">
        <v>42636</v>
      </c>
      <c r="M25" s="563">
        <v>42628</v>
      </c>
      <c r="N25" s="603" t="s">
        <v>798</v>
      </c>
      <c r="O25" s="604" t="s">
        <v>799</v>
      </c>
      <c r="P25" s="605" t="s">
        <v>583</v>
      </c>
      <c r="Q25" s="603" t="s">
        <v>364</v>
      </c>
      <c r="R25" s="605" t="s">
        <v>584</v>
      </c>
      <c r="S25" s="605" t="s">
        <v>585</v>
      </c>
      <c r="T25" s="234" t="s">
        <v>584</v>
      </c>
      <c r="U25" s="234" t="s">
        <v>585</v>
      </c>
      <c r="V25" s="562">
        <v>2</v>
      </c>
      <c r="W25" s="562" t="s">
        <v>675</v>
      </c>
      <c r="X25" s="564" t="s">
        <v>576</v>
      </c>
      <c r="Y25" s="564" t="s">
        <v>648</v>
      </c>
      <c r="Z25" s="564" t="s">
        <v>587</v>
      </c>
      <c r="AA25" s="564">
        <v>3</v>
      </c>
      <c r="AB25" s="565" t="s">
        <v>588</v>
      </c>
      <c r="AC25" s="565" t="s">
        <v>588</v>
      </c>
      <c r="AD25" s="565" t="s">
        <v>588</v>
      </c>
      <c r="AE25" s="565"/>
      <c r="AF25" s="566" t="s">
        <v>589</v>
      </c>
      <c r="AG25" s="565" t="s">
        <v>590</v>
      </c>
      <c r="AH25" s="565" t="s">
        <v>590</v>
      </c>
      <c r="AI25" s="565" t="s">
        <v>590</v>
      </c>
      <c r="AJ25" s="565"/>
      <c r="AK25" s="562" t="s">
        <v>591</v>
      </c>
      <c r="AL25" s="564" t="s">
        <v>592</v>
      </c>
      <c r="AM25" s="564" t="s">
        <v>800</v>
      </c>
      <c r="AN25" s="567" t="s">
        <v>576</v>
      </c>
      <c r="AO25" s="567" t="s">
        <v>648</v>
      </c>
      <c r="AP25" s="567" t="s">
        <v>587</v>
      </c>
      <c r="AQ25" s="567">
        <v>3</v>
      </c>
      <c r="AR25" s="568" t="s">
        <v>596</v>
      </c>
      <c r="AS25" s="568" t="s">
        <v>596</v>
      </c>
      <c r="AT25" s="568" t="s">
        <v>596</v>
      </c>
      <c r="AU25" s="568"/>
      <c r="AV25" s="663" t="s">
        <v>597</v>
      </c>
      <c r="AW25" s="568" t="s">
        <v>598</v>
      </c>
      <c r="AX25" s="568" t="s">
        <v>598</v>
      </c>
      <c r="AY25" s="568" t="s">
        <v>598</v>
      </c>
      <c r="AZ25" s="568"/>
      <c r="BA25" s="663" t="s">
        <v>599</v>
      </c>
      <c r="BB25" s="567" t="s">
        <v>600</v>
      </c>
      <c r="BC25" s="567" t="s">
        <v>801</v>
      </c>
      <c r="BD25" s="569"/>
      <c r="BE25" s="569"/>
      <c r="BF25" s="569"/>
      <c r="BG25" s="569"/>
      <c r="BH25" s="569"/>
      <c r="BI25" s="569"/>
      <c r="BJ25" s="569"/>
      <c r="BK25" s="569"/>
      <c r="BL25" s="566" t="s">
        <v>601</v>
      </c>
      <c r="BM25" s="569"/>
      <c r="BN25" s="569"/>
      <c r="BO25" s="569"/>
      <c r="BP25" s="569"/>
      <c r="BQ25" s="562" t="s">
        <v>601</v>
      </c>
      <c r="BR25" s="569"/>
      <c r="BS25" s="569"/>
      <c r="BT25" s="570" t="s">
        <v>601</v>
      </c>
      <c r="BU25" s="570" t="s">
        <v>601</v>
      </c>
      <c r="BV25" s="570" t="s">
        <v>601</v>
      </c>
      <c r="BW25" s="570" t="s">
        <v>601</v>
      </c>
      <c r="BX25" s="571" t="s">
        <v>601</v>
      </c>
      <c r="BY25" s="571" t="s">
        <v>601</v>
      </c>
      <c r="BZ25" s="571" t="s">
        <v>601</v>
      </c>
      <c r="CA25" s="566" t="s">
        <v>601</v>
      </c>
      <c r="CB25" s="571" t="s">
        <v>601</v>
      </c>
      <c r="CC25" s="571" t="s">
        <v>601</v>
      </c>
      <c r="CD25" s="571" t="s">
        <v>601</v>
      </c>
      <c r="CE25" s="562" t="s">
        <v>601</v>
      </c>
      <c r="CF25" s="570" t="s">
        <v>601</v>
      </c>
      <c r="CG25" s="570" t="s">
        <v>601</v>
      </c>
      <c r="CH25" s="572" t="s">
        <v>601</v>
      </c>
      <c r="CI25" s="572" t="s">
        <v>601</v>
      </c>
      <c r="CJ25" s="572" t="s">
        <v>601</v>
      </c>
      <c r="CK25" s="572" t="s">
        <v>601</v>
      </c>
      <c r="CL25" s="573" t="s">
        <v>601</v>
      </c>
      <c r="CM25" s="573" t="s">
        <v>601</v>
      </c>
      <c r="CN25" s="573" t="s">
        <v>601</v>
      </c>
      <c r="CO25" s="566" t="s">
        <v>601</v>
      </c>
      <c r="CP25" s="573" t="s">
        <v>601</v>
      </c>
      <c r="CQ25" s="573" t="s">
        <v>601</v>
      </c>
      <c r="CR25" s="573" t="s">
        <v>601</v>
      </c>
      <c r="CS25" s="562" t="s">
        <v>601</v>
      </c>
      <c r="CT25" s="572" t="s">
        <v>601</v>
      </c>
      <c r="CU25" s="572" t="s">
        <v>601</v>
      </c>
      <c r="CV25" s="574" t="s">
        <v>601</v>
      </c>
      <c r="CW25" s="574" t="s">
        <v>601</v>
      </c>
      <c r="CX25" s="574" t="s">
        <v>601</v>
      </c>
      <c r="CY25" s="574" t="s">
        <v>601</v>
      </c>
      <c r="CZ25" s="575" t="s">
        <v>601</v>
      </c>
      <c r="DA25" s="575" t="s">
        <v>601</v>
      </c>
      <c r="DB25" s="575" t="s">
        <v>601</v>
      </c>
      <c r="DC25" s="566" t="s">
        <v>601</v>
      </c>
      <c r="DD25" s="575" t="s">
        <v>601</v>
      </c>
      <c r="DE25" s="575" t="s">
        <v>601</v>
      </c>
      <c r="DF25" s="575" t="s">
        <v>601</v>
      </c>
      <c r="DG25" s="562" t="s">
        <v>601</v>
      </c>
      <c r="DH25" s="574" t="s">
        <v>601</v>
      </c>
      <c r="DI25" s="574" t="s">
        <v>601</v>
      </c>
      <c r="DJ25" s="469">
        <v>2</v>
      </c>
      <c r="DK25" s="469" t="s">
        <v>614</v>
      </c>
      <c r="DL25" s="469" t="s">
        <v>603</v>
      </c>
      <c r="DM25" s="469" t="s">
        <v>601</v>
      </c>
      <c r="DN25" s="469" t="s">
        <v>604</v>
      </c>
      <c r="DO25" s="469" t="s">
        <v>604</v>
      </c>
      <c r="DP25" s="469" t="s">
        <v>604</v>
      </c>
      <c r="DQ25" s="469">
        <v>2</v>
      </c>
      <c r="DR25" s="576"/>
      <c r="DS25" s="606"/>
      <c r="DT25" s="606"/>
      <c r="DU25" s="562"/>
      <c r="DV25" s="606"/>
      <c r="DW25" s="606"/>
      <c r="DX25" s="607"/>
      <c r="DY25" s="611"/>
      <c r="DZ25" s="607"/>
      <c r="EA25" s="607"/>
      <c r="EB25" s="607"/>
      <c r="EC25" s="607"/>
      <c r="ED25" s="562"/>
      <c r="EE25" s="607"/>
      <c r="EF25" s="607"/>
      <c r="EG25" s="607"/>
      <c r="EH25" s="562"/>
      <c r="EI25" s="607"/>
      <c r="EJ25" s="607"/>
      <c r="EK25" s="608"/>
      <c r="EL25" s="608"/>
      <c r="EM25" s="608"/>
      <c r="EN25" s="608"/>
      <c r="EO25" s="608"/>
      <c r="EP25" s="608"/>
      <c r="EQ25" s="562"/>
      <c r="ER25" s="608"/>
      <c r="ES25" s="608"/>
      <c r="ET25" s="608"/>
      <c r="EU25" s="562"/>
      <c r="EV25" s="608"/>
      <c r="EW25" s="608"/>
      <c r="EX25" s="609"/>
      <c r="EY25" s="609"/>
      <c r="EZ25" s="609"/>
      <c r="FA25" s="609"/>
      <c r="FB25" s="609"/>
      <c r="FC25" s="609"/>
      <c r="FD25" s="562"/>
      <c r="FE25" s="609"/>
      <c r="FF25" s="609"/>
      <c r="FG25" s="609"/>
      <c r="FH25" s="562"/>
      <c r="FI25" s="609"/>
      <c r="FJ25" s="609"/>
      <c r="FK25" s="562"/>
      <c r="FL25" s="562"/>
      <c r="FM25" s="562"/>
      <c r="FN25" s="562"/>
      <c r="FO25" s="562"/>
      <c r="FP25" s="562"/>
      <c r="FQ25" s="562"/>
      <c r="FR25" s="562"/>
      <c r="FS25" s="562"/>
      <c r="FT25" s="562"/>
      <c r="FU25" s="562"/>
      <c r="FV25" s="562"/>
      <c r="FW25" s="562"/>
      <c r="FX25" s="610">
        <v>1</v>
      </c>
      <c r="FY25" s="611"/>
      <c r="FZ25" s="611">
        <v>1</v>
      </c>
      <c r="GA25" s="562"/>
      <c r="GB25" s="612"/>
      <c r="GC25" s="603"/>
      <c r="GD25" s="603"/>
      <c r="GE25" s="613"/>
      <c r="GF25" s="613"/>
      <c r="GG25" s="613"/>
      <c r="GH25" s="614"/>
      <c r="GI25" s="614"/>
      <c r="GJ25" s="615"/>
      <c r="GK25" s="615"/>
      <c r="GL25" s="615"/>
      <c r="GM25" s="615"/>
      <c r="GN25" s="615"/>
      <c r="GO25" s="615"/>
      <c r="GP25" s="615"/>
      <c r="GQ25" s="615"/>
      <c r="GR25" s="615"/>
      <c r="GS25" s="615"/>
      <c r="GT25" s="615"/>
      <c r="GU25" s="609"/>
      <c r="GV25" s="609"/>
      <c r="GW25" s="609"/>
      <c r="GX25" s="609"/>
      <c r="GY25" s="609"/>
      <c r="GZ25" s="609"/>
      <c r="HA25" s="609"/>
      <c r="HB25" s="609"/>
      <c r="HC25" s="609"/>
      <c r="HD25" s="609"/>
      <c r="HE25" s="609"/>
      <c r="HF25" s="616"/>
      <c r="HG25" s="616"/>
      <c r="HH25" s="616"/>
      <c r="HI25" s="616"/>
      <c r="HJ25" s="616"/>
      <c r="HK25" s="616"/>
      <c r="HL25" s="616"/>
      <c r="HM25" s="616"/>
      <c r="HN25" s="616"/>
      <c r="HO25" s="616"/>
      <c r="HP25" s="616"/>
      <c r="HQ25" s="617"/>
      <c r="HR25" s="617"/>
      <c r="HS25" s="617"/>
      <c r="HT25" s="617"/>
      <c r="HU25" s="617"/>
      <c r="HV25" s="617"/>
    </row>
    <row r="26" ht="47.25">
      <c r="A26" s="559">
        <v>25</v>
      </c>
      <c r="B26" s="602">
        <v>38</v>
      </c>
      <c r="C26" s="469"/>
      <c r="D26" s="469" t="s">
        <v>802</v>
      </c>
      <c r="E26" s="560" t="s">
        <v>576</v>
      </c>
      <c r="F26" s="564" t="s">
        <v>576</v>
      </c>
      <c r="G26" s="561" t="s">
        <v>803</v>
      </c>
      <c r="H26" s="562" t="s">
        <v>26</v>
      </c>
      <c r="I26" s="562" t="s">
        <v>804</v>
      </c>
      <c r="J26" s="562" t="s">
        <v>805</v>
      </c>
      <c r="K26" s="469" t="s">
        <v>806</v>
      </c>
      <c r="L26" s="563">
        <v>42636</v>
      </c>
      <c r="M26" s="563">
        <v>42628</v>
      </c>
      <c r="N26" s="603" t="s">
        <v>807</v>
      </c>
      <c r="O26" s="604" t="s">
        <v>808</v>
      </c>
      <c r="P26" s="605" t="s">
        <v>583</v>
      </c>
      <c r="Q26" s="603" t="s">
        <v>364</v>
      </c>
      <c r="R26" s="605" t="s">
        <v>584</v>
      </c>
      <c r="S26" s="605" t="s">
        <v>585</v>
      </c>
      <c r="T26" s="234" t="s">
        <v>584</v>
      </c>
      <c r="U26" s="234" t="s">
        <v>585</v>
      </c>
      <c r="V26" s="562">
        <v>2</v>
      </c>
      <c r="W26" s="562" t="s">
        <v>0</v>
      </c>
      <c r="X26" s="564" t="s">
        <v>576</v>
      </c>
      <c r="Y26" s="564" t="s">
        <v>659</v>
      </c>
      <c r="Z26" s="564" t="s">
        <v>587</v>
      </c>
      <c r="AA26" s="564">
        <v>3</v>
      </c>
      <c r="AB26" s="565" t="s">
        <v>588</v>
      </c>
      <c r="AC26" s="565" t="s">
        <v>588</v>
      </c>
      <c r="AD26" s="565" t="s">
        <v>588</v>
      </c>
      <c r="AE26" s="565"/>
      <c r="AF26" s="566" t="s">
        <v>589</v>
      </c>
      <c r="AG26" s="565" t="s">
        <v>590</v>
      </c>
      <c r="AH26" s="565" t="s">
        <v>590</v>
      </c>
      <c r="AI26" s="565" t="s">
        <v>590</v>
      </c>
      <c r="AJ26" s="565"/>
      <c r="AK26" s="562" t="s">
        <v>591</v>
      </c>
      <c r="AL26" s="564" t="s">
        <v>592</v>
      </c>
      <c r="AM26" s="564" t="s">
        <v>809</v>
      </c>
      <c r="AN26" s="567" t="s">
        <v>576</v>
      </c>
      <c r="AO26" s="567" t="s">
        <v>659</v>
      </c>
      <c r="AP26" s="567" t="s">
        <v>587</v>
      </c>
      <c r="AQ26" s="567">
        <v>3</v>
      </c>
      <c r="AR26" s="568" t="s">
        <v>596</v>
      </c>
      <c r="AS26" s="568" t="s">
        <v>596</v>
      </c>
      <c r="AT26" s="568" t="s">
        <v>596</v>
      </c>
      <c r="AU26" s="568"/>
      <c r="AV26" s="663" t="s">
        <v>597</v>
      </c>
      <c r="AW26" s="568" t="s">
        <v>598</v>
      </c>
      <c r="AX26" s="568" t="s">
        <v>598</v>
      </c>
      <c r="AY26" s="568" t="s">
        <v>598</v>
      </c>
      <c r="AZ26" s="568"/>
      <c r="BA26" s="663" t="s">
        <v>599</v>
      </c>
      <c r="BB26" s="567" t="s">
        <v>600</v>
      </c>
      <c r="BC26" s="567" t="s">
        <v>649</v>
      </c>
      <c r="BD26" s="569"/>
      <c r="BE26" s="569"/>
      <c r="BF26" s="569"/>
      <c r="BG26" s="569"/>
      <c r="BH26" s="569"/>
      <c r="BI26" s="569"/>
      <c r="BJ26" s="569"/>
      <c r="BK26" s="569"/>
      <c r="BL26" s="566" t="s">
        <v>601</v>
      </c>
      <c r="BM26" s="569"/>
      <c r="BN26" s="569"/>
      <c r="BO26" s="569"/>
      <c r="BP26" s="569"/>
      <c r="BQ26" s="562" t="s">
        <v>601</v>
      </c>
      <c r="BR26" s="569"/>
      <c r="BS26" s="569"/>
      <c r="BT26" s="570" t="s">
        <v>601</v>
      </c>
      <c r="BU26" s="570" t="s">
        <v>601</v>
      </c>
      <c r="BV26" s="570" t="s">
        <v>601</v>
      </c>
      <c r="BW26" s="570" t="s">
        <v>601</v>
      </c>
      <c r="BX26" s="571" t="s">
        <v>601</v>
      </c>
      <c r="BY26" s="571" t="s">
        <v>601</v>
      </c>
      <c r="BZ26" s="571" t="s">
        <v>601</v>
      </c>
      <c r="CA26" s="566" t="s">
        <v>601</v>
      </c>
      <c r="CB26" s="571" t="s">
        <v>601</v>
      </c>
      <c r="CC26" s="571" t="s">
        <v>601</v>
      </c>
      <c r="CD26" s="571" t="s">
        <v>601</v>
      </c>
      <c r="CE26" s="562" t="s">
        <v>601</v>
      </c>
      <c r="CF26" s="570" t="s">
        <v>601</v>
      </c>
      <c r="CG26" s="570" t="s">
        <v>601</v>
      </c>
      <c r="CH26" s="572" t="s">
        <v>601</v>
      </c>
      <c r="CI26" s="572" t="s">
        <v>601</v>
      </c>
      <c r="CJ26" s="572" t="s">
        <v>601</v>
      </c>
      <c r="CK26" s="572" t="s">
        <v>601</v>
      </c>
      <c r="CL26" s="573" t="s">
        <v>601</v>
      </c>
      <c r="CM26" s="573" t="s">
        <v>601</v>
      </c>
      <c r="CN26" s="573" t="s">
        <v>601</v>
      </c>
      <c r="CO26" s="566" t="s">
        <v>601</v>
      </c>
      <c r="CP26" s="573" t="s">
        <v>601</v>
      </c>
      <c r="CQ26" s="573" t="s">
        <v>601</v>
      </c>
      <c r="CR26" s="573" t="s">
        <v>601</v>
      </c>
      <c r="CS26" s="562" t="s">
        <v>601</v>
      </c>
      <c r="CT26" s="572" t="s">
        <v>601</v>
      </c>
      <c r="CU26" s="572" t="s">
        <v>601</v>
      </c>
      <c r="CV26" s="574" t="s">
        <v>601</v>
      </c>
      <c r="CW26" s="574" t="s">
        <v>601</v>
      </c>
      <c r="CX26" s="574" t="s">
        <v>601</v>
      </c>
      <c r="CY26" s="574" t="s">
        <v>601</v>
      </c>
      <c r="CZ26" s="575" t="s">
        <v>601</v>
      </c>
      <c r="DA26" s="575" t="s">
        <v>601</v>
      </c>
      <c r="DB26" s="575" t="s">
        <v>601</v>
      </c>
      <c r="DC26" s="566" t="s">
        <v>601</v>
      </c>
      <c r="DD26" s="575" t="s">
        <v>601</v>
      </c>
      <c r="DE26" s="575" t="s">
        <v>601</v>
      </c>
      <c r="DF26" s="575" t="s">
        <v>601</v>
      </c>
      <c r="DG26" s="562" t="s">
        <v>601</v>
      </c>
      <c r="DH26" s="574" t="s">
        <v>601</v>
      </c>
      <c r="DI26" s="574" t="s">
        <v>601</v>
      </c>
      <c r="DJ26" s="469">
        <v>2</v>
      </c>
      <c r="DK26" s="469" t="s">
        <v>614</v>
      </c>
      <c r="DL26" s="469" t="s">
        <v>603</v>
      </c>
      <c r="DM26" s="469" t="s">
        <v>601</v>
      </c>
      <c r="DN26" s="469" t="s">
        <v>604</v>
      </c>
      <c r="DO26" s="469" t="s">
        <v>604</v>
      </c>
      <c r="DP26" s="469" t="s">
        <v>604</v>
      </c>
      <c r="DQ26" s="469">
        <v>2</v>
      </c>
      <c r="DR26" s="576"/>
      <c r="DS26" s="606"/>
      <c r="DT26" s="606"/>
      <c r="DU26" s="562"/>
      <c r="DV26" s="606"/>
      <c r="DW26" s="606"/>
      <c r="DX26" s="607"/>
      <c r="DY26" s="611"/>
      <c r="DZ26" s="607"/>
      <c r="EA26" s="607"/>
      <c r="EB26" s="607"/>
      <c r="EC26" s="607"/>
      <c r="ED26" s="562"/>
      <c r="EE26" s="607"/>
      <c r="EF26" s="607"/>
      <c r="EG26" s="607"/>
      <c r="EH26" s="562"/>
      <c r="EI26" s="607"/>
      <c r="EJ26" s="607"/>
      <c r="EK26" s="608"/>
      <c r="EL26" s="608"/>
      <c r="EM26" s="608"/>
      <c r="EN26" s="608"/>
      <c r="EO26" s="608"/>
      <c r="EP26" s="608"/>
      <c r="EQ26" s="562"/>
      <c r="ER26" s="608"/>
      <c r="ES26" s="608"/>
      <c r="ET26" s="608"/>
      <c r="EU26" s="562"/>
      <c r="EV26" s="608"/>
      <c r="EW26" s="608"/>
      <c r="EX26" s="609"/>
      <c r="EY26" s="609"/>
      <c r="EZ26" s="609"/>
      <c r="FA26" s="609"/>
      <c r="FB26" s="609"/>
      <c r="FC26" s="609"/>
      <c r="FD26" s="562"/>
      <c r="FE26" s="609"/>
      <c r="FF26" s="609"/>
      <c r="FG26" s="609"/>
      <c r="FH26" s="562"/>
      <c r="FI26" s="609"/>
      <c r="FJ26" s="609"/>
      <c r="FK26" s="562"/>
      <c r="FL26" s="562"/>
      <c r="FM26" s="562"/>
      <c r="FN26" s="562"/>
      <c r="FO26" s="562"/>
      <c r="FP26" s="562"/>
      <c r="FQ26" s="562"/>
      <c r="FR26" s="562"/>
      <c r="FS26" s="562"/>
      <c r="FT26" s="562"/>
      <c r="FU26" s="562"/>
      <c r="FV26" s="562"/>
      <c r="FW26" s="562"/>
      <c r="FX26" s="610"/>
      <c r="FY26" s="611"/>
      <c r="FZ26" s="611"/>
      <c r="GA26" s="562"/>
      <c r="GB26" s="612"/>
      <c r="GC26" s="603"/>
      <c r="GD26" s="603"/>
      <c r="GE26" s="613"/>
      <c r="GF26" s="613"/>
      <c r="GG26" s="613"/>
      <c r="GH26" s="614"/>
      <c r="GI26" s="614"/>
      <c r="GJ26" s="615"/>
      <c r="GK26" s="615"/>
      <c r="GL26" s="615"/>
      <c r="GM26" s="615"/>
      <c r="GN26" s="615"/>
      <c r="GO26" s="615"/>
      <c r="GP26" s="615"/>
      <c r="GQ26" s="615"/>
      <c r="GR26" s="615"/>
      <c r="GS26" s="615"/>
      <c r="GT26" s="615"/>
      <c r="GU26" s="609"/>
      <c r="GV26" s="609"/>
      <c r="GW26" s="609"/>
      <c r="GX26" s="609"/>
      <c r="GY26" s="609"/>
      <c r="GZ26" s="609"/>
      <c r="HA26" s="609"/>
      <c r="HB26" s="609"/>
      <c r="HC26" s="609"/>
      <c r="HD26" s="609"/>
      <c r="HE26" s="609"/>
      <c r="HF26" s="616"/>
      <c r="HG26" s="616"/>
      <c r="HH26" s="616"/>
      <c r="HI26" s="616"/>
      <c r="HJ26" s="616"/>
      <c r="HK26" s="616"/>
      <c r="HL26" s="616"/>
      <c r="HM26" s="616"/>
      <c r="HN26" s="616"/>
      <c r="HO26" s="616"/>
      <c r="HP26" s="616"/>
      <c r="HQ26" s="617"/>
      <c r="HR26" s="617"/>
      <c r="HS26" s="617"/>
      <c r="HT26" s="617"/>
      <c r="HU26" s="617"/>
      <c r="HV26" s="617"/>
    </row>
    <row r="27" ht="47.25">
      <c r="A27" s="559">
        <v>26</v>
      </c>
      <c r="B27" s="602">
        <v>38</v>
      </c>
      <c r="C27" s="469"/>
      <c r="D27" s="469" t="s">
        <v>810</v>
      </c>
      <c r="E27" s="560" t="s">
        <v>576</v>
      </c>
      <c r="F27" s="564" t="s">
        <v>576</v>
      </c>
      <c r="G27" s="561" t="s">
        <v>811</v>
      </c>
      <c r="H27" s="562" t="s">
        <v>26</v>
      </c>
      <c r="I27" s="562" t="s">
        <v>812</v>
      </c>
      <c r="J27" s="562" t="s">
        <v>813</v>
      </c>
      <c r="K27" s="469" t="s">
        <v>814</v>
      </c>
      <c r="L27" s="563">
        <v>42636</v>
      </c>
      <c r="M27" s="563">
        <v>42628</v>
      </c>
      <c r="N27" s="603" t="s">
        <v>815</v>
      </c>
      <c r="O27" s="604" t="s">
        <v>816</v>
      </c>
      <c r="P27" s="605" t="s">
        <v>583</v>
      </c>
      <c r="Q27" s="603" t="s">
        <v>364</v>
      </c>
      <c r="R27" s="605" t="s">
        <v>584</v>
      </c>
      <c r="S27" s="605" t="s">
        <v>585</v>
      </c>
      <c r="T27" s="234" t="s">
        <v>584</v>
      </c>
      <c r="U27" s="234" t="s">
        <v>585</v>
      </c>
      <c r="V27" s="562">
        <v>1</v>
      </c>
      <c r="W27" s="562" t="s">
        <v>0</v>
      </c>
      <c r="X27" s="564" t="s">
        <v>576</v>
      </c>
      <c r="Y27" s="564" t="s">
        <v>817</v>
      </c>
      <c r="Z27" s="564" t="s">
        <v>587</v>
      </c>
      <c r="AA27" s="564">
        <v>3</v>
      </c>
      <c r="AB27" s="565" t="s">
        <v>596</v>
      </c>
      <c r="AC27" s="565" t="s">
        <v>596</v>
      </c>
      <c r="AD27" s="565" t="s">
        <v>596</v>
      </c>
      <c r="AE27" s="565"/>
      <c r="AF27" s="566" t="s">
        <v>597</v>
      </c>
      <c r="AG27" s="565" t="s">
        <v>598</v>
      </c>
      <c r="AH27" s="565" t="s">
        <v>598</v>
      </c>
      <c r="AI27" s="565" t="s">
        <v>598</v>
      </c>
      <c r="AJ27" s="565"/>
      <c r="AK27" s="562" t="s">
        <v>599</v>
      </c>
      <c r="AL27" s="564">
        <v>2100</v>
      </c>
      <c r="AM27" s="564" t="s">
        <v>818</v>
      </c>
      <c r="AN27" s="567"/>
      <c r="AO27" s="567"/>
      <c r="AP27" s="567"/>
      <c r="AQ27" s="567"/>
      <c r="AR27" s="568"/>
      <c r="AS27" s="568"/>
      <c r="AT27" s="568"/>
      <c r="AU27" s="568"/>
      <c r="AV27" s="663" t="s">
        <v>601</v>
      </c>
      <c r="AW27" s="568"/>
      <c r="AX27" s="568"/>
      <c r="AY27" s="568"/>
      <c r="AZ27" s="568"/>
      <c r="BA27" s="663" t="s">
        <v>601</v>
      </c>
      <c r="BB27" s="567"/>
      <c r="BC27" s="567"/>
      <c r="BD27" s="569"/>
      <c r="BE27" s="569"/>
      <c r="BF27" s="569"/>
      <c r="BG27" s="569"/>
      <c r="BH27" s="569"/>
      <c r="BI27" s="569"/>
      <c r="BJ27" s="569"/>
      <c r="BK27" s="569"/>
      <c r="BL27" s="566" t="s">
        <v>601</v>
      </c>
      <c r="BM27" s="569"/>
      <c r="BN27" s="569"/>
      <c r="BO27" s="569"/>
      <c r="BP27" s="569"/>
      <c r="BQ27" s="562" t="s">
        <v>601</v>
      </c>
      <c r="BR27" s="569"/>
      <c r="BS27" s="569"/>
      <c r="BT27" s="570" t="s">
        <v>601</v>
      </c>
      <c r="BU27" s="570" t="s">
        <v>601</v>
      </c>
      <c r="BV27" s="570" t="s">
        <v>601</v>
      </c>
      <c r="BW27" s="570" t="s">
        <v>601</v>
      </c>
      <c r="BX27" s="571" t="s">
        <v>601</v>
      </c>
      <c r="BY27" s="571" t="s">
        <v>601</v>
      </c>
      <c r="BZ27" s="571" t="s">
        <v>601</v>
      </c>
      <c r="CA27" s="566" t="s">
        <v>601</v>
      </c>
      <c r="CB27" s="571" t="s">
        <v>601</v>
      </c>
      <c r="CC27" s="571" t="s">
        <v>601</v>
      </c>
      <c r="CD27" s="571" t="s">
        <v>601</v>
      </c>
      <c r="CE27" s="562" t="s">
        <v>601</v>
      </c>
      <c r="CF27" s="570" t="s">
        <v>601</v>
      </c>
      <c r="CG27" s="570" t="s">
        <v>601</v>
      </c>
      <c r="CH27" s="572" t="s">
        <v>601</v>
      </c>
      <c r="CI27" s="572" t="s">
        <v>601</v>
      </c>
      <c r="CJ27" s="572" t="s">
        <v>601</v>
      </c>
      <c r="CK27" s="572" t="s">
        <v>601</v>
      </c>
      <c r="CL27" s="573" t="s">
        <v>601</v>
      </c>
      <c r="CM27" s="573" t="s">
        <v>601</v>
      </c>
      <c r="CN27" s="573" t="s">
        <v>601</v>
      </c>
      <c r="CO27" s="566" t="s">
        <v>601</v>
      </c>
      <c r="CP27" s="573" t="s">
        <v>601</v>
      </c>
      <c r="CQ27" s="573" t="s">
        <v>601</v>
      </c>
      <c r="CR27" s="573" t="s">
        <v>601</v>
      </c>
      <c r="CS27" s="562" t="s">
        <v>601</v>
      </c>
      <c r="CT27" s="572" t="s">
        <v>601</v>
      </c>
      <c r="CU27" s="572" t="s">
        <v>601</v>
      </c>
      <c r="CV27" s="574" t="s">
        <v>601</v>
      </c>
      <c r="CW27" s="574" t="s">
        <v>601</v>
      </c>
      <c r="CX27" s="574" t="s">
        <v>601</v>
      </c>
      <c r="CY27" s="574" t="s">
        <v>601</v>
      </c>
      <c r="CZ27" s="575" t="s">
        <v>601</v>
      </c>
      <c r="DA27" s="575" t="s">
        <v>601</v>
      </c>
      <c r="DB27" s="575" t="s">
        <v>601</v>
      </c>
      <c r="DC27" s="566" t="s">
        <v>601</v>
      </c>
      <c r="DD27" s="575" t="s">
        <v>601</v>
      </c>
      <c r="DE27" s="575" t="s">
        <v>601</v>
      </c>
      <c r="DF27" s="575" t="s">
        <v>601</v>
      </c>
      <c r="DG27" s="562" t="s">
        <v>601</v>
      </c>
      <c r="DH27" s="574" t="s">
        <v>601</v>
      </c>
      <c r="DI27" s="574" t="s">
        <v>601</v>
      </c>
      <c r="DJ27" s="469">
        <v>1</v>
      </c>
      <c r="DK27" s="469" t="s">
        <v>623</v>
      </c>
      <c r="DL27" s="469" t="s">
        <v>601</v>
      </c>
      <c r="DM27" s="469" t="s">
        <v>601</v>
      </c>
      <c r="DN27" s="469" t="s">
        <v>604</v>
      </c>
      <c r="DO27" s="469" t="s">
        <v>604</v>
      </c>
      <c r="DP27" s="469" t="s">
        <v>604</v>
      </c>
      <c r="DQ27" s="469">
        <v>1</v>
      </c>
      <c r="DR27" s="576"/>
      <c r="DS27" s="606"/>
      <c r="DT27" s="606"/>
      <c r="DU27" s="562"/>
      <c r="DV27" s="606"/>
      <c r="DW27" s="606"/>
      <c r="DX27" s="607"/>
      <c r="DY27" s="611"/>
      <c r="DZ27" s="607"/>
      <c r="EA27" s="607"/>
      <c r="EB27" s="607"/>
      <c r="EC27" s="607"/>
      <c r="ED27" s="562"/>
      <c r="EE27" s="607"/>
      <c r="EF27" s="607"/>
      <c r="EG27" s="607"/>
      <c r="EH27" s="562"/>
      <c r="EI27" s="607"/>
      <c r="EJ27" s="607"/>
      <c r="EK27" s="608"/>
      <c r="EL27" s="608"/>
      <c r="EM27" s="608"/>
      <c r="EN27" s="608"/>
      <c r="EO27" s="608"/>
      <c r="EP27" s="608"/>
      <c r="EQ27" s="562"/>
      <c r="ER27" s="608"/>
      <c r="ES27" s="608"/>
      <c r="ET27" s="608"/>
      <c r="EU27" s="562"/>
      <c r="EV27" s="608"/>
      <c r="EW27" s="608"/>
      <c r="EX27" s="609"/>
      <c r="EY27" s="609"/>
      <c r="EZ27" s="609"/>
      <c r="FA27" s="609"/>
      <c r="FB27" s="609"/>
      <c r="FC27" s="609"/>
      <c r="FD27" s="562"/>
      <c r="FE27" s="609"/>
      <c r="FF27" s="609"/>
      <c r="FG27" s="609"/>
      <c r="FH27" s="562"/>
      <c r="FI27" s="609"/>
      <c r="FJ27" s="609"/>
      <c r="FK27" s="562"/>
      <c r="FL27" s="562"/>
      <c r="FM27" s="562"/>
      <c r="FN27" s="562"/>
      <c r="FO27" s="562"/>
      <c r="FP27" s="562"/>
      <c r="FQ27" s="562"/>
      <c r="FR27" s="562"/>
      <c r="FS27" s="562"/>
      <c r="FT27" s="562"/>
      <c r="FU27" s="562"/>
      <c r="FV27" s="562"/>
      <c r="FW27" s="562"/>
      <c r="FX27" s="610"/>
      <c r="FY27" s="611"/>
      <c r="FZ27" s="611"/>
      <c r="GA27" s="562"/>
      <c r="GB27" s="612"/>
      <c r="GC27" s="603"/>
      <c r="GD27" s="603"/>
      <c r="GE27" s="613"/>
      <c r="GF27" s="613"/>
      <c r="GG27" s="613"/>
      <c r="GH27" s="614"/>
      <c r="GI27" s="614"/>
      <c r="GJ27" s="615"/>
      <c r="GK27" s="615"/>
      <c r="GL27" s="615"/>
      <c r="GM27" s="615"/>
      <c r="GN27" s="615"/>
      <c r="GO27" s="615"/>
      <c r="GP27" s="615"/>
      <c r="GQ27" s="615"/>
      <c r="GR27" s="615"/>
      <c r="GS27" s="615"/>
      <c r="GT27" s="615"/>
      <c r="GU27" s="609"/>
      <c r="GV27" s="609"/>
      <c r="GW27" s="609"/>
      <c r="GX27" s="609"/>
      <c r="GY27" s="609"/>
      <c r="GZ27" s="609"/>
      <c r="HA27" s="609"/>
      <c r="HB27" s="609"/>
      <c r="HC27" s="609"/>
      <c r="HD27" s="609"/>
      <c r="HE27" s="609"/>
      <c r="HF27" s="616"/>
      <c r="HG27" s="616"/>
      <c r="HH27" s="616"/>
      <c r="HI27" s="616"/>
      <c r="HJ27" s="616"/>
      <c r="HK27" s="616"/>
      <c r="HL27" s="616"/>
      <c r="HM27" s="616"/>
      <c r="HN27" s="616"/>
      <c r="HO27" s="616"/>
      <c r="HP27" s="616"/>
      <c r="HQ27" s="617"/>
      <c r="HR27" s="617"/>
      <c r="HS27" s="617"/>
      <c r="HT27" s="617"/>
      <c r="HU27" s="617"/>
      <c r="HV27" s="617"/>
    </row>
    <row r="28" ht="47.25">
      <c r="A28" s="559">
        <v>27</v>
      </c>
      <c r="B28" s="602">
        <v>38</v>
      </c>
      <c r="C28" s="469"/>
      <c r="D28" s="469" t="s">
        <v>819</v>
      </c>
      <c r="E28" s="560" t="s">
        <v>576</v>
      </c>
      <c r="F28" s="564" t="s">
        <v>576</v>
      </c>
      <c r="G28" s="561" t="s">
        <v>820</v>
      </c>
      <c r="H28" s="562" t="s">
        <v>26</v>
      </c>
      <c r="I28" s="562" t="s">
        <v>821</v>
      </c>
      <c r="J28" s="562" t="s">
        <v>822</v>
      </c>
      <c r="K28" s="469" t="s">
        <v>823</v>
      </c>
      <c r="L28" s="563">
        <v>42636</v>
      </c>
      <c r="M28" s="563">
        <v>42628</v>
      </c>
      <c r="N28" s="603" t="s">
        <v>824</v>
      </c>
      <c r="O28" s="604" t="s">
        <v>825</v>
      </c>
      <c r="P28" s="605" t="s">
        <v>583</v>
      </c>
      <c r="Q28" s="603" t="s">
        <v>364</v>
      </c>
      <c r="R28" s="605" t="s">
        <v>584</v>
      </c>
      <c r="S28" s="605" t="s">
        <v>585</v>
      </c>
      <c r="T28" s="234" t="s">
        <v>584</v>
      </c>
      <c r="U28" s="234" t="s">
        <v>585</v>
      </c>
      <c r="V28" s="562">
        <v>1</v>
      </c>
      <c r="W28" s="562" t="s">
        <v>0</v>
      </c>
      <c r="X28" s="564" t="s">
        <v>576</v>
      </c>
      <c r="Y28" s="564" t="s">
        <v>826</v>
      </c>
      <c r="Z28" s="564" t="s">
        <v>587</v>
      </c>
      <c r="AA28" s="564">
        <v>3</v>
      </c>
      <c r="AB28" s="565" t="s">
        <v>596</v>
      </c>
      <c r="AC28" s="565" t="s">
        <v>596</v>
      </c>
      <c r="AD28" s="565" t="s">
        <v>596</v>
      </c>
      <c r="AE28" s="565"/>
      <c r="AF28" s="566" t="s">
        <v>597</v>
      </c>
      <c r="AG28" s="565" t="s">
        <v>598</v>
      </c>
      <c r="AH28" s="565" t="s">
        <v>598</v>
      </c>
      <c r="AI28" s="565" t="s">
        <v>598</v>
      </c>
      <c r="AJ28" s="565"/>
      <c r="AK28" s="562" t="s">
        <v>599</v>
      </c>
      <c r="AL28" s="564">
        <v>2100</v>
      </c>
      <c r="AM28" s="564" t="s">
        <v>649</v>
      </c>
      <c r="AN28" s="567"/>
      <c r="AO28" s="567"/>
      <c r="AP28" s="567"/>
      <c r="AQ28" s="567"/>
      <c r="AR28" s="568"/>
      <c r="AS28" s="568"/>
      <c r="AT28" s="568"/>
      <c r="AU28" s="568"/>
      <c r="AV28" s="663" t="s">
        <v>601</v>
      </c>
      <c r="AW28" s="568"/>
      <c r="AX28" s="568"/>
      <c r="AY28" s="568"/>
      <c r="AZ28" s="568"/>
      <c r="BA28" s="663" t="s">
        <v>601</v>
      </c>
      <c r="BB28" s="567"/>
      <c r="BC28" s="567"/>
      <c r="BD28" s="569"/>
      <c r="BE28" s="569"/>
      <c r="BF28" s="569"/>
      <c r="BG28" s="569"/>
      <c r="BH28" s="569"/>
      <c r="BI28" s="569"/>
      <c r="BJ28" s="569"/>
      <c r="BK28" s="569"/>
      <c r="BL28" s="566" t="s">
        <v>601</v>
      </c>
      <c r="BM28" s="569"/>
      <c r="BN28" s="569"/>
      <c r="BO28" s="569"/>
      <c r="BP28" s="569"/>
      <c r="BQ28" s="562" t="s">
        <v>601</v>
      </c>
      <c r="BR28" s="569"/>
      <c r="BS28" s="569"/>
      <c r="BT28" s="570" t="s">
        <v>601</v>
      </c>
      <c r="BU28" s="570" t="s">
        <v>601</v>
      </c>
      <c r="BV28" s="570" t="s">
        <v>601</v>
      </c>
      <c r="BW28" s="570" t="s">
        <v>601</v>
      </c>
      <c r="BX28" s="571" t="s">
        <v>601</v>
      </c>
      <c r="BY28" s="571" t="s">
        <v>601</v>
      </c>
      <c r="BZ28" s="571" t="s">
        <v>601</v>
      </c>
      <c r="CA28" s="566" t="s">
        <v>601</v>
      </c>
      <c r="CB28" s="571" t="s">
        <v>601</v>
      </c>
      <c r="CC28" s="571" t="s">
        <v>601</v>
      </c>
      <c r="CD28" s="571" t="s">
        <v>601</v>
      </c>
      <c r="CE28" s="562" t="s">
        <v>601</v>
      </c>
      <c r="CF28" s="570" t="s">
        <v>601</v>
      </c>
      <c r="CG28" s="570" t="s">
        <v>601</v>
      </c>
      <c r="CH28" s="572" t="s">
        <v>601</v>
      </c>
      <c r="CI28" s="572" t="s">
        <v>601</v>
      </c>
      <c r="CJ28" s="572" t="s">
        <v>601</v>
      </c>
      <c r="CK28" s="572" t="s">
        <v>601</v>
      </c>
      <c r="CL28" s="573" t="s">
        <v>601</v>
      </c>
      <c r="CM28" s="573" t="s">
        <v>601</v>
      </c>
      <c r="CN28" s="573" t="s">
        <v>601</v>
      </c>
      <c r="CO28" s="566" t="s">
        <v>601</v>
      </c>
      <c r="CP28" s="573" t="s">
        <v>601</v>
      </c>
      <c r="CQ28" s="573" t="s">
        <v>601</v>
      </c>
      <c r="CR28" s="573" t="s">
        <v>601</v>
      </c>
      <c r="CS28" s="562" t="s">
        <v>601</v>
      </c>
      <c r="CT28" s="572" t="s">
        <v>601</v>
      </c>
      <c r="CU28" s="572" t="s">
        <v>601</v>
      </c>
      <c r="CV28" s="574" t="s">
        <v>601</v>
      </c>
      <c r="CW28" s="574" t="s">
        <v>601</v>
      </c>
      <c r="CX28" s="574" t="s">
        <v>601</v>
      </c>
      <c r="CY28" s="574" t="s">
        <v>601</v>
      </c>
      <c r="CZ28" s="575" t="s">
        <v>601</v>
      </c>
      <c r="DA28" s="575" t="s">
        <v>601</v>
      </c>
      <c r="DB28" s="575" t="s">
        <v>601</v>
      </c>
      <c r="DC28" s="566" t="s">
        <v>601</v>
      </c>
      <c r="DD28" s="575" t="s">
        <v>601</v>
      </c>
      <c r="DE28" s="575" t="s">
        <v>601</v>
      </c>
      <c r="DF28" s="575" t="s">
        <v>601</v>
      </c>
      <c r="DG28" s="562" t="s">
        <v>601</v>
      </c>
      <c r="DH28" s="574" t="s">
        <v>601</v>
      </c>
      <c r="DI28" s="574" t="s">
        <v>601</v>
      </c>
      <c r="DJ28" s="469">
        <v>1</v>
      </c>
      <c r="DK28" s="469" t="s">
        <v>623</v>
      </c>
      <c r="DL28" s="469" t="s">
        <v>601</v>
      </c>
      <c r="DM28" s="469" t="s">
        <v>601</v>
      </c>
      <c r="DN28" s="469" t="s">
        <v>604</v>
      </c>
      <c r="DO28" s="469" t="s">
        <v>604</v>
      </c>
      <c r="DP28" s="469" t="s">
        <v>604</v>
      </c>
      <c r="DQ28" s="469">
        <v>1</v>
      </c>
      <c r="DR28" s="576"/>
      <c r="DS28" s="606"/>
      <c r="DT28" s="606"/>
      <c r="DU28" s="562"/>
      <c r="DV28" s="606"/>
      <c r="DW28" s="606"/>
      <c r="DX28" s="607"/>
      <c r="DY28" s="611"/>
      <c r="DZ28" s="607"/>
      <c r="EA28" s="607"/>
      <c r="EB28" s="607"/>
      <c r="EC28" s="607"/>
      <c r="ED28" s="562"/>
      <c r="EE28" s="607"/>
      <c r="EF28" s="607"/>
      <c r="EG28" s="607"/>
      <c r="EH28" s="562"/>
      <c r="EI28" s="607"/>
      <c r="EJ28" s="607"/>
      <c r="EK28" s="608"/>
      <c r="EL28" s="608"/>
      <c r="EM28" s="608"/>
      <c r="EN28" s="608"/>
      <c r="EO28" s="608"/>
      <c r="EP28" s="608"/>
      <c r="EQ28" s="562"/>
      <c r="ER28" s="608"/>
      <c r="ES28" s="608"/>
      <c r="ET28" s="608"/>
      <c r="EU28" s="562"/>
      <c r="EV28" s="608"/>
      <c r="EW28" s="608"/>
      <c r="EX28" s="609"/>
      <c r="EY28" s="609"/>
      <c r="EZ28" s="609"/>
      <c r="FA28" s="609"/>
      <c r="FB28" s="609"/>
      <c r="FC28" s="609"/>
      <c r="FD28" s="562"/>
      <c r="FE28" s="609"/>
      <c r="FF28" s="609"/>
      <c r="FG28" s="609"/>
      <c r="FH28" s="562"/>
      <c r="FI28" s="609"/>
      <c r="FJ28" s="609"/>
      <c r="FK28" s="562"/>
      <c r="FL28" s="562"/>
      <c r="FM28" s="562"/>
      <c r="FN28" s="562"/>
      <c r="FO28" s="562"/>
      <c r="FP28" s="562"/>
      <c r="FQ28" s="562"/>
      <c r="FR28" s="562"/>
      <c r="FS28" s="562"/>
      <c r="FT28" s="562"/>
      <c r="FU28" s="562"/>
      <c r="FV28" s="562"/>
      <c r="FW28" s="562"/>
      <c r="FX28" s="610"/>
      <c r="FY28" s="611"/>
      <c r="FZ28" s="611"/>
      <c r="GA28" s="562"/>
      <c r="GB28" s="612"/>
      <c r="GC28" s="603"/>
      <c r="GD28" s="603"/>
      <c r="GE28" s="613"/>
      <c r="GF28" s="613"/>
      <c r="GG28" s="613"/>
      <c r="GH28" s="614"/>
      <c r="GI28" s="614"/>
      <c r="GJ28" s="615"/>
      <c r="GK28" s="615"/>
      <c r="GL28" s="615"/>
      <c r="GM28" s="615"/>
      <c r="GN28" s="615"/>
      <c r="GO28" s="615"/>
      <c r="GP28" s="615"/>
      <c r="GQ28" s="615"/>
      <c r="GR28" s="615"/>
      <c r="GS28" s="615"/>
      <c r="GT28" s="615"/>
      <c r="GU28" s="609"/>
      <c r="GV28" s="609"/>
      <c r="GW28" s="609"/>
      <c r="GX28" s="609"/>
      <c r="GY28" s="609"/>
      <c r="GZ28" s="609"/>
      <c r="HA28" s="609"/>
      <c r="HB28" s="609"/>
      <c r="HC28" s="609"/>
      <c r="HD28" s="609"/>
      <c r="HE28" s="609"/>
      <c r="HF28" s="616"/>
      <c r="HG28" s="616"/>
      <c r="HH28" s="616"/>
      <c r="HI28" s="616"/>
      <c r="HJ28" s="616"/>
      <c r="HK28" s="616"/>
      <c r="HL28" s="616"/>
      <c r="HM28" s="616"/>
      <c r="HN28" s="616"/>
      <c r="HO28" s="616"/>
      <c r="HP28" s="616"/>
      <c r="HQ28" s="617"/>
      <c r="HR28" s="617"/>
      <c r="HS28" s="617"/>
      <c r="HT28" s="617"/>
      <c r="HU28" s="617"/>
      <c r="HV28" s="617"/>
    </row>
    <row r="29" ht="47.25">
      <c r="A29" s="559">
        <v>28</v>
      </c>
      <c r="B29" s="602">
        <v>38</v>
      </c>
      <c r="C29" s="469"/>
      <c r="D29" s="469" t="s">
        <v>827</v>
      </c>
      <c r="E29" s="560" t="s">
        <v>576</v>
      </c>
      <c r="F29" s="564" t="s">
        <v>576</v>
      </c>
      <c r="G29" s="561" t="s">
        <v>828</v>
      </c>
      <c r="H29" s="562" t="s">
        <v>26</v>
      </c>
      <c r="I29" s="562" t="s">
        <v>829</v>
      </c>
      <c r="J29" s="562" t="s">
        <v>830</v>
      </c>
      <c r="K29" s="469" t="s">
        <v>831</v>
      </c>
      <c r="L29" s="563">
        <v>42636</v>
      </c>
      <c r="M29" s="563">
        <v>42629</v>
      </c>
      <c r="N29" s="603" t="s">
        <v>832</v>
      </c>
      <c r="O29" s="604" t="s">
        <v>833</v>
      </c>
      <c r="P29" s="605" t="s">
        <v>583</v>
      </c>
      <c r="Q29" s="603" t="s">
        <v>364</v>
      </c>
      <c r="R29" s="605" t="s">
        <v>584</v>
      </c>
      <c r="S29" s="605" t="s">
        <v>585</v>
      </c>
      <c r="T29" s="234" t="s">
        <v>584</v>
      </c>
      <c r="U29" s="234" t="s">
        <v>585</v>
      </c>
      <c r="V29" s="562">
        <v>1</v>
      </c>
      <c r="W29" s="562" t="s">
        <v>0</v>
      </c>
      <c r="X29" s="564" t="s">
        <v>576</v>
      </c>
      <c r="Y29" s="564" t="s">
        <v>834</v>
      </c>
      <c r="Z29" s="564" t="s">
        <v>587</v>
      </c>
      <c r="AA29" s="564">
        <v>3</v>
      </c>
      <c r="AB29" s="565" t="s">
        <v>596</v>
      </c>
      <c r="AC29" s="565" t="s">
        <v>596</v>
      </c>
      <c r="AD29" s="565" t="s">
        <v>596</v>
      </c>
      <c r="AE29" s="565"/>
      <c r="AF29" s="566" t="s">
        <v>597</v>
      </c>
      <c r="AG29" s="565" t="s">
        <v>598</v>
      </c>
      <c r="AH29" s="565" t="s">
        <v>598</v>
      </c>
      <c r="AI29" s="565" t="s">
        <v>598</v>
      </c>
      <c r="AJ29" s="565"/>
      <c r="AK29" s="562" t="s">
        <v>599</v>
      </c>
      <c r="AL29" s="564">
        <v>2100</v>
      </c>
      <c r="AM29" s="564" t="s">
        <v>709</v>
      </c>
      <c r="AN29" s="567"/>
      <c r="AO29" s="567"/>
      <c r="AP29" s="567"/>
      <c r="AQ29" s="567"/>
      <c r="AR29" s="568"/>
      <c r="AS29" s="568"/>
      <c r="AT29" s="568"/>
      <c r="AU29" s="568"/>
      <c r="AV29" s="663" t="s">
        <v>601</v>
      </c>
      <c r="AW29" s="568"/>
      <c r="AX29" s="568"/>
      <c r="AY29" s="568"/>
      <c r="AZ29" s="568"/>
      <c r="BA29" s="663" t="s">
        <v>601</v>
      </c>
      <c r="BB29" s="567"/>
      <c r="BC29" s="567"/>
      <c r="BD29" s="569"/>
      <c r="BE29" s="569"/>
      <c r="BF29" s="569"/>
      <c r="BG29" s="569"/>
      <c r="BH29" s="569"/>
      <c r="BI29" s="569"/>
      <c r="BJ29" s="569"/>
      <c r="BK29" s="569"/>
      <c r="BL29" s="566" t="s">
        <v>601</v>
      </c>
      <c r="BM29" s="569"/>
      <c r="BN29" s="569"/>
      <c r="BO29" s="569"/>
      <c r="BP29" s="569"/>
      <c r="BQ29" s="562" t="s">
        <v>601</v>
      </c>
      <c r="BR29" s="569"/>
      <c r="BS29" s="569"/>
      <c r="BT29" s="570" t="s">
        <v>601</v>
      </c>
      <c r="BU29" s="570" t="s">
        <v>601</v>
      </c>
      <c r="BV29" s="570" t="s">
        <v>601</v>
      </c>
      <c r="BW29" s="570" t="s">
        <v>601</v>
      </c>
      <c r="BX29" s="571" t="s">
        <v>601</v>
      </c>
      <c r="BY29" s="571" t="s">
        <v>601</v>
      </c>
      <c r="BZ29" s="571" t="s">
        <v>601</v>
      </c>
      <c r="CA29" s="566" t="s">
        <v>601</v>
      </c>
      <c r="CB29" s="571" t="s">
        <v>601</v>
      </c>
      <c r="CC29" s="571" t="s">
        <v>601</v>
      </c>
      <c r="CD29" s="571" t="s">
        <v>601</v>
      </c>
      <c r="CE29" s="562" t="s">
        <v>601</v>
      </c>
      <c r="CF29" s="570" t="s">
        <v>601</v>
      </c>
      <c r="CG29" s="570" t="s">
        <v>601</v>
      </c>
      <c r="CH29" s="572" t="s">
        <v>601</v>
      </c>
      <c r="CI29" s="572" t="s">
        <v>601</v>
      </c>
      <c r="CJ29" s="572" t="s">
        <v>601</v>
      </c>
      <c r="CK29" s="572" t="s">
        <v>601</v>
      </c>
      <c r="CL29" s="573" t="s">
        <v>601</v>
      </c>
      <c r="CM29" s="573" t="s">
        <v>601</v>
      </c>
      <c r="CN29" s="573" t="s">
        <v>601</v>
      </c>
      <c r="CO29" s="566" t="s">
        <v>601</v>
      </c>
      <c r="CP29" s="573" t="s">
        <v>601</v>
      </c>
      <c r="CQ29" s="573" t="s">
        <v>601</v>
      </c>
      <c r="CR29" s="573" t="s">
        <v>601</v>
      </c>
      <c r="CS29" s="562" t="s">
        <v>601</v>
      </c>
      <c r="CT29" s="572" t="s">
        <v>601</v>
      </c>
      <c r="CU29" s="572" t="s">
        <v>601</v>
      </c>
      <c r="CV29" s="574" t="s">
        <v>601</v>
      </c>
      <c r="CW29" s="574" t="s">
        <v>601</v>
      </c>
      <c r="CX29" s="574" t="s">
        <v>601</v>
      </c>
      <c r="CY29" s="574" t="s">
        <v>601</v>
      </c>
      <c r="CZ29" s="575" t="s">
        <v>601</v>
      </c>
      <c r="DA29" s="575" t="s">
        <v>601</v>
      </c>
      <c r="DB29" s="575" t="s">
        <v>601</v>
      </c>
      <c r="DC29" s="566" t="s">
        <v>601</v>
      </c>
      <c r="DD29" s="575" t="s">
        <v>601</v>
      </c>
      <c r="DE29" s="575" t="s">
        <v>601</v>
      </c>
      <c r="DF29" s="575" t="s">
        <v>601</v>
      </c>
      <c r="DG29" s="562" t="s">
        <v>601</v>
      </c>
      <c r="DH29" s="574" t="s">
        <v>601</v>
      </c>
      <c r="DI29" s="574" t="s">
        <v>601</v>
      </c>
      <c r="DJ29" s="469">
        <v>1</v>
      </c>
      <c r="DK29" s="469" t="s">
        <v>623</v>
      </c>
      <c r="DL29" s="469" t="s">
        <v>601</v>
      </c>
      <c r="DM29" s="469" t="s">
        <v>601</v>
      </c>
      <c r="DN29" s="469" t="s">
        <v>604</v>
      </c>
      <c r="DO29" s="469" t="s">
        <v>604</v>
      </c>
      <c r="DP29" s="469" t="s">
        <v>604</v>
      </c>
      <c r="DQ29" s="469">
        <v>1</v>
      </c>
      <c r="DR29" s="576"/>
      <c r="DS29" s="606"/>
      <c r="DT29" s="606"/>
      <c r="DU29" s="562"/>
      <c r="DV29" s="606"/>
      <c r="DW29" s="606"/>
      <c r="DX29" s="607"/>
      <c r="DY29" s="611"/>
      <c r="DZ29" s="607"/>
      <c r="EA29" s="607"/>
      <c r="EB29" s="607"/>
      <c r="EC29" s="607"/>
      <c r="ED29" s="562"/>
      <c r="EE29" s="607"/>
      <c r="EF29" s="607"/>
      <c r="EG29" s="607"/>
      <c r="EH29" s="562"/>
      <c r="EI29" s="607"/>
      <c r="EJ29" s="607"/>
      <c r="EK29" s="608"/>
      <c r="EL29" s="608"/>
      <c r="EM29" s="608"/>
      <c r="EN29" s="608"/>
      <c r="EO29" s="608"/>
      <c r="EP29" s="608"/>
      <c r="EQ29" s="562"/>
      <c r="ER29" s="608"/>
      <c r="ES29" s="608"/>
      <c r="ET29" s="608"/>
      <c r="EU29" s="562"/>
      <c r="EV29" s="608"/>
      <c r="EW29" s="608"/>
      <c r="EX29" s="609"/>
      <c r="EY29" s="609"/>
      <c r="EZ29" s="609"/>
      <c r="FA29" s="609"/>
      <c r="FB29" s="609"/>
      <c r="FC29" s="609"/>
      <c r="FD29" s="562"/>
      <c r="FE29" s="609"/>
      <c r="FF29" s="609"/>
      <c r="FG29" s="609"/>
      <c r="FH29" s="562"/>
      <c r="FI29" s="609"/>
      <c r="FJ29" s="609"/>
      <c r="FK29" s="562"/>
      <c r="FL29" s="562"/>
      <c r="FM29" s="562"/>
      <c r="FN29" s="562"/>
      <c r="FO29" s="562"/>
      <c r="FP29" s="562"/>
      <c r="FQ29" s="562"/>
      <c r="FR29" s="562"/>
      <c r="FS29" s="562"/>
      <c r="FT29" s="562"/>
      <c r="FU29" s="562"/>
      <c r="FV29" s="562"/>
      <c r="FW29" s="562"/>
      <c r="FX29" s="610"/>
      <c r="FY29" s="611"/>
      <c r="FZ29" s="611"/>
      <c r="GA29" s="562"/>
      <c r="GB29" s="612"/>
      <c r="GC29" s="603"/>
      <c r="GD29" s="603"/>
      <c r="GE29" s="613"/>
      <c r="GF29" s="613"/>
      <c r="GG29" s="613"/>
      <c r="GH29" s="614"/>
      <c r="GI29" s="614"/>
      <c r="GJ29" s="615"/>
      <c r="GK29" s="615"/>
      <c r="GL29" s="615"/>
      <c r="GM29" s="615"/>
      <c r="GN29" s="615"/>
      <c r="GO29" s="615"/>
      <c r="GP29" s="615"/>
      <c r="GQ29" s="615"/>
      <c r="GR29" s="615"/>
      <c r="GS29" s="615"/>
      <c r="GT29" s="615"/>
      <c r="GU29" s="609"/>
      <c r="GV29" s="609"/>
      <c r="GW29" s="609"/>
      <c r="GX29" s="609"/>
      <c r="GY29" s="609"/>
      <c r="GZ29" s="609"/>
      <c r="HA29" s="609"/>
      <c r="HB29" s="609"/>
      <c r="HC29" s="609"/>
      <c r="HD29" s="609"/>
      <c r="HE29" s="609"/>
      <c r="HF29" s="616"/>
      <c r="HG29" s="616"/>
      <c r="HH29" s="616"/>
      <c r="HI29" s="616"/>
      <c r="HJ29" s="616"/>
      <c r="HK29" s="616"/>
      <c r="HL29" s="616"/>
      <c r="HM29" s="616"/>
      <c r="HN29" s="616"/>
      <c r="HO29" s="616"/>
      <c r="HP29" s="616"/>
      <c r="HQ29" s="617"/>
      <c r="HR29" s="617"/>
      <c r="HS29" s="617"/>
      <c r="HT29" s="617"/>
      <c r="HU29" s="617"/>
      <c r="HV29" s="617"/>
    </row>
    <row r="30" ht="47.25">
      <c r="A30" s="559">
        <v>29</v>
      </c>
      <c r="B30" s="602">
        <v>38</v>
      </c>
      <c r="C30" s="469"/>
      <c r="D30" s="469" t="s">
        <v>835</v>
      </c>
      <c r="E30" s="560" t="s">
        <v>576</v>
      </c>
      <c r="F30" s="564" t="s">
        <v>576</v>
      </c>
      <c r="G30" s="561" t="s">
        <v>836</v>
      </c>
      <c r="H30" s="562" t="s">
        <v>26</v>
      </c>
      <c r="I30" s="562" t="s">
        <v>837</v>
      </c>
      <c r="J30" s="562" t="s">
        <v>838</v>
      </c>
      <c r="K30" s="469" t="s">
        <v>839</v>
      </c>
      <c r="L30" s="563">
        <v>42636</v>
      </c>
      <c r="M30" s="563">
        <v>42629</v>
      </c>
      <c r="N30" s="603" t="s">
        <v>840</v>
      </c>
      <c r="O30" s="604" t="s">
        <v>841</v>
      </c>
      <c r="P30" s="605" t="s">
        <v>583</v>
      </c>
      <c r="Q30" s="603" t="s">
        <v>364</v>
      </c>
      <c r="R30" s="605" t="s">
        <v>584</v>
      </c>
      <c r="S30" s="605" t="s">
        <v>585</v>
      </c>
      <c r="T30" s="234" t="s">
        <v>584</v>
      </c>
      <c r="U30" s="234" t="s">
        <v>585</v>
      </c>
      <c r="V30" s="562">
        <v>1</v>
      </c>
      <c r="W30" s="562" t="s">
        <v>0</v>
      </c>
      <c r="X30" s="564" t="s">
        <v>576</v>
      </c>
      <c r="Y30" s="564" t="s">
        <v>842</v>
      </c>
      <c r="Z30" s="564" t="s">
        <v>587</v>
      </c>
      <c r="AA30" s="564">
        <v>3</v>
      </c>
      <c r="AB30" s="565" t="s">
        <v>596</v>
      </c>
      <c r="AC30" s="565" t="s">
        <v>596</v>
      </c>
      <c r="AD30" s="565" t="s">
        <v>596</v>
      </c>
      <c r="AE30" s="565"/>
      <c r="AF30" s="566" t="s">
        <v>597</v>
      </c>
      <c r="AG30" s="565" t="s">
        <v>598</v>
      </c>
      <c r="AH30" s="565" t="s">
        <v>598</v>
      </c>
      <c r="AI30" s="565" t="s">
        <v>598</v>
      </c>
      <c r="AJ30" s="565"/>
      <c r="AK30" s="562" t="s">
        <v>599</v>
      </c>
      <c r="AL30" s="564">
        <v>2100</v>
      </c>
      <c r="AM30" s="564" t="s">
        <v>593</v>
      </c>
      <c r="AN30" s="567"/>
      <c r="AO30" s="567"/>
      <c r="AP30" s="567"/>
      <c r="AQ30" s="567"/>
      <c r="AR30" s="568"/>
      <c r="AS30" s="568"/>
      <c r="AT30" s="568"/>
      <c r="AU30" s="568"/>
      <c r="AV30" s="663" t="s">
        <v>601</v>
      </c>
      <c r="AW30" s="568"/>
      <c r="AX30" s="568"/>
      <c r="AY30" s="568"/>
      <c r="AZ30" s="568"/>
      <c r="BA30" s="663" t="s">
        <v>601</v>
      </c>
      <c r="BB30" s="567"/>
      <c r="BC30" s="567"/>
      <c r="BD30" s="569"/>
      <c r="BE30" s="569"/>
      <c r="BF30" s="569"/>
      <c r="BG30" s="569"/>
      <c r="BH30" s="569"/>
      <c r="BI30" s="569"/>
      <c r="BJ30" s="569"/>
      <c r="BK30" s="569"/>
      <c r="BL30" s="566" t="s">
        <v>601</v>
      </c>
      <c r="BM30" s="569"/>
      <c r="BN30" s="569"/>
      <c r="BO30" s="569"/>
      <c r="BP30" s="569"/>
      <c r="BQ30" s="562" t="s">
        <v>601</v>
      </c>
      <c r="BR30" s="569"/>
      <c r="BS30" s="569"/>
      <c r="BT30" s="570" t="s">
        <v>601</v>
      </c>
      <c r="BU30" s="570" t="s">
        <v>601</v>
      </c>
      <c r="BV30" s="570" t="s">
        <v>601</v>
      </c>
      <c r="BW30" s="570" t="s">
        <v>601</v>
      </c>
      <c r="BX30" s="571" t="s">
        <v>601</v>
      </c>
      <c r="BY30" s="571" t="s">
        <v>601</v>
      </c>
      <c r="BZ30" s="571" t="s">
        <v>601</v>
      </c>
      <c r="CA30" s="566" t="s">
        <v>601</v>
      </c>
      <c r="CB30" s="571" t="s">
        <v>601</v>
      </c>
      <c r="CC30" s="571" t="s">
        <v>601</v>
      </c>
      <c r="CD30" s="571" t="s">
        <v>601</v>
      </c>
      <c r="CE30" s="562" t="s">
        <v>601</v>
      </c>
      <c r="CF30" s="570" t="s">
        <v>601</v>
      </c>
      <c r="CG30" s="570" t="s">
        <v>601</v>
      </c>
      <c r="CH30" s="572" t="s">
        <v>601</v>
      </c>
      <c r="CI30" s="572" t="s">
        <v>601</v>
      </c>
      <c r="CJ30" s="572" t="s">
        <v>601</v>
      </c>
      <c r="CK30" s="572" t="s">
        <v>601</v>
      </c>
      <c r="CL30" s="573" t="s">
        <v>601</v>
      </c>
      <c r="CM30" s="573" t="s">
        <v>601</v>
      </c>
      <c r="CN30" s="573" t="s">
        <v>601</v>
      </c>
      <c r="CO30" s="566" t="s">
        <v>601</v>
      </c>
      <c r="CP30" s="573" t="s">
        <v>601</v>
      </c>
      <c r="CQ30" s="573" t="s">
        <v>601</v>
      </c>
      <c r="CR30" s="573" t="s">
        <v>601</v>
      </c>
      <c r="CS30" s="562" t="s">
        <v>601</v>
      </c>
      <c r="CT30" s="572" t="s">
        <v>601</v>
      </c>
      <c r="CU30" s="572" t="s">
        <v>601</v>
      </c>
      <c r="CV30" s="574" t="s">
        <v>601</v>
      </c>
      <c r="CW30" s="574" t="s">
        <v>601</v>
      </c>
      <c r="CX30" s="574" t="s">
        <v>601</v>
      </c>
      <c r="CY30" s="574" t="s">
        <v>601</v>
      </c>
      <c r="CZ30" s="575" t="s">
        <v>601</v>
      </c>
      <c r="DA30" s="575" t="s">
        <v>601</v>
      </c>
      <c r="DB30" s="575" t="s">
        <v>601</v>
      </c>
      <c r="DC30" s="566" t="s">
        <v>601</v>
      </c>
      <c r="DD30" s="575" t="s">
        <v>601</v>
      </c>
      <c r="DE30" s="575" t="s">
        <v>601</v>
      </c>
      <c r="DF30" s="575" t="s">
        <v>601</v>
      </c>
      <c r="DG30" s="562" t="s">
        <v>601</v>
      </c>
      <c r="DH30" s="574" t="s">
        <v>601</v>
      </c>
      <c r="DI30" s="574" t="s">
        <v>601</v>
      </c>
      <c r="DJ30" s="469">
        <v>1</v>
      </c>
      <c r="DK30" s="469" t="s">
        <v>623</v>
      </c>
      <c r="DL30" s="469" t="s">
        <v>601</v>
      </c>
      <c r="DM30" s="469" t="s">
        <v>601</v>
      </c>
      <c r="DN30" s="469" t="s">
        <v>604</v>
      </c>
      <c r="DO30" s="469" t="s">
        <v>604</v>
      </c>
      <c r="DP30" s="469" t="s">
        <v>604</v>
      </c>
      <c r="DQ30" s="469">
        <v>1</v>
      </c>
      <c r="DR30" s="576"/>
      <c r="DS30" s="606"/>
      <c r="DT30" s="606"/>
      <c r="DU30" s="562"/>
      <c r="DV30" s="606"/>
      <c r="DW30" s="606"/>
      <c r="DX30" s="607"/>
      <c r="DY30" s="611"/>
      <c r="DZ30" s="607"/>
      <c r="EA30" s="607"/>
      <c r="EB30" s="607"/>
      <c r="EC30" s="607"/>
      <c r="ED30" s="562"/>
      <c r="EE30" s="607"/>
      <c r="EF30" s="607"/>
      <c r="EG30" s="607"/>
      <c r="EH30" s="562"/>
      <c r="EI30" s="607"/>
      <c r="EJ30" s="607"/>
      <c r="EK30" s="608"/>
      <c r="EL30" s="608"/>
      <c r="EM30" s="608"/>
      <c r="EN30" s="608"/>
      <c r="EO30" s="608"/>
      <c r="EP30" s="608"/>
      <c r="EQ30" s="562"/>
      <c r="ER30" s="608"/>
      <c r="ES30" s="608"/>
      <c r="ET30" s="608"/>
      <c r="EU30" s="562"/>
      <c r="EV30" s="608"/>
      <c r="EW30" s="608"/>
      <c r="EX30" s="609"/>
      <c r="EY30" s="609"/>
      <c r="EZ30" s="609"/>
      <c r="FA30" s="609"/>
      <c r="FB30" s="609"/>
      <c r="FC30" s="609"/>
      <c r="FD30" s="562"/>
      <c r="FE30" s="609"/>
      <c r="FF30" s="609"/>
      <c r="FG30" s="609"/>
      <c r="FH30" s="562"/>
      <c r="FI30" s="609"/>
      <c r="FJ30" s="609"/>
      <c r="FK30" s="562"/>
      <c r="FL30" s="562"/>
      <c r="FM30" s="562"/>
      <c r="FN30" s="562"/>
      <c r="FO30" s="562"/>
      <c r="FP30" s="562"/>
      <c r="FQ30" s="562"/>
      <c r="FR30" s="562"/>
      <c r="FS30" s="562"/>
      <c r="FT30" s="562"/>
      <c r="FU30" s="562"/>
      <c r="FV30" s="562"/>
      <c r="FW30" s="562"/>
      <c r="FX30" s="610"/>
      <c r="FY30" s="611"/>
      <c r="FZ30" s="611"/>
      <c r="GA30" s="562"/>
      <c r="GB30" s="612"/>
      <c r="GC30" s="603"/>
      <c r="GD30" s="603"/>
      <c r="GE30" s="613"/>
      <c r="GF30" s="613"/>
      <c r="GG30" s="613"/>
      <c r="GH30" s="614"/>
      <c r="GI30" s="614"/>
      <c r="GJ30" s="615"/>
      <c r="GK30" s="615"/>
      <c r="GL30" s="615"/>
      <c r="GM30" s="615"/>
      <c r="GN30" s="615"/>
      <c r="GO30" s="615"/>
      <c r="GP30" s="615"/>
      <c r="GQ30" s="615"/>
      <c r="GR30" s="615"/>
      <c r="GS30" s="615"/>
      <c r="GT30" s="615"/>
      <c r="GU30" s="609"/>
      <c r="GV30" s="609"/>
      <c r="GW30" s="609"/>
      <c r="GX30" s="609"/>
      <c r="GY30" s="609"/>
      <c r="GZ30" s="609"/>
      <c r="HA30" s="609"/>
      <c r="HB30" s="609"/>
      <c r="HC30" s="609"/>
      <c r="HD30" s="609"/>
      <c r="HE30" s="609"/>
      <c r="HF30" s="616"/>
      <c r="HG30" s="616"/>
      <c r="HH30" s="616"/>
      <c r="HI30" s="616"/>
      <c r="HJ30" s="616"/>
      <c r="HK30" s="616"/>
      <c r="HL30" s="616"/>
      <c r="HM30" s="616"/>
      <c r="HN30" s="616"/>
      <c r="HO30" s="616"/>
      <c r="HP30" s="616"/>
      <c r="HQ30" s="617"/>
      <c r="HR30" s="617"/>
      <c r="HS30" s="617"/>
      <c r="HT30" s="617"/>
      <c r="HU30" s="617"/>
      <c r="HV30" s="617"/>
    </row>
    <row r="31" ht="47.25">
      <c r="A31" s="559">
        <v>30</v>
      </c>
      <c r="B31" s="602">
        <v>38</v>
      </c>
      <c r="C31" s="469"/>
      <c r="D31" s="469" t="s">
        <v>843</v>
      </c>
      <c r="E31" s="560" t="s">
        <v>576</v>
      </c>
      <c r="F31" s="564" t="s">
        <v>576</v>
      </c>
      <c r="G31" s="561" t="s">
        <v>844</v>
      </c>
      <c r="H31" s="562" t="s">
        <v>26</v>
      </c>
      <c r="I31" s="562" t="s">
        <v>845</v>
      </c>
      <c r="J31" s="562" t="s">
        <v>846</v>
      </c>
      <c r="K31" s="469" t="s">
        <v>847</v>
      </c>
      <c r="L31" s="563">
        <v>42636</v>
      </c>
      <c r="M31" s="563">
        <v>42629</v>
      </c>
      <c r="N31" s="603" t="s">
        <v>848</v>
      </c>
      <c r="O31" s="604" t="s">
        <v>849</v>
      </c>
      <c r="P31" s="605" t="s">
        <v>583</v>
      </c>
      <c r="Q31" s="603" t="s">
        <v>364</v>
      </c>
      <c r="R31" s="605" t="s">
        <v>584</v>
      </c>
      <c r="S31" s="605" t="s">
        <v>585</v>
      </c>
      <c r="T31" s="234" t="s">
        <v>584</v>
      </c>
      <c r="U31" s="234" t="s">
        <v>585</v>
      </c>
      <c r="V31" s="562">
        <v>1</v>
      </c>
      <c r="W31" s="562" t="s">
        <v>0</v>
      </c>
      <c r="X31" s="564" t="s">
        <v>576</v>
      </c>
      <c r="Y31" s="564" t="s">
        <v>850</v>
      </c>
      <c r="Z31" s="564" t="s">
        <v>587</v>
      </c>
      <c r="AA31" s="564">
        <v>3</v>
      </c>
      <c r="AB31" s="565" t="s">
        <v>596</v>
      </c>
      <c r="AC31" s="565" t="s">
        <v>596</v>
      </c>
      <c r="AD31" s="565" t="s">
        <v>596</v>
      </c>
      <c r="AE31" s="565"/>
      <c r="AF31" s="566" t="s">
        <v>597</v>
      </c>
      <c r="AG31" s="565" t="s">
        <v>598</v>
      </c>
      <c r="AH31" s="565" t="s">
        <v>598</v>
      </c>
      <c r="AI31" s="565" t="s">
        <v>598</v>
      </c>
      <c r="AJ31" s="565"/>
      <c r="AK31" s="562" t="s">
        <v>599</v>
      </c>
      <c r="AL31" s="564">
        <v>2100</v>
      </c>
      <c r="AM31" s="564" t="s">
        <v>595</v>
      </c>
      <c r="AN31" s="567"/>
      <c r="AO31" s="567"/>
      <c r="AP31" s="567"/>
      <c r="AQ31" s="567"/>
      <c r="AR31" s="568"/>
      <c r="AS31" s="568"/>
      <c r="AT31" s="568"/>
      <c r="AU31" s="568"/>
      <c r="AV31" s="663" t="s">
        <v>601</v>
      </c>
      <c r="AW31" s="568"/>
      <c r="AX31" s="568"/>
      <c r="AY31" s="568"/>
      <c r="AZ31" s="568"/>
      <c r="BA31" s="663" t="s">
        <v>601</v>
      </c>
      <c r="BB31" s="567"/>
      <c r="BC31" s="567"/>
      <c r="BD31" s="569"/>
      <c r="BE31" s="569"/>
      <c r="BF31" s="569"/>
      <c r="BG31" s="569"/>
      <c r="BH31" s="569"/>
      <c r="BI31" s="569"/>
      <c r="BJ31" s="569"/>
      <c r="BK31" s="569"/>
      <c r="BL31" s="566" t="s">
        <v>601</v>
      </c>
      <c r="BM31" s="569"/>
      <c r="BN31" s="569"/>
      <c r="BO31" s="569"/>
      <c r="BP31" s="569"/>
      <c r="BQ31" s="562" t="s">
        <v>601</v>
      </c>
      <c r="BR31" s="569"/>
      <c r="BS31" s="569"/>
      <c r="BT31" s="570" t="s">
        <v>601</v>
      </c>
      <c r="BU31" s="570" t="s">
        <v>601</v>
      </c>
      <c r="BV31" s="570" t="s">
        <v>601</v>
      </c>
      <c r="BW31" s="570" t="s">
        <v>601</v>
      </c>
      <c r="BX31" s="571" t="s">
        <v>601</v>
      </c>
      <c r="BY31" s="571" t="s">
        <v>601</v>
      </c>
      <c r="BZ31" s="571" t="s">
        <v>601</v>
      </c>
      <c r="CA31" s="566" t="s">
        <v>601</v>
      </c>
      <c r="CB31" s="571" t="s">
        <v>601</v>
      </c>
      <c r="CC31" s="571" t="s">
        <v>601</v>
      </c>
      <c r="CD31" s="571" t="s">
        <v>601</v>
      </c>
      <c r="CE31" s="562" t="s">
        <v>601</v>
      </c>
      <c r="CF31" s="570" t="s">
        <v>601</v>
      </c>
      <c r="CG31" s="570" t="s">
        <v>601</v>
      </c>
      <c r="CH31" s="572" t="s">
        <v>601</v>
      </c>
      <c r="CI31" s="572" t="s">
        <v>601</v>
      </c>
      <c r="CJ31" s="572" t="s">
        <v>601</v>
      </c>
      <c r="CK31" s="572" t="s">
        <v>601</v>
      </c>
      <c r="CL31" s="573" t="s">
        <v>601</v>
      </c>
      <c r="CM31" s="573" t="s">
        <v>601</v>
      </c>
      <c r="CN31" s="573" t="s">
        <v>601</v>
      </c>
      <c r="CO31" s="566" t="s">
        <v>601</v>
      </c>
      <c r="CP31" s="573" t="s">
        <v>601</v>
      </c>
      <c r="CQ31" s="573" t="s">
        <v>601</v>
      </c>
      <c r="CR31" s="573" t="s">
        <v>601</v>
      </c>
      <c r="CS31" s="562" t="s">
        <v>601</v>
      </c>
      <c r="CT31" s="572" t="s">
        <v>601</v>
      </c>
      <c r="CU31" s="572" t="s">
        <v>601</v>
      </c>
      <c r="CV31" s="574" t="s">
        <v>601</v>
      </c>
      <c r="CW31" s="574" t="s">
        <v>601</v>
      </c>
      <c r="CX31" s="574" t="s">
        <v>601</v>
      </c>
      <c r="CY31" s="574" t="s">
        <v>601</v>
      </c>
      <c r="CZ31" s="575" t="s">
        <v>601</v>
      </c>
      <c r="DA31" s="575" t="s">
        <v>601</v>
      </c>
      <c r="DB31" s="575" t="s">
        <v>601</v>
      </c>
      <c r="DC31" s="566" t="s">
        <v>601</v>
      </c>
      <c r="DD31" s="575" t="s">
        <v>601</v>
      </c>
      <c r="DE31" s="575" t="s">
        <v>601</v>
      </c>
      <c r="DF31" s="575" t="s">
        <v>601</v>
      </c>
      <c r="DG31" s="562" t="s">
        <v>601</v>
      </c>
      <c r="DH31" s="574" t="s">
        <v>601</v>
      </c>
      <c r="DI31" s="574" t="s">
        <v>601</v>
      </c>
      <c r="DJ31" s="469">
        <v>1</v>
      </c>
      <c r="DK31" s="469" t="s">
        <v>623</v>
      </c>
      <c r="DL31" s="469" t="s">
        <v>601</v>
      </c>
      <c r="DM31" s="469" t="s">
        <v>601</v>
      </c>
      <c r="DN31" s="469" t="s">
        <v>604</v>
      </c>
      <c r="DO31" s="469" t="s">
        <v>604</v>
      </c>
      <c r="DP31" s="469" t="s">
        <v>604</v>
      </c>
      <c r="DQ31" s="469">
        <v>1</v>
      </c>
      <c r="DR31" s="576"/>
      <c r="DS31" s="606"/>
      <c r="DT31" s="606"/>
      <c r="DU31" s="562"/>
      <c r="DV31" s="606"/>
      <c r="DW31" s="606"/>
      <c r="DX31" s="607"/>
      <c r="DY31" s="611"/>
      <c r="DZ31" s="607"/>
      <c r="EA31" s="607"/>
      <c r="EB31" s="607"/>
      <c r="EC31" s="607"/>
      <c r="ED31" s="562"/>
      <c r="EE31" s="607"/>
      <c r="EF31" s="607"/>
      <c r="EG31" s="607"/>
      <c r="EH31" s="562"/>
      <c r="EI31" s="607"/>
      <c r="EJ31" s="607"/>
      <c r="EK31" s="608"/>
      <c r="EL31" s="608"/>
      <c r="EM31" s="608"/>
      <c r="EN31" s="608"/>
      <c r="EO31" s="608"/>
      <c r="EP31" s="608"/>
      <c r="EQ31" s="562"/>
      <c r="ER31" s="608"/>
      <c r="ES31" s="608"/>
      <c r="ET31" s="608"/>
      <c r="EU31" s="562"/>
      <c r="EV31" s="608"/>
      <c r="EW31" s="608"/>
      <c r="EX31" s="609"/>
      <c r="EY31" s="609"/>
      <c r="EZ31" s="609"/>
      <c r="FA31" s="609"/>
      <c r="FB31" s="609"/>
      <c r="FC31" s="609"/>
      <c r="FD31" s="562"/>
      <c r="FE31" s="609"/>
      <c r="FF31" s="609"/>
      <c r="FG31" s="609"/>
      <c r="FH31" s="562"/>
      <c r="FI31" s="609"/>
      <c r="FJ31" s="609"/>
      <c r="FK31" s="562"/>
      <c r="FL31" s="562"/>
      <c r="FM31" s="562"/>
      <c r="FN31" s="562"/>
      <c r="FO31" s="562"/>
      <c r="FP31" s="562"/>
      <c r="FQ31" s="562"/>
      <c r="FR31" s="562"/>
      <c r="FS31" s="562"/>
      <c r="FT31" s="562"/>
      <c r="FU31" s="562"/>
      <c r="FV31" s="562"/>
      <c r="FW31" s="562"/>
      <c r="FX31" s="610"/>
      <c r="FY31" s="611"/>
      <c r="FZ31" s="611"/>
      <c r="GA31" s="562"/>
      <c r="GB31" s="612"/>
      <c r="GC31" s="603"/>
      <c r="GD31" s="603"/>
      <c r="GE31" s="613"/>
      <c r="GF31" s="613"/>
      <c r="GG31" s="613"/>
      <c r="GH31" s="614"/>
      <c r="GI31" s="614"/>
      <c r="GJ31" s="615"/>
      <c r="GK31" s="615"/>
      <c r="GL31" s="615"/>
      <c r="GM31" s="615"/>
      <c r="GN31" s="615"/>
      <c r="GO31" s="615"/>
      <c r="GP31" s="615"/>
      <c r="GQ31" s="615"/>
      <c r="GR31" s="615"/>
      <c r="GS31" s="615"/>
      <c r="GT31" s="615"/>
      <c r="GU31" s="609"/>
      <c r="GV31" s="609"/>
      <c r="GW31" s="609"/>
      <c r="GX31" s="609"/>
      <c r="GY31" s="609"/>
      <c r="GZ31" s="609"/>
      <c r="HA31" s="609"/>
      <c r="HB31" s="609"/>
      <c r="HC31" s="609"/>
      <c r="HD31" s="609"/>
      <c r="HE31" s="609"/>
      <c r="HF31" s="616"/>
      <c r="HG31" s="616"/>
      <c r="HH31" s="616"/>
      <c r="HI31" s="616"/>
      <c r="HJ31" s="616"/>
      <c r="HK31" s="616"/>
      <c r="HL31" s="616"/>
      <c r="HM31" s="616"/>
      <c r="HN31" s="616"/>
      <c r="HO31" s="616"/>
      <c r="HP31" s="616"/>
      <c r="HQ31" s="617"/>
      <c r="HR31" s="617"/>
      <c r="HS31" s="617"/>
      <c r="HT31" s="617"/>
      <c r="HU31" s="617"/>
      <c r="HV31" s="617"/>
    </row>
    <row r="32" ht="47.25">
      <c r="A32" s="559">
        <v>31</v>
      </c>
      <c r="B32" s="602">
        <v>38</v>
      </c>
      <c r="C32" s="469"/>
      <c r="D32" s="469" t="s">
        <v>851</v>
      </c>
      <c r="E32" s="560" t="s">
        <v>576</v>
      </c>
      <c r="F32" s="564" t="s">
        <v>576</v>
      </c>
      <c r="G32" s="561" t="s">
        <v>852</v>
      </c>
      <c r="H32" s="562" t="s">
        <v>26</v>
      </c>
      <c r="I32" s="562" t="s">
        <v>853</v>
      </c>
      <c r="J32" s="562" t="s">
        <v>854</v>
      </c>
      <c r="K32" s="469" t="s">
        <v>855</v>
      </c>
      <c r="L32" s="563">
        <v>42636</v>
      </c>
      <c r="M32" s="563">
        <v>42629</v>
      </c>
      <c r="N32" s="603" t="s">
        <v>856</v>
      </c>
      <c r="O32" s="604" t="s">
        <v>857</v>
      </c>
      <c r="P32" s="605" t="s">
        <v>583</v>
      </c>
      <c r="Q32" s="603" t="s">
        <v>364</v>
      </c>
      <c r="R32" s="605" t="s">
        <v>584</v>
      </c>
      <c r="S32" s="605" t="s">
        <v>585</v>
      </c>
      <c r="T32" s="234" t="s">
        <v>584</v>
      </c>
      <c r="U32" s="234" t="s">
        <v>585</v>
      </c>
      <c r="V32" s="562">
        <v>1</v>
      </c>
      <c r="W32" s="562" t="s">
        <v>675</v>
      </c>
      <c r="X32" s="564" t="s">
        <v>576</v>
      </c>
      <c r="Y32" s="564" t="s">
        <v>858</v>
      </c>
      <c r="Z32" s="564" t="s">
        <v>587</v>
      </c>
      <c r="AA32" s="564">
        <v>3</v>
      </c>
      <c r="AB32" s="565" t="s">
        <v>596</v>
      </c>
      <c r="AC32" s="565" t="s">
        <v>596</v>
      </c>
      <c r="AD32" s="565" t="s">
        <v>596</v>
      </c>
      <c r="AE32" s="565"/>
      <c r="AF32" s="566" t="s">
        <v>597</v>
      </c>
      <c r="AG32" s="565" t="s">
        <v>598</v>
      </c>
      <c r="AH32" s="565" t="s">
        <v>598</v>
      </c>
      <c r="AI32" s="565" t="s">
        <v>598</v>
      </c>
      <c r="AJ32" s="565"/>
      <c r="AK32" s="562" t="s">
        <v>599</v>
      </c>
      <c r="AL32" s="564">
        <v>2100</v>
      </c>
      <c r="AM32" s="564" t="s">
        <v>801</v>
      </c>
      <c r="AN32" s="567"/>
      <c r="AO32" s="567"/>
      <c r="AP32" s="567"/>
      <c r="AQ32" s="567"/>
      <c r="AR32" s="568"/>
      <c r="AS32" s="568"/>
      <c r="AT32" s="568"/>
      <c r="AU32" s="568"/>
      <c r="AV32" s="663" t="s">
        <v>601</v>
      </c>
      <c r="AW32" s="568"/>
      <c r="AX32" s="568"/>
      <c r="AY32" s="568"/>
      <c r="AZ32" s="568"/>
      <c r="BA32" s="663" t="s">
        <v>601</v>
      </c>
      <c r="BB32" s="567"/>
      <c r="BC32" s="567"/>
      <c r="BD32" s="569"/>
      <c r="BE32" s="569"/>
      <c r="BF32" s="569"/>
      <c r="BG32" s="569"/>
      <c r="BH32" s="569"/>
      <c r="BI32" s="569"/>
      <c r="BJ32" s="569"/>
      <c r="BK32" s="569"/>
      <c r="BL32" s="566" t="s">
        <v>601</v>
      </c>
      <c r="BM32" s="569"/>
      <c r="BN32" s="569"/>
      <c r="BO32" s="569"/>
      <c r="BP32" s="569"/>
      <c r="BQ32" s="562" t="s">
        <v>601</v>
      </c>
      <c r="BR32" s="569"/>
      <c r="BS32" s="569"/>
      <c r="BT32" s="570" t="s">
        <v>601</v>
      </c>
      <c r="BU32" s="570" t="s">
        <v>601</v>
      </c>
      <c r="BV32" s="570" t="s">
        <v>601</v>
      </c>
      <c r="BW32" s="570" t="s">
        <v>601</v>
      </c>
      <c r="BX32" s="571" t="s">
        <v>601</v>
      </c>
      <c r="BY32" s="571" t="s">
        <v>601</v>
      </c>
      <c r="BZ32" s="571" t="s">
        <v>601</v>
      </c>
      <c r="CA32" s="566" t="s">
        <v>601</v>
      </c>
      <c r="CB32" s="571" t="s">
        <v>601</v>
      </c>
      <c r="CC32" s="571" t="s">
        <v>601</v>
      </c>
      <c r="CD32" s="571" t="s">
        <v>601</v>
      </c>
      <c r="CE32" s="562" t="s">
        <v>601</v>
      </c>
      <c r="CF32" s="570" t="s">
        <v>601</v>
      </c>
      <c r="CG32" s="570" t="s">
        <v>601</v>
      </c>
      <c r="CH32" s="572" t="s">
        <v>601</v>
      </c>
      <c r="CI32" s="572" t="s">
        <v>601</v>
      </c>
      <c r="CJ32" s="572" t="s">
        <v>601</v>
      </c>
      <c r="CK32" s="572" t="s">
        <v>601</v>
      </c>
      <c r="CL32" s="573" t="s">
        <v>601</v>
      </c>
      <c r="CM32" s="573" t="s">
        <v>601</v>
      </c>
      <c r="CN32" s="573" t="s">
        <v>601</v>
      </c>
      <c r="CO32" s="566" t="s">
        <v>601</v>
      </c>
      <c r="CP32" s="573" t="s">
        <v>601</v>
      </c>
      <c r="CQ32" s="573" t="s">
        <v>601</v>
      </c>
      <c r="CR32" s="573" t="s">
        <v>601</v>
      </c>
      <c r="CS32" s="562" t="s">
        <v>601</v>
      </c>
      <c r="CT32" s="572" t="s">
        <v>601</v>
      </c>
      <c r="CU32" s="572" t="s">
        <v>601</v>
      </c>
      <c r="CV32" s="574" t="s">
        <v>601</v>
      </c>
      <c r="CW32" s="574" t="s">
        <v>601</v>
      </c>
      <c r="CX32" s="574" t="s">
        <v>601</v>
      </c>
      <c r="CY32" s="574" t="s">
        <v>601</v>
      </c>
      <c r="CZ32" s="575" t="s">
        <v>601</v>
      </c>
      <c r="DA32" s="575" t="s">
        <v>601</v>
      </c>
      <c r="DB32" s="575" t="s">
        <v>601</v>
      </c>
      <c r="DC32" s="566" t="s">
        <v>601</v>
      </c>
      <c r="DD32" s="575" t="s">
        <v>601</v>
      </c>
      <c r="DE32" s="575" t="s">
        <v>601</v>
      </c>
      <c r="DF32" s="575" t="s">
        <v>601</v>
      </c>
      <c r="DG32" s="562" t="s">
        <v>601</v>
      </c>
      <c r="DH32" s="574" t="s">
        <v>601</v>
      </c>
      <c r="DI32" s="574" t="s">
        <v>601</v>
      </c>
      <c r="DJ32" s="469">
        <v>1</v>
      </c>
      <c r="DK32" s="469" t="s">
        <v>623</v>
      </c>
      <c r="DL32" s="469" t="s">
        <v>601</v>
      </c>
      <c r="DM32" s="469" t="s">
        <v>601</v>
      </c>
      <c r="DN32" s="469" t="s">
        <v>604</v>
      </c>
      <c r="DO32" s="469" t="s">
        <v>604</v>
      </c>
      <c r="DP32" s="469" t="s">
        <v>604</v>
      </c>
      <c r="DQ32" s="469">
        <v>1</v>
      </c>
      <c r="DR32" s="576"/>
      <c r="DS32" s="606"/>
      <c r="DT32" s="606"/>
      <c r="DU32" s="562"/>
      <c r="DV32" s="606"/>
      <c r="DW32" s="606"/>
      <c r="DX32" s="607"/>
      <c r="DY32" s="611"/>
      <c r="DZ32" s="607"/>
      <c r="EA32" s="607"/>
      <c r="EB32" s="607"/>
      <c r="EC32" s="607"/>
      <c r="ED32" s="562"/>
      <c r="EE32" s="607"/>
      <c r="EF32" s="607"/>
      <c r="EG32" s="607"/>
      <c r="EH32" s="562"/>
      <c r="EI32" s="607"/>
      <c r="EJ32" s="607"/>
      <c r="EK32" s="608"/>
      <c r="EL32" s="608"/>
      <c r="EM32" s="608"/>
      <c r="EN32" s="608"/>
      <c r="EO32" s="608"/>
      <c r="EP32" s="608"/>
      <c r="EQ32" s="562"/>
      <c r="ER32" s="608"/>
      <c r="ES32" s="608"/>
      <c r="ET32" s="608"/>
      <c r="EU32" s="562"/>
      <c r="EV32" s="608"/>
      <c r="EW32" s="608"/>
      <c r="EX32" s="609"/>
      <c r="EY32" s="609"/>
      <c r="EZ32" s="609"/>
      <c r="FA32" s="609"/>
      <c r="FB32" s="609"/>
      <c r="FC32" s="609"/>
      <c r="FD32" s="562"/>
      <c r="FE32" s="609"/>
      <c r="FF32" s="609"/>
      <c r="FG32" s="609"/>
      <c r="FH32" s="562"/>
      <c r="FI32" s="609"/>
      <c r="FJ32" s="609"/>
      <c r="FK32" s="562"/>
      <c r="FL32" s="562"/>
      <c r="FM32" s="562"/>
      <c r="FN32" s="562"/>
      <c r="FO32" s="562"/>
      <c r="FP32" s="562"/>
      <c r="FQ32" s="562"/>
      <c r="FR32" s="562"/>
      <c r="FS32" s="562"/>
      <c r="FT32" s="562"/>
      <c r="FU32" s="562"/>
      <c r="FV32" s="562"/>
      <c r="FW32" s="562"/>
      <c r="FX32" s="610">
        <v>1</v>
      </c>
      <c r="FY32" s="611"/>
      <c r="FZ32" s="611">
        <v>1</v>
      </c>
      <c r="GA32" s="562"/>
      <c r="GB32" s="612"/>
      <c r="GC32" s="603"/>
      <c r="GD32" s="603"/>
      <c r="GE32" s="613"/>
      <c r="GF32" s="613"/>
      <c r="GG32" s="613"/>
      <c r="GH32" s="614"/>
      <c r="GI32" s="614"/>
      <c r="GJ32" s="615"/>
      <c r="GK32" s="615"/>
      <c r="GL32" s="615"/>
      <c r="GM32" s="615"/>
      <c r="GN32" s="615"/>
      <c r="GO32" s="615"/>
      <c r="GP32" s="615"/>
      <c r="GQ32" s="615"/>
      <c r="GR32" s="615"/>
      <c r="GS32" s="615"/>
      <c r="GT32" s="615"/>
      <c r="GU32" s="609"/>
      <c r="GV32" s="609"/>
      <c r="GW32" s="609"/>
      <c r="GX32" s="609"/>
      <c r="GY32" s="609"/>
      <c r="GZ32" s="609"/>
      <c r="HA32" s="609"/>
      <c r="HB32" s="609"/>
      <c r="HC32" s="609"/>
      <c r="HD32" s="609"/>
      <c r="HE32" s="609"/>
      <c r="HF32" s="616"/>
      <c r="HG32" s="616"/>
      <c r="HH32" s="616"/>
      <c r="HI32" s="616"/>
      <c r="HJ32" s="616"/>
      <c r="HK32" s="616"/>
      <c r="HL32" s="616"/>
      <c r="HM32" s="616"/>
      <c r="HN32" s="616"/>
      <c r="HO32" s="616"/>
      <c r="HP32" s="616"/>
      <c r="HQ32" s="617"/>
      <c r="HR32" s="617"/>
      <c r="HS32" s="617"/>
      <c r="HT32" s="617"/>
      <c r="HU32" s="617"/>
      <c r="HV32" s="617"/>
    </row>
    <row r="33" ht="47.25">
      <c r="A33" s="559">
        <v>32</v>
      </c>
      <c r="B33" s="602">
        <v>38</v>
      </c>
      <c r="C33" s="469"/>
      <c r="D33" s="469" t="s">
        <v>859</v>
      </c>
      <c r="E33" s="560" t="s">
        <v>576</v>
      </c>
      <c r="F33" s="564" t="s">
        <v>576</v>
      </c>
      <c r="G33" s="561" t="s">
        <v>860</v>
      </c>
      <c r="H33" s="562" t="s">
        <v>26</v>
      </c>
      <c r="I33" s="562" t="s">
        <v>861</v>
      </c>
      <c r="J33" s="562" t="s">
        <v>862</v>
      </c>
      <c r="K33" s="469" t="s">
        <v>863</v>
      </c>
      <c r="L33" s="563">
        <v>42636</v>
      </c>
      <c r="M33" s="563">
        <v>42629</v>
      </c>
      <c r="N33" s="603" t="s">
        <v>864</v>
      </c>
      <c r="O33" s="604" t="s">
        <v>865</v>
      </c>
      <c r="P33" s="605" t="s">
        <v>583</v>
      </c>
      <c r="Q33" s="603" t="s">
        <v>364</v>
      </c>
      <c r="R33" s="605" t="s">
        <v>584</v>
      </c>
      <c r="S33" s="605" t="s">
        <v>585</v>
      </c>
      <c r="T33" s="234" t="s">
        <v>584</v>
      </c>
      <c r="U33" s="234" t="s">
        <v>585</v>
      </c>
      <c r="V33" s="562">
        <v>2</v>
      </c>
      <c r="W33" s="562" t="s">
        <v>0</v>
      </c>
      <c r="X33" s="564" t="s">
        <v>576</v>
      </c>
      <c r="Y33" s="564" t="s">
        <v>866</v>
      </c>
      <c r="Z33" s="564" t="s">
        <v>587</v>
      </c>
      <c r="AA33" s="564">
        <v>3</v>
      </c>
      <c r="AB33" s="565" t="s">
        <v>596</v>
      </c>
      <c r="AC33" s="565" t="s">
        <v>596</v>
      </c>
      <c r="AD33" s="565" t="s">
        <v>596</v>
      </c>
      <c r="AE33" s="565"/>
      <c r="AF33" s="566" t="s">
        <v>597</v>
      </c>
      <c r="AG33" s="565" t="s">
        <v>598</v>
      </c>
      <c r="AH33" s="565" t="s">
        <v>598</v>
      </c>
      <c r="AI33" s="565" t="s">
        <v>598</v>
      </c>
      <c r="AJ33" s="565"/>
      <c r="AK33" s="562" t="s">
        <v>599</v>
      </c>
      <c r="AL33" s="564" t="s">
        <v>592</v>
      </c>
      <c r="AM33" s="564" t="s">
        <v>709</v>
      </c>
      <c r="AN33" s="567" t="s">
        <v>576</v>
      </c>
      <c r="AO33" s="567" t="s">
        <v>866</v>
      </c>
      <c r="AP33" s="567" t="s">
        <v>587</v>
      </c>
      <c r="AQ33" s="567">
        <v>3</v>
      </c>
      <c r="AR33" s="568" t="s">
        <v>596</v>
      </c>
      <c r="AS33" s="568" t="s">
        <v>596</v>
      </c>
      <c r="AT33" s="568" t="s">
        <v>596</v>
      </c>
      <c r="AU33" s="568"/>
      <c r="AV33" s="663" t="s">
        <v>597</v>
      </c>
      <c r="AW33" s="568" t="s">
        <v>598</v>
      </c>
      <c r="AX33" s="568" t="s">
        <v>598</v>
      </c>
      <c r="AY33" s="568" t="s">
        <v>598</v>
      </c>
      <c r="AZ33" s="568"/>
      <c r="BA33" s="663" t="s">
        <v>599</v>
      </c>
      <c r="BB33" s="567" t="s">
        <v>600</v>
      </c>
      <c r="BC33" s="567" t="s">
        <v>649</v>
      </c>
      <c r="BD33" s="569"/>
      <c r="BE33" s="569"/>
      <c r="BF33" s="569"/>
      <c r="BG33" s="569"/>
      <c r="BH33" s="569"/>
      <c r="BI33" s="569"/>
      <c r="BJ33" s="569"/>
      <c r="BK33" s="569"/>
      <c r="BL33" s="566" t="s">
        <v>601</v>
      </c>
      <c r="BM33" s="569"/>
      <c r="BN33" s="569"/>
      <c r="BO33" s="569"/>
      <c r="BP33" s="569"/>
      <c r="BQ33" s="562" t="s">
        <v>601</v>
      </c>
      <c r="BR33" s="569"/>
      <c r="BS33" s="569"/>
      <c r="BT33" s="570" t="s">
        <v>601</v>
      </c>
      <c r="BU33" s="570" t="s">
        <v>601</v>
      </c>
      <c r="BV33" s="570" t="s">
        <v>601</v>
      </c>
      <c r="BW33" s="570" t="s">
        <v>601</v>
      </c>
      <c r="BX33" s="571" t="s">
        <v>601</v>
      </c>
      <c r="BY33" s="571" t="s">
        <v>601</v>
      </c>
      <c r="BZ33" s="571" t="s">
        <v>601</v>
      </c>
      <c r="CA33" s="566" t="s">
        <v>601</v>
      </c>
      <c r="CB33" s="571" t="s">
        <v>601</v>
      </c>
      <c r="CC33" s="571" t="s">
        <v>601</v>
      </c>
      <c r="CD33" s="571" t="s">
        <v>601</v>
      </c>
      <c r="CE33" s="562" t="s">
        <v>601</v>
      </c>
      <c r="CF33" s="570" t="s">
        <v>601</v>
      </c>
      <c r="CG33" s="570" t="s">
        <v>601</v>
      </c>
      <c r="CH33" s="572" t="s">
        <v>601</v>
      </c>
      <c r="CI33" s="572" t="s">
        <v>601</v>
      </c>
      <c r="CJ33" s="572" t="s">
        <v>601</v>
      </c>
      <c r="CK33" s="572" t="s">
        <v>601</v>
      </c>
      <c r="CL33" s="573" t="s">
        <v>601</v>
      </c>
      <c r="CM33" s="573" t="s">
        <v>601</v>
      </c>
      <c r="CN33" s="573" t="s">
        <v>601</v>
      </c>
      <c r="CO33" s="566" t="s">
        <v>601</v>
      </c>
      <c r="CP33" s="573" t="s">
        <v>601</v>
      </c>
      <c r="CQ33" s="573" t="s">
        <v>601</v>
      </c>
      <c r="CR33" s="573" t="s">
        <v>601</v>
      </c>
      <c r="CS33" s="562" t="s">
        <v>601</v>
      </c>
      <c r="CT33" s="572" t="s">
        <v>601</v>
      </c>
      <c r="CU33" s="572" t="s">
        <v>601</v>
      </c>
      <c r="CV33" s="574" t="s">
        <v>601</v>
      </c>
      <c r="CW33" s="574" t="s">
        <v>601</v>
      </c>
      <c r="CX33" s="574" t="s">
        <v>601</v>
      </c>
      <c r="CY33" s="574" t="s">
        <v>601</v>
      </c>
      <c r="CZ33" s="575" t="s">
        <v>601</v>
      </c>
      <c r="DA33" s="575" t="s">
        <v>601</v>
      </c>
      <c r="DB33" s="575" t="s">
        <v>601</v>
      </c>
      <c r="DC33" s="566" t="s">
        <v>601</v>
      </c>
      <c r="DD33" s="575" t="s">
        <v>601</v>
      </c>
      <c r="DE33" s="575" t="s">
        <v>601</v>
      </c>
      <c r="DF33" s="575" t="s">
        <v>601</v>
      </c>
      <c r="DG33" s="562" t="s">
        <v>601</v>
      </c>
      <c r="DH33" s="574" t="s">
        <v>601</v>
      </c>
      <c r="DI33" s="574" t="s">
        <v>601</v>
      </c>
      <c r="DJ33" s="469">
        <v>2</v>
      </c>
      <c r="DK33" s="469" t="s">
        <v>614</v>
      </c>
      <c r="DL33" s="469" t="s">
        <v>603</v>
      </c>
      <c r="DM33" s="469" t="s">
        <v>601</v>
      </c>
      <c r="DN33" s="469" t="s">
        <v>604</v>
      </c>
      <c r="DO33" s="469" t="s">
        <v>604</v>
      </c>
      <c r="DP33" s="469" t="s">
        <v>604</v>
      </c>
      <c r="DQ33" s="469">
        <v>2</v>
      </c>
      <c r="DR33" s="576"/>
      <c r="DS33" s="606"/>
      <c r="DT33" s="606"/>
      <c r="DU33" s="562"/>
      <c r="DV33" s="606"/>
      <c r="DW33" s="606"/>
      <c r="DX33" s="607"/>
      <c r="DY33" s="611"/>
      <c r="DZ33" s="607"/>
      <c r="EA33" s="607"/>
      <c r="EB33" s="607"/>
      <c r="EC33" s="607"/>
      <c r="ED33" s="562"/>
      <c r="EE33" s="607"/>
      <c r="EF33" s="607"/>
      <c r="EG33" s="607"/>
      <c r="EH33" s="562"/>
      <c r="EI33" s="607"/>
      <c r="EJ33" s="607"/>
      <c r="EK33" s="608"/>
      <c r="EL33" s="608"/>
      <c r="EM33" s="608"/>
      <c r="EN33" s="608"/>
      <c r="EO33" s="608"/>
      <c r="EP33" s="608"/>
      <c r="EQ33" s="562"/>
      <c r="ER33" s="608"/>
      <c r="ES33" s="608"/>
      <c r="ET33" s="608"/>
      <c r="EU33" s="562"/>
      <c r="EV33" s="608"/>
      <c r="EW33" s="608"/>
      <c r="EX33" s="609"/>
      <c r="EY33" s="609"/>
      <c r="EZ33" s="609"/>
      <c r="FA33" s="609"/>
      <c r="FB33" s="609"/>
      <c r="FC33" s="609"/>
      <c r="FD33" s="562"/>
      <c r="FE33" s="609"/>
      <c r="FF33" s="609"/>
      <c r="FG33" s="609"/>
      <c r="FH33" s="562"/>
      <c r="FI33" s="609"/>
      <c r="FJ33" s="609"/>
      <c r="FK33" s="562"/>
      <c r="FL33" s="562"/>
      <c r="FM33" s="562"/>
      <c r="FN33" s="562"/>
      <c r="FO33" s="562"/>
      <c r="FP33" s="562"/>
      <c r="FQ33" s="562"/>
      <c r="FR33" s="562"/>
      <c r="FS33" s="562"/>
      <c r="FT33" s="562"/>
      <c r="FU33" s="562"/>
      <c r="FV33" s="562"/>
      <c r="FW33" s="562"/>
      <c r="FX33" s="610"/>
      <c r="FY33" s="611"/>
      <c r="FZ33" s="611"/>
      <c r="GA33" s="562"/>
      <c r="GB33" s="612"/>
      <c r="GC33" s="603"/>
      <c r="GD33" s="603"/>
      <c r="GE33" s="613"/>
      <c r="GF33" s="613"/>
      <c r="GG33" s="613"/>
      <c r="GH33" s="614"/>
      <c r="GI33" s="614"/>
      <c r="GJ33" s="615"/>
      <c r="GK33" s="615"/>
      <c r="GL33" s="615"/>
      <c r="GM33" s="615"/>
      <c r="GN33" s="615"/>
      <c r="GO33" s="615"/>
      <c r="GP33" s="615"/>
      <c r="GQ33" s="615"/>
      <c r="GR33" s="615"/>
      <c r="GS33" s="615"/>
      <c r="GT33" s="615"/>
      <c r="GU33" s="609"/>
      <c r="GV33" s="609"/>
      <c r="GW33" s="609"/>
      <c r="GX33" s="609"/>
      <c r="GY33" s="609"/>
      <c r="GZ33" s="609"/>
      <c r="HA33" s="609"/>
      <c r="HB33" s="609"/>
      <c r="HC33" s="609"/>
      <c r="HD33" s="609"/>
      <c r="HE33" s="609"/>
      <c r="HF33" s="616"/>
      <c r="HG33" s="616"/>
      <c r="HH33" s="616"/>
      <c r="HI33" s="616"/>
      <c r="HJ33" s="616"/>
      <c r="HK33" s="616"/>
      <c r="HL33" s="616"/>
      <c r="HM33" s="616"/>
      <c r="HN33" s="616"/>
      <c r="HO33" s="616"/>
      <c r="HP33" s="616"/>
      <c r="HQ33" s="617"/>
      <c r="HR33" s="617"/>
      <c r="HS33" s="617"/>
      <c r="HT33" s="617"/>
      <c r="HU33" s="617"/>
      <c r="HV33" s="617"/>
    </row>
    <row r="34" ht="47.25">
      <c r="A34" s="559">
        <v>33</v>
      </c>
      <c r="B34" s="602">
        <v>38</v>
      </c>
      <c r="C34" s="469"/>
      <c r="D34" s="469" t="s">
        <v>867</v>
      </c>
      <c r="E34" s="560" t="s">
        <v>576</v>
      </c>
      <c r="F34" s="564" t="s">
        <v>576</v>
      </c>
      <c r="G34" s="561" t="s">
        <v>868</v>
      </c>
      <c r="H34" s="562" t="s">
        <v>26</v>
      </c>
      <c r="I34" s="562" t="s">
        <v>869</v>
      </c>
      <c r="J34" s="562" t="s">
        <v>870</v>
      </c>
      <c r="K34" s="469" t="s">
        <v>871</v>
      </c>
      <c r="L34" s="563">
        <v>42636</v>
      </c>
      <c r="M34" s="563">
        <v>42629</v>
      </c>
      <c r="N34" s="603" t="s">
        <v>872</v>
      </c>
      <c r="O34" s="604" t="s">
        <v>873</v>
      </c>
      <c r="P34" s="605" t="s">
        <v>583</v>
      </c>
      <c r="Q34" s="603" t="s">
        <v>364</v>
      </c>
      <c r="R34" s="605" t="s">
        <v>584</v>
      </c>
      <c r="S34" s="605" t="s">
        <v>585</v>
      </c>
      <c r="T34" s="234" t="s">
        <v>584</v>
      </c>
      <c r="U34" s="234" t="s">
        <v>585</v>
      </c>
      <c r="V34" s="562">
        <v>1</v>
      </c>
      <c r="W34" s="562" t="s">
        <v>0</v>
      </c>
      <c r="X34" s="564" t="s">
        <v>576</v>
      </c>
      <c r="Y34" s="564" t="s">
        <v>874</v>
      </c>
      <c r="Z34" s="564" t="s">
        <v>587</v>
      </c>
      <c r="AA34" s="564">
        <v>3</v>
      </c>
      <c r="AB34" s="565" t="s">
        <v>596</v>
      </c>
      <c r="AC34" s="565" t="s">
        <v>596</v>
      </c>
      <c r="AD34" s="565" t="s">
        <v>596</v>
      </c>
      <c r="AE34" s="565"/>
      <c r="AF34" s="566" t="s">
        <v>597</v>
      </c>
      <c r="AG34" s="565" t="s">
        <v>598</v>
      </c>
      <c r="AH34" s="565" t="s">
        <v>598</v>
      </c>
      <c r="AI34" s="565" t="s">
        <v>598</v>
      </c>
      <c r="AJ34" s="565"/>
      <c r="AK34" s="562" t="s">
        <v>599</v>
      </c>
      <c r="AL34" s="564">
        <v>2100</v>
      </c>
      <c r="AM34" s="564" t="s">
        <v>613</v>
      </c>
      <c r="AN34" s="567"/>
      <c r="AO34" s="567"/>
      <c r="AP34" s="567"/>
      <c r="AQ34" s="567"/>
      <c r="AR34" s="568"/>
      <c r="AS34" s="568"/>
      <c r="AT34" s="568"/>
      <c r="AU34" s="568"/>
      <c r="AV34" s="663" t="s">
        <v>601</v>
      </c>
      <c r="AW34" s="568"/>
      <c r="AX34" s="568"/>
      <c r="AY34" s="568"/>
      <c r="AZ34" s="568"/>
      <c r="BA34" s="663" t="s">
        <v>601</v>
      </c>
      <c r="BB34" s="567"/>
      <c r="BC34" s="567"/>
      <c r="BD34" s="569"/>
      <c r="BE34" s="569"/>
      <c r="BF34" s="569"/>
      <c r="BG34" s="569"/>
      <c r="BH34" s="569"/>
      <c r="BI34" s="569"/>
      <c r="BJ34" s="569"/>
      <c r="BK34" s="569"/>
      <c r="BL34" s="566" t="s">
        <v>601</v>
      </c>
      <c r="BM34" s="569"/>
      <c r="BN34" s="569"/>
      <c r="BO34" s="569"/>
      <c r="BP34" s="569"/>
      <c r="BQ34" s="562" t="s">
        <v>601</v>
      </c>
      <c r="BR34" s="569"/>
      <c r="BS34" s="569"/>
      <c r="BT34" s="570" t="s">
        <v>601</v>
      </c>
      <c r="BU34" s="570" t="s">
        <v>601</v>
      </c>
      <c r="BV34" s="570" t="s">
        <v>601</v>
      </c>
      <c r="BW34" s="570" t="s">
        <v>601</v>
      </c>
      <c r="BX34" s="571" t="s">
        <v>601</v>
      </c>
      <c r="BY34" s="571" t="s">
        <v>601</v>
      </c>
      <c r="BZ34" s="571" t="s">
        <v>601</v>
      </c>
      <c r="CA34" s="566" t="s">
        <v>601</v>
      </c>
      <c r="CB34" s="571" t="s">
        <v>601</v>
      </c>
      <c r="CC34" s="571" t="s">
        <v>601</v>
      </c>
      <c r="CD34" s="571" t="s">
        <v>601</v>
      </c>
      <c r="CE34" s="562" t="s">
        <v>601</v>
      </c>
      <c r="CF34" s="570" t="s">
        <v>601</v>
      </c>
      <c r="CG34" s="570" t="s">
        <v>601</v>
      </c>
      <c r="CH34" s="572" t="s">
        <v>601</v>
      </c>
      <c r="CI34" s="572" t="s">
        <v>601</v>
      </c>
      <c r="CJ34" s="572" t="s">
        <v>601</v>
      </c>
      <c r="CK34" s="572" t="s">
        <v>601</v>
      </c>
      <c r="CL34" s="573" t="s">
        <v>601</v>
      </c>
      <c r="CM34" s="573" t="s">
        <v>601</v>
      </c>
      <c r="CN34" s="573" t="s">
        <v>601</v>
      </c>
      <c r="CO34" s="566" t="s">
        <v>601</v>
      </c>
      <c r="CP34" s="573" t="s">
        <v>601</v>
      </c>
      <c r="CQ34" s="573" t="s">
        <v>601</v>
      </c>
      <c r="CR34" s="573" t="s">
        <v>601</v>
      </c>
      <c r="CS34" s="562" t="s">
        <v>601</v>
      </c>
      <c r="CT34" s="572" t="s">
        <v>601</v>
      </c>
      <c r="CU34" s="572" t="s">
        <v>601</v>
      </c>
      <c r="CV34" s="574" t="s">
        <v>601</v>
      </c>
      <c r="CW34" s="574" t="s">
        <v>601</v>
      </c>
      <c r="CX34" s="574" t="s">
        <v>601</v>
      </c>
      <c r="CY34" s="574" t="s">
        <v>601</v>
      </c>
      <c r="CZ34" s="575" t="s">
        <v>601</v>
      </c>
      <c r="DA34" s="575" t="s">
        <v>601</v>
      </c>
      <c r="DB34" s="575" t="s">
        <v>601</v>
      </c>
      <c r="DC34" s="566" t="s">
        <v>601</v>
      </c>
      <c r="DD34" s="575" t="s">
        <v>601</v>
      </c>
      <c r="DE34" s="575" t="s">
        <v>601</v>
      </c>
      <c r="DF34" s="575" t="s">
        <v>601</v>
      </c>
      <c r="DG34" s="562" t="s">
        <v>601</v>
      </c>
      <c r="DH34" s="574" t="s">
        <v>601</v>
      </c>
      <c r="DI34" s="574" t="s">
        <v>601</v>
      </c>
      <c r="DJ34" s="469">
        <v>1</v>
      </c>
      <c r="DK34" s="469" t="s">
        <v>623</v>
      </c>
      <c r="DL34" s="469" t="s">
        <v>601</v>
      </c>
      <c r="DM34" s="469" t="s">
        <v>601</v>
      </c>
      <c r="DN34" s="469" t="s">
        <v>604</v>
      </c>
      <c r="DO34" s="469" t="s">
        <v>604</v>
      </c>
      <c r="DP34" s="469" t="s">
        <v>604</v>
      </c>
      <c r="DQ34" s="469">
        <v>1</v>
      </c>
      <c r="DR34" s="576"/>
      <c r="DS34" s="606"/>
      <c r="DT34" s="606"/>
      <c r="DU34" s="562"/>
      <c r="DV34" s="606"/>
      <c r="DW34" s="606"/>
      <c r="DX34" s="607"/>
      <c r="DY34" s="611"/>
      <c r="DZ34" s="607"/>
      <c r="EA34" s="607"/>
      <c r="EB34" s="607"/>
      <c r="EC34" s="607"/>
      <c r="ED34" s="562"/>
      <c r="EE34" s="607"/>
      <c r="EF34" s="607"/>
      <c r="EG34" s="607"/>
      <c r="EH34" s="562"/>
      <c r="EI34" s="607"/>
      <c r="EJ34" s="607"/>
      <c r="EK34" s="608"/>
      <c r="EL34" s="608"/>
      <c r="EM34" s="608"/>
      <c r="EN34" s="608"/>
      <c r="EO34" s="608"/>
      <c r="EP34" s="608"/>
      <c r="EQ34" s="562"/>
      <c r="ER34" s="608"/>
      <c r="ES34" s="608"/>
      <c r="ET34" s="608"/>
      <c r="EU34" s="562"/>
      <c r="EV34" s="608"/>
      <c r="EW34" s="608"/>
      <c r="EX34" s="609"/>
      <c r="EY34" s="609"/>
      <c r="EZ34" s="609"/>
      <c r="FA34" s="609"/>
      <c r="FB34" s="609"/>
      <c r="FC34" s="609"/>
      <c r="FD34" s="562"/>
      <c r="FE34" s="609"/>
      <c r="FF34" s="609"/>
      <c r="FG34" s="609"/>
      <c r="FH34" s="562"/>
      <c r="FI34" s="609"/>
      <c r="FJ34" s="609"/>
      <c r="FK34" s="562"/>
      <c r="FL34" s="562"/>
      <c r="FM34" s="562"/>
      <c r="FN34" s="562"/>
      <c r="FO34" s="562"/>
      <c r="FP34" s="562"/>
      <c r="FQ34" s="562"/>
      <c r="FR34" s="562"/>
      <c r="FS34" s="562"/>
      <c r="FT34" s="562"/>
      <c r="FU34" s="562"/>
      <c r="FV34" s="562"/>
      <c r="FW34" s="562"/>
      <c r="FX34" s="610"/>
      <c r="FY34" s="611"/>
      <c r="FZ34" s="611"/>
      <c r="GA34" s="562"/>
      <c r="GB34" s="612"/>
      <c r="GC34" s="603"/>
      <c r="GD34" s="603"/>
      <c r="GE34" s="613"/>
      <c r="GF34" s="613"/>
      <c r="GG34" s="613"/>
      <c r="GH34" s="614"/>
      <c r="GI34" s="614"/>
      <c r="GJ34" s="615"/>
      <c r="GK34" s="615"/>
      <c r="GL34" s="615"/>
      <c r="GM34" s="615"/>
      <c r="GN34" s="615"/>
      <c r="GO34" s="615"/>
      <c r="GP34" s="615"/>
      <c r="GQ34" s="615"/>
      <c r="GR34" s="615"/>
      <c r="GS34" s="615"/>
      <c r="GT34" s="615"/>
      <c r="GU34" s="609"/>
      <c r="GV34" s="609"/>
      <c r="GW34" s="609"/>
      <c r="GX34" s="609"/>
      <c r="GY34" s="609"/>
      <c r="GZ34" s="609"/>
      <c r="HA34" s="609"/>
      <c r="HB34" s="609"/>
      <c r="HC34" s="609"/>
      <c r="HD34" s="609"/>
      <c r="HE34" s="609"/>
      <c r="HF34" s="616"/>
      <c r="HG34" s="616"/>
      <c r="HH34" s="616"/>
      <c r="HI34" s="616"/>
      <c r="HJ34" s="616"/>
      <c r="HK34" s="616"/>
      <c r="HL34" s="616"/>
      <c r="HM34" s="616"/>
      <c r="HN34" s="616"/>
      <c r="HO34" s="616"/>
      <c r="HP34" s="616"/>
      <c r="HQ34" s="617"/>
      <c r="HR34" s="617"/>
      <c r="HS34" s="617"/>
      <c r="HT34" s="617"/>
      <c r="HU34" s="617"/>
      <c r="HV34" s="617"/>
    </row>
    <row r="35" ht="47.25">
      <c r="A35" s="559">
        <v>34</v>
      </c>
      <c r="B35" s="602">
        <v>38</v>
      </c>
      <c r="C35" s="469"/>
      <c r="D35" s="469" t="s">
        <v>875</v>
      </c>
      <c r="E35" s="560" t="s">
        <v>576</v>
      </c>
      <c r="F35" s="564" t="s">
        <v>576</v>
      </c>
      <c r="G35" s="561" t="s">
        <v>876</v>
      </c>
      <c r="H35" s="562" t="s">
        <v>26</v>
      </c>
      <c r="I35" s="562" t="s">
        <v>877</v>
      </c>
      <c r="J35" s="562" t="s">
        <v>878</v>
      </c>
      <c r="K35" s="469" t="s">
        <v>879</v>
      </c>
      <c r="L35" s="563">
        <v>42636</v>
      </c>
      <c r="M35" s="563">
        <v>42630</v>
      </c>
      <c r="N35" s="603" t="s">
        <v>880</v>
      </c>
      <c r="O35" s="604" t="s">
        <v>881</v>
      </c>
      <c r="P35" s="605" t="s">
        <v>583</v>
      </c>
      <c r="Q35" s="603" t="s">
        <v>364</v>
      </c>
      <c r="R35" s="605" t="s">
        <v>584</v>
      </c>
      <c r="S35" s="605" t="s">
        <v>585</v>
      </c>
      <c r="T35" s="234" t="s">
        <v>584</v>
      </c>
      <c r="U35" s="234" t="s">
        <v>585</v>
      </c>
      <c r="V35" s="562">
        <v>1</v>
      </c>
      <c r="W35" s="562" t="s">
        <v>675</v>
      </c>
      <c r="X35" s="564" t="s">
        <v>576</v>
      </c>
      <c r="Y35" s="564" t="s">
        <v>882</v>
      </c>
      <c r="Z35" s="564" t="s">
        <v>587</v>
      </c>
      <c r="AA35" s="564">
        <v>3</v>
      </c>
      <c r="AB35" s="565" t="s">
        <v>596</v>
      </c>
      <c r="AC35" s="565" t="s">
        <v>596</v>
      </c>
      <c r="AD35" s="565" t="s">
        <v>596</v>
      </c>
      <c r="AE35" s="565"/>
      <c r="AF35" s="566" t="s">
        <v>597</v>
      </c>
      <c r="AG35" s="565" t="s">
        <v>598</v>
      </c>
      <c r="AH35" s="565" t="s">
        <v>598</v>
      </c>
      <c r="AI35" s="565" t="s">
        <v>598</v>
      </c>
      <c r="AJ35" s="565"/>
      <c r="AK35" s="562" t="s">
        <v>599</v>
      </c>
      <c r="AL35" s="564">
        <v>2100</v>
      </c>
      <c r="AM35" s="564" t="s">
        <v>649</v>
      </c>
      <c r="AN35" s="567"/>
      <c r="AO35" s="567"/>
      <c r="AP35" s="567"/>
      <c r="AQ35" s="567"/>
      <c r="AR35" s="568"/>
      <c r="AS35" s="568"/>
      <c r="AT35" s="568"/>
      <c r="AU35" s="568"/>
      <c r="AV35" s="663" t="s">
        <v>601</v>
      </c>
      <c r="AW35" s="568"/>
      <c r="AX35" s="568"/>
      <c r="AY35" s="568"/>
      <c r="AZ35" s="568"/>
      <c r="BA35" s="663" t="s">
        <v>601</v>
      </c>
      <c r="BB35" s="567"/>
      <c r="BC35" s="567"/>
      <c r="BD35" s="569"/>
      <c r="BE35" s="569"/>
      <c r="BF35" s="569"/>
      <c r="BG35" s="569"/>
      <c r="BH35" s="569"/>
      <c r="BI35" s="569"/>
      <c r="BJ35" s="569"/>
      <c r="BK35" s="569"/>
      <c r="BL35" s="566" t="s">
        <v>601</v>
      </c>
      <c r="BM35" s="569"/>
      <c r="BN35" s="569"/>
      <c r="BO35" s="569"/>
      <c r="BP35" s="569"/>
      <c r="BQ35" s="562" t="s">
        <v>601</v>
      </c>
      <c r="BR35" s="569"/>
      <c r="BS35" s="569"/>
      <c r="BT35" s="570" t="s">
        <v>601</v>
      </c>
      <c r="BU35" s="570" t="s">
        <v>601</v>
      </c>
      <c r="BV35" s="570" t="s">
        <v>601</v>
      </c>
      <c r="BW35" s="570" t="s">
        <v>601</v>
      </c>
      <c r="BX35" s="571" t="s">
        <v>601</v>
      </c>
      <c r="BY35" s="571" t="s">
        <v>601</v>
      </c>
      <c r="BZ35" s="571" t="s">
        <v>601</v>
      </c>
      <c r="CA35" s="566" t="s">
        <v>601</v>
      </c>
      <c r="CB35" s="571" t="s">
        <v>601</v>
      </c>
      <c r="CC35" s="571" t="s">
        <v>601</v>
      </c>
      <c r="CD35" s="571" t="s">
        <v>601</v>
      </c>
      <c r="CE35" s="562" t="s">
        <v>601</v>
      </c>
      <c r="CF35" s="570" t="s">
        <v>601</v>
      </c>
      <c r="CG35" s="570" t="s">
        <v>601</v>
      </c>
      <c r="CH35" s="572" t="s">
        <v>601</v>
      </c>
      <c r="CI35" s="572" t="s">
        <v>601</v>
      </c>
      <c r="CJ35" s="572" t="s">
        <v>601</v>
      </c>
      <c r="CK35" s="572" t="s">
        <v>601</v>
      </c>
      <c r="CL35" s="573" t="s">
        <v>601</v>
      </c>
      <c r="CM35" s="573" t="s">
        <v>601</v>
      </c>
      <c r="CN35" s="573" t="s">
        <v>601</v>
      </c>
      <c r="CO35" s="566" t="s">
        <v>601</v>
      </c>
      <c r="CP35" s="573" t="s">
        <v>601</v>
      </c>
      <c r="CQ35" s="573" t="s">
        <v>601</v>
      </c>
      <c r="CR35" s="573" t="s">
        <v>601</v>
      </c>
      <c r="CS35" s="562" t="s">
        <v>601</v>
      </c>
      <c r="CT35" s="572" t="s">
        <v>601</v>
      </c>
      <c r="CU35" s="572" t="s">
        <v>601</v>
      </c>
      <c r="CV35" s="574" t="s">
        <v>601</v>
      </c>
      <c r="CW35" s="574" t="s">
        <v>601</v>
      </c>
      <c r="CX35" s="574" t="s">
        <v>601</v>
      </c>
      <c r="CY35" s="574" t="s">
        <v>601</v>
      </c>
      <c r="CZ35" s="575" t="s">
        <v>601</v>
      </c>
      <c r="DA35" s="575" t="s">
        <v>601</v>
      </c>
      <c r="DB35" s="575" t="s">
        <v>601</v>
      </c>
      <c r="DC35" s="566" t="s">
        <v>601</v>
      </c>
      <c r="DD35" s="575" t="s">
        <v>601</v>
      </c>
      <c r="DE35" s="575" t="s">
        <v>601</v>
      </c>
      <c r="DF35" s="575" t="s">
        <v>601</v>
      </c>
      <c r="DG35" s="562" t="s">
        <v>601</v>
      </c>
      <c r="DH35" s="574" t="s">
        <v>601</v>
      </c>
      <c r="DI35" s="574" t="s">
        <v>601</v>
      </c>
      <c r="DJ35" s="469">
        <v>1</v>
      </c>
      <c r="DK35" s="469" t="s">
        <v>623</v>
      </c>
      <c r="DL35" s="469" t="s">
        <v>601</v>
      </c>
      <c r="DM35" s="469" t="s">
        <v>601</v>
      </c>
      <c r="DN35" s="469" t="s">
        <v>604</v>
      </c>
      <c r="DO35" s="469" t="s">
        <v>604</v>
      </c>
      <c r="DP35" s="469" t="s">
        <v>604</v>
      </c>
      <c r="DQ35" s="469">
        <v>1</v>
      </c>
      <c r="DR35" s="576"/>
      <c r="DS35" s="606"/>
      <c r="DT35" s="606"/>
      <c r="DU35" s="562"/>
      <c r="DV35" s="606"/>
      <c r="DW35" s="606"/>
      <c r="DX35" s="607"/>
      <c r="DY35" s="611"/>
      <c r="DZ35" s="607"/>
      <c r="EA35" s="607"/>
      <c r="EB35" s="607"/>
      <c r="EC35" s="607"/>
      <c r="ED35" s="562"/>
      <c r="EE35" s="607"/>
      <c r="EF35" s="607"/>
      <c r="EG35" s="607"/>
      <c r="EH35" s="562"/>
      <c r="EI35" s="607"/>
      <c r="EJ35" s="607"/>
      <c r="EK35" s="608"/>
      <c r="EL35" s="608"/>
      <c r="EM35" s="608"/>
      <c r="EN35" s="608"/>
      <c r="EO35" s="608"/>
      <c r="EP35" s="608"/>
      <c r="EQ35" s="562"/>
      <c r="ER35" s="608"/>
      <c r="ES35" s="608"/>
      <c r="ET35" s="608"/>
      <c r="EU35" s="562"/>
      <c r="EV35" s="608"/>
      <c r="EW35" s="608"/>
      <c r="EX35" s="609"/>
      <c r="EY35" s="609"/>
      <c r="EZ35" s="609"/>
      <c r="FA35" s="609"/>
      <c r="FB35" s="609"/>
      <c r="FC35" s="609"/>
      <c r="FD35" s="562"/>
      <c r="FE35" s="609"/>
      <c r="FF35" s="609"/>
      <c r="FG35" s="609"/>
      <c r="FH35" s="562"/>
      <c r="FI35" s="609"/>
      <c r="FJ35" s="609"/>
      <c r="FK35" s="562"/>
      <c r="FL35" s="562"/>
      <c r="FM35" s="562"/>
      <c r="FN35" s="562"/>
      <c r="FO35" s="562"/>
      <c r="FP35" s="562"/>
      <c r="FQ35" s="562"/>
      <c r="FR35" s="562"/>
      <c r="FS35" s="562"/>
      <c r="FT35" s="562"/>
      <c r="FU35" s="562"/>
      <c r="FV35" s="562"/>
      <c r="FW35" s="562"/>
      <c r="FX35" s="610">
        <v>1</v>
      </c>
      <c r="FY35" s="611"/>
      <c r="FZ35" s="611">
        <v>1</v>
      </c>
      <c r="GA35" s="562"/>
      <c r="GB35" s="612"/>
      <c r="GC35" s="603"/>
      <c r="GD35" s="603"/>
      <c r="GE35" s="613"/>
      <c r="GF35" s="613"/>
      <c r="GG35" s="613"/>
      <c r="GH35" s="614"/>
      <c r="GI35" s="614"/>
      <c r="GJ35" s="615"/>
      <c r="GK35" s="615"/>
      <c r="GL35" s="615"/>
      <c r="GM35" s="615"/>
      <c r="GN35" s="615"/>
      <c r="GO35" s="615"/>
      <c r="GP35" s="615"/>
      <c r="GQ35" s="615"/>
      <c r="GR35" s="615"/>
      <c r="GS35" s="615"/>
      <c r="GT35" s="615"/>
      <c r="GU35" s="609"/>
      <c r="GV35" s="609"/>
      <c r="GW35" s="609"/>
      <c r="GX35" s="609"/>
      <c r="GY35" s="609"/>
      <c r="GZ35" s="609"/>
      <c r="HA35" s="609"/>
      <c r="HB35" s="609"/>
      <c r="HC35" s="609"/>
      <c r="HD35" s="609"/>
      <c r="HE35" s="609"/>
      <c r="HF35" s="616"/>
      <c r="HG35" s="616"/>
      <c r="HH35" s="616"/>
      <c r="HI35" s="616"/>
      <c r="HJ35" s="616"/>
      <c r="HK35" s="616"/>
      <c r="HL35" s="616"/>
      <c r="HM35" s="616"/>
      <c r="HN35" s="616"/>
      <c r="HO35" s="616"/>
      <c r="HP35" s="616"/>
      <c r="HQ35" s="617"/>
      <c r="HR35" s="617"/>
      <c r="HS35" s="617"/>
      <c r="HT35" s="617"/>
      <c r="HU35" s="617"/>
      <c r="HV35" s="617"/>
    </row>
    <row r="36" ht="47.25">
      <c r="A36" s="559">
        <v>35</v>
      </c>
      <c r="B36" s="602">
        <v>38</v>
      </c>
      <c r="C36" s="469"/>
      <c r="D36" s="469" t="s">
        <v>883</v>
      </c>
      <c r="E36" s="560" t="s">
        <v>576</v>
      </c>
      <c r="F36" s="564" t="s">
        <v>576</v>
      </c>
      <c r="G36" s="561" t="s">
        <v>884</v>
      </c>
      <c r="H36" s="562" t="s">
        <v>26</v>
      </c>
      <c r="I36" s="562" t="s">
        <v>885</v>
      </c>
      <c r="J36" s="562" t="s">
        <v>886</v>
      </c>
      <c r="K36" s="469" t="s">
        <v>887</v>
      </c>
      <c r="L36" s="563">
        <v>42636</v>
      </c>
      <c r="M36" s="563">
        <v>42630</v>
      </c>
      <c r="N36" s="603" t="s">
        <v>888</v>
      </c>
      <c r="O36" s="604" t="s">
        <v>889</v>
      </c>
      <c r="P36" s="605" t="s">
        <v>583</v>
      </c>
      <c r="Q36" s="603" t="s">
        <v>364</v>
      </c>
      <c r="R36" s="605" t="s">
        <v>584</v>
      </c>
      <c r="S36" s="605" t="s">
        <v>585</v>
      </c>
      <c r="T36" s="234" t="s">
        <v>584</v>
      </c>
      <c r="U36" s="234" t="s">
        <v>585</v>
      </c>
      <c r="V36" s="562">
        <v>1</v>
      </c>
      <c r="W36" s="562" t="s">
        <v>675</v>
      </c>
      <c r="X36" s="564" t="s">
        <v>576</v>
      </c>
      <c r="Y36" s="564" t="s">
        <v>890</v>
      </c>
      <c r="Z36" s="564" t="s">
        <v>587</v>
      </c>
      <c r="AA36" s="564">
        <v>3</v>
      </c>
      <c r="AB36" s="565" t="s">
        <v>596</v>
      </c>
      <c r="AC36" s="565" t="s">
        <v>596</v>
      </c>
      <c r="AD36" s="565" t="s">
        <v>596</v>
      </c>
      <c r="AE36" s="565"/>
      <c r="AF36" s="566" t="s">
        <v>597</v>
      </c>
      <c r="AG36" s="565" t="s">
        <v>598</v>
      </c>
      <c r="AH36" s="565" t="s">
        <v>598</v>
      </c>
      <c r="AI36" s="565" t="s">
        <v>598</v>
      </c>
      <c r="AJ36" s="565"/>
      <c r="AK36" s="562" t="s">
        <v>599</v>
      </c>
      <c r="AL36" s="564">
        <v>2100</v>
      </c>
      <c r="AM36" s="564" t="s">
        <v>891</v>
      </c>
      <c r="AN36" s="567"/>
      <c r="AO36" s="567"/>
      <c r="AP36" s="567"/>
      <c r="AQ36" s="567"/>
      <c r="AR36" s="568"/>
      <c r="AS36" s="568"/>
      <c r="AT36" s="568"/>
      <c r="AU36" s="568"/>
      <c r="AV36" s="663" t="s">
        <v>601</v>
      </c>
      <c r="AW36" s="568"/>
      <c r="AX36" s="568"/>
      <c r="AY36" s="568"/>
      <c r="AZ36" s="568"/>
      <c r="BA36" s="663" t="s">
        <v>601</v>
      </c>
      <c r="BB36" s="567"/>
      <c r="BC36" s="567"/>
      <c r="BD36" s="569"/>
      <c r="BE36" s="569"/>
      <c r="BF36" s="569"/>
      <c r="BG36" s="569"/>
      <c r="BH36" s="569"/>
      <c r="BI36" s="569"/>
      <c r="BJ36" s="569"/>
      <c r="BK36" s="569"/>
      <c r="BL36" s="566" t="s">
        <v>601</v>
      </c>
      <c r="BM36" s="569"/>
      <c r="BN36" s="569"/>
      <c r="BO36" s="569"/>
      <c r="BP36" s="569"/>
      <c r="BQ36" s="562" t="s">
        <v>601</v>
      </c>
      <c r="BR36" s="569"/>
      <c r="BS36" s="569"/>
      <c r="BT36" s="570" t="s">
        <v>601</v>
      </c>
      <c r="BU36" s="570" t="s">
        <v>601</v>
      </c>
      <c r="BV36" s="570" t="s">
        <v>601</v>
      </c>
      <c r="BW36" s="570" t="s">
        <v>601</v>
      </c>
      <c r="BX36" s="571" t="s">
        <v>601</v>
      </c>
      <c r="BY36" s="571" t="s">
        <v>601</v>
      </c>
      <c r="BZ36" s="571" t="s">
        <v>601</v>
      </c>
      <c r="CA36" s="566" t="s">
        <v>601</v>
      </c>
      <c r="CB36" s="571" t="s">
        <v>601</v>
      </c>
      <c r="CC36" s="571" t="s">
        <v>601</v>
      </c>
      <c r="CD36" s="571" t="s">
        <v>601</v>
      </c>
      <c r="CE36" s="562" t="s">
        <v>601</v>
      </c>
      <c r="CF36" s="570" t="s">
        <v>601</v>
      </c>
      <c r="CG36" s="570" t="s">
        <v>601</v>
      </c>
      <c r="CH36" s="572" t="s">
        <v>601</v>
      </c>
      <c r="CI36" s="572" t="s">
        <v>601</v>
      </c>
      <c r="CJ36" s="572" t="s">
        <v>601</v>
      </c>
      <c r="CK36" s="572" t="s">
        <v>601</v>
      </c>
      <c r="CL36" s="573" t="s">
        <v>601</v>
      </c>
      <c r="CM36" s="573" t="s">
        <v>601</v>
      </c>
      <c r="CN36" s="573" t="s">
        <v>601</v>
      </c>
      <c r="CO36" s="566" t="s">
        <v>601</v>
      </c>
      <c r="CP36" s="573" t="s">
        <v>601</v>
      </c>
      <c r="CQ36" s="573" t="s">
        <v>601</v>
      </c>
      <c r="CR36" s="573" t="s">
        <v>601</v>
      </c>
      <c r="CS36" s="562" t="s">
        <v>601</v>
      </c>
      <c r="CT36" s="572" t="s">
        <v>601</v>
      </c>
      <c r="CU36" s="572" t="s">
        <v>601</v>
      </c>
      <c r="CV36" s="574" t="s">
        <v>601</v>
      </c>
      <c r="CW36" s="574" t="s">
        <v>601</v>
      </c>
      <c r="CX36" s="574" t="s">
        <v>601</v>
      </c>
      <c r="CY36" s="574" t="s">
        <v>601</v>
      </c>
      <c r="CZ36" s="575" t="s">
        <v>601</v>
      </c>
      <c r="DA36" s="575" t="s">
        <v>601</v>
      </c>
      <c r="DB36" s="575" t="s">
        <v>601</v>
      </c>
      <c r="DC36" s="566" t="s">
        <v>601</v>
      </c>
      <c r="DD36" s="575" t="s">
        <v>601</v>
      </c>
      <c r="DE36" s="575" t="s">
        <v>601</v>
      </c>
      <c r="DF36" s="575" t="s">
        <v>601</v>
      </c>
      <c r="DG36" s="562" t="s">
        <v>601</v>
      </c>
      <c r="DH36" s="574" t="s">
        <v>601</v>
      </c>
      <c r="DI36" s="574" t="s">
        <v>601</v>
      </c>
      <c r="DJ36" s="469">
        <v>1</v>
      </c>
      <c r="DK36" s="469" t="s">
        <v>623</v>
      </c>
      <c r="DL36" s="469" t="s">
        <v>601</v>
      </c>
      <c r="DM36" s="469" t="s">
        <v>601</v>
      </c>
      <c r="DN36" s="469" t="s">
        <v>604</v>
      </c>
      <c r="DO36" s="469" t="s">
        <v>604</v>
      </c>
      <c r="DP36" s="469" t="s">
        <v>604</v>
      </c>
      <c r="DQ36" s="469">
        <v>1</v>
      </c>
      <c r="DR36" s="576"/>
      <c r="DS36" s="606"/>
      <c r="DT36" s="606"/>
      <c r="DU36" s="562"/>
      <c r="DV36" s="606"/>
      <c r="DW36" s="606"/>
      <c r="DX36" s="607"/>
      <c r="DY36" s="611"/>
      <c r="DZ36" s="607"/>
      <c r="EA36" s="607"/>
      <c r="EB36" s="607"/>
      <c r="EC36" s="607"/>
      <c r="ED36" s="562"/>
      <c r="EE36" s="607"/>
      <c r="EF36" s="607"/>
      <c r="EG36" s="607"/>
      <c r="EH36" s="562"/>
      <c r="EI36" s="607"/>
      <c r="EJ36" s="607"/>
      <c r="EK36" s="608"/>
      <c r="EL36" s="608"/>
      <c r="EM36" s="608"/>
      <c r="EN36" s="608"/>
      <c r="EO36" s="608"/>
      <c r="EP36" s="608"/>
      <c r="EQ36" s="562"/>
      <c r="ER36" s="608"/>
      <c r="ES36" s="608"/>
      <c r="ET36" s="608"/>
      <c r="EU36" s="562"/>
      <c r="EV36" s="608"/>
      <c r="EW36" s="608"/>
      <c r="EX36" s="609"/>
      <c r="EY36" s="609"/>
      <c r="EZ36" s="609"/>
      <c r="FA36" s="609"/>
      <c r="FB36" s="609"/>
      <c r="FC36" s="609"/>
      <c r="FD36" s="562"/>
      <c r="FE36" s="609"/>
      <c r="FF36" s="609"/>
      <c r="FG36" s="609"/>
      <c r="FH36" s="562"/>
      <c r="FI36" s="609"/>
      <c r="FJ36" s="609"/>
      <c r="FK36" s="562"/>
      <c r="FL36" s="562"/>
      <c r="FM36" s="562"/>
      <c r="FN36" s="562"/>
      <c r="FO36" s="562"/>
      <c r="FP36" s="562"/>
      <c r="FQ36" s="562"/>
      <c r="FR36" s="562"/>
      <c r="FS36" s="562"/>
      <c r="FT36" s="562"/>
      <c r="FU36" s="562"/>
      <c r="FV36" s="562"/>
      <c r="FW36" s="562"/>
      <c r="FX36" s="610">
        <v>1</v>
      </c>
      <c r="FY36" s="611"/>
      <c r="FZ36" s="611">
        <v>1</v>
      </c>
      <c r="GA36" s="562"/>
      <c r="GB36" s="612"/>
      <c r="GC36" s="603"/>
      <c r="GD36" s="603"/>
      <c r="GE36" s="613"/>
      <c r="GF36" s="613"/>
      <c r="GG36" s="613"/>
      <c r="GH36" s="614"/>
      <c r="GI36" s="614"/>
      <c r="GJ36" s="615"/>
      <c r="GK36" s="615"/>
      <c r="GL36" s="615"/>
      <c r="GM36" s="615"/>
      <c r="GN36" s="615"/>
      <c r="GO36" s="615"/>
      <c r="GP36" s="615"/>
      <c r="GQ36" s="615"/>
      <c r="GR36" s="615"/>
      <c r="GS36" s="615"/>
      <c r="GT36" s="615"/>
      <c r="GU36" s="609"/>
      <c r="GV36" s="609"/>
      <c r="GW36" s="609"/>
      <c r="GX36" s="609"/>
      <c r="GY36" s="609"/>
      <c r="GZ36" s="609"/>
      <c r="HA36" s="609"/>
      <c r="HB36" s="609"/>
      <c r="HC36" s="609"/>
      <c r="HD36" s="609"/>
      <c r="HE36" s="609"/>
      <c r="HF36" s="616"/>
      <c r="HG36" s="616"/>
      <c r="HH36" s="616"/>
      <c r="HI36" s="616"/>
      <c r="HJ36" s="616"/>
      <c r="HK36" s="616"/>
      <c r="HL36" s="616"/>
      <c r="HM36" s="616"/>
      <c r="HN36" s="616"/>
      <c r="HO36" s="616"/>
      <c r="HP36" s="616"/>
      <c r="HQ36" s="617"/>
      <c r="HR36" s="617"/>
      <c r="HS36" s="617"/>
      <c r="HT36" s="617"/>
      <c r="HU36" s="617"/>
      <c r="HV36" s="617"/>
    </row>
    <row r="37" ht="47.25">
      <c r="A37" s="559">
        <v>36</v>
      </c>
      <c r="B37" s="602">
        <v>38</v>
      </c>
      <c r="C37" s="469"/>
      <c r="D37" s="469" t="s">
        <v>892</v>
      </c>
      <c r="E37" s="560" t="s">
        <v>576</v>
      </c>
      <c r="F37" s="564" t="s">
        <v>576</v>
      </c>
      <c r="G37" s="561" t="s">
        <v>893</v>
      </c>
      <c r="H37" s="562" t="s">
        <v>26</v>
      </c>
      <c r="I37" s="562" t="s">
        <v>894</v>
      </c>
      <c r="J37" s="562" t="s">
        <v>895</v>
      </c>
      <c r="K37" s="469" t="s">
        <v>896</v>
      </c>
      <c r="L37" s="563">
        <v>42636</v>
      </c>
      <c r="M37" s="563">
        <v>42630</v>
      </c>
      <c r="N37" s="603" t="s">
        <v>897</v>
      </c>
      <c r="O37" s="604" t="s">
        <v>898</v>
      </c>
      <c r="P37" s="605" t="s">
        <v>583</v>
      </c>
      <c r="Q37" s="603" t="s">
        <v>364</v>
      </c>
      <c r="R37" s="605" t="s">
        <v>584</v>
      </c>
      <c r="S37" s="605" t="s">
        <v>585</v>
      </c>
      <c r="T37" s="234" t="s">
        <v>584</v>
      </c>
      <c r="U37" s="234" t="s">
        <v>585</v>
      </c>
      <c r="V37" s="562">
        <v>1</v>
      </c>
      <c r="W37" s="562" t="s">
        <v>0</v>
      </c>
      <c r="X37" s="564" t="s">
        <v>576</v>
      </c>
      <c r="Y37" s="564" t="s">
        <v>899</v>
      </c>
      <c r="Z37" s="564" t="s">
        <v>587</v>
      </c>
      <c r="AA37" s="564">
        <v>3</v>
      </c>
      <c r="AB37" s="565" t="s">
        <v>596</v>
      </c>
      <c r="AC37" s="565" t="s">
        <v>596</v>
      </c>
      <c r="AD37" s="565" t="s">
        <v>596</v>
      </c>
      <c r="AE37" s="565"/>
      <c r="AF37" s="566" t="s">
        <v>597</v>
      </c>
      <c r="AG37" s="565" t="s">
        <v>598</v>
      </c>
      <c r="AH37" s="565" t="s">
        <v>598</v>
      </c>
      <c r="AI37" s="565" t="s">
        <v>598</v>
      </c>
      <c r="AJ37" s="565"/>
      <c r="AK37" s="562" t="s">
        <v>599</v>
      </c>
      <c r="AL37" s="564">
        <v>2100</v>
      </c>
      <c r="AM37" s="564" t="s">
        <v>613</v>
      </c>
      <c r="AN37" s="567"/>
      <c r="AO37" s="567"/>
      <c r="AP37" s="567"/>
      <c r="AQ37" s="567"/>
      <c r="AR37" s="568"/>
      <c r="AS37" s="568"/>
      <c r="AT37" s="568"/>
      <c r="AU37" s="568"/>
      <c r="AV37" s="663" t="s">
        <v>601</v>
      </c>
      <c r="AW37" s="568"/>
      <c r="AX37" s="568"/>
      <c r="AY37" s="568"/>
      <c r="AZ37" s="568"/>
      <c r="BA37" s="663" t="s">
        <v>601</v>
      </c>
      <c r="BB37" s="567"/>
      <c r="BC37" s="567"/>
      <c r="BD37" s="569"/>
      <c r="BE37" s="569"/>
      <c r="BF37" s="569"/>
      <c r="BG37" s="569"/>
      <c r="BH37" s="569"/>
      <c r="BI37" s="569"/>
      <c r="BJ37" s="569"/>
      <c r="BK37" s="569"/>
      <c r="BL37" s="566" t="s">
        <v>601</v>
      </c>
      <c r="BM37" s="569"/>
      <c r="BN37" s="569"/>
      <c r="BO37" s="569"/>
      <c r="BP37" s="569"/>
      <c r="BQ37" s="562" t="s">
        <v>601</v>
      </c>
      <c r="BR37" s="569"/>
      <c r="BS37" s="569"/>
      <c r="BT37" s="570" t="s">
        <v>601</v>
      </c>
      <c r="BU37" s="570" t="s">
        <v>601</v>
      </c>
      <c r="BV37" s="570" t="s">
        <v>601</v>
      </c>
      <c r="BW37" s="570" t="s">
        <v>601</v>
      </c>
      <c r="BX37" s="571" t="s">
        <v>601</v>
      </c>
      <c r="BY37" s="571" t="s">
        <v>601</v>
      </c>
      <c r="BZ37" s="571" t="s">
        <v>601</v>
      </c>
      <c r="CA37" s="566" t="s">
        <v>601</v>
      </c>
      <c r="CB37" s="571" t="s">
        <v>601</v>
      </c>
      <c r="CC37" s="571" t="s">
        <v>601</v>
      </c>
      <c r="CD37" s="571" t="s">
        <v>601</v>
      </c>
      <c r="CE37" s="562" t="s">
        <v>601</v>
      </c>
      <c r="CF37" s="570" t="s">
        <v>601</v>
      </c>
      <c r="CG37" s="570" t="s">
        <v>601</v>
      </c>
      <c r="CH37" s="572" t="s">
        <v>601</v>
      </c>
      <c r="CI37" s="572" t="s">
        <v>601</v>
      </c>
      <c r="CJ37" s="572" t="s">
        <v>601</v>
      </c>
      <c r="CK37" s="572" t="s">
        <v>601</v>
      </c>
      <c r="CL37" s="573" t="s">
        <v>601</v>
      </c>
      <c r="CM37" s="573" t="s">
        <v>601</v>
      </c>
      <c r="CN37" s="573" t="s">
        <v>601</v>
      </c>
      <c r="CO37" s="566" t="s">
        <v>601</v>
      </c>
      <c r="CP37" s="573" t="s">
        <v>601</v>
      </c>
      <c r="CQ37" s="573" t="s">
        <v>601</v>
      </c>
      <c r="CR37" s="573" t="s">
        <v>601</v>
      </c>
      <c r="CS37" s="562" t="s">
        <v>601</v>
      </c>
      <c r="CT37" s="572" t="s">
        <v>601</v>
      </c>
      <c r="CU37" s="572" t="s">
        <v>601</v>
      </c>
      <c r="CV37" s="574" t="s">
        <v>601</v>
      </c>
      <c r="CW37" s="574" t="s">
        <v>601</v>
      </c>
      <c r="CX37" s="574" t="s">
        <v>601</v>
      </c>
      <c r="CY37" s="574" t="s">
        <v>601</v>
      </c>
      <c r="CZ37" s="575" t="s">
        <v>601</v>
      </c>
      <c r="DA37" s="575" t="s">
        <v>601</v>
      </c>
      <c r="DB37" s="575" t="s">
        <v>601</v>
      </c>
      <c r="DC37" s="566" t="s">
        <v>601</v>
      </c>
      <c r="DD37" s="575" t="s">
        <v>601</v>
      </c>
      <c r="DE37" s="575" t="s">
        <v>601</v>
      </c>
      <c r="DF37" s="575" t="s">
        <v>601</v>
      </c>
      <c r="DG37" s="562" t="s">
        <v>601</v>
      </c>
      <c r="DH37" s="574" t="s">
        <v>601</v>
      </c>
      <c r="DI37" s="574" t="s">
        <v>601</v>
      </c>
      <c r="DJ37" s="469">
        <v>1</v>
      </c>
      <c r="DK37" s="469" t="s">
        <v>623</v>
      </c>
      <c r="DL37" s="469" t="s">
        <v>601</v>
      </c>
      <c r="DM37" s="469" t="s">
        <v>601</v>
      </c>
      <c r="DN37" s="469" t="s">
        <v>604</v>
      </c>
      <c r="DO37" s="469" t="s">
        <v>604</v>
      </c>
      <c r="DP37" s="469" t="s">
        <v>604</v>
      </c>
      <c r="DQ37" s="469">
        <v>1</v>
      </c>
      <c r="DR37" s="576"/>
      <c r="DS37" s="606"/>
      <c r="DT37" s="606"/>
      <c r="DU37" s="562"/>
      <c r="DV37" s="606"/>
      <c r="DW37" s="606"/>
      <c r="DX37" s="607"/>
      <c r="DY37" s="611"/>
      <c r="DZ37" s="607"/>
      <c r="EA37" s="607"/>
      <c r="EB37" s="607"/>
      <c r="EC37" s="607"/>
      <c r="ED37" s="562"/>
      <c r="EE37" s="607"/>
      <c r="EF37" s="607"/>
      <c r="EG37" s="607"/>
      <c r="EH37" s="562"/>
      <c r="EI37" s="607"/>
      <c r="EJ37" s="607"/>
      <c r="EK37" s="608"/>
      <c r="EL37" s="608"/>
      <c r="EM37" s="608"/>
      <c r="EN37" s="608"/>
      <c r="EO37" s="608"/>
      <c r="EP37" s="608"/>
      <c r="EQ37" s="562"/>
      <c r="ER37" s="608"/>
      <c r="ES37" s="608"/>
      <c r="ET37" s="608"/>
      <c r="EU37" s="562"/>
      <c r="EV37" s="608"/>
      <c r="EW37" s="608"/>
      <c r="EX37" s="609"/>
      <c r="EY37" s="609"/>
      <c r="EZ37" s="609"/>
      <c r="FA37" s="609"/>
      <c r="FB37" s="609"/>
      <c r="FC37" s="609"/>
      <c r="FD37" s="562"/>
      <c r="FE37" s="609"/>
      <c r="FF37" s="609"/>
      <c r="FG37" s="609"/>
      <c r="FH37" s="562"/>
      <c r="FI37" s="609"/>
      <c r="FJ37" s="609"/>
      <c r="FK37" s="562"/>
      <c r="FL37" s="562"/>
      <c r="FM37" s="562"/>
      <c r="FN37" s="562"/>
      <c r="FO37" s="562"/>
      <c r="FP37" s="562"/>
      <c r="FQ37" s="562"/>
      <c r="FR37" s="562"/>
      <c r="FS37" s="562"/>
      <c r="FT37" s="562"/>
      <c r="FU37" s="562"/>
      <c r="FV37" s="562"/>
      <c r="FW37" s="562"/>
      <c r="FX37" s="610"/>
      <c r="FY37" s="611"/>
      <c r="FZ37" s="611"/>
      <c r="GA37" s="562"/>
      <c r="GB37" s="612"/>
      <c r="GC37" s="603"/>
      <c r="GD37" s="603"/>
      <c r="GE37" s="613"/>
      <c r="GF37" s="613"/>
      <c r="GG37" s="613"/>
      <c r="GH37" s="614"/>
      <c r="GI37" s="614"/>
      <c r="GJ37" s="615"/>
      <c r="GK37" s="615"/>
      <c r="GL37" s="615"/>
      <c r="GM37" s="615"/>
      <c r="GN37" s="615"/>
      <c r="GO37" s="615"/>
      <c r="GP37" s="615"/>
      <c r="GQ37" s="615"/>
      <c r="GR37" s="615"/>
      <c r="GS37" s="615"/>
      <c r="GT37" s="615"/>
      <c r="GU37" s="609"/>
      <c r="GV37" s="609"/>
      <c r="GW37" s="609"/>
      <c r="GX37" s="609"/>
      <c r="GY37" s="609"/>
      <c r="GZ37" s="609"/>
      <c r="HA37" s="609"/>
      <c r="HB37" s="609"/>
      <c r="HC37" s="609"/>
      <c r="HD37" s="609"/>
      <c r="HE37" s="609"/>
      <c r="HF37" s="616"/>
      <c r="HG37" s="616"/>
      <c r="HH37" s="616"/>
      <c r="HI37" s="616"/>
      <c r="HJ37" s="616"/>
      <c r="HK37" s="616"/>
      <c r="HL37" s="616"/>
      <c r="HM37" s="616"/>
      <c r="HN37" s="616"/>
      <c r="HO37" s="616"/>
      <c r="HP37" s="616"/>
      <c r="HQ37" s="617"/>
      <c r="HR37" s="617"/>
      <c r="HS37" s="617"/>
      <c r="HT37" s="617"/>
      <c r="HU37" s="617"/>
      <c r="HV37" s="617"/>
    </row>
    <row r="38" ht="47.25">
      <c r="A38" s="559">
        <v>37</v>
      </c>
      <c r="B38" s="602">
        <v>38</v>
      </c>
      <c r="C38" s="469"/>
      <c r="D38" s="469" t="s">
        <v>900</v>
      </c>
      <c r="E38" s="560" t="s">
        <v>576</v>
      </c>
      <c r="F38" s="564" t="s">
        <v>576</v>
      </c>
      <c r="G38" s="561" t="s">
        <v>901</v>
      </c>
      <c r="H38" s="562" t="s">
        <v>26</v>
      </c>
      <c r="I38" s="562" t="s">
        <v>902</v>
      </c>
      <c r="J38" s="562" t="s">
        <v>903</v>
      </c>
      <c r="K38" s="469" t="s">
        <v>904</v>
      </c>
      <c r="L38" s="563">
        <v>42636</v>
      </c>
      <c r="M38" s="563">
        <v>42630</v>
      </c>
      <c r="N38" s="603" t="s">
        <v>905</v>
      </c>
      <c r="O38" s="604" t="s">
        <v>906</v>
      </c>
      <c r="P38" s="605" t="s">
        <v>583</v>
      </c>
      <c r="Q38" s="603" t="s">
        <v>364</v>
      </c>
      <c r="R38" s="605" t="s">
        <v>584</v>
      </c>
      <c r="S38" s="605" t="s">
        <v>585</v>
      </c>
      <c r="T38" s="234" t="s">
        <v>584</v>
      </c>
      <c r="U38" s="234" t="s">
        <v>585</v>
      </c>
      <c r="V38" s="562">
        <v>1</v>
      </c>
      <c r="W38" s="562" t="s">
        <v>0</v>
      </c>
      <c r="X38" s="564" t="s">
        <v>576</v>
      </c>
      <c r="Y38" s="564" t="s">
        <v>907</v>
      </c>
      <c r="Z38" s="564" t="s">
        <v>587</v>
      </c>
      <c r="AA38" s="564">
        <v>3</v>
      </c>
      <c r="AB38" s="565" t="s">
        <v>596</v>
      </c>
      <c r="AC38" s="565" t="s">
        <v>596</v>
      </c>
      <c r="AD38" s="565" t="s">
        <v>596</v>
      </c>
      <c r="AE38" s="565"/>
      <c r="AF38" s="566" t="s">
        <v>597</v>
      </c>
      <c r="AG38" s="565" t="s">
        <v>598</v>
      </c>
      <c r="AH38" s="565" t="s">
        <v>598</v>
      </c>
      <c r="AI38" s="565" t="s">
        <v>598</v>
      </c>
      <c r="AJ38" s="565"/>
      <c r="AK38" s="562" t="s">
        <v>599</v>
      </c>
      <c r="AL38" s="564">
        <v>2100</v>
      </c>
      <c r="AM38" s="564" t="s">
        <v>593</v>
      </c>
      <c r="AN38" s="567"/>
      <c r="AO38" s="567"/>
      <c r="AP38" s="567"/>
      <c r="AQ38" s="567"/>
      <c r="AR38" s="568"/>
      <c r="AS38" s="568"/>
      <c r="AT38" s="568"/>
      <c r="AU38" s="568"/>
      <c r="AV38" s="663" t="s">
        <v>601</v>
      </c>
      <c r="AW38" s="568"/>
      <c r="AX38" s="568"/>
      <c r="AY38" s="568"/>
      <c r="AZ38" s="568"/>
      <c r="BA38" s="663" t="s">
        <v>601</v>
      </c>
      <c r="BB38" s="567"/>
      <c r="BC38" s="567"/>
      <c r="BD38" s="569"/>
      <c r="BE38" s="569"/>
      <c r="BF38" s="569"/>
      <c r="BG38" s="569"/>
      <c r="BH38" s="569"/>
      <c r="BI38" s="569"/>
      <c r="BJ38" s="569"/>
      <c r="BK38" s="569"/>
      <c r="BL38" s="566" t="s">
        <v>601</v>
      </c>
      <c r="BM38" s="569"/>
      <c r="BN38" s="569"/>
      <c r="BO38" s="569"/>
      <c r="BP38" s="569"/>
      <c r="BQ38" s="562" t="s">
        <v>601</v>
      </c>
      <c r="BR38" s="569"/>
      <c r="BS38" s="569"/>
      <c r="BT38" s="570" t="s">
        <v>601</v>
      </c>
      <c r="BU38" s="570" t="s">
        <v>601</v>
      </c>
      <c r="BV38" s="570" t="s">
        <v>601</v>
      </c>
      <c r="BW38" s="570" t="s">
        <v>601</v>
      </c>
      <c r="BX38" s="571" t="s">
        <v>601</v>
      </c>
      <c r="BY38" s="571" t="s">
        <v>601</v>
      </c>
      <c r="BZ38" s="571" t="s">
        <v>601</v>
      </c>
      <c r="CA38" s="566" t="s">
        <v>601</v>
      </c>
      <c r="CB38" s="571" t="s">
        <v>601</v>
      </c>
      <c r="CC38" s="571" t="s">
        <v>601</v>
      </c>
      <c r="CD38" s="571" t="s">
        <v>601</v>
      </c>
      <c r="CE38" s="562" t="s">
        <v>601</v>
      </c>
      <c r="CF38" s="570" t="s">
        <v>601</v>
      </c>
      <c r="CG38" s="570" t="s">
        <v>601</v>
      </c>
      <c r="CH38" s="572" t="s">
        <v>601</v>
      </c>
      <c r="CI38" s="572" t="s">
        <v>601</v>
      </c>
      <c r="CJ38" s="572" t="s">
        <v>601</v>
      </c>
      <c r="CK38" s="572" t="s">
        <v>601</v>
      </c>
      <c r="CL38" s="573" t="s">
        <v>601</v>
      </c>
      <c r="CM38" s="573" t="s">
        <v>601</v>
      </c>
      <c r="CN38" s="573" t="s">
        <v>601</v>
      </c>
      <c r="CO38" s="566" t="s">
        <v>601</v>
      </c>
      <c r="CP38" s="573" t="s">
        <v>601</v>
      </c>
      <c r="CQ38" s="573" t="s">
        <v>601</v>
      </c>
      <c r="CR38" s="573" t="s">
        <v>601</v>
      </c>
      <c r="CS38" s="562" t="s">
        <v>601</v>
      </c>
      <c r="CT38" s="572" t="s">
        <v>601</v>
      </c>
      <c r="CU38" s="572" t="s">
        <v>601</v>
      </c>
      <c r="CV38" s="574" t="s">
        <v>601</v>
      </c>
      <c r="CW38" s="574" t="s">
        <v>601</v>
      </c>
      <c r="CX38" s="574" t="s">
        <v>601</v>
      </c>
      <c r="CY38" s="574" t="s">
        <v>601</v>
      </c>
      <c r="CZ38" s="575" t="s">
        <v>601</v>
      </c>
      <c r="DA38" s="575" t="s">
        <v>601</v>
      </c>
      <c r="DB38" s="575" t="s">
        <v>601</v>
      </c>
      <c r="DC38" s="566" t="s">
        <v>601</v>
      </c>
      <c r="DD38" s="575" t="s">
        <v>601</v>
      </c>
      <c r="DE38" s="575" t="s">
        <v>601</v>
      </c>
      <c r="DF38" s="575" t="s">
        <v>601</v>
      </c>
      <c r="DG38" s="562" t="s">
        <v>601</v>
      </c>
      <c r="DH38" s="574" t="s">
        <v>601</v>
      </c>
      <c r="DI38" s="574" t="s">
        <v>601</v>
      </c>
      <c r="DJ38" s="469">
        <v>1</v>
      </c>
      <c r="DK38" s="469" t="s">
        <v>623</v>
      </c>
      <c r="DL38" s="469" t="s">
        <v>601</v>
      </c>
      <c r="DM38" s="469" t="s">
        <v>601</v>
      </c>
      <c r="DN38" s="469" t="s">
        <v>604</v>
      </c>
      <c r="DO38" s="469" t="s">
        <v>604</v>
      </c>
      <c r="DP38" s="469" t="s">
        <v>604</v>
      </c>
      <c r="DQ38" s="469">
        <v>1</v>
      </c>
      <c r="DR38" s="576"/>
      <c r="DS38" s="606"/>
      <c r="DT38" s="606"/>
      <c r="DU38" s="562"/>
      <c r="DV38" s="606"/>
      <c r="DW38" s="606"/>
      <c r="DX38" s="607"/>
      <c r="DY38" s="611"/>
      <c r="DZ38" s="607"/>
      <c r="EA38" s="607"/>
      <c r="EB38" s="607"/>
      <c r="EC38" s="607"/>
      <c r="ED38" s="562"/>
      <c r="EE38" s="607"/>
      <c r="EF38" s="607"/>
      <c r="EG38" s="607"/>
      <c r="EH38" s="562"/>
      <c r="EI38" s="607"/>
      <c r="EJ38" s="607"/>
      <c r="EK38" s="608"/>
      <c r="EL38" s="608"/>
      <c r="EM38" s="608"/>
      <c r="EN38" s="608"/>
      <c r="EO38" s="608"/>
      <c r="EP38" s="608"/>
      <c r="EQ38" s="562"/>
      <c r="ER38" s="608"/>
      <c r="ES38" s="608"/>
      <c r="ET38" s="608"/>
      <c r="EU38" s="562"/>
      <c r="EV38" s="608"/>
      <c r="EW38" s="608"/>
      <c r="EX38" s="609"/>
      <c r="EY38" s="609"/>
      <c r="EZ38" s="609"/>
      <c r="FA38" s="609"/>
      <c r="FB38" s="609"/>
      <c r="FC38" s="609"/>
      <c r="FD38" s="562"/>
      <c r="FE38" s="609"/>
      <c r="FF38" s="609"/>
      <c r="FG38" s="609"/>
      <c r="FH38" s="562"/>
      <c r="FI38" s="609"/>
      <c r="FJ38" s="609"/>
      <c r="FK38" s="562"/>
      <c r="FL38" s="562"/>
      <c r="FM38" s="562"/>
      <c r="FN38" s="562"/>
      <c r="FO38" s="562"/>
      <c r="FP38" s="562"/>
      <c r="FQ38" s="562"/>
      <c r="FR38" s="562"/>
      <c r="FS38" s="562"/>
      <c r="FT38" s="562"/>
      <c r="FU38" s="562"/>
      <c r="FV38" s="562"/>
      <c r="FW38" s="562"/>
      <c r="FX38" s="610"/>
      <c r="FY38" s="611"/>
      <c r="FZ38" s="611"/>
      <c r="GA38" s="562"/>
      <c r="GB38" s="612"/>
      <c r="GC38" s="603"/>
      <c r="GD38" s="603"/>
      <c r="GE38" s="613"/>
      <c r="GF38" s="613"/>
      <c r="GG38" s="613"/>
      <c r="GH38" s="614"/>
      <c r="GI38" s="614"/>
      <c r="GJ38" s="615"/>
      <c r="GK38" s="615"/>
      <c r="GL38" s="615"/>
      <c r="GM38" s="615"/>
      <c r="GN38" s="615"/>
      <c r="GO38" s="615"/>
      <c r="GP38" s="615"/>
      <c r="GQ38" s="615"/>
      <c r="GR38" s="615"/>
      <c r="GS38" s="615"/>
      <c r="GT38" s="615"/>
      <c r="GU38" s="609"/>
      <c r="GV38" s="609"/>
      <c r="GW38" s="609"/>
      <c r="GX38" s="609"/>
      <c r="GY38" s="609"/>
      <c r="GZ38" s="609"/>
      <c r="HA38" s="609"/>
      <c r="HB38" s="609"/>
      <c r="HC38" s="609"/>
      <c r="HD38" s="609"/>
      <c r="HE38" s="609"/>
      <c r="HF38" s="616"/>
      <c r="HG38" s="616"/>
      <c r="HH38" s="616"/>
      <c r="HI38" s="616"/>
      <c r="HJ38" s="616"/>
      <c r="HK38" s="616"/>
      <c r="HL38" s="616"/>
      <c r="HM38" s="616"/>
      <c r="HN38" s="616"/>
      <c r="HO38" s="616"/>
      <c r="HP38" s="616"/>
      <c r="HQ38" s="617"/>
      <c r="HR38" s="617"/>
      <c r="HS38" s="617"/>
      <c r="HT38" s="617"/>
      <c r="HU38" s="617"/>
      <c r="HV38" s="617"/>
    </row>
    <row r="39" ht="47.25">
      <c r="A39" s="559">
        <v>38</v>
      </c>
      <c r="B39" s="602">
        <v>38</v>
      </c>
      <c r="C39" s="469"/>
      <c r="D39" s="469" t="s">
        <v>908</v>
      </c>
      <c r="E39" s="560" t="s">
        <v>576</v>
      </c>
      <c r="F39" s="564" t="s">
        <v>576</v>
      </c>
      <c r="G39" s="561" t="s">
        <v>909</v>
      </c>
      <c r="H39" s="562" t="s">
        <v>26</v>
      </c>
      <c r="I39" s="562" t="s">
        <v>910</v>
      </c>
      <c r="J39" s="562" t="s">
        <v>911</v>
      </c>
      <c r="K39" s="469" t="s">
        <v>912</v>
      </c>
      <c r="L39" s="563">
        <v>42636</v>
      </c>
      <c r="M39" s="563">
        <v>42630</v>
      </c>
      <c r="N39" s="603" t="s">
        <v>913</v>
      </c>
      <c r="O39" s="604" t="s">
        <v>914</v>
      </c>
      <c r="P39" s="605" t="s">
        <v>583</v>
      </c>
      <c r="Q39" s="603" t="s">
        <v>364</v>
      </c>
      <c r="R39" s="605" t="s">
        <v>584</v>
      </c>
      <c r="S39" s="605" t="s">
        <v>585</v>
      </c>
      <c r="T39" s="234" t="s">
        <v>584</v>
      </c>
      <c r="U39" s="234" t="s">
        <v>585</v>
      </c>
      <c r="V39" s="562">
        <v>1</v>
      </c>
      <c r="W39" s="562" t="s">
        <v>0</v>
      </c>
      <c r="X39" s="564" t="s">
        <v>576</v>
      </c>
      <c r="Y39" s="564" t="s">
        <v>915</v>
      </c>
      <c r="Z39" s="564" t="s">
        <v>587</v>
      </c>
      <c r="AA39" s="564">
        <v>3</v>
      </c>
      <c r="AB39" s="565" t="s">
        <v>916</v>
      </c>
      <c r="AC39" s="565" t="s">
        <v>916</v>
      </c>
      <c r="AD39" s="565" t="s">
        <v>916</v>
      </c>
      <c r="AE39" s="565"/>
      <c r="AF39" s="566" t="s">
        <v>917</v>
      </c>
      <c r="AG39" s="565" t="s">
        <v>590</v>
      </c>
      <c r="AH39" s="565" t="s">
        <v>590</v>
      </c>
      <c r="AI39" s="565" t="s">
        <v>590</v>
      </c>
      <c r="AJ39" s="565"/>
      <c r="AK39" s="562" t="s">
        <v>591</v>
      </c>
      <c r="AL39" s="564">
        <v>2100</v>
      </c>
      <c r="AM39" s="564" t="s">
        <v>593</v>
      </c>
      <c r="AN39" s="567"/>
      <c r="AO39" s="567"/>
      <c r="AP39" s="567"/>
      <c r="AQ39" s="567"/>
      <c r="AR39" s="568"/>
      <c r="AS39" s="568"/>
      <c r="AT39" s="568"/>
      <c r="AU39" s="568"/>
      <c r="AV39" s="663" t="s">
        <v>601</v>
      </c>
      <c r="AW39" s="568"/>
      <c r="AX39" s="568"/>
      <c r="AY39" s="568"/>
      <c r="AZ39" s="568"/>
      <c r="BA39" s="663" t="s">
        <v>601</v>
      </c>
      <c r="BB39" s="567"/>
      <c r="BC39" s="567"/>
      <c r="BD39" s="569"/>
      <c r="BE39" s="569"/>
      <c r="BF39" s="569"/>
      <c r="BG39" s="569"/>
      <c r="BH39" s="569"/>
      <c r="BI39" s="569"/>
      <c r="BJ39" s="569"/>
      <c r="BK39" s="569"/>
      <c r="BL39" s="566" t="s">
        <v>601</v>
      </c>
      <c r="BM39" s="569"/>
      <c r="BN39" s="569"/>
      <c r="BO39" s="569"/>
      <c r="BP39" s="569"/>
      <c r="BQ39" s="562" t="s">
        <v>601</v>
      </c>
      <c r="BR39" s="569"/>
      <c r="BS39" s="569"/>
      <c r="BT39" s="570" t="s">
        <v>601</v>
      </c>
      <c r="BU39" s="570" t="s">
        <v>601</v>
      </c>
      <c r="BV39" s="570" t="s">
        <v>601</v>
      </c>
      <c r="BW39" s="570" t="s">
        <v>601</v>
      </c>
      <c r="BX39" s="571" t="s">
        <v>601</v>
      </c>
      <c r="BY39" s="571" t="s">
        <v>601</v>
      </c>
      <c r="BZ39" s="571" t="s">
        <v>601</v>
      </c>
      <c r="CA39" s="566" t="s">
        <v>601</v>
      </c>
      <c r="CB39" s="571" t="s">
        <v>601</v>
      </c>
      <c r="CC39" s="571" t="s">
        <v>601</v>
      </c>
      <c r="CD39" s="571" t="s">
        <v>601</v>
      </c>
      <c r="CE39" s="562" t="s">
        <v>601</v>
      </c>
      <c r="CF39" s="570" t="s">
        <v>601</v>
      </c>
      <c r="CG39" s="570" t="s">
        <v>601</v>
      </c>
      <c r="CH39" s="572" t="s">
        <v>601</v>
      </c>
      <c r="CI39" s="572" t="s">
        <v>601</v>
      </c>
      <c r="CJ39" s="572" t="s">
        <v>601</v>
      </c>
      <c r="CK39" s="572" t="s">
        <v>601</v>
      </c>
      <c r="CL39" s="573" t="s">
        <v>601</v>
      </c>
      <c r="CM39" s="573" t="s">
        <v>601</v>
      </c>
      <c r="CN39" s="573" t="s">
        <v>601</v>
      </c>
      <c r="CO39" s="566" t="s">
        <v>601</v>
      </c>
      <c r="CP39" s="573" t="s">
        <v>601</v>
      </c>
      <c r="CQ39" s="573" t="s">
        <v>601</v>
      </c>
      <c r="CR39" s="573" t="s">
        <v>601</v>
      </c>
      <c r="CS39" s="562" t="s">
        <v>601</v>
      </c>
      <c r="CT39" s="572" t="s">
        <v>601</v>
      </c>
      <c r="CU39" s="572" t="s">
        <v>601</v>
      </c>
      <c r="CV39" s="574" t="s">
        <v>601</v>
      </c>
      <c r="CW39" s="574" t="s">
        <v>601</v>
      </c>
      <c r="CX39" s="574" t="s">
        <v>601</v>
      </c>
      <c r="CY39" s="574" t="s">
        <v>601</v>
      </c>
      <c r="CZ39" s="575" t="s">
        <v>601</v>
      </c>
      <c r="DA39" s="575" t="s">
        <v>601</v>
      </c>
      <c r="DB39" s="575" t="s">
        <v>601</v>
      </c>
      <c r="DC39" s="566" t="s">
        <v>601</v>
      </c>
      <c r="DD39" s="575" t="s">
        <v>601</v>
      </c>
      <c r="DE39" s="575" t="s">
        <v>601</v>
      </c>
      <c r="DF39" s="575" t="s">
        <v>601</v>
      </c>
      <c r="DG39" s="562" t="s">
        <v>601</v>
      </c>
      <c r="DH39" s="574" t="s">
        <v>601</v>
      </c>
      <c r="DI39" s="574" t="s">
        <v>601</v>
      </c>
      <c r="DJ39" s="469">
        <v>1</v>
      </c>
      <c r="DK39" s="469" t="s">
        <v>623</v>
      </c>
      <c r="DL39" s="469" t="s">
        <v>601</v>
      </c>
      <c r="DM39" s="469" t="s">
        <v>601</v>
      </c>
      <c r="DN39" s="469" t="s">
        <v>604</v>
      </c>
      <c r="DO39" s="469" t="s">
        <v>604</v>
      </c>
      <c r="DP39" s="469" t="s">
        <v>604</v>
      </c>
      <c r="DQ39" s="469">
        <v>1</v>
      </c>
      <c r="DR39" s="576"/>
      <c r="DS39" s="606"/>
      <c r="DT39" s="606"/>
      <c r="DU39" s="562"/>
      <c r="DV39" s="606"/>
      <c r="DW39" s="606"/>
      <c r="DX39" s="607"/>
      <c r="DY39" s="611"/>
      <c r="DZ39" s="607"/>
      <c r="EA39" s="607"/>
      <c r="EB39" s="607"/>
      <c r="EC39" s="607"/>
      <c r="ED39" s="562"/>
      <c r="EE39" s="607"/>
      <c r="EF39" s="607"/>
      <c r="EG39" s="607"/>
      <c r="EH39" s="562"/>
      <c r="EI39" s="607"/>
      <c r="EJ39" s="607"/>
      <c r="EK39" s="608"/>
      <c r="EL39" s="608"/>
      <c r="EM39" s="608"/>
      <c r="EN39" s="608"/>
      <c r="EO39" s="608"/>
      <c r="EP39" s="608"/>
      <c r="EQ39" s="562"/>
      <c r="ER39" s="608"/>
      <c r="ES39" s="608"/>
      <c r="ET39" s="608"/>
      <c r="EU39" s="562"/>
      <c r="EV39" s="608"/>
      <c r="EW39" s="608"/>
      <c r="EX39" s="609"/>
      <c r="EY39" s="609"/>
      <c r="EZ39" s="609"/>
      <c r="FA39" s="609"/>
      <c r="FB39" s="609"/>
      <c r="FC39" s="609"/>
      <c r="FD39" s="562"/>
      <c r="FE39" s="609"/>
      <c r="FF39" s="609"/>
      <c r="FG39" s="609"/>
      <c r="FH39" s="562"/>
      <c r="FI39" s="609"/>
      <c r="FJ39" s="609"/>
      <c r="FK39" s="562"/>
      <c r="FL39" s="562"/>
      <c r="FM39" s="562"/>
      <c r="FN39" s="562"/>
      <c r="FO39" s="562"/>
      <c r="FP39" s="562"/>
      <c r="FQ39" s="562"/>
      <c r="FR39" s="562"/>
      <c r="FS39" s="562"/>
      <c r="FT39" s="562"/>
      <c r="FU39" s="562"/>
      <c r="FV39" s="562"/>
      <c r="FW39" s="562"/>
      <c r="FX39" s="610"/>
      <c r="FY39" s="611"/>
      <c r="FZ39" s="611"/>
      <c r="GA39" s="562"/>
      <c r="GB39" s="612"/>
      <c r="GC39" s="603"/>
      <c r="GD39" s="603"/>
      <c r="GE39" s="613"/>
      <c r="GF39" s="613"/>
      <c r="GG39" s="613"/>
      <c r="GH39" s="614"/>
      <c r="GI39" s="614"/>
      <c r="GJ39" s="615"/>
      <c r="GK39" s="615"/>
      <c r="GL39" s="615"/>
      <c r="GM39" s="615"/>
      <c r="GN39" s="615"/>
      <c r="GO39" s="615"/>
      <c r="GP39" s="615"/>
      <c r="GQ39" s="615"/>
      <c r="GR39" s="615"/>
      <c r="GS39" s="615"/>
      <c r="GT39" s="615"/>
      <c r="GU39" s="609"/>
      <c r="GV39" s="609"/>
      <c r="GW39" s="609"/>
      <c r="GX39" s="609"/>
      <c r="GY39" s="609"/>
      <c r="GZ39" s="609"/>
      <c r="HA39" s="609"/>
      <c r="HB39" s="609"/>
      <c r="HC39" s="609"/>
      <c r="HD39" s="609"/>
      <c r="HE39" s="609"/>
      <c r="HF39" s="616"/>
      <c r="HG39" s="616"/>
      <c r="HH39" s="616"/>
      <c r="HI39" s="616"/>
      <c r="HJ39" s="616"/>
      <c r="HK39" s="616"/>
      <c r="HL39" s="616"/>
      <c r="HM39" s="616"/>
      <c r="HN39" s="616"/>
      <c r="HO39" s="616"/>
      <c r="HP39" s="616"/>
      <c r="HQ39" s="617"/>
      <c r="HR39" s="617"/>
      <c r="HS39" s="617"/>
      <c r="HT39" s="617"/>
      <c r="HU39" s="617"/>
      <c r="HV39" s="617"/>
    </row>
    <row r="40" ht="47.25">
      <c r="A40" s="559">
        <v>39</v>
      </c>
      <c r="B40" s="602">
        <v>38</v>
      </c>
      <c r="C40" s="469"/>
      <c r="D40" s="469" t="s">
        <v>918</v>
      </c>
      <c r="E40" s="560" t="s">
        <v>576</v>
      </c>
      <c r="F40" s="564" t="s">
        <v>576</v>
      </c>
      <c r="G40" s="561" t="s">
        <v>919</v>
      </c>
      <c r="H40" s="562" t="s">
        <v>26</v>
      </c>
      <c r="I40" s="562" t="s">
        <v>920</v>
      </c>
      <c r="J40" s="562" t="s">
        <v>921</v>
      </c>
      <c r="K40" s="469" t="s">
        <v>922</v>
      </c>
      <c r="L40" s="563">
        <v>42636</v>
      </c>
      <c r="M40" s="563">
        <v>42631</v>
      </c>
      <c r="N40" s="603" t="s">
        <v>923</v>
      </c>
      <c r="O40" s="604" t="s">
        <v>924</v>
      </c>
      <c r="P40" s="605" t="s">
        <v>583</v>
      </c>
      <c r="Q40" s="603" t="s">
        <v>364</v>
      </c>
      <c r="R40" s="605" t="s">
        <v>584</v>
      </c>
      <c r="S40" s="605" t="s">
        <v>585</v>
      </c>
      <c r="T40" s="234" t="s">
        <v>584</v>
      </c>
      <c r="U40" s="234" t="s">
        <v>585</v>
      </c>
      <c r="V40" s="562">
        <v>1</v>
      </c>
      <c r="W40" s="562" t="s">
        <v>0</v>
      </c>
      <c r="X40" s="564" t="s">
        <v>576</v>
      </c>
      <c r="Y40" s="564" t="s">
        <v>925</v>
      </c>
      <c r="Z40" s="564" t="s">
        <v>587</v>
      </c>
      <c r="AA40" s="564">
        <v>3</v>
      </c>
      <c r="AB40" s="565" t="s">
        <v>596</v>
      </c>
      <c r="AC40" s="565" t="s">
        <v>596</v>
      </c>
      <c r="AD40" s="565" t="s">
        <v>596</v>
      </c>
      <c r="AE40" s="565"/>
      <c r="AF40" s="566" t="s">
        <v>597</v>
      </c>
      <c r="AG40" s="565" t="s">
        <v>598</v>
      </c>
      <c r="AH40" s="565" t="s">
        <v>598</v>
      </c>
      <c r="AI40" s="565" t="s">
        <v>598</v>
      </c>
      <c r="AJ40" s="565"/>
      <c r="AK40" s="562" t="s">
        <v>599</v>
      </c>
      <c r="AL40" s="564">
        <v>2100</v>
      </c>
      <c r="AM40" s="564" t="s">
        <v>593</v>
      </c>
      <c r="AN40" s="567"/>
      <c r="AO40" s="567"/>
      <c r="AP40" s="567"/>
      <c r="AQ40" s="567"/>
      <c r="AR40" s="568"/>
      <c r="AS40" s="568"/>
      <c r="AT40" s="568"/>
      <c r="AU40" s="568"/>
      <c r="AV40" s="663" t="s">
        <v>601</v>
      </c>
      <c r="AW40" s="568"/>
      <c r="AX40" s="568"/>
      <c r="AY40" s="568"/>
      <c r="AZ40" s="568"/>
      <c r="BA40" s="663" t="s">
        <v>601</v>
      </c>
      <c r="BB40" s="567"/>
      <c r="BC40" s="567"/>
      <c r="BD40" s="569"/>
      <c r="BE40" s="569"/>
      <c r="BF40" s="569"/>
      <c r="BG40" s="569"/>
      <c r="BH40" s="569"/>
      <c r="BI40" s="569"/>
      <c r="BJ40" s="569"/>
      <c r="BK40" s="569"/>
      <c r="BL40" s="566" t="s">
        <v>601</v>
      </c>
      <c r="BM40" s="569"/>
      <c r="BN40" s="569"/>
      <c r="BO40" s="569"/>
      <c r="BP40" s="569"/>
      <c r="BQ40" s="562" t="s">
        <v>601</v>
      </c>
      <c r="BR40" s="569"/>
      <c r="BS40" s="569"/>
      <c r="BT40" s="570" t="s">
        <v>601</v>
      </c>
      <c r="BU40" s="570" t="s">
        <v>601</v>
      </c>
      <c r="BV40" s="570" t="s">
        <v>601</v>
      </c>
      <c r="BW40" s="570" t="s">
        <v>601</v>
      </c>
      <c r="BX40" s="571" t="s">
        <v>601</v>
      </c>
      <c r="BY40" s="571" t="s">
        <v>601</v>
      </c>
      <c r="BZ40" s="571" t="s">
        <v>601</v>
      </c>
      <c r="CA40" s="566" t="s">
        <v>601</v>
      </c>
      <c r="CB40" s="571" t="s">
        <v>601</v>
      </c>
      <c r="CC40" s="571" t="s">
        <v>601</v>
      </c>
      <c r="CD40" s="571" t="s">
        <v>601</v>
      </c>
      <c r="CE40" s="562" t="s">
        <v>601</v>
      </c>
      <c r="CF40" s="570" t="s">
        <v>601</v>
      </c>
      <c r="CG40" s="570" t="s">
        <v>601</v>
      </c>
      <c r="CH40" s="572" t="s">
        <v>601</v>
      </c>
      <c r="CI40" s="572" t="s">
        <v>601</v>
      </c>
      <c r="CJ40" s="572" t="s">
        <v>601</v>
      </c>
      <c r="CK40" s="572" t="s">
        <v>601</v>
      </c>
      <c r="CL40" s="573" t="s">
        <v>601</v>
      </c>
      <c r="CM40" s="573" t="s">
        <v>601</v>
      </c>
      <c r="CN40" s="573" t="s">
        <v>601</v>
      </c>
      <c r="CO40" s="566" t="s">
        <v>601</v>
      </c>
      <c r="CP40" s="573" t="s">
        <v>601</v>
      </c>
      <c r="CQ40" s="573" t="s">
        <v>601</v>
      </c>
      <c r="CR40" s="573" t="s">
        <v>601</v>
      </c>
      <c r="CS40" s="562" t="s">
        <v>601</v>
      </c>
      <c r="CT40" s="572" t="s">
        <v>601</v>
      </c>
      <c r="CU40" s="572" t="s">
        <v>601</v>
      </c>
      <c r="CV40" s="574" t="s">
        <v>601</v>
      </c>
      <c r="CW40" s="574" t="s">
        <v>601</v>
      </c>
      <c r="CX40" s="574" t="s">
        <v>601</v>
      </c>
      <c r="CY40" s="574" t="s">
        <v>601</v>
      </c>
      <c r="CZ40" s="575" t="s">
        <v>601</v>
      </c>
      <c r="DA40" s="575" t="s">
        <v>601</v>
      </c>
      <c r="DB40" s="575" t="s">
        <v>601</v>
      </c>
      <c r="DC40" s="566" t="s">
        <v>601</v>
      </c>
      <c r="DD40" s="575" t="s">
        <v>601</v>
      </c>
      <c r="DE40" s="575" t="s">
        <v>601</v>
      </c>
      <c r="DF40" s="575" t="s">
        <v>601</v>
      </c>
      <c r="DG40" s="562" t="s">
        <v>601</v>
      </c>
      <c r="DH40" s="574" t="s">
        <v>601</v>
      </c>
      <c r="DI40" s="574" t="s">
        <v>601</v>
      </c>
      <c r="DJ40" s="469">
        <v>1</v>
      </c>
      <c r="DK40" s="469" t="s">
        <v>623</v>
      </c>
      <c r="DL40" s="469" t="s">
        <v>601</v>
      </c>
      <c r="DM40" s="469" t="s">
        <v>601</v>
      </c>
      <c r="DN40" s="469" t="s">
        <v>604</v>
      </c>
      <c r="DO40" s="469" t="s">
        <v>604</v>
      </c>
      <c r="DP40" s="469" t="s">
        <v>604</v>
      </c>
      <c r="DQ40" s="469">
        <v>1</v>
      </c>
      <c r="DR40" s="576"/>
      <c r="DS40" s="606"/>
      <c r="DT40" s="606"/>
      <c r="DU40" s="562"/>
      <c r="DV40" s="606"/>
      <c r="DW40" s="606"/>
      <c r="DX40" s="607"/>
      <c r="DY40" s="611"/>
      <c r="DZ40" s="607"/>
      <c r="EA40" s="607"/>
      <c r="EB40" s="607"/>
      <c r="EC40" s="607"/>
      <c r="ED40" s="562"/>
      <c r="EE40" s="607"/>
      <c r="EF40" s="607"/>
      <c r="EG40" s="607"/>
      <c r="EH40" s="562"/>
      <c r="EI40" s="607"/>
      <c r="EJ40" s="607"/>
      <c r="EK40" s="608"/>
      <c r="EL40" s="608"/>
      <c r="EM40" s="608"/>
      <c r="EN40" s="608"/>
      <c r="EO40" s="608"/>
      <c r="EP40" s="608"/>
      <c r="EQ40" s="562"/>
      <c r="ER40" s="608"/>
      <c r="ES40" s="608"/>
      <c r="ET40" s="608"/>
      <c r="EU40" s="562"/>
      <c r="EV40" s="608"/>
      <c r="EW40" s="608"/>
      <c r="EX40" s="609"/>
      <c r="EY40" s="609"/>
      <c r="EZ40" s="609"/>
      <c r="FA40" s="609"/>
      <c r="FB40" s="609"/>
      <c r="FC40" s="609"/>
      <c r="FD40" s="562"/>
      <c r="FE40" s="609"/>
      <c r="FF40" s="609"/>
      <c r="FG40" s="609"/>
      <c r="FH40" s="562"/>
      <c r="FI40" s="609"/>
      <c r="FJ40" s="609"/>
      <c r="FK40" s="562"/>
      <c r="FL40" s="562"/>
      <c r="FM40" s="562"/>
      <c r="FN40" s="562"/>
      <c r="FO40" s="562"/>
      <c r="FP40" s="562"/>
      <c r="FQ40" s="562"/>
      <c r="FR40" s="562"/>
      <c r="FS40" s="562"/>
      <c r="FT40" s="562"/>
      <c r="FU40" s="562"/>
      <c r="FV40" s="562"/>
      <c r="FW40" s="562"/>
      <c r="FX40" s="610"/>
      <c r="FY40" s="611"/>
      <c r="FZ40" s="611"/>
      <c r="GA40" s="562"/>
      <c r="GB40" s="612"/>
      <c r="GC40" s="603"/>
      <c r="GD40" s="603"/>
      <c r="GE40" s="613"/>
      <c r="GF40" s="613"/>
      <c r="GG40" s="613"/>
      <c r="GH40" s="614"/>
      <c r="GI40" s="614"/>
      <c r="GJ40" s="615"/>
      <c r="GK40" s="615"/>
      <c r="GL40" s="615"/>
      <c r="GM40" s="615"/>
      <c r="GN40" s="615"/>
      <c r="GO40" s="615"/>
      <c r="GP40" s="615"/>
      <c r="GQ40" s="615"/>
      <c r="GR40" s="615"/>
      <c r="GS40" s="615"/>
      <c r="GT40" s="615"/>
      <c r="GU40" s="609"/>
      <c r="GV40" s="609"/>
      <c r="GW40" s="609"/>
      <c r="GX40" s="609"/>
      <c r="GY40" s="609"/>
      <c r="GZ40" s="609"/>
      <c r="HA40" s="609"/>
      <c r="HB40" s="609"/>
      <c r="HC40" s="609"/>
      <c r="HD40" s="609"/>
      <c r="HE40" s="609"/>
      <c r="HF40" s="616"/>
      <c r="HG40" s="616"/>
      <c r="HH40" s="616"/>
      <c r="HI40" s="616"/>
      <c r="HJ40" s="616"/>
      <c r="HK40" s="616"/>
      <c r="HL40" s="616"/>
      <c r="HM40" s="616"/>
      <c r="HN40" s="616"/>
      <c r="HO40" s="616"/>
      <c r="HP40" s="616"/>
      <c r="HQ40" s="617"/>
      <c r="HR40" s="617"/>
      <c r="HS40" s="617"/>
      <c r="HT40" s="617"/>
      <c r="HU40" s="617"/>
      <c r="HV40" s="617"/>
    </row>
    <row r="41" ht="47.25">
      <c r="A41" s="559">
        <v>40</v>
      </c>
      <c r="B41" s="602">
        <v>38</v>
      </c>
      <c r="C41" s="469"/>
      <c r="D41" s="469" t="s">
        <v>926</v>
      </c>
      <c r="E41" s="560" t="s">
        <v>576</v>
      </c>
      <c r="F41" s="564" t="s">
        <v>576</v>
      </c>
      <c r="G41" s="561" t="s">
        <v>927</v>
      </c>
      <c r="H41" s="562" t="s">
        <v>26</v>
      </c>
      <c r="I41" s="562" t="s">
        <v>928</v>
      </c>
      <c r="J41" s="562" t="s">
        <v>929</v>
      </c>
      <c r="K41" s="469" t="s">
        <v>930</v>
      </c>
      <c r="L41" s="563">
        <v>42636</v>
      </c>
      <c r="M41" s="563">
        <v>42631</v>
      </c>
      <c r="N41" s="603" t="s">
        <v>931</v>
      </c>
      <c r="O41" s="604" t="s">
        <v>932</v>
      </c>
      <c r="P41" s="605" t="s">
        <v>583</v>
      </c>
      <c r="Q41" s="603" t="s">
        <v>364</v>
      </c>
      <c r="R41" s="605" t="s">
        <v>584</v>
      </c>
      <c r="S41" s="605" t="s">
        <v>585</v>
      </c>
      <c r="T41" s="234" t="s">
        <v>584</v>
      </c>
      <c r="U41" s="234" t="s">
        <v>585</v>
      </c>
      <c r="V41" s="562">
        <v>1</v>
      </c>
      <c r="W41" s="562" t="s">
        <v>0</v>
      </c>
      <c r="X41" s="564" t="s">
        <v>576</v>
      </c>
      <c r="Y41" s="564" t="s">
        <v>933</v>
      </c>
      <c r="Z41" s="564" t="s">
        <v>587</v>
      </c>
      <c r="AA41" s="564">
        <v>3</v>
      </c>
      <c r="AB41" s="565" t="s">
        <v>596</v>
      </c>
      <c r="AC41" s="565" t="s">
        <v>596</v>
      </c>
      <c r="AD41" s="565" t="s">
        <v>596</v>
      </c>
      <c r="AE41" s="565"/>
      <c r="AF41" s="566" t="s">
        <v>597</v>
      </c>
      <c r="AG41" s="565" t="s">
        <v>598</v>
      </c>
      <c r="AH41" s="565" t="s">
        <v>598</v>
      </c>
      <c r="AI41" s="565" t="s">
        <v>598</v>
      </c>
      <c r="AJ41" s="565"/>
      <c r="AK41" s="562" t="s">
        <v>599</v>
      </c>
      <c r="AL41" s="564">
        <v>2100</v>
      </c>
      <c r="AM41" s="564" t="s">
        <v>593</v>
      </c>
      <c r="AN41" s="567"/>
      <c r="AO41" s="567"/>
      <c r="AP41" s="567"/>
      <c r="AQ41" s="567"/>
      <c r="AR41" s="568"/>
      <c r="AS41" s="568"/>
      <c r="AT41" s="568"/>
      <c r="AU41" s="568"/>
      <c r="AV41" s="663" t="s">
        <v>601</v>
      </c>
      <c r="AW41" s="568"/>
      <c r="AX41" s="568"/>
      <c r="AY41" s="568"/>
      <c r="AZ41" s="568"/>
      <c r="BA41" s="663" t="s">
        <v>601</v>
      </c>
      <c r="BB41" s="567"/>
      <c r="BC41" s="567"/>
      <c r="BD41" s="569"/>
      <c r="BE41" s="569"/>
      <c r="BF41" s="569"/>
      <c r="BG41" s="569"/>
      <c r="BH41" s="569"/>
      <c r="BI41" s="569"/>
      <c r="BJ41" s="569"/>
      <c r="BK41" s="569"/>
      <c r="BL41" s="566" t="s">
        <v>601</v>
      </c>
      <c r="BM41" s="569"/>
      <c r="BN41" s="569"/>
      <c r="BO41" s="569"/>
      <c r="BP41" s="569"/>
      <c r="BQ41" s="562" t="s">
        <v>601</v>
      </c>
      <c r="BR41" s="569"/>
      <c r="BS41" s="569"/>
      <c r="BT41" s="570" t="s">
        <v>601</v>
      </c>
      <c r="BU41" s="570" t="s">
        <v>601</v>
      </c>
      <c r="BV41" s="570" t="s">
        <v>601</v>
      </c>
      <c r="BW41" s="570" t="s">
        <v>601</v>
      </c>
      <c r="BX41" s="571" t="s">
        <v>601</v>
      </c>
      <c r="BY41" s="571" t="s">
        <v>601</v>
      </c>
      <c r="BZ41" s="571" t="s">
        <v>601</v>
      </c>
      <c r="CA41" s="566" t="s">
        <v>601</v>
      </c>
      <c r="CB41" s="571" t="s">
        <v>601</v>
      </c>
      <c r="CC41" s="571" t="s">
        <v>601</v>
      </c>
      <c r="CD41" s="571" t="s">
        <v>601</v>
      </c>
      <c r="CE41" s="562" t="s">
        <v>601</v>
      </c>
      <c r="CF41" s="570" t="s">
        <v>601</v>
      </c>
      <c r="CG41" s="570" t="s">
        <v>601</v>
      </c>
      <c r="CH41" s="572" t="s">
        <v>601</v>
      </c>
      <c r="CI41" s="572" t="s">
        <v>601</v>
      </c>
      <c r="CJ41" s="572" t="s">
        <v>601</v>
      </c>
      <c r="CK41" s="572" t="s">
        <v>601</v>
      </c>
      <c r="CL41" s="573" t="s">
        <v>601</v>
      </c>
      <c r="CM41" s="573" t="s">
        <v>601</v>
      </c>
      <c r="CN41" s="573" t="s">
        <v>601</v>
      </c>
      <c r="CO41" s="566" t="s">
        <v>601</v>
      </c>
      <c r="CP41" s="573" t="s">
        <v>601</v>
      </c>
      <c r="CQ41" s="573" t="s">
        <v>601</v>
      </c>
      <c r="CR41" s="573" t="s">
        <v>601</v>
      </c>
      <c r="CS41" s="562" t="s">
        <v>601</v>
      </c>
      <c r="CT41" s="572" t="s">
        <v>601</v>
      </c>
      <c r="CU41" s="572" t="s">
        <v>601</v>
      </c>
      <c r="CV41" s="574" t="s">
        <v>601</v>
      </c>
      <c r="CW41" s="574" t="s">
        <v>601</v>
      </c>
      <c r="CX41" s="574" t="s">
        <v>601</v>
      </c>
      <c r="CY41" s="574" t="s">
        <v>601</v>
      </c>
      <c r="CZ41" s="575" t="s">
        <v>601</v>
      </c>
      <c r="DA41" s="575" t="s">
        <v>601</v>
      </c>
      <c r="DB41" s="575" t="s">
        <v>601</v>
      </c>
      <c r="DC41" s="566" t="s">
        <v>601</v>
      </c>
      <c r="DD41" s="575" t="s">
        <v>601</v>
      </c>
      <c r="DE41" s="575" t="s">
        <v>601</v>
      </c>
      <c r="DF41" s="575" t="s">
        <v>601</v>
      </c>
      <c r="DG41" s="562" t="s">
        <v>601</v>
      </c>
      <c r="DH41" s="574" t="s">
        <v>601</v>
      </c>
      <c r="DI41" s="574" t="s">
        <v>601</v>
      </c>
      <c r="DJ41" s="469">
        <v>1</v>
      </c>
      <c r="DK41" s="469" t="s">
        <v>623</v>
      </c>
      <c r="DL41" s="469" t="s">
        <v>601</v>
      </c>
      <c r="DM41" s="469" t="s">
        <v>601</v>
      </c>
      <c r="DN41" s="469" t="s">
        <v>604</v>
      </c>
      <c r="DO41" s="469" t="s">
        <v>604</v>
      </c>
      <c r="DP41" s="469" t="s">
        <v>604</v>
      </c>
      <c r="DQ41" s="469">
        <v>1</v>
      </c>
      <c r="DR41" s="576"/>
      <c r="DS41" s="606"/>
      <c r="DT41" s="606"/>
      <c r="DU41" s="562"/>
      <c r="DV41" s="606"/>
      <c r="DW41" s="606"/>
      <c r="DX41" s="607"/>
      <c r="DY41" s="611"/>
      <c r="DZ41" s="607"/>
      <c r="EA41" s="607"/>
      <c r="EB41" s="607"/>
      <c r="EC41" s="607"/>
      <c r="ED41" s="562"/>
      <c r="EE41" s="607"/>
      <c r="EF41" s="607"/>
      <c r="EG41" s="607"/>
      <c r="EH41" s="562"/>
      <c r="EI41" s="607"/>
      <c r="EJ41" s="607"/>
      <c r="EK41" s="608"/>
      <c r="EL41" s="608"/>
      <c r="EM41" s="608"/>
      <c r="EN41" s="608"/>
      <c r="EO41" s="608"/>
      <c r="EP41" s="608"/>
      <c r="EQ41" s="562"/>
      <c r="ER41" s="608"/>
      <c r="ES41" s="608"/>
      <c r="ET41" s="608"/>
      <c r="EU41" s="562"/>
      <c r="EV41" s="608"/>
      <c r="EW41" s="608"/>
      <c r="EX41" s="609"/>
      <c r="EY41" s="609"/>
      <c r="EZ41" s="609"/>
      <c r="FA41" s="609"/>
      <c r="FB41" s="609"/>
      <c r="FC41" s="609"/>
      <c r="FD41" s="562"/>
      <c r="FE41" s="609"/>
      <c r="FF41" s="609"/>
      <c r="FG41" s="609"/>
      <c r="FH41" s="562"/>
      <c r="FI41" s="609"/>
      <c r="FJ41" s="609"/>
      <c r="FK41" s="562"/>
      <c r="FL41" s="562"/>
      <c r="FM41" s="562"/>
      <c r="FN41" s="562"/>
      <c r="FO41" s="562"/>
      <c r="FP41" s="562"/>
      <c r="FQ41" s="562"/>
      <c r="FR41" s="562"/>
      <c r="FS41" s="562"/>
      <c r="FT41" s="562"/>
      <c r="FU41" s="562"/>
      <c r="FV41" s="562"/>
      <c r="FW41" s="562"/>
      <c r="FX41" s="610"/>
      <c r="FY41" s="611"/>
      <c r="FZ41" s="611"/>
      <c r="GA41" s="562"/>
      <c r="GB41" s="612"/>
      <c r="GC41" s="603"/>
      <c r="GD41" s="603"/>
      <c r="GE41" s="613"/>
      <c r="GF41" s="613"/>
      <c r="GG41" s="613"/>
      <c r="GH41" s="614"/>
      <c r="GI41" s="614"/>
      <c r="GJ41" s="615"/>
      <c r="GK41" s="615"/>
      <c r="GL41" s="615"/>
      <c r="GM41" s="615"/>
      <c r="GN41" s="615"/>
      <c r="GO41" s="615"/>
      <c r="GP41" s="615"/>
      <c r="GQ41" s="615"/>
      <c r="GR41" s="615"/>
      <c r="GS41" s="615"/>
      <c r="GT41" s="615"/>
      <c r="GU41" s="609"/>
      <c r="GV41" s="609"/>
      <c r="GW41" s="609"/>
      <c r="GX41" s="609"/>
      <c r="GY41" s="609"/>
      <c r="GZ41" s="609"/>
      <c r="HA41" s="609"/>
      <c r="HB41" s="609"/>
      <c r="HC41" s="609"/>
      <c r="HD41" s="609"/>
      <c r="HE41" s="609"/>
      <c r="HF41" s="616"/>
      <c r="HG41" s="616"/>
      <c r="HH41" s="616"/>
      <c r="HI41" s="616"/>
      <c r="HJ41" s="616"/>
      <c r="HK41" s="616"/>
      <c r="HL41" s="616"/>
      <c r="HM41" s="616"/>
      <c r="HN41" s="616"/>
      <c r="HO41" s="616"/>
      <c r="HP41" s="616"/>
      <c r="HQ41" s="617"/>
      <c r="HR41" s="617"/>
      <c r="HS41" s="617"/>
      <c r="HT41" s="617"/>
      <c r="HU41" s="617"/>
      <c r="HV41" s="617"/>
    </row>
    <row r="42" ht="47.25">
      <c r="A42" s="559">
        <v>41</v>
      </c>
      <c r="B42" s="602">
        <v>38</v>
      </c>
      <c r="C42" s="469"/>
      <c r="D42" s="469" t="s">
        <v>934</v>
      </c>
      <c r="E42" s="560" t="s">
        <v>576</v>
      </c>
      <c r="F42" s="564" t="s">
        <v>576</v>
      </c>
      <c r="G42" s="561" t="s">
        <v>935</v>
      </c>
      <c r="H42" s="562" t="s">
        <v>26</v>
      </c>
      <c r="I42" s="562" t="s">
        <v>936</v>
      </c>
      <c r="J42" s="562" t="s">
        <v>937</v>
      </c>
      <c r="K42" s="469" t="s">
        <v>938</v>
      </c>
      <c r="L42" s="563">
        <v>42636</v>
      </c>
      <c r="M42" s="563">
        <v>42631</v>
      </c>
      <c r="N42" s="603" t="s">
        <v>939</v>
      </c>
      <c r="O42" s="604" t="s">
        <v>940</v>
      </c>
      <c r="P42" s="605" t="s">
        <v>583</v>
      </c>
      <c r="Q42" s="603" t="s">
        <v>364</v>
      </c>
      <c r="R42" s="605" t="s">
        <v>584</v>
      </c>
      <c r="S42" s="605" t="s">
        <v>585</v>
      </c>
      <c r="T42" s="234" t="s">
        <v>584</v>
      </c>
      <c r="U42" s="234" t="s">
        <v>585</v>
      </c>
      <c r="V42" s="562">
        <v>1</v>
      </c>
      <c r="W42" s="562" t="s">
        <v>0</v>
      </c>
      <c r="X42" s="564" t="s">
        <v>576</v>
      </c>
      <c r="Y42" s="564" t="s">
        <v>941</v>
      </c>
      <c r="Z42" s="564" t="s">
        <v>587</v>
      </c>
      <c r="AA42" s="564">
        <v>3</v>
      </c>
      <c r="AB42" s="565" t="s">
        <v>596</v>
      </c>
      <c r="AC42" s="565" t="s">
        <v>596</v>
      </c>
      <c r="AD42" s="565" t="s">
        <v>596</v>
      </c>
      <c r="AE42" s="565"/>
      <c r="AF42" s="566" t="s">
        <v>597</v>
      </c>
      <c r="AG42" s="565" t="s">
        <v>598</v>
      </c>
      <c r="AH42" s="565" t="s">
        <v>598</v>
      </c>
      <c r="AI42" s="565" t="s">
        <v>598</v>
      </c>
      <c r="AJ42" s="565"/>
      <c r="AK42" s="562" t="s">
        <v>599</v>
      </c>
      <c r="AL42" s="564">
        <v>2100</v>
      </c>
      <c r="AM42" s="564" t="s">
        <v>593</v>
      </c>
      <c r="AN42" s="567"/>
      <c r="AO42" s="567"/>
      <c r="AP42" s="567"/>
      <c r="AQ42" s="567"/>
      <c r="AR42" s="568"/>
      <c r="AS42" s="568"/>
      <c r="AT42" s="568"/>
      <c r="AU42" s="568"/>
      <c r="AV42" s="663" t="s">
        <v>601</v>
      </c>
      <c r="AW42" s="568"/>
      <c r="AX42" s="568"/>
      <c r="AY42" s="568"/>
      <c r="AZ42" s="568"/>
      <c r="BA42" s="663" t="s">
        <v>601</v>
      </c>
      <c r="BB42" s="567"/>
      <c r="BC42" s="567"/>
      <c r="BD42" s="569"/>
      <c r="BE42" s="569"/>
      <c r="BF42" s="569"/>
      <c r="BG42" s="569"/>
      <c r="BH42" s="569"/>
      <c r="BI42" s="569"/>
      <c r="BJ42" s="569"/>
      <c r="BK42" s="569"/>
      <c r="BL42" s="566" t="s">
        <v>601</v>
      </c>
      <c r="BM42" s="569"/>
      <c r="BN42" s="569"/>
      <c r="BO42" s="569"/>
      <c r="BP42" s="569"/>
      <c r="BQ42" s="562" t="s">
        <v>601</v>
      </c>
      <c r="BR42" s="569"/>
      <c r="BS42" s="569"/>
      <c r="BT42" s="570" t="s">
        <v>601</v>
      </c>
      <c r="BU42" s="570" t="s">
        <v>601</v>
      </c>
      <c r="BV42" s="570" t="s">
        <v>601</v>
      </c>
      <c r="BW42" s="570" t="s">
        <v>601</v>
      </c>
      <c r="BX42" s="571" t="s">
        <v>601</v>
      </c>
      <c r="BY42" s="571" t="s">
        <v>601</v>
      </c>
      <c r="BZ42" s="571" t="s">
        <v>601</v>
      </c>
      <c r="CA42" s="566" t="s">
        <v>601</v>
      </c>
      <c r="CB42" s="571" t="s">
        <v>601</v>
      </c>
      <c r="CC42" s="571" t="s">
        <v>601</v>
      </c>
      <c r="CD42" s="571" t="s">
        <v>601</v>
      </c>
      <c r="CE42" s="562" t="s">
        <v>601</v>
      </c>
      <c r="CF42" s="570" t="s">
        <v>601</v>
      </c>
      <c r="CG42" s="570" t="s">
        <v>601</v>
      </c>
      <c r="CH42" s="572" t="s">
        <v>601</v>
      </c>
      <c r="CI42" s="572" t="s">
        <v>601</v>
      </c>
      <c r="CJ42" s="572" t="s">
        <v>601</v>
      </c>
      <c r="CK42" s="572" t="s">
        <v>601</v>
      </c>
      <c r="CL42" s="573" t="s">
        <v>601</v>
      </c>
      <c r="CM42" s="573" t="s">
        <v>601</v>
      </c>
      <c r="CN42" s="573" t="s">
        <v>601</v>
      </c>
      <c r="CO42" s="566" t="s">
        <v>601</v>
      </c>
      <c r="CP42" s="573" t="s">
        <v>601</v>
      </c>
      <c r="CQ42" s="573" t="s">
        <v>601</v>
      </c>
      <c r="CR42" s="573" t="s">
        <v>601</v>
      </c>
      <c r="CS42" s="562" t="s">
        <v>601</v>
      </c>
      <c r="CT42" s="572" t="s">
        <v>601</v>
      </c>
      <c r="CU42" s="572" t="s">
        <v>601</v>
      </c>
      <c r="CV42" s="574" t="s">
        <v>601</v>
      </c>
      <c r="CW42" s="574" t="s">
        <v>601</v>
      </c>
      <c r="CX42" s="574" t="s">
        <v>601</v>
      </c>
      <c r="CY42" s="574" t="s">
        <v>601</v>
      </c>
      <c r="CZ42" s="575" t="s">
        <v>601</v>
      </c>
      <c r="DA42" s="575" t="s">
        <v>601</v>
      </c>
      <c r="DB42" s="575" t="s">
        <v>601</v>
      </c>
      <c r="DC42" s="566" t="s">
        <v>601</v>
      </c>
      <c r="DD42" s="575" t="s">
        <v>601</v>
      </c>
      <c r="DE42" s="575" t="s">
        <v>601</v>
      </c>
      <c r="DF42" s="575" t="s">
        <v>601</v>
      </c>
      <c r="DG42" s="562" t="s">
        <v>601</v>
      </c>
      <c r="DH42" s="574" t="s">
        <v>601</v>
      </c>
      <c r="DI42" s="574" t="s">
        <v>601</v>
      </c>
      <c r="DJ42" s="469">
        <v>1</v>
      </c>
      <c r="DK42" s="469" t="s">
        <v>623</v>
      </c>
      <c r="DL42" s="469" t="s">
        <v>601</v>
      </c>
      <c r="DM42" s="469" t="s">
        <v>601</v>
      </c>
      <c r="DN42" s="469" t="s">
        <v>604</v>
      </c>
      <c r="DO42" s="469" t="s">
        <v>604</v>
      </c>
      <c r="DP42" s="469" t="s">
        <v>604</v>
      </c>
      <c r="DQ42" s="469">
        <v>1</v>
      </c>
      <c r="DR42" s="576"/>
      <c r="DS42" s="606"/>
      <c r="DT42" s="606"/>
      <c r="DU42" s="562"/>
      <c r="DV42" s="606"/>
      <c r="DW42" s="606"/>
      <c r="DX42" s="607"/>
      <c r="DY42" s="611"/>
      <c r="DZ42" s="607"/>
      <c r="EA42" s="607"/>
      <c r="EB42" s="607"/>
      <c r="EC42" s="607"/>
      <c r="ED42" s="562"/>
      <c r="EE42" s="607"/>
      <c r="EF42" s="607"/>
      <c r="EG42" s="607"/>
      <c r="EH42" s="562"/>
      <c r="EI42" s="607"/>
      <c r="EJ42" s="607"/>
      <c r="EK42" s="608"/>
      <c r="EL42" s="608"/>
      <c r="EM42" s="608"/>
      <c r="EN42" s="608"/>
      <c r="EO42" s="608"/>
      <c r="EP42" s="608"/>
      <c r="EQ42" s="562"/>
      <c r="ER42" s="608"/>
      <c r="ES42" s="608"/>
      <c r="ET42" s="608"/>
      <c r="EU42" s="562"/>
      <c r="EV42" s="608"/>
      <c r="EW42" s="608"/>
      <c r="EX42" s="609"/>
      <c r="EY42" s="609"/>
      <c r="EZ42" s="609"/>
      <c r="FA42" s="609"/>
      <c r="FB42" s="609"/>
      <c r="FC42" s="609"/>
      <c r="FD42" s="562"/>
      <c r="FE42" s="609"/>
      <c r="FF42" s="609"/>
      <c r="FG42" s="609"/>
      <c r="FH42" s="562"/>
      <c r="FI42" s="609"/>
      <c r="FJ42" s="609"/>
      <c r="FK42" s="562"/>
      <c r="FL42" s="562"/>
      <c r="FM42" s="562"/>
      <c r="FN42" s="562"/>
      <c r="FO42" s="562"/>
      <c r="FP42" s="562"/>
      <c r="FQ42" s="562"/>
      <c r="FR42" s="562"/>
      <c r="FS42" s="562"/>
      <c r="FT42" s="562"/>
      <c r="FU42" s="562"/>
      <c r="FV42" s="562"/>
      <c r="FW42" s="562"/>
      <c r="FX42" s="610"/>
      <c r="FY42" s="611"/>
      <c r="FZ42" s="611"/>
      <c r="GA42" s="562"/>
      <c r="GB42" s="612"/>
      <c r="GC42" s="603"/>
      <c r="GD42" s="603"/>
      <c r="GE42" s="613"/>
      <c r="GF42" s="613"/>
      <c r="GG42" s="613"/>
      <c r="GH42" s="614"/>
      <c r="GI42" s="614"/>
      <c r="GJ42" s="615"/>
      <c r="GK42" s="615"/>
      <c r="GL42" s="615"/>
      <c r="GM42" s="615"/>
      <c r="GN42" s="615"/>
      <c r="GO42" s="615"/>
      <c r="GP42" s="615"/>
      <c r="GQ42" s="615"/>
      <c r="GR42" s="615"/>
      <c r="GS42" s="615"/>
      <c r="GT42" s="615"/>
      <c r="GU42" s="609"/>
      <c r="GV42" s="609"/>
      <c r="GW42" s="609"/>
      <c r="GX42" s="609"/>
      <c r="GY42" s="609"/>
      <c r="GZ42" s="609"/>
      <c r="HA42" s="609"/>
      <c r="HB42" s="609"/>
      <c r="HC42" s="609"/>
      <c r="HD42" s="609"/>
      <c r="HE42" s="609"/>
      <c r="HF42" s="616"/>
      <c r="HG42" s="616"/>
      <c r="HH42" s="616"/>
      <c r="HI42" s="616"/>
      <c r="HJ42" s="616"/>
      <c r="HK42" s="616"/>
      <c r="HL42" s="616"/>
      <c r="HM42" s="616"/>
      <c r="HN42" s="616"/>
      <c r="HO42" s="616"/>
      <c r="HP42" s="616"/>
      <c r="HQ42" s="617"/>
      <c r="HR42" s="617"/>
      <c r="HS42" s="617"/>
      <c r="HT42" s="617"/>
      <c r="HU42" s="617"/>
      <c r="HV42" s="617"/>
    </row>
    <row r="43" ht="47.25">
      <c r="A43" s="559">
        <v>42</v>
      </c>
      <c r="B43" s="602">
        <v>38</v>
      </c>
      <c r="C43" s="469"/>
      <c r="D43" s="469" t="s">
        <v>942</v>
      </c>
      <c r="E43" s="560" t="s">
        <v>576</v>
      </c>
      <c r="F43" s="564" t="s">
        <v>576</v>
      </c>
      <c r="G43" s="561" t="s">
        <v>943</v>
      </c>
      <c r="H43" s="562" t="s">
        <v>26</v>
      </c>
      <c r="I43" s="562" t="s">
        <v>944</v>
      </c>
      <c r="J43" s="562" t="s">
        <v>945</v>
      </c>
      <c r="K43" s="469" t="s">
        <v>946</v>
      </c>
      <c r="L43" s="563">
        <v>42636</v>
      </c>
      <c r="M43" s="563">
        <v>42631</v>
      </c>
      <c r="N43" s="603" t="s">
        <v>947</v>
      </c>
      <c r="O43" s="604" t="s">
        <v>948</v>
      </c>
      <c r="P43" s="605" t="s">
        <v>583</v>
      </c>
      <c r="Q43" s="603" t="s">
        <v>364</v>
      </c>
      <c r="R43" s="605" t="s">
        <v>584</v>
      </c>
      <c r="S43" s="605" t="s">
        <v>585</v>
      </c>
      <c r="T43" s="234" t="s">
        <v>584</v>
      </c>
      <c r="U43" s="234" t="s">
        <v>585</v>
      </c>
      <c r="V43" s="562">
        <v>1</v>
      </c>
      <c r="W43" s="562" t="s">
        <v>0</v>
      </c>
      <c r="X43" s="564" t="s">
        <v>576</v>
      </c>
      <c r="Y43" s="564" t="s">
        <v>949</v>
      </c>
      <c r="Z43" s="564" t="s">
        <v>587</v>
      </c>
      <c r="AA43" s="564">
        <v>3</v>
      </c>
      <c r="AB43" s="565" t="s">
        <v>596</v>
      </c>
      <c r="AC43" s="565" t="s">
        <v>596</v>
      </c>
      <c r="AD43" s="565" t="s">
        <v>596</v>
      </c>
      <c r="AE43" s="565"/>
      <c r="AF43" s="566" t="s">
        <v>597</v>
      </c>
      <c r="AG43" s="565" t="s">
        <v>598</v>
      </c>
      <c r="AH43" s="565" t="s">
        <v>598</v>
      </c>
      <c r="AI43" s="565" t="s">
        <v>598</v>
      </c>
      <c r="AJ43" s="565"/>
      <c r="AK43" s="562" t="s">
        <v>599</v>
      </c>
      <c r="AL43" s="564">
        <v>2100</v>
      </c>
      <c r="AM43" s="564" t="s">
        <v>658</v>
      </c>
      <c r="AN43" s="567"/>
      <c r="AO43" s="567"/>
      <c r="AP43" s="567"/>
      <c r="AQ43" s="567"/>
      <c r="AR43" s="568"/>
      <c r="AS43" s="568"/>
      <c r="AT43" s="568"/>
      <c r="AU43" s="568"/>
      <c r="AV43" s="663" t="s">
        <v>601</v>
      </c>
      <c r="AW43" s="568"/>
      <c r="AX43" s="568"/>
      <c r="AY43" s="568"/>
      <c r="AZ43" s="568"/>
      <c r="BA43" s="663" t="s">
        <v>601</v>
      </c>
      <c r="BB43" s="567"/>
      <c r="BC43" s="567"/>
      <c r="BD43" s="569"/>
      <c r="BE43" s="569"/>
      <c r="BF43" s="569"/>
      <c r="BG43" s="569"/>
      <c r="BH43" s="569"/>
      <c r="BI43" s="569"/>
      <c r="BJ43" s="569"/>
      <c r="BK43" s="569"/>
      <c r="BL43" s="566" t="s">
        <v>601</v>
      </c>
      <c r="BM43" s="569"/>
      <c r="BN43" s="569"/>
      <c r="BO43" s="569"/>
      <c r="BP43" s="569"/>
      <c r="BQ43" s="562" t="s">
        <v>601</v>
      </c>
      <c r="BR43" s="569"/>
      <c r="BS43" s="569"/>
      <c r="BT43" s="570" t="s">
        <v>601</v>
      </c>
      <c r="BU43" s="570" t="s">
        <v>601</v>
      </c>
      <c r="BV43" s="570" t="s">
        <v>601</v>
      </c>
      <c r="BW43" s="570" t="s">
        <v>601</v>
      </c>
      <c r="BX43" s="571" t="s">
        <v>601</v>
      </c>
      <c r="BY43" s="571" t="s">
        <v>601</v>
      </c>
      <c r="BZ43" s="571" t="s">
        <v>601</v>
      </c>
      <c r="CA43" s="566" t="s">
        <v>601</v>
      </c>
      <c r="CB43" s="571" t="s">
        <v>601</v>
      </c>
      <c r="CC43" s="571" t="s">
        <v>601</v>
      </c>
      <c r="CD43" s="571" t="s">
        <v>601</v>
      </c>
      <c r="CE43" s="562" t="s">
        <v>601</v>
      </c>
      <c r="CF43" s="570" t="s">
        <v>601</v>
      </c>
      <c r="CG43" s="570" t="s">
        <v>601</v>
      </c>
      <c r="CH43" s="572" t="s">
        <v>601</v>
      </c>
      <c r="CI43" s="572" t="s">
        <v>601</v>
      </c>
      <c r="CJ43" s="572" t="s">
        <v>601</v>
      </c>
      <c r="CK43" s="572" t="s">
        <v>601</v>
      </c>
      <c r="CL43" s="573" t="s">
        <v>601</v>
      </c>
      <c r="CM43" s="573" t="s">
        <v>601</v>
      </c>
      <c r="CN43" s="573" t="s">
        <v>601</v>
      </c>
      <c r="CO43" s="566" t="s">
        <v>601</v>
      </c>
      <c r="CP43" s="573" t="s">
        <v>601</v>
      </c>
      <c r="CQ43" s="573" t="s">
        <v>601</v>
      </c>
      <c r="CR43" s="573" t="s">
        <v>601</v>
      </c>
      <c r="CS43" s="562" t="s">
        <v>601</v>
      </c>
      <c r="CT43" s="572" t="s">
        <v>601</v>
      </c>
      <c r="CU43" s="572" t="s">
        <v>601</v>
      </c>
      <c r="CV43" s="574" t="s">
        <v>601</v>
      </c>
      <c r="CW43" s="574" t="s">
        <v>601</v>
      </c>
      <c r="CX43" s="574" t="s">
        <v>601</v>
      </c>
      <c r="CY43" s="574" t="s">
        <v>601</v>
      </c>
      <c r="CZ43" s="575" t="s">
        <v>601</v>
      </c>
      <c r="DA43" s="575" t="s">
        <v>601</v>
      </c>
      <c r="DB43" s="575" t="s">
        <v>601</v>
      </c>
      <c r="DC43" s="566" t="s">
        <v>601</v>
      </c>
      <c r="DD43" s="575" t="s">
        <v>601</v>
      </c>
      <c r="DE43" s="575" t="s">
        <v>601</v>
      </c>
      <c r="DF43" s="575" t="s">
        <v>601</v>
      </c>
      <c r="DG43" s="562" t="s">
        <v>601</v>
      </c>
      <c r="DH43" s="574" t="s">
        <v>601</v>
      </c>
      <c r="DI43" s="574" t="s">
        <v>601</v>
      </c>
      <c r="DJ43" s="469">
        <v>1</v>
      </c>
      <c r="DK43" s="469" t="s">
        <v>623</v>
      </c>
      <c r="DL43" s="469" t="s">
        <v>601</v>
      </c>
      <c r="DM43" s="469" t="s">
        <v>601</v>
      </c>
      <c r="DN43" s="469" t="s">
        <v>604</v>
      </c>
      <c r="DO43" s="469" t="s">
        <v>604</v>
      </c>
      <c r="DP43" s="469" t="s">
        <v>604</v>
      </c>
      <c r="DQ43" s="469">
        <v>1</v>
      </c>
      <c r="DR43" s="576"/>
      <c r="DS43" s="606"/>
      <c r="DT43" s="606"/>
      <c r="DU43" s="562"/>
      <c r="DV43" s="606"/>
      <c r="DW43" s="606"/>
      <c r="DX43" s="607"/>
      <c r="DY43" s="611"/>
      <c r="DZ43" s="607"/>
      <c r="EA43" s="607"/>
      <c r="EB43" s="607"/>
      <c r="EC43" s="607"/>
      <c r="ED43" s="562"/>
      <c r="EE43" s="607"/>
      <c r="EF43" s="607"/>
      <c r="EG43" s="607"/>
      <c r="EH43" s="562"/>
      <c r="EI43" s="607"/>
      <c r="EJ43" s="607"/>
      <c r="EK43" s="608"/>
      <c r="EL43" s="608"/>
      <c r="EM43" s="608"/>
      <c r="EN43" s="608"/>
      <c r="EO43" s="608"/>
      <c r="EP43" s="608"/>
      <c r="EQ43" s="562"/>
      <c r="ER43" s="608"/>
      <c r="ES43" s="608"/>
      <c r="ET43" s="608"/>
      <c r="EU43" s="562"/>
      <c r="EV43" s="608"/>
      <c r="EW43" s="608"/>
      <c r="EX43" s="609"/>
      <c r="EY43" s="609"/>
      <c r="EZ43" s="609"/>
      <c r="FA43" s="609"/>
      <c r="FB43" s="609"/>
      <c r="FC43" s="609"/>
      <c r="FD43" s="562"/>
      <c r="FE43" s="609"/>
      <c r="FF43" s="609"/>
      <c r="FG43" s="609"/>
      <c r="FH43" s="562"/>
      <c r="FI43" s="609"/>
      <c r="FJ43" s="609"/>
      <c r="FK43" s="562"/>
      <c r="FL43" s="562"/>
      <c r="FM43" s="562"/>
      <c r="FN43" s="562"/>
      <c r="FO43" s="562"/>
      <c r="FP43" s="562"/>
      <c r="FQ43" s="562"/>
      <c r="FR43" s="562"/>
      <c r="FS43" s="562"/>
      <c r="FT43" s="562"/>
      <c r="FU43" s="562"/>
      <c r="FV43" s="562"/>
      <c r="FW43" s="562"/>
      <c r="FX43" s="610"/>
      <c r="FY43" s="611"/>
      <c r="FZ43" s="611"/>
      <c r="GA43" s="562"/>
      <c r="GB43" s="612"/>
      <c r="GC43" s="603"/>
      <c r="GD43" s="603"/>
      <c r="GE43" s="613"/>
      <c r="GF43" s="613"/>
      <c r="GG43" s="613"/>
      <c r="GH43" s="614"/>
      <c r="GI43" s="614"/>
      <c r="GJ43" s="615"/>
      <c r="GK43" s="615"/>
      <c r="GL43" s="615"/>
      <c r="GM43" s="615"/>
      <c r="GN43" s="615"/>
      <c r="GO43" s="615"/>
      <c r="GP43" s="615"/>
      <c r="GQ43" s="615"/>
      <c r="GR43" s="615"/>
      <c r="GS43" s="615"/>
      <c r="GT43" s="615"/>
      <c r="GU43" s="609"/>
      <c r="GV43" s="609"/>
      <c r="GW43" s="609"/>
      <c r="GX43" s="609"/>
      <c r="GY43" s="609"/>
      <c r="GZ43" s="609"/>
      <c r="HA43" s="609"/>
      <c r="HB43" s="609"/>
      <c r="HC43" s="609"/>
      <c r="HD43" s="609"/>
      <c r="HE43" s="609"/>
      <c r="HF43" s="616"/>
      <c r="HG43" s="616"/>
      <c r="HH43" s="616"/>
      <c r="HI43" s="616"/>
      <c r="HJ43" s="616"/>
      <c r="HK43" s="616"/>
      <c r="HL43" s="616"/>
      <c r="HM43" s="616"/>
      <c r="HN43" s="616"/>
      <c r="HO43" s="616"/>
      <c r="HP43" s="616"/>
      <c r="HQ43" s="617"/>
      <c r="HR43" s="617"/>
      <c r="HS43" s="617"/>
      <c r="HT43" s="617"/>
      <c r="HU43" s="617"/>
      <c r="HV43" s="617"/>
    </row>
    <row r="44" ht="47.25">
      <c r="A44" s="559">
        <v>43</v>
      </c>
      <c r="B44" s="602">
        <v>38</v>
      </c>
      <c r="C44" s="469"/>
      <c r="D44" s="469" t="s">
        <v>950</v>
      </c>
      <c r="E44" s="560" t="s">
        <v>576</v>
      </c>
      <c r="F44" s="564" t="s">
        <v>576</v>
      </c>
      <c r="G44" s="561" t="s">
        <v>951</v>
      </c>
      <c r="H44" s="562" t="s">
        <v>26</v>
      </c>
      <c r="I44" s="562" t="s">
        <v>952</v>
      </c>
      <c r="J44" s="562" t="s">
        <v>953</v>
      </c>
      <c r="K44" s="469" t="s">
        <v>954</v>
      </c>
      <c r="L44" s="563">
        <v>42636</v>
      </c>
      <c r="M44" s="563">
        <v>42632</v>
      </c>
      <c r="N44" s="603" t="s">
        <v>955</v>
      </c>
      <c r="O44" s="604" t="s">
        <v>956</v>
      </c>
      <c r="P44" s="605" t="s">
        <v>583</v>
      </c>
      <c r="Q44" s="603" t="s">
        <v>364</v>
      </c>
      <c r="R44" s="605" t="s">
        <v>584</v>
      </c>
      <c r="S44" s="605" t="s">
        <v>585</v>
      </c>
      <c r="T44" s="234" t="s">
        <v>584</v>
      </c>
      <c r="U44" s="234" t="s">
        <v>585</v>
      </c>
      <c r="V44" s="562">
        <v>2</v>
      </c>
      <c r="W44" s="562" t="s">
        <v>0</v>
      </c>
      <c r="X44" s="564" t="s">
        <v>576</v>
      </c>
      <c r="Y44" s="564" t="s">
        <v>957</v>
      </c>
      <c r="Z44" s="564" t="s">
        <v>587</v>
      </c>
      <c r="AA44" s="564">
        <v>3</v>
      </c>
      <c r="AB44" s="565" t="s">
        <v>596</v>
      </c>
      <c r="AC44" s="565" t="s">
        <v>596</v>
      </c>
      <c r="AD44" s="565" t="s">
        <v>596</v>
      </c>
      <c r="AE44" s="565"/>
      <c r="AF44" s="566" t="s">
        <v>597</v>
      </c>
      <c r="AG44" s="565" t="s">
        <v>598</v>
      </c>
      <c r="AH44" s="565" t="s">
        <v>598</v>
      </c>
      <c r="AI44" s="565" t="s">
        <v>598</v>
      </c>
      <c r="AJ44" s="565"/>
      <c r="AK44" s="562" t="s">
        <v>599</v>
      </c>
      <c r="AL44" s="564" t="s">
        <v>592</v>
      </c>
      <c r="AM44" s="564" t="s">
        <v>958</v>
      </c>
      <c r="AN44" s="567" t="s">
        <v>576</v>
      </c>
      <c r="AO44" s="567" t="s">
        <v>957</v>
      </c>
      <c r="AP44" s="567" t="s">
        <v>587</v>
      </c>
      <c r="AQ44" s="567">
        <v>3</v>
      </c>
      <c r="AR44" s="568" t="s">
        <v>596</v>
      </c>
      <c r="AS44" s="568" t="s">
        <v>596</v>
      </c>
      <c r="AT44" s="568" t="s">
        <v>596</v>
      </c>
      <c r="AU44" s="568"/>
      <c r="AV44" s="663" t="s">
        <v>597</v>
      </c>
      <c r="AW44" s="568" t="s">
        <v>598</v>
      </c>
      <c r="AX44" s="568" t="s">
        <v>598</v>
      </c>
      <c r="AY44" s="568" t="s">
        <v>598</v>
      </c>
      <c r="AZ44" s="568"/>
      <c r="BA44" s="663" t="s">
        <v>599</v>
      </c>
      <c r="BB44" s="567" t="s">
        <v>600</v>
      </c>
      <c r="BC44" s="567" t="s">
        <v>959</v>
      </c>
      <c r="BD44" s="569"/>
      <c r="BE44" s="569"/>
      <c r="BF44" s="569"/>
      <c r="BG44" s="569"/>
      <c r="BH44" s="569"/>
      <c r="BI44" s="569"/>
      <c r="BJ44" s="569"/>
      <c r="BK44" s="569"/>
      <c r="BL44" s="566" t="s">
        <v>601</v>
      </c>
      <c r="BM44" s="569"/>
      <c r="BN44" s="569"/>
      <c r="BO44" s="569"/>
      <c r="BP44" s="569"/>
      <c r="BQ44" s="562" t="s">
        <v>601</v>
      </c>
      <c r="BR44" s="569"/>
      <c r="BS44" s="569"/>
      <c r="BT44" s="570" t="s">
        <v>601</v>
      </c>
      <c r="BU44" s="570" t="s">
        <v>601</v>
      </c>
      <c r="BV44" s="570" t="s">
        <v>601</v>
      </c>
      <c r="BW44" s="570" t="s">
        <v>601</v>
      </c>
      <c r="BX44" s="571" t="s">
        <v>601</v>
      </c>
      <c r="BY44" s="571" t="s">
        <v>601</v>
      </c>
      <c r="BZ44" s="571" t="s">
        <v>601</v>
      </c>
      <c r="CA44" s="566" t="s">
        <v>601</v>
      </c>
      <c r="CB44" s="571" t="s">
        <v>601</v>
      </c>
      <c r="CC44" s="571" t="s">
        <v>601</v>
      </c>
      <c r="CD44" s="571" t="s">
        <v>601</v>
      </c>
      <c r="CE44" s="562" t="s">
        <v>601</v>
      </c>
      <c r="CF44" s="570" t="s">
        <v>601</v>
      </c>
      <c r="CG44" s="570" t="s">
        <v>601</v>
      </c>
      <c r="CH44" s="572" t="s">
        <v>601</v>
      </c>
      <c r="CI44" s="572" t="s">
        <v>601</v>
      </c>
      <c r="CJ44" s="572" t="s">
        <v>601</v>
      </c>
      <c r="CK44" s="572" t="s">
        <v>601</v>
      </c>
      <c r="CL44" s="573" t="s">
        <v>601</v>
      </c>
      <c r="CM44" s="573" t="s">
        <v>601</v>
      </c>
      <c r="CN44" s="573" t="s">
        <v>601</v>
      </c>
      <c r="CO44" s="566" t="s">
        <v>601</v>
      </c>
      <c r="CP44" s="573" t="s">
        <v>601</v>
      </c>
      <c r="CQ44" s="573" t="s">
        <v>601</v>
      </c>
      <c r="CR44" s="573" t="s">
        <v>601</v>
      </c>
      <c r="CS44" s="562" t="s">
        <v>601</v>
      </c>
      <c r="CT44" s="572" t="s">
        <v>601</v>
      </c>
      <c r="CU44" s="572" t="s">
        <v>601</v>
      </c>
      <c r="CV44" s="574" t="s">
        <v>601</v>
      </c>
      <c r="CW44" s="574" t="s">
        <v>601</v>
      </c>
      <c r="CX44" s="574" t="s">
        <v>601</v>
      </c>
      <c r="CY44" s="574" t="s">
        <v>601</v>
      </c>
      <c r="CZ44" s="575" t="s">
        <v>601</v>
      </c>
      <c r="DA44" s="575" t="s">
        <v>601</v>
      </c>
      <c r="DB44" s="575" t="s">
        <v>601</v>
      </c>
      <c r="DC44" s="566" t="s">
        <v>601</v>
      </c>
      <c r="DD44" s="575" t="s">
        <v>601</v>
      </c>
      <c r="DE44" s="575" t="s">
        <v>601</v>
      </c>
      <c r="DF44" s="575" t="s">
        <v>601</v>
      </c>
      <c r="DG44" s="562" t="s">
        <v>601</v>
      </c>
      <c r="DH44" s="574" t="s">
        <v>601</v>
      </c>
      <c r="DI44" s="574" t="s">
        <v>601</v>
      </c>
      <c r="DJ44" s="469">
        <v>2</v>
      </c>
      <c r="DK44" s="469" t="s">
        <v>614</v>
      </c>
      <c r="DL44" s="469" t="s">
        <v>603</v>
      </c>
      <c r="DM44" s="469" t="s">
        <v>601</v>
      </c>
      <c r="DN44" s="469" t="s">
        <v>604</v>
      </c>
      <c r="DO44" s="469" t="s">
        <v>604</v>
      </c>
      <c r="DP44" s="469" t="s">
        <v>604</v>
      </c>
      <c r="DQ44" s="469">
        <v>2</v>
      </c>
      <c r="DR44" s="576"/>
      <c r="DS44" s="606"/>
      <c r="DT44" s="606"/>
      <c r="DU44" s="562"/>
      <c r="DV44" s="606"/>
      <c r="DW44" s="606"/>
      <c r="DX44" s="607"/>
      <c r="DY44" s="611"/>
      <c r="DZ44" s="607"/>
      <c r="EA44" s="607"/>
      <c r="EB44" s="607"/>
      <c r="EC44" s="607"/>
      <c r="ED44" s="562"/>
      <c r="EE44" s="607"/>
      <c r="EF44" s="607"/>
      <c r="EG44" s="607"/>
      <c r="EH44" s="562"/>
      <c r="EI44" s="607"/>
      <c r="EJ44" s="607"/>
      <c r="EK44" s="608"/>
      <c r="EL44" s="608"/>
      <c r="EM44" s="608"/>
      <c r="EN44" s="608"/>
      <c r="EO44" s="608"/>
      <c r="EP44" s="608"/>
      <c r="EQ44" s="562"/>
      <c r="ER44" s="608"/>
      <c r="ES44" s="608"/>
      <c r="ET44" s="608"/>
      <c r="EU44" s="562"/>
      <c r="EV44" s="608"/>
      <c r="EW44" s="608"/>
      <c r="EX44" s="609"/>
      <c r="EY44" s="609"/>
      <c r="EZ44" s="609"/>
      <c r="FA44" s="609"/>
      <c r="FB44" s="609"/>
      <c r="FC44" s="609"/>
      <c r="FD44" s="562"/>
      <c r="FE44" s="609"/>
      <c r="FF44" s="609"/>
      <c r="FG44" s="609"/>
      <c r="FH44" s="562"/>
      <c r="FI44" s="609"/>
      <c r="FJ44" s="609"/>
      <c r="FK44" s="562"/>
      <c r="FL44" s="562"/>
      <c r="FM44" s="562"/>
      <c r="FN44" s="562"/>
      <c r="FO44" s="562"/>
      <c r="FP44" s="562"/>
      <c r="FQ44" s="562"/>
      <c r="FR44" s="562"/>
      <c r="FS44" s="562"/>
      <c r="FT44" s="562"/>
      <c r="FU44" s="562"/>
      <c r="FV44" s="562"/>
      <c r="FW44" s="562"/>
      <c r="FX44" s="610"/>
      <c r="FY44" s="611"/>
      <c r="FZ44" s="611"/>
      <c r="GA44" s="562"/>
      <c r="GB44" s="612"/>
      <c r="GC44" s="603"/>
      <c r="GD44" s="603"/>
      <c r="GE44" s="613"/>
      <c r="GF44" s="613"/>
      <c r="GG44" s="613"/>
      <c r="GH44" s="614"/>
      <c r="GI44" s="614"/>
      <c r="GJ44" s="615"/>
      <c r="GK44" s="615"/>
      <c r="GL44" s="615"/>
      <c r="GM44" s="615"/>
      <c r="GN44" s="615"/>
      <c r="GO44" s="615"/>
      <c r="GP44" s="615"/>
      <c r="GQ44" s="615"/>
      <c r="GR44" s="615"/>
      <c r="GS44" s="615"/>
      <c r="GT44" s="615"/>
      <c r="GU44" s="609"/>
      <c r="GV44" s="609"/>
      <c r="GW44" s="609"/>
      <c r="GX44" s="609"/>
      <c r="GY44" s="609"/>
      <c r="GZ44" s="609"/>
      <c r="HA44" s="609"/>
      <c r="HB44" s="609"/>
      <c r="HC44" s="609"/>
      <c r="HD44" s="609"/>
      <c r="HE44" s="609"/>
      <c r="HF44" s="616"/>
      <c r="HG44" s="616"/>
      <c r="HH44" s="616"/>
      <c r="HI44" s="616"/>
      <c r="HJ44" s="616"/>
      <c r="HK44" s="616"/>
      <c r="HL44" s="616"/>
      <c r="HM44" s="616"/>
      <c r="HN44" s="616"/>
      <c r="HO44" s="616"/>
      <c r="HP44" s="616"/>
      <c r="HQ44" s="617"/>
      <c r="HR44" s="617"/>
      <c r="HS44" s="617"/>
      <c r="HT44" s="617"/>
      <c r="HU44" s="617"/>
      <c r="HV44" s="617"/>
    </row>
    <row r="45" ht="47.25">
      <c r="A45" s="559">
        <v>44</v>
      </c>
      <c r="B45" s="602">
        <v>38</v>
      </c>
      <c r="C45" s="469"/>
      <c r="D45" s="469" t="s">
        <v>960</v>
      </c>
      <c r="E45" s="560" t="s">
        <v>576</v>
      </c>
      <c r="F45" s="564" t="s">
        <v>576</v>
      </c>
      <c r="G45" s="561" t="s">
        <v>961</v>
      </c>
      <c r="H45" s="562" t="s">
        <v>26</v>
      </c>
      <c r="I45" s="562" t="s">
        <v>962</v>
      </c>
      <c r="J45" s="562" t="s">
        <v>963</v>
      </c>
      <c r="K45" s="469" t="s">
        <v>964</v>
      </c>
      <c r="L45" s="563">
        <v>42636</v>
      </c>
      <c r="M45" s="563">
        <v>42632</v>
      </c>
      <c r="N45" s="603" t="s">
        <v>965</v>
      </c>
      <c r="O45" s="604" t="s">
        <v>966</v>
      </c>
      <c r="P45" s="605" t="s">
        <v>583</v>
      </c>
      <c r="Q45" s="603" t="s">
        <v>364</v>
      </c>
      <c r="R45" s="605" t="s">
        <v>584</v>
      </c>
      <c r="S45" s="605" t="s">
        <v>585</v>
      </c>
      <c r="T45" s="234" t="s">
        <v>584</v>
      </c>
      <c r="U45" s="234" t="s">
        <v>585</v>
      </c>
      <c r="V45" s="562">
        <v>1</v>
      </c>
      <c r="W45" s="562" t="s">
        <v>0</v>
      </c>
      <c r="X45" s="564" t="s">
        <v>576</v>
      </c>
      <c r="Y45" s="564" t="s">
        <v>967</v>
      </c>
      <c r="Z45" s="564" t="s">
        <v>587</v>
      </c>
      <c r="AA45" s="564">
        <v>2</v>
      </c>
      <c r="AB45" s="565" t="s">
        <v>596</v>
      </c>
      <c r="AC45" s="565" t="s">
        <v>596</v>
      </c>
      <c r="AD45" s="565" t="s">
        <v>601</v>
      </c>
      <c r="AE45" s="565"/>
      <c r="AF45" s="566" t="s">
        <v>968</v>
      </c>
      <c r="AG45" s="565" t="s">
        <v>598</v>
      </c>
      <c r="AH45" s="565" t="s">
        <v>598</v>
      </c>
      <c r="AI45" s="565"/>
      <c r="AJ45" s="565"/>
      <c r="AK45" s="562" t="s">
        <v>969</v>
      </c>
      <c r="AL45" s="564">
        <v>2100</v>
      </c>
      <c r="AM45" s="564" t="s">
        <v>970</v>
      </c>
      <c r="AN45" s="567"/>
      <c r="AO45" s="567"/>
      <c r="AP45" s="567"/>
      <c r="AQ45" s="567"/>
      <c r="AR45" s="568"/>
      <c r="AS45" s="568"/>
      <c r="AT45" s="568"/>
      <c r="AU45" s="568"/>
      <c r="AV45" s="663" t="s">
        <v>601</v>
      </c>
      <c r="AW45" s="568"/>
      <c r="AX45" s="568"/>
      <c r="AY45" s="568"/>
      <c r="AZ45" s="568"/>
      <c r="BA45" s="663" t="s">
        <v>601</v>
      </c>
      <c r="BB45" s="567"/>
      <c r="BC45" s="567"/>
      <c r="BD45" s="569"/>
      <c r="BE45" s="569"/>
      <c r="BF45" s="569"/>
      <c r="BG45" s="569"/>
      <c r="BH45" s="569"/>
      <c r="BI45" s="569"/>
      <c r="BJ45" s="569"/>
      <c r="BK45" s="569"/>
      <c r="BL45" s="566" t="s">
        <v>601</v>
      </c>
      <c r="BM45" s="569"/>
      <c r="BN45" s="569"/>
      <c r="BO45" s="569"/>
      <c r="BP45" s="569"/>
      <c r="BQ45" s="562" t="s">
        <v>601</v>
      </c>
      <c r="BR45" s="569"/>
      <c r="BS45" s="569"/>
      <c r="BT45" s="570" t="s">
        <v>601</v>
      </c>
      <c r="BU45" s="570" t="s">
        <v>601</v>
      </c>
      <c r="BV45" s="570" t="s">
        <v>601</v>
      </c>
      <c r="BW45" s="570" t="s">
        <v>601</v>
      </c>
      <c r="BX45" s="571" t="s">
        <v>601</v>
      </c>
      <c r="BY45" s="571" t="s">
        <v>601</v>
      </c>
      <c r="BZ45" s="571" t="s">
        <v>601</v>
      </c>
      <c r="CA45" s="566" t="s">
        <v>601</v>
      </c>
      <c r="CB45" s="571" t="s">
        <v>601</v>
      </c>
      <c r="CC45" s="571" t="s">
        <v>601</v>
      </c>
      <c r="CD45" s="571" t="s">
        <v>601</v>
      </c>
      <c r="CE45" s="562" t="s">
        <v>601</v>
      </c>
      <c r="CF45" s="570" t="s">
        <v>601</v>
      </c>
      <c r="CG45" s="570" t="s">
        <v>601</v>
      </c>
      <c r="CH45" s="572" t="s">
        <v>601</v>
      </c>
      <c r="CI45" s="572" t="s">
        <v>601</v>
      </c>
      <c r="CJ45" s="572" t="s">
        <v>601</v>
      </c>
      <c r="CK45" s="572" t="s">
        <v>601</v>
      </c>
      <c r="CL45" s="573" t="s">
        <v>601</v>
      </c>
      <c r="CM45" s="573" t="s">
        <v>601</v>
      </c>
      <c r="CN45" s="573" t="s">
        <v>601</v>
      </c>
      <c r="CO45" s="566" t="s">
        <v>601</v>
      </c>
      <c r="CP45" s="573" t="s">
        <v>601</v>
      </c>
      <c r="CQ45" s="573" t="s">
        <v>601</v>
      </c>
      <c r="CR45" s="573" t="s">
        <v>601</v>
      </c>
      <c r="CS45" s="562" t="s">
        <v>601</v>
      </c>
      <c r="CT45" s="572" t="s">
        <v>601</v>
      </c>
      <c r="CU45" s="572" t="s">
        <v>601</v>
      </c>
      <c r="CV45" s="574" t="s">
        <v>601</v>
      </c>
      <c r="CW45" s="574" t="s">
        <v>601</v>
      </c>
      <c r="CX45" s="574" t="s">
        <v>601</v>
      </c>
      <c r="CY45" s="574" t="s">
        <v>601</v>
      </c>
      <c r="CZ45" s="575" t="s">
        <v>601</v>
      </c>
      <c r="DA45" s="575" t="s">
        <v>601</v>
      </c>
      <c r="DB45" s="575" t="s">
        <v>601</v>
      </c>
      <c r="DC45" s="566" t="s">
        <v>601</v>
      </c>
      <c r="DD45" s="575" t="s">
        <v>601</v>
      </c>
      <c r="DE45" s="575" t="s">
        <v>601</v>
      </c>
      <c r="DF45" s="575" t="s">
        <v>601</v>
      </c>
      <c r="DG45" s="562" t="s">
        <v>601</v>
      </c>
      <c r="DH45" s="574" t="s">
        <v>601</v>
      </c>
      <c r="DI45" s="574" t="s">
        <v>601</v>
      </c>
      <c r="DJ45" s="469">
        <v>1</v>
      </c>
      <c r="DK45" s="469" t="s">
        <v>623</v>
      </c>
      <c r="DL45" s="469" t="s">
        <v>601</v>
      </c>
      <c r="DM45" s="469" t="s">
        <v>601</v>
      </c>
      <c r="DN45" s="469" t="s">
        <v>604</v>
      </c>
      <c r="DO45" s="469" t="s">
        <v>604</v>
      </c>
      <c r="DP45" s="469" t="s">
        <v>604</v>
      </c>
      <c r="DQ45" s="469">
        <v>1</v>
      </c>
      <c r="DR45" s="576"/>
      <c r="DS45" s="606"/>
      <c r="DT45" s="606"/>
      <c r="DU45" s="562"/>
      <c r="DV45" s="606"/>
      <c r="DW45" s="606"/>
      <c r="DX45" s="607"/>
      <c r="DY45" s="611"/>
      <c r="DZ45" s="607"/>
      <c r="EA45" s="607"/>
      <c r="EB45" s="607"/>
      <c r="EC45" s="607"/>
      <c r="ED45" s="562"/>
      <c r="EE45" s="607"/>
      <c r="EF45" s="607"/>
      <c r="EG45" s="607"/>
      <c r="EH45" s="562"/>
      <c r="EI45" s="607"/>
      <c r="EJ45" s="607"/>
      <c r="EK45" s="608"/>
      <c r="EL45" s="608"/>
      <c r="EM45" s="608"/>
      <c r="EN45" s="608"/>
      <c r="EO45" s="608"/>
      <c r="EP45" s="608"/>
      <c r="EQ45" s="562"/>
      <c r="ER45" s="608"/>
      <c r="ES45" s="608"/>
      <c r="ET45" s="608"/>
      <c r="EU45" s="562"/>
      <c r="EV45" s="608"/>
      <c r="EW45" s="608"/>
      <c r="EX45" s="609"/>
      <c r="EY45" s="609"/>
      <c r="EZ45" s="609"/>
      <c r="FA45" s="609"/>
      <c r="FB45" s="609"/>
      <c r="FC45" s="609"/>
      <c r="FD45" s="562"/>
      <c r="FE45" s="609"/>
      <c r="FF45" s="609"/>
      <c r="FG45" s="609"/>
      <c r="FH45" s="562"/>
      <c r="FI45" s="609"/>
      <c r="FJ45" s="609"/>
      <c r="FK45" s="562"/>
      <c r="FL45" s="562"/>
      <c r="FM45" s="562"/>
      <c r="FN45" s="562"/>
      <c r="FO45" s="562"/>
      <c r="FP45" s="562"/>
      <c r="FQ45" s="562"/>
      <c r="FR45" s="562"/>
      <c r="FS45" s="562"/>
      <c r="FT45" s="562"/>
      <c r="FU45" s="562"/>
      <c r="FV45" s="562"/>
      <c r="FW45" s="562"/>
      <c r="FX45" s="610"/>
      <c r="FY45" s="611"/>
      <c r="FZ45" s="611"/>
      <c r="GA45" s="562"/>
      <c r="GB45" s="612"/>
      <c r="GC45" s="603"/>
      <c r="GD45" s="603"/>
      <c r="GE45" s="613"/>
      <c r="GF45" s="613"/>
      <c r="GG45" s="613"/>
      <c r="GH45" s="614"/>
      <c r="GI45" s="614"/>
      <c r="GJ45" s="615"/>
      <c r="GK45" s="615"/>
      <c r="GL45" s="615"/>
      <c r="GM45" s="615"/>
      <c r="GN45" s="615"/>
      <c r="GO45" s="615"/>
      <c r="GP45" s="615"/>
      <c r="GQ45" s="615"/>
      <c r="GR45" s="615"/>
      <c r="GS45" s="615"/>
      <c r="GT45" s="615"/>
      <c r="GU45" s="609"/>
      <c r="GV45" s="609"/>
      <c r="GW45" s="609"/>
      <c r="GX45" s="609"/>
      <c r="GY45" s="609"/>
      <c r="GZ45" s="609"/>
      <c r="HA45" s="609"/>
      <c r="HB45" s="609"/>
      <c r="HC45" s="609"/>
      <c r="HD45" s="609"/>
      <c r="HE45" s="609"/>
      <c r="HF45" s="616"/>
      <c r="HG45" s="616"/>
      <c r="HH45" s="616"/>
      <c r="HI45" s="616"/>
      <c r="HJ45" s="616"/>
      <c r="HK45" s="616"/>
      <c r="HL45" s="616"/>
      <c r="HM45" s="616"/>
      <c r="HN45" s="616"/>
      <c r="HO45" s="616"/>
      <c r="HP45" s="616"/>
      <c r="HQ45" s="617"/>
      <c r="HR45" s="617"/>
      <c r="HS45" s="617"/>
      <c r="HT45" s="617"/>
      <c r="HU45" s="617"/>
      <c r="HV45" s="617"/>
    </row>
    <row r="46" ht="47.25">
      <c r="A46" s="559">
        <v>45</v>
      </c>
      <c r="B46" s="602">
        <v>38</v>
      </c>
      <c r="C46" s="469"/>
      <c r="D46" s="469" t="s">
        <v>971</v>
      </c>
      <c r="E46" s="560" t="s">
        <v>576</v>
      </c>
      <c r="F46" s="564" t="s">
        <v>576</v>
      </c>
      <c r="G46" s="561" t="s">
        <v>972</v>
      </c>
      <c r="H46" s="562" t="s">
        <v>26</v>
      </c>
      <c r="I46" s="562" t="s">
        <v>973</v>
      </c>
      <c r="J46" s="562" t="s">
        <v>974</v>
      </c>
      <c r="K46" s="469" t="s">
        <v>975</v>
      </c>
      <c r="L46" s="563">
        <v>42636</v>
      </c>
      <c r="M46" s="563">
        <v>42632</v>
      </c>
      <c r="N46" s="603" t="s">
        <v>976</v>
      </c>
      <c r="O46" s="604" t="s">
        <v>977</v>
      </c>
      <c r="P46" s="605" t="s">
        <v>583</v>
      </c>
      <c r="Q46" s="603" t="s">
        <v>364</v>
      </c>
      <c r="R46" s="605" t="s">
        <v>584</v>
      </c>
      <c r="S46" s="605" t="s">
        <v>585</v>
      </c>
      <c r="T46" s="234" t="s">
        <v>584</v>
      </c>
      <c r="U46" s="234" t="s">
        <v>585</v>
      </c>
      <c r="V46" s="562">
        <v>1</v>
      </c>
      <c r="W46" s="562" t="s">
        <v>0</v>
      </c>
      <c r="X46" s="564" t="s">
        <v>576</v>
      </c>
      <c r="Y46" s="564" t="s">
        <v>978</v>
      </c>
      <c r="Z46" s="564" t="s">
        <v>587</v>
      </c>
      <c r="AA46" s="564">
        <v>1</v>
      </c>
      <c r="AB46" s="565" t="s">
        <v>596</v>
      </c>
      <c r="AC46" s="565" t="s">
        <v>601</v>
      </c>
      <c r="AD46" s="565" t="s">
        <v>601</v>
      </c>
      <c r="AE46" s="565"/>
      <c r="AF46" s="566" t="s">
        <v>596</v>
      </c>
      <c r="AG46" s="565" t="s">
        <v>598</v>
      </c>
      <c r="AH46" s="565"/>
      <c r="AI46" s="565"/>
      <c r="AJ46" s="565"/>
      <c r="AK46" s="562" t="s">
        <v>979</v>
      </c>
      <c r="AL46" s="564">
        <v>2100</v>
      </c>
      <c r="AM46" s="564" t="s">
        <v>980</v>
      </c>
      <c r="AN46" s="567"/>
      <c r="AO46" s="567"/>
      <c r="AP46" s="567"/>
      <c r="AQ46" s="567"/>
      <c r="AR46" s="568"/>
      <c r="AS46" s="568"/>
      <c r="AT46" s="568"/>
      <c r="AU46" s="568"/>
      <c r="AV46" s="663" t="s">
        <v>601</v>
      </c>
      <c r="AW46" s="568"/>
      <c r="AX46" s="568"/>
      <c r="AY46" s="568"/>
      <c r="AZ46" s="568"/>
      <c r="BA46" s="663" t="s">
        <v>601</v>
      </c>
      <c r="BB46" s="567"/>
      <c r="BC46" s="567"/>
      <c r="BD46" s="569"/>
      <c r="BE46" s="569"/>
      <c r="BF46" s="569"/>
      <c r="BG46" s="569"/>
      <c r="BH46" s="569"/>
      <c r="BI46" s="569"/>
      <c r="BJ46" s="569"/>
      <c r="BK46" s="569"/>
      <c r="BL46" s="566" t="s">
        <v>601</v>
      </c>
      <c r="BM46" s="569"/>
      <c r="BN46" s="569"/>
      <c r="BO46" s="569"/>
      <c r="BP46" s="569"/>
      <c r="BQ46" s="562" t="s">
        <v>601</v>
      </c>
      <c r="BR46" s="569"/>
      <c r="BS46" s="569"/>
      <c r="BT46" s="570" t="s">
        <v>601</v>
      </c>
      <c r="BU46" s="570" t="s">
        <v>601</v>
      </c>
      <c r="BV46" s="570" t="s">
        <v>601</v>
      </c>
      <c r="BW46" s="570" t="s">
        <v>601</v>
      </c>
      <c r="BX46" s="571" t="s">
        <v>601</v>
      </c>
      <c r="BY46" s="571" t="s">
        <v>601</v>
      </c>
      <c r="BZ46" s="571" t="s">
        <v>601</v>
      </c>
      <c r="CA46" s="566" t="s">
        <v>601</v>
      </c>
      <c r="CB46" s="571" t="s">
        <v>601</v>
      </c>
      <c r="CC46" s="571" t="s">
        <v>601</v>
      </c>
      <c r="CD46" s="571" t="s">
        <v>601</v>
      </c>
      <c r="CE46" s="562" t="s">
        <v>601</v>
      </c>
      <c r="CF46" s="570" t="s">
        <v>601</v>
      </c>
      <c r="CG46" s="570" t="s">
        <v>601</v>
      </c>
      <c r="CH46" s="572" t="s">
        <v>601</v>
      </c>
      <c r="CI46" s="572" t="s">
        <v>601</v>
      </c>
      <c r="CJ46" s="572" t="s">
        <v>601</v>
      </c>
      <c r="CK46" s="572" t="s">
        <v>601</v>
      </c>
      <c r="CL46" s="573" t="s">
        <v>601</v>
      </c>
      <c r="CM46" s="573" t="s">
        <v>601</v>
      </c>
      <c r="CN46" s="573" t="s">
        <v>601</v>
      </c>
      <c r="CO46" s="566" t="s">
        <v>601</v>
      </c>
      <c r="CP46" s="573" t="s">
        <v>601</v>
      </c>
      <c r="CQ46" s="573" t="s">
        <v>601</v>
      </c>
      <c r="CR46" s="573" t="s">
        <v>601</v>
      </c>
      <c r="CS46" s="562" t="s">
        <v>601</v>
      </c>
      <c r="CT46" s="572" t="s">
        <v>601</v>
      </c>
      <c r="CU46" s="572" t="s">
        <v>601</v>
      </c>
      <c r="CV46" s="574" t="s">
        <v>601</v>
      </c>
      <c r="CW46" s="574" t="s">
        <v>601</v>
      </c>
      <c r="CX46" s="574" t="s">
        <v>601</v>
      </c>
      <c r="CY46" s="574" t="s">
        <v>601</v>
      </c>
      <c r="CZ46" s="575" t="s">
        <v>601</v>
      </c>
      <c r="DA46" s="575" t="s">
        <v>601</v>
      </c>
      <c r="DB46" s="575" t="s">
        <v>601</v>
      </c>
      <c r="DC46" s="566" t="s">
        <v>601</v>
      </c>
      <c r="DD46" s="575" t="s">
        <v>601</v>
      </c>
      <c r="DE46" s="575" t="s">
        <v>601</v>
      </c>
      <c r="DF46" s="575" t="s">
        <v>601</v>
      </c>
      <c r="DG46" s="562" t="s">
        <v>601</v>
      </c>
      <c r="DH46" s="574" t="s">
        <v>601</v>
      </c>
      <c r="DI46" s="574" t="s">
        <v>601</v>
      </c>
      <c r="DJ46" s="469">
        <v>1</v>
      </c>
      <c r="DK46" s="469" t="s">
        <v>623</v>
      </c>
      <c r="DL46" s="469" t="s">
        <v>601</v>
      </c>
      <c r="DM46" s="469" t="s">
        <v>601</v>
      </c>
      <c r="DN46" s="469" t="s">
        <v>604</v>
      </c>
      <c r="DO46" s="469" t="s">
        <v>604</v>
      </c>
      <c r="DP46" s="469" t="s">
        <v>604</v>
      </c>
      <c r="DQ46" s="469">
        <v>1</v>
      </c>
      <c r="DR46" s="576"/>
      <c r="DS46" s="606"/>
      <c r="DT46" s="606"/>
      <c r="DU46" s="562"/>
      <c r="DV46" s="606"/>
      <c r="DW46" s="606"/>
      <c r="DX46" s="607"/>
      <c r="DY46" s="611"/>
      <c r="DZ46" s="607"/>
      <c r="EA46" s="607"/>
      <c r="EB46" s="607"/>
      <c r="EC46" s="607"/>
      <c r="ED46" s="562"/>
      <c r="EE46" s="607"/>
      <c r="EF46" s="607"/>
      <c r="EG46" s="607"/>
      <c r="EH46" s="562"/>
      <c r="EI46" s="607"/>
      <c r="EJ46" s="607"/>
      <c r="EK46" s="608"/>
      <c r="EL46" s="608"/>
      <c r="EM46" s="608"/>
      <c r="EN46" s="608"/>
      <c r="EO46" s="608"/>
      <c r="EP46" s="608"/>
      <c r="EQ46" s="562"/>
      <c r="ER46" s="608"/>
      <c r="ES46" s="608"/>
      <c r="ET46" s="608"/>
      <c r="EU46" s="562"/>
      <c r="EV46" s="608"/>
      <c r="EW46" s="608"/>
      <c r="EX46" s="609"/>
      <c r="EY46" s="609"/>
      <c r="EZ46" s="609"/>
      <c r="FA46" s="609"/>
      <c r="FB46" s="609"/>
      <c r="FC46" s="609"/>
      <c r="FD46" s="562"/>
      <c r="FE46" s="609"/>
      <c r="FF46" s="609"/>
      <c r="FG46" s="609"/>
      <c r="FH46" s="562"/>
      <c r="FI46" s="609"/>
      <c r="FJ46" s="609"/>
      <c r="FK46" s="562"/>
      <c r="FL46" s="562"/>
      <c r="FM46" s="562"/>
      <c r="FN46" s="562"/>
      <c r="FO46" s="562"/>
      <c r="FP46" s="562"/>
      <c r="FQ46" s="562"/>
      <c r="FR46" s="562"/>
      <c r="FS46" s="562"/>
      <c r="FT46" s="562"/>
      <c r="FU46" s="562"/>
      <c r="FV46" s="562"/>
      <c r="FW46" s="562"/>
      <c r="FX46" s="610"/>
      <c r="FY46" s="611"/>
      <c r="FZ46" s="611"/>
      <c r="GA46" s="562"/>
      <c r="GB46" s="612"/>
      <c r="GC46" s="603"/>
      <c r="GD46" s="603"/>
      <c r="GE46" s="613"/>
      <c r="GF46" s="613"/>
      <c r="GG46" s="613"/>
      <c r="GH46" s="614"/>
      <c r="GI46" s="614"/>
      <c r="GJ46" s="615"/>
      <c r="GK46" s="615"/>
      <c r="GL46" s="615"/>
      <c r="GM46" s="615"/>
      <c r="GN46" s="615"/>
      <c r="GO46" s="615"/>
      <c r="GP46" s="615"/>
      <c r="GQ46" s="615"/>
      <c r="GR46" s="615"/>
      <c r="GS46" s="615"/>
      <c r="GT46" s="615"/>
      <c r="GU46" s="609"/>
      <c r="GV46" s="609"/>
      <c r="GW46" s="609"/>
      <c r="GX46" s="609"/>
      <c r="GY46" s="609"/>
      <c r="GZ46" s="609"/>
      <c r="HA46" s="609"/>
      <c r="HB46" s="609"/>
      <c r="HC46" s="609"/>
      <c r="HD46" s="609"/>
      <c r="HE46" s="609"/>
      <c r="HF46" s="616"/>
      <c r="HG46" s="616"/>
      <c r="HH46" s="616"/>
      <c r="HI46" s="616"/>
      <c r="HJ46" s="616"/>
      <c r="HK46" s="616"/>
      <c r="HL46" s="616"/>
      <c r="HM46" s="616"/>
      <c r="HN46" s="616"/>
      <c r="HO46" s="616"/>
      <c r="HP46" s="616"/>
      <c r="HQ46" s="617"/>
      <c r="HR46" s="617"/>
      <c r="HS46" s="617"/>
      <c r="HT46" s="617"/>
      <c r="HU46" s="617"/>
      <c r="HV46" s="617"/>
    </row>
    <row r="47" ht="47.25">
      <c r="A47" s="559">
        <v>46</v>
      </c>
      <c r="B47" s="602">
        <v>38</v>
      </c>
      <c r="C47" s="469"/>
      <c r="D47" s="469" t="s">
        <v>981</v>
      </c>
      <c r="E47" s="560" t="s">
        <v>576</v>
      </c>
      <c r="F47" s="564" t="s">
        <v>576</v>
      </c>
      <c r="G47" s="561" t="s">
        <v>982</v>
      </c>
      <c r="H47" s="562" t="s">
        <v>26</v>
      </c>
      <c r="I47" s="562" t="s">
        <v>983</v>
      </c>
      <c r="J47" s="562" t="s">
        <v>984</v>
      </c>
      <c r="K47" s="469" t="s">
        <v>985</v>
      </c>
      <c r="L47" s="563">
        <v>42636</v>
      </c>
      <c r="M47" s="563">
        <v>42632</v>
      </c>
      <c r="N47" s="603" t="s">
        <v>986</v>
      </c>
      <c r="O47" s="604" t="s">
        <v>987</v>
      </c>
      <c r="P47" s="605" t="s">
        <v>583</v>
      </c>
      <c r="Q47" s="603" t="s">
        <v>364</v>
      </c>
      <c r="R47" s="605" t="s">
        <v>584</v>
      </c>
      <c r="S47" s="605" t="s">
        <v>585</v>
      </c>
      <c r="T47" s="234" t="s">
        <v>584</v>
      </c>
      <c r="U47" s="234" t="s">
        <v>585</v>
      </c>
      <c r="V47" s="562">
        <v>1</v>
      </c>
      <c r="W47" s="562" t="s">
        <v>0</v>
      </c>
      <c r="X47" s="564" t="s">
        <v>576</v>
      </c>
      <c r="Y47" s="564" t="s">
        <v>988</v>
      </c>
      <c r="Z47" s="564" t="s">
        <v>587</v>
      </c>
      <c r="AA47" s="564">
        <v>1</v>
      </c>
      <c r="AB47" s="565" t="s">
        <v>596</v>
      </c>
      <c r="AC47" s="565" t="s">
        <v>601</v>
      </c>
      <c r="AD47" s="565" t="s">
        <v>601</v>
      </c>
      <c r="AE47" s="565"/>
      <c r="AF47" s="566" t="s">
        <v>596</v>
      </c>
      <c r="AG47" s="565" t="s">
        <v>598</v>
      </c>
      <c r="AH47" s="565"/>
      <c r="AI47" s="565"/>
      <c r="AJ47" s="565"/>
      <c r="AK47" s="562" t="s">
        <v>979</v>
      </c>
      <c r="AL47" s="564">
        <v>2100</v>
      </c>
      <c r="AM47" s="564" t="s">
        <v>989</v>
      </c>
      <c r="AN47" s="567"/>
      <c r="AO47" s="567"/>
      <c r="AP47" s="567"/>
      <c r="AQ47" s="567"/>
      <c r="AR47" s="568"/>
      <c r="AS47" s="568"/>
      <c r="AT47" s="568"/>
      <c r="AU47" s="568"/>
      <c r="AV47" s="663" t="s">
        <v>601</v>
      </c>
      <c r="AW47" s="568"/>
      <c r="AX47" s="568"/>
      <c r="AY47" s="568"/>
      <c r="AZ47" s="568"/>
      <c r="BA47" s="663" t="s">
        <v>601</v>
      </c>
      <c r="BB47" s="567"/>
      <c r="BC47" s="567"/>
      <c r="BD47" s="569"/>
      <c r="BE47" s="569"/>
      <c r="BF47" s="569"/>
      <c r="BG47" s="569"/>
      <c r="BH47" s="569"/>
      <c r="BI47" s="569"/>
      <c r="BJ47" s="569"/>
      <c r="BK47" s="569"/>
      <c r="BL47" s="566" t="s">
        <v>601</v>
      </c>
      <c r="BM47" s="569"/>
      <c r="BN47" s="569"/>
      <c r="BO47" s="569"/>
      <c r="BP47" s="569"/>
      <c r="BQ47" s="562" t="s">
        <v>601</v>
      </c>
      <c r="BR47" s="569"/>
      <c r="BS47" s="569"/>
      <c r="BT47" s="570" t="s">
        <v>601</v>
      </c>
      <c r="BU47" s="570" t="s">
        <v>601</v>
      </c>
      <c r="BV47" s="570" t="s">
        <v>601</v>
      </c>
      <c r="BW47" s="570" t="s">
        <v>601</v>
      </c>
      <c r="BX47" s="571" t="s">
        <v>601</v>
      </c>
      <c r="BY47" s="571" t="s">
        <v>601</v>
      </c>
      <c r="BZ47" s="571" t="s">
        <v>601</v>
      </c>
      <c r="CA47" s="566" t="s">
        <v>601</v>
      </c>
      <c r="CB47" s="571" t="s">
        <v>601</v>
      </c>
      <c r="CC47" s="571" t="s">
        <v>601</v>
      </c>
      <c r="CD47" s="571" t="s">
        <v>601</v>
      </c>
      <c r="CE47" s="562" t="s">
        <v>601</v>
      </c>
      <c r="CF47" s="570" t="s">
        <v>601</v>
      </c>
      <c r="CG47" s="570" t="s">
        <v>601</v>
      </c>
      <c r="CH47" s="572" t="s">
        <v>601</v>
      </c>
      <c r="CI47" s="572" t="s">
        <v>601</v>
      </c>
      <c r="CJ47" s="572" t="s">
        <v>601</v>
      </c>
      <c r="CK47" s="572" t="s">
        <v>601</v>
      </c>
      <c r="CL47" s="573" t="s">
        <v>601</v>
      </c>
      <c r="CM47" s="573" t="s">
        <v>601</v>
      </c>
      <c r="CN47" s="573" t="s">
        <v>601</v>
      </c>
      <c r="CO47" s="566" t="s">
        <v>601</v>
      </c>
      <c r="CP47" s="573" t="s">
        <v>601</v>
      </c>
      <c r="CQ47" s="573" t="s">
        <v>601</v>
      </c>
      <c r="CR47" s="573" t="s">
        <v>601</v>
      </c>
      <c r="CS47" s="562" t="s">
        <v>601</v>
      </c>
      <c r="CT47" s="572" t="s">
        <v>601</v>
      </c>
      <c r="CU47" s="572" t="s">
        <v>601</v>
      </c>
      <c r="CV47" s="574" t="s">
        <v>601</v>
      </c>
      <c r="CW47" s="574" t="s">
        <v>601</v>
      </c>
      <c r="CX47" s="574" t="s">
        <v>601</v>
      </c>
      <c r="CY47" s="574" t="s">
        <v>601</v>
      </c>
      <c r="CZ47" s="575" t="s">
        <v>601</v>
      </c>
      <c r="DA47" s="575" t="s">
        <v>601</v>
      </c>
      <c r="DB47" s="575" t="s">
        <v>601</v>
      </c>
      <c r="DC47" s="566" t="s">
        <v>601</v>
      </c>
      <c r="DD47" s="575" t="s">
        <v>601</v>
      </c>
      <c r="DE47" s="575" t="s">
        <v>601</v>
      </c>
      <c r="DF47" s="575" t="s">
        <v>601</v>
      </c>
      <c r="DG47" s="562" t="s">
        <v>601</v>
      </c>
      <c r="DH47" s="574" t="s">
        <v>601</v>
      </c>
      <c r="DI47" s="574" t="s">
        <v>601</v>
      </c>
      <c r="DJ47" s="469">
        <v>1</v>
      </c>
      <c r="DK47" s="469" t="s">
        <v>623</v>
      </c>
      <c r="DL47" s="469" t="s">
        <v>601</v>
      </c>
      <c r="DM47" s="469" t="s">
        <v>601</v>
      </c>
      <c r="DN47" s="469" t="s">
        <v>604</v>
      </c>
      <c r="DO47" s="469" t="s">
        <v>604</v>
      </c>
      <c r="DP47" s="469" t="s">
        <v>604</v>
      </c>
      <c r="DQ47" s="469">
        <v>1</v>
      </c>
      <c r="DR47" s="576"/>
      <c r="DS47" s="606"/>
      <c r="DT47" s="606"/>
      <c r="DU47" s="562"/>
      <c r="DV47" s="606"/>
      <c r="DW47" s="606"/>
      <c r="DX47" s="607"/>
      <c r="DY47" s="611"/>
      <c r="DZ47" s="607"/>
      <c r="EA47" s="607"/>
      <c r="EB47" s="607"/>
      <c r="EC47" s="607"/>
      <c r="ED47" s="562"/>
      <c r="EE47" s="607"/>
      <c r="EF47" s="607"/>
      <c r="EG47" s="607"/>
      <c r="EH47" s="562"/>
      <c r="EI47" s="607"/>
      <c r="EJ47" s="607"/>
      <c r="EK47" s="608"/>
      <c r="EL47" s="608"/>
      <c r="EM47" s="608"/>
      <c r="EN47" s="608"/>
      <c r="EO47" s="608"/>
      <c r="EP47" s="608"/>
      <c r="EQ47" s="562"/>
      <c r="ER47" s="608"/>
      <c r="ES47" s="608"/>
      <c r="ET47" s="608"/>
      <c r="EU47" s="562"/>
      <c r="EV47" s="608"/>
      <c r="EW47" s="608"/>
      <c r="EX47" s="609"/>
      <c r="EY47" s="609"/>
      <c r="EZ47" s="609"/>
      <c r="FA47" s="609"/>
      <c r="FB47" s="609"/>
      <c r="FC47" s="609"/>
      <c r="FD47" s="562"/>
      <c r="FE47" s="609"/>
      <c r="FF47" s="609"/>
      <c r="FG47" s="609"/>
      <c r="FH47" s="562"/>
      <c r="FI47" s="609"/>
      <c r="FJ47" s="609"/>
      <c r="FK47" s="562"/>
      <c r="FL47" s="562"/>
      <c r="FM47" s="562"/>
      <c r="FN47" s="562"/>
      <c r="FO47" s="562"/>
      <c r="FP47" s="562"/>
      <c r="FQ47" s="562"/>
      <c r="FR47" s="562"/>
      <c r="FS47" s="562"/>
      <c r="FT47" s="562"/>
      <c r="FU47" s="562"/>
      <c r="FV47" s="562"/>
      <c r="FW47" s="562"/>
      <c r="FX47" s="610"/>
      <c r="FY47" s="611"/>
      <c r="FZ47" s="611"/>
      <c r="GA47" s="562"/>
      <c r="GB47" s="612"/>
      <c r="GC47" s="603"/>
      <c r="GD47" s="603"/>
      <c r="GE47" s="613"/>
      <c r="GF47" s="613"/>
      <c r="GG47" s="613"/>
      <c r="GH47" s="614"/>
      <c r="GI47" s="614"/>
      <c r="GJ47" s="615"/>
      <c r="GK47" s="615"/>
      <c r="GL47" s="615"/>
      <c r="GM47" s="615"/>
      <c r="GN47" s="615"/>
      <c r="GO47" s="615"/>
      <c r="GP47" s="615"/>
      <c r="GQ47" s="615"/>
      <c r="GR47" s="615"/>
      <c r="GS47" s="615"/>
      <c r="GT47" s="615"/>
      <c r="GU47" s="609"/>
      <c r="GV47" s="609"/>
      <c r="GW47" s="609"/>
      <c r="GX47" s="609"/>
      <c r="GY47" s="609"/>
      <c r="GZ47" s="609"/>
      <c r="HA47" s="609"/>
      <c r="HB47" s="609"/>
      <c r="HC47" s="609"/>
      <c r="HD47" s="609"/>
      <c r="HE47" s="609"/>
      <c r="HF47" s="616"/>
      <c r="HG47" s="616"/>
      <c r="HH47" s="616"/>
      <c r="HI47" s="616"/>
      <c r="HJ47" s="616"/>
      <c r="HK47" s="616"/>
      <c r="HL47" s="616"/>
      <c r="HM47" s="616"/>
      <c r="HN47" s="616"/>
      <c r="HO47" s="616"/>
      <c r="HP47" s="616"/>
      <c r="HQ47" s="617"/>
      <c r="HR47" s="617"/>
      <c r="HS47" s="617"/>
      <c r="HT47" s="617"/>
      <c r="HU47" s="617"/>
      <c r="HV47" s="617"/>
    </row>
    <row r="48" ht="47.25">
      <c r="A48" s="559">
        <v>47</v>
      </c>
      <c r="B48" s="602">
        <v>38</v>
      </c>
      <c r="C48" s="469"/>
      <c r="D48" s="469" t="s">
        <v>990</v>
      </c>
      <c r="E48" s="560" t="s">
        <v>576</v>
      </c>
      <c r="F48" s="564" t="s">
        <v>576</v>
      </c>
      <c r="G48" s="561" t="s">
        <v>991</v>
      </c>
      <c r="H48" s="562" t="s">
        <v>26</v>
      </c>
      <c r="I48" s="562" t="s">
        <v>992</v>
      </c>
      <c r="J48" s="562" t="s">
        <v>993</v>
      </c>
      <c r="K48" s="469" t="s">
        <v>994</v>
      </c>
      <c r="L48" s="563">
        <v>42636</v>
      </c>
      <c r="M48" s="563">
        <v>42632</v>
      </c>
      <c r="N48" s="603" t="s">
        <v>995</v>
      </c>
      <c r="O48" s="604" t="s">
        <v>996</v>
      </c>
      <c r="P48" s="605" t="s">
        <v>583</v>
      </c>
      <c r="Q48" s="603" t="s">
        <v>364</v>
      </c>
      <c r="R48" s="605" t="s">
        <v>584</v>
      </c>
      <c r="S48" s="605" t="s">
        <v>585</v>
      </c>
      <c r="T48" s="234" t="s">
        <v>584</v>
      </c>
      <c r="U48" s="234" t="s">
        <v>585</v>
      </c>
      <c r="V48" s="562">
        <v>1</v>
      </c>
      <c r="W48" s="562" t="s">
        <v>0</v>
      </c>
      <c r="X48" s="564" t="s">
        <v>576</v>
      </c>
      <c r="Y48" s="564" t="s">
        <v>997</v>
      </c>
      <c r="Z48" s="564" t="s">
        <v>587</v>
      </c>
      <c r="AA48" s="564">
        <v>3</v>
      </c>
      <c r="AB48" s="565" t="s">
        <v>596</v>
      </c>
      <c r="AC48" s="565" t="s">
        <v>596</v>
      </c>
      <c r="AD48" s="565" t="s">
        <v>596</v>
      </c>
      <c r="AE48" s="565"/>
      <c r="AF48" s="566" t="s">
        <v>597</v>
      </c>
      <c r="AG48" s="565" t="s">
        <v>598</v>
      </c>
      <c r="AH48" s="565" t="s">
        <v>598</v>
      </c>
      <c r="AI48" s="565" t="s">
        <v>598</v>
      </c>
      <c r="AJ48" s="565"/>
      <c r="AK48" s="562" t="s">
        <v>599</v>
      </c>
      <c r="AL48" s="564">
        <v>2100</v>
      </c>
      <c r="AM48" s="564" t="s">
        <v>613</v>
      </c>
      <c r="AN48" s="567"/>
      <c r="AO48" s="567"/>
      <c r="AP48" s="567"/>
      <c r="AQ48" s="567"/>
      <c r="AR48" s="568"/>
      <c r="AS48" s="568"/>
      <c r="AT48" s="568"/>
      <c r="AU48" s="568"/>
      <c r="AV48" s="663" t="s">
        <v>601</v>
      </c>
      <c r="AW48" s="568"/>
      <c r="AX48" s="568"/>
      <c r="AY48" s="568"/>
      <c r="AZ48" s="568"/>
      <c r="BA48" s="663" t="s">
        <v>601</v>
      </c>
      <c r="BB48" s="567"/>
      <c r="BC48" s="567"/>
      <c r="BD48" s="569"/>
      <c r="BE48" s="569"/>
      <c r="BF48" s="569"/>
      <c r="BG48" s="569"/>
      <c r="BH48" s="569"/>
      <c r="BI48" s="569"/>
      <c r="BJ48" s="569"/>
      <c r="BK48" s="569"/>
      <c r="BL48" s="566" t="s">
        <v>601</v>
      </c>
      <c r="BM48" s="569"/>
      <c r="BN48" s="569"/>
      <c r="BO48" s="569"/>
      <c r="BP48" s="569"/>
      <c r="BQ48" s="562" t="s">
        <v>601</v>
      </c>
      <c r="BR48" s="569"/>
      <c r="BS48" s="569"/>
      <c r="BT48" s="570" t="s">
        <v>601</v>
      </c>
      <c r="BU48" s="570" t="s">
        <v>601</v>
      </c>
      <c r="BV48" s="570" t="s">
        <v>601</v>
      </c>
      <c r="BW48" s="570" t="s">
        <v>601</v>
      </c>
      <c r="BX48" s="571" t="s">
        <v>601</v>
      </c>
      <c r="BY48" s="571" t="s">
        <v>601</v>
      </c>
      <c r="BZ48" s="571" t="s">
        <v>601</v>
      </c>
      <c r="CA48" s="566" t="s">
        <v>601</v>
      </c>
      <c r="CB48" s="571" t="s">
        <v>601</v>
      </c>
      <c r="CC48" s="571" t="s">
        <v>601</v>
      </c>
      <c r="CD48" s="571" t="s">
        <v>601</v>
      </c>
      <c r="CE48" s="562" t="s">
        <v>601</v>
      </c>
      <c r="CF48" s="570" t="s">
        <v>601</v>
      </c>
      <c r="CG48" s="570" t="s">
        <v>601</v>
      </c>
      <c r="CH48" s="572" t="s">
        <v>601</v>
      </c>
      <c r="CI48" s="572" t="s">
        <v>601</v>
      </c>
      <c r="CJ48" s="572" t="s">
        <v>601</v>
      </c>
      <c r="CK48" s="572" t="s">
        <v>601</v>
      </c>
      <c r="CL48" s="573" t="s">
        <v>601</v>
      </c>
      <c r="CM48" s="573" t="s">
        <v>601</v>
      </c>
      <c r="CN48" s="573" t="s">
        <v>601</v>
      </c>
      <c r="CO48" s="566" t="s">
        <v>601</v>
      </c>
      <c r="CP48" s="573" t="s">
        <v>601</v>
      </c>
      <c r="CQ48" s="573" t="s">
        <v>601</v>
      </c>
      <c r="CR48" s="573" t="s">
        <v>601</v>
      </c>
      <c r="CS48" s="562" t="s">
        <v>601</v>
      </c>
      <c r="CT48" s="572" t="s">
        <v>601</v>
      </c>
      <c r="CU48" s="572" t="s">
        <v>601</v>
      </c>
      <c r="CV48" s="574" t="s">
        <v>601</v>
      </c>
      <c r="CW48" s="574" t="s">
        <v>601</v>
      </c>
      <c r="CX48" s="574" t="s">
        <v>601</v>
      </c>
      <c r="CY48" s="574" t="s">
        <v>601</v>
      </c>
      <c r="CZ48" s="575" t="s">
        <v>601</v>
      </c>
      <c r="DA48" s="575" t="s">
        <v>601</v>
      </c>
      <c r="DB48" s="575" t="s">
        <v>601</v>
      </c>
      <c r="DC48" s="566" t="s">
        <v>601</v>
      </c>
      <c r="DD48" s="575" t="s">
        <v>601</v>
      </c>
      <c r="DE48" s="575" t="s">
        <v>601</v>
      </c>
      <c r="DF48" s="575" t="s">
        <v>601</v>
      </c>
      <c r="DG48" s="562" t="s">
        <v>601</v>
      </c>
      <c r="DH48" s="574" t="s">
        <v>601</v>
      </c>
      <c r="DI48" s="574" t="s">
        <v>601</v>
      </c>
      <c r="DJ48" s="469">
        <v>1</v>
      </c>
      <c r="DK48" s="469" t="s">
        <v>623</v>
      </c>
      <c r="DL48" s="469" t="s">
        <v>601</v>
      </c>
      <c r="DM48" s="469" t="s">
        <v>601</v>
      </c>
      <c r="DN48" s="469" t="s">
        <v>604</v>
      </c>
      <c r="DO48" s="469" t="s">
        <v>604</v>
      </c>
      <c r="DP48" s="469" t="s">
        <v>604</v>
      </c>
      <c r="DQ48" s="469">
        <v>1</v>
      </c>
      <c r="DR48" s="576"/>
      <c r="DS48" s="606"/>
      <c r="DT48" s="606"/>
      <c r="DU48" s="562"/>
      <c r="DV48" s="606"/>
      <c r="DW48" s="606"/>
      <c r="DX48" s="607"/>
      <c r="DY48" s="611"/>
      <c r="DZ48" s="607"/>
      <c r="EA48" s="607"/>
      <c r="EB48" s="607"/>
      <c r="EC48" s="607"/>
      <c r="ED48" s="562"/>
      <c r="EE48" s="607"/>
      <c r="EF48" s="607"/>
      <c r="EG48" s="607"/>
      <c r="EH48" s="562"/>
      <c r="EI48" s="607"/>
      <c r="EJ48" s="607"/>
      <c r="EK48" s="608"/>
      <c r="EL48" s="608"/>
      <c r="EM48" s="608"/>
      <c r="EN48" s="608"/>
      <c r="EO48" s="608"/>
      <c r="EP48" s="608"/>
      <c r="EQ48" s="562"/>
      <c r="ER48" s="608"/>
      <c r="ES48" s="608"/>
      <c r="ET48" s="608"/>
      <c r="EU48" s="562"/>
      <c r="EV48" s="608"/>
      <c r="EW48" s="608"/>
      <c r="EX48" s="609"/>
      <c r="EY48" s="609"/>
      <c r="EZ48" s="609"/>
      <c r="FA48" s="609"/>
      <c r="FB48" s="609"/>
      <c r="FC48" s="609"/>
      <c r="FD48" s="562"/>
      <c r="FE48" s="609"/>
      <c r="FF48" s="609"/>
      <c r="FG48" s="609"/>
      <c r="FH48" s="562"/>
      <c r="FI48" s="609"/>
      <c r="FJ48" s="609"/>
      <c r="FK48" s="562"/>
      <c r="FL48" s="562"/>
      <c r="FM48" s="562"/>
      <c r="FN48" s="562"/>
      <c r="FO48" s="562"/>
      <c r="FP48" s="562"/>
      <c r="FQ48" s="562"/>
      <c r="FR48" s="562"/>
      <c r="FS48" s="562"/>
      <c r="FT48" s="562"/>
      <c r="FU48" s="562"/>
      <c r="FV48" s="562"/>
      <c r="FW48" s="562"/>
      <c r="FX48" s="610"/>
      <c r="FY48" s="611"/>
      <c r="FZ48" s="611"/>
      <c r="GA48" s="562"/>
      <c r="GB48" s="612"/>
      <c r="GC48" s="603"/>
      <c r="GD48" s="603"/>
      <c r="GE48" s="613"/>
      <c r="GF48" s="613"/>
      <c r="GG48" s="613"/>
      <c r="GH48" s="614"/>
      <c r="GI48" s="614"/>
      <c r="GJ48" s="615"/>
      <c r="GK48" s="615"/>
      <c r="GL48" s="615"/>
      <c r="GM48" s="615"/>
      <c r="GN48" s="615"/>
      <c r="GO48" s="615"/>
      <c r="GP48" s="615"/>
      <c r="GQ48" s="615"/>
      <c r="GR48" s="615"/>
      <c r="GS48" s="615"/>
      <c r="GT48" s="615"/>
      <c r="GU48" s="609"/>
      <c r="GV48" s="609"/>
      <c r="GW48" s="609"/>
      <c r="GX48" s="609"/>
      <c r="GY48" s="609"/>
      <c r="GZ48" s="609"/>
      <c r="HA48" s="609"/>
      <c r="HB48" s="609"/>
      <c r="HC48" s="609"/>
      <c r="HD48" s="609"/>
      <c r="HE48" s="609"/>
      <c r="HF48" s="616"/>
      <c r="HG48" s="616"/>
      <c r="HH48" s="616"/>
      <c r="HI48" s="616"/>
      <c r="HJ48" s="616"/>
      <c r="HK48" s="616"/>
      <c r="HL48" s="616"/>
      <c r="HM48" s="616"/>
      <c r="HN48" s="616"/>
      <c r="HO48" s="616"/>
      <c r="HP48" s="616"/>
      <c r="HQ48" s="617"/>
      <c r="HR48" s="617"/>
      <c r="HS48" s="617"/>
      <c r="HT48" s="617"/>
      <c r="HU48" s="617"/>
      <c r="HV48" s="617"/>
    </row>
    <row r="49" ht="47.25">
      <c r="A49" s="559">
        <v>48</v>
      </c>
      <c r="B49" s="602">
        <v>38</v>
      </c>
      <c r="C49" s="469"/>
      <c r="D49" s="469" t="s">
        <v>998</v>
      </c>
      <c r="E49" s="560" t="s">
        <v>576</v>
      </c>
      <c r="F49" s="564" t="s">
        <v>576</v>
      </c>
      <c r="G49" s="561" t="s">
        <v>999</v>
      </c>
      <c r="H49" s="562" t="s">
        <v>26</v>
      </c>
      <c r="I49" s="562" t="s">
        <v>1000</v>
      </c>
      <c r="J49" s="562" t="s">
        <v>1001</v>
      </c>
      <c r="K49" s="469" t="s">
        <v>1002</v>
      </c>
      <c r="L49" s="563">
        <v>42636</v>
      </c>
      <c r="M49" s="563">
        <v>42633</v>
      </c>
      <c r="N49" s="603" t="s">
        <v>1003</v>
      </c>
      <c r="O49" s="604" t="s">
        <v>1004</v>
      </c>
      <c r="P49" s="605" t="s">
        <v>583</v>
      </c>
      <c r="Q49" s="603" t="s">
        <v>364</v>
      </c>
      <c r="R49" s="605" t="s">
        <v>584</v>
      </c>
      <c r="S49" s="605" t="s">
        <v>585</v>
      </c>
      <c r="T49" s="234" t="s">
        <v>584</v>
      </c>
      <c r="U49" s="234" t="s">
        <v>585</v>
      </c>
      <c r="V49" s="562">
        <v>1</v>
      </c>
      <c r="W49" s="562" t="s">
        <v>0</v>
      </c>
      <c r="X49" s="564" t="s">
        <v>576</v>
      </c>
      <c r="Y49" s="564" t="s">
        <v>1005</v>
      </c>
      <c r="Z49" s="564" t="s">
        <v>587</v>
      </c>
      <c r="AA49" s="564">
        <v>3</v>
      </c>
      <c r="AB49" s="565" t="s">
        <v>596</v>
      </c>
      <c r="AC49" s="565" t="s">
        <v>596</v>
      </c>
      <c r="AD49" s="565" t="s">
        <v>596</v>
      </c>
      <c r="AE49" s="565"/>
      <c r="AF49" s="566" t="s">
        <v>597</v>
      </c>
      <c r="AG49" s="565" t="s">
        <v>598</v>
      </c>
      <c r="AH49" s="565" t="s">
        <v>598</v>
      </c>
      <c r="AI49" s="565" t="s">
        <v>598</v>
      </c>
      <c r="AJ49" s="565"/>
      <c r="AK49" s="562" t="s">
        <v>599</v>
      </c>
      <c r="AL49" s="564">
        <v>2100</v>
      </c>
      <c r="AM49" s="564" t="s">
        <v>658</v>
      </c>
      <c r="AN49" s="567"/>
      <c r="AO49" s="567"/>
      <c r="AP49" s="567"/>
      <c r="AQ49" s="567"/>
      <c r="AR49" s="568"/>
      <c r="AS49" s="568"/>
      <c r="AT49" s="568"/>
      <c r="AU49" s="568"/>
      <c r="AV49" s="663" t="s">
        <v>601</v>
      </c>
      <c r="AW49" s="568"/>
      <c r="AX49" s="568"/>
      <c r="AY49" s="568"/>
      <c r="AZ49" s="568"/>
      <c r="BA49" s="663" t="s">
        <v>601</v>
      </c>
      <c r="BB49" s="567"/>
      <c r="BC49" s="567"/>
      <c r="BD49" s="569"/>
      <c r="BE49" s="569"/>
      <c r="BF49" s="569"/>
      <c r="BG49" s="569"/>
      <c r="BH49" s="569"/>
      <c r="BI49" s="569"/>
      <c r="BJ49" s="569"/>
      <c r="BK49" s="569"/>
      <c r="BL49" s="566" t="s">
        <v>601</v>
      </c>
      <c r="BM49" s="569"/>
      <c r="BN49" s="569"/>
      <c r="BO49" s="569"/>
      <c r="BP49" s="569"/>
      <c r="BQ49" s="562" t="s">
        <v>601</v>
      </c>
      <c r="BR49" s="569"/>
      <c r="BS49" s="569"/>
      <c r="BT49" s="570" t="s">
        <v>601</v>
      </c>
      <c r="BU49" s="570" t="s">
        <v>601</v>
      </c>
      <c r="BV49" s="570" t="s">
        <v>601</v>
      </c>
      <c r="BW49" s="570" t="s">
        <v>601</v>
      </c>
      <c r="BX49" s="571" t="s">
        <v>601</v>
      </c>
      <c r="BY49" s="571" t="s">
        <v>601</v>
      </c>
      <c r="BZ49" s="571" t="s">
        <v>601</v>
      </c>
      <c r="CA49" s="566" t="s">
        <v>601</v>
      </c>
      <c r="CB49" s="571" t="s">
        <v>601</v>
      </c>
      <c r="CC49" s="571" t="s">
        <v>601</v>
      </c>
      <c r="CD49" s="571" t="s">
        <v>601</v>
      </c>
      <c r="CE49" s="562" t="s">
        <v>601</v>
      </c>
      <c r="CF49" s="570" t="s">
        <v>601</v>
      </c>
      <c r="CG49" s="570" t="s">
        <v>601</v>
      </c>
      <c r="CH49" s="572" t="s">
        <v>601</v>
      </c>
      <c r="CI49" s="572" t="s">
        <v>601</v>
      </c>
      <c r="CJ49" s="572" t="s">
        <v>601</v>
      </c>
      <c r="CK49" s="572" t="s">
        <v>601</v>
      </c>
      <c r="CL49" s="573" t="s">
        <v>601</v>
      </c>
      <c r="CM49" s="573" t="s">
        <v>601</v>
      </c>
      <c r="CN49" s="573" t="s">
        <v>601</v>
      </c>
      <c r="CO49" s="566" t="s">
        <v>601</v>
      </c>
      <c r="CP49" s="573" t="s">
        <v>601</v>
      </c>
      <c r="CQ49" s="573" t="s">
        <v>601</v>
      </c>
      <c r="CR49" s="573" t="s">
        <v>601</v>
      </c>
      <c r="CS49" s="562" t="s">
        <v>601</v>
      </c>
      <c r="CT49" s="572" t="s">
        <v>601</v>
      </c>
      <c r="CU49" s="572" t="s">
        <v>601</v>
      </c>
      <c r="CV49" s="574" t="s">
        <v>601</v>
      </c>
      <c r="CW49" s="574" t="s">
        <v>601</v>
      </c>
      <c r="CX49" s="574" t="s">
        <v>601</v>
      </c>
      <c r="CY49" s="574" t="s">
        <v>601</v>
      </c>
      <c r="CZ49" s="575" t="s">
        <v>601</v>
      </c>
      <c r="DA49" s="575" t="s">
        <v>601</v>
      </c>
      <c r="DB49" s="575" t="s">
        <v>601</v>
      </c>
      <c r="DC49" s="566" t="s">
        <v>601</v>
      </c>
      <c r="DD49" s="575" t="s">
        <v>601</v>
      </c>
      <c r="DE49" s="575" t="s">
        <v>601</v>
      </c>
      <c r="DF49" s="575" t="s">
        <v>601</v>
      </c>
      <c r="DG49" s="562" t="s">
        <v>601</v>
      </c>
      <c r="DH49" s="574" t="s">
        <v>601</v>
      </c>
      <c r="DI49" s="574" t="s">
        <v>601</v>
      </c>
      <c r="DJ49" s="469">
        <v>1</v>
      </c>
      <c r="DK49" s="469" t="s">
        <v>623</v>
      </c>
      <c r="DL49" s="469" t="s">
        <v>601</v>
      </c>
      <c r="DM49" s="469" t="s">
        <v>601</v>
      </c>
      <c r="DN49" s="469" t="s">
        <v>604</v>
      </c>
      <c r="DO49" s="469" t="s">
        <v>604</v>
      </c>
      <c r="DP49" s="469" t="s">
        <v>604</v>
      </c>
      <c r="DQ49" s="469">
        <v>1</v>
      </c>
      <c r="DR49" s="576"/>
      <c r="DS49" s="606"/>
      <c r="DT49" s="606"/>
      <c r="DU49" s="562"/>
      <c r="DV49" s="606"/>
      <c r="DW49" s="606"/>
      <c r="DX49" s="607"/>
      <c r="DY49" s="611"/>
      <c r="DZ49" s="607"/>
      <c r="EA49" s="607"/>
      <c r="EB49" s="607"/>
      <c r="EC49" s="607"/>
      <c r="ED49" s="562"/>
      <c r="EE49" s="607"/>
      <c r="EF49" s="607"/>
      <c r="EG49" s="607"/>
      <c r="EH49" s="562"/>
      <c r="EI49" s="607"/>
      <c r="EJ49" s="607"/>
      <c r="EK49" s="608"/>
      <c r="EL49" s="608"/>
      <c r="EM49" s="608"/>
      <c r="EN49" s="608"/>
      <c r="EO49" s="608"/>
      <c r="EP49" s="608"/>
      <c r="EQ49" s="562"/>
      <c r="ER49" s="608"/>
      <c r="ES49" s="608"/>
      <c r="ET49" s="608"/>
      <c r="EU49" s="562"/>
      <c r="EV49" s="608"/>
      <c r="EW49" s="608"/>
      <c r="EX49" s="609"/>
      <c r="EY49" s="609"/>
      <c r="EZ49" s="609"/>
      <c r="FA49" s="609"/>
      <c r="FB49" s="609"/>
      <c r="FC49" s="609"/>
      <c r="FD49" s="562"/>
      <c r="FE49" s="609"/>
      <c r="FF49" s="609"/>
      <c r="FG49" s="609"/>
      <c r="FH49" s="562"/>
      <c r="FI49" s="609"/>
      <c r="FJ49" s="609"/>
      <c r="FK49" s="562"/>
      <c r="FL49" s="562"/>
      <c r="FM49" s="562"/>
      <c r="FN49" s="562"/>
      <c r="FO49" s="562"/>
      <c r="FP49" s="562"/>
      <c r="FQ49" s="562"/>
      <c r="FR49" s="562"/>
      <c r="FS49" s="562"/>
      <c r="FT49" s="562"/>
      <c r="FU49" s="562"/>
      <c r="FV49" s="562"/>
      <c r="FW49" s="562"/>
      <c r="FX49" s="610"/>
      <c r="FY49" s="611"/>
      <c r="FZ49" s="611"/>
      <c r="GA49" s="562"/>
      <c r="GB49" s="612"/>
      <c r="GC49" s="603"/>
      <c r="GD49" s="603"/>
      <c r="GE49" s="613"/>
      <c r="GF49" s="613"/>
      <c r="GG49" s="613"/>
      <c r="GH49" s="614"/>
      <c r="GI49" s="614"/>
      <c r="GJ49" s="615"/>
      <c r="GK49" s="615"/>
      <c r="GL49" s="615"/>
      <c r="GM49" s="615"/>
      <c r="GN49" s="615"/>
      <c r="GO49" s="615"/>
      <c r="GP49" s="615"/>
      <c r="GQ49" s="615"/>
      <c r="GR49" s="615"/>
      <c r="GS49" s="615"/>
      <c r="GT49" s="615"/>
      <c r="GU49" s="609"/>
      <c r="GV49" s="609"/>
      <c r="GW49" s="609"/>
      <c r="GX49" s="609"/>
      <c r="GY49" s="609"/>
      <c r="GZ49" s="609"/>
      <c r="HA49" s="609"/>
      <c r="HB49" s="609"/>
      <c r="HC49" s="609"/>
      <c r="HD49" s="609"/>
      <c r="HE49" s="609"/>
      <c r="HF49" s="616"/>
      <c r="HG49" s="616"/>
      <c r="HH49" s="616"/>
      <c r="HI49" s="616"/>
      <c r="HJ49" s="616"/>
      <c r="HK49" s="616"/>
      <c r="HL49" s="616"/>
      <c r="HM49" s="616"/>
      <c r="HN49" s="616"/>
      <c r="HO49" s="616"/>
      <c r="HP49" s="616"/>
      <c r="HQ49" s="617"/>
      <c r="HR49" s="617"/>
      <c r="HS49" s="617"/>
      <c r="HT49" s="617"/>
      <c r="HU49" s="617"/>
      <c r="HV49" s="617"/>
    </row>
    <row r="50" ht="47.25">
      <c r="A50" s="559">
        <v>49</v>
      </c>
      <c r="B50" s="602">
        <v>38</v>
      </c>
      <c r="C50" s="469"/>
      <c r="D50" s="469" t="s">
        <v>1006</v>
      </c>
      <c r="E50" s="560" t="s">
        <v>576</v>
      </c>
      <c r="F50" s="564" t="s">
        <v>576</v>
      </c>
      <c r="G50" s="561" t="s">
        <v>1007</v>
      </c>
      <c r="H50" s="562" t="s">
        <v>26</v>
      </c>
      <c r="I50" s="562" t="s">
        <v>1008</v>
      </c>
      <c r="J50" s="562" t="s">
        <v>1009</v>
      </c>
      <c r="K50" s="469" t="s">
        <v>1010</v>
      </c>
      <c r="L50" s="563">
        <v>42636</v>
      </c>
      <c r="M50" s="563">
        <v>42633</v>
      </c>
      <c r="N50" s="603" t="s">
        <v>1011</v>
      </c>
      <c r="O50" s="604" t="s">
        <v>1012</v>
      </c>
      <c r="P50" s="605" t="s">
        <v>583</v>
      </c>
      <c r="Q50" s="603" t="s">
        <v>364</v>
      </c>
      <c r="R50" s="605" t="s">
        <v>584</v>
      </c>
      <c r="S50" s="605" t="s">
        <v>585</v>
      </c>
      <c r="T50" s="234" t="s">
        <v>584</v>
      </c>
      <c r="U50" s="234" t="s">
        <v>585</v>
      </c>
      <c r="V50" s="562">
        <v>1</v>
      </c>
      <c r="W50" s="562" t="s">
        <v>0</v>
      </c>
      <c r="X50" s="564" t="s">
        <v>576</v>
      </c>
      <c r="Y50" s="564" t="s">
        <v>1013</v>
      </c>
      <c r="Z50" s="564" t="s">
        <v>587</v>
      </c>
      <c r="AA50" s="564">
        <v>2</v>
      </c>
      <c r="AB50" s="565" t="s">
        <v>596</v>
      </c>
      <c r="AC50" s="565" t="s">
        <v>596</v>
      </c>
      <c r="AD50" s="565" t="s">
        <v>601</v>
      </c>
      <c r="AE50" s="565"/>
      <c r="AF50" s="566" t="s">
        <v>968</v>
      </c>
      <c r="AG50" s="565" t="s">
        <v>598</v>
      </c>
      <c r="AH50" s="565" t="s">
        <v>598</v>
      </c>
      <c r="AI50" s="565"/>
      <c r="AJ50" s="565"/>
      <c r="AK50" s="562" t="s">
        <v>969</v>
      </c>
      <c r="AL50" s="564">
        <v>2100</v>
      </c>
      <c r="AM50" s="564" t="s">
        <v>1014</v>
      </c>
      <c r="AN50" s="567"/>
      <c r="AO50" s="567"/>
      <c r="AP50" s="567"/>
      <c r="AQ50" s="567"/>
      <c r="AR50" s="568"/>
      <c r="AS50" s="568"/>
      <c r="AT50" s="568"/>
      <c r="AU50" s="568"/>
      <c r="AV50" s="663" t="s">
        <v>601</v>
      </c>
      <c r="AW50" s="568"/>
      <c r="AX50" s="568"/>
      <c r="AY50" s="568"/>
      <c r="AZ50" s="568"/>
      <c r="BA50" s="663" t="s">
        <v>601</v>
      </c>
      <c r="BB50" s="567"/>
      <c r="BC50" s="567"/>
      <c r="BD50" s="569"/>
      <c r="BE50" s="569"/>
      <c r="BF50" s="569"/>
      <c r="BG50" s="569"/>
      <c r="BH50" s="569"/>
      <c r="BI50" s="569"/>
      <c r="BJ50" s="569"/>
      <c r="BK50" s="569"/>
      <c r="BL50" s="566" t="s">
        <v>601</v>
      </c>
      <c r="BM50" s="569"/>
      <c r="BN50" s="569"/>
      <c r="BO50" s="569"/>
      <c r="BP50" s="569"/>
      <c r="BQ50" s="562" t="s">
        <v>601</v>
      </c>
      <c r="BR50" s="569"/>
      <c r="BS50" s="569"/>
      <c r="BT50" s="570" t="s">
        <v>601</v>
      </c>
      <c r="BU50" s="570" t="s">
        <v>601</v>
      </c>
      <c r="BV50" s="570" t="s">
        <v>601</v>
      </c>
      <c r="BW50" s="570" t="s">
        <v>601</v>
      </c>
      <c r="BX50" s="571" t="s">
        <v>601</v>
      </c>
      <c r="BY50" s="571" t="s">
        <v>601</v>
      </c>
      <c r="BZ50" s="571" t="s">
        <v>601</v>
      </c>
      <c r="CA50" s="566" t="s">
        <v>601</v>
      </c>
      <c r="CB50" s="571" t="s">
        <v>601</v>
      </c>
      <c r="CC50" s="571" t="s">
        <v>601</v>
      </c>
      <c r="CD50" s="571" t="s">
        <v>601</v>
      </c>
      <c r="CE50" s="562" t="s">
        <v>601</v>
      </c>
      <c r="CF50" s="570" t="s">
        <v>601</v>
      </c>
      <c r="CG50" s="570" t="s">
        <v>601</v>
      </c>
      <c r="CH50" s="572" t="s">
        <v>601</v>
      </c>
      <c r="CI50" s="572" t="s">
        <v>601</v>
      </c>
      <c r="CJ50" s="572" t="s">
        <v>601</v>
      </c>
      <c r="CK50" s="572" t="s">
        <v>601</v>
      </c>
      <c r="CL50" s="573" t="s">
        <v>601</v>
      </c>
      <c r="CM50" s="573" t="s">
        <v>601</v>
      </c>
      <c r="CN50" s="573" t="s">
        <v>601</v>
      </c>
      <c r="CO50" s="566" t="s">
        <v>601</v>
      </c>
      <c r="CP50" s="573" t="s">
        <v>601</v>
      </c>
      <c r="CQ50" s="573" t="s">
        <v>601</v>
      </c>
      <c r="CR50" s="573" t="s">
        <v>601</v>
      </c>
      <c r="CS50" s="562" t="s">
        <v>601</v>
      </c>
      <c r="CT50" s="572" t="s">
        <v>601</v>
      </c>
      <c r="CU50" s="572" t="s">
        <v>601</v>
      </c>
      <c r="CV50" s="574" t="s">
        <v>601</v>
      </c>
      <c r="CW50" s="574" t="s">
        <v>601</v>
      </c>
      <c r="CX50" s="574" t="s">
        <v>601</v>
      </c>
      <c r="CY50" s="574" t="s">
        <v>601</v>
      </c>
      <c r="CZ50" s="575" t="s">
        <v>601</v>
      </c>
      <c r="DA50" s="575" t="s">
        <v>601</v>
      </c>
      <c r="DB50" s="575" t="s">
        <v>601</v>
      </c>
      <c r="DC50" s="566" t="s">
        <v>601</v>
      </c>
      <c r="DD50" s="575" t="s">
        <v>601</v>
      </c>
      <c r="DE50" s="575" t="s">
        <v>601</v>
      </c>
      <c r="DF50" s="575" t="s">
        <v>601</v>
      </c>
      <c r="DG50" s="562" t="s">
        <v>601</v>
      </c>
      <c r="DH50" s="574" t="s">
        <v>601</v>
      </c>
      <c r="DI50" s="574" t="s">
        <v>601</v>
      </c>
      <c r="DJ50" s="469">
        <v>1</v>
      </c>
      <c r="DK50" s="469" t="s">
        <v>623</v>
      </c>
      <c r="DL50" s="469" t="s">
        <v>601</v>
      </c>
      <c r="DM50" s="469" t="s">
        <v>601</v>
      </c>
      <c r="DN50" s="469" t="s">
        <v>604</v>
      </c>
      <c r="DO50" s="469" t="s">
        <v>604</v>
      </c>
      <c r="DP50" s="469" t="s">
        <v>604</v>
      </c>
      <c r="DQ50" s="469">
        <v>1</v>
      </c>
      <c r="DR50" s="576"/>
      <c r="DS50" s="606"/>
      <c r="DT50" s="606"/>
      <c r="DU50" s="562"/>
      <c r="DV50" s="606"/>
      <c r="DW50" s="606"/>
      <c r="DX50" s="607"/>
      <c r="DY50" s="611"/>
      <c r="DZ50" s="607"/>
      <c r="EA50" s="607"/>
      <c r="EB50" s="607"/>
      <c r="EC50" s="607"/>
      <c r="ED50" s="562"/>
      <c r="EE50" s="607"/>
      <c r="EF50" s="607"/>
      <c r="EG50" s="607"/>
      <c r="EH50" s="562"/>
      <c r="EI50" s="607"/>
      <c r="EJ50" s="607"/>
      <c r="EK50" s="608"/>
      <c r="EL50" s="608"/>
      <c r="EM50" s="608"/>
      <c r="EN50" s="608"/>
      <c r="EO50" s="608"/>
      <c r="EP50" s="608"/>
      <c r="EQ50" s="562"/>
      <c r="ER50" s="608"/>
      <c r="ES50" s="608"/>
      <c r="ET50" s="608"/>
      <c r="EU50" s="562"/>
      <c r="EV50" s="608"/>
      <c r="EW50" s="608"/>
      <c r="EX50" s="609"/>
      <c r="EY50" s="609"/>
      <c r="EZ50" s="609"/>
      <c r="FA50" s="609"/>
      <c r="FB50" s="609"/>
      <c r="FC50" s="609"/>
      <c r="FD50" s="562"/>
      <c r="FE50" s="609"/>
      <c r="FF50" s="609"/>
      <c r="FG50" s="609"/>
      <c r="FH50" s="562"/>
      <c r="FI50" s="609"/>
      <c r="FJ50" s="609"/>
      <c r="FK50" s="562"/>
      <c r="FL50" s="562"/>
      <c r="FM50" s="562"/>
      <c r="FN50" s="562"/>
      <c r="FO50" s="562"/>
      <c r="FP50" s="562"/>
      <c r="FQ50" s="562"/>
      <c r="FR50" s="562"/>
      <c r="FS50" s="562"/>
      <c r="FT50" s="562"/>
      <c r="FU50" s="562"/>
      <c r="FV50" s="562"/>
      <c r="FW50" s="562"/>
      <c r="FX50" s="610"/>
      <c r="FY50" s="611"/>
      <c r="FZ50" s="611"/>
      <c r="GA50" s="562"/>
      <c r="GB50" s="612"/>
      <c r="GC50" s="603"/>
      <c r="GD50" s="603"/>
      <c r="GE50" s="613"/>
      <c r="GF50" s="613"/>
      <c r="GG50" s="613"/>
      <c r="GH50" s="614"/>
      <c r="GI50" s="614"/>
      <c r="GJ50" s="615"/>
      <c r="GK50" s="615"/>
      <c r="GL50" s="615"/>
      <c r="GM50" s="615"/>
      <c r="GN50" s="615"/>
      <c r="GO50" s="615"/>
      <c r="GP50" s="615"/>
      <c r="GQ50" s="615"/>
      <c r="GR50" s="615"/>
      <c r="GS50" s="615"/>
      <c r="GT50" s="615"/>
      <c r="GU50" s="609"/>
      <c r="GV50" s="609"/>
      <c r="GW50" s="609"/>
      <c r="GX50" s="609"/>
      <c r="GY50" s="609"/>
      <c r="GZ50" s="609"/>
      <c r="HA50" s="609"/>
      <c r="HB50" s="609"/>
      <c r="HC50" s="609"/>
      <c r="HD50" s="609"/>
      <c r="HE50" s="609"/>
      <c r="HF50" s="616"/>
      <c r="HG50" s="616"/>
      <c r="HH50" s="616"/>
      <c r="HI50" s="616"/>
      <c r="HJ50" s="616"/>
      <c r="HK50" s="616"/>
      <c r="HL50" s="616"/>
      <c r="HM50" s="616"/>
      <c r="HN50" s="616"/>
      <c r="HO50" s="616"/>
      <c r="HP50" s="616"/>
      <c r="HQ50" s="617"/>
      <c r="HR50" s="617"/>
      <c r="HS50" s="617"/>
      <c r="HT50" s="617"/>
      <c r="HU50" s="617"/>
      <c r="HV50" s="617"/>
    </row>
    <row r="51" ht="47.25">
      <c r="A51" s="559">
        <v>50</v>
      </c>
      <c r="B51" s="602">
        <v>38</v>
      </c>
      <c r="C51" s="469"/>
      <c r="D51" s="469" t="s">
        <v>1015</v>
      </c>
      <c r="E51" s="560" t="s">
        <v>576</v>
      </c>
      <c r="F51" s="564" t="s">
        <v>576</v>
      </c>
      <c r="G51" s="561" t="s">
        <v>1016</v>
      </c>
      <c r="H51" s="562" t="s">
        <v>26</v>
      </c>
      <c r="I51" s="562" t="s">
        <v>1017</v>
      </c>
      <c r="J51" s="562" t="s">
        <v>1018</v>
      </c>
      <c r="K51" s="469" t="s">
        <v>1019</v>
      </c>
      <c r="L51" s="563">
        <v>42636</v>
      </c>
      <c r="M51" s="563">
        <v>42633</v>
      </c>
      <c r="N51" s="603" t="s">
        <v>1020</v>
      </c>
      <c r="O51" s="604" t="s">
        <v>1021</v>
      </c>
      <c r="P51" s="605" t="s">
        <v>583</v>
      </c>
      <c r="Q51" s="603" t="s">
        <v>364</v>
      </c>
      <c r="R51" s="605" t="s">
        <v>584</v>
      </c>
      <c r="S51" s="605" t="s">
        <v>585</v>
      </c>
      <c r="T51" s="234" t="s">
        <v>584</v>
      </c>
      <c r="U51" s="234" t="s">
        <v>585</v>
      </c>
      <c r="V51" s="562">
        <v>1</v>
      </c>
      <c r="W51" s="562" t="s">
        <v>0</v>
      </c>
      <c r="X51" s="564" t="s">
        <v>576</v>
      </c>
      <c r="Y51" s="564" t="s">
        <v>1022</v>
      </c>
      <c r="Z51" s="564" t="s">
        <v>587</v>
      </c>
      <c r="AA51" s="564">
        <v>3</v>
      </c>
      <c r="AB51" s="565" t="s">
        <v>596</v>
      </c>
      <c r="AC51" s="565" t="s">
        <v>596</v>
      </c>
      <c r="AD51" s="565" t="s">
        <v>596</v>
      </c>
      <c r="AE51" s="565"/>
      <c r="AF51" s="566" t="s">
        <v>597</v>
      </c>
      <c r="AG51" s="565" t="s">
        <v>598</v>
      </c>
      <c r="AH51" s="565" t="s">
        <v>598</v>
      </c>
      <c r="AI51" s="565" t="s">
        <v>598</v>
      </c>
      <c r="AJ51" s="565"/>
      <c r="AK51" s="562" t="s">
        <v>599</v>
      </c>
      <c r="AL51" s="564">
        <v>2100</v>
      </c>
      <c r="AM51" s="564" t="s">
        <v>593</v>
      </c>
      <c r="AN51" s="567"/>
      <c r="AO51" s="567"/>
      <c r="AP51" s="567"/>
      <c r="AQ51" s="567"/>
      <c r="AR51" s="568"/>
      <c r="AS51" s="568"/>
      <c r="AT51" s="568"/>
      <c r="AU51" s="568"/>
      <c r="AV51" s="663" t="s">
        <v>601</v>
      </c>
      <c r="AW51" s="568"/>
      <c r="AX51" s="568"/>
      <c r="AY51" s="568"/>
      <c r="AZ51" s="568"/>
      <c r="BA51" s="663" t="s">
        <v>601</v>
      </c>
      <c r="BB51" s="567"/>
      <c r="BC51" s="567"/>
      <c r="BD51" s="569"/>
      <c r="BE51" s="569"/>
      <c r="BF51" s="569"/>
      <c r="BG51" s="569"/>
      <c r="BH51" s="569"/>
      <c r="BI51" s="569"/>
      <c r="BJ51" s="569"/>
      <c r="BK51" s="569"/>
      <c r="BL51" s="566" t="s">
        <v>601</v>
      </c>
      <c r="BM51" s="569"/>
      <c r="BN51" s="569"/>
      <c r="BO51" s="569"/>
      <c r="BP51" s="569"/>
      <c r="BQ51" s="562" t="s">
        <v>601</v>
      </c>
      <c r="BR51" s="569"/>
      <c r="BS51" s="569"/>
      <c r="BT51" s="570" t="s">
        <v>601</v>
      </c>
      <c r="BU51" s="570" t="s">
        <v>601</v>
      </c>
      <c r="BV51" s="570" t="s">
        <v>601</v>
      </c>
      <c r="BW51" s="570" t="s">
        <v>601</v>
      </c>
      <c r="BX51" s="571" t="s">
        <v>601</v>
      </c>
      <c r="BY51" s="571" t="s">
        <v>601</v>
      </c>
      <c r="BZ51" s="571" t="s">
        <v>601</v>
      </c>
      <c r="CA51" s="566" t="s">
        <v>601</v>
      </c>
      <c r="CB51" s="571" t="s">
        <v>601</v>
      </c>
      <c r="CC51" s="571" t="s">
        <v>601</v>
      </c>
      <c r="CD51" s="571" t="s">
        <v>601</v>
      </c>
      <c r="CE51" s="562" t="s">
        <v>601</v>
      </c>
      <c r="CF51" s="570" t="s">
        <v>601</v>
      </c>
      <c r="CG51" s="570" t="s">
        <v>601</v>
      </c>
      <c r="CH51" s="572" t="s">
        <v>601</v>
      </c>
      <c r="CI51" s="572" t="s">
        <v>601</v>
      </c>
      <c r="CJ51" s="572" t="s">
        <v>601</v>
      </c>
      <c r="CK51" s="572" t="s">
        <v>601</v>
      </c>
      <c r="CL51" s="573" t="s">
        <v>601</v>
      </c>
      <c r="CM51" s="573" t="s">
        <v>601</v>
      </c>
      <c r="CN51" s="573" t="s">
        <v>601</v>
      </c>
      <c r="CO51" s="566" t="s">
        <v>601</v>
      </c>
      <c r="CP51" s="573" t="s">
        <v>601</v>
      </c>
      <c r="CQ51" s="573" t="s">
        <v>601</v>
      </c>
      <c r="CR51" s="573" t="s">
        <v>601</v>
      </c>
      <c r="CS51" s="562" t="s">
        <v>601</v>
      </c>
      <c r="CT51" s="572" t="s">
        <v>601</v>
      </c>
      <c r="CU51" s="572" t="s">
        <v>601</v>
      </c>
      <c r="CV51" s="574" t="s">
        <v>601</v>
      </c>
      <c r="CW51" s="574" t="s">
        <v>601</v>
      </c>
      <c r="CX51" s="574" t="s">
        <v>601</v>
      </c>
      <c r="CY51" s="574" t="s">
        <v>601</v>
      </c>
      <c r="CZ51" s="575" t="s">
        <v>601</v>
      </c>
      <c r="DA51" s="575" t="s">
        <v>601</v>
      </c>
      <c r="DB51" s="575" t="s">
        <v>601</v>
      </c>
      <c r="DC51" s="566" t="s">
        <v>601</v>
      </c>
      <c r="DD51" s="575" t="s">
        <v>601</v>
      </c>
      <c r="DE51" s="575" t="s">
        <v>601</v>
      </c>
      <c r="DF51" s="575" t="s">
        <v>601</v>
      </c>
      <c r="DG51" s="562" t="s">
        <v>601</v>
      </c>
      <c r="DH51" s="574" t="s">
        <v>601</v>
      </c>
      <c r="DI51" s="574" t="s">
        <v>601</v>
      </c>
      <c r="DJ51" s="469">
        <v>1</v>
      </c>
      <c r="DK51" s="469" t="s">
        <v>623</v>
      </c>
      <c r="DL51" s="469" t="s">
        <v>601</v>
      </c>
      <c r="DM51" s="469" t="s">
        <v>601</v>
      </c>
      <c r="DN51" s="469" t="s">
        <v>604</v>
      </c>
      <c r="DO51" s="469" t="s">
        <v>604</v>
      </c>
      <c r="DP51" s="469" t="s">
        <v>604</v>
      </c>
      <c r="DQ51" s="469">
        <v>1</v>
      </c>
      <c r="DR51" s="576"/>
      <c r="DS51" s="606"/>
      <c r="DT51" s="606"/>
      <c r="DU51" s="562"/>
      <c r="DV51" s="606"/>
      <c r="DW51" s="606"/>
      <c r="DX51" s="607"/>
      <c r="DY51" s="611"/>
      <c r="DZ51" s="607"/>
      <c r="EA51" s="607"/>
      <c r="EB51" s="607"/>
      <c r="EC51" s="607"/>
      <c r="ED51" s="562"/>
      <c r="EE51" s="607"/>
      <c r="EF51" s="607"/>
      <c r="EG51" s="607"/>
      <c r="EH51" s="562"/>
      <c r="EI51" s="607"/>
      <c r="EJ51" s="607"/>
      <c r="EK51" s="608"/>
      <c r="EL51" s="608"/>
      <c r="EM51" s="608"/>
      <c r="EN51" s="608"/>
      <c r="EO51" s="608"/>
      <c r="EP51" s="608"/>
      <c r="EQ51" s="562"/>
      <c r="ER51" s="608"/>
      <c r="ES51" s="608"/>
      <c r="ET51" s="608"/>
      <c r="EU51" s="562"/>
      <c r="EV51" s="608"/>
      <c r="EW51" s="608"/>
      <c r="EX51" s="609"/>
      <c r="EY51" s="609"/>
      <c r="EZ51" s="609"/>
      <c r="FA51" s="609"/>
      <c r="FB51" s="609"/>
      <c r="FC51" s="609"/>
      <c r="FD51" s="562"/>
      <c r="FE51" s="609"/>
      <c r="FF51" s="609"/>
      <c r="FG51" s="609"/>
      <c r="FH51" s="562"/>
      <c r="FI51" s="609"/>
      <c r="FJ51" s="609"/>
      <c r="FK51" s="562"/>
      <c r="FL51" s="562"/>
      <c r="FM51" s="562"/>
      <c r="FN51" s="562"/>
      <c r="FO51" s="562"/>
      <c r="FP51" s="562"/>
      <c r="FQ51" s="562"/>
      <c r="FR51" s="562"/>
      <c r="FS51" s="562"/>
      <c r="FT51" s="562"/>
      <c r="FU51" s="562"/>
      <c r="FV51" s="562"/>
      <c r="FW51" s="562"/>
      <c r="FX51" s="610"/>
      <c r="FY51" s="611"/>
      <c r="FZ51" s="611"/>
      <c r="GA51" s="562"/>
      <c r="GB51" s="612"/>
      <c r="GC51" s="603"/>
      <c r="GD51" s="603"/>
      <c r="GE51" s="613"/>
      <c r="GF51" s="613"/>
      <c r="GG51" s="613"/>
      <c r="GH51" s="614"/>
      <c r="GI51" s="614"/>
      <c r="GJ51" s="615"/>
      <c r="GK51" s="615"/>
      <c r="GL51" s="615"/>
      <c r="GM51" s="615"/>
      <c r="GN51" s="615"/>
      <c r="GO51" s="615"/>
      <c r="GP51" s="615"/>
      <c r="GQ51" s="615"/>
      <c r="GR51" s="615"/>
      <c r="GS51" s="615"/>
      <c r="GT51" s="615"/>
      <c r="GU51" s="609"/>
      <c r="GV51" s="609"/>
      <c r="GW51" s="609"/>
      <c r="GX51" s="609"/>
      <c r="GY51" s="609"/>
      <c r="GZ51" s="609"/>
      <c r="HA51" s="609"/>
      <c r="HB51" s="609"/>
      <c r="HC51" s="609"/>
      <c r="HD51" s="609"/>
      <c r="HE51" s="609"/>
      <c r="HF51" s="616"/>
      <c r="HG51" s="616"/>
      <c r="HH51" s="616"/>
      <c r="HI51" s="616"/>
      <c r="HJ51" s="616"/>
      <c r="HK51" s="616"/>
      <c r="HL51" s="616"/>
      <c r="HM51" s="616"/>
      <c r="HN51" s="616"/>
      <c r="HO51" s="616"/>
      <c r="HP51" s="616"/>
      <c r="HQ51" s="617"/>
      <c r="HR51" s="617"/>
      <c r="HS51" s="617"/>
      <c r="HT51" s="617"/>
      <c r="HU51" s="617"/>
      <c r="HV51" s="617"/>
    </row>
    <row r="52" ht="47.25">
      <c r="A52" s="559">
        <v>51</v>
      </c>
      <c r="B52" s="602">
        <v>38</v>
      </c>
      <c r="C52" s="469"/>
      <c r="D52" s="469" t="s">
        <v>1023</v>
      </c>
      <c r="E52" s="560" t="s">
        <v>576</v>
      </c>
      <c r="F52" s="564" t="s">
        <v>576</v>
      </c>
      <c r="G52" s="561" t="s">
        <v>1024</v>
      </c>
      <c r="H52" s="562" t="s">
        <v>26</v>
      </c>
      <c r="I52" s="562" t="s">
        <v>1025</v>
      </c>
      <c r="J52" s="562" t="s">
        <v>1026</v>
      </c>
      <c r="K52" s="469" t="s">
        <v>1027</v>
      </c>
      <c r="L52" s="563">
        <v>42636</v>
      </c>
      <c r="M52" s="563">
        <v>42634</v>
      </c>
      <c r="N52" s="603" t="s">
        <v>1028</v>
      </c>
      <c r="O52" s="604" t="s">
        <v>1029</v>
      </c>
      <c r="P52" s="605" t="s">
        <v>583</v>
      </c>
      <c r="Q52" s="603" t="s">
        <v>364</v>
      </c>
      <c r="R52" s="605" t="s">
        <v>584</v>
      </c>
      <c r="S52" s="605" t="s">
        <v>585</v>
      </c>
      <c r="T52" s="234" t="s">
        <v>584</v>
      </c>
      <c r="U52" s="234" t="s">
        <v>585</v>
      </c>
      <c r="V52" s="562">
        <v>1</v>
      </c>
      <c r="W52" s="562" t="s">
        <v>0</v>
      </c>
      <c r="X52" s="564" t="s">
        <v>576</v>
      </c>
      <c r="Y52" s="564" t="s">
        <v>1030</v>
      </c>
      <c r="Z52" s="564" t="s">
        <v>587</v>
      </c>
      <c r="AA52" s="564">
        <v>3</v>
      </c>
      <c r="AB52" s="565" t="s">
        <v>596</v>
      </c>
      <c r="AC52" s="565" t="s">
        <v>596</v>
      </c>
      <c r="AD52" s="565" t="s">
        <v>596</v>
      </c>
      <c r="AE52" s="565"/>
      <c r="AF52" s="566" t="s">
        <v>597</v>
      </c>
      <c r="AG52" s="565" t="s">
        <v>598</v>
      </c>
      <c r="AH52" s="565" t="s">
        <v>598</v>
      </c>
      <c r="AI52" s="565" t="s">
        <v>598</v>
      </c>
      <c r="AJ52" s="565"/>
      <c r="AK52" s="562" t="s">
        <v>599</v>
      </c>
      <c r="AL52" s="564">
        <v>2100</v>
      </c>
      <c r="AM52" s="564" t="s">
        <v>593</v>
      </c>
      <c r="AN52" s="567"/>
      <c r="AO52" s="567"/>
      <c r="AP52" s="567"/>
      <c r="AQ52" s="567"/>
      <c r="AR52" s="568"/>
      <c r="AS52" s="568"/>
      <c r="AT52" s="568"/>
      <c r="AU52" s="568"/>
      <c r="AV52" s="663" t="s">
        <v>601</v>
      </c>
      <c r="AW52" s="568"/>
      <c r="AX52" s="568"/>
      <c r="AY52" s="568"/>
      <c r="AZ52" s="568"/>
      <c r="BA52" s="663" t="s">
        <v>601</v>
      </c>
      <c r="BB52" s="567"/>
      <c r="BC52" s="567"/>
      <c r="BD52" s="569"/>
      <c r="BE52" s="569"/>
      <c r="BF52" s="569"/>
      <c r="BG52" s="569"/>
      <c r="BH52" s="569"/>
      <c r="BI52" s="569"/>
      <c r="BJ52" s="569"/>
      <c r="BK52" s="569"/>
      <c r="BL52" s="566" t="s">
        <v>601</v>
      </c>
      <c r="BM52" s="569"/>
      <c r="BN52" s="569"/>
      <c r="BO52" s="569"/>
      <c r="BP52" s="569"/>
      <c r="BQ52" s="562" t="s">
        <v>601</v>
      </c>
      <c r="BR52" s="569"/>
      <c r="BS52" s="569"/>
      <c r="BT52" s="570" t="s">
        <v>601</v>
      </c>
      <c r="BU52" s="570" t="s">
        <v>601</v>
      </c>
      <c r="BV52" s="570" t="s">
        <v>601</v>
      </c>
      <c r="BW52" s="570" t="s">
        <v>601</v>
      </c>
      <c r="BX52" s="571" t="s">
        <v>601</v>
      </c>
      <c r="BY52" s="571" t="s">
        <v>601</v>
      </c>
      <c r="BZ52" s="571" t="s">
        <v>601</v>
      </c>
      <c r="CA52" s="566" t="s">
        <v>601</v>
      </c>
      <c r="CB52" s="571" t="s">
        <v>601</v>
      </c>
      <c r="CC52" s="571" t="s">
        <v>601</v>
      </c>
      <c r="CD52" s="571" t="s">
        <v>601</v>
      </c>
      <c r="CE52" s="562" t="s">
        <v>601</v>
      </c>
      <c r="CF52" s="570" t="s">
        <v>601</v>
      </c>
      <c r="CG52" s="570" t="s">
        <v>601</v>
      </c>
      <c r="CH52" s="572" t="s">
        <v>601</v>
      </c>
      <c r="CI52" s="572" t="s">
        <v>601</v>
      </c>
      <c r="CJ52" s="572" t="s">
        <v>601</v>
      </c>
      <c r="CK52" s="572" t="s">
        <v>601</v>
      </c>
      <c r="CL52" s="573" t="s">
        <v>601</v>
      </c>
      <c r="CM52" s="573" t="s">
        <v>601</v>
      </c>
      <c r="CN52" s="573" t="s">
        <v>601</v>
      </c>
      <c r="CO52" s="566" t="s">
        <v>601</v>
      </c>
      <c r="CP52" s="573" t="s">
        <v>601</v>
      </c>
      <c r="CQ52" s="573" t="s">
        <v>601</v>
      </c>
      <c r="CR52" s="573" t="s">
        <v>601</v>
      </c>
      <c r="CS52" s="562" t="s">
        <v>601</v>
      </c>
      <c r="CT52" s="572" t="s">
        <v>601</v>
      </c>
      <c r="CU52" s="572" t="s">
        <v>601</v>
      </c>
      <c r="CV52" s="574" t="s">
        <v>601</v>
      </c>
      <c r="CW52" s="574" t="s">
        <v>601</v>
      </c>
      <c r="CX52" s="574" t="s">
        <v>601</v>
      </c>
      <c r="CY52" s="574" t="s">
        <v>601</v>
      </c>
      <c r="CZ52" s="575" t="s">
        <v>601</v>
      </c>
      <c r="DA52" s="575" t="s">
        <v>601</v>
      </c>
      <c r="DB52" s="575" t="s">
        <v>601</v>
      </c>
      <c r="DC52" s="566" t="s">
        <v>601</v>
      </c>
      <c r="DD52" s="575" t="s">
        <v>601</v>
      </c>
      <c r="DE52" s="575" t="s">
        <v>601</v>
      </c>
      <c r="DF52" s="575" t="s">
        <v>601</v>
      </c>
      <c r="DG52" s="562" t="s">
        <v>601</v>
      </c>
      <c r="DH52" s="574" t="s">
        <v>601</v>
      </c>
      <c r="DI52" s="574" t="s">
        <v>601</v>
      </c>
      <c r="DJ52" s="469">
        <v>1</v>
      </c>
      <c r="DK52" s="469" t="s">
        <v>623</v>
      </c>
      <c r="DL52" s="469" t="s">
        <v>601</v>
      </c>
      <c r="DM52" s="469" t="s">
        <v>601</v>
      </c>
      <c r="DN52" s="469" t="s">
        <v>604</v>
      </c>
      <c r="DO52" s="469" t="s">
        <v>604</v>
      </c>
      <c r="DP52" s="469" t="s">
        <v>604</v>
      </c>
      <c r="DQ52" s="469">
        <v>1</v>
      </c>
      <c r="DR52" s="576"/>
      <c r="DS52" s="606"/>
      <c r="DT52" s="606"/>
      <c r="DU52" s="562"/>
      <c r="DV52" s="606"/>
      <c r="DW52" s="606"/>
      <c r="DX52" s="607"/>
      <c r="DY52" s="611"/>
      <c r="DZ52" s="607"/>
      <c r="EA52" s="607"/>
      <c r="EB52" s="607"/>
      <c r="EC52" s="607"/>
      <c r="ED52" s="562"/>
      <c r="EE52" s="607"/>
      <c r="EF52" s="607"/>
      <c r="EG52" s="607"/>
      <c r="EH52" s="562"/>
      <c r="EI52" s="607"/>
      <c r="EJ52" s="607"/>
      <c r="EK52" s="608"/>
      <c r="EL52" s="608"/>
      <c r="EM52" s="608"/>
      <c r="EN52" s="608"/>
      <c r="EO52" s="608"/>
      <c r="EP52" s="608"/>
      <c r="EQ52" s="562"/>
      <c r="ER52" s="608"/>
      <c r="ES52" s="608"/>
      <c r="ET52" s="608"/>
      <c r="EU52" s="562"/>
      <c r="EV52" s="608"/>
      <c r="EW52" s="608"/>
      <c r="EX52" s="609"/>
      <c r="EY52" s="609"/>
      <c r="EZ52" s="609"/>
      <c r="FA52" s="609"/>
      <c r="FB52" s="609"/>
      <c r="FC52" s="609"/>
      <c r="FD52" s="562"/>
      <c r="FE52" s="609"/>
      <c r="FF52" s="609"/>
      <c r="FG52" s="609"/>
      <c r="FH52" s="562"/>
      <c r="FI52" s="609"/>
      <c r="FJ52" s="609"/>
      <c r="FK52" s="562"/>
      <c r="FL52" s="562"/>
      <c r="FM52" s="562"/>
      <c r="FN52" s="562"/>
      <c r="FO52" s="562"/>
      <c r="FP52" s="562"/>
      <c r="FQ52" s="562"/>
      <c r="FR52" s="562"/>
      <c r="FS52" s="562"/>
      <c r="FT52" s="562"/>
      <c r="FU52" s="562"/>
      <c r="FV52" s="562"/>
      <c r="FW52" s="562"/>
      <c r="FX52" s="610"/>
      <c r="FY52" s="611"/>
      <c r="FZ52" s="611"/>
      <c r="GA52" s="562"/>
      <c r="GB52" s="612"/>
      <c r="GC52" s="603"/>
      <c r="GD52" s="603"/>
      <c r="GE52" s="613"/>
      <c r="GF52" s="613"/>
      <c r="GG52" s="613"/>
      <c r="GH52" s="614"/>
      <c r="GI52" s="614"/>
      <c r="GJ52" s="615"/>
      <c r="GK52" s="615"/>
      <c r="GL52" s="615"/>
      <c r="GM52" s="615"/>
      <c r="GN52" s="615"/>
      <c r="GO52" s="615"/>
      <c r="GP52" s="615"/>
      <c r="GQ52" s="615"/>
      <c r="GR52" s="615"/>
      <c r="GS52" s="615"/>
      <c r="GT52" s="615"/>
      <c r="GU52" s="609"/>
      <c r="GV52" s="609"/>
      <c r="GW52" s="609"/>
      <c r="GX52" s="609"/>
      <c r="GY52" s="609"/>
      <c r="GZ52" s="609"/>
      <c r="HA52" s="609"/>
      <c r="HB52" s="609"/>
      <c r="HC52" s="609"/>
      <c r="HD52" s="609"/>
      <c r="HE52" s="609"/>
      <c r="HF52" s="616"/>
      <c r="HG52" s="616"/>
      <c r="HH52" s="616"/>
      <c r="HI52" s="616"/>
      <c r="HJ52" s="616"/>
      <c r="HK52" s="616"/>
      <c r="HL52" s="616"/>
      <c r="HM52" s="616"/>
      <c r="HN52" s="616"/>
      <c r="HO52" s="616"/>
      <c r="HP52" s="616"/>
      <c r="HQ52" s="617"/>
      <c r="HR52" s="617"/>
      <c r="HS52" s="617"/>
      <c r="HT52" s="617"/>
      <c r="HU52" s="617"/>
      <c r="HV52" s="617"/>
    </row>
    <row r="53" ht="47.25">
      <c r="A53" s="559">
        <v>52</v>
      </c>
      <c r="B53" s="602">
        <v>38</v>
      </c>
      <c r="C53" s="469"/>
      <c r="D53" s="469" t="s">
        <v>1031</v>
      </c>
      <c r="E53" s="560" t="s">
        <v>576</v>
      </c>
      <c r="F53" s="564" t="s">
        <v>576</v>
      </c>
      <c r="G53" s="561" t="s">
        <v>1032</v>
      </c>
      <c r="H53" s="562" t="s">
        <v>26</v>
      </c>
      <c r="I53" s="562" t="s">
        <v>1033</v>
      </c>
      <c r="J53" s="562" t="s">
        <v>1034</v>
      </c>
      <c r="K53" s="469" t="s">
        <v>1035</v>
      </c>
      <c r="L53" s="563">
        <v>42636</v>
      </c>
      <c r="M53" s="563">
        <v>42634</v>
      </c>
      <c r="N53" s="603" t="s">
        <v>1036</v>
      </c>
      <c r="O53" s="604" t="s">
        <v>1037</v>
      </c>
      <c r="P53" s="605" t="s">
        <v>583</v>
      </c>
      <c r="Q53" s="603" t="s">
        <v>364</v>
      </c>
      <c r="R53" s="605" t="s">
        <v>584</v>
      </c>
      <c r="S53" s="605" t="s">
        <v>585</v>
      </c>
      <c r="T53" s="234" t="s">
        <v>584</v>
      </c>
      <c r="U53" s="234" t="s">
        <v>585</v>
      </c>
      <c r="V53" s="562">
        <v>1</v>
      </c>
      <c r="W53" s="562" t="s">
        <v>0</v>
      </c>
      <c r="X53" s="564" t="s">
        <v>576</v>
      </c>
      <c r="Y53" s="564" t="s">
        <v>1038</v>
      </c>
      <c r="Z53" s="564" t="s">
        <v>587</v>
      </c>
      <c r="AA53" s="564">
        <v>3</v>
      </c>
      <c r="AB53" s="565" t="s">
        <v>596</v>
      </c>
      <c r="AC53" s="565" t="s">
        <v>596</v>
      </c>
      <c r="AD53" s="565" t="s">
        <v>596</v>
      </c>
      <c r="AE53" s="565"/>
      <c r="AF53" s="566" t="s">
        <v>597</v>
      </c>
      <c r="AG53" s="565" t="s">
        <v>598</v>
      </c>
      <c r="AH53" s="565" t="s">
        <v>598</v>
      </c>
      <c r="AI53" s="565" t="s">
        <v>598</v>
      </c>
      <c r="AJ53" s="565"/>
      <c r="AK53" s="562" t="s">
        <v>599</v>
      </c>
      <c r="AL53" s="564">
        <v>2100</v>
      </c>
      <c r="AM53" s="564" t="s">
        <v>593</v>
      </c>
      <c r="AN53" s="567"/>
      <c r="AO53" s="567"/>
      <c r="AP53" s="567"/>
      <c r="AQ53" s="567"/>
      <c r="AR53" s="568"/>
      <c r="AS53" s="568"/>
      <c r="AT53" s="568"/>
      <c r="AU53" s="568"/>
      <c r="AV53" s="663" t="s">
        <v>601</v>
      </c>
      <c r="AW53" s="568"/>
      <c r="AX53" s="568"/>
      <c r="AY53" s="568"/>
      <c r="AZ53" s="568"/>
      <c r="BA53" s="663" t="s">
        <v>601</v>
      </c>
      <c r="BB53" s="567"/>
      <c r="BC53" s="567"/>
      <c r="BD53" s="569"/>
      <c r="BE53" s="569"/>
      <c r="BF53" s="569"/>
      <c r="BG53" s="569"/>
      <c r="BH53" s="569"/>
      <c r="BI53" s="569"/>
      <c r="BJ53" s="569"/>
      <c r="BK53" s="569"/>
      <c r="BL53" s="566" t="s">
        <v>601</v>
      </c>
      <c r="BM53" s="569"/>
      <c r="BN53" s="569"/>
      <c r="BO53" s="569"/>
      <c r="BP53" s="569"/>
      <c r="BQ53" s="562" t="s">
        <v>601</v>
      </c>
      <c r="BR53" s="569"/>
      <c r="BS53" s="569"/>
      <c r="BT53" s="570" t="s">
        <v>601</v>
      </c>
      <c r="BU53" s="570" t="s">
        <v>601</v>
      </c>
      <c r="BV53" s="570" t="s">
        <v>601</v>
      </c>
      <c r="BW53" s="570" t="s">
        <v>601</v>
      </c>
      <c r="BX53" s="571" t="s">
        <v>601</v>
      </c>
      <c r="BY53" s="571" t="s">
        <v>601</v>
      </c>
      <c r="BZ53" s="571" t="s">
        <v>601</v>
      </c>
      <c r="CA53" s="566" t="s">
        <v>601</v>
      </c>
      <c r="CB53" s="571" t="s">
        <v>601</v>
      </c>
      <c r="CC53" s="571" t="s">
        <v>601</v>
      </c>
      <c r="CD53" s="571" t="s">
        <v>601</v>
      </c>
      <c r="CE53" s="562" t="s">
        <v>601</v>
      </c>
      <c r="CF53" s="570" t="s">
        <v>601</v>
      </c>
      <c r="CG53" s="570" t="s">
        <v>601</v>
      </c>
      <c r="CH53" s="572" t="s">
        <v>601</v>
      </c>
      <c r="CI53" s="572" t="s">
        <v>601</v>
      </c>
      <c r="CJ53" s="572" t="s">
        <v>601</v>
      </c>
      <c r="CK53" s="572" t="s">
        <v>601</v>
      </c>
      <c r="CL53" s="573" t="s">
        <v>601</v>
      </c>
      <c r="CM53" s="573" t="s">
        <v>601</v>
      </c>
      <c r="CN53" s="573" t="s">
        <v>601</v>
      </c>
      <c r="CO53" s="566" t="s">
        <v>601</v>
      </c>
      <c r="CP53" s="573" t="s">
        <v>601</v>
      </c>
      <c r="CQ53" s="573" t="s">
        <v>601</v>
      </c>
      <c r="CR53" s="573" t="s">
        <v>601</v>
      </c>
      <c r="CS53" s="562" t="s">
        <v>601</v>
      </c>
      <c r="CT53" s="572" t="s">
        <v>601</v>
      </c>
      <c r="CU53" s="572" t="s">
        <v>601</v>
      </c>
      <c r="CV53" s="574" t="s">
        <v>601</v>
      </c>
      <c r="CW53" s="574" t="s">
        <v>601</v>
      </c>
      <c r="CX53" s="574" t="s">
        <v>601</v>
      </c>
      <c r="CY53" s="574" t="s">
        <v>601</v>
      </c>
      <c r="CZ53" s="575" t="s">
        <v>601</v>
      </c>
      <c r="DA53" s="575" t="s">
        <v>601</v>
      </c>
      <c r="DB53" s="575" t="s">
        <v>601</v>
      </c>
      <c r="DC53" s="566" t="s">
        <v>601</v>
      </c>
      <c r="DD53" s="575" t="s">
        <v>601</v>
      </c>
      <c r="DE53" s="575" t="s">
        <v>601</v>
      </c>
      <c r="DF53" s="575" t="s">
        <v>601</v>
      </c>
      <c r="DG53" s="562" t="s">
        <v>601</v>
      </c>
      <c r="DH53" s="574" t="s">
        <v>601</v>
      </c>
      <c r="DI53" s="574" t="s">
        <v>601</v>
      </c>
      <c r="DJ53" s="469">
        <v>1</v>
      </c>
      <c r="DK53" s="469" t="s">
        <v>623</v>
      </c>
      <c r="DL53" s="469" t="s">
        <v>601</v>
      </c>
      <c r="DM53" s="469" t="s">
        <v>601</v>
      </c>
      <c r="DN53" s="469" t="s">
        <v>604</v>
      </c>
      <c r="DO53" s="469" t="s">
        <v>604</v>
      </c>
      <c r="DP53" s="469" t="s">
        <v>604</v>
      </c>
      <c r="DQ53" s="469">
        <v>1</v>
      </c>
      <c r="DR53" s="576"/>
      <c r="DS53" s="606"/>
      <c r="DT53" s="606"/>
      <c r="DU53" s="562"/>
      <c r="DV53" s="606"/>
      <c r="DW53" s="606"/>
      <c r="DX53" s="607"/>
      <c r="DY53" s="611"/>
      <c r="DZ53" s="607"/>
      <c r="EA53" s="607"/>
      <c r="EB53" s="607"/>
      <c r="EC53" s="607"/>
      <c r="ED53" s="562"/>
      <c r="EE53" s="607"/>
      <c r="EF53" s="607"/>
      <c r="EG53" s="607"/>
      <c r="EH53" s="562"/>
      <c r="EI53" s="607"/>
      <c r="EJ53" s="607"/>
      <c r="EK53" s="608"/>
      <c r="EL53" s="608"/>
      <c r="EM53" s="608"/>
      <c r="EN53" s="608"/>
      <c r="EO53" s="608"/>
      <c r="EP53" s="608"/>
      <c r="EQ53" s="562"/>
      <c r="ER53" s="608"/>
      <c r="ES53" s="608"/>
      <c r="ET53" s="608"/>
      <c r="EU53" s="562"/>
      <c r="EV53" s="608"/>
      <c r="EW53" s="608"/>
      <c r="EX53" s="609"/>
      <c r="EY53" s="609"/>
      <c r="EZ53" s="609"/>
      <c r="FA53" s="609"/>
      <c r="FB53" s="609"/>
      <c r="FC53" s="609"/>
      <c r="FD53" s="562"/>
      <c r="FE53" s="609"/>
      <c r="FF53" s="609"/>
      <c r="FG53" s="609"/>
      <c r="FH53" s="562"/>
      <c r="FI53" s="609"/>
      <c r="FJ53" s="609"/>
      <c r="FK53" s="562"/>
      <c r="FL53" s="562"/>
      <c r="FM53" s="562"/>
      <c r="FN53" s="562"/>
      <c r="FO53" s="562"/>
      <c r="FP53" s="562"/>
      <c r="FQ53" s="562"/>
      <c r="FR53" s="562"/>
      <c r="FS53" s="562"/>
      <c r="FT53" s="562"/>
      <c r="FU53" s="562"/>
      <c r="FV53" s="562"/>
      <c r="FW53" s="562"/>
      <c r="FX53" s="610"/>
      <c r="FY53" s="611"/>
      <c r="FZ53" s="611"/>
      <c r="GA53" s="562"/>
      <c r="GB53" s="612"/>
      <c r="GC53" s="603"/>
      <c r="GD53" s="603"/>
      <c r="GE53" s="613"/>
      <c r="GF53" s="613"/>
      <c r="GG53" s="613"/>
      <c r="GH53" s="614"/>
      <c r="GI53" s="614"/>
      <c r="GJ53" s="615"/>
      <c r="GK53" s="615"/>
      <c r="GL53" s="615"/>
      <c r="GM53" s="615"/>
      <c r="GN53" s="615"/>
      <c r="GO53" s="615"/>
      <c r="GP53" s="615"/>
      <c r="GQ53" s="615"/>
      <c r="GR53" s="615"/>
      <c r="GS53" s="615"/>
      <c r="GT53" s="615"/>
      <c r="GU53" s="609"/>
      <c r="GV53" s="609"/>
      <c r="GW53" s="609"/>
      <c r="GX53" s="609"/>
      <c r="GY53" s="609"/>
      <c r="GZ53" s="609"/>
      <c r="HA53" s="609"/>
      <c r="HB53" s="609"/>
      <c r="HC53" s="609"/>
      <c r="HD53" s="609"/>
      <c r="HE53" s="609"/>
      <c r="HF53" s="616"/>
      <c r="HG53" s="616"/>
      <c r="HH53" s="616"/>
      <c r="HI53" s="616"/>
      <c r="HJ53" s="616"/>
      <c r="HK53" s="616"/>
      <c r="HL53" s="616"/>
      <c r="HM53" s="616"/>
      <c r="HN53" s="616"/>
      <c r="HO53" s="616"/>
      <c r="HP53" s="616"/>
      <c r="HQ53" s="617"/>
      <c r="HR53" s="617"/>
      <c r="HS53" s="617"/>
      <c r="HT53" s="617"/>
      <c r="HU53" s="617"/>
      <c r="HV53" s="617"/>
    </row>
    <row r="54" ht="47.25">
      <c r="A54" s="559">
        <v>53</v>
      </c>
      <c r="B54" s="602">
        <v>38</v>
      </c>
      <c r="C54" s="469"/>
      <c r="D54" s="469" t="s">
        <v>1039</v>
      </c>
      <c r="E54" s="560" t="s">
        <v>576</v>
      </c>
      <c r="F54" s="564" t="s">
        <v>576</v>
      </c>
      <c r="G54" s="561" t="s">
        <v>1040</v>
      </c>
      <c r="H54" s="562" t="s">
        <v>26</v>
      </c>
      <c r="I54" s="562" t="s">
        <v>1041</v>
      </c>
      <c r="J54" s="562" t="s">
        <v>1042</v>
      </c>
      <c r="K54" s="469" t="s">
        <v>1043</v>
      </c>
      <c r="L54" s="563">
        <v>42636</v>
      </c>
      <c r="M54" s="563">
        <v>42634</v>
      </c>
      <c r="N54" s="603" t="s">
        <v>1044</v>
      </c>
      <c r="O54" s="604" t="s">
        <v>1045</v>
      </c>
      <c r="P54" s="605" t="s">
        <v>583</v>
      </c>
      <c r="Q54" s="603" t="s">
        <v>364</v>
      </c>
      <c r="R54" s="605" t="s">
        <v>584</v>
      </c>
      <c r="S54" s="605" t="s">
        <v>585</v>
      </c>
      <c r="T54" s="234" t="s">
        <v>584</v>
      </c>
      <c r="U54" s="234" t="s">
        <v>585</v>
      </c>
      <c r="V54" s="562">
        <v>1</v>
      </c>
      <c r="W54" s="562" t="s">
        <v>0</v>
      </c>
      <c r="X54" s="564" t="s">
        <v>576</v>
      </c>
      <c r="Y54" s="564" t="s">
        <v>1046</v>
      </c>
      <c r="Z54" s="564" t="s">
        <v>587</v>
      </c>
      <c r="AA54" s="564">
        <v>3</v>
      </c>
      <c r="AB54" s="565" t="s">
        <v>596</v>
      </c>
      <c r="AC54" s="565" t="s">
        <v>596</v>
      </c>
      <c r="AD54" s="565" t="s">
        <v>596</v>
      </c>
      <c r="AE54" s="565"/>
      <c r="AF54" s="566" t="s">
        <v>597</v>
      </c>
      <c r="AG54" s="565" t="s">
        <v>598</v>
      </c>
      <c r="AH54" s="565" t="s">
        <v>598</v>
      </c>
      <c r="AI54" s="565" t="s">
        <v>598</v>
      </c>
      <c r="AJ54" s="565"/>
      <c r="AK54" s="562" t="s">
        <v>599</v>
      </c>
      <c r="AL54" s="564">
        <v>2100</v>
      </c>
      <c r="AM54" s="564" t="s">
        <v>593</v>
      </c>
      <c r="AN54" s="567"/>
      <c r="AO54" s="567"/>
      <c r="AP54" s="567"/>
      <c r="AQ54" s="567"/>
      <c r="AR54" s="568"/>
      <c r="AS54" s="568"/>
      <c r="AT54" s="568"/>
      <c r="AU54" s="568"/>
      <c r="AV54" s="663" t="s">
        <v>601</v>
      </c>
      <c r="AW54" s="568"/>
      <c r="AX54" s="568"/>
      <c r="AY54" s="568"/>
      <c r="AZ54" s="568"/>
      <c r="BA54" s="663" t="s">
        <v>601</v>
      </c>
      <c r="BB54" s="567"/>
      <c r="BC54" s="567"/>
      <c r="BD54" s="569"/>
      <c r="BE54" s="569"/>
      <c r="BF54" s="569"/>
      <c r="BG54" s="569"/>
      <c r="BH54" s="569"/>
      <c r="BI54" s="569"/>
      <c r="BJ54" s="569"/>
      <c r="BK54" s="569"/>
      <c r="BL54" s="566" t="s">
        <v>601</v>
      </c>
      <c r="BM54" s="569"/>
      <c r="BN54" s="569"/>
      <c r="BO54" s="569"/>
      <c r="BP54" s="569"/>
      <c r="BQ54" s="562" t="s">
        <v>601</v>
      </c>
      <c r="BR54" s="569"/>
      <c r="BS54" s="569"/>
      <c r="BT54" s="570" t="s">
        <v>601</v>
      </c>
      <c r="BU54" s="570" t="s">
        <v>601</v>
      </c>
      <c r="BV54" s="570" t="s">
        <v>601</v>
      </c>
      <c r="BW54" s="570" t="s">
        <v>601</v>
      </c>
      <c r="BX54" s="571" t="s">
        <v>601</v>
      </c>
      <c r="BY54" s="571" t="s">
        <v>601</v>
      </c>
      <c r="BZ54" s="571" t="s">
        <v>601</v>
      </c>
      <c r="CA54" s="566" t="s">
        <v>601</v>
      </c>
      <c r="CB54" s="571" t="s">
        <v>601</v>
      </c>
      <c r="CC54" s="571" t="s">
        <v>601</v>
      </c>
      <c r="CD54" s="571" t="s">
        <v>601</v>
      </c>
      <c r="CE54" s="562" t="s">
        <v>601</v>
      </c>
      <c r="CF54" s="570" t="s">
        <v>601</v>
      </c>
      <c r="CG54" s="570" t="s">
        <v>601</v>
      </c>
      <c r="CH54" s="572" t="s">
        <v>601</v>
      </c>
      <c r="CI54" s="572" t="s">
        <v>601</v>
      </c>
      <c r="CJ54" s="572" t="s">
        <v>601</v>
      </c>
      <c r="CK54" s="572" t="s">
        <v>601</v>
      </c>
      <c r="CL54" s="573" t="s">
        <v>601</v>
      </c>
      <c r="CM54" s="573" t="s">
        <v>601</v>
      </c>
      <c r="CN54" s="573" t="s">
        <v>601</v>
      </c>
      <c r="CO54" s="566" t="s">
        <v>601</v>
      </c>
      <c r="CP54" s="573" t="s">
        <v>601</v>
      </c>
      <c r="CQ54" s="573" t="s">
        <v>601</v>
      </c>
      <c r="CR54" s="573" t="s">
        <v>601</v>
      </c>
      <c r="CS54" s="562" t="s">
        <v>601</v>
      </c>
      <c r="CT54" s="572" t="s">
        <v>601</v>
      </c>
      <c r="CU54" s="572" t="s">
        <v>601</v>
      </c>
      <c r="CV54" s="574" t="s">
        <v>601</v>
      </c>
      <c r="CW54" s="574" t="s">
        <v>601</v>
      </c>
      <c r="CX54" s="574" t="s">
        <v>601</v>
      </c>
      <c r="CY54" s="574" t="s">
        <v>601</v>
      </c>
      <c r="CZ54" s="575" t="s">
        <v>601</v>
      </c>
      <c r="DA54" s="575" t="s">
        <v>601</v>
      </c>
      <c r="DB54" s="575" t="s">
        <v>601</v>
      </c>
      <c r="DC54" s="566" t="s">
        <v>601</v>
      </c>
      <c r="DD54" s="575" t="s">
        <v>601</v>
      </c>
      <c r="DE54" s="575" t="s">
        <v>601</v>
      </c>
      <c r="DF54" s="575" t="s">
        <v>601</v>
      </c>
      <c r="DG54" s="562" t="s">
        <v>601</v>
      </c>
      <c r="DH54" s="574" t="s">
        <v>601</v>
      </c>
      <c r="DI54" s="574" t="s">
        <v>601</v>
      </c>
      <c r="DJ54" s="469">
        <v>1</v>
      </c>
      <c r="DK54" s="469" t="s">
        <v>623</v>
      </c>
      <c r="DL54" s="469" t="s">
        <v>601</v>
      </c>
      <c r="DM54" s="469" t="s">
        <v>601</v>
      </c>
      <c r="DN54" s="469" t="s">
        <v>604</v>
      </c>
      <c r="DO54" s="469" t="s">
        <v>604</v>
      </c>
      <c r="DP54" s="469" t="s">
        <v>604</v>
      </c>
      <c r="DQ54" s="469">
        <v>1</v>
      </c>
      <c r="DR54" s="576"/>
      <c r="DS54" s="606"/>
      <c r="DT54" s="606"/>
      <c r="DU54" s="562"/>
      <c r="DV54" s="606"/>
      <c r="DW54" s="606"/>
      <c r="DX54" s="607"/>
      <c r="DY54" s="611"/>
      <c r="DZ54" s="607"/>
      <c r="EA54" s="607"/>
      <c r="EB54" s="607"/>
      <c r="EC54" s="607"/>
      <c r="ED54" s="562"/>
      <c r="EE54" s="607"/>
      <c r="EF54" s="607"/>
      <c r="EG54" s="607"/>
      <c r="EH54" s="562"/>
      <c r="EI54" s="607"/>
      <c r="EJ54" s="607"/>
      <c r="EK54" s="608"/>
      <c r="EL54" s="608"/>
      <c r="EM54" s="608"/>
      <c r="EN54" s="608"/>
      <c r="EO54" s="608"/>
      <c r="EP54" s="608"/>
      <c r="EQ54" s="562"/>
      <c r="ER54" s="608"/>
      <c r="ES54" s="608"/>
      <c r="ET54" s="608"/>
      <c r="EU54" s="562"/>
      <c r="EV54" s="608"/>
      <c r="EW54" s="608"/>
      <c r="EX54" s="609"/>
      <c r="EY54" s="609"/>
      <c r="EZ54" s="609"/>
      <c r="FA54" s="609"/>
      <c r="FB54" s="609"/>
      <c r="FC54" s="609"/>
      <c r="FD54" s="562"/>
      <c r="FE54" s="609"/>
      <c r="FF54" s="609"/>
      <c r="FG54" s="609"/>
      <c r="FH54" s="562"/>
      <c r="FI54" s="609"/>
      <c r="FJ54" s="609"/>
      <c r="FK54" s="562"/>
      <c r="FL54" s="562"/>
      <c r="FM54" s="562"/>
      <c r="FN54" s="562"/>
      <c r="FO54" s="562"/>
      <c r="FP54" s="562"/>
      <c r="FQ54" s="562"/>
      <c r="FR54" s="562"/>
      <c r="FS54" s="562"/>
      <c r="FT54" s="562"/>
      <c r="FU54" s="562"/>
      <c r="FV54" s="562"/>
      <c r="FW54" s="562"/>
      <c r="FX54" s="610"/>
      <c r="FY54" s="611"/>
      <c r="FZ54" s="611"/>
      <c r="GA54" s="562"/>
      <c r="GB54" s="612"/>
      <c r="GC54" s="603"/>
      <c r="GD54" s="603"/>
      <c r="GE54" s="613"/>
      <c r="GF54" s="613"/>
      <c r="GG54" s="613"/>
      <c r="GH54" s="614"/>
      <c r="GI54" s="614"/>
      <c r="GJ54" s="615"/>
      <c r="GK54" s="615"/>
      <c r="GL54" s="615"/>
      <c r="GM54" s="615"/>
      <c r="GN54" s="615"/>
      <c r="GO54" s="615"/>
      <c r="GP54" s="615"/>
      <c r="GQ54" s="615"/>
      <c r="GR54" s="615"/>
      <c r="GS54" s="615"/>
      <c r="GT54" s="615"/>
      <c r="GU54" s="609"/>
      <c r="GV54" s="609"/>
      <c r="GW54" s="609"/>
      <c r="GX54" s="609"/>
      <c r="GY54" s="609"/>
      <c r="GZ54" s="609"/>
      <c r="HA54" s="609"/>
      <c r="HB54" s="609"/>
      <c r="HC54" s="609"/>
      <c r="HD54" s="609"/>
      <c r="HE54" s="609"/>
      <c r="HF54" s="616"/>
      <c r="HG54" s="616"/>
      <c r="HH54" s="616"/>
      <c r="HI54" s="616"/>
      <c r="HJ54" s="616"/>
      <c r="HK54" s="616"/>
      <c r="HL54" s="616"/>
      <c r="HM54" s="616"/>
      <c r="HN54" s="616"/>
      <c r="HO54" s="616"/>
      <c r="HP54" s="616"/>
      <c r="HQ54" s="617"/>
      <c r="HR54" s="617"/>
      <c r="HS54" s="617"/>
      <c r="HT54" s="617"/>
      <c r="HU54" s="617"/>
      <c r="HV54" s="617"/>
    </row>
    <row r="55" ht="47.25">
      <c r="A55" s="559">
        <v>54</v>
      </c>
      <c r="B55" s="602">
        <v>38</v>
      </c>
      <c r="C55" s="469"/>
      <c r="D55" s="469" t="s">
        <v>1047</v>
      </c>
      <c r="E55" s="560" t="s">
        <v>576</v>
      </c>
      <c r="F55" s="564" t="s">
        <v>576</v>
      </c>
      <c r="G55" s="561" t="s">
        <v>1048</v>
      </c>
      <c r="H55" s="562" t="s">
        <v>26</v>
      </c>
      <c r="I55" s="562" t="s">
        <v>1049</v>
      </c>
      <c r="J55" s="562" t="s">
        <v>1050</v>
      </c>
      <c r="K55" s="469" t="s">
        <v>1051</v>
      </c>
      <c r="L55" s="563">
        <v>42636</v>
      </c>
      <c r="M55" s="563">
        <v>42634</v>
      </c>
      <c r="N55" s="603" t="s">
        <v>1052</v>
      </c>
      <c r="O55" s="604" t="s">
        <v>1053</v>
      </c>
      <c r="P55" s="605" t="s">
        <v>583</v>
      </c>
      <c r="Q55" s="603" t="s">
        <v>364</v>
      </c>
      <c r="R55" s="605" t="s">
        <v>584</v>
      </c>
      <c r="S55" s="605" t="s">
        <v>585</v>
      </c>
      <c r="T55" s="234" t="s">
        <v>584</v>
      </c>
      <c r="U55" s="234" t="s">
        <v>585</v>
      </c>
      <c r="V55" s="562">
        <v>1</v>
      </c>
      <c r="W55" s="562" t="s">
        <v>0</v>
      </c>
      <c r="X55" s="564" t="s">
        <v>576</v>
      </c>
      <c r="Y55" s="564" t="s">
        <v>1054</v>
      </c>
      <c r="Z55" s="564" t="s">
        <v>587</v>
      </c>
      <c r="AA55" s="564">
        <v>3</v>
      </c>
      <c r="AB55" s="565" t="s">
        <v>596</v>
      </c>
      <c r="AC55" s="565" t="s">
        <v>596</v>
      </c>
      <c r="AD55" s="565" t="s">
        <v>596</v>
      </c>
      <c r="AE55" s="565"/>
      <c r="AF55" s="566" t="s">
        <v>597</v>
      </c>
      <c r="AG55" s="565" t="s">
        <v>598</v>
      </c>
      <c r="AH55" s="565" t="s">
        <v>598</v>
      </c>
      <c r="AI55" s="565" t="s">
        <v>598</v>
      </c>
      <c r="AJ55" s="565"/>
      <c r="AK55" s="562" t="s">
        <v>599</v>
      </c>
      <c r="AL55" s="564">
        <v>2100</v>
      </c>
      <c r="AM55" s="564" t="s">
        <v>613</v>
      </c>
      <c r="AN55" s="567"/>
      <c r="AO55" s="567"/>
      <c r="AP55" s="567"/>
      <c r="AQ55" s="567"/>
      <c r="AR55" s="568"/>
      <c r="AS55" s="568"/>
      <c r="AT55" s="568"/>
      <c r="AU55" s="568"/>
      <c r="AV55" s="663" t="s">
        <v>601</v>
      </c>
      <c r="AW55" s="568"/>
      <c r="AX55" s="568"/>
      <c r="AY55" s="568"/>
      <c r="AZ55" s="568"/>
      <c r="BA55" s="663" t="s">
        <v>601</v>
      </c>
      <c r="BB55" s="567"/>
      <c r="BC55" s="567"/>
      <c r="BD55" s="569"/>
      <c r="BE55" s="569"/>
      <c r="BF55" s="569"/>
      <c r="BG55" s="569"/>
      <c r="BH55" s="569"/>
      <c r="BI55" s="569"/>
      <c r="BJ55" s="569"/>
      <c r="BK55" s="569"/>
      <c r="BL55" s="566" t="s">
        <v>601</v>
      </c>
      <c r="BM55" s="569"/>
      <c r="BN55" s="569"/>
      <c r="BO55" s="569"/>
      <c r="BP55" s="569"/>
      <c r="BQ55" s="562" t="s">
        <v>601</v>
      </c>
      <c r="BR55" s="569"/>
      <c r="BS55" s="569"/>
      <c r="BT55" s="570" t="s">
        <v>601</v>
      </c>
      <c r="BU55" s="570" t="s">
        <v>601</v>
      </c>
      <c r="BV55" s="570" t="s">
        <v>601</v>
      </c>
      <c r="BW55" s="570" t="s">
        <v>601</v>
      </c>
      <c r="BX55" s="571" t="s">
        <v>601</v>
      </c>
      <c r="BY55" s="571" t="s">
        <v>601</v>
      </c>
      <c r="BZ55" s="571" t="s">
        <v>601</v>
      </c>
      <c r="CA55" s="566" t="s">
        <v>601</v>
      </c>
      <c r="CB55" s="571" t="s">
        <v>601</v>
      </c>
      <c r="CC55" s="571" t="s">
        <v>601</v>
      </c>
      <c r="CD55" s="571" t="s">
        <v>601</v>
      </c>
      <c r="CE55" s="562" t="s">
        <v>601</v>
      </c>
      <c r="CF55" s="570" t="s">
        <v>601</v>
      </c>
      <c r="CG55" s="570" t="s">
        <v>601</v>
      </c>
      <c r="CH55" s="572" t="s">
        <v>601</v>
      </c>
      <c r="CI55" s="572" t="s">
        <v>601</v>
      </c>
      <c r="CJ55" s="572" t="s">
        <v>601</v>
      </c>
      <c r="CK55" s="572" t="s">
        <v>601</v>
      </c>
      <c r="CL55" s="573" t="s">
        <v>601</v>
      </c>
      <c r="CM55" s="573" t="s">
        <v>601</v>
      </c>
      <c r="CN55" s="573" t="s">
        <v>601</v>
      </c>
      <c r="CO55" s="566" t="s">
        <v>601</v>
      </c>
      <c r="CP55" s="573" t="s">
        <v>601</v>
      </c>
      <c r="CQ55" s="573" t="s">
        <v>601</v>
      </c>
      <c r="CR55" s="573" t="s">
        <v>601</v>
      </c>
      <c r="CS55" s="562" t="s">
        <v>601</v>
      </c>
      <c r="CT55" s="572" t="s">
        <v>601</v>
      </c>
      <c r="CU55" s="572" t="s">
        <v>601</v>
      </c>
      <c r="CV55" s="574" t="s">
        <v>601</v>
      </c>
      <c r="CW55" s="574" t="s">
        <v>601</v>
      </c>
      <c r="CX55" s="574" t="s">
        <v>601</v>
      </c>
      <c r="CY55" s="574" t="s">
        <v>601</v>
      </c>
      <c r="CZ55" s="575" t="s">
        <v>601</v>
      </c>
      <c r="DA55" s="575" t="s">
        <v>601</v>
      </c>
      <c r="DB55" s="575" t="s">
        <v>601</v>
      </c>
      <c r="DC55" s="566" t="s">
        <v>601</v>
      </c>
      <c r="DD55" s="575" t="s">
        <v>601</v>
      </c>
      <c r="DE55" s="575" t="s">
        <v>601</v>
      </c>
      <c r="DF55" s="575" t="s">
        <v>601</v>
      </c>
      <c r="DG55" s="562" t="s">
        <v>601</v>
      </c>
      <c r="DH55" s="574" t="s">
        <v>601</v>
      </c>
      <c r="DI55" s="574" t="s">
        <v>601</v>
      </c>
      <c r="DJ55" s="469">
        <v>1</v>
      </c>
      <c r="DK55" s="469" t="s">
        <v>623</v>
      </c>
      <c r="DL55" s="469" t="s">
        <v>601</v>
      </c>
      <c r="DM55" s="469" t="s">
        <v>601</v>
      </c>
      <c r="DN55" s="469" t="s">
        <v>604</v>
      </c>
      <c r="DO55" s="469" t="s">
        <v>604</v>
      </c>
      <c r="DP55" s="469" t="s">
        <v>604</v>
      </c>
      <c r="DQ55" s="469">
        <v>1</v>
      </c>
      <c r="DR55" s="576"/>
      <c r="DS55" s="606"/>
      <c r="DT55" s="606"/>
      <c r="DU55" s="562"/>
      <c r="DV55" s="606"/>
      <c r="DW55" s="606"/>
      <c r="DX55" s="607"/>
      <c r="DY55" s="611"/>
      <c r="DZ55" s="607"/>
      <c r="EA55" s="607"/>
      <c r="EB55" s="607"/>
      <c r="EC55" s="607"/>
      <c r="ED55" s="562"/>
      <c r="EE55" s="607"/>
      <c r="EF55" s="607"/>
      <c r="EG55" s="607"/>
      <c r="EH55" s="562"/>
      <c r="EI55" s="607"/>
      <c r="EJ55" s="607"/>
      <c r="EK55" s="608"/>
      <c r="EL55" s="608"/>
      <c r="EM55" s="608"/>
      <c r="EN55" s="608"/>
      <c r="EO55" s="608"/>
      <c r="EP55" s="608"/>
      <c r="EQ55" s="562"/>
      <c r="ER55" s="608"/>
      <c r="ES55" s="608"/>
      <c r="ET55" s="608"/>
      <c r="EU55" s="562"/>
      <c r="EV55" s="608"/>
      <c r="EW55" s="608"/>
      <c r="EX55" s="609"/>
      <c r="EY55" s="609"/>
      <c r="EZ55" s="609"/>
      <c r="FA55" s="609"/>
      <c r="FB55" s="609"/>
      <c r="FC55" s="609"/>
      <c r="FD55" s="562"/>
      <c r="FE55" s="609"/>
      <c r="FF55" s="609"/>
      <c r="FG55" s="609"/>
      <c r="FH55" s="562"/>
      <c r="FI55" s="609"/>
      <c r="FJ55" s="609"/>
      <c r="FK55" s="562"/>
      <c r="FL55" s="562"/>
      <c r="FM55" s="562"/>
      <c r="FN55" s="562"/>
      <c r="FO55" s="562"/>
      <c r="FP55" s="562"/>
      <c r="FQ55" s="562"/>
      <c r="FR55" s="562"/>
      <c r="FS55" s="562"/>
      <c r="FT55" s="562"/>
      <c r="FU55" s="562"/>
      <c r="FV55" s="562"/>
      <c r="FW55" s="562"/>
      <c r="FX55" s="610"/>
      <c r="FY55" s="611"/>
      <c r="FZ55" s="611"/>
      <c r="GA55" s="562"/>
      <c r="GB55" s="612"/>
      <c r="GC55" s="603"/>
      <c r="GD55" s="603"/>
      <c r="GE55" s="613"/>
      <c r="GF55" s="613"/>
      <c r="GG55" s="613"/>
      <c r="GH55" s="614"/>
      <c r="GI55" s="614"/>
      <c r="GJ55" s="615"/>
      <c r="GK55" s="615"/>
      <c r="GL55" s="615"/>
      <c r="GM55" s="615"/>
      <c r="GN55" s="615"/>
      <c r="GO55" s="615"/>
      <c r="GP55" s="615"/>
      <c r="GQ55" s="615"/>
      <c r="GR55" s="615"/>
      <c r="GS55" s="615"/>
      <c r="GT55" s="615"/>
      <c r="GU55" s="609"/>
      <c r="GV55" s="609"/>
      <c r="GW55" s="609"/>
      <c r="GX55" s="609"/>
      <c r="GY55" s="609"/>
      <c r="GZ55" s="609"/>
      <c r="HA55" s="609"/>
      <c r="HB55" s="609"/>
      <c r="HC55" s="609"/>
      <c r="HD55" s="609"/>
      <c r="HE55" s="609"/>
      <c r="HF55" s="616"/>
      <c r="HG55" s="616"/>
      <c r="HH55" s="616"/>
      <c r="HI55" s="616"/>
      <c r="HJ55" s="616"/>
      <c r="HK55" s="616"/>
      <c r="HL55" s="616"/>
      <c r="HM55" s="616"/>
      <c r="HN55" s="616"/>
      <c r="HO55" s="616"/>
      <c r="HP55" s="616"/>
      <c r="HQ55" s="617"/>
      <c r="HR55" s="617"/>
      <c r="HS55" s="617"/>
      <c r="HT55" s="617"/>
      <c r="HU55" s="617"/>
      <c r="HV55" s="617"/>
    </row>
    <row r="56" ht="47.25">
      <c r="A56" s="559">
        <v>55</v>
      </c>
      <c r="B56" s="602">
        <v>38</v>
      </c>
      <c r="C56" s="469"/>
      <c r="D56" s="469" t="s">
        <v>1055</v>
      </c>
      <c r="E56" s="560" t="s">
        <v>576</v>
      </c>
      <c r="F56" s="564" t="s">
        <v>576</v>
      </c>
      <c r="G56" s="561" t="s">
        <v>1056</v>
      </c>
      <c r="H56" s="562" t="s">
        <v>26</v>
      </c>
      <c r="I56" s="562" t="s">
        <v>1057</v>
      </c>
      <c r="J56" s="562" t="s">
        <v>1058</v>
      </c>
      <c r="K56" s="469" t="s">
        <v>1059</v>
      </c>
      <c r="L56" s="563">
        <v>42636</v>
      </c>
      <c r="M56" s="563">
        <v>42634</v>
      </c>
      <c r="N56" s="603" t="s">
        <v>1060</v>
      </c>
      <c r="O56" s="604" t="s">
        <v>1061</v>
      </c>
      <c r="P56" s="605" t="s">
        <v>583</v>
      </c>
      <c r="Q56" s="603" t="s">
        <v>364</v>
      </c>
      <c r="R56" s="605" t="s">
        <v>584</v>
      </c>
      <c r="S56" s="605" t="s">
        <v>585</v>
      </c>
      <c r="T56" s="234" t="s">
        <v>584</v>
      </c>
      <c r="U56" s="234" t="s">
        <v>585</v>
      </c>
      <c r="V56" s="562">
        <v>1</v>
      </c>
      <c r="W56" s="562" t="s">
        <v>0</v>
      </c>
      <c r="X56" s="564" t="s">
        <v>576</v>
      </c>
      <c r="Y56" s="564" t="s">
        <v>1062</v>
      </c>
      <c r="Z56" s="564" t="s">
        <v>587</v>
      </c>
      <c r="AA56" s="564">
        <v>3</v>
      </c>
      <c r="AB56" s="565" t="s">
        <v>596</v>
      </c>
      <c r="AC56" s="565" t="s">
        <v>596</v>
      </c>
      <c r="AD56" s="565" t="s">
        <v>596</v>
      </c>
      <c r="AE56" s="565"/>
      <c r="AF56" s="566" t="s">
        <v>597</v>
      </c>
      <c r="AG56" s="565" t="s">
        <v>598</v>
      </c>
      <c r="AH56" s="565" t="s">
        <v>598</v>
      </c>
      <c r="AI56" s="565" t="s">
        <v>598</v>
      </c>
      <c r="AJ56" s="565"/>
      <c r="AK56" s="562" t="s">
        <v>599</v>
      </c>
      <c r="AL56" s="564">
        <v>2100</v>
      </c>
      <c r="AM56" s="564" t="s">
        <v>593</v>
      </c>
      <c r="AN56" s="567"/>
      <c r="AO56" s="567"/>
      <c r="AP56" s="567"/>
      <c r="AQ56" s="567"/>
      <c r="AR56" s="568"/>
      <c r="AS56" s="568"/>
      <c r="AT56" s="568"/>
      <c r="AU56" s="568"/>
      <c r="AV56" s="663" t="s">
        <v>601</v>
      </c>
      <c r="AW56" s="568"/>
      <c r="AX56" s="568"/>
      <c r="AY56" s="568"/>
      <c r="AZ56" s="568"/>
      <c r="BA56" s="663" t="s">
        <v>601</v>
      </c>
      <c r="BB56" s="567"/>
      <c r="BC56" s="567"/>
      <c r="BD56" s="569"/>
      <c r="BE56" s="569"/>
      <c r="BF56" s="569"/>
      <c r="BG56" s="569"/>
      <c r="BH56" s="569"/>
      <c r="BI56" s="569"/>
      <c r="BJ56" s="569"/>
      <c r="BK56" s="569"/>
      <c r="BL56" s="566" t="s">
        <v>601</v>
      </c>
      <c r="BM56" s="569"/>
      <c r="BN56" s="569"/>
      <c r="BO56" s="569"/>
      <c r="BP56" s="569"/>
      <c r="BQ56" s="562" t="s">
        <v>601</v>
      </c>
      <c r="BR56" s="569"/>
      <c r="BS56" s="569"/>
      <c r="BT56" s="570" t="s">
        <v>601</v>
      </c>
      <c r="BU56" s="570" t="s">
        <v>601</v>
      </c>
      <c r="BV56" s="570" t="s">
        <v>601</v>
      </c>
      <c r="BW56" s="570" t="s">
        <v>601</v>
      </c>
      <c r="BX56" s="571" t="s">
        <v>601</v>
      </c>
      <c r="BY56" s="571" t="s">
        <v>601</v>
      </c>
      <c r="BZ56" s="571" t="s">
        <v>601</v>
      </c>
      <c r="CA56" s="566" t="s">
        <v>601</v>
      </c>
      <c r="CB56" s="571" t="s">
        <v>601</v>
      </c>
      <c r="CC56" s="571" t="s">
        <v>601</v>
      </c>
      <c r="CD56" s="571" t="s">
        <v>601</v>
      </c>
      <c r="CE56" s="562" t="s">
        <v>601</v>
      </c>
      <c r="CF56" s="570" t="s">
        <v>601</v>
      </c>
      <c r="CG56" s="570" t="s">
        <v>601</v>
      </c>
      <c r="CH56" s="572" t="s">
        <v>601</v>
      </c>
      <c r="CI56" s="572" t="s">
        <v>601</v>
      </c>
      <c r="CJ56" s="572" t="s">
        <v>601</v>
      </c>
      <c r="CK56" s="572" t="s">
        <v>601</v>
      </c>
      <c r="CL56" s="573" t="s">
        <v>601</v>
      </c>
      <c r="CM56" s="573" t="s">
        <v>601</v>
      </c>
      <c r="CN56" s="573" t="s">
        <v>601</v>
      </c>
      <c r="CO56" s="566" t="s">
        <v>601</v>
      </c>
      <c r="CP56" s="573" t="s">
        <v>601</v>
      </c>
      <c r="CQ56" s="573" t="s">
        <v>601</v>
      </c>
      <c r="CR56" s="573" t="s">
        <v>601</v>
      </c>
      <c r="CS56" s="562" t="s">
        <v>601</v>
      </c>
      <c r="CT56" s="572" t="s">
        <v>601</v>
      </c>
      <c r="CU56" s="572" t="s">
        <v>601</v>
      </c>
      <c r="CV56" s="574" t="s">
        <v>601</v>
      </c>
      <c r="CW56" s="574" t="s">
        <v>601</v>
      </c>
      <c r="CX56" s="574" t="s">
        <v>601</v>
      </c>
      <c r="CY56" s="574" t="s">
        <v>601</v>
      </c>
      <c r="CZ56" s="575" t="s">
        <v>601</v>
      </c>
      <c r="DA56" s="575" t="s">
        <v>601</v>
      </c>
      <c r="DB56" s="575" t="s">
        <v>601</v>
      </c>
      <c r="DC56" s="566" t="s">
        <v>601</v>
      </c>
      <c r="DD56" s="575" t="s">
        <v>601</v>
      </c>
      <c r="DE56" s="575" t="s">
        <v>601</v>
      </c>
      <c r="DF56" s="575" t="s">
        <v>601</v>
      </c>
      <c r="DG56" s="562" t="s">
        <v>601</v>
      </c>
      <c r="DH56" s="574" t="s">
        <v>601</v>
      </c>
      <c r="DI56" s="574" t="s">
        <v>601</v>
      </c>
      <c r="DJ56" s="469">
        <v>1</v>
      </c>
      <c r="DK56" s="469" t="s">
        <v>623</v>
      </c>
      <c r="DL56" s="469" t="s">
        <v>601</v>
      </c>
      <c r="DM56" s="469" t="s">
        <v>601</v>
      </c>
      <c r="DN56" s="469" t="s">
        <v>604</v>
      </c>
      <c r="DO56" s="469" t="s">
        <v>604</v>
      </c>
      <c r="DP56" s="469" t="s">
        <v>604</v>
      </c>
      <c r="DQ56" s="469">
        <v>1</v>
      </c>
      <c r="DR56" s="576"/>
      <c r="DS56" s="606"/>
      <c r="DT56" s="606"/>
      <c r="DU56" s="562"/>
      <c r="DV56" s="606"/>
      <c r="DW56" s="606"/>
      <c r="DX56" s="607"/>
      <c r="DY56" s="611"/>
      <c r="DZ56" s="607"/>
      <c r="EA56" s="607"/>
      <c r="EB56" s="607"/>
      <c r="EC56" s="607"/>
      <c r="ED56" s="562"/>
      <c r="EE56" s="607"/>
      <c r="EF56" s="607"/>
      <c r="EG56" s="607"/>
      <c r="EH56" s="562"/>
      <c r="EI56" s="607"/>
      <c r="EJ56" s="607"/>
      <c r="EK56" s="608"/>
      <c r="EL56" s="608"/>
      <c r="EM56" s="608"/>
      <c r="EN56" s="608"/>
      <c r="EO56" s="608"/>
      <c r="EP56" s="608"/>
      <c r="EQ56" s="562"/>
      <c r="ER56" s="608"/>
      <c r="ES56" s="608"/>
      <c r="ET56" s="608"/>
      <c r="EU56" s="562"/>
      <c r="EV56" s="608"/>
      <c r="EW56" s="608"/>
      <c r="EX56" s="609"/>
      <c r="EY56" s="609"/>
      <c r="EZ56" s="609"/>
      <c r="FA56" s="609"/>
      <c r="FB56" s="609"/>
      <c r="FC56" s="609"/>
      <c r="FD56" s="562"/>
      <c r="FE56" s="609"/>
      <c r="FF56" s="609"/>
      <c r="FG56" s="609"/>
      <c r="FH56" s="562"/>
      <c r="FI56" s="609"/>
      <c r="FJ56" s="609"/>
      <c r="FK56" s="562"/>
      <c r="FL56" s="562"/>
      <c r="FM56" s="562"/>
      <c r="FN56" s="562"/>
      <c r="FO56" s="562"/>
      <c r="FP56" s="562"/>
      <c r="FQ56" s="562"/>
      <c r="FR56" s="562"/>
      <c r="FS56" s="562"/>
      <c r="FT56" s="562"/>
      <c r="FU56" s="562"/>
      <c r="FV56" s="562"/>
      <c r="FW56" s="562"/>
      <c r="FX56" s="610"/>
      <c r="FY56" s="611"/>
      <c r="FZ56" s="611"/>
      <c r="GA56" s="562"/>
      <c r="GB56" s="612"/>
      <c r="GC56" s="603"/>
      <c r="GD56" s="603"/>
      <c r="GE56" s="613"/>
      <c r="GF56" s="613"/>
      <c r="GG56" s="613"/>
      <c r="GH56" s="614"/>
      <c r="GI56" s="614"/>
      <c r="GJ56" s="615"/>
      <c r="GK56" s="615"/>
      <c r="GL56" s="615"/>
      <c r="GM56" s="615"/>
      <c r="GN56" s="615"/>
      <c r="GO56" s="615"/>
      <c r="GP56" s="615"/>
      <c r="GQ56" s="615"/>
      <c r="GR56" s="615"/>
      <c r="GS56" s="615"/>
      <c r="GT56" s="615"/>
      <c r="GU56" s="609"/>
      <c r="GV56" s="609"/>
      <c r="GW56" s="609"/>
      <c r="GX56" s="609"/>
      <c r="GY56" s="609"/>
      <c r="GZ56" s="609"/>
      <c r="HA56" s="609"/>
      <c r="HB56" s="609"/>
      <c r="HC56" s="609"/>
      <c r="HD56" s="609"/>
      <c r="HE56" s="609"/>
      <c r="HF56" s="616"/>
      <c r="HG56" s="616"/>
      <c r="HH56" s="616"/>
      <c r="HI56" s="616"/>
      <c r="HJ56" s="616"/>
      <c r="HK56" s="616"/>
      <c r="HL56" s="616"/>
      <c r="HM56" s="616"/>
      <c r="HN56" s="616"/>
      <c r="HO56" s="616"/>
      <c r="HP56" s="616"/>
      <c r="HQ56" s="617"/>
      <c r="HR56" s="617"/>
      <c r="HS56" s="617"/>
      <c r="HT56" s="617"/>
      <c r="HU56" s="617"/>
      <c r="HV56" s="617"/>
    </row>
    <row r="57" ht="47.25">
      <c r="A57" s="559">
        <v>56</v>
      </c>
      <c r="B57" s="602">
        <v>38</v>
      </c>
      <c r="C57" s="469"/>
      <c r="D57" s="469" t="s">
        <v>1063</v>
      </c>
      <c r="E57" s="560" t="s">
        <v>576</v>
      </c>
      <c r="F57" s="564" t="s">
        <v>576</v>
      </c>
      <c r="G57" s="561" t="s">
        <v>1064</v>
      </c>
      <c r="H57" s="562" t="s">
        <v>26</v>
      </c>
      <c r="I57" s="562" t="s">
        <v>1065</v>
      </c>
      <c r="J57" s="562" t="s">
        <v>1066</v>
      </c>
      <c r="K57" s="469" t="s">
        <v>1067</v>
      </c>
      <c r="L57" s="563">
        <v>42636</v>
      </c>
      <c r="M57" s="563">
        <v>42635</v>
      </c>
      <c r="N57" s="603" t="s">
        <v>1068</v>
      </c>
      <c r="O57" s="604" t="s">
        <v>1069</v>
      </c>
      <c r="P57" s="605" t="s">
        <v>583</v>
      </c>
      <c r="Q57" s="603" t="s">
        <v>364</v>
      </c>
      <c r="R57" s="605" t="s">
        <v>584</v>
      </c>
      <c r="S57" s="605" t="s">
        <v>585</v>
      </c>
      <c r="T57" s="234" t="s">
        <v>584</v>
      </c>
      <c r="U57" s="234" t="s">
        <v>585</v>
      </c>
      <c r="V57" s="562">
        <v>1</v>
      </c>
      <c r="W57" s="562" t="s">
        <v>0</v>
      </c>
      <c r="X57" s="564" t="s">
        <v>576</v>
      </c>
      <c r="Y57" s="564" t="s">
        <v>1070</v>
      </c>
      <c r="Z57" s="564" t="s">
        <v>587</v>
      </c>
      <c r="AA57" s="564">
        <v>3</v>
      </c>
      <c r="AB57" s="565" t="s">
        <v>596</v>
      </c>
      <c r="AC57" s="565" t="s">
        <v>596</v>
      </c>
      <c r="AD57" s="565" t="s">
        <v>596</v>
      </c>
      <c r="AE57" s="565"/>
      <c r="AF57" s="566" t="s">
        <v>597</v>
      </c>
      <c r="AG57" s="565" t="s">
        <v>598</v>
      </c>
      <c r="AH57" s="565" t="s">
        <v>598</v>
      </c>
      <c r="AI57" s="565" t="s">
        <v>598</v>
      </c>
      <c r="AJ57" s="565"/>
      <c r="AK57" s="562" t="s">
        <v>599</v>
      </c>
      <c r="AL57" s="564">
        <v>2100</v>
      </c>
      <c r="AM57" s="564" t="s">
        <v>709</v>
      </c>
      <c r="AN57" s="567"/>
      <c r="AO57" s="567"/>
      <c r="AP57" s="567"/>
      <c r="AQ57" s="567"/>
      <c r="AR57" s="568"/>
      <c r="AS57" s="568"/>
      <c r="AT57" s="568"/>
      <c r="AU57" s="568"/>
      <c r="AV57" s="663" t="s">
        <v>601</v>
      </c>
      <c r="AW57" s="568"/>
      <c r="AX57" s="568"/>
      <c r="AY57" s="568"/>
      <c r="AZ57" s="568"/>
      <c r="BA57" s="663" t="s">
        <v>601</v>
      </c>
      <c r="BB57" s="567"/>
      <c r="BC57" s="567"/>
      <c r="BD57" s="569"/>
      <c r="BE57" s="569"/>
      <c r="BF57" s="569"/>
      <c r="BG57" s="569"/>
      <c r="BH57" s="569"/>
      <c r="BI57" s="569"/>
      <c r="BJ57" s="569"/>
      <c r="BK57" s="569"/>
      <c r="BL57" s="566" t="s">
        <v>601</v>
      </c>
      <c r="BM57" s="569"/>
      <c r="BN57" s="569"/>
      <c r="BO57" s="569"/>
      <c r="BP57" s="569"/>
      <c r="BQ57" s="562" t="s">
        <v>601</v>
      </c>
      <c r="BR57" s="569"/>
      <c r="BS57" s="569"/>
      <c r="BT57" s="570" t="s">
        <v>601</v>
      </c>
      <c r="BU57" s="570" t="s">
        <v>601</v>
      </c>
      <c r="BV57" s="570" t="s">
        <v>601</v>
      </c>
      <c r="BW57" s="570" t="s">
        <v>601</v>
      </c>
      <c r="BX57" s="571" t="s">
        <v>601</v>
      </c>
      <c r="BY57" s="571" t="s">
        <v>601</v>
      </c>
      <c r="BZ57" s="571" t="s">
        <v>601</v>
      </c>
      <c r="CA57" s="566" t="s">
        <v>601</v>
      </c>
      <c r="CB57" s="571" t="s">
        <v>601</v>
      </c>
      <c r="CC57" s="571" t="s">
        <v>601</v>
      </c>
      <c r="CD57" s="571" t="s">
        <v>601</v>
      </c>
      <c r="CE57" s="562" t="s">
        <v>601</v>
      </c>
      <c r="CF57" s="570" t="s">
        <v>601</v>
      </c>
      <c r="CG57" s="570" t="s">
        <v>601</v>
      </c>
      <c r="CH57" s="572" t="s">
        <v>601</v>
      </c>
      <c r="CI57" s="572" t="s">
        <v>601</v>
      </c>
      <c r="CJ57" s="572" t="s">
        <v>601</v>
      </c>
      <c r="CK57" s="572" t="s">
        <v>601</v>
      </c>
      <c r="CL57" s="573" t="s">
        <v>601</v>
      </c>
      <c r="CM57" s="573" t="s">
        <v>601</v>
      </c>
      <c r="CN57" s="573" t="s">
        <v>601</v>
      </c>
      <c r="CO57" s="566" t="s">
        <v>601</v>
      </c>
      <c r="CP57" s="573" t="s">
        <v>601</v>
      </c>
      <c r="CQ57" s="573" t="s">
        <v>601</v>
      </c>
      <c r="CR57" s="573" t="s">
        <v>601</v>
      </c>
      <c r="CS57" s="562" t="s">
        <v>601</v>
      </c>
      <c r="CT57" s="572" t="s">
        <v>601</v>
      </c>
      <c r="CU57" s="572" t="s">
        <v>601</v>
      </c>
      <c r="CV57" s="574" t="s">
        <v>601</v>
      </c>
      <c r="CW57" s="574" t="s">
        <v>601</v>
      </c>
      <c r="CX57" s="574" t="s">
        <v>601</v>
      </c>
      <c r="CY57" s="574" t="s">
        <v>601</v>
      </c>
      <c r="CZ57" s="575" t="s">
        <v>601</v>
      </c>
      <c r="DA57" s="575" t="s">
        <v>601</v>
      </c>
      <c r="DB57" s="575" t="s">
        <v>601</v>
      </c>
      <c r="DC57" s="566" t="s">
        <v>601</v>
      </c>
      <c r="DD57" s="575" t="s">
        <v>601</v>
      </c>
      <c r="DE57" s="575" t="s">
        <v>601</v>
      </c>
      <c r="DF57" s="575" t="s">
        <v>601</v>
      </c>
      <c r="DG57" s="562" t="s">
        <v>601</v>
      </c>
      <c r="DH57" s="574" t="s">
        <v>601</v>
      </c>
      <c r="DI57" s="574" t="s">
        <v>601</v>
      </c>
      <c r="DJ57" s="469">
        <v>1</v>
      </c>
      <c r="DK57" s="469" t="s">
        <v>623</v>
      </c>
      <c r="DL57" s="469" t="s">
        <v>601</v>
      </c>
      <c r="DM57" s="469" t="s">
        <v>601</v>
      </c>
      <c r="DN57" s="469" t="s">
        <v>604</v>
      </c>
      <c r="DO57" s="469" t="s">
        <v>604</v>
      </c>
      <c r="DP57" s="469" t="s">
        <v>604</v>
      </c>
      <c r="DQ57" s="469">
        <v>1</v>
      </c>
      <c r="DR57" s="576"/>
      <c r="DS57" s="606"/>
      <c r="DT57" s="606"/>
      <c r="DU57" s="562"/>
      <c r="DV57" s="606"/>
      <c r="DW57" s="606"/>
      <c r="DX57" s="607"/>
      <c r="DY57" s="611"/>
      <c r="DZ57" s="607"/>
      <c r="EA57" s="607"/>
      <c r="EB57" s="607"/>
      <c r="EC57" s="607"/>
      <c r="ED57" s="562"/>
      <c r="EE57" s="607"/>
      <c r="EF57" s="607"/>
      <c r="EG57" s="607"/>
      <c r="EH57" s="562"/>
      <c r="EI57" s="607"/>
      <c r="EJ57" s="607"/>
      <c r="EK57" s="608"/>
      <c r="EL57" s="608"/>
      <c r="EM57" s="608"/>
      <c r="EN57" s="608"/>
      <c r="EO57" s="608"/>
      <c r="EP57" s="608"/>
      <c r="EQ57" s="562"/>
      <c r="ER57" s="608"/>
      <c r="ES57" s="608"/>
      <c r="ET57" s="608"/>
      <c r="EU57" s="562"/>
      <c r="EV57" s="608"/>
      <c r="EW57" s="608"/>
      <c r="EX57" s="609"/>
      <c r="EY57" s="609"/>
      <c r="EZ57" s="609"/>
      <c r="FA57" s="609"/>
      <c r="FB57" s="609"/>
      <c r="FC57" s="609"/>
      <c r="FD57" s="562"/>
      <c r="FE57" s="609"/>
      <c r="FF57" s="609"/>
      <c r="FG57" s="609"/>
      <c r="FH57" s="562"/>
      <c r="FI57" s="609"/>
      <c r="FJ57" s="609"/>
      <c r="FK57" s="562"/>
      <c r="FL57" s="562"/>
      <c r="FM57" s="562"/>
      <c r="FN57" s="562"/>
      <c r="FO57" s="562"/>
      <c r="FP57" s="562"/>
      <c r="FQ57" s="562"/>
      <c r="FR57" s="562"/>
      <c r="FS57" s="562"/>
      <c r="FT57" s="562"/>
      <c r="FU57" s="562"/>
      <c r="FV57" s="562"/>
      <c r="FW57" s="562"/>
      <c r="FX57" s="610"/>
      <c r="FY57" s="611"/>
      <c r="FZ57" s="611"/>
      <c r="GA57" s="562"/>
      <c r="GB57" s="612"/>
      <c r="GC57" s="603"/>
      <c r="GD57" s="603"/>
      <c r="GE57" s="613"/>
      <c r="GF57" s="613"/>
      <c r="GG57" s="613"/>
      <c r="GH57" s="614"/>
      <c r="GI57" s="614"/>
      <c r="GJ57" s="615"/>
      <c r="GK57" s="615"/>
      <c r="GL57" s="615"/>
      <c r="GM57" s="615"/>
      <c r="GN57" s="615"/>
      <c r="GO57" s="615"/>
      <c r="GP57" s="615"/>
      <c r="GQ57" s="615"/>
      <c r="GR57" s="615"/>
      <c r="GS57" s="615"/>
      <c r="GT57" s="615"/>
      <c r="GU57" s="609"/>
      <c r="GV57" s="609"/>
      <c r="GW57" s="609"/>
      <c r="GX57" s="609"/>
      <c r="GY57" s="609"/>
      <c r="GZ57" s="609"/>
      <c r="HA57" s="609"/>
      <c r="HB57" s="609"/>
      <c r="HC57" s="609"/>
      <c r="HD57" s="609"/>
      <c r="HE57" s="609"/>
      <c r="HF57" s="616"/>
      <c r="HG57" s="616"/>
      <c r="HH57" s="616"/>
      <c r="HI57" s="616"/>
      <c r="HJ57" s="616"/>
      <c r="HK57" s="616"/>
      <c r="HL57" s="616"/>
      <c r="HM57" s="616"/>
      <c r="HN57" s="616"/>
      <c r="HO57" s="616"/>
      <c r="HP57" s="616"/>
      <c r="HQ57" s="617"/>
      <c r="HR57" s="617"/>
      <c r="HS57" s="617"/>
      <c r="HT57" s="617"/>
      <c r="HU57" s="617"/>
      <c r="HV57" s="617"/>
    </row>
    <row r="58" ht="47.25">
      <c r="A58" s="559">
        <v>57</v>
      </c>
      <c r="B58" s="602">
        <v>38</v>
      </c>
      <c r="C58" s="469"/>
      <c r="D58" s="469" t="s">
        <v>1071</v>
      </c>
      <c r="E58" s="560" t="s">
        <v>576</v>
      </c>
      <c r="F58" s="564" t="s">
        <v>576</v>
      </c>
      <c r="G58" s="561" t="s">
        <v>1072</v>
      </c>
      <c r="H58" s="562" t="s">
        <v>26</v>
      </c>
      <c r="I58" s="562" t="s">
        <v>1073</v>
      </c>
      <c r="J58" s="562" t="s">
        <v>1074</v>
      </c>
      <c r="K58" s="469" t="s">
        <v>1075</v>
      </c>
      <c r="L58" s="563">
        <v>42636</v>
      </c>
      <c r="M58" s="563">
        <v>42635</v>
      </c>
      <c r="N58" s="603" t="s">
        <v>1076</v>
      </c>
      <c r="O58" s="604" t="s">
        <v>1077</v>
      </c>
      <c r="P58" s="605" t="s">
        <v>583</v>
      </c>
      <c r="Q58" s="603" t="s">
        <v>364</v>
      </c>
      <c r="R58" s="605" t="s">
        <v>584</v>
      </c>
      <c r="S58" s="605" t="s">
        <v>585</v>
      </c>
      <c r="T58" s="234" t="s">
        <v>584</v>
      </c>
      <c r="U58" s="234" t="s">
        <v>585</v>
      </c>
      <c r="V58" s="562">
        <v>1</v>
      </c>
      <c r="W58" s="562" t="s">
        <v>0</v>
      </c>
      <c r="X58" s="564" t="s">
        <v>576</v>
      </c>
      <c r="Y58" s="564" t="s">
        <v>1078</v>
      </c>
      <c r="Z58" s="564" t="s">
        <v>587</v>
      </c>
      <c r="AA58" s="564">
        <v>3</v>
      </c>
      <c r="AB58" s="565" t="s">
        <v>596</v>
      </c>
      <c r="AC58" s="565" t="s">
        <v>596</v>
      </c>
      <c r="AD58" s="565" t="s">
        <v>596</v>
      </c>
      <c r="AE58" s="565"/>
      <c r="AF58" s="566" t="s">
        <v>597</v>
      </c>
      <c r="AG58" s="565" t="s">
        <v>598</v>
      </c>
      <c r="AH58" s="565" t="s">
        <v>598</v>
      </c>
      <c r="AI58" s="565" t="s">
        <v>598</v>
      </c>
      <c r="AJ58" s="565"/>
      <c r="AK58" s="562" t="s">
        <v>599</v>
      </c>
      <c r="AL58" s="564">
        <v>2100</v>
      </c>
      <c r="AM58" s="564" t="s">
        <v>751</v>
      </c>
      <c r="AN58" s="567"/>
      <c r="AO58" s="567"/>
      <c r="AP58" s="567"/>
      <c r="AQ58" s="567"/>
      <c r="AR58" s="568"/>
      <c r="AS58" s="568"/>
      <c r="AT58" s="568"/>
      <c r="AU58" s="568"/>
      <c r="AV58" s="663" t="s">
        <v>601</v>
      </c>
      <c r="AW58" s="568"/>
      <c r="AX58" s="568"/>
      <c r="AY58" s="568"/>
      <c r="AZ58" s="568"/>
      <c r="BA58" s="663" t="s">
        <v>601</v>
      </c>
      <c r="BB58" s="567"/>
      <c r="BC58" s="567"/>
      <c r="BD58" s="569"/>
      <c r="BE58" s="569"/>
      <c r="BF58" s="569"/>
      <c r="BG58" s="569"/>
      <c r="BH58" s="569"/>
      <c r="BI58" s="569"/>
      <c r="BJ58" s="569"/>
      <c r="BK58" s="569"/>
      <c r="BL58" s="566" t="s">
        <v>601</v>
      </c>
      <c r="BM58" s="569"/>
      <c r="BN58" s="569"/>
      <c r="BO58" s="569"/>
      <c r="BP58" s="569"/>
      <c r="BQ58" s="562" t="s">
        <v>601</v>
      </c>
      <c r="BR58" s="569"/>
      <c r="BS58" s="569"/>
      <c r="BT58" s="570" t="s">
        <v>601</v>
      </c>
      <c r="BU58" s="570" t="s">
        <v>601</v>
      </c>
      <c r="BV58" s="570" t="s">
        <v>601</v>
      </c>
      <c r="BW58" s="570" t="s">
        <v>601</v>
      </c>
      <c r="BX58" s="571" t="s">
        <v>601</v>
      </c>
      <c r="BY58" s="571" t="s">
        <v>601</v>
      </c>
      <c r="BZ58" s="571" t="s">
        <v>601</v>
      </c>
      <c r="CA58" s="566" t="s">
        <v>601</v>
      </c>
      <c r="CB58" s="571" t="s">
        <v>601</v>
      </c>
      <c r="CC58" s="571" t="s">
        <v>601</v>
      </c>
      <c r="CD58" s="571" t="s">
        <v>601</v>
      </c>
      <c r="CE58" s="562" t="s">
        <v>601</v>
      </c>
      <c r="CF58" s="570" t="s">
        <v>601</v>
      </c>
      <c r="CG58" s="570" t="s">
        <v>601</v>
      </c>
      <c r="CH58" s="572" t="s">
        <v>601</v>
      </c>
      <c r="CI58" s="572" t="s">
        <v>601</v>
      </c>
      <c r="CJ58" s="572" t="s">
        <v>601</v>
      </c>
      <c r="CK58" s="572" t="s">
        <v>601</v>
      </c>
      <c r="CL58" s="573" t="s">
        <v>601</v>
      </c>
      <c r="CM58" s="573" t="s">
        <v>601</v>
      </c>
      <c r="CN58" s="573" t="s">
        <v>601</v>
      </c>
      <c r="CO58" s="566" t="s">
        <v>601</v>
      </c>
      <c r="CP58" s="573" t="s">
        <v>601</v>
      </c>
      <c r="CQ58" s="573" t="s">
        <v>601</v>
      </c>
      <c r="CR58" s="573" t="s">
        <v>601</v>
      </c>
      <c r="CS58" s="562" t="s">
        <v>601</v>
      </c>
      <c r="CT58" s="572" t="s">
        <v>601</v>
      </c>
      <c r="CU58" s="572" t="s">
        <v>601</v>
      </c>
      <c r="CV58" s="574" t="s">
        <v>601</v>
      </c>
      <c r="CW58" s="574" t="s">
        <v>601</v>
      </c>
      <c r="CX58" s="574" t="s">
        <v>601</v>
      </c>
      <c r="CY58" s="574" t="s">
        <v>601</v>
      </c>
      <c r="CZ58" s="575" t="s">
        <v>601</v>
      </c>
      <c r="DA58" s="575" t="s">
        <v>601</v>
      </c>
      <c r="DB58" s="575" t="s">
        <v>601</v>
      </c>
      <c r="DC58" s="566" t="s">
        <v>601</v>
      </c>
      <c r="DD58" s="575" t="s">
        <v>601</v>
      </c>
      <c r="DE58" s="575" t="s">
        <v>601</v>
      </c>
      <c r="DF58" s="575" t="s">
        <v>601</v>
      </c>
      <c r="DG58" s="562" t="s">
        <v>601</v>
      </c>
      <c r="DH58" s="574" t="s">
        <v>601</v>
      </c>
      <c r="DI58" s="574" t="s">
        <v>601</v>
      </c>
      <c r="DJ58" s="469">
        <v>1</v>
      </c>
      <c r="DK58" s="469" t="s">
        <v>623</v>
      </c>
      <c r="DL58" s="469" t="s">
        <v>601</v>
      </c>
      <c r="DM58" s="469" t="s">
        <v>601</v>
      </c>
      <c r="DN58" s="469" t="s">
        <v>604</v>
      </c>
      <c r="DO58" s="469" t="s">
        <v>604</v>
      </c>
      <c r="DP58" s="469" t="s">
        <v>604</v>
      </c>
      <c r="DQ58" s="469">
        <v>1</v>
      </c>
      <c r="DR58" s="576"/>
      <c r="DS58" s="606"/>
      <c r="DT58" s="606"/>
      <c r="DU58" s="562"/>
      <c r="DV58" s="606"/>
      <c r="DW58" s="606"/>
      <c r="DX58" s="607"/>
      <c r="DY58" s="611"/>
      <c r="DZ58" s="607"/>
      <c r="EA58" s="607"/>
      <c r="EB58" s="607"/>
      <c r="EC58" s="607"/>
      <c r="ED58" s="562"/>
      <c r="EE58" s="607"/>
      <c r="EF58" s="607"/>
      <c r="EG58" s="607"/>
      <c r="EH58" s="562"/>
      <c r="EI58" s="607"/>
      <c r="EJ58" s="607"/>
      <c r="EK58" s="608"/>
      <c r="EL58" s="608"/>
      <c r="EM58" s="608"/>
      <c r="EN58" s="608"/>
      <c r="EO58" s="608"/>
      <c r="EP58" s="608"/>
      <c r="EQ58" s="562"/>
      <c r="ER58" s="608"/>
      <c r="ES58" s="608"/>
      <c r="ET58" s="608"/>
      <c r="EU58" s="562"/>
      <c r="EV58" s="608"/>
      <c r="EW58" s="608"/>
      <c r="EX58" s="609"/>
      <c r="EY58" s="609"/>
      <c r="EZ58" s="609"/>
      <c r="FA58" s="609"/>
      <c r="FB58" s="609"/>
      <c r="FC58" s="609"/>
      <c r="FD58" s="562"/>
      <c r="FE58" s="609"/>
      <c r="FF58" s="609"/>
      <c r="FG58" s="609"/>
      <c r="FH58" s="562"/>
      <c r="FI58" s="609"/>
      <c r="FJ58" s="609"/>
      <c r="FK58" s="562"/>
      <c r="FL58" s="562"/>
      <c r="FM58" s="562"/>
      <c r="FN58" s="562"/>
      <c r="FO58" s="562"/>
      <c r="FP58" s="562"/>
      <c r="FQ58" s="562"/>
      <c r="FR58" s="562"/>
      <c r="FS58" s="562"/>
      <c r="FT58" s="562"/>
      <c r="FU58" s="562"/>
      <c r="FV58" s="562"/>
      <c r="FW58" s="562"/>
      <c r="FX58" s="610"/>
      <c r="FY58" s="611"/>
      <c r="FZ58" s="611"/>
      <c r="GA58" s="562"/>
      <c r="GB58" s="612"/>
      <c r="GC58" s="603"/>
      <c r="GD58" s="603"/>
      <c r="GE58" s="613"/>
      <c r="GF58" s="613"/>
      <c r="GG58" s="613"/>
      <c r="GH58" s="614"/>
      <c r="GI58" s="614"/>
      <c r="GJ58" s="615"/>
      <c r="GK58" s="615"/>
      <c r="GL58" s="615"/>
      <c r="GM58" s="615"/>
      <c r="GN58" s="615"/>
      <c r="GO58" s="615"/>
      <c r="GP58" s="615"/>
      <c r="GQ58" s="615"/>
      <c r="GR58" s="615"/>
      <c r="GS58" s="615"/>
      <c r="GT58" s="615"/>
      <c r="GU58" s="609"/>
      <c r="GV58" s="609"/>
      <c r="GW58" s="609"/>
      <c r="GX58" s="609"/>
      <c r="GY58" s="609"/>
      <c r="GZ58" s="609"/>
      <c r="HA58" s="609"/>
      <c r="HB58" s="609"/>
      <c r="HC58" s="609"/>
      <c r="HD58" s="609"/>
      <c r="HE58" s="609"/>
      <c r="HF58" s="616"/>
      <c r="HG58" s="616"/>
      <c r="HH58" s="616"/>
      <c r="HI58" s="616"/>
      <c r="HJ58" s="616"/>
      <c r="HK58" s="616"/>
      <c r="HL58" s="616"/>
      <c r="HM58" s="616"/>
      <c r="HN58" s="616"/>
      <c r="HO58" s="616"/>
      <c r="HP58" s="616"/>
      <c r="HQ58" s="617"/>
      <c r="HR58" s="617"/>
      <c r="HS58" s="617"/>
      <c r="HT58" s="617"/>
      <c r="HU58" s="617"/>
      <c r="HV58" s="617"/>
    </row>
    <row r="59" ht="47.25">
      <c r="A59" s="559">
        <v>58</v>
      </c>
      <c r="B59" s="602">
        <v>38</v>
      </c>
      <c r="C59" s="469"/>
      <c r="D59" s="469" t="s">
        <v>1079</v>
      </c>
      <c r="E59" s="560" t="s">
        <v>576</v>
      </c>
      <c r="F59" s="564" t="s">
        <v>576</v>
      </c>
      <c r="G59" s="561" t="s">
        <v>1080</v>
      </c>
      <c r="H59" s="562" t="s">
        <v>26</v>
      </c>
      <c r="I59" s="562" t="s">
        <v>1081</v>
      </c>
      <c r="J59" s="562" t="s">
        <v>1082</v>
      </c>
      <c r="K59" s="469" t="s">
        <v>1083</v>
      </c>
      <c r="L59" s="563">
        <v>42636</v>
      </c>
      <c r="M59" s="563">
        <v>42635</v>
      </c>
      <c r="N59" s="603" t="s">
        <v>1084</v>
      </c>
      <c r="O59" s="604" t="s">
        <v>1085</v>
      </c>
      <c r="P59" s="605" t="s">
        <v>583</v>
      </c>
      <c r="Q59" s="603" t="s">
        <v>364</v>
      </c>
      <c r="R59" s="605" t="s">
        <v>584</v>
      </c>
      <c r="S59" s="605" t="s">
        <v>585</v>
      </c>
      <c r="T59" s="234" t="s">
        <v>584</v>
      </c>
      <c r="U59" s="234" t="s">
        <v>585</v>
      </c>
      <c r="V59" s="562">
        <v>1</v>
      </c>
      <c r="W59" s="562" t="s">
        <v>0</v>
      </c>
      <c r="X59" s="564" t="s">
        <v>576</v>
      </c>
      <c r="Y59" s="564" t="s">
        <v>1086</v>
      </c>
      <c r="Z59" s="564" t="s">
        <v>587</v>
      </c>
      <c r="AA59" s="564">
        <v>3</v>
      </c>
      <c r="AB59" s="565" t="s">
        <v>596</v>
      </c>
      <c r="AC59" s="565" t="s">
        <v>596</v>
      </c>
      <c r="AD59" s="565" t="s">
        <v>596</v>
      </c>
      <c r="AE59" s="565"/>
      <c r="AF59" s="566" t="s">
        <v>597</v>
      </c>
      <c r="AG59" s="565" t="s">
        <v>598</v>
      </c>
      <c r="AH59" s="565" t="s">
        <v>598</v>
      </c>
      <c r="AI59" s="565" t="s">
        <v>598</v>
      </c>
      <c r="AJ59" s="565"/>
      <c r="AK59" s="562" t="s">
        <v>599</v>
      </c>
      <c r="AL59" s="564">
        <v>2100</v>
      </c>
      <c r="AM59" s="564" t="s">
        <v>593</v>
      </c>
      <c r="AN59" s="567"/>
      <c r="AO59" s="567"/>
      <c r="AP59" s="567"/>
      <c r="AQ59" s="567"/>
      <c r="AR59" s="568"/>
      <c r="AS59" s="568"/>
      <c r="AT59" s="568"/>
      <c r="AU59" s="568"/>
      <c r="AV59" s="663" t="s">
        <v>601</v>
      </c>
      <c r="AW59" s="568"/>
      <c r="AX59" s="568"/>
      <c r="AY59" s="568"/>
      <c r="AZ59" s="568"/>
      <c r="BA59" s="663" t="s">
        <v>601</v>
      </c>
      <c r="BB59" s="567"/>
      <c r="BC59" s="567"/>
      <c r="BD59" s="569"/>
      <c r="BE59" s="569"/>
      <c r="BF59" s="569"/>
      <c r="BG59" s="569"/>
      <c r="BH59" s="569"/>
      <c r="BI59" s="569"/>
      <c r="BJ59" s="569"/>
      <c r="BK59" s="569"/>
      <c r="BL59" s="566" t="s">
        <v>601</v>
      </c>
      <c r="BM59" s="569"/>
      <c r="BN59" s="569"/>
      <c r="BO59" s="569"/>
      <c r="BP59" s="569"/>
      <c r="BQ59" s="562" t="s">
        <v>601</v>
      </c>
      <c r="BR59" s="569"/>
      <c r="BS59" s="569"/>
      <c r="BT59" s="570" t="s">
        <v>601</v>
      </c>
      <c r="BU59" s="570" t="s">
        <v>601</v>
      </c>
      <c r="BV59" s="570" t="s">
        <v>601</v>
      </c>
      <c r="BW59" s="570" t="s">
        <v>601</v>
      </c>
      <c r="BX59" s="571" t="s">
        <v>601</v>
      </c>
      <c r="BY59" s="571" t="s">
        <v>601</v>
      </c>
      <c r="BZ59" s="571" t="s">
        <v>601</v>
      </c>
      <c r="CA59" s="566" t="s">
        <v>601</v>
      </c>
      <c r="CB59" s="571" t="s">
        <v>601</v>
      </c>
      <c r="CC59" s="571" t="s">
        <v>601</v>
      </c>
      <c r="CD59" s="571" t="s">
        <v>601</v>
      </c>
      <c r="CE59" s="562" t="s">
        <v>601</v>
      </c>
      <c r="CF59" s="570" t="s">
        <v>601</v>
      </c>
      <c r="CG59" s="570" t="s">
        <v>601</v>
      </c>
      <c r="CH59" s="572" t="s">
        <v>601</v>
      </c>
      <c r="CI59" s="572" t="s">
        <v>601</v>
      </c>
      <c r="CJ59" s="572" t="s">
        <v>601</v>
      </c>
      <c r="CK59" s="572" t="s">
        <v>601</v>
      </c>
      <c r="CL59" s="573" t="s">
        <v>601</v>
      </c>
      <c r="CM59" s="573" t="s">
        <v>601</v>
      </c>
      <c r="CN59" s="573" t="s">
        <v>601</v>
      </c>
      <c r="CO59" s="566" t="s">
        <v>601</v>
      </c>
      <c r="CP59" s="573" t="s">
        <v>601</v>
      </c>
      <c r="CQ59" s="573" t="s">
        <v>601</v>
      </c>
      <c r="CR59" s="573" t="s">
        <v>601</v>
      </c>
      <c r="CS59" s="562" t="s">
        <v>601</v>
      </c>
      <c r="CT59" s="572" t="s">
        <v>601</v>
      </c>
      <c r="CU59" s="572" t="s">
        <v>601</v>
      </c>
      <c r="CV59" s="574" t="s">
        <v>601</v>
      </c>
      <c r="CW59" s="574" t="s">
        <v>601</v>
      </c>
      <c r="CX59" s="574" t="s">
        <v>601</v>
      </c>
      <c r="CY59" s="574" t="s">
        <v>601</v>
      </c>
      <c r="CZ59" s="575" t="s">
        <v>601</v>
      </c>
      <c r="DA59" s="575" t="s">
        <v>601</v>
      </c>
      <c r="DB59" s="575" t="s">
        <v>601</v>
      </c>
      <c r="DC59" s="566" t="s">
        <v>601</v>
      </c>
      <c r="DD59" s="575" t="s">
        <v>601</v>
      </c>
      <c r="DE59" s="575" t="s">
        <v>601</v>
      </c>
      <c r="DF59" s="575" t="s">
        <v>601</v>
      </c>
      <c r="DG59" s="562" t="s">
        <v>601</v>
      </c>
      <c r="DH59" s="574" t="s">
        <v>601</v>
      </c>
      <c r="DI59" s="574" t="s">
        <v>601</v>
      </c>
      <c r="DJ59" s="469">
        <v>1</v>
      </c>
      <c r="DK59" s="469" t="s">
        <v>623</v>
      </c>
      <c r="DL59" s="469" t="s">
        <v>601</v>
      </c>
      <c r="DM59" s="469" t="s">
        <v>601</v>
      </c>
      <c r="DN59" s="469" t="s">
        <v>604</v>
      </c>
      <c r="DO59" s="469" t="s">
        <v>604</v>
      </c>
      <c r="DP59" s="469" t="s">
        <v>604</v>
      </c>
      <c r="DQ59" s="469">
        <v>1</v>
      </c>
      <c r="DR59" s="576"/>
      <c r="DS59" s="606"/>
      <c r="DT59" s="606"/>
      <c r="DU59" s="562"/>
      <c r="DV59" s="606"/>
      <c r="DW59" s="606"/>
      <c r="DX59" s="607"/>
      <c r="DY59" s="611"/>
      <c r="DZ59" s="607"/>
      <c r="EA59" s="607"/>
      <c r="EB59" s="607"/>
      <c r="EC59" s="607"/>
      <c r="ED59" s="562"/>
      <c r="EE59" s="607"/>
      <c r="EF59" s="607"/>
      <c r="EG59" s="607"/>
      <c r="EH59" s="562"/>
      <c r="EI59" s="607"/>
      <c r="EJ59" s="607"/>
      <c r="EK59" s="608"/>
      <c r="EL59" s="608"/>
      <c r="EM59" s="608"/>
      <c r="EN59" s="608"/>
      <c r="EO59" s="608"/>
      <c r="EP59" s="608"/>
      <c r="EQ59" s="562"/>
      <c r="ER59" s="608"/>
      <c r="ES59" s="608"/>
      <c r="ET59" s="608"/>
      <c r="EU59" s="562"/>
      <c r="EV59" s="608"/>
      <c r="EW59" s="608"/>
      <c r="EX59" s="609"/>
      <c r="EY59" s="609"/>
      <c r="EZ59" s="609"/>
      <c r="FA59" s="609"/>
      <c r="FB59" s="609"/>
      <c r="FC59" s="609"/>
      <c r="FD59" s="562"/>
      <c r="FE59" s="609"/>
      <c r="FF59" s="609"/>
      <c r="FG59" s="609"/>
      <c r="FH59" s="562"/>
      <c r="FI59" s="609"/>
      <c r="FJ59" s="609"/>
      <c r="FK59" s="562"/>
      <c r="FL59" s="562"/>
      <c r="FM59" s="562"/>
      <c r="FN59" s="562"/>
      <c r="FO59" s="562"/>
      <c r="FP59" s="562"/>
      <c r="FQ59" s="562"/>
      <c r="FR59" s="562"/>
      <c r="FS59" s="562"/>
      <c r="FT59" s="562"/>
      <c r="FU59" s="562"/>
      <c r="FV59" s="562"/>
      <c r="FW59" s="562"/>
      <c r="FX59" s="610"/>
      <c r="FY59" s="611"/>
      <c r="FZ59" s="611"/>
      <c r="GA59" s="562"/>
      <c r="GB59" s="612"/>
      <c r="GC59" s="603"/>
      <c r="GD59" s="603"/>
      <c r="GE59" s="613"/>
      <c r="GF59" s="613"/>
      <c r="GG59" s="613"/>
      <c r="GH59" s="614"/>
      <c r="GI59" s="614"/>
      <c r="GJ59" s="615"/>
      <c r="GK59" s="615"/>
      <c r="GL59" s="615"/>
      <c r="GM59" s="615"/>
      <c r="GN59" s="615"/>
      <c r="GO59" s="615"/>
      <c r="GP59" s="615"/>
      <c r="GQ59" s="615"/>
      <c r="GR59" s="615"/>
      <c r="GS59" s="615"/>
      <c r="GT59" s="615"/>
      <c r="GU59" s="609"/>
      <c r="GV59" s="609"/>
      <c r="GW59" s="609"/>
      <c r="GX59" s="609"/>
      <c r="GY59" s="609"/>
      <c r="GZ59" s="609"/>
      <c r="HA59" s="609"/>
      <c r="HB59" s="609"/>
      <c r="HC59" s="609"/>
      <c r="HD59" s="609"/>
      <c r="HE59" s="609"/>
      <c r="HF59" s="616"/>
      <c r="HG59" s="616"/>
      <c r="HH59" s="616"/>
      <c r="HI59" s="616"/>
      <c r="HJ59" s="616"/>
      <c r="HK59" s="616"/>
      <c r="HL59" s="616"/>
      <c r="HM59" s="616"/>
      <c r="HN59" s="616"/>
      <c r="HO59" s="616"/>
      <c r="HP59" s="616"/>
      <c r="HQ59" s="617"/>
      <c r="HR59" s="617"/>
      <c r="HS59" s="617"/>
      <c r="HT59" s="617"/>
      <c r="HU59" s="617"/>
      <c r="HV59" s="617"/>
    </row>
    <row r="60" ht="47.25">
      <c r="A60" s="559">
        <v>59</v>
      </c>
      <c r="B60" s="602">
        <v>38</v>
      </c>
      <c r="C60" s="469"/>
      <c r="D60" s="469" t="s">
        <v>1087</v>
      </c>
      <c r="E60" s="560" t="s">
        <v>576</v>
      </c>
      <c r="F60" s="564" t="s">
        <v>576</v>
      </c>
      <c r="G60" s="561" t="s">
        <v>1088</v>
      </c>
      <c r="H60" s="562" t="s">
        <v>26</v>
      </c>
      <c r="I60" s="562" t="s">
        <v>1089</v>
      </c>
      <c r="J60" s="562" t="s">
        <v>1090</v>
      </c>
      <c r="K60" s="469" t="s">
        <v>1091</v>
      </c>
      <c r="L60" s="563">
        <v>42636</v>
      </c>
      <c r="M60" s="563">
        <v>42635</v>
      </c>
      <c r="N60" s="603" t="s">
        <v>1092</v>
      </c>
      <c r="O60" s="604" t="s">
        <v>1093</v>
      </c>
      <c r="P60" s="605" t="s">
        <v>583</v>
      </c>
      <c r="Q60" s="603" t="s">
        <v>364</v>
      </c>
      <c r="R60" s="605" t="s">
        <v>584</v>
      </c>
      <c r="S60" s="605" t="s">
        <v>585</v>
      </c>
      <c r="T60" s="234" t="s">
        <v>584</v>
      </c>
      <c r="U60" s="234" t="s">
        <v>585</v>
      </c>
      <c r="V60" s="562">
        <v>2</v>
      </c>
      <c r="W60" s="562" t="s">
        <v>0</v>
      </c>
      <c r="X60" s="564" t="s">
        <v>576</v>
      </c>
      <c r="Y60" s="564" t="s">
        <v>1094</v>
      </c>
      <c r="Z60" s="564" t="s">
        <v>587</v>
      </c>
      <c r="AA60" s="564">
        <v>3</v>
      </c>
      <c r="AB60" s="565" t="s">
        <v>596</v>
      </c>
      <c r="AC60" s="565" t="s">
        <v>596</v>
      </c>
      <c r="AD60" s="565" t="s">
        <v>596</v>
      </c>
      <c r="AE60" s="565"/>
      <c r="AF60" s="566" t="s">
        <v>597</v>
      </c>
      <c r="AG60" s="565" t="s">
        <v>598</v>
      </c>
      <c r="AH60" s="565" t="s">
        <v>598</v>
      </c>
      <c r="AI60" s="565" t="s">
        <v>598</v>
      </c>
      <c r="AJ60" s="565"/>
      <c r="AK60" s="562" t="s">
        <v>599</v>
      </c>
      <c r="AL60" s="564" t="s">
        <v>594</v>
      </c>
      <c r="AM60" s="564" t="s">
        <v>658</v>
      </c>
      <c r="AN60" s="567" t="s">
        <v>576</v>
      </c>
      <c r="AO60" s="567" t="s">
        <v>1094</v>
      </c>
      <c r="AP60" s="567" t="s">
        <v>587</v>
      </c>
      <c r="AQ60" s="567">
        <v>3</v>
      </c>
      <c r="AR60" s="568" t="s">
        <v>596</v>
      </c>
      <c r="AS60" s="568" t="s">
        <v>596</v>
      </c>
      <c r="AT60" s="568" t="s">
        <v>596</v>
      </c>
      <c r="AU60" s="568"/>
      <c r="AV60" s="663" t="s">
        <v>597</v>
      </c>
      <c r="AW60" s="568" t="s">
        <v>598</v>
      </c>
      <c r="AX60" s="568" t="s">
        <v>598</v>
      </c>
      <c r="AY60" s="568" t="s">
        <v>598</v>
      </c>
      <c r="AZ60" s="568"/>
      <c r="BA60" s="663" t="s">
        <v>599</v>
      </c>
      <c r="BB60" s="567" t="s">
        <v>600</v>
      </c>
      <c r="BC60" s="567" t="s">
        <v>658</v>
      </c>
      <c r="BD60" s="569"/>
      <c r="BE60" s="569"/>
      <c r="BF60" s="569"/>
      <c r="BG60" s="569"/>
      <c r="BH60" s="569"/>
      <c r="BI60" s="569"/>
      <c r="BJ60" s="569"/>
      <c r="BK60" s="569"/>
      <c r="BL60" s="566" t="s">
        <v>601</v>
      </c>
      <c r="BM60" s="569"/>
      <c r="BN60" s="569"/>
      <c r="BO60" s="569"/>
      <c r="BP60" s="569"/>
      <c r="BQ60" s="562" t="s">
        <v>601</v>
      </c>
      <c r="BR60" s="569"/>
      <c r="BS60" s="569"/>
      <c r="BT60" s="570" t="s">
        <v>601</v>
      </c>
      <c r="BU60" s="570" t="s">
        <v>601</v>
      </c>
      <c r="BV60" s="570" t="s">
        <v>601</v>
      </c>
      <c r="BW60" s="570" t="s">
        <v>601</v>
      </c>
      <c r="BX60" s="571" t="s">
        <v>601</v>
      </c>
      <c r="BY60" s="571" t="s">
        <v>601</v>
      </c>
      <c r="BZ60" s="571" t="s">
        <v>601</v>
      </c>
      <c r="CA60" s="566" t="s">
        <v>601</v>
      </c>
      <c r="CB60" s="571" t="s">
        <v>601</v>
      </c>
      <c r="CC60" s="571" t="s">
        <v>601</v>
      </c>
      <c r="CD60" s="571" t="s">
        <v>601</v>
      </c>
      <c r="CE60" s="562" t="s">
        <v>601</v>
      </c>
      <c r="CF60" s="570" t="s">
        <v>601</v>
      </c>
      <c r="CG60" s="570" t="s">
        <v>601</v>
      </c>
      <c r="CH60" s="572" t="s">
        <v>601</v>
      </c>
      <c r="CI60" s="572" t="s">
        <v>601</v>
      </c>
      <c r="CJ60" s="572" t="s">
        <v>601</v>
      </c>
      <c r="CK60" s="572" t="s">
        <v>601</v>
      </c>
      <c r="CL60" s="573" t="s">
        <v>601</v>
      </c>
      <c r="CM60" s="573" t="s">
        <v>601</v>
      </c>
      <c r="CN60" s="573" t="s">
        <v>601</v>
      </c>
      <c r="CO60" s="566" t="s">
        <v>601</v>
      </c>
      <c r="CP60" s="573" t="s">
        <v>601</v>
      </c>
      <c r="CQ60" s="573" t="s">
        <v>601</v>
      </c>
      <c r="CR60" s="573" t="s">
        <v>601</v>
      </c>
      <c r="CS60" s="562" t="s">
        <v>601</v>
      </c>
      <c r="CT60" s="572" t="s">
        <v>601</v>
      </c>
      <c r="CU60" s="572" t="s">
        <v>601</v>
      </c>
      <c r="CV60" s="574" t="s">
        <v>601</v>
      </c>
      <c r="CW60" s="574" t="s">
        <v>601</v>
      </c>
      <c r="CX60" s="574" t="s">
        <v>601</v>
      </c>
      <c r="CY60" s="574" t="s">
        <v>601</v>
      </c>
      <c r="CZ60" s="575" t="s">
        <v>601</v>
      </c>
      <c r="DA60" s="575" t="s">
        <v>601</v>
      </c>
      <c r="DB60" s="575" t="s">
        <v>601</v>
      </c>
      <c r="DC60" s="566" t="s">
        <v>601</v>
      </c>
      <c r="DD60" s="575" t="s">
        <v>601</v>
      </c>
      <c r="DE60" s="575" t="s">
        <v>601</v>
      </c>
      <c r="DF60" s="575" t="s">
        <v>601</v>
      </c>
      <c r="DG60" s="562" t="s">
        <v>601</v>
      </c>
      <c r="DH60" s="574" t="s">
        <v>601</v>
      </c>
      <c r="DI60" s="574" t="s">
        <v>601</v>
      </c>
      <c r="DJ60" s="469">
        <v>2</v>
      </c>
      <c r="DK60" s="469" t="s">
        <v>614</v>
      </c>
      <c r="DL60" s="469" t="s">
        <v>603</v>
      </c>
      <c r="DM60" s="469" t="s">
        <v>601</v>
      </c>
      <c r="DN60" s="469" t="s">
        <v>604</v>
      </c>
      <c r="DO60" s="469" t="s">
        <v>604</v>
      </c>
      <c r="DP60" s="469" t="s">
        <v>604</v>
      </c>
      <c r="DQ60" s="469">
        <v>2</v>
      </c>
      <c r="DR60" s="576"/>
      <c r="DS60" s="606"/>
      <c r="DT60" s="606"/>
      <c r="DU60" s="562"/>
      <c r="DV60" s="606"/>
      <c r="DW60" s="606"/>
      <c r="DX60" s="607"/>
      <c r="DY60" s="611"/>
      <c r="DZ60" s="607"/>
      <c r="EA60" s="607"/>
      <c r="EB60" s="607"/>
      <c r="EC60" s="607"/>
      <c r="ED60" s="562"/>
      <c r="EE60" s="607"/>
      <c r="EF60" s="607"/>
      <c r="EG60" s="607"/>
      <c r="EH60" s="562"/>
      <c r="EI60" s="607"/>
      <c r="EJ60" s="607"/>
      <c r="EK60" s="608"/>
      <c r="EL60" s="608"/>
      <c r="EM60" s="608"/>
      <c r="EN60" s="608"/>
      <c r="EO60" s="608"/>
      <c r="EP60" s="608"/>
      <c r="EQ60" s="562"/>
      <c r="ER60" s="608"/>
      <c r="ES60" s="608"/>
      <c r="ET60" s="608"/>
      <c r="EU60" s="562"/>
      <c r="EV60" s="608"/>
      <c r="EW60" s="608"/>
      <c r="EX60" s="609"/>
      <c r="EY60" s="609"/>
      <c r="EZ60" s="609"/>
      <c r="FA60" s="609"/>
      <c r="FB60" s="609"/>
      <c r="FC60" s="609"/>
      <c r="FD60" s="562"/>
      <c r="FE60" s="609"/>
      <c r="FF60" s="609"/>
      <c r="FG60" s="609"/>
      <c r="FH60" s="562"/>
      <c r="FI60" s="609"/>
      <c r="FJ60" s="609"/>
      <c r="FK60" s="562"/>
      <c r="FL60" s="562"/>
      <c r="FM60" s="562"/>
      <c r="FN60" s="562"/>
      <c r="FO60" s="562"/>
      <c r="FP60" s="562"/>
      <c r="FQ60" s="562"/>
      <c r="FR60" s="562"/>
      <c r="FS60" s="562"/>
      <c r="FT60" s="562"/>
      <c r="FU60" s="562"/>
      <c r="FV60" s="562"/>
      <c r="FW60" s="562"/>
      <c r="FX60" s="610"/>
      <c r="FY60" s="611"/>
      <c r="FZ60" s="611"/>
      <c r="GA60" s="562"/>
      <c r="GB60" s="612"/>
      <c r="GC60" s="603"/>
      <c r="GD60" s="603"/>
      <c r="GE60" s="613"/>
      <c r="GF60" s="613"/>
      <c r="GG60" s="613"/>
      <c r="GH60" s="614"/>
      <c r="GI60" s="614"/>
      <c r="GJ60" s="615"/>
      <c r="GK60" s="615"/>
      <c r="GL60" s="615"/>
      <c r="GM60" s="615"/>
      <c r="GN60" s="615"/>
      <c r="GO60" s="615"/>
      <c r="GP60" s="615"/>
      <c r="GQ60" s="615"/>
      <c r="GR60" s="615"/>
      <c r="GS60" s="615"/>
      <c r="GT60" s="615"/>
      <c r="GU60" s="609"/>
      <c r="GV60" s="609"/>
      <c r="GW60" s="609"/>
      <c r="GX60" s="609"/>
      <c r="GY60" s="609"/>
      <c r="GZ60" s="609"/>
      <c r="HA60" s="609"/>
      <c r="HB60" s="609"/>
      <c r="HC60" s="609"/>
      <c r="HD60" s="609"/>
      <c r="HE60" s="609"/>
      <c r="HF60" s="616"/>
      <c r="HG60" s="616"/>
      <c r="HH60" s="616"/>
      <c r="HI60" s="616"/>
      <c r="HJ60" s="616"/>
      <c r="HK60" s="616"/>
      <c r="HL60" s="616"/>
      <c r="HM60" s="616"/>
      <c r="HN60" s="616"/>
      <c r="HO60" s="616"/>
      <c r="HP60" s="616"/>
      <c r="HQ60" s="617"/>
      <c r="HR60" s="617"/>
      <c r="HS60" s="617"/>
      <c r="HT60" s="617"/>
      <c r="HU60" s="617"/>
      <c r="HV60" s="617"/>
    </row>
    <row r="61" ht="47.25">
      <c r="A61" s="559">
        <v>60</v>
      </c>
      <c r="B61" s="602">
        <v>38</v>
      </c>
      <c r="C61" s="469"/>
      <c r="D61" s="469" t="s">
        <v>1095</v>
      </c>
      <c r="E61" s="560" t="s">
        <v>576</v>
      </c>
      <c r="F61" s="564" t="s">
        <v>576</v>
      </c>
      <c r="G61" s="561" t="s">
        <v>1096</v>
      </c>
      <c r="H61" s="562" t="s">
        <v>26</v>
      </c>
      <c r="I61" s="562" t="s">
        <v>1097</v>
      </c>
      <c r="J61" s="562" t="s">
        <v>1098</v>
      </c>
      <c r="K61" s="469" t="s">
        <v>1099</v>
      </c>
      <c r="L61" s="563">
        <v>42636</v>
      </c>
      <c r="M61" s="563">
        <v>42635</v>
      </c>
      <c r="N61" s="603" t="s">
        <v>1100</v>
      </c>
      <c r="O61" s="604" t="s">
        <v>1101</v>
      </c>
      <c r="P61" s="605" t="s">
        <v>583</v>
      </c>
      <c r="Q61" s="603" t="s">
        <v>364</v>
      </c>
      <c r="R61" s="605" t="s">
        <v>584</v>
      </c>
      <c r="S61" s="605" t="s">
        <v>585</v>
      </c>
      <c r="T61" s="234" t="s">
        <v>584</v>
      </c>
      <c r="U61" s="234" t="s">
        <v>585</v>
      </c>
      <c r="V61" s="562">
        <v>1</v>
      </c>
      <c r="W61" s="562" t="s">
        <v>0</v>
      </c>
      <c r="X61" s="564" t="s">
        <v>576</v>
      </c>
      <c r="Y61" s="564" t="s">
        <v>1102</v>
      </c>
      <c r="Z61" s="564" t="s">
        <v>587</v>
      </c>
      <c r="AA61" s="564">
        <v>1</v>
      </c>
      <c r="AB61" s="565" t="s">
        <v>596</v>
      </c>
      <c r="AC61" s="565" t="s">
        <v>601</v>
      </c>
      <c r="AD61" s="565" t="s">
        <v>601</v>
      </c>
      <c r="AE61" s="565"/>
      <c r="AF61" s="566" t="s">
        <v>596</v>
      </c>
      <c r="AG61" s="565" t="s">
        <v>598</v>
      </c>
      <c r="AH61" s="565"/>
      <c r="AI61" s="565"/>
      <c r="AJ61" s="565"/>
      <c r="AK61" s="562" t="s">
        <v>979</v>
      </c>
      <c r="AL61" s="564">
        <v>2100</v>
      </c>
      <c r="AM61" s="564" t="s">
        <v>1103</v>
      </c>
      <c r="AN61" s="567"/>
      <c r="AO61" s="567"/>
      <c r="AP61" s="567"/>
      <c r="AQ61" s="567"/>
      <c r="AR61" s="568"/>
      <c r="AS61" s="568"/>
      <c r="AT61" s="568"/>
      <c r="AU61" s="568"/>
      <c r="AV61" s="663" t="s">
        <v>601</v>
      </c>
      <c r="AW61" s="568"/>
      <c r="AX61" s="568"/>
      <c r="AY61" s="568"/>
      <c r="AZ61" s="568"/>
      <c r="BA61" s="663" t="s">
        <v>601</v>
      </c>
      <c r="BB61" s="567"/>
      <c r="BC61" s="567"/>
      <c r="BD61" s="569"/>
      <c r="BE61" s="569"/>
      <c r="BF61" s="569"/>
      <c r="BG61" s="569"/>
      <c r="BH61" s="569"/>
      <c r="BI61" s="569"/>
      <c r="BJ61" s="569"/>
      <c r="BK61" s="569"/>
      <c r="BL61" s="566" t="s">
        <v>601</v>
      </c>
      <c r="BM61" s="569"/>
      <c r="BN61" s="569"/>
      <c r="BO61" s="569"/>
      <c r="BP61" s="569"/>
      <c r="BQ61" s="562" t="s">
        <v>601</v>
      </c>
      <c r="BR61" s="569"/>
      <c r="BS61" s="569"/>
      <c r="BT61" s="570" t="s">
        <v>601</v>
      </c>
      <c r="BU61" s="570" t="s">
        <v>601</v>
      </c>
      <c r="BV61" s="570" t="s">
        <v>601</v>
      </c>
      <c r="BW61" s="570" t="s">
        <v>601</v>
      </c>
      <c r="BX61" s="571" t="s">
        <v>601</v>
      </c>
      <c r="BY61" s="571" t="s">
        <v>601</v>
      </c>
      <c r="BZ61" s="571" t="s">
        <v>601</v>
      </c>
      <c r="CA61" s="566" t="s">
        <v>601</v>
      </c>
      <c r="CB61" s="571" t="s">
        <v>601</v>
      </c>
      <c r="CC61" s="571" t="s">
        <v>601</v>
      </c>
      <c r="CD61" s="571" t="s">
        <v>601</v>
      </c>
      <c r="CE61" s="562" t="s">
        <v>601</v>
      </c>
      <c r="CF61" s="570" t="s">
        <v>601</v>
      </c>
      <c r="CG61" s="570" t="s">
        <v>601</v>
      </c>
      <c r="CH61" s="572" t="s">
        <v>601</v>
      </c>
      <c r="CI61" s="572" t="s">
        <v>601</v>
      </c>
      <c r="CJ61" s="572" t="s">
        <v>601</v>
      </c>
      <c r="CK61" s="572" t="s">
        <v>601</v>
      </c>
      <c r="CL61" s="573" t="s">
        <v>601</v>
      </c>
      <c r="CM61" s="573" t="s">
        <v>601</v>
      </c>
      <c r="CN61" s="573" t="s">
        <v>601</v>
      </c>
      <c r="CO61" s="566" t="s">
        <v>601</v>
      </c>
      <c r="CP61" s="573" t="s">
        <v>601</v>
      </c>
      <c r="CQ61" s="573" t="s">
        <v>601</v>
      </c>
      <c r="CR61" s="573" t="s">
        <v>601</v>
      </c>
      <c r="CS61" s="562" t="s">
        <v>601</v>
      </c>
      <c r="CT61" s="572" t="s">
        <v>601</v>
      </c>
      <c r="CU61" s="572" t="s">
        <v>601</v>
      </c>
      <c r="CV61" s="574" t="s">
        <v>601</v>
      </c>
      <c r="CW61" s="574" t="s">
        <v>601</v>
      </c>
      <c r="CX61" s="574" t="s">
        <v>601</v>
      </c>
      <c r="CY61" s="574" t="s">
        <v>601</v>
      </c>
      <c r="CZ61" s="575" t="s">
        <v>601</v>
      </c>
      <c r="DA61" s="575" t="s">
        <v>601</v>
      </c>
      <c r="DB61" s="575" t="s">
        <v>601</v>
      </c>
      <c r="DC61" s="566" t="s">
        <v>601</v>
      </c>
      <c r="DD61" s="575" t="s">
        <v>601</v>
      </c>
      <c r="DE61" s="575" t="s">
        <v>601</v>
      </c>
      <c r="DF61" s="575" t="s">
        <v>601</v>
      </c>
      <c r="DG61" s="562" t="s">
        <v>601</v>
      </c>
      <c r="DH61" s="574" t="s">
        <v>601</v>
      </c>
      <c r="DI61" s="574" t="s">
        <v>601</v>
      </c>
      <c r="DJ61" s="469">
        <v>1</v>
      </c>
      <c r="DK61" s="469" t="s">
        <v>623</v>
      </c>
      <c r="DL61" s="469" t="s">
        <v>601</v>
      </c>
      <c r="DM61" s="469" t="s">
        <v>601</v>
      </c>
      <c r="DN61" s="469" t="s">
        <v>604</v>
      </c>
      <c r="DO61" s="469" t="s">
        <v>604</v>
      </c>
      <c r="DP61" s="469" t="s">
        <v>604</v>
      </c>
      <c r="DQ61" s="469">
        <v>1</v>
      </c>
      <c r="DR61" s="576"/>
      <c r="DS61" s="606"/>
      <c r="DT61" s="606"/>
      <c r="DU61" s="562"/>
      <c r="DV61" s="606"/>
      <c r="DW61" s="606"/>
      <c r="DX61" s="607"/>
      <c r="DY61" s="611"/>
      <c r="DZ61" s="607"/>
      <c r="EA61" s="607"/>
      <c r="EB61" s="607"/>
      <c r="EC61" s="607"/>
      <c r="ED61" s="562"/>
      <c r="EE61" s="607"/>
      <c r="EF61" s="607"/>
      <c r="EG61" s="607"/>
      <c r="EH61" s="562"/>
      <c r="EI61" s="607"/>
      <c r="EJ61" s="607"/>
      <c r="EK61" s="608"/>
      <c r="EL61" s="608"/>
      <c r="EM61" s="608"/>
      <c r="EN61" s="608"/>
      <c r="EO61" s="608"/>
      <c r="EP61" s="608"/>
      <c r="EQ61" s="562"/>
      <c r="ER61" s="608"/>
      <c r="ES61" s="608"/>
      <c r="ET61" s="608"/>
      <c r="EU61" s="562"/>
      <c r="EV61" s="608"/>
      <c r="EW61" s="608"/>
      <c r="EX61" s="609"/>
      <c r="EY61" s="609"/>
      <c r="EZ61" s="609"/>
      <c r="FA61" s="609"/>
      <c r="FB61" s="609"/>
      <c r="FC61" s="609"/>
      <c r="FD61" s="562"/>
      <c r="FE61" s="609"/>
      <c r="FF61" s="609"/>
      <c r="FG61" s="609"/>
      <c r="FH61" s="562"/>
      <c r="FI61" s="609"/>
      <c r="FJ61" s="609"/>
      <c r="FK61" s="562"/>
      <c r="FL61" s="562"/>
      <c r="FM61" s="562"/>
      <c r="FN61" s="562"/>
      <c r="FO61" s="562"/>
      <c r="FP61" s="562"/>
      <c r="FQ61" s="562"/>
      <c r="FR61" s="562"/>
      <c r="FS61" s="562"/>
      <c r="FT61" s="562"/>
      <c r="FU61" s="562"/>
      <c r="FV61" s="562"/>
      <c r="FW61" s="562"/>
      <c r="FX61" s="610"/>
      <c r="FY61" s="611"/>
      <c r="FZ61" s="611"/>
      <c r="GA61" s="562"/>
      <c r="GB61" s="612"/>
      <c r="GC61" s="603"/>
      <c r="GD61" s="603"/>
      <c r="GE61" s="613"/>
      <c r="GF61" s="613"/>
      <c r="GG61" s="613"/>
      <c r="GH61" s="614"/>
      <c r="GI61" s="614"/>
      <c r="GJ61" s="615"/>
      <c r="GK61" s="615"/>
      <c r="GL61" s="615"/>
      <c r="GM61" s="615"/>
      <c r="GN61" s="615"/>
      <c r="GO61" s="615"/>
      <c r="GP61" s="615"/>
      <c r="GQ61" s="615"/>
      <c r="GR61" s="615"/>
      <c r="GS61" s="615"/>
      <c r="GT61" s="615"/>
      <c r="GU61" s="609"/>
      <c r="GV61" s="609"/>
      <c r="GW61" s="609"/>
      <c r="GX61" s="609"/>
      <c r="GY61" s="609"/>
      <c r="GZ61" s="609"/>
      <c r="HA61" s="609"/>
      <c r="HB61" s="609"/>
      <c r="HC61" s="609"/>
      <c r="HD61" s="609"/>
      <c r="HE61" s="609"/>
      <c r="HF61" s="616"/>
      <c r="HG61" s="616"/>
      <c r="HH61" s="616"/>
      <c r="HI61" s="616"/>
      <c r="HJ61" s="616"/>
      <c r="HK61" s="616"/>
      <c r="HL61" s="616"/>
      <c r="HM61" s="616"/>
      <c r="HN61" s="616"/>
      <c r="HO61" s="616"/>
      <c r="HP61" s="616"/>
      <c r="HQ61" s="617"/>
      <c r="HR61" s="617"/>
      <c r="HS61" s="617"/>
      <c r="HT61" s="617"/>
      <c r="HU61" s="617"/>
      <c r="HV61" s="617"/>
    </row>
    <row r="62" ht="47.25">
      <c r="A62" s="559">
        <v>61</v>
      </c>
      <c r="B62" s="602">
        <v>38</v>
      </c>
      <c r="C62" s="469"/>
      <c r="D62" s="469" t="s">
        <v>1104</v>
      </c>
      <c r="E62" s="560" t="s">
        <v>576</v>
      </c>
      <c r="F62" s="564" t="s">
        <v>576</v>
      </c>
      <c r="G62" s="561" t="s">
        <v>1105</v>
      </c>
      <c r="H62" s="562" t="s">
        <v>26</v>
      </c>
      <c r="I62" s="562" t="s">
        <v>1106</v>
      </c>
      <c r="J62" s="562" t="s">
        <v>1107</v>
      </c>
      <c r="K62" s="469" t="s">
        <v>1108</v>
      </c>
      <c r="L62" s="563">
        <v>42636</v>
      </c>
      <c r="M62" s="563">
        <v>42635</v>
      </c>
      <c r="N62" s="603" t="s">
        <v>1109</v>
      </c>
      <c r="O62" s="604" t="s">
        <v>1110</v>
      </c>
      <c r="P62" s="605" t="s">
        <v>583</v>
      </c>
      <c r="Q62" s="603" t="s">
        <v>364</v>
      </c>
      <c r="R62" s="605" t="s">
        <v>584</v>
      </c>
      <c r="S62" s="605" t="s">
        <v>585</v>
      </c>
      <c r="T62" s="234" t="s">
        <v>584</v>
      </c>
      <c r="U62" s="234" t="s">
        <v>585</v>
      </c>
      <c r="V62" s="562">
        <v>1</v>
      </c>
      <c r="W62" s="562" t="s">
        <v>0</v>
      </c>
      <c r="X62" s="564" t="s">
        <v>576</v>
      </c>
      <c r="Y62" s="564" t="s">
        <v>1111</v>
      </c>
      <c r="Z62" s="564" t="s">
        <v>587</v>
      </c>
      <c r="AA62" s="564">
        <v>3</v>
      </c>
      <c r="AB62" s="565" t="s">
        <v>596</v>
      </c>
      <c r="AC62" s="565" t="s">
        <v>596</v>
      </c>
      <c r="AD62" s="565" t="s">
        <v>596</v>
      </c>
      <c r="AE62" s="565"/>
      <c r="AF62" s="566" t="s">
        <v>597</v>
      </c>
      <c r="AG62" s="565" t="s">
        <v>598</v>
      </c>
      <c r="AH62" s="565" t="s">
        <v>598</v>
      </c>
      <c r="AI62" s="565" t="s">
        <v>598</v>
      </c>
      <c r="AJ62" s="565"/>
      <c r="AK62" s="562" t="s">
        <v>599</v>
      </c>
      <c r="AL62" s="564">
        <v>2100</v>
      </c>
      <c r="AM62" s="564" t="s">
        <v>595</v>
      </c>
      <c r="AN62" s="567"/>
      <c r="AO62" s="567"/>
      <c r="AP62" s="567"/>
      <c r="AQ62" s="567"/>
      <c r="AR62" s="568"/>
      <c r="AS62" s="568"/>
      <c r="AT62" s="568"/>
      <c r="AU62" s="568"/>
      <c r="AV62" s="663" t="s">
        <v>601</v>
      </c>
      <c r="AW62" s="568"/>
      <c r="AX62" s="568"/>
      <c r="AY62" s="568"/>
      <c r="AZ62" s="568"/>
      <c r="BA62" s="663" t="s">
        <v>601</v>
      </c>
      <c r="BB62" s="567"/>
      <c r="BC62" s="567"/>
      <c r="BD62" s="569"/>
      <c r="BE62" s="569"/>
      <c r="BF62" s="569"/>
      <c r="BG62" s="569"/>
      <c r="BH62" s="569"/>
      <c r="BI62" s="569"/>
      <c r="BJ62" s="569"/>
      <c r="BK62" s="569"/>
      <c r="BL62" s="566" t="s">
        <v>601</v>
      </c>
      <c r="BM62" s="569"/>
      <c r="BN62" s="569"/>
      <c r="BO62" s="569"/>
      <c r="BP62" s="569"/>
      <c r="BQ62" s="562" t="s">
        <v>601</v>
      </c>
      <c r="BR62" s="569"/>
      <c r="BS62" s="569"/>
      <c r="BT62" s="570" t="s">
        <v>601</v>
      </c>
      <c r="BU62" s="570" t="s">
        <v>601</v>
      </c>
      <c r="BV62" s="570" t="s">
        <v>601</v>
      </c>
      <c r="BW62" s="570" t="s">
        <v>601</v>
      </c>
      <c r="BX62" s="571" t="s">
        <v>601</v>
      </c>
      <c r="BY62" s="571" t="s">
        <v>601</v>
      </c>
      <c r="BZ62" s="571" t="s">
        <v>601</v>
      </c>
      <c r="CA62" s="566" t="s">
        <v>601</v>
      </c>
      <c r="CB62" s="571" t="s">
        <v>601</v>
      </c>
      <c r="CC62" s="571" t="s">
        <v>601</v>
      </c>
      <c r="CD62" s="571" t="s">
        <v>601</v>
      </c>
      <c r="CE62" s="562" t="s">
        <v>601</v>
      </c>
      <c r="CF62" s="570" t="s">
        <v>601</v>
      </c>
      <c r="CG62" s="570" t="s">
        <v>601</v>
      </c>
      <c r="CH62" s="572" t="s">
        <v>601</v>
      </c>
      <c r="CI62" s="572" t="s">
        <v>601</v>
      </c>
      <c r="CJ62" s="572" t="s">
        <v>601</v>
      </c>
      <c r="CK62" s="572" t="s">
        <v>601</v>
      </c>
      <c r="CL62" s="573" t="s">
        <v>601</v>
      </c>
      <c r="CM62" s="573" t="s">
        <v>601</v>
      </c>
      <c r="CN62" s="573" t="s">
        <v>601</v>
      </c>
      <c r="CO62" s="566" t="s">
        <v>601</v>
      </c>
      <c r="CP62" s="573" t="s">
        <v>601</v>
      </c>
      <c r="CQ62" s="573" t="s">
        <v>601</v>
      </c>
      <c r="CR62" s="573" t="s">
        <v>601</v>
      </c>
      <c r="CS62" s="562" t="s">
        <v>601</v>
      </c>
      <c r="CT62" s="572" t="s">
        <v>601</v>
      </c>
      <c r="CU62" s="572" t="s">
        <v>601</v>
      </c>
      <c r="CV62" s="574" t="s">
        <v>601</v>
      </c>
      <c r="CW62" s="574" t="s">
        <v>601</v>
      </c>
      <c r="CX62" s="574" t="s">
        <v>601</v>
      </c>
      <c r="CY62" s="574" t="s">
        <v>601</v>
      </c>
      <c r="CZ62" s="575" t="s">
        <v>601</v>
      </c>
      <c r="DA62" s="575" t="s">
        <v>601</v>
      </c>
      <c r="DB62" s="575" t="s">
        <v>601</v>
      </c>
      <c r="DC62" s="566" t="s">
        <v>601</v>
      </c>
      <c r="DD62" s="575" t="s">
        <v>601</v>
      </c>
      <c r="DE62" s="575" t="s">
        <v>601</v>
      </c>
      <c r="DF62" s="575" t="s">
        <v>601</v>
      </c>
      <c r="DG62" s="562" t="s">
        <v>601</v>
      </c>
      <c r="DH62" s="574" t="s">
        <v>601</v>
      </c>
      <c r="DI62" s="574" t="s">
        <v>601</v>
      </c>
      <c r="DJ62" s="469">
        <v>1</v>
      </c>
      <c r="DK62" s="469" t="s">
        <v>623</v>
      </c>
      <c r="DL62" s="469" t="s">
        <v>601</v>
      </c>
      <c r="DM62" s="469" t="s">
        <v>601</v>
      </c>
      <c r="DN62" s="469" t="s">
        <v>604</v>
      </c>
      <c r="DO62" s="469" t="s">
        <v>604</v>
      </c>
      <c r="DP62" s="469" t="s">
        <v>604</v>
      </c>
      <c r="DQ62" s="469">
        <v>1</v>
      </c>
      <c r="DR62" s="576"/>
      <c r="DS62" s="606"/>
      <c r="DT62" s="606"/>
      <c r="DU62" s="562"/>
      <c r="DV62" s="606"/>
      <c r="DW62" s="606"/>
      <c r="DX62" s="607"/>
      <c r="DY62" s="611"/>
      <c r="DZ62" s="607"/>
      <c r="EA62" s="607"/>
      <c r="EB62" s="607"/>
      <c r="EC62" s="607"/>
      <c r="ED62" s="562"/>
      <c r="EE62" s="607"/>
      <c r="EF62" s="607"/>
      <c r="EG62" s="607"/>
      <c r="EH62" s="562"/>
      <c r="EI62" s="607"/>
      <c r="EJ62" s="607"/>
      <c r="EK62" s="608"/>
      <c r="EL62" s="608"/>
      <c r="EM62" s="608"/>
      <c r="EN62" s="608"/>
      <c r="EO62" s="608"/>
      <c r="EP62" s="608"/>
      <c r="EQ62" s="562"/>
      <c r="ER62" s="608"/>
      <c r="ES62" s="608"/>
      <c r="ET62" s="608"/>
      <c r="EU62" s="562"/>
      <c r="EV62" s="608"/>
      <c r="EW62" s="608"/>
      <c r="EX62" s="609"/>
      <c r="EY62" s="609"/>
      <c r="EZ62" s="609"/>
      <c r="FA62" s="609"/>
      <c r="FB62" s="609"/>
      <c r="FC62" s="609"/>
      <c r="FD62" s="562"/>
      <c r="FE62" s="609"/>
      <c r="FF62" s="609"/>
      <c r="FG62" s="609"/>
      <c r="FH62" s="562"/>
      <c r="FI62" s="609"/>
      <c r="FJ62" s="609"/>
      <c r="FK62" s="562"/>
      <c r="FL62" s="562"/>
      <c r="FM62" s="562"/>
      <c r="FN62" s="562"/>
      <c r="FO62" s="562"/>
      <c r="FP62" s="562"/>
      <c r="FQ62" s="562"/>
      <c r="FR62" s="562"/>
      <c r="FS62" s="562"/>
      <c r="FT62" s="562"/>
      <c r="FU62" s="562"/>
      <c r="FV62" s="562"/>
      <c r="FW62" s="562"/>
      <c r="FX62" s="610"/>
      <c r="FY62" s="611"/>
      <c r="FZ62" s="611"/>
      <c r="GA62" s="562"/>
      <c r="GB62" s="612"/>
      <c r="GC62" s="603"/>
      <c r="GD62" s="603"/>
      <c r="GE62" s="613"/>
      <c r="GF62" s="613"/>
      <c r="GG62" s="613"/>
      <c r="GH62" s="614"/>
      <c r="GI62" s="614"/>
      <c r="GJ62" s="615"/>
      <c r="GK62" s="615"/>
      <c r="GL62" s="615"/>
      <c r="GM62" s="615"/>
      <c r="GN62" s="615"/>
      <c r="GO62" s="615"/>
      <c r="GP62" s="615"/>
      <c r="GQ62" s="615"/>
      <c r="GR62" s="615"/>
      <c r="GS62" s="615"/>
      <c r="GT62" s="615"/>
      <c r="GU62" s="609"/>
      <c r="GV62" s="609"/>
      <c r="GW62" s="609"/>
      <c r="GX62" s="609"/>
      <c r="GY62" s="609"/>
      <c r="GZ62" s="609"/>
      <c r="HA62" s="609"/>
      <c r="HB62" s="609"/>
      <c r="HC62" s="609"/>
      <c r="HD62" s="609"/>
      <c r="HE62" s="609"/>
      <c r="HF62" s="616"/>
      <c r="HG62" s="616"/>
      <c r="HH62" s="616"/>
      <c r="HI62" s="616"/>
      <c r="HJ62" s="616"/>
      <c r="HK62" s="616"/>
      <c r="HL62" s="616"/>
      <c r="HM62" s="616"/>
      <c r="HN62" s="616"/>
      <c r="HO62" s="616"/>
      <c r="HP62" s="616"/>
      <c r="HQ62" s="617"/>
      <c r="HR62" s="617"/>
      <c r="HS62" s="617"/>
      <c r="HT62" s="617"/>
      <c r="HU62" s="617"/>
      <c r="HV62" s="617"/>
    </row>
    <row r="63" ht="47.25">
      <c r="A63" s="559">
        <v>62</v>
      </c>
      <c r="B63" s="602">
        <v>39</v>
      </c>
      <c r="C63" s="469">
        <v>0</v>
      </c>
      <c r="D63" s="469" t="s">
        <v>1112</v>
      </c>
      <c r="E63" s="560" t="s">
        <v>576</v>
      </c>
      <c r="F63" s="564" t="s">
        <v>576</v>
      </c>
      <c r="G63" s="561" t="s">
        <v>1113</v>
      </c>
      <c r="H63" s="562" t="s">
        <v>14</v>
      </c>
      <c r="I63" s="562" t="s">
        <v>1114</v>
      </c>
      <c r="J63" s="562" t="s">
        <v>1115</v>
      </c>
      <c r="K63" s="469" t="s">
        <v>1116</v>
      </c>
      <c r="L63" s="563">
        <v>42660</v>
      </c>
      <c r="M63" s="563">
        <v>42646</v>
      </c>
      <c r="N63" s="603" t="s">
        <v>1117</v>
      </c>
      <c r="O63" s="604">
        <v>2014</v>
      </c>
      <c r="P63" s="605" t="s">
        <v>1118</v>
      </c>
      <c r="Q63" s="603" t="s">
        <v>364</v>
      </c>
      <c r="R63" s="605" t="s">
        <v>1119</v>
      </c>
      <c r="S63" s="605" t="s">
        <v>1120</v>
      </c>
      <c r="T63" s="234" t="s">
        <v>1119</v>
      </c>
      <c r="U63" s="234" t="s">
        <v>1120</v>
      </c>
      <c r="V63" s="562">
        <v>1</v>
      </c>
      <c r="W63" s="562" t="s">
        <v>675</v>
      </c>
      <c r="X63" s="564" t="s">
        <v>576</v>
      </c>
      <c r="Y63" s="564" t="s">
        <v>1121</v>
      </c>
      <c r="Z63" s="564" t="s">
        <v>587</v>
      </c>
      <c r="AA63" s="564">
        <v>2</v>
      </c>
      <c r="AB63" s="565" t="s">
        <v>596</v>
      </c>
      <c r="AC63" s="565" t="s">
        <v>596</v>
      </c>
      <c r="AD63" s="565" t="s">
        <v>601</v>
      </c>
      <c r="AE63" s="565"/>
      <c r="AF63" s="566" t="s">
        <v>968</v>
      </c>
      <c r="AG63" s="565" t="s">
        <v>598</v>
      </c>
      <c r="AH63" s="565" t="s">
        <v>598</v>
      </c>
      <c r="AI63" s="565"/>
      <c r="AJ63" s="565"/>
      <c r="AK63" s="562" t="s">
        <v>969</v>
      </c>
      <c r="AL63" s="564">
        <v>2100</v>
      </c>
      <c r="AM63" s="564" t="s">
        <v>1122</v>
      </c>
      <c r="AN63" s="567"/>
      <c r="AO63" s="567"/>
      <c r="AP63" s="567"/>
      <c r="AQ63" s="567"/>
      <c r="AR63" s="568"/>
      <c r="AS63" s="568"/>
      <c r="AT63" s="568"/>
      <c r="AU63" s="568"/>
      <c r="AV63" s="663"/>
      <c r="AW63" s="568"/>
      <c r="AX63" s="568"/>
      <c r="AY63" s="568"/>
      <c r="AZ63" s="568"/>
      <c r="BA63" s="663"/>
      <c r="BB63" s="567"/>
      <c r="BC63" s="567"/>
      <c r="BD63" s="569"/>
      <c r="BE63" s="569"/>
      <c r="BF63" s="569"/>
      <c r="BG63" s="569"/>
      <c r="BH63" s="569"/>
      <c r="BI63" s="569"/>
      <c r="BJ63" s="569"/>
      <c r="BK63" s="569"/>
      <c r="BL63" s="566"/>
      <c r="BM63" s="569"/>
      <c r="BN63" s="569"/>
      <c r="BO63" s="569" t="s">
        <v>601</v>
      </c>
      <c r="BP63" s="569"/>
      <c r="BQ63" s="562"/>
      <c r="BR63" s="569"/>
      <c r="BS63" s="569"/>
      <c r="BT63" s="570" t="s">
        <v>601</v>
      </c>
      <c r="BU63" s="570"/>
      <c r="BV63" s="570"/>
      <c r="BW63" s="570" t="s">
        <v>601</v>
      </c>
      <c r="BX63" s="571" t="s">
        <v>601</v>
      </c>
      <c r="BY63" s="571" t="s">
        <v>601</v>
      </c>
      <c r="BZ63" s="571" t="s">
        <v>601</v>
      </c>
      <c r="CA63" s="566" t="s">
        <v>601</v>
      </c>
      <c r="CB63" s="571" t="s">
        <v>601</v>
      </c>
      <c r="CC63" s="571" t="s">
        <v>601</v>
      </c>
      <c r="CD63" s="571" t="s">
        <v>601</v>
      </c>
      <c r="CE63" s="562" t="s">
        <v>601</v>
      </c>
      <c r="CF63" s="570" t="s">
        <v>601</v>
      </c>
      <c r="CG63" s="570" t="s">
        <v>601</v>
      </c>
      <c r="CH63" s="572" t="s">
        <v>601</v>
      </c>
      <c r="CI63" s="572" t="s">
        <v>601</v>
      </c>
      <c r="CJ63" s="572" t="s">
        <v>601</v>
      </c>
      <c r="CK63" s="572" t="s">
        <v>601</v>
      </c>
      <c r="CL63" s="573" t="s">
        <v>601</v>
      </c>
      <c r="CM63" s="573" t="s">
        <v>601</v>
      </c>
      <c r="CN63" s="573" t="s">
        <v>601</v>
      </c>
      <c r="CO63" s="566" t="s">
        <v>601</v>
      </c>
      <c r="CP63" s="573" t="s">
        <v>601</v>
      </c>
      <c r="CQ63" s="573" t="s">
        <v>601</v>
      </c>
      <c r="CR63" s="573" t="s">
        <v>601</v>
      </c>
      <c r="CS63" s="562" t="s">
        <v>601</v>
      </c>
      <c r="CT63" s="572" t="s">
        <v>601</v>
      </c>
      <c r="CU63" s="572" t="s">
        <v>601</v>
      </c>
      <c r="CV63" s="574" t="s">
        <v>601</v>
      </c>
      <c r="CW63" s="574" t="s">
        <v>601</v>
      </c>
      <c r="CX63" s="574" t="s">
        <v>601</v>
      </c>
      <c r="CY63" s="574" t="s">
        <v>601</v>
      </c>
      <c r="CZ63" s="575" t="s">
        <v>601</v>
      </c>
      <c r="DA63" s="575" t="s">
        <v>601</v>
      </c>
      <c r="DB63" s="575" t="s">
        <v>601</v>
      </c>
      <c r="DC63" s="566" t="s">
        <v>601</v>
      </c>
      <c r="DD63" s="575" t="s">
        <v>601</v>
      </c>
      <c r="DE63" s="575" t="s">
        <v>601</v>
      </c>
      <c r="DF63" s="575" t="s">
        <v>601</v>
      </c>
      <c r="DG63" s="562" t="s">
        <v>601</v>
      </c>
      <c r="DH63" s="574" t="s">
        <v>601</v>
      </c>
      <c r="DI63" s="574" t="s">
        <v>601</v>
      </c>
      <c r="DJ63" s="469" t="s">
        <v>601</v>
      </c>
      <c r="DK63" s="469" t="s">
        <v>601</v>
      </c>
      <c r="DL63" s="469" t="s">
        <v>601</v>
      </c>
      <c r="DM63" s="469">
        <v>1</v>
      </c>
      <c r="DN63" s="469" t="s">
        <v>623</v>
      </c>
      <c r="DO63" s="469" t="s">
        <v>601</v>
      </c>
      <c r="DP63" s="469" t="s">
        <v>601</v>
      </c>
      <c r="DQ63" s="469" t="s">
        <v>604</v>
      </c>
      <c r="DR63" s="576" t="s">
        <v>604</v>
      </c>
      <c r="DS63" s="606" t="s">
        <v>604</v>
      </c>
      <c r="DT63" s="606">
        <v>1</v>
      </c>
      <c r="DU63" s="562"/>
      <c r="DV63" s="606"/>
      <c r="DW63" s="606"/>
      <c r="DX63" s="607"/>
      <c r="DY63" s="611"/>
      <c r="DZ63" s="607"/>
      <c r="EA63" s="607"/>
      <c r="EB63" s="607"/>
      <c r="EC63" s="607"/>
      <c r="ED63" s="562"/>
      <c r="EE63" s="607"/>
      <c r="EF63" s="607"/>
      <c r="EG63" s="607"/>
      <c r="EH63" s="562"/>
      <c r="EI63" s="607"/>
      <c r="EJ63" s="607"/>
      <c r="EK63" s="608"/>
      <c r="EL63" s="608"/>
      <c r="EM63" s="608"/>
      <c r="EN63" s="608"/>
      <c r="EO63" s="608"/>
      <c r="EP63" s="608"/>
      <c r="EQ63" s="562"/>
      <c r="ER63" s="608"/>
      <c r="ES63" s="608"/>
      <c r="ET63" s="608"/>
      <c r="EU63" s="562"/>
      <c r="EV63" s="608"/>
      <c r="EW63" s="608"/>
      <c r="EX63" s="609"/>
      <c r="EY63" s="609"/>
      <c r="EZ63" s="609"/>
      <c r="FA63" s="609"/>
      <c r="FB63" s="609"/>
      <c r="FC63" s="609"/>
      <c r="FD63" s="562"/>
      <c r="FE63" s="609"/>
      <c r="FF63" s="609"/>
      <c r="FG63" s="609"/>
      <c r="FH63" s="562"/>
      <c r="FI63" s="609"/>
      <c r="FJ63" s="609"/>
      <c r="FK63" s="562"/>
      <c r="FL63" s="562"/>
      <c r="FM63" s="562"/>
      <c r="FN63" s="562"/>
      <c r="FO63" s="562"/>
      <c r="FP63" s="562"/>
      <c r="FQ63" s="562"/>
      <c r="FR63" s="562"/>
      <c r="FS63" s="562"/>
      <c r="FT63" s="562"/>
      <c r="FU63" s="562"/>
      <c r="FV63" s="562"/>
      <c r="FW63" s="562"/>
      <c r="FX63" s="610">
        <v>1</v>
      </c>
      <c r="FY63" s="611"/>
      <c r="FZ63" s="611">
        <v>1</v>
      </c>
      <c r="GA63" s="562" t="s">
        <v>601</v>
      </c>
      <c r="GB63" s="612"/>
      <c r="GC63" s="603"/>
      <c r="GD63" s="603"/>
      <c r="GE63" s="613"/>
      <c r="GF63" s="613"/>
      <c r="GG63" s="613"/>
      <c r="GH63" s="614"/>
      <c r="GI63" s="614"/>
      <c r="GJ63" s="615"/>
      <c r="GK63" s="615"/>
      <c r="GL63" s="615"/>
      <c r="GM63" s="615"/>
      <c r="GN63" s="615"/>
      <c r="GO63" s="615"/>
      <c r="GP63" s="615"/>
      <c r="GQ63" s="615"/>
      <c r="GR63" s="615"/>
      <c r="GS63" s="615"/>
      <c r="GT63" s="615"/>
      <c r="GU63" s="609"/>
      <c r="GV63" s="609"/>
      <c r="GW63" s="609"/>
      <c r="GX63" s="609"/>
      <c r="GY63" s="609"/>
      <c r="GZ63" s="609"/>
      <c r="HA63" s="609"/>
      <c r="HB63" s="609"/>
      <c r="HC63" s="609"/>
      <c r="HD63" s="609"/>
      <c r="HE63" s="609"/>
      <c r="HF63" s="616"/>
      <c r="HG63" s="616"/>
      <c r="HH63" s="616"/>
      <c r="HI63" s="616"/>
      <c r="HJ63" s="616"/>
      <c r="HK63" s="616"/>
      <c r="HL63" s="616"/>
      <c r="HM63" s="616"/>
      <c r="HN63" s="616"/>
      <c r="HO63" s="616"/>
      <c r="HP63" s="616"/>
      <c r="HQ63" s="617"/>
      <c r="HR63" s="617"/>
      <c r="HS63" s="617"/>
      <c r="HT63" s="617"/>
      <c r="HU63" s="617"/>
      <c r="HV63" s="617"/>
    </row>
    <row r="64" ht="47.25">
      <c r="A64" s="559">
        <v>63</v>
      </c>
      <c r="B64" s="602">
        <v>39</v>
      </c>
      <c r="C64" s="469">
        <v>0</v>
      </c>
      <c r="D64" s="469" t="s">
        <v>1123</v>
      </c>
      <c r="E64" s="560" t="s">
        <v>576</v>
      </c>
      <c r="F64" s="564" t="s">
        <v>576</v>
      </c>
      <c r="G64" s="561" t="s">
        <v>1124</v>
      </c>
      <c r="H64" s="562" t="s">
        <v>14</v>
      </c>
      <c r="I64" s="562" t="s">
        <v>1125</v>
      </c>
      <c r="J64" s="562" t="s">
        <v>1126</v>
      </c>
      <c r="K64" s="469" t="s">
        <v>1127</v>
      </c>
      <c r="L64" s="563">
        <v>42660</v>
      </c>
      <c r="M64" s="563">
        <v>42647</v>
      </c>
      <c r="N64" s="603" t="s">
        <v>1128</v>
      </c>
      <c r="O64" s="604">
        <v>2015</v>
      </c>
      <c r="P64" s="605" t="s">
        <v>1118</v>
      </c>
      <c r="Q64" s="603" t="s">
        <v>364</v>
      </c>
      <c r="R64" s="605" t="s">
        <v>1119</v>
      </c>
      <c r="S64" s="605" t="s">
        <v>1120</v>
      </c>
      <c r="T64" s="234" t="s">
        <v>1119</v>
      </c>
      <c r="U64" s="234" t="s">
        <v>1120</v>
      </c>
      <c r="V64" s="562">
        <v>1</v>
      </c>
      <c r="W64" s="562" t="s">
        <v>675</v>
      </c>
      <c r="X64" s="564" t="s">
        <v>576</v>
      </c>
      <c r="Y64" s="564" t="s">
        <v>1129</v>
      </c>
      <c r="Z64" s="564" t="s">
        <v>587</v>
      </c>
      <c r="AA64" s="564">
        <v>2</v>
      </c>
      <c r="AB64" s="565" t="s">
        <v>596</v>
      </c>
      <c r="AC64" s="565" t="s">
        <v>596</v>
      </c>
      <c r="AD64" s="565" t="s">
        <v>601</v>
      </c>
      <c r="AE64" s="565"/>
      <c r="AF64" s="566" t="s">
        <v>968</v>
      </c>
      <c r="AG64" s="565" t="s">
        <v>598</v>
      </c>
      <c r="AH64" s="565" t="s">
        <v>598</v>
      </c>
      <c r="AI64" s="565"/>
      <c r="AJ64" s="565"/>
      <c r="AK64" s="562" t="s">
        <v>969</v>
      </c>
      <c r="AL64" s="564">
        <v>2100</v>
      </c>
      <c r="AM64" s="564" t="s">
        <v>1130</v>
      </c>
      <c r="AN64" s="567"/>
      <c r="AO64" s="567"/>
      <c r="AP64" s="567"/>
      <c r="AQ64" s="567"/>
      <c r="AR64" s="568"/>
      <c r="AS64" s="568"/>
      <c r="AT64" s="568"/>
      <c r="AU64" s="568"/>
      <c r="AV64" s="663"/>
      <c r="AW64" s="568"/>
      <c r="AX64" s="568"/>
      <c r="AY64" s="568"/>
      <c r="AZ64" s="568"/>
      <c r="BA64" s="663"/>
      <c r="BB64" s="567"/>
      <c r="BC64" s="567"/>
      <c r="BD64" s="569"/>
      <c r="BE64" s="569"/>
      <c r="BF64" s="569"/>
      <c r="BG64" s="569"/>
      <c r="BH64" s="569"/>
      <c r="BI64" s="569"/>
      <c r="BJ64" s="569"/>
      <c r="BK64" s="569"/>
      <c r="BL64" s="566"/>
      <c r="BM64" s="569"/>
      <c r="BN64" s="569"/>
      <c r="BO64" s="569" t="s">
        <v>601</v>
      </c>
      <c r="BP64" s="569"/>
      <c r="BQ64" s="562"/>
      <c r="BR64" s="569"/>
      <c r="BS64" s="569"/>
      <c r="BT64" s="570" t="s">
        <v>601</v>
      </c>
      <c r="BU64" s="570"/>
      <c r="BV64" s="570"/>
      <c r="BW64" s="570" t="s">
        <v>601</v>
      </c>
      <c r="BX64" s="571" t="s">
        <v>601</v>
      </c>
      <c r="BY64" s="571" t="s">
        <v>601</v>
      </c>
      <c r="BZ64" s="571" t="s">
        <v>601</v>
      </c>
      <c r="CA64" s="566" t="s">
        <v>601</v>
      </c>
      <c r="CB64" s="571" t="s">
        <v>601</v>
      </c>
      <c r="CC64" s="571" t="s">
        <v>601</v>
      </c>
      <c r="CD64" s="571" t="s">
        <v>601</v>
      </c>
      <c r="CE64" s="562" t="s">
        <v>601</v>
      </c>
      <c r="CF64" s="570" t="s">
        <v>601</v>
      </c>
      <c r="CG64" s="570" t="s">
        <v>601</v>
      </c>
      <c r="CH64" s="572" t="s">
        <v>601</v>
      </c>
      <c r="CI64" s="572" t="s">
        <v>601</v>
      </c>
      <c r="CJ64" s="572" t="s">
        <v>601</v>
      </c>
      <c r="CK64" s="572" t="s">
        <v>601</v>
      </c>
      <c r="CL64" s="573" t="s">
        <v>601</v>
      </c>
      <c r="CM64" s="573" t="s">
        <v>601</v>
      </c>
      <c r="CN64" s="573" t="s">
        <v>601</v>
      </c>
      <c r="CO64" s="566" t="s">
        <v>601</v>
      </c>
      <c r="CP64" s="573" t="s">
        <v>601</v>
      </c>
      <c r="CQ64" s="573" t="s">
        <v>601</v>
      </c>
      <c r="CR64" s="573" t="s">
        <v>601</v>
      </c>
      <c r="CS64" s="562" t="s">
        <v>601</v>
      </c>
      <c r="CT64" s="572" t="s">
        <v>601</v>
      </c>
      <c r="CU64" s="572" t="s">
        <v>601</v>
      </c>
      <c r="CV64" s="574" t="s">
        <v>601</v>
      </c>
      <c r="CW64" s="574" t="s">
        <v>601</v>
      </c>
      <c r="CX64" s="574" t="s">
        <v>601</v>
      </c>
      <c r="CY64" s="574" t="s">
        <v>601</v>
      </c>
      <c r="CZ64" s="575" t="s">
        <v>601</v>
      </c>
      <c r="DA64" s="575" t="s">
        <v>601</v>
      </c>
      <c r="DB64" s="575" t="s">
        <v>601</v>
      </c>
      <c r="DC64" s="566" t="s">
        <v>601</v>
      </c>
      <c r="DD64" s="575" t="s">
        <v>601</v>
      </c>
      <c r="DE64" s="575" t="s">
        <v>601</v>
      </c>
      <c r="DF64" s="575" t="s">
        <v>601</v>
      </c>
      <c r="DG64" s="562" t="s">
        <v>601</v>
      </c>
      <c r="DH64" s="574" t="s">
        <v>601</v>
      </c>
      <c r="DI64" s="574" t="s">
        <v>601</v>
      </c>
      <c r="DJ64" s="469" t="s">
        <v>601</v>
      </c>
      <c r="DK64" s="469" t="s">
        <v>601</v>
      </c>
      <c r="DL64" s="469" t="s">
        <v>601</v>
      </c>
      <c r="DM64" s="469">
        <v>1</v>
      </c>
      <c r="DN64" s="469" t="s">
        <v>623</v>
      </c>
      <c r="DO64" s="469" t="s">
        <v>601</v>
      </c>
      <c r="DP64" s="469" t="s">
        <v>601</v>
      </c>
      <c r="DQ64" s="469" t="s">
        <v>604</v>
      </c>
      <c r="DR64" s="576" t="s">
        <v>604</v>
      </c>
      <c r="DS64" s="606" t="s">
        <v>604</v>
      </c>
      <c r="DT64" s="606">
        <v>1</v>
      </c>
      <c r="DU64" s="562"/>
      <c r="DV64" s="606"/>
      <c r="DW64" s="606"/>
      <c r="DX64" s="607"/>
      <c r="DY64" s="611"/>
      <c r="DZ64" s="607"/>
      <c r="EA64" s="607"/>
      <c r="EB64" s="607"/>
      <c r="EC64" s="607"/>
      <c r="ED64" s="562"/>
      <c r="EE64" s="607"/>
      <c r="EF64" s="607"/>
      <c r="EG64" s="607"/>
      <c r="EH64" s="562"/>
      <c r="EI64" s="607"/>
      <c r="EJ64" s="607"/>
      <c r="EK64" s="608"/>
      <c r="EL64" s="608"/>
      <c r="EM64" s="608"/>
      <c r="EN64" s="608"/>
      <c r="EO64" s="608"/>
      <c r="EP64" s="608"/>
      <c r="EQ64" s="562"/>
      <c r="ER64" s="608"/>
      <c r="ES64" s="608"/>
      <c r="ET64" s="608"/>
      <c r="EU64" s="562"/>
      <c r="EV64" s="608"/>
      <c r="EW64" s="608"/>
      <c r="EX64" s="609"/>
      <c r="EY64" s="609"/>
      <c r="EZ64" s="609"/>
      <c r="FA64" s="609"/>
      <c r="FB64" s="609"/>
      <c r="FC64" s="609"/>
      <c r="FD64" s="562"/>
      <c r="FE64" s="609"/>
      <c r="FF64" s="609"/>
      <c r="FG64" s="609"/>
      <c r="FH64" s="562"/>
      <c r="FI64" s="609"/>
      <c r="FJ64" s="609"/>
      <c r="FK64" s="562"/>
      <c r="FL64" s="562"/>
      <c r="FM64" s="562"/>
      <c r="FN64" s="562"/>
      <c r="FO64" s="562"/>
      <c r="FP64" s="562"/>
      <c r="FQ64" s="562"/>
      <c r="FR64" s="562"/>
      <c r="FS64" s="562"/>
      <c r="FT64" s="562"/>
      <c r="FU64" s="562"/>
      <c r="FV64" s="562"/>
      <c r="FW64" s="562"/>
      <c r="FX64" s="610">
        <v>1</v>
      </c>
      <c r="FY64" s="611"/>
      <c r="FZ64" s="611">
        <v>1</v>
      </c>
      <c r="GA64" s="562" t="s">
        <v>601</v>
      </c>
      <c r="GB64" s="612"/>
      <c r="GC64" s="603"/>
      <c r="GD64" s="603"/>
      <c r="GE64" s="613"/>
      <c r="GF64" s="613"/>
      <c r="GG64" s="613"/>
      <c r="GH64" s="614"/>
      <c r="GI64" s="614"/>
      <c r="GJ64" s="615"/>
      <c r="GK64" s="615"/>
      <c r="GL64" s="615"/>
      <c r="GM64" s="615"/>
      <c r="GN64" s="615"/>
      <c r="GO64" s="615"/>
      <c r="GP64" s="615"/>
      <c r="GQ64" s="615"/>
      <c r="GR64" s="615"/>
      <c r="GS64" s="615"/>
      <c r="GT64" s="615"/>
      <c r="GU64" s="609"/>
      <c r="GV64" s="609"/>
      <c r="GW64" s="609"/>
      <c r="GX64" s="609"/>
      <c r="GY64" s="609"/>
      <c r="GZ64" s="609"/>
      <c r="HA64" s="609"/>
      <c r="HB64" s="609"/>
      <c r="HC64" s="609"/>
      <c r="HD64" s="609"/>
      <c r="HE64" s="609"/>
      <c r="HF64" s="616"/>
      <c r="HG64" s="616"/>
      <c r="HH64" s="616"/>
      <c r="HI64" s="616"/>
      <c r="HJ64" s="616"/>
      <c r="HK64" s="616"/>
      <c r="HL64" s="616"/>
      <c r="HM64" s="616"/>
      <c r="HN64" s="616"/>
      <c r="HO64" s="616"/>
      <c r="HP64" s="616"/>
      <c r="HQ64" s="617"/>
      <c r="HR64" s="617"/>
      <c r="HS64" s="617"/>
      <c r="HT64" s="617"/>
      <c r="HU64" s="617"/>
      <c r="HV64" s="617"/>
    </row>
    <row r="65" ht="47.25">
      <c r="A65" s="559">
        <v>64</v>
      </c>
      <c r="B65" s="602">
        <v>39</v>
      </c>
      <c r="C65" s="469">
        <v>0</v>
      </c>
      <c r="D65" s="469" t="s">
        <v>1131</v>
      </c>
      <c r="E65" s="560" t="s">
        <v>576</v>
      </c>
      <c r="F65" s="564" t="s">
        <v>576</v>
      </c>
      <c r="G65" s="561" t="s">
        <v>1132</v>
      </c>
      <c r="H65" s="562" t="s">
        <v>14</v>
      </c>
      <c r="I65" s="562" t="s">
        <v>1133</v>
      </c>
      <c r="J65" s="562" t="s">
        <v>1134</v>
      </c>
      <c r="K65" s="469" t="s">
        <v>1135</v>
      </c>
      <c r="L65" s="563">
        <v>42660</v>
      </c>
      <c r="M65" s="563">
        <v>42647</v>
      </c>
      <c r="N65" s="603" t="s">
        <v>1136</v>
      </c>
      <c r="O65" s="604">
        <v>2016</v>
      </c>
      <c r="P65" s="605" t="s">
        <v>1118</v>
      </c>
      <c r="Q65" s="603" t="s">
        <v>364</v>
      </c>
      <c r="R65" s="605" t="s">
        <v>1119</v>
      </c>
      <c r="S65" s="605" t="s">
        <v>1120</v>
      </c>
      <c r="T65" s="234" t="s">
        <v>1119</v>
      </c>
      <c r="U65" s="234" t="s">
        <v>1120</v>
      </c>
      <c r="V65" s="562">
        <v>1</v>
      </c>
      <c r="W65" s="562" t="s">
        <v>0</v>
      </c>
      <c r="X65" s="564" t="s">
        <v>576</v>
      </c>
      <c r="Y65" s="564" t="s">
        <v>1137</v>
      </c>
      <c r="Z65" s="564" t="s">
        <v>587</v>
      </c>
      <c r="AA65" s="564">
        <v>3</v>
      </c>
      <c r="AB65" s="565" t="s">
        <v>596</v>
      </c>
      <c r="AC65" s="565" t="s">
        <v>596</v>
      </c>
      <c r="AD65" s="565" t="s">
        <v>596</v>
      </c>
      <c r="AE65" s="565"/>
      <c r="AF65" s="566" t="s">
        <v>597</v>
      </c>
      <c r="AG65" s="565" t="s">
        <v>598</v>
      </c>
      <c r="AH65" s="565" t="s">
        <v>598</v>
      </c>
      <c r="AI65" s="565" t="s">
        <v>598</v>
      </c>
      <c r="AJ65" s="565"/>
      <c r="AK65" s="562" t="s">
        <v>599</v>
      </c>
      <c r="AL65" s="564">
        <v>2100</v>
      </c>
      <c r="AM65" s="564" t="s">
        <v>1138</v>
      </c>
      <c r="AN65" s="567"/>
      <c r="AO65" s="567"/>
      <c r="AP65" s="567"/>
      <c r="AQ65" s="567"/>
      <c r="AR65" s="568"/>
      <c r="AS65" s="568"/>
      <c r="AT65" s="568"/>
      <c r="AU65" s="568"/>
      <c r="AV65" s="663"/>
      <c r="AW65" s="568"/>
      <c r="AX65" s="568"/>
      <c r="AY65" s="568"/>
      <c r="AZ65" s="568"/>
      <c r="BA65" s="663"/>
      <c r="BB65" s="567"/>
      <c r="BC65" s="567"/>
      <c r="BD65" s="569"/>
      <c r="BE65" s="569"/>
      <c r="BF65" s="569"/>
      <c r="BG65" s="569"/>
      <c r="BH65" s="569"/>
      <c r="BI65" s="569"/>
      <c r="BJ65" s="569"/>
      <c r="BK65" s="569"/>
      <c r="BL65" s="566"/>
      <c r="BM65" s="569"/>
      <c r="BN65" s="569"/>
      <c r="BO65" s="569" t="s">
        <v>601</v>
      </c>
      <c r="BP65" s="569"/>
      <c r="BQ65" s="562"/>
      <c r="BR65" s="569"/>
      <c r="BS65" s="569"/>
      <c r="BT65" s="570" t="s">
        <v>601</v>
      </c>
      <c r="BU65" s="570"/>
      <c r="BV65" s="570"/>
      <c r="BW65" s="570" t="s">
        <v>601</v>
      </c>
      <c r="BX65" s="571" t="s">
        <v>601</v>
      </c>
      <c r="BY65" s="571" t="s">
        <v>601</v>
      </c>
      <c r="BZ65" s="571" t="s">
        <v>601</v>
      </c>
      <c r="CA65" s="566" t="s">
        <v>601</v>
      </c>
      <c r="CB65" s="571" t="s">
        <v>601</v>
      </c>
      <c r="CC65" s="571" t="s">
        <v>601</v>
      </c>
      <c r="CD65" s="571" t="s">
        <v>601</v>
      </c>
      <c r="CE65" s="562" t="s">
        <v>601</v>
      </c>
      <c r="CF65" s="570" t="s">
        <v>601</v>
      </c>
      <c r="CG65" s="570" t="s">
        <v>601</v>
      </c>
      <c r="CH65" s="572" t="s">
        <v>601</v>
      </c>
      <c r="CI65" s="572" t="s">
        <v>601</v>
      </c>
      <c r="CJ65" s="572" t="s">
        <v>601</v>
      </c>
      <c r="CK65" s="572" t="s">
        <v>601</v>
      </c>
      <c r="CL65" s="573" t="s">
        <v>601</v>
      </c>
      <c r="CM65" s="573" t="s">
        <v>601</v>
      </c>
      <c r="CN65" s="573" t="s">
        <v>601</v>
      </c>
      <c r="CO65" s="566" t="s">
        <v>601</v>
      </c>
      <c r="CP65" s="573" t="s">
        <v>601</v>
      </c>
      <c r="CQ65" s="573" t="s">
        <v>601</v>
      </c>
      <c r="CR65" s="573" t="s">
        <v>601</v>
      </c>
      <c r="CS65" s="562" t="s">
        <v>601</v>
      </c>
      <c r="CT65" s="572" t="s">
        <v>601</v>
      </c>
      <c r="CU65" s="572" t="s">
        <v>601</v>
      </c>
      <c r="CV65" s="574" t="s">
        <v>601</v>
      </c>
      <c r="CW65" s="574" t="s">
        <v>601</v>
      </c>
      <c r="CX65" s="574" t="s">
        <v>601</v>
      </c>
      <c r="CY65" s="574" t="s">
        <v>601</v>
      </c>
      <c r="CZ65" s="575" t="s">
        <v>601</v>
      </c>
      <c r="DA65" s="575" t="s">
        <v>601</v>
      </c>
      <c r="DB65" s="575" t="s">
        <v>601</v>
      </c>
      <c r="DC65" s="566" t="s">
        <v>601</v>
      </c>
      <c r="DD65" s="575" t="s">
        <v>601</v>
      </c>
      <c r="DE65" s="575" t="s">
        <v>601</v>
      </c>
      <c r="DF65" s="575" t="s">
        <v>601</v>
      </c>
      <c r="DG65" s="562" t="s">
        <v>601</v>
      </c>
      <c r="DH65" s="574" t="s">
        <v>601</v>
      </c>
      <c r="DI65" s="574" t="s">
        <v>601</v>
      </c>
      <c r="DJ65" s="469" t="s">
        <v>601</v>
      </c>
      <c r="DK65" s="469" t="s">
        <v>601</v>
      </c>
      <c r="DL65" s="469" t="s">
        <v>601</v>
      </c>
      <c r="DM65" s="469">
        <v>1</v>
      </c>
      <c r="DN65" s="469" t="s">
        <v>623</v>
      </c>
      <c r="DO65" s="469" t="s">
        <v>601</v>
      </c>
      <c r="DP65" s="469" t="s">
        <v>601</v>
      </c>
      <c r="DQ65" s="469" t="s">
        <v>604</v>
      </c>
      <c r="DR65" s="576" t="s">
        <v>604</v>
      </c>
      <c r="DS65" s="606" t="s">
        <v>604</v>
      </c>
      <c r="DT65" s="606">
        <v>1</v>
      </c>
      <c r="DU65" s="562"/>
      <c r="DV65" s="606"/>
      <c r="DW65" s="606"/>
      <c r="DX65" s="607"/>
      <c r="DY65" s="611"/>
      <c r="DZ65" s="607"/>
      <c r="EA65" s="607"/>
      <c r="EB65" s="607"/>
      <c r="EC65" s="607"/>
      <c r="ED65" s="562"/>
      <c r="EE65" s="607"/>
      <c r="EF65" s="607"/>
      <c r="EG65" s="607"/>
      <c r="EH65" s="562"/>
      <c r="EI65" s="607"/>
      <c r="EJ65" s="607"/>
      <c r="EK65" s="608"/>
      <c r="EL65" s="608"/>
      <c r="EM65" s="608"/>
      <c r="EN65" s="608"/>
      <c r="EO65" s="608"/>
      <c r="EP65" s="608"/>
      <c r="EQ65" s="562"/>
      <c r="ER65" s="608"/>
      <c r="ES65" s="608"/>
      <c r="ET65" s="608"/>
      <c r="EU65" s="562"/>
      <c r="EV65" s="608"/>
      <c r="EW65" s="608"/>
      <c r="EX65" s="609"/>
      <c r="EY65" s="609"/>
      <c r="EZ65" s="609"/>
      <c r="FA65" s="609"/>
      <c r="FB65" s="609"/>
      <c r="FC65" s="609"/>
      <c r="FD65" s="562"/>
      <c r="FE65" s="609"/>
      <c r="FF65" s="609"/>
      <c r="FG65" s="609"/>
      <c r="FH65" s="562"/>
      <c r="FI65" s="609"/>
      <c r="FJ65" s="609"/>
      <c r="FK65" s="562"/>
      <c r="FL65" s="562"/>
      <c r="FM65" s="562"/>
      <c r="FN65" s="562"/>
      <c r="FO65" s="562"/>
      <c r="FP65" s="562"/>
      <c r="FQ65" s="562"/>
      <c r="FR65" s="562"/>
      <c r="FS65" s="562"/>
      <c r="FT65" s="562"/>
      <c r="FU65" s="562"/>
      <c r="FV65" s="562"/>
      <c r="FW65" s="562"/>
      <c r="FX65" s="610"/>
      <c r="FY65" s="611"/>
      <c r="FZ65" s="611" t="s">
        <v>0</v>
      </c>
      <c r="GA65" s="562" t="s">
        <v>601</v>
      </c>
      <c r="GB65" s="612"/>
      <c r="GC65" s="603"/>
      <c r="GD65" s="603"/>
      <c r="GE65" s="613"/>
      <c r="GF65" s="613"/>
      <c r="GG65" s="613"/>
      <c r="GH65" s="614"/>
      <c r="GI65" s="614"/>
      <c r="GJ65" s="615"/>
      <c r="GK65" s="615"/>
      <c r="GL65" s="615"/>
      <c r="GM65" s="615"/>
      <c r="GN65" s="615"/>
      <c r="GO65" s="615"/>
      <c r="GP65" s="615"/>
      <c r="GQ65" s="615"/>
      <c r="GR65" s="615"/>
      <c r="GS65" s="615"/>
      <c r="GT65" s="615"/>
      <c r="GU65" s="609"/>
      <c r="GV65" s="609"/>
      <c r="GW65" s="609"/>
      <c r="GX65" s="609"/>
      <c r="GY65" s="609"/>
      <c r="GZ65" s="609"/>
      <c r="HA65" s="609"/>
      <c r="HB65" s="609"/>
      <c r="HC65" s="609"/>
      <c r="HD65" s="609"/>
      <c r="HE65" s="609"/>
      <c r="HF65" s="616"/>
      <c r="HG65" s="616"/>
      <c r="HH65" s="616"/>
      <c r="HI65" s="616"/>
      <c r="HJ65" s="616"/>
      <c r="HK65" s="616"/>
      <c r="HL65" s="616"/>
      <c r="HM65" s="616"/>
      <c r="HN65" s="616"/>
      <c r="HO65" s="616"/>
      <c r="HP65" s="616"/>
      <c r="HQ65" s="617"/>
      <c r="HR65" s="617"/>
      <c r="HS65" s="617"/>
      <c r="HT65" s="617"/>
      <c r="HU65" s="617"/>
      <c r="HV65" s="617"/>
    </row>
    <row r="66" ht="47.25">
      <c r="A66" s="559">
        <v>65</v>
      </c>
      <c r="B66" s="602">
        <v>39</v>
      </c>
      <c r="C66" s="469">
        <v>0</v>
      </c>
      <c r="D66" s="469" t="s">
        <v>1139</v>
      </c>
      <c r="E66" s="560" t="s">
        <v>576</v>
      </c>
      <c r="F66" s="564" t="s">
        <v>576</v>
      </c>
      <c r="G66" s="561" t="s">
        <v>1140</v>
      </c>
      <c r="H66" s="562" t="s">
        <v>14</v>
      </c>
      <c r="I66" s="562" t="s">
        <v>1141</v>
      </c>
      <c r="J66" s="562" t="s">
        <v>1142</v>
      </c>
      <c r="K66" s="469" t="s">
        <v>1143</v>
      </c>
      <c r="L66" s="563">
        <v>42660</v>
      </c>
      <c r="M66" s="563">
        <v>42647</v>
      </c>
      <c r="N66" s="603" t="s">
        <v>1144</v>
      </c>
      <c r="O66" s="604">
        <v>2017</v>
      </c>
      <c r="P66" s="605" t="s">
        <v>1118</v>
      </c>
      <c r="Q66" s="603" t="s">
        <v>364</v>
      </c>
      <c r="R66" s="605" t="s">
        <v>1119</v>
      </c>
      <c r="S66" s="605" t="s">
        <v>1120</v>
      </c>
      <c r="T66" s="234" t="s">
        <v>1119</v>
      </c>
      <c r="U66" s="234" t="s">
        <v>1120</v>
      </c>
      <c r="V66" s="562">
        <v>1</v>
      </c>
      <c r="W66" s="562" t="s">
        <v>675</v>
      </c>
      <c r="X66" s="564" t="s">
        <v>576</v>
      </c>
      <c r="Y66" s="564" t="s">
        <v>1145</v>
      </c>
      <c r="Z66" s="564" t="s">
        <v>587</v>
      </c>
      <c r="AA66" s="564">
        <v>3</v>
      </c>
      <c r="AB66" s="565" t="s">
        <v>596</v>
      </c>
      <c r="AC66" s="565" t="s">
        <v>596</v>
      </c>
      <c r="AD66" s="565" t="s">
        <v>596</v>
      </c>
      <c r="AE66" s="565"/>
      <c r="AF66" s="566" t="s">
        <v>597</v>
      </c>
      <c r="AG66" s="565" t="s">
        <v>598</v>
      </c>
      <c r="AH66" s="565" t="s">
        <v>598</v>
      </c>
      <c r="AI66" s="565" t="s">
        <v>598</v>
      </c>
      <c r="AJ66" s="565"/>
      <c r="AK66" s="562" t="s">
        <v>599</v>
      </c>
      <c r="AL66" s="564">
        <v>2100</v>
      </c>
      <c r="AM66" s="564" t="s">
        <v>801</v>
      </c>
      <c r="AN66" s="567"/>
      <c r="AO66" s="567"/>
      <c r="AP66" s="567"/>
      <c r="AQ66" s="567"/>
      <c r="AR66" s="568"/>
      <c r="AS66" s="568"/>
      <c r="AT66" s="568"/>
      <c r="AU66" s="568"/>
      <c r="AV66" s="663"/>
      <c r="AW66" s="568"/>
      <c r="AX66" s="568"/>
      <c r="AY66" s="568"/>
      <c r="AZ66" s="568"/>
      <c r="BA66" s="663"/>
      <c r="BB66" s="567"/>
      <c r="BC66" s="567"/>
      <c r="BD66" s="569"/>
      <c r="BE66" s="569"/>
      <c r="BF66" s="569"/>
      <c r="BG66" s="569"/>
      <c r="BH66" s="569"/>
      <c r="BI66" s="569"/>
      <c r="BJ66" s="569"/>
      <c r="BK66" s="569"/>
      <c r="BL66" s="566"/>
      <c r="BM66" s="569"/>
      <c r="BN66" s="569"/>
      <c r="BO66" s="569" t="s">
        <v>601</v>
      </c>
      <c r="BP66" s="569"/>
      <c r="BQ66" s="562"/>
      <c r="BR66" s="569"/>
      <c r="BS66" s="569"/>
      <c r="BT66" s="570" t="s">
        <v>601</v>
      </c>
      <c r="BU66" s="570"/>
      <c r="BV66" s="570"/>
      <c r="BW66" s="570" t="s">
        <v>601</v>
      </c>
      <c r="BX66" s="571" t="s">
        <v>601</v>
      </c>
      <c r="BY66" s="571" t="s">
        <v>601</v>
      </c>
      <c r="BZ66" s="571" t="s">
        <v>601</v>
      </c>
      <c r="CA66" s="566" t="s">
        <v>601</v>
      </c>
      <c r="CB66" s="571" t="s">
        <v>601</v>
      </c>
      <c r="CC66" s="571" t="s">
        <v>601</v>
      </c>
      <c r="CD66" s="571" t="s">
        <v>601</v>
      </c>
      <c r="CE66" s="562" t="s">
        <v>601</v>
      </c>
      <c r="CF66" s="570" t="s">
        <v>601</v>
      </c>
      <c r="CG66" s="570" t="s">
        <v>601</v>
      </c>
      <c r="CH66" s="572" t="s">
        <v>601</v>
      </c>
      <c r="CI66" s="572" t="s">
        <v>601</v>
      </c>
      <c r="CJ66" s="572" t="s">
        <v>601</v>
      </c>
      <c r="CK66" s="572" t="s">
        <v>601</v>
      </c>
      <c r="CL66" s="573" t="s">
        <v>601</v>
      </c>
      <c r="CM66" s="573" t="s">
        <v>601</v>
      </c>
      <c r="CN66" s="573" t="s">
        <v>601</v>
      </c>
      <c r="CO66" s="566" t="s">
        <v>601</v>
      </c>
      <c r="CP66" s="573" t="s">
        <v>601</v>
      </c>
      <c r="CQ66" s="573" t="s">
        <v>601</v>
      </c>
      <c r="CR66" s="573" t="s">
        <v>601</v>
      </c>
      <c r="CS66" s="562" t="s">
        <v>601</v>
      </c>
      <c r="CT66" s="572" t="s">
        <v>601</v>
      </c>
      <c r="CU66" s="572" t="s">
        <v>601</v>
      </c>
      <c r="CV66" s="574" t="s">
        <v>601</v>
      </c>
      <c r="CW66" s="574" t="s">
        <v>601</v>
      </c>
      <c r="CX66" s="574" t="s">
        <v>601</v>
      </c>
      <c r="CY66" s="574" t="s">
        <v>601</v>
      </c>
      <c r="CZ66" s="575" t="s">
        <v>601</v>
      </c>
      <c r="DA66" s="575" t="s">
        <v>601</v>
      </c>
      <c r="DB66" s="575" t="s">
        <v>601</v>
      </c>
      <c r="DC66" s="566" t="s">
        <v>601</v>
      </c>
      <c r="DD66" s="575" t="s">
        <v>601</v>
      </c>
      <c r="DE66" s="575" t="s">
        <v>601</v>
      </c>
      <c r="DF66" s="575" t="s">
        <v>601</v>
      </c>
      <c r="DG66" s="562" t="s">
        <v>601</v>
      </c>
      <c r="DH66" s="574" t="s">
        <v>601</v>
      </c>
      <c r="DI66" s="574" t="s">
        <v>601</v>
      </c>
      <c r="DJ66" s="469" t="s">
        <v>601</v>
      </c>
      <c r="DK66" s="469" t="s">
        <v>601</v>
      </c>
      <c r="DL66" s="469" t="s">
        <v>601</v>
      </c>
      <c r="DM66" s="469">
        <v>1</v>
      </c>
      <c r="DN66" s="469" t="s">
        <v>623</v>
      </c>
      <c r="DO66" s="469" t="s">
        <v>601</v>
      </c>
      <c r="DP66" s="469" t="s">
        <v>601</v>
      </c>
      <c r="DQ66" s="469" t="s">
        <v>604</v>
      </c>
      <c r="DR66" s="576" t="s">
        <v>604</v>
      </c>
      <c r="DS66" s="606" t="s">
        <v>604</v>
      </c>
      <c r="DT66" s="606">
        <v>1</v>
      </c>
      <c r="DU66" s="562"/>
      <c r="DV66" s="606"/>
      <c r="DW66" s="606"/>
      <c r="DX66" s="607"/>
      <c r="DY66" s="611"/>
      <c r="DZ66" s="607"/>
      <c r="EA66" s="607"/>
      <c r="EB66" s="607"/>
      <c r="EC66" s="607"/>
      <c r="ED66" s="562"/>
      <c r="EE66" s="607"/>
      <c r="EF66" s="607"/>
      <c r="EG66" s="607"/>
      <c r="EH66" s="562"/>
      <c r="EI66" s="607"/>
      <c r="EJ66" s="607"/>
      <c r="EK66" s="608"/>
      <c r="EL66" s="608"/>
      <c r="EM66" s="608"/>
      <c r="EN66" s="608"/>
      <c r="EO66" s="608"/>
      <c r="EP66" s="608"/>
      <c r="EQ66" s="562"/>
      <c r="ER66" s="608"/>
      <c r="ES66" s="608"/>
      <c r="ET66" s="608"/>
      <c r="EU66" s="562"/>
      <c r="EV66" s="608"/>
      <c r="EW66" s="608"/>
      <c r="EX66" s="609"/>
      <c r="EY66" s="609"/>
      <c r="EZ66" s="609"/>
      <c r="FA66" s="609"/>
      <c r="FB66" s="609"/>
      <c r="FC66" s="609"/>
      <c r="FD66" s="562"/>
      <c r="FE66" s="609"/>
      <c r="FF66" s="609"/>
      <c r="FG66" s="609"/>
      <c r="FH66" s="562"/>
      <c r="FI66" s="609"/>
      <c r="FJ66" s="609"/>
      <c r="FK66" s="562"/>
      <c r="FL66" s="562"/>
      <c r="FM66" s="562"/>
      <c r="FN66" s="562"/>
      <c r="FO66" s="562"/>
      <c r="FP66" s="562"/>
      <c r="FQ66" s="562"/>
      <c r="FR66" s="562"/>
      <c r="FS66" s="562"/>
      <c r="FT66" s="562"/>
      <c r="FU66" s="562"/>
      <c r="FV66" s="562"/>
      <c r="FW66" s="562"/>
      <c r="FX66" s="610">
        <v>1</v>
      </c>
      <c r="FY66" s="611"/>
      <c r="FZ66" s="611">
        <v>1</v>
      </c>
      <c r="GA66" s="562" t="s">
        <v>601</v>
      </c>
      <c r="GB66" s="612"/>
      <c r="GC66" s="603"/>
      <c r="GD66" s="603"/>
      <c r="GE66" s="613"/>
      <c r="GF66" s="613"/>
      <c r="GG66" s="613"/>
      <c r="GH66" s="614"/>
      <c r="GI66" s="614"/>
      <c r="GJ66" s="615"/>
      <c r="GK66" s="615"/>
      <c r="GL66" s="615"/>
      <c r="GM66" s="615"/>
      <c r="GN66" s="615"/>
      <c r="GO66" s="615"/>
      <c r="GP66" s="615"/>
      <c r="GQ66" s="615"/>
      <c r="GR66" s="615"/>
      <c r="GS66" s="615"/>
      <c r="GT66" s="615"/>
      <c r="GU66" s="609"/>
      <c r="GV66" s="609"/>
      <c r="GW66" s="609"/>
      <c r="GX66" s="609"/>
      <c r="GY66" s="609"/>
      <c r="GZ66" s="609"/>
      <c r="HA66" s="609"/>
      <c r="HB66" s="609"/>
      <c r="HC66" s="609"/>
      <c r="HD66" s="609"/>
      <c r="HE66" s="609"/>
      <c r="HF66" s="616"/>
      <c r="HG66" s="616"/>
      <c r="HH66" s="616"/>
      <c r="HI66" s="616"/>
      <c r="HJ66" s="616"/>
      <c r="HK66" s="616"/>
      <c r="HL66" s="616"/>
      <c r="HM66" s="616"/>
      <c r="HN66" s="616"/>
      <c r="HO66" s="616"/>
      <c r="HP66" s="616"/>
      <c r="HQ66" s="617"/>
      <c r="HR66" s="617"/>
      <c r="HS66" s="617"/>
      <c r="HT66" s="617"/>
      <c r="HU66" s="617"/>
      <c r="HV66" s="617"/>
    </row>
    <row r="67" ht="47.25">
      <c r="A67" s="559">
        <v>66</v>
      </c>
      <c r="B67" s="602">
        <v>39</v>
      </c>
      <c r="C67" s="469">
        <v>0</v>
      </c>
      <c r="D67" s="469" t="s">
        <v>1146</v>
      </c>
      <c r="E67" s="560" t="s">
        <v>576</v>
      </c>
      <c r="F67" s="564" t="s">
        <v>576</v>
      </c>
      <c r="G67" s="561" t="s">
        <v>1147</v>
      </c>
      <c r="H67" s="562" t="s">
        <v>14</v>
      </c>
      <c r="I67" s="562" t="s">
        <v>1148</v>
      </c>
      <c r="J67" s="562" t="s">
        <v>1149</v>
      </c>
      <c r="K67" s="469" t="s">
        <v>1150</v>
      </c>
      <c r="L67" s="563">
        <v>42660</v>
      </c>
      <c r="M67" s="563">
        <v>42651</v>
      </c>
      <c r="N67" s="603" t="s">
        <v>1151</v>
      </c>
      <c r="O67" s="604">
        <v>2018</v>
      </c>
      <c r="P67" s="605" t="s">
        <v>1118</v>
      </c>
      <c r="Q67" s="603" t="s">
        <v>364</v>
      </c>
      <c r="R67" s="605" t="s">
        <v>1119</v>
      </c>
      <c r="S67" s="605" t="s">
        <v>1120</v>
      </c>
      <c r="T67" s="234" t="s">
        <v>1119</v>
      </c>
      <c r="U67" s="234" t="s">
        <v>1120</v>
      </c>
      <c r="V67" s="562">
        <v>1</v>
      </c>
      <c r="W67" s="562" t="s">
        <v>675</v>
      </c>
      <c r="X67" s="564" t="s">
        <v>576</v>
      </c>
      <c r="Y67" s="564" t="s">
        <v>1152</v>
      </c>
      <c r="Z67" s="564" t="s">
        <v>587</v>
      </c>
      <c r="AA67" s="564">
        <v>2</v>
      </c>
      <c r="AB67" s="565" t="s">
        <v>596</v>
      </c>
      <c r="AC67" s="565" t="s">
        <v>596</v>
      </c>
      <c r="AD67" s="565" t="s">
        <v>601</v>
      </c>
      <c r="AE67" s="565"/>
      <c r="AF67" s="566" t="s">
        <v>968</v>
      </c>
      <c r="AG67" s="565" t="s">
        <v>598</v>
      </c>
      <c r="AH67" s="565" t="s">
        <v>598</v>
      </c>
      <c r="AI67" s="565"/>
      <c r="AJ67" s="565"/>
      <c r="AK67" s="562" t="s">
        <v>969</v>
      </c>
      <c r="AL67" s="564">
        <v>2100</v>
      </c>
      <c r="AM67" s="564" t="s">
        <v>1130</v>
      </c>
      <c r="AN67" s="567"/>
      <c r="AO67" s="567"/>
      <c r="AP67" s="567"/>
      <c r="AQ67" s="567"/>
      <c r="AR67" s="568"/>
      <c r="AS67" s="568"/>
      <c r="AT67" s="568"/>
      <c r="AU67" s="568"/>
      <c r="AV67" s="663"/>
      <c r="AW67" s="568"/>
      <c r="AX67" s="568"/>
      <c r="AY67" s="568"/>
      <c r="AZ67" s="568"/>
      <c r="BA67" s="663"/>
      <c r="BB67" s="567"/>
      <c r="BC67" s="567"/>
      <c r="BD67" s="569"/>
      <c r="BE67" s="569"/>
      <c r="BF67" s="569"/>
      <c r="BG67" s="569"/>
      <c r="BH67" s="569"/>
      <c r="BI67" s="569"/>
      <c r="BJ67" s="569"/>
      <c r="BK67" s="569"/>
      <c r="BL67" s="566"/>
      <c r="BM67" s="569"/>
      <c r="BN67" s="569"/>
      <c r="BO67" s="569" t="s">
        <v>601</v>
      </c>
      <c r="BP67" s="569"/>
      <c r="BQ67" s="562"/>
      <c r="BR67" s="569"/>
      <c r="BS67" s="569"/>
      <c r="BT67" s="570" t="s">
        <v>601</v>
      </c>
      <c r="BU67" s="570"/>
      <c r="BV67" s="570"/>
      <c r="BW67" s="570" t="s">
        <v>601</v>
      </c>
      <c r="BX67" s="571" t="s">
        <v>601</v>
      </c>
      <c r="BY67" s="571" t="s">
        <v>601</v>
      </c>
      <c r="BZ67" s="571" t="s">
        <v>601</v>
      </c>
      <c r="CA67" s="566" t="s">
        <v>601</v>
      </c>
      <c r="CB67" s="571" t="s">
        <v>601</v>
      </c>
      <c r="CC67" s="571" t="s">
        <v>601</v>
      </c>
      <c r="CD67" s="571" t="s">
        <v>601</v>
      </c>
      <c r="CE67" s="562" t="s">
        <v>601</v>
      </c>
      <c r="CF67" s="570" t="s">
        <v>601</v>
      </c>
      <c r="CG67" s="570" t="s">
        <v>601</v>
      </c>
      <c r="CH67" s="572" t="s">
        <v>601</v>
      </c>
      <c r="CI67" s="572" t="s">
        <v>601</v>
      </c>
      <c r="CJ67" s="572" t="s">
        <v>601</v>
      </c>
      <c r="CK67" s="572" t="s">
        <v>601</v>
      </c>
      <c r="CL67" s="573" t="s">
        <v>601</v>
      </c>
      <c r="CM67" s="573" t="s">
        <v>601</v>
      </c>
      <c r="CN67" s="573" t="s">
        <v>601</v>
      </c>
      <c r="CO67" s="566" t="s">
        <v>601</v>
      </c>
      <c r="CP67" s="573" t="s">
        <v>601</v>
      </c>
      <c r="CQ67" s="573" t="s">
        <v>601</v>
      </c>
      <c r="CR67" s="573" t="s">
        <v>601</v>
      </c>
      <c r="CS67" s="562" t="s">
        <v>601</v>
      </c>
      <c r="CT67" s="572" t="s">
        <v>601</v>
      </c>
      <c r="CU67" s="572" t="s">
        <v>601</v>
      </c>
      <c r="CV67" s="574" t="s">
        <v>601</v>
      </c>
      <c r="CW67" s="574" t="s">
        <v>601</v>
      </c>
      <c r="CX67" s="574" t="s">
        <v>601</v>
      </c>
      <c r="CY67" s="574" t="s">
        <v>601</v>
      </c>
      <c r="CZ67" s="575" t="s">
        <v>601</v>
      </c>
      <c r="DA67" s="575" t="s">
        <v>601</v>
      </c>
      <c r="DB67" s="575" t="s">
        <v>601</v>
      </c>
      <c r="DC67" s="566" t="s">
        <v>601</v>
      </c>
      <c r="DD67" s="575" t="s">
        <v>601</v>
      </c>
      <c r="DE67" s="575" t="s">
        <v>601</v>
      </c>
      <c r="DF67" s="575" t="s">
        <v>601</v>
      </c>
      <c r="DG67" s="562" t="s">
        <v>601</v>
      </c>
      <c r="DH67" s="574" t="s">
        <v>601</v>
      </c>
      <c r="DI67" s="574" t="s">
        <v>601</v>
      </c>
      <c r="DJ67" s="469" t="s">
        <v>601</v>
      </c>
      <c r="DK67" s="469" t="s">
        <v>601</v>
      </c>
      <c r="DL67" s="469" t="s">
        <v>601</v>
      </c>
      <c r="DM67" s="469">
        <v>1</v>
      </c>
      <c r="DN67" s="469" t="s">
        <v>623</v>
      </c>
      <c r="DO67" s="469" t="s">
        <v>601</v>
      </c>
      <c r="DP67" s="469" t="s">
        <v>601</v>
      </c>
      <c r="DQ67" s="469" t="s">
        <v>604</v>
      </c>
      <c r="DR67" s="576" t="s">
        <v>604</v>
      </c>
      <c r="DS67" s="606" t="s">
        <v>604</v>
      </c>
      <c r="DT67" s="606">
        <v>1</v>
      </c>
      <c r="DU67" s="562"/>
      <c r="DV67" s="606"/>
      <c r="DW67" s="606"/>
      <c r="DX67" s="607"/>
      <c r="DY67" s="611"/>
      <c r="DZ67" s="607"/>
      <c r="EA67" s="607"/>
      <c r="EB67" s="607"/>
      <c r="EC67" s="607"/>
      <c r="ED67" s="562"/>
      <c r="EE67" s="607"/>
      <c r="EF67" s="607"/>
      <c r="EG67" s="607"/>
      <c r="EH67" s="562"/>
      <c r="EI67" s="607"/>
      <c r="EJ67" s="607"/>
      <c r="EK67" s="608"/>
      <c r="EL67" s="608"/>
      <c r="EM67" s="608"/>
      <c r="EN67" s="608"/>
      <c r="EO67" s="608"/>
      <c r="EP67" s="608"/>
      <c r="EQ67" s="562"/>
      <c r="ER67" s="608"/>
      <c r="ES67" s="608"/>
      <c r="ET67" s="608"/>
      <c r="EU67" s="562"/>
      <c r="EV67" s="608"/>
      <c r="EW67" s="608"/>
      <c r="EX67" s="609"/>
      <c r="EY67" s="609"/>
      <c r="EZ67" s="609"/>
      <c r="FA67" s="609"/>
      <c r="FB67" s="609"/>
      <c r="FC67" s="609"/>
      <c r="FD67" s="562"/>
      <c r="FE67" s="609"/>
      <c r="FF67" s="609"/>
      <c r="FG67" s="609"/>
      <c r="FH67" s="562"/>
      <c r="FI67" s="609"/>
      <c r="FJ67" s="609"/>
      <c r="FK67" s="562"/>
      <c r="FL67" s="562"/>
      <c r="FM67" s="562"/>
      <c r="FN67" s="562"/>
      <c r="FO67" s="562"/>
      <c r="FP67" s="562"/>
      <c r="FQ67" s="562"/>
      <c r="FR67" s="562"/>
      <c r="FS67" s="562"/>
      <c r="FT67" s="562"/>
      <c r="FU67" s="562"/>
      <c r="FV67" s="562"/>
      <c r="FW67" s="562"/>
      <c r="FX67" s="610">
        <v>1</v>
      </c>
      <c r="FY67" s="611"/>
      <c r="FZ67" s="611">
        <v>1</v>
      </c>
      <c r="GA67" s="562" t="s">
        <v>601</v>
      </c>
      <c r="GB67" s="612"/>
      <c r="GC67" s="603"/>
      <c r="GD67" s="603"/>
      <c r="GE67" s="613"/>
      <c r="GF67" s="613"/>
      <c r="GG67" s="613"/>
      <c r="GH67" s="614"/>
      <c r="GI67" s="614"/>
      <c r="GJ67" s="615"/>
      <c r="GK67" s="615"/>
      <c r="GL67" s="615"/>
      <c r="GM67" s="615"/>
      <c r="GN67" s="615"/>
      <c r="GO67" s="615"/>
      <c r="GP67" s="615"/>
      <c r="GQ67" s="615"/>
      <c r="GR67" s="615"/>
      <c r="GS67" s="615"/>
      <c r="GT67" s="615"/>
      <c r="GU67" s="609"/>
      <c r="GV67" s="609"/>
      <c r="GW67" s="609"/>
      <c r="GX67" s="609"/>
      <c r="GY67" s="609"/>
      <c r="GZ67" s="609"/>
      <c r="HA67" s="609"/>
      <c r="HB67" s="609"/>
      <c r="HC67" s="609"/>
      <c r="HD67" s="609"/>
      <c r="HE67" s="609"/>
      <c r="HF67" s="616"/>
      <c r="HG67" s="616"/>
      <c r="HH67" s="616"/>
      <c r="HI67" s="616"/>
      <c r="HJ67" s="616"/>
      <c r="HK67" s="616"/>
      <c r="HL67" s="616"/>
      <c r="HM67" s="616"/>
      <c r="HN67" s="616"/>
      <c r="HO67" s="616"/>
      <c r="HP67" s="616"/>
      <c r="HQ67" s="617"/>
      <c r="HR67" s="617"/>
      <c r="HS67" s="617"/>
      <c r="HT67" s="617"/>
      <c r="HU67" s="617"/>
      <c r="HV67" s="617"/>
    </row>
    <row r="68" ht="47.25">
      <c r="A68" s="559">
        <v>67</v>
      </c>
      <c r="B68" s="602">
        <v>39</v>
      </c>
      <c r="C68" s="469">
        <v>0</v>
      </c>
      <c r="D68" s="469" t="s">
        <v>1153</v>
      </c>
      <c r="E68" s="560" t="s">
        <v>576</v>
      </c>
      <c r="F68" s="564" t="s">
        <v>576</v>
      </c>
      <c r="G68" s="561" t="s">
        <v>1154</v>
      </c>
      <c r="H68" s="562" t="s">
        <v>14</v>
      </c>
      <c r="I68" s="562" t="s">
        <v>1155</v>
      </c>
      <c r="J68" s="562" t="s">
        <v>1156</v>
      </c>
      <c r="K68" s="469" t="s">
        <v>1157</v>
      </c>
      <c r="L68" s="563">
        <v>42660</v>
      </c>
      <c r="M68" s="563">
        <v>42651</v>
      </c>
      <c r="N68" s="603" t="s">
        <v>1158</v>
      </c>
      <c r="O68" s="604">
        <v>2019</v>
      </c>
      <c r="P68" s="605" t="s">
        <v>1118</v>
      </c>
      <c r="Q68" s="603" t="s">
        <v>364</v>
      </c>
      <c r="R68" s="605" t="s">
        <v>1119</v>
      </c>
      <c r="S68" s="605" t="s">
        <v>1120</v>
      </c>
      <c r="T68" s="234" t="s">
        <v>1119</v>
      </c>
      <c r="U68" s="234" t="s">
        <v>1120</v>
      </c>
      <c r="V68" s="562">
        <v>1</v>
      </c>
      <c r="W68" s="562" t="s">
        <v>675</v>
      </c>
      <c r="X68" s="564" t="s">
        <v>576</v>
      </c>
      <c r="Y68" s="564" t="s">
        <v>1159</v>
      </c>
      <c r="Z68" s="564" t="s">
        <v>587</v>
      </c>
      <c r="AA68" s="564">
        <v>2</v>
      </c>
      <c r="AB68" s="565" t="s">
        <v>596</v>
      </c>
      <c r="AC68" s="565" t="s">
        <v>596</v>
      </c>
      <c r="AD68" s="565" t="s">
        <v>601</v>
      </c>
      <c r="AE68" s="565"/>
      <c r="AF68" s="566" t="s">
        <v>968</v>
      </c>
      <c r="AG68" s="565" t="s">
        <v>598</v>
      </c>
      <c r="AH68" s="565" t="s">
        <v>598</v>
      </c>
      <c r="AI68" s="565"/>
      <c r="AJ68" s="565"/>
      <c r="AK68" s="562" t="s">
        <v>969</v>
      </c>
      <c r="AL68" s="564">
        <v>2100</v>
      </c>
      <c r="AM68" s="564" t="s">
        <v>1130</v>
      </c>
      <c r="AN68" s="567"/>
      <c r="AO68" s="567"/>
      <c r="AP68" s="567"/>
      <c r="AQ68" s="567"/>
      <c r="AR68" s="568"/>
      <c r="AS68" s="568"/>
      <c r="AT68" s="568"/>
      <c r="AU68" s="568"/>
      <c r="AV68" s="663"/>
      <c r="AW68" s="568"/>
      <c r="AX68" s="568"/>
      <c r="AY68" s="568"/>
      <c r="AZ68" s="568"/>
      <c r="BA68" s="663"/>
      <c r="BB68" s="567"/>
      <c r="BC68" s="567"/>
      <c r="BD68" s="569"/>
      <c r="BE68" s="569"/>
      <c r="BF68" s="569"/>
      <c r="BG68" s="569"/>
      <c r="BH68" s="569"/>
      <c r="BI68" s="569"/>
      <c r="BJ68" s="569"/>
      <c r="BK68" s="569"/>
      <c r="BL68" s="566"/>
      <c r="BM68" s="569"/>
      <c r="BN68" s="569"/>
      <c r="BO68" s="569" t="s">
        <v>601</v>
      </c>
      <c r="BP68" s="569"/>
      <c r="BQ68" s="562"/>
      <c r="BR68" s="569"/>
      <c r="BS68" s="569"/>
      <c r="BT68" s="570" t="s">
        <v>601</v>
      </c>
      <c r="BU68" s="570"/>
      <c r="BV68" s="570"/>
      <c r="BW68" s="570" t="s">
        <v>601</v>
      </c>
      <c r="BX68" s="571" t="s">
        <v>601</v>
      </c>
      <c r="BY68" s="571" t="s">
        <v>601</v>
      </c>
      <c r="BZ68" s="571" t="s">
        <v>601</v>
      </c>
      <c r="CA68" s="566" t="s">
        <v>601</v>
      </c>
      <c r="CB68" s="571" t="s">
        <v>601</v>
      </c>
      <c r="CC68" s="571" t="s">
        <v>601</v>
      </c>
      <c r="CD68" s="571" t="s">
        <v>601</v>
      </c>
      <c r="CE68" s="562" t="s">
        <v>601</v>
      </c>
      <c r="CF68" s="570" t="s">
        <v>601</v>
      </c>
      <c r="CG68" s="570" t="s">
        <v>601</v>
      </c>
      <c r="CH68" s="572" t="s">
        <v>601</v>
      </c>
      <c r="CI68" s="572" t="s">
        <v>601</v>
      </c>
      <c r="CJ68" s="572" t="s">
        <v>601</v>
      </c>
      <c r="CK68" s="572" t="s">
        <v>601</v>
      </c>
      <c r="CL68" s="573" t="s">
        <v>601</v>
      </c>
      <c r="CM68" s="573" t="s">
        <v>601</v>
      </c>
      <c r="CN68" s="573" t="s">
        <v>601</v>
      </c>
      <c r="CO68" s="566" t="s">
        <v>601</v>
      </c>
      <c r="CP68" s="573" t="s">
        <v>601</v>
      </c>
      <c r="CQ68" s="573" t="s">
        <v>601</v>
      </c>
      <c r="CR68" s="573" t="s">
        <v>601</v>
      </c>
      <c r="CS68" s="562" t="s">
        <v>601</v>
      </c>
      <c r="CT68" s="572" t="s">
        <v>601</v>
      </c>
      <c r="CU68" s="572" t="s">
        <v>601</v>
      </c>
      <c r="CV68" s="574" t="s">
        <v>601</v>
      </c>
      <c r="CW68" s="574" t="s">
        <v>601</v>
      </c>
      <c r="CX68" s="574" t="s">
        <v>601</v>
      </c>
      <c r="CY68" s="574" t="s">
        <v>601</v>
      </c>
      <c r="CZ68" s="575" t="s">
        <v>601</v>
      </c>
      <c r="DA68" s="575" t="s">
        <v>601</v>
      </c>
      <c r="DB68" s="575" t="s">
        <v>601</v>
      </c>
      <c r="DC68" s="566" t="s">
        <v>601</v>
      </c>
      <c r="DD68" s="575" t="s">
        <v>601</v>
      </c>
      <c r="DE68" s="575" t="s">
        <v>601</v>
      </c>
      <c r="DF68" s="575" t="s">
        <v>601</v>
      </c>
      <c r="DG68" s="562" t="s">
        <v>601</v>
      </c>
      <c r="DH68" s="574" t="s">
        <v>601</v>
      </c>
      <c r="DI68" s="574" t="s">
        <v>601</v>
      </c>
      <c r="DJ68" s="469" t="s">
        <v>601</v>
      </c>
      <c r="DK68" s="469" t="s">
        <v>601</v>
      </c>
      <c r="DL68" s="469" t="s">
        <v>601</v>
      </c>
      <c r="DM68" s="469">
        <v>1</v>
      </c>
      <c r="DN68" s="469" t="s">
        <v>623</v>
      </c>
      <c r="DO68" s="469" t="s">
        <v>601</v>
      </c>
      <c r="DP68" s="469" t="s">
        <v>601</v>
      </c>
      <c r="DQ68" s="469" t="s">
        <v>604</v>
      </c>
      <c r="DR68" s="576" t="s">
        <v>604</v>
      </c>
      <c r="DS68" s="606" t="s">
        <v>604</v>
      </c>
      <c r="DT68" s="606">
        <v>1</v>
      </c>
      <c r="DU68" s="562"/>
      <c r="DV68" s="606"/>
      <c r="DW68" s="606"/>
      <c r="DX68" s="607"/>
      <c r="DY68" s="611"/>
      <c r="DZ68" s="607"/>
      <c r="EA68" s="607"/>
      <c r="EB68" s="607"/>
      <c r="EC68" s="607"/>
      <c r="ED68" s="562"/>
      <c r="EE68" s="607"/>
      <c r="EF68" s="607"/>
      <c r="EG68" s="607"/>
      <c r="EH68" s="562"/>
      <c r="EI68" s="607"/>
      <c r="EJ68" s="607"/>
      <c r="EK68" s="608"/>
      <c r="EL68" s="608"/>
      <c r="EM68" s="608"/>
      <c r="EN68" s="608"/>
      <c r="EO68" s="608"/>
      <c r="EP68" s="608"/>
      <c r="EQ68" s="562"/>
      <c r="ER68" s="608"/>
      <c r="ES68" s="608"/>
      <c r="ET68" s="608"/>
      <c r="EU68" s="562"/>
      <c r="EV68" s="608"/>
      <c r="EW68" s="608"/>
      <c r="EX68" s="609"/>
      <c r="EY68" s="609"/>
      <c r="EZ68" s="609"/>
      <c r="FA68" s="609"/>
      <c r="FB68" s="609"/>
      <c r="FC68" s="609"/>
      <c r="FD68" s="562"/>
      <c r="FE68" s="609"/>
      <c r="FF68" s="609"/>
      <c r="FG68" s="609"/>
      <c r="FH68" s="562"/>
      <c r="FI68" s="609"/>
      <c r="FJ68" s="609"/>
      <c r="FK68" s="562"/>
      <c r="FL68" s="562"/>
      <c r="FM68" s="562"/>
      <c r="FN68" s="562"/>
      <c r="FO68" s="562"/>
      <c r="FP68" s="562"/>
      <c r="FQ68" s="562"/>
      <c r="FR68" s="562"/>
      <c r="FS68" s="562"/>
      <c r="FT68" s="562"/>
      <c r="FU68" s="562"/>
      <c r="FV68" s="562"/>
      <c r="FW68" s="562"/>
      <c r="FX68" s="610">
        <v>1</v>
      </c>
      <c r="FY68" s="611"/>
      <c r="FZ68" s="611">
        <v>1</v>
      </c>
      <c r="GA68" s="562" t="s">
        <v>601</v>
      </c>
      <c r="GB68" s="612"/>
      <c r="GC68" s="603"/>
      <c r="GD68" s="603"/>
      <c r="GE68" s="613"/>
      <c r="GF68" s="613"/>
      <c r="GG68" s="613"/>
      <c r="GH68" s="614"/>
      <c r="GI68" s="614"/>
      <c r="GJ68" s="615"/>
      <c r="GK68" s="615"/>
      <c r="GL68" s="615"/>
      <c r="GM68" s="615"/>
      <c r="GN68" s="615"/>
      <c r="GO68" s="615"/>
      <c r="GP68" s="615"/>
      <c r="GQ68" s="615"/>
      <c r="GR68" s="615"/>
      <c r="GS68" s="615"/>
      <c r="GT68" s="615"/>
      <c r="GU68" s="609"/>
      <c r="GV68" s="609"/>
      <c r="GW68" s="609"/>
      <c r="GX68" s="609"/>
      <c r="GY68" s="609"/>
      <c r="GZ68" s="609"/>
      <c r="HA68" s="609"/>
      <c r="HB68" s="609"/>
      <c r="HC68" s="609"/>
      <c r="HD68" s="609"/>
      <c r="HE68" s="609"/>
      <c r="HF68" s="616"/>
      <c r="HG68" s="616"/>
      <c r="HH68" s="616"/>
      <c r="HI68" s="616"/>
      <c r="HJ68" s="616"/>
      <c r="HK68" s="616"/>
      <c r="HL68" s="616"/>
      <c r="HM68" s="616"/>
      <c r="HN68" s="616"/>
      <c r="HO68" s="616"/>
      <c r="HP68" s="616"/>
      <c r="HQ68" s="617"/>
      <c r="HR68" s="617"/>
      <c r="HS68" s="617"/>
      <c r="HT68" s="617"/>
      <c r="HU68" s="617"/>
      <c r="HV68" s="617"/>
    </row>
    <row r="69" ht="47.25">
      <c r="A69" s="559">
        <v>68</v>
      </c>
      <c r="B69" s="602">
        <v>39</v>
      </c>
      <c r="C69" s="469">
        <v>0</v>
      </c>
      <c r="D69" s="469" t="s">
        <v>1160</v>
      </c>
      <c r="E69" s="560" t="s">
        <v>576</v>
      </c>
      <c r="F69" s="564" t="s">
        <v>576</v>
      </c>
      <c r="G69" s="561" t="s">
        <v>1161</v>
      </c>
      <c r="H69" s="562" t="s">
        <v>14</v>
      </c>
      <c r="I69" s="562" t="s">
        <v>1162</v>
      </c>
      <c r="J69" s="562" t="s">
        <v>1163</v>
      </c>
      <c r="K69" s="469" t="s">
        <v>1164</v>
      </c>
      <c r="L69" s="563">
        <v>42660</v>
      </c>
      <c r="M69" s="563">
        <v>42657</v>
      </c>
      <c r="N69" s="603" t="s">
        <v>1165</v>
      </c>
      <c r="O69" s="604">
        <v>2020</v>
      </c>
      <c r="P69" s="605" t="s">
        <v>1118</v>
      </c>
      <c r="Q69" s="603" t="s">
        <v>364</v>
      </c>
      <c r="R69" s="605" t="s">
        <v>1119</v>
      </c>
      <c r="S69" s="605" t="s">
        <v>1120</v>
      </c>
      <c r="T69" s="234" t="s">
        <v>1119</v>
      </c>
      <c r="U69" s="234" t="s">
        <v>1120</v>
      </c>
      <c r="V69" s="562">
        <v>1</v>
      </c>
      <c r="W69" s="562" t="s">
        <v>675</v>
      </c>
      <c r="X69" s="564" t="s">
        <v>576</v>
      </c>
      <c r="Y69" s="564" t="s">
        <v>1166</v>
      </c>
      <c r="Z69" s="564" t="s">
        <v>587</v>
      </c>
      <c r="AA69" s="564">
        <v>3</v>
      </c>
      <c r="AB69" s="565" t="s">
        <v>596</v>
      </c>
      <c r="AC69" s="565" t="s">
        <v>596</v>
      </c>
      <c r="AD69" s="565" t="s">
        <v>596</v>
      </c>
      <c r="AE69" s="565"/>
      <c r="AF69" s="566" t="s">
        <v>597</v>
      </c>
      <c r="AG69" s="565" t="s">
        <v>598</v>
      </c>
      <c r="AH69" s="565" t="s">
        <v>598</v>
      </c>
      <c r="AI69" s="565" t="s">
        <v>598</v>
      </c>
      <c r="AJ69" s="565"/>
      <c r="AK69" s="562" t="s">
        <v>599</v>
      </c>
      <c r="AL69" s="564">
        <v>2100</v>
      </c>
      <c r="AM69" s="564" t="s">
        <v>801</v>
      </c>
      <c r="AN69" s="567"/>
      <c r="AO69" s="567"/>
      <c r="AP69" s="567"/>
      <c r="AQ69" s="567"/>
      <c r="AR69" s="568"/>
      <c r="AS69" s="568"/>
      <c r="AT69" s="568"/>
      <c r="AU69" s="568"/>
      <c r="AV69" s="663"/>
      <c r="AW69" s="568"/>
      <c r="AX69" s="568"/>
      <c r="AY69" s="568"/>
      <c r="AZ69" s="568"/>
      <c r="BA69" s="663"/>
      <c r="BB69" s="567"/>
      <c r="BC69" s="567"/>
      <c r="BD69" s="569"/>
      <c r="BE69" s="569"/>
      <c r="BF69" s="569"/>
      <c r="BG69" s="569"/>
      <c r="BH69" s="569"/>
      <c r="BI69" s="569"/>
      <c r="BJ69" s="569"/>
      <c r="BK69" s="569"/>
      <c r="BL69" s="566"/>
      <c r="BM69" s="569"/>
      <c r="BN69" s="569"/>
      <c r="BO69" s="569" t="s">
        <v>601</v>
      </c>
      <c r="BP69" s="569"/>
      <c r="BQ69" s="562"/>
      <c r="BR69" s="569"/>
      <c r="BS69" s="569"/>
      <c r="BT69" s="570" t="s">
        <v>601</v>
      </c>
      <c r="BU69" s="570"/>
      <c r="BV69" s="570"/>
      <c r="BW69" s="570" t="s">
        <v>601</v>
      </c>
      <c r="BX69" s="571" t="s">
        <v>601</v>
      </c>
      <c r="BY69" s="571" t="s">
        <v>601</v>
      </c>
      <c r="BZ69" s="571" t="s">
        <v>601</v>
      </c>
      <c r="CA69" s="566" t="s">
        <v>601</v>
      </c>
      <c r="CB69" s="571" t="s">
        <v>601</v>
      </c>
      <c r="CC69" s="571" t="s">
        <v>601</v>
      </c>
      <c r="CD69" s="571" t="s">
        <v>601</v>
      </c>
      <c r="CE69" s="562" t="s">
        <v>601</v>
      </c>
      <c r="CF69" s="570" t="s">
        <v>601</v>
      </c>
      <c r="CG69" s="570" t="s">
        <v>601</v>
      </c>
      <c r="CH69" s="572" t="s">
        <v>601</v>
      </c>
      <c r="CI69" s="572" t="s">
        <v>601</v>
      </c>
      <c r="CJ69" s="572" t="s">
        <v>601</v>
      </c>
      <c r="CK69" s="572" t="s">
        <v>601</v>
      </c>
      <c r="CL69" s="573" t="s">
        <v>601</v>
      </c>
      <c r="CM69" s="573" t="s">
        <v>601</v>
      </c>
      <c r="CN69" s="573" t="s">
        <v>601</v>
      </c>
      <c r="CO69" s="566" t="s">
        <v>601</v>
      </c>
      <c r="CP69" s="573" t="s">
        <v>601</v>
      </c>
      <c r="CQ69" s="573" t="s">
        <v>601</v>
      </c>
      <c r="CR69" s="573" t="s">
        <v>601</v>
      </c>
      <c r="CS69" s="562" t="s">
        <v>601</v>
      </c>
      <c r="CT69" s="572" t="s">
        <v>601</v>
      </c>
      <c r="CU69" s="572" t="s">
        <v>601</v>
      </c>
      <c r="CV69" s="574" t="s">
        <v>601</v>
      </c>
      <c r="CW69" s="574" t="s">
        <v>601</v>
      </c>
      <c r="CX69" s="574" t="s">
        <v>601</v>
      </c>
      <c r="CY69" s="574" t="s">
        <v>601</v>
      </c>
      <c r="CZ69" s="575" t="s">
        <v>601</v>
      </c>
      <c r="DA69" s="575" t="s">
        <v>601</v>
      </c>
      <c r="DB69" s="575" t="s">
        <v>601</v>
      </c>
      <c r="DC69" s="566" t="s">
        <v>601</v>
      </c>
      <c r="DD69" s="575" t="s">
        <v>601</v>
      </c>
      <c r="DE69" s="575" t="s">
        <v>601</v>
      </c>
      <c r="DF69" s="575" t="s">
        <v>601</v>
      </c>
      <c r="DG69" s="562" t="s">
        <v>601</v>
      </c>
      <c r="DH69" s="574" t="s">
        <v>601</v>
      </c>
      <c r="DI69" s="574" t="s">
        <v>601</v>
      </c>
      <c r="DJ69" s="469" t="s">
        <v>601</v>
      </c>
      <c r="DK69" s="469" t="s">
        <v>601</v>
      </c>
      <c r="DL69" s="469" t="s">
        <v>601</v>
      </c>
      <c r="DM69" s="469">
        <v>1</v>
      </c>
      <c r="DN69" s="469" t="s">
        <v>623</v>
      </c>
      <c r="DO69" s="469" t="s">
        <v>601</v>
      </c>
      <c r="DP69" s="469" t="s">
        <v>601</v>
      </c>
      <c r="DQ69" s="469" t="s">
        <v>604</v>
      </c>
      <c r="DR69" s="576" t="s">
        <v>604</v>
      </c>
      <c r="DS69" s="606" t="s">
        <v>604</v>
      </c>
      <c r="DT69" s="606">
        <v>1</v>
      </c>
      <c r="DU69" s="562"/>
      <c r="DV69" s="606"/>
      <c r="DW69" s="606"/>
      <c r="DX69" s="607"/>
      <c r="DY69" s="611"/>
      <c r="DZ69" s="607"/>
      <c r="EA69" s="607"/>
      <c r="EB69" s="607"/>
      <c r="EC69" s="607"/>
      <c r="ED69" s="562"/>
      <c r="EE69" s="607"/>
      <c r="EF69" s="607"/>
      <c r="EG69" s="607"/>
      <c r="EH69" s="562"/>
      <c r="EI69" s="607"/>
      <c r="EJ69" s="607"/>
      <c r="EK69" s="608"/>
      <c r="EL69" s="608"/>
      <c r="EM69" s="608"/>
      <c r="EN69" s="608"/>
      <c r="EO69" s="608"/>
      <c r="EP69" s="608"/>
      <c r="EQ69" s="562"/>
      <c r="ER69" s="608"/>
      <c r="ES69" s="608"/>
      <c r="ET69" s="608"/>
      <c r="EU69" s="562"/>
      <c r="EV69" s="608"/>
      <c r="EW69" s="608"/>
      <c r="EX69" s="609"/>
      <c r="EY69" s="609"/>
      <c r="EZ69" s="609"/>
      <c r="FA69" s="609"/>
      <c r="FB69" s="609"/>
      <c r="FC69" s="609"/>
      <c r="FD69" s="562"/>
      <c r="FE69" s="609"/>
      <c r="FF69" s="609"/>
      <c r="FG69" s="609"/>
      <c r="FH69" s="562"/>
      <c r="FI69" s="609"/>
      <c r="FJ69" s="609"/>
      <c r="FK69" s="562"/>
      <c r="FL69" s="562"/>
      <c r="FM69" s="562"/>
      <c r="FN69" s="562"/>
      <c r="FO69" s="562"/>
      <c r="FP69" s="562"/>
      <c r="FQ69" s="562"/>
      <c r="FR69" s="562"/>
      <c r="FS69" s="562"/>
      <c r="FT69" s="562"/>
      <c r="FU69" s="562"/>
      <c r="FV69" s="562"/>
      <c r="FW69" s="562"/>
      <c r="FX69" s="610">
        <v>1</v>
      </c>
      <c r="FY69" s="611"/>
      <c r="FZ69" s="611">
        <v>1</v>
      </c>
      <c r="GA69" s="562" t="s">
        <v>601</v>
      </c>
      <c r="GB69" s="612"/>
      <c r="GC69" s="603"/>
      <c r="GD69" s="603"/>
      <c r="GE69" s="613"/>
      <c r="GF69" s="613"/>
      <c r="GG69" s="613"/>
      <c r="GH69" s="614"/>
      <c r="GI69" s="614"/>
      <c r="GJ69" s="615"/>
      <c r="GK69" s="615"/>
      <c r="GL69" s="615"/>
      <c r="GM69" s="615"/>
      <c r="GN69" s="615"/>
      <c r="GO69" s="615"/>
      <c r="GP69" s="615"/>
      <c r="GQ69" s="615"/>
      <c r="GR69" s="615"/>
      <c r="GS69" s="615"/>
      <c r="GT69" s="615"/>
      <c r="GU69" s="609"/>
      <c r="GV69" s="609"/>
      <c r="GW69" s="609"/>
      <c r="GX69" s="609"/>
      <c r="GY69" s="609"/>
      <c r="GZ69" s="609"/>
      <c r="HA69" s="609"/>
      <c r="HB69" s="609"/>
      <c r="HC69" s="609"/>
      <c r="HD69" s="609"/>
      <c r="HE69" s="609"/>
      <c r="HF69" s="616"/>
      <c r="HG69" s="616"/>
      <c r="HH69" s="616"/>
      <c r="HI69" s="616"/>
      <c r="HJ69" s="616"/>
      <c r="HK69" s="616"/>
      <c r="HL69" s="616"/>
      <c r="HM69" s="616"/>
      <c r="HN69" s="616"/>
      <c r="HO69" s="616"/>
      <c r="HP69" s="616"/>
      <c r="HQ69" s="617"/>
      <c r="HR69" s="617"/>
      <c r="HS69" s="617"/>
      <c r="HT69" s="617"/>
      <c r="HU69" s="617"/>
      <c r="HV69" s="617"/>
    </row>
  </sheetData>
  <sheetProtection sheet="1" objects="1" scenarios="1" formatCells="0" formatColumns="0" formatRows="0" sort="0" autoFilter="0" pivotTables="0"/>
  <autoFilter ref="A1:EJ69">
    <sortState ref="A2:EJ98">
      <sortCondition ref="A1:A98"/>
    </sortState>
  </autoFilter>
  <conditionalFormatting sqref="DS70:DW59179">
    <cfRule type="cellIs" dxfId="0" priority="138" stopIfTrue="1" operator="notEqual">
      <formula>TRUE</formula>
    </cfRule>
  </conditionalFormatting>
  <conditionalFormatting sqref="CY70:CY59179 CK70:CK59179 BW70:BW59179 AA70:AA59179 AQ70:AQ59179 BG70:BG59179">
    <cfRule type="cellIs" dxfId="0" priority="136" stopIfTrue="1" operator="notEqual">
      <formula>3</formula>
    </cfRule>
  </conditionalFormatting>
  <conditionalFormatting sqref="DX70:DY1048576">
    <cfRule type="containsText" dxfId="0" priority="133" operator="containsText" text="no">
      <formula>NOT(ISERROR(SEARCH("no",DX70)))</formula>
    </cfRule>
  </conditionalFormatting>
  <conditionalFormatting sqref="BW3:BW69">
    <cfRule type="cellIs" dxfId="0" priority="28" operator="notEqual">
      <formula>3</formula>
    </cfRule>
    <cfRule type="cellIs" priority="29" operator="equal">
      <formula>3</formula>
    </cfRule>
  </conditionalFormatting>
  <conditionalFormatting sqref="BG3:BG69 BW3:BW69 AQ3:AQ69 AA3:AA69">
    <cfRule type="cellIs" dxfId="6035" priority="39" stopIfTrue="1" operator="notEqual">
      <formula>3</formula>
    </cfRule>
  </conditionalFormatting>
  <conditionalFormatting sqref="GA3:GC69">
    <cfRule type="cellIs" dxfId="6035" priority="40" stopIfTrue="1" operator="notEqual">
      <formula>TRUE</formula>
    </cfRule>
  </conditionalFormatting>
  <conditionalFormatting sqref="BG3:BG69 FM3:FM69 EZ3:EZ69 EM3:EM69 DM3:DM69 AQ3:AQ69 AA3:AA69 BW3:BW69 CK3:CK69 CY3:CY69 DZ3:DZ69">
    <cfRule type="cellIs" dxfId="0" priority="38" stopIfTrue="1" operator="notEqual">
      <formula>3</formula>
    </cfRule>
  </conditionalFormatting>
  <conditionalFormatting sqref="FX3:FX69">
    <cfRule type="cellIs" dxfId="1" priority="32" operator="notEqual">
      <formula>0</formula>
    </cfRule>
    <cfRule type="cellIs" dxfId="0" priority="33" operator="notEqual">
      <formula>0</formula>
    </cfRule>
    <cfRule type="cellIs" dxfId="1" priority="36" operator="notEqual">
      <formula>0</formula>
    </cfRule>
    <cfRule type="cellIs" priority="37" operator="notEqual">
      <formula>0</formula>
    </cfRule>
  </conditionalFormatting>
  <conditionalFormatting sqref="BG3:BG69">
    <cfRule type="cellIs" dxfId="0" priority="34" operator="notEqual">
      <formula>3</formula>
    </cfRule>
    <cfRule type="cellIs" dxfId="0" priority="35" operator="notEqual">
      <formula>3</formula>
    </cfRule>
  </conditionalFormatting>
  <conditionalFormatting sqref="GC3:GD69">
    <cfRule type="cellIs" dxfId="0" priority="31" stopIfTrue="1" operator="notEqual">
      <formula>TRUE</formula>
    </cfRule>
  </conditionalFormatting>
  <conditionalFormatting sqref="DY3:DY69">
    <cfRule type="containsText" dxfId="0" priority="27" operator="containsText" text="No">
      <formula>NOT(ISERROR(SEARCH("No",DY3)))</formula>
    </cfRule>
  </conditionalFormatting>
  <conditionalFormatting sqref="BG1 BW1 AQ1 AA1">
    <cfRule type="cellIs" dxfId="6035" priority="25" stopIfTrue="1" operator="notEqual">
      <formula>3</formula>
    </cfRule>
  </conditionalFormatting>
  <conditionalFormatting sqref="GA1:GC1">
    <cfRule type="cellIs" dxfId="6035" priority="26" stopIfTrue="1" operator="notEqual">
      <formula>TRUE</formula>
    </cfRule>
  </conditionalFormatting>
  <conditionalFormatting sqref="FM1 EZ1 EM1 DZ1 DM1 AQ1 AA1 BW1 CK1 CY1">
    <cfRule type="cellIs" dxfId="0" priority="24" stopIfTrue="1" operator="notEqual">
      <formula>3</formula>
    </cfRule>
  </conditionalFormatting>
  <conditionalFormatting sqref="FX1">
    <cfRule type="cellIs" dxfId="1" priority="18" operator="notEqual">
      <formula>0</formula>
    </cfRule>
    <cfRule type="cellIs" dxfId="0" priority="19" operator="notEqual">
      <formula>0</formula>
    </cfRule>
    <cfRule type="cellIs" dxfId="1" priority="22" operator="notEqual">
      <formula>0</formula>
    </cfRule>
    <cfRule type="cellIs" priority="23" operator="notEqual">
      <formula>0</formula>
    </cfRule>
  </conditionalFormatting>
  <conditionalFormatting sqref="BG1">
    <cfRule type="cellIs" dxfId="0" priority="20" operator="notEqual">
      <formula>3</formula>
    </cfRule>
    <cfRule type="cellIs" dxfId="0" priority="21" operator="notEqual">
      <formula>3</formula>
    </cfRule>
  </conditionalFormatting>
  <conditionalFormatting sqref="GD1">
    <cfRule type="cellIs" dxfId="0" priority="17" stopIfTrue="1" operator="notEqual">
      <formula>TRUE</formula>
    </cfRule>
  </conditionalFormatting>
  <conditionalFormatting sqref="FY1">
    <cfRule type="containsText" dxfId="0" priority="16" operator="containsText" text="No">
      <formula>NOT(ISERROR(SEARCH("No",FY1)))</formula>
    </cfRule>
  </conditionalFormatting>
  <conditionalFormatting sqref="GD3:GD69">
    <cfRule type="cellIs" dxfId="6035" priority="15" stopIfTrue="1" operator="notEqual">
      <formula>TRUE</formula>
    </cfRule>
  </conditionalFormatting>
  <conditionalFormatting sqref="BW2">
    <cfRule type="cellIs" dxfId="0" priority="9" operator="notEqual">
      <formula>3</formula>
    </cfRule>
    <cfRule type="cellIs" priority="10" operator="equal">
      <formula>3</formula>
    </cfRule>
  </conditionalFormatting>
  <conditionalFormatting sqref="BG2 BW2 AQ2 AA2">
    <cfRule type="cellIs" dxfId="6035" priority="14" stopIfTrue="1" operator="notEqual">
      <formula>3</formula>
    </cfRule>
  </conditionalFormatting>
  <conditionalFormatting sqref="FK2 EX2 EK2 BG2 DM2 AQ2 AA2 BW2 CK2 CY2 DZ2">
    <cfRule type="cellIs" dxfId="0" priority="13" stopIfTrue="1" operator="notEqual">
      <formula>3</formula>
    </cfRule>
  </conditionalFormatting>
  <conditionalFormatting sqref="BG2">
    <cfRule type="cellIs" dxfId="0" priority="11" operator="notEqual">
      <formula>3</formula>
    </cfRule>
    <cfRule type="cellIs" dxfId="0" priority="12" operator="notEqual">
      <formula>3</formula>
    </cfRule>
  </conditionalFormatting>
  <conditionalFormatting sqref="DY2">
    <cfRule type="containsText" dxfId="0" priority="8" operator="containsText" text="No">
      <formula>NOT(ISERROR(SEARCH("No",DY2)))</formula>
    </cfRule>
  </conditionalFormatting>
  <conditionalFormatting sqref="FY2:GA2">
    <cfRule type="cellIs" dxfId="6035" priority="7" stopIfTrue="1" operator="notEqual">
      <formula>TRUE</formula>
    </cfRule>
  </conditionalFormatting>
  <conditionalFormatting sqref="FV2">
    <cfRule type="cellIs" dxfId="1" priority="3" operator="notEqual">
      <formula>0</formula>
    </cfRule>
    <cfRule type="cellIs" dxfId="0" priority="4" operator="notEqual">
      <formula>0</formula>
    </cfRule>
    <cfRule type="cellIs" dxfId="1" priority="5" operator="notEqual">
      <formula>0</formula>
    </cfRule>
    <cfRule type="cellIs" priority="6" operator="notEqual">
      <formula>0</formula>
    </cfRule>
  </conditionalFormatting>
  <conditionalFormatting sqref="GA2:GB2">
    <cfRule type="cellIs" dxfId="0" priority="2" stopIfTrue="1" operator="notEqual">
      <formula>TRUE</formula>
    </cfRule>
  </conditionalFormatting>
  <conditionalFormatting sqref="GB2">
    <cfRule type="cellIs" dxfId="6035" priority="1" stopIfTrue="1" operator="notEqual">
      <formula>TRUE</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69"/>
  <sheetViews>
    <sheetView topLeftCell="A64" zoomScale="70" zoomScaleNormal="70" workbookViewId="0">
      <selection activeCell="B69" sqref="B69:IU69"/>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VIETTEL-2016</v>
      </c>
      <c r="C2" s="483" t="str">
        <f>INDEX(OperatorIDList,MATCH(AJ2,OperatorNameList,0))</f>
        <v>VIETTEL-2016</v>
      </c>
      <c r="D2" s="796" t="str">
        <f>Input!Y2</f>
        <v>HCM2190</v>
      </c>
      <c r="E2" s="483" t="str">
        <f>Input!G2</f>
        <v>Số 790, quốc lộ 1A, phường Bình Hưng Hòa B, quận Bình Tân, thành phố Hồ Chí Minh.</v>
      </c>
      <c r="F2" s="483" t="str">
        <f>TRIM(SUBSTITUTE(SUBSTITUTE(Input!H2,"Thành phố ",""),"Tỉnh ",""))</f>
        <v>Hồ Chí Minh</v>
      </c>
      <c r="G2" s="796" t="str">
        <f>Input!I2</f>
        <v>106,59214</v>
      </c>
      <c r="H2" s="796" t="str">
        <f>Input!J2</f>
        <v>10,7761</v>
      </c>
      <c r="I2" s="483">
        <f>Input!V2</f>
        <v>3</v>
      </c>
      <c r="J2" s="483" t="str">
        <f>Input!K2</f>
        <v>1502368/16/TG/TT2</v>
      </c>
      <c r="K2" s="484" t="str">
        <f>TEXT(Input!L2,"dd/mm/yyyy")</f>
        <v>23/09/2016</v>
      </c>
      <c r="L2" s="484" t="str">
        <f>TEXT(Input!M2,"dd/mm/yyyy")</f>
        <v>10/09/2016</v>
      </c>
      <c r="M2" s="483" t="str">
        <f>ConcateMultiple(AP2:AU2,";",I2)</f>
        <v>TỔNG CÔNG TY MẠNG LƯỚI VIETTEL;TỔNG CÔNG TY MẠNG LƯỚI VIETTEL;TỔNG CÔNG TY MẠNG LƯỚI VIETTEL</v>
      </c>
      <c r="N2" s="483" t="str">
        <f>ConcateMultiple(BC2:BH2,";",I2)</f>
        <v>HCM2190;HCM2190;HCM2190</v>
      </c>
      <c r="O2" s="483" t="str">
        <f>ConcateMultiple(BI2:BN2,";",I2)</f>
        <v>HUAWEI DBS3900;HUAWEI DBS3900;HUAWEI DBS3900</v>
      </c>
      <c r="P2" s="483" t="str">
        <f>ConcateMultiple(BO2:BT2,";",I2)</f>
        <v>3;3;3</v>
      </c>
      <c r="Q2" s="483" t="str">
        <f>ConcateMultiple(BU2:BZ2,";",I2)</f>
        <v>4/4/4;4/4/4;2/2/2</v>
      </c>
      <c r="R2" s="483" t="str">
        <f>ConcateMultiple(DQ2:DV2,";",I2)</f>
        <v>20W/ 20W/ 20W;20W/ 20W/ 20W;40W/ 40W/ 40W</v>
      </c>
      <c r="S2" s="483" t="str">
        <f>ConcateMultiple(FN2:FS2,";",I2)</f>
        <v>900;1800;2100</v>
      </c>
      <c r="T2" s="483" t="str">
        <f>ConcateMultiple(FZ2:GE2,";",I2)</f>
        <v>27m/ 27m/ 27m;30m/ 30m/ 30m;30m/ 30m/ 30m</v>
      </c>
      <c r="U2" s="229">
        <v>1</v>
      </c>
      <c r="V2" s="229"/>
      <c r="W2" s="483" t="b">
        <f>X2</f>
        <v>0</v>
      </c>
      <c r="X2" s="483" t="b">
        <f>INDEX(TrueFalseList,_xlfn.IFNA(MATCH(Input!W2,CoKhongList,0),MATCH(Input!W2,YesNoList,0)))</f>
        <v>0</v>
      </c>
      <c r="Y2" s="796">
        <f>Input!FZ2</f>
        <v>0</v>
      </c>
      <c r="Z2" s="483" t="b">
        <v>1</v>
      </c>
      <c r="AA2" s="796">
        <f>HW2-HX2</f>
        <v>27</v>
      </c>
      <c r="AB2" s="229" t="b">
        <v>0</v>
      </c>
      <c r="AC2" s="229" t="b">
        <v>1</v>
      </c>
      <c r="AD2" s="483">
        <f>Input!DR2</f>
        <v>0</v>
      </c>
      <c r="AE2" s="229"/>
      <c r="AF2" s="483" t="str">
        <f>Options!$D$6</f>
        <v>VCC2</v>
      </c>
      <c r="AG2" s="483">
        <f>AD2</f>
        <v>0</v>
      </c>
      <c r="AH2" s="230"/>
      <c r="AI2" s="543" t="str">
        <f>Input!E2</f>
        <v>TỔNG CÔNG TY MẠNG LƯỚI VIETTEL</v>
      </c>
      <c r="AJ2" s="543" t="str">
        <f>Input!F2</f>
        <v>TỔNG CÔNG TY MẠNG LƯỚI VIETTEL</v>
      </c>
      <c r="AK2" s="483">
        <f>LEN(E2)-LEN(SUBSTITUTE(E2,",",""))</f>
        <v>4</v>
      </c>
      <c r="AL2" s="486" t="str">
        <f>TRIM(IF(AK2&gt;=2,MID(E2,FIND("~",SUBSTITUTE(E2,",","~", AK2))+1,IFERROR(FIND("~",SUBSTITUTE(E2,",","~", AK2+1))-1,LEN(E2))- FIND("~",SUBSTITUTE(E2,",","~", AK2))),""))</f>
        <v>thành phố Hồ Chí Minh.</v>
      </c>
      <c r="AM2" s="486" t="str">
        <f>TRIM(IF(AK2&gt;=2,MID(E2,FIND("~",SUBSTITUTE(E2,",","~", AK2-1))+1,IFERROR(FIND("~",SUBSTITUTE(E2,",","~", AK2-0))-1,LEN(E2))- FIND("~",SUBSTITUTE(E2,",","~", AK2-1))),""))</f>
        <v>quận Bình Tân</v>
      </c>
      <c r="AN2" s="486" t="str">
        <f>TRIM(IF(AK2&gt;=3,MID(E2,FIND("~",SUBSTITUTE(E2,",","~", AK2-2))+1,IFERROR(FIND("~",SUBSTITUTE(E2,",","~", AK2-1))-1,LEN(E2))- FIND("~",SUBSTITUTE(E2,",","~", AK2-2))),""))</f>
        <v>phường Bình Hưng Hòa B</v>
      </c>
      <c r="AO2" s="483" t="str">
        <f>INDEX(CityIDList,MATCH(F2,CityNameList,0))</f>
        <v>HCM</v>
      </c>
      <c r="AP2" s="485" t="str">
        <f>Input!X2</f>
        <v>TỔNG CÔNG TY MẠNG LƯỚI VIETTEL</v>
      </c>
      <c r="AQ2" s="485" t="str">
        <f>Input!AN2</f>
        <v>TỔNG CÔNG TY MẠNG LƯỚI VIETTEL</v>
      </c>
      <c r="AR2" s="485" t="str">
        <f>Input!BD2</f>
        <v>TỔNG CÔNG TY MẠNG LƯỚI VIETTEL</v>
      </c>
      <c r="AS2" s="485">
        <f>Input!BT2</f>
        <v>0</v>
      </c>
      <c r="AT2" s="485" t="str">
        <f>Input!CH2</f>
      </c>
      <c r="AU2" s="485" t="str">
        <f>Input!CV2</f>
      </c>
      <c r="AV2" s="485" t="str">
        <f>IF(I2&gt;=1,INDEX(OperatorIDList,MATCH(AP2,OperatorNameList,0)),"")</f>
        <v>VIETTEL-2016</v>
      </c>
      <c r="AW2" s="485" t="str">
        <f>IF(I2&gt;=2,INDEX(OperatorIDList,MATCH(AQ2,OperatorNameList,0)),"")</f>
        <v>VIETTEL-2016</v>
      </c>
      <c r="AX2" s="485" t="str">
        <f>IF(I2&gt;=3,INDEX(OperatorIDList,MATCH(AR2,OperatorNameList,0)),"")</f>
        <v>VIETTEL-2016</v>
      </c>
      <c r="AY2" s="485" t="str">
        <f>IF(I2&gt;=4,INDEX(OperatorIDList,MATCH(AS2,OperatorNameList,0)),"")</f>
      </c>
      <c r="AZ2" s="485" t="str">
        <f>IF(I2&gt;=5,INDEX(OperatorIDList,MATCH(AT2,OperatorNameList,0)),"")</f>
      </c>
      <c r="BA2" s="485" t="str">
        <f>IF(I2&gt;=6,INDEX(OperatorIDList,MATCH(AU2,OperatorNameList,0)),"")</f>
      </c>
      <c r="BB2" s="485" t="str">
        <f>ConcateMultiple(AV2:BA2,";",I2)</f>
        <v>VIETTEL-2016;VIETTEL-2016;VIETTEL-2016</v>
      </c>
      <c r="BC2" s="485" t="str">
        <f>Input!Y2</f>
        <v>HCM2190</v>
      </c>
      <c r="BD2" s="485" t="str">
        <f>Input!AO2</f>
        <v>HCM2190</v>
      </c>
      <c r="BE2" s="485" t="str">
        <f>Input!BE2</f>
        <v>HCM2190</v>
      </c>
      <c r="BF2" s="485">
        <f>Input!BU2</f>
        <v>0</v>
      </c>
      <c r="BG2" s="485" t="str">
        <f>Input!CI2</f>
      </c>
      <c r="BH2" s="485" t="str">
        <f>Input!CW2</f>
      </c>
      <c r="BI2" s="485" t="str">
        <f>Input!Z2</f>
        <v>HUAWEI DBS3900</v>
      </c>
      <c r="BJ2" s="485" t="str">
        <f>Input!AP2</f>
        <v>HUAWEI DBS3900</v>
      </c>
      <c r="BK2" s="485" t="str">
        <f>Input!BF2</f>
        <v>HUAWEI DBS3900</v>
      </c>
      <c r="BL2" s="485">
        <f>Input!BV2</f>
        <v>0</v>
      </c>
      <c r="BM2" s="485" t="str">
        <f>Input!CJ2</f>
      </c>
      <c r="BN2" s="485" t="str">
        <f>Input!CX2</f>
      </c>
      <c r="BO2" s="543">
        <f>IF(ISNUMBER(Input!AA2),Input!AA2,0)</f>
        <v>3</v>
      </c>
      <c r="BP2" s="543">
        <f>IF(ISNUMBER(Input!AQ2),Input!AQ2,0)</f>
        <v>3</v>
      </c>
      <c r="BQ2" s="543">
        <f>IF(ISNUMBER(Input!BG2),Input!BG2,0)</f>
        <v>3</v>
      </c>
      <c r="BR2" s="543">
        <f>IF(ISNUMBER(Input!BW2),Input!BW2,0)</f>
        <v>0</v>
      </c>
      <c r="BS2" s="543">
        <f>IF(ISNUMBER(Input!CK2),Input!CK2,0)</f>
        <v>0</v>
      </c>
      <c r="BT2" s="544">
        <f>IF(ISNUMBER(Input!CY2),Input!CY2,0)</f>
        <v>0</v>
      </c>
      <c r="BU2" s="485" t="str">
        <f>Input!AF2</f>
        <v>4/4/4</v>
      </c>
      <c r="BV2" s="485" t="str">
        <f>Input!AV2</f>
        <v>4/4/4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4</v>
      </c>
      <c r="CI2" s="485">
        <f>IF(BP2&gt;=3,MID(BV2,FIND("~",SUBSTITUTE(BV2,"/","~",2))+1,IFERROR(FIND("~",SUBSTITUTE(BV2,"/","~",3))-1,LEN(BV2))- FIND("~",SUBSTITUTE(BV2,"/","~",2))),"0")*1</f>
        <v>4</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20,00W/20,00W/20,00W</v>
      </c>
      <c r="DL2" s="485" t="str">
        <f>Input!BA2</f>
        <v>20,00W/20,00W/20,00W</v>
      </c>
      <c r="DM2" s="485" t="str">
        <f>Input!BQ2</f>
        <v>40,00W/40,00W/40,00W</v>
      </c>
      <c r="DN2" s="485" t="str">
        <f>Input!CE2</f>
      </c>
      <c r="DO2" s="485" t="str">
        <f>Input!CS2</f>
      </c>
      <c r="DP2" s="485" t="str">
        <f>Input!DG2</f>
      </c>
      <c r="DQ2" s="485" t="str">
        <f>ConcateMultiple(DW2:EB2,"W/ ",BO2)</f>
        <v>20W/ 20W/ 20W</v>
      </c>
      <c r="DR2" s="485" t="str">
        <f>ConcateMultiple(ED2:EI2,"W/ ",BP2)</f>
        <v>20W/ 20W/ 20W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20</v>
      </c>
      <c r="DX2" s="485">
        <f>SUBSTITUTE(IF(BO2&gt;=2,MID(DK2,FIND("~",SUBSTITUTE(DK2,"/","~",1))+1,IFERROR(FIND("~",SUBSTITUTE(DK2,"/","~",2))-1,LEN(DK2))- FIND("~",SUBSTITUTE(DK2,"/","~",1))),"0"),"W","")*1</f>
        <v>20</v>
      </c>
      <c r="DY2" s="485">
        <f>SUBSTITUTE(IF(BO2&gt;=3,MID(DK2,FIND("~",SUBSTITUTE(DK2,"/","~",2))+1,IFERROR(FIND("~",SUBSTITUTE(DK2,"/","~",3))-1,LEN(DK2))- FIND("~",SUBSTITUTE(DK2,"/","~",2))),"0"),"W","")*1</f>
        <v>20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20</v>
      </c>
      <c r="ED2" s="485">
        <f>SUBSTITUTE(IF(BP2&gt;=1,MID(DL2,1,IFERROR(FIND("~",SUBSTITUTE(DL2,"/","~",1))-1,LEN(DL2))),"0"),"W","")*1</f>
        <v>20</v>
      </c>
      <c r="EE2" s="485">
        <f>SUBSTITUTE(IF(BP2&gt;=2,MID(DL2,FIND("~",SUBSTITUTE(DL2,"/","~",1))+1,IFERROR(FIND("~",SUBSTITUTE(DL2,"/","~",2))-1,LEN(DL2))- FIND("~",SUBSTITUTE(DL2,"/","~",1))),"0"),"W","")*1</f>
        <v>20</v>
      </c>
      <c r="EF2" s="485">
        <f>SUBSTITUTE(IF(BP2&gt;=3,MID(DL2,FIND("~",SUBSTITUTE(DL2,"/","~",2))+1,IFERROR(FIND("~",SUBSTITUTE(DL2,"/","~",3))-1,LEN(DL2))- FIND("~",SUBSTITUTE(DL2,"/","~",2))),"0"),"W","")*1</f>
        <v>20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20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1800</v>
      </c>
      <c r="FP2" s="485" t="str">
        <f>Input!BR2</f>
        <v>2100</v>
      </c>
      <c r="FQ2" s="485" t="str">
        <f>Input!CF2</f>
      </c>
      <c r="FR2" s="485" t="str">
        <f>Input!CT2</f>
      </c>
      <c r="FS2" s="485" t="str">
        <f>Input!DH2</f>
      </c>
      <c r="FT2" s="485" t="str">
        <f>Input!AM2</f>
        <v>27m/ 27m/ 27m</v>
      </c>
      <c r="FU2" s="485" t="str">
        <f>Input!BC2</f>
        <v>30m/ 30m/ 30m</v>
      </c>
      <c r="FV2" s="485" t="str">
        <f>Input!BS2</f>
        <v>30m/ 30m/ 30m</v>
      </c>
      <c r="FW2" s="485" t="str">
        <f>Input!CG2</f>
      </c>
      <c r="FX2" s="485" t="str">
        <f>Input!CU2</f>
      </c>
      <c r="FY2" s="485" t="str">
        <f>Input!DI2</f>
      </c>
      <c r="FZ2" s="485" t="str">
        <f>ConcateMultiple(GF2:GK2,"m/ ",BO2)</f>
        <v>27m/ 27m/ 27m</v>
      </c>
      <c r="GA2" s="485" t="str">
        <f>ConcateMultiple(GL2:GQ2,"m/ ",BP2)</f>
        <v>30m/ 30m/ 30m</v>
      </c>
      <c r="GB2" s="485" t="str">
        <f>ConcateMultiple(GR2:GW2,"m/ ",BQ2)</f>
        <v>30m/ 30m/ 30m</v>
      </c>
      <c r="GC2" s="485" t="str">
        <f>ConcateMultiple(GX2:HC2,"m/ ",BR2)</f>
      </c>
      <c r="GD2" s="485" t="str">
        <f>ConcateMultiple(HD2:HI2,"m/ ",BS2)</f>
      </c>
      <c r="GE2" s="485" t="str">
        <f>ConcateMultiple(HJ2:HO2,"m/ ",BT2)</f>
      </c>
      <c r="GF2" s="485">
        <f>SUBSTITUTE(IF(BO2&gt;=1,MID(FT2,1,IFERROR(FIND("~",SUBSTITUTE(FT2,"/","~",1))-1,LEN(FT2))),"0"),"m","")*1</f>
        <v>27</v>
      </c>
      <c r="GG2" s="485">
        <f>SUBSTITUTE(TRIM(IF(BO2&gt;=2,MID(FT2,FIND("~",SUBSTITUTE(FT2,"/","~",1))+1,IFERROR(FIND("~",SUBSTITUTE(FT2,"/","~",2))-1,LEN(FT2))- FIND("~",SUBSTITUTE(FT2,"/","~",1))),"0")),"m","")*1</f>
        <v>27</v>
      </c>
      <c r="GH2" s="485">
        <f>SUBSTITUTE(TRIM(IF(BO2&gt;=3,MID(FT2,FIND("~",SUBSTITUTE(FT2,"/","~",2))+1,IFERROR(FIND("~",SUBSTITUTE(FT2,"/","~",3))-1,LEN(FT2))- FIND("~",SUBSTITUTE(FT2,"/","~",2))),"0")),"m","")*1</f>
        <v>27</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30</v>
      </c>
      <c r="GN2" s="485">
        <f>SUBSTITUTE(TRIM(IF(BP2&gt;=3,MID(FU2,FIND("~",SUBSTITUTE(FU2,"/","~",2))+1,IFERROR(FIND("~",SUBSTITUTE(FU2,"/","~",3))-1,LEN(FU2))- FIND("~",SUBSTITUTE(FU2,"/","~",2))),"0")),"m","")*1</f>
        <v>30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30</v>
      </c>
      <c r="GS2" s="485">
        <f>SUBSTITUTE(TRIM(IF(BQ2&gt;=2,MID(FV2,FIND("~",SUBSTITUTE(FV2,"/","~",1))+1,IFERROR(FIND("~",SUBSTITUTE(FV2,"/","~",2))-1,LEN(FV2))- FIND("~",SUBSTITUTE(FV2,"/","~",1))),"0")),"m","")*1</f>
        <v>30</v>
      </c>
      <c r="GT2" s="485">
        <f>SUBSTITUTE(TRIM(IF(BQ2&gt;=3,MID(FV2,FIND("~",SUBSTITUTE(FV2,"/","~",2))+1,IFERROR(FIND("~",SUBSTITUTE(FV2,"/","~",3))-1,LEN(FV2))- FIND("~",SUBSTITUTE(FV2,"/","~",2))),"0")),"m","")*1</f>
        <v>30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27</v>
      </c>
      <c r="HR2" s="485">
        <f>MinMultiple(GL2:GO2,BP2)</f>
        <v>30</v>
      </c>
      <c r="HS2" s="485">
        <f>MinMultiple(GR2:GU2,BQ2)</f>
        <v>30</v>
      </c>
      <c r="HT2" s="485">
        <f>MinMultiple(GX2:HA2,BR2)</f>
        <v>0</v>
      </c>
      <c r="HU2" s="485">
        <f>MinMultiple(HD2:HG2,BS2)</f>
        <v>0</v>
      </c>
      <c r="HV2" s="485">
        <f>MinMultiple(HJ2:HM2,BT2)</f>
        <v>0</v>
      </c>
      <c r="HW2" s="796">
        <f>MinMultiple(HQ2:HV2,I2)</f>
        <v>27</v>
      </c>
      <c r="HX2" s="796">
        <f>Input!EB2</f>
        <v>0</v>
      </c>
      <c r="HY2" s="230">
        <v>68</v>
      </c>
      <c r="HZ2" s="230"/>
      <c r="IA2" s="230"/>
      <c r="IB2" s="230"/>
      <c r="IC2" s="491" t="str">
        <f>IF(LEN(ID2)=4,"B0"&amp;ID2&amp;IE2&amp;IF2,IF(LEN(ID2)=3,"B00"&amp;ID2&amp;IE2&amp;IF2,IF(LEN(ID2)=2,"B000"&amp;ID2&amp;IE2&amp;IF2,IF(LEN(ID2)=1,"B0000"&amp;ID2&amp;IE2&amp;IF2,"B"&amp;ID2&amp;IE2&amp;IF2))))</f>
        <v>B01953230916TG05</v>
      </c>
      <c r="ID2" s="597" t="str">
        <f>Input!O2</f>
        <v>01953</v>
      </c>
      <c r="IE2" s="487" t="str">
        <f>TEXT(II2,"ddmmyy")</f>
        <v>230916</v>
      </c>
      <c r="IF2" s="232" t="s">
        <v>364</v>
      </c>
      <c r="IG2" s="487" t="str">
        <f ref="IG2:IH2" t="shared" si="132">TEXT(II2,"dd/mm/yyyy")</f>
        <v>23/09/2016</v>
      </c>
      <c r="IH2" s="487" t="str">
        <f t="shared" si="132"/>
        <v>23/09/2021</v>
      </c>
      <c r="II2" s="598" t="str">
        <f> Input!R2</f>
        <v>23/09/2016</v>
      </c>
      <c r="IJ2" s="487">
        <f>DATE(YEAR(II2) + 5,MONTH(II2),DAY(II2))</f>
        <v>44462</v>
      </c>
      <c r="IK2" s="488">
        <f>IFERROR(MATCH("",AP2:AU2,0)-1,6)</f>
        <v>4</v>
      </c>
      <c r="IL2" s="489" t="str">
        <f>IK2&amp;"-"&amp;IR2</f>
        <v>4-3</v>
      </c>
      <c r="IM2" s="489" t="str">
        <f>IF(AQ2&lt;&gt;"",IF(AQ2=AP2,"CHUNG","KHAC"),"")</f>
        <v>CHUNG</v>
      </c>
      <c r="IN2" s="489" t="str">
        <f>IF(AR2&lt;&gt;"",IF(AR2=AP2,"CHUNG","KHAC"),"")</f>
        <v>CHUNG</v>
      </c>
      <c r="IO2" s="489" t="str">
        <f>IF(AS2&lt;&gt;"",IF(AS2=AP2,"CHUNG","KHAC"),"")</f>
        <v>KHAC</v>
      </c>
      <c r="IP2" s="489" t="str">
        <f>IF(AT2&lt;&gt;"",IF(AT2=AP2,"CHUNG","KHAC"),"")</f>
      </c>
      <c r="IQ2" s="489" t="str">
        <f>IF(AU2&lt;&gt;"",IF(AU2=AP2,"CHUNG","KHAC"),"")</f>
      </c>
      <c r="IR2" s="489">
        <f>IF(COUNTIF(IM2:IQ2,"CHUNG")=0,1,COUNTIF(IM2:IQ2,"CHUNG")+1)</f>
        <v>3</v>
      </c>
      <c r="IS2" s="489">
        <f>IK2-IR2</f>
        <v>1</v>
      </c>
      <c r="IT2" s="489" t="str">
        <f>IF(IS2=0,"No","Yes")</f>
        <v>Yes</v>
      </c>
      <c r="IU2" s="489" t="str">
        <f>IF(IS2=0,"No","Yes")</f>
        <v>Yes</v>
      </c>
    </row>
    <row r="3" ht="63.75">
      <c r="A3" s="601">
        <f>Input!A3</f>
        <v>2</v>
      </c>
      <c r="B3" s="229" t="str">
        <f>INDEX(ApplicantIDList,MATCH(AI3,ApplicantNameList,0))</f>
        <v>VIETTEL-2016</v>
      </c>
      <c r="C3" s="229" t="str">
        <f>INDEX(OperatorIDList,MATCH(AJ3,OperatorNameList,0))</f>
        <v>VIETTEL-2016</v>
      </c>
      <c r="D3" s="797" t="str">
        <f>Input!Y3</f>
        <v>HCM4215</v>
      </c>
      <c r="E3" s="229" t="str">
        <f>Input!G3</f>
        <v>Số 1018/13, đường Hương Lộ 2, phường Bình Trị Đông A, quận Bình Tân, thành phố Hồ Chí Minh.</v>
      </c>
      <c r="F3" s="229" t="str">
        <f>TRIM(SUBSTITUTE(SUBSTITUTE(Input!H3,"Thành phố ",""),"Tỉnh ",""))</f>
        <v>Hồ Chí Minh</v>
      </c>
      <c r="G3" s="797" t="str">
        <f>Input!I3</f>
        <v>106,59191</v>
      </c>
      <c r="H3" s="797" t="str">
        <f>Input!J3</f>
        <v>10,77035</v>
      </c>
      <c r="I3" s="229">
        <f>Input!V3</f>
        <v>2</v>
      </c>
      <c r="J3" s="229" t="str">
        <f>Input!K3</f>
        <v>1502371/16/TG/TT2</v>
      </c>
      <c r="K3" s="231" t="str">
        <f>TEXT(Input!L3,"dd/mm/yyyy")</f>
        <v>23/09/2016</v>
      </c>
      <c r="L3" s="231" t="str">
        <f>TEXT(Input!M3,"dd/mm/yyyy")</f>
        <v>11/09/2016</v>
      </c>
      <c r="M3" s="229" t="str">
        <f ref="M3:M66" t="shared" si="135">ConcateMultiple(AP3:AU3,";",I3)</f>
        <v>TỔNG CÔNG TY MẠNG LƯỚI VIETTEL;TỔNG CÔNG TY MẠNG LƯỚI VIETTEL</v>
      </c>
      <c r="N3" s="229" t="str">
        <f ref="N3:N66" t="shared" si="136">ConcateMultiple(BC3:BH3,";",I3)</f>
        <v>HCM4215;HCM4215</v>
      </c>
      <c r="O3" s="229" t="str">
        <f ref="O3:O66" t="shared" si="137">ConcateMultiple(BI3:BN3,";",I3)</f>
        <v>HUAWEI DBS3900;HUAWEI DBS3900</v>
      </c>
      <c r="P3" s="229" t="str">
        <f ref="P3:P66" t="shared" si="138">ConcateMultiple(BO3:BT3,";",I3)</f>
        <v>3;3</v>
      </c>
      <c r="Q3" s="229" t="str">
        <f ref="Q3:Q66" t="shared" si="139">ConcateMultiple(BU3:BZ3,";",I3)</f>
        <v>4/4/4;2/2/2</v>
      </c>
      <c r="R3" s="229" t="str">
        <f ref="R3:R66" t="shared" si="140">ConcateMultiple(DQ3:DV3,";",I3)</f>
        <v>20W/ 20W/ 20W;40W/ 40W/ 40W</v>
      </c>
      <c r="S3" s="229" t="str">
        <f ref="S3:S66" t="shared" si="141">ConcateMultiple(FN3:FS3,";",I3)</f>
        <v>1800;2100</v>
      </c>
      <c r="T3" s="229" t="str">
        <f ref="T3:T66" t="shared" si="142">ConcateMultiple(FZ3:GE3,";",I3)</f>
        <v>24m/ 24m/ 24m;24m/ 24m/ 24m</v>
      </c>
      <c r="U3" s="229">
        <v>1</v>
      </c>
      <c r="V3" s="229"/>
      <c r="W3" s="229" t="b">
        <f ref="W3:W66" t="shared" si="143">X3</f>
        <v>0</v>
      </c>
      <c r="X3" s="229" t="b">
        <f>INDEX(TrueFalseList,_xlfn.IFNA(MATCH(Input!W3,CoKhongList,0),MATCH(Input!W3,YesNoList,0)))</f>
        <v>0</v>
      </c>
      <c r="Y3" s="797">
        <f>Input!FZ3</f>
        <v>0</v>
      </c>
      <c r="Z3" s="229" t="b">
        <v>1</v>
      </c>
      <c r="AA3" s="797">
        <f ref="AA3:AA66" t="shared" si="144">HW3-HX3</f>
        <v>24</v>
      </c>
      <c r="AB3" s="229" t="b">
        <v>0</v>
      </c>
      <c r="AC3" s="229" t="b">
        <v>1</v>
      </c>
      <c r="AD3" s="229">
        <f>Input!DR3</f>
        <v>0</v>
      </c>
      <c r="AE3" s="229"/>
      <c r="AF3" s="229" t="str">
        <f>Options!$D$6</f>
        <v>VCC2</v>
      </c>
      <c r="AG3" s="229">
        <f ref="AG3:AG66" t="shared" si="145">AD3</f>
        <v>0</v>
      </c>
      <c r="AH3" s="230"/>
      <c r="AI3" s="553" t="str">
        <f>Input!E3</f>
        <v>TỔNG CÔNG TY MẠNG LƯỚI VIETTEL</v>
      </c>
      <c r="AJ3" s="553" t="str">
        <f>Input!F3</f>
        <v>TỔNG CÔNG TY MẠNG LƯỚI VIETTEL</v>
      </c>
      <c r="AK3" s="229">
        <f ref="AK3:AK66" t="shared" si="146">LEN(E3)-LEN(SUBSTITUTE(E3,",",""))</f>
        <v>4</v>
      </c>
      <c r="AL3" s="465" t="str">
        <f ref="AL3:AL66" t="shared" si="147">TRIM(IF(AK3&gt;=2,MID(E3,FIND("~",SUBSTITUTE(E3,",","~", AK3))+1,IFERROR(FIND("~",SUBSTITUTE(E3,",","~", AK3+1))-1,LEN(E3))- FIND("~",SUBSTITUTE(E3,",","~", AK3))),""))</f>
        <v>thành phố Hồ Chí Minh.</v>
      </c>
      <c r="AM3" s="465" t="str">
        <f ref="AM3:AM66" t="shared" si="148">TRIM(IF(AK3&gt;=2,MID(E3,FIND("~",SUBSTITUTE(E3,",","~", AK3-1))+1,IFERROR(FIND("~",SUBSTITUTE(E3,",","~", AK3-0))-1,LEN(E3))- FIND("~",SUBSTITUTE(E3,",","~", AK3-1))),""))</f>
        <v>quận Bình Tân</v>
      </c>
      <c r="AN3" s="465" t="str">
        <f ref="AN3:AN66" t="shared" si="149">TRIM(IF(AK3&gt;=3,MID(E3,FIND("~",SUBSTITUTE(E3,",","~", AK3-2))+1,IFERROR(FIND("~",SUBSTITUTE(E3,",","~", AK3-1))-1,LEN(E3))- FIND("~",SUBSTITUTE(E3,",","~", AK3-2))),""))</f>
        <v>phường Bình Trị Đông A</v>
      </c>
      <c r="AO3" s="229" t="str">
        <f>INDEX(CityIDList,MATCH(F3,CityNameList,0))</f>
        <v>HCM</v>
      </c>
      <c r="AP3" s="230" t="str">
        <f>Input!X3</f>
        <v>TỔNG CÔNG TY MẠNG LƯỚI VIETTEL</v>
      </c>
      <c r="AQ3" s="230" t="str">
        <f>Input!AN3</f>
        <v>TỔNG CÔNG TY MẠNG LƯỚI VIETTEL</v>
      </c>
      <c r="AR3" s="230">
        <f>Input!BD3</f>
        <v>0</v>
      </c>
      <c r="AS3" s="230" t="str">
        <f>Input!BT3</f>
      </c>
      <c r="AT3" s="230" t="str">
        <f>Input!CH3</f>
      </c>
      <c r="AU3" s="230" t="str">
        <f>Input!CV3</f>
      </c>
      <c r="AV3" s="230" t="str">
        <f>IF(I3&gt;=1,INDEX(OperatorIDList,MATCH(AP3,OperatorNameList,0)),"")</f>
        <v>VIETTEL-2016</v>
      </c>
      <c r="AW3" s="230" t="str">
        <f>IF(I3&gt;=2,INDEX(OperatorIDList,MATCH(AQ3,OperatorNameList,0)),"")</f>
        <v>VIETTEL-2016</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66" t="shared" si="150">ConcateMultiple(AV3:BA3,";",I3)</f>
        <v>VIETTEL-2016;VIETTEL-2016</v>
      </c>
      <c r="BC3" s="230" t="str">
        <f>Input!Y3</f>
        <v>HCM4215</v>
      </c>
      <c r="BD3" s="230" t="str">
        <f>Input!AO3</f>
        <v>HCM4215</v>
      </c>
      <c r="BE3" s="230">
        <f>Input!BE3</f>
        <v>0</v>
      </c>
      <c r="BF3" s="230" t="str">
        <f>Input!BU3</f>
      </c>
      <c r="BG3" s="230" t="str">
        <f>Input!CI3</f>
      </c>
      <c r="BH3" s="230" t="str">
        <f>Input!CW3</f>
      </c>
      <c r="BI3" s="230" t="str">
        <f>Input!Z3</f>
        <v>HUAWEI DBS3900</v>
      </c>
      <c r="BJ3" s="230" t="str">
        <f>Input!AP3</f>
        <v>HUAWEI DBS3900</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4/4/4</v>
      </c>
      <c r="BV3" s="230" t="str">
        <f>Input!AV3</f>
        <v>2/2/2</v>
      </c>
      <c r="BW3" s="230" t="str">
        <f>Input!BL3</f>
      </c>
      <c r="BX3" s="230" t="str">
        <f>Input!CA3</f>
      </c>
      <c r="BY3" s="230" t="str">
        <f>Input!CO3</f>
      </c>
      <c r="BZ3" s="230" t="str">
        <f>Input!DC3</f>
      </c>
      <c r="CA3" s="230">
        <f ref="CA3:CA66" t="shared" si="151">IF(BO3&gt;=1,MID(BU3,1,IFERROR(FIND("~",SUBSTITUTE(BU3,"/","~",1))-1,LEN(BU3))),"0")*1</f>
        <v>4</v>
      </c>
      <c r="CB3" s="230">
        <f ref="CB3:CB66" t="shared" si="152">IF(BO3&gt;=2,MID(BU3,FIND("~",SUBSTITUTE(BU3,"/","~",1))+1,IFERROR(FIND("~",SUBSTITUTE(BU3,"/","~",2))-1,LEN(BU3))- FIND("~",SUBSTITUTE(BU3,"/","~",1))),"0")*1</f>
        <v>4</v>
      </c>
      <c r="CC3" s="230">
        <f ref="CC3:CC66" t="shared" si="153">IF(BO3&gt;=3,MID(BU3,FIND("~",SUBSTITUTE(BU3,"/","~",2))+1,IFERROR(FIND("~",SUBSTITUTE(BU3,"/","~",3))-1,LEN(BU3))- FIND("~",SUBSTITUTE(BU3,"/","~",2))),"0")*1</f>
        <v>4</v>
      </c>
      <c r="CD3" s="230">
        <f ref="CD3:CD66" t="shared" si="154">IF(BO3&gt;=4,MID(BU3,FIND("~",SUBSTITUTE(BU3,"/","~",3))+1,IFERROR(FIND("~",SUBSTITUTE(BU3,"/","~",4))-1,LEN(BU3))- FIND("~",SUBSTITUTE(BU3,"/","~",3))),"0")*1</f>
        <v>0</v>
      </c>
      <c r="CE3" s="230">
        <f ref="CE3:CE66" t="shared" si="155">IF(BO3&gt;=5,MID(BU3,FIND("~",SUBSTITUTE(BU3,"/","~",4))+1,IFERROR(FIND("~",SUBSTITUTE(BU3,"/","~",5))-1,LEN(BU3))- FIND("~",SUBSTITUTE(BU3,"/","~",4))),"0")*1</f>
        <v>0</v>
      </c>
      <c r="CF3" s="230">
        <f ref="CF3:CF66" t="shared" si="156">IF(BO3&gt;=6,MID(BU3,FIND("~",SUBSTITUTE(BU3,"/","~",5))+1,IFERROR(FIND("~",SUBSTITUTE(BU3,"/","~",6))-1,LEN(BU3))- FIND("~",SUBSTITUTE(BU3,"/","~",5))),"0")*1</f>
        <v>0</v>
      </c>
      <c r="CG3" s="230">
        <f ref="CG3:CG66" t="shared" si="157">IF(BP3&gt;=1,MID(BV3,1,IFERROR(FIND("~",SUBSTITUTE(BV3,"/","~",1))-1,LEN(BV3))),"0")*1</f>
        <v>2</v>
      </c>
      <c r="CH3" s="230">
        <f ref="CH3:CH66" t="shared" si="158">IF(BP3&gt;=2,MID(BV3,FIND("~",SUBSTITUTE(BV3,"/","~",1))+1,IFERROR(FIND("~",SUBSTITUTE(BV3,"/","~",2))-1,LEN(BV3))- FIND("~",SUBSTITUTE(BV3,"/","~",1))),"0")*1</f>
        <v>2</v>
      </c>
      <c r="CI3" s="230">
        <f ref="CI3:CI66" t="shared" si="159">IF(BP3&gt;=3,MID(BV3,FIND("~",SUBSTITUTE(BV3,"/","~",2))+1,IFERROR(FIND("~",SUBSTITUTE(BV3,"/","~",3))-1,LEN(BV3))- FIND("~",SUBSTITUTE(BV3,"/","~",2))),"0")*1</f>
        <v>2</v>
      </c>
      <c r="CJ3" s="230">
        <f ref="CJ3:CJ66" t="shared" si="160">IF(BP3&gt;=4,MID(BV3,FIND("~",SUBSTITUTE(BV3,"/","~",3))+1,IFERROR(FIND("~",SUBSTITUTE(BV3,"/","~",4))-1,LEN(BV3))- FIND("~",SUBSTITUTE(BV3,"/","~",3))),"0")*1</f>
        <v>0</v>
      </c>
      <c r="CK3" s="230">
        <f ref="CK3:CK66" t="shared" si="161">IF(BP3&gt;=5,MID(BV3,FIND("~",SUBSTITUTE(BV3,"/","~",4))+1,IFERROR(FIND("~",SUBSTITUTE(BV3,"/","~",5))-1,LEN(BV3))- FIND("~",SUBSTITUTE(BV3,"/","~",4))),"0")*1</f>
        <v>0</v>
      </c>
      <c r="CL3" s="230">
        <f ref="CL3:CL66" t="shared" si="162">IF(BP3&gt;=6,MID(BV3,FIND("~",SUBSTITUTE(BV3,"/","~",5))+1,IFERROR(FIND("~",SUBSTITUTE(BV3,"/","~",6))-1,LEN(BV3))- FIND("~",SUBSTITUTE(BV3,"/","~",5))),"0")*1</f>
        <v>0</v>
      </c>
      <c r="CM3" s="230">
        <f ref="CM3:CM66" t="shared" si="163">IF(BQ3&gt;=1,MID(BW3,1,IFERROR(FIND("~",SUBSTITUTE(BW3,"/","~",1))-1,LEN(BW3))),"0")*1</f>
        <v>0</v>
      </c>
      <c r="CN3" s="230">
        <f ref="CN3:CN66" t="shared" si="164">IF(BQ3&gt;=2,MID(BW3,FIND("~",SUBSTITUTE(BW3,"/","~",1))+1,IFERROR(FIND("~",SUBSTITUTE(BW3,"/","~",2))-1,LEN(BW3))- FIND("~",SUBSTITUTE(BW3,"/","~",1))),"0")*1</f>
        <v>0</v>
      </c>
      <c r="CO3" s="230">
        <f ref="CO3:CO66" t="shared" si="165">IF(BQ3&gt;=3,MID(BW3,FIND("~",SUBSTITUTE(BW3,"/","~",2))+1,IFERROR(FIND("~",SUBSTITUTE(BW3,"/","~",3))-1,LEN(BW3))- FIND("~",SUBSTITUTE(BW3,"/","~",2))),"0")*1</f>
        <v>0</v>
      </c>
      <c r="CP3" s="230">
        <f ref="CP3:CP66" t="shared" si="166">IF(BQ3&gt;=4,MID(BW3,FIND("~",SUBSTITUTE(BW3,"/","~",3))+1,IFERROR(FIND("~",SUBSTITUTE(BW3,"/","~",4))-1,LEN(BW3))- FIND("~",SUBSTITUTE(BW3,"/","~",3))),"0")*1</f>
        <v>0</v>
      </c>
      <c r="CQ3" s="230">
        <f ref="CQ3:CQ66" t="shared" si="167">IF(BQ3&gt;=5,MID(BW3,FIND("~",SUBSTITUTE(BW3,"/","~",4))+1,IFERROR(FIND("~",SUBSTITUTE(BW3,"/","~",5))-1,LEN(BW3))- FIND("~",SUBSTITUTE(BW3,"/","~",4))),"0")*1</f>
        <v>0</v>
      </c>
      <c r="CR3" s="230">
        <f ref="CR3:CR66" t="shared" si="168">IF(BQ3&gt;=6,MID(BW3,FIND("~",SUBSTITUTE(BW3,"/","~",5))+1,IFERROR(FIND("~",SUBSTITUTE(BW3,"/","~",6))-1,LEN(BW3))- FIND("~",SUBSTITUTE(BW3,"/","~",5))),"0")*1</f>
        <v>0</v>
      </c>
      <c r="CS3" s="230">
        <f ref="CS3:CS66" t="shared" si="169">IF(BR3&gt;=1,MID(BX3,1,IFERROR(FIND("~",SUBSTITUTE(BX3,"/","~",1))-1,LEN(BX3))),"0")*1</f>
        <v>0</v>
      </c>
      <c r="CT3" s="230">
        <f ref="CT3:CT66" t="shared" si="170">IF(BR3&gt;=2,MID(BX3,FIND("~",SUBSTITUTE(BX3,"/","~",1))+1,IFERROR(FIND("~",SUBSTITUTE(BX3,"/","~",2))-1,LEN(BX3))- FIND("~",SUBSTITUTE(BX3,"/","~",1))),"0")*1</f>
        <v>0</v>
      </c>
      <c r="CU3" s="230">
        <f ref="CU3:CU66" t="shared" si="171">IF(BR3&gt;=3,MID(BX3,FIND("~",SUBSTITUTE(BX3,"/","~",2))+1,IFERROR(FIND("~",SUBSTITUTE(BX3,"/","~",3))-1,LEN(BX3))- FIND("~",SUBSTITUTE(BX3,"/","~",2))),"0")*1</f>
        <v>0</v>
      </c>
      <c r="CV3" s="230">
        <f ref="CV3:CV66" t="shared" si="172">IF(BR3&gt;=4,MID(BX3,FIND("~",SUBSTITUTE(BX3,"/","~",3))+1,IFERROR(FIND("~",SUBSTITUTE(BX3,"/","~",4))-1,LEN(BX3))- FIND("~",SUBSTITUTE(BX3,"/","~",3))),"0")*1</f>
        <v>0</v>
      </c>
      <c r="CW3" s="230">
        <f ref="CW3:CW66" t="shared" si="173">IF(BR3&gt;=5,MID(BX3,FIND("~",SUBSTITUTE(BX3,"/","~",4))+1,IFERROR(FIND("~",SUBSTITUTE(BX3,"/","~",5))-1,LEN(BX3))- FIND("~",SUBSTITUTE(BX3,"/","~",4))),"0")*1</f>
        <v>0</v>
      </c>
      <c r="CX3" s="230">
        <f ref="CX3:CX66" t="shared" si="174">IF(BR3&gt;=6,MID(BX3,FIND("~",SUBSTITUTE(BX3,"/","~",5))+1,IFERROR(FIND("~",SUBSTITUTE(BX3,"/","~",6))-1,LEN(BX3))- FIND("~",SUBSTITUTE(BX3,"/","~",5))),"0")*1</f>
        <v>0</v>
      </c>
      <c r="CY3" s="230">
        <f ref="CY3:CY66" t="shared" si="175">IF(BS3&gt;=1,MID(BY3,1,IFERROR(FIND("~",SUBSTITUTE(BY3,"/","~",1))-1,LEN(BY3))),"0")*1</f>
        <v>0</v>
      </c>
      <c r="CZ3" s="230">
        <f ref="CZ3:CZ66" t="shared" si="176">IF(BS3&gt;=2,MID(BY3,FIND("~",SUBSTITUTE(BY3,"/","~",1))+1,IFERROR(FIND("~",SUBSTITUTE(BY3,"/","~",2))-1,LEN(BY3))- FIND("~",SUBSTITUTE(BY3,"/","~",1))),"0")*1</f>
        <v>0</v>
      </c>
      <c r="DA3" s="230">
        <f ref="DA3:DA66" t="shared" si="177">IF(BS3&gt;=3,MID(BY3,FIND("~",SUBSTITUTE(BY3,"/","~",2))+1,IFERROR(FIND("~",SUBSTITUTE(BY3,"/","~",3))-1,LEN(BY3))- FIND("~",SUBSTITUTE(BY3,"/","~",2))),"0")*1</f>
        <v>0</v>
      </c>
      <c r="DB3" s="230">
        <f ref="DB3:DB66" t="shared" si="178">IF(BS3&gt;=4,MID(BY3,FIND("~",SUBSTITUTE(BY3,"/","~",3))+1,IFERROR(FIND("~",SUBSTITUTE(BY3,"/","~",4))-1,LEN(BY3))- FIND("~",SUBSTITUTE(BY3,"/","~",3))),"0")*1</f>
        <v>0</v>
      </c>
      <c r="DC3" s="230">
        <f ref="DC3:DC66" t="shared" si="179">IF(BS3&gt;=5,MID(BY3,FIND("~",SUBSTITUTE(BY3,"/","~",4))+1,IFERROR(FIND("~",SUBSTITUTE(BY3,"/","~",5))-1,LEN(BY3))- FIND("~",SUBSTITUTE(BY3,"/","~",4))),"0")*1</f>
        <v>0</v>
      </c>
      <c r="DD3" s="230">
        <f ref="DD3:DD66" t="shared" si="180">IF(BS3&gt;=6,MID(BY3,FIND("~",SUBSTITUTE(BY3,"/","~",5))+1,IFERROR(FIND("~",SUBSTITUTE(BY3,"/","~",6))-1,LEN(BY3))- FIND("~",SUBSTITUTE(BY3,"/","~",5))),"0")*1</f>
        <v>0</v>
      </c>
      <c r="DE3" s="230">
        <f ref="DE3:DE66" t="shared" si="181">IF(BT3&gt;=1,MID(BZ3,1,IFERROR(FIND("~",SUBSTITUTE(BZ3,"/","~",1))-1,LEN(BZ3))),"0")*1</f>
        <v>0</v>
      </c>
      <c r="DF3" s="230">
        <f ref="DF3:DF66" t="shared" si="182">IF(BT3&gt;=2,MID(BZ3,FIND("~",SUBSTITUTE(BZ3,"/","~",1))+1,IFERROR(FIND("~",SUBSTITUTE(BZ3,"/","~",2))-1,LEN(BZ3))- FIND("~",SUBSTITUTE(BZ3,"/","~",1))),"0")*1</f>
        <v>0</v>
      </c>
      <c r="DG3" s="230">
        <f ref="DG3:DG66" t="shared" si="183">IF(BT3&gt;=3,MID(BZ3,FIND("~",SUBSTITUTE(BZ3,"/","~",2))+1,IFERROR(FIND("~",SUBSTITUTE(BZ3,"/","~",3))-1,LEN(BZ3))- FIND("~",SUBSTITUTE(BZ3,"/","~",2))),"0")*1</f>
        <v>0</v>
      </c>
      <c r="DH3" s="230">
        <f ref="DH3:DH66" t="shared" si="184">IF(BT3&gt;=4,MID(BZ3,FIND("~",SUBSTITUTE(BZ3,"/","~",3))+1,IFERROR(FIND("~",SUBSTITUTE(BZ3,"/","~",4))-1,LEN(BZ3))- FIND("~",SUBSTITUTE(BZ3,"/","~",3))),"0")*1</f>
        <v>0</v>
      </c>
      <c r="DI3" s="230">
        <f ref="DI3:DI66" t="shared" si="185">IF(BT3&gt;=5,MID(BZ3,FIND("~",SUBSTITUTE(BZ3,"/","~",4))+1,IFERROR(FIND("~",SUBSTITUTE(BZ3,"/","~",5))-1,LEN(BZ3))- FIND("~",SUBSTITUTE(BZ3,"/","~",4))),"0")*1</f>
        <v>0</v>
      </c>
      <c r="DJ3" s="230">
        <f ref="DJ3:DJ66" t="shared" si="186">IF(BT3&gt;=6,MID(BZ3,FIND("~",SUBSTITUTE(BZ3,"/","~",5))+1,IFERROR(FIND("~",SUBSTITUTE(BZ3,"/","~",6))-1,LEN(BZ3))- FIND("~",SUBSTITUTE(BZ3,"/","~",5))),"0")*1</f>
        <v>0</v>
      </c>
      <c r="DK3" s="230" t="str">
        <f>Input!AK3</f>
        <v>20,00W/20,00W/20,00W</v>
      </c>
      <c r="DL3" s="230" t="str">
        <f>Input!BA3</f>
        <v>40,00W/40,00W/40,00W</v>
      </c>
      <c r="DM3" s="230" t="str">
        <f>Input!BQ3</f>
      </c>
      <c r="DN3" s="230" t="str">
        <f>Input!CE3</f>
      </c>
      <c r="DO3" s="230" t="str">
        <f>Input!CS3</f>
      </c>
      <c r="DP3" s="230" t="str">
        <f>Input!DG3</f>
      </c>
      <c r="DQ3" s="230" t="str">
        <f ref="DQ3:DQ66" t="shared" si="187">ConcateMultiple(DW3:EB3,"W/ ",BO3)</f>
        <v>20W/ 20W/ 20W</v>
      </c>
      <c r="DR3" s="230" t="str">
        <f ref="DR3:DR66" t="shared" si="188">ConcateMultiple(ED3:EI3,"W/ ",BP3)</f>
        <v>40W/ 40W/ 40W</v>
      </c>
      <c r="DS3" s="230" t="str">
        <f ref="DS3:DS66" t="shared" si="189">ConcateMultiple(EK3:EP3,"W/ ",BQ3)</f>
      </c>
      <c r="DT3" s="230" t="str">
        <f ref="DT3:DT66" t="shared" si="190">ConcateMultiple(ER3:EW3,"W/ ",BR3)</f>
      </c>
      <c r="DU3" s="230" t="str">
        <f ref="DU3:DU66" t="shared" si="191">ConcateMultiple(EY3:FD3,"W/ ",BS3)</f>
      </c>
      <c r="DV3" s="230" t="str">
        <f ref="DV3:DV66" t="shared" si="192">ConcateMultiple(FF3:FK3,"W/ ",BT3)</f>
      </c>
      <c r="DW3" s="230">
        <f ref="DW3:DW66" t="shared" si="193">SUBSTITUTE(IF(BO3&gt;=1,MID(DK3,1,IFERROR(FIND("~",SUBSTITUTE(DK3,"/","~",1))-1,LEN(DK3))),"0"),"W","")*1</f>
        <v>20</v>
      </c>
      <c r="DX3" s="230">
        <f ref="DX3:DX66" t="shared" si="194">SUBSTITUTE(IF(BO3&gt;=2,MID(DK3,FIND("~",SUBSTITUTE(DK3,"/","~",1))+1,IFERROR(FIND("~",SUBSTITUTE(DK3,"/","~",2))-1,LEN(DK3))- FIND("~",SUBSTITUTE(DK3,"/","~",1))),"0"),"W","")*1</f>
        <v>20</v>
      </c>
      <c r="DY3" s="230">
        <f ref="DY3:DY66" t="shared" si="195">SUBSTITUTE(IF(BO3&gt;=3,MID(DK3,FIND("~",SUBSTITUTE(DK3,"/","~",2))+1,IFERROR(FIND("~",SUBSTITUTE(DK3,"/","~",3))-1,LEN(DK3))- FIND("~",SUBSTITUTE(DK3,"/","~",2))),"0"),"W","")*1</f>
        <v>20</v>
      </c>
      <c r="DZ3" s="230">
        <f ref="DZ3:DZ66" t="shared" si="196">SUBSTITUTE(IF(BO3&gt;=4,MID(DK3,FIND("~",SUBSTITUTE(DK3,"/","~",3))+1,IFERROR(FIND("~",SUBSTITUTE(DK3,"/","~",4))-1,LEN(DK3))- FIND("~",SUBSTITUTE(DK3,"/","~",3))),"0"),"W","")*1</f>
        <v>0</v>
      </c>
      <c r="EA3" s="230">
        <f ref="EA3:EA66" t="shared" si="197">SUBSTITUTE(IF(BO3&gt;=5,MID(DK3,FIND("~",SUBSTITUTE(DK3,"/","~",4))+1,IFERROR(FIND("~",SUBSTITUTE(DK3,"/","~",5))-1,LEN(DK3))- FIND("~",SUBSTITUTE(DK3,"/","~",4))),"0"),"W","")*1</f>
        <v>0</v>
      </c>
      <c r="EB3" s="230">
        <f ref="EB3:EB66" t="shared" si="198">SUBSTITUTE(IF(BO3&gt;=6,MID(DK3,FIND("~",SUBSTITUTE(DK3,"/","~",5))+1,IFERROR(FIND("~",SUBSTITUTE(DK3,"/","~",6))-1,LEN(DK3))- FIND("~",SUBSTITUTE(DK3,"/","~",5))),"0"),"W","")*1</f>
        <v>0</v>
      </c>
      <c r="EC3" s="230">
        <f ref="EC3:EC66" t="shared" si="199">MAX(DW3:DZ3)</f>
        <v>20</v>
      </c>
      <c r="ED3" s="230">
        <f ref="ED3:ED66" t="shared" si="200">SUBSTITUTE(IF(BP3&gt;=1,MID(DL3,1,IFERROR(FIND("~",SUBSTITUTE(DL3,"/","~",1))-1,LEN(DL3))),"0"),"W","")*1</f>
        <v>40</v>
      </c>
      <c r="EE3" s="230">
        <f ref="EE3:EE66" t="shared" si="201">SUBSTITUTE(IF(BP3&gt;=2,MID(DL3,FIND("~",SUBSTITUTE(DL3,"/","~",1))+1,IFERROR(FIND("~",SUBSTITUTE(DL3,"/","~",2))-1,LEN(DL3))- FIND("~",SUBSTITUTE(DL3,"/","~",1))),"0"),"W","")*1</f>
        <v>40</v>
      </c>
      <c r="EF3" s="230">
        <f ref="EF3:EF66" t="shared" si="202">SUBSTITUTE(IF(BP3&gt;=3,MID(DL3,FIND("~",SUBSTITUTE(DL3,"/","~",2))+1,IFERROR(FIND("~",SUBSTITUTE(DL3,"/","~",3))-1,LEN(DL3))- FIND("~",SUBSTITUTE(DL3,"/","~",2))),"0"),"W","")*1</f>
        <v>40</v>
      </c>
      <c r="EG3" s="230">
        <f ref="EG3:EG66" t="shared" si="203">SUBSTITUTE(IF(BP3&gt;=4,MID(DL3,FIND("~",SUBSTITUTE(DL3,"/","~",3))+1,IFERROR(FIND("~",SUBSTITUTE(DL3,"/","~",4))-1,LEN(DL3))- FIND("~",SUBSTITUTE(DL3,"/","~",3))),"0"),"W","")*1</f>
        <v>0</v>
      </c>
      <c r="EH3" s="230">
        <f ref="EH3:EH66" t="shared" si="204">SUBSTITUTE(IF(BP3&gt;=5,MID(DL3,FIND("~",SUBSTITUTE(DL3,"/","~",4))+1,IFERROR(FIND("~",SUBSTITUTE(DL3,"/","~",5))-1,LEN(DL3))- FIND("~",SUBSTITUTE(DL3,"/","~",4))),"0"),"W","")*1</f>
        <v>0</v>
      </c>
      <c r="EI3" s="230">
        <f ref="EI3:EI66" t="shared" si="205">SUBSTITUTE(IF(BP3&gt;=6,MID(DL3,FIND("~",SUBSTITUTE(DL3,"/","~",5))+1,IFERROR(FIND("~",SUBSTITUTE(DL3,"/","~",6))-1,LEN(DL3))- FIND("~",SUBSTITUTE(DL3,"/","~",5))),"0"),"W","")*1</f>
        <v>0</v>
      </c>
      <c r="EJ3" s="230">
        <f ref="EJ3:EJ66" t="shared" si="206">MAX(ED3:EG3)</f>
        <v>40</v>
      </c>
      <c r="EK3" s="230">
        <f ref="EK3:EK66" t="shared" si="207">SUBSTITUTE(IF(BQ3&gt;=1,MID(DM3,1,IFERROR(FIND("~",SUBSTITUTE(DM3,"/","~",1))-1,LEN(DM3))),"0"),"W","")*1</f>
        <v>0</v>
      </c>
      <c r="EL3" s="230">
        <f ref="EL3:EL66" t="shared" si="208">SUBSTITUTE(IF(BQ3&gt;=2,MID(DM3,FIND("~",SUBSTITUTE(DM3,"/","~",1))+1,IFERROR(FIND("~",SUBSTITUTE(DM3,"/","~",2))-1,LEN(DM3))- FIND("~",SUBSTITUTE(DM3,"/","~",1))),"0"),"W","")*1</f>
        <v>0</v>
      </c>
      <c r="EM3" s="230">
        <f ref="EM3:EM66" t="shared" si="209">SUBSTITUTE(IF(BQ3&gt;=3,MID(DM3,FIND("~",SUBSTITUTE(DM3,"/","~",2))+1,IFERROR(FIND("~",SUBSTITUTE(DM3,"/","~",3))-1,LEN(DM3))- FIND("~",SUBSTITUTE(DM3,"/","~",2))),"0"),"W","")*1</f>
        <v>0</v>
      </c>
      <c r="EN3" s="230">
        <f ref="EN3:EN66" t="shared" si="210">SUBSTITUTE(IF(BQ3&gt;=4,MID(DM3,FIND("~",SUBSTITUTE(DM3,"/","~",3))+1,IFERROR(FIND("~",SUBSTITUTE(DM3,"/","~",4))-1,LEN(DM3))- FIND("~",SUBSTITUTE(DM3,"/","~",3))),"0"),"W","")*1</f>
        <v>0</v>
      </c>
      <c r="EO3" s="230">
        <f ref="EO3:EO66" t="shared" si="211">SUBSTITUTE(IF(BQ3&gt;=5,MID(DM3,FIND("~",SUBSTITUTE(DM3,"/","~",4))+1,IFERROR(FIND("~",SUBSTITUTE(DM3,"/","~",5))-1,LEN(DM3))- FIND("~",SUBSTITUTE(DM3,"/","~",4))),"0"),"W","")*1</f>
        <v>0</v>
      </c>
      <c r="EP3" s="230">
        <f ref="EP3:EP66" t="shared" si="212">SUBSTITUTE(IF(BQ3&gt;=6,MID(DM3,FIND("~",SUBSTITUTE(DM3,"/","~",5))+1,IFERROR(FIND("~",SUBSTITUTE(DM3,"/","~",6))-1,LEN(DM3))- FIND("~",SUBSTITUTE(DM3,"/","~",5))),"0"),"W","")*1</f>
        <v>0</v>
      </c>
      <c r="EQ3" s="230">
        <f ref="EQ3:EQ66" t="shared" si="213">MAX(EK3:EN3)</f>
        <v>0</v>
      </c>
      <c r="ER3" s="230">
        <f ref="ER3:ER66" t="shared" si="214">SUBSTITUTE(IF(BR3&gt;=1,MID(DN3,1,IFERROR(FIND("~",SUBSTITUTE(DN3,"/","~",1))-1,LEN(DN3))),"0"),"W","")*1</f>
        <v>0</v>
      </c>
      <c r="ES3" s="230">
        <f ref="ES3:ES66" t="shared" si="215">SUBSTITUTE(IF(BR3&gt;=2,MID(DN3,FIND("~",SUBSTITUTE(DN3,"/","~",1))+1,IFERROR(FIND("~",SUBSTITUTE(DN3,"/","~",2))-1,LEN(DN3))- FIND("~",SUBSTITUTE(DN3,"/","~",1))),"0"),"W","")*1</f>
        <v>0</v>
      </c>
      <c r="ET3" s="230">
        <f ref="ET3:ET66" t="shared" si="216">SUBSTITUTE(IF(BR3&gt;=3,MID(DN3,FIND("~",SUBSTITUTE(DN3,"/","~",2))+1,IFERROR(FIND("~",SUBSTITUTE(DN3,"/","~",3))-1,LEN(DN3))- FIND("~",SUBSTITUTE(DN3,"/","~",2))),"0"),"W","")*1</f>
        <v>0</v>
      </c>
      <c r="EU3" s="230">
        <f ref="EU3:EU66" t="shared" si="217">SUBSTITUTE(IF(BR3&gt;=4,MID(DN3,FIND("~",SUBSTITUTE(DN3,"/","~",3))+1,IFERROR(FIND("~",SUBSTITUTE(DN3,"/","~",4))-1,LEN(DN3))- FIND("~",SUBSTITUTE(DN3,"/","~",3))),"0"),"W","")*1</f>
        <v>0</v>
      </c>
      <c r="EV3" s="230">
        <f ref="EV3:EV66" t="shared" si="218">SUBSTITUTE(IF(BR3&gt;=5,MID(DN3,FIND("~",SUBSTITUTE(DN3,"/","~",4))+1,IFERROR(FIND("~",SUBSTITUTE(DN3,"/","~",5))-1,LEN(DN3))- FIND("~",SUBSTITUTE(DN3,"/","~",4))),"0"),"W","")*1</f>
        <v>0</v>
      </c>
      <c r="EW3" s="230">
        <f ref="EW3:EW66" t="shared" si="219">SUBSTITUTE(IF(BR3&gt;=6,MID(DN3,FIND("~",SUBSTITUTE(DN3,"/","~",5))+1,IFERROR(FIND("~",SUBSTITUTE(DN3,"/","~",6))-1,LEN(DN3))- FIND("~",SUBSTITUTE(DN3,"/","~",5))),"0"),"W","")*1</f>
        <v>0</v>
      </c>
      <c r="EX3" s="230">
        <f ref="EX3:EX66" t="shared" si="220">MAX(ER3:EU3)</f>
        <v>0</v>
      </c>
      <c r="EY3" s="230">
        <f ref="EY3:EY66" t="shared" si="221">SUBSTITUTE(IF(BS3&gt;=1,MID(DO3,1,IFERROR(FIND("~",SUBSTITUTE(DO3,"/","~",1))-1,LEN(DO3))),"0"),"W","")*1</f>
        <v>0</v>
      </c>
      <c r="EZ3" s="230">
        <f ref="EZ3:EZ66" t="shared" si="222">SUBSTITUTE(IF(BS3&gt;=2,MID(DO3,FIND("~",SUBSTITUTE(DO3,"/","~",1))+1,IFERROR(FIND("~",SUBSTITUTE(DO3,"/","~",2))-1,LEN(DO3))- FIND("~",SUBSTITUTE(DO3,"/","~",1))),"0"),"W","")*1</f>
        <v>0</v>
      </c>
      <c r="FA3" s="230">
        <f ref="FA3:FA66" t="shared" si="223">SUBSTITUTE(IF(BS3&gt;=3,MID(DO3,FIND("~",SUBSTITUTE(DO3,"/","~",2))+1,IFERROR(FIND("~",SUBSTITUTE(DO3,"/","~",3))-1,LEN(DO3))- FIND("~",SUBSTITUTE(DO3,"/","~",2))),"0"),"W","")*1</f>
        <v>0</v>
      </c>
      <c r="FB3" s="230">
        <f ref="FB3:FB66" t="shared" si="224">SUBSTITUTE(IF(BS3&gt;=4,MID(DO3,FIND("~",SUBSTITUTE(DO3,"/","~",3))+1,IFERROR(FIND("~",SUBSTITUTE(DO3,"/","~",4))-1,LEN(DO3))- FIND("~",SUBSTITUTE(DO3,"/","~",3))),"0"),"W","")*1</f>
        <v>0</v>
      </c>
      <c r="FC3" s="230">
        <f ref="FC3:FC66" t="shared" si="225">SUBSTITUTE(IF(BS3&gt;=5,MID(DO3,FIND("~",SUBSTITUTE(DO3,"/","~",4))+1,IFERROR(FIND("~",SUBSTITUTE(DO3,"/","~",5))-1,LEN(DO3))- FIND("~",SUBSTITUTE(DO3,"/","~",4))),"0"),"W","")*1</f>
        <v>0</v>
      </c>
      <c r="FD3" s="230">
        <f ref="FD3:FD66" t="shared" si="226">SUBSTITUTE(IF(BS3&gt;=6,MID(DO3,FIND("~",SUBSTITUTE(DO3,"/","~",5))+1,IFERROR(FIND("~",SUBSTITUTE(DO3,"/","~",6))-1,LEN(DO3))- FIND("~",SUBSTITUTE(DO3,"/","~",5))),"0"),"W","")*1</f>
        <v>0</v>
      </c>
      <c r="FE3" s="230">
        <f ref="FE3:FE66" t="shared" si="227">MAX(EY3:FB3)</f>
        <v>0</v>
      </c>
      <c r="FF3" s="230">
        <f ref="FF3:FF66" t="shared" si="228">SUBSTITUTE(IF(BT3&gt;=1,MID(DP3,1,IFERROR(FIND("~",SUBSTITUTE(DP3,"/","~",1))-1,LEN(DP3))),"0"),"W","")*1</f>
        <v>0</v>
      </c>
      <c r="FG3" s="230">
        <f ref="FG3:FG66" t="shared" si="229">SUBSTITUTE(IF(BT3&gt;=2,MID(DP3,FIND("~",SUBSTITUTE(DP3,"/","~",1))+1,IFERROR(FIND("~",SUBSTITUTE(DP3,"/","~",2))-1,LEN(DP3))- FIND("~",SUBSTITUTE(DP3,"/","~",1))),"0"),"W","")*1</f>
        <v>0</v>
      </c>
      <c r="FH3" s="230">
        <f ref="FH3:FH66" t="shared" si="230">SUBSTITUTE(IF(BT3&gt;=3,MID(DP3,FIND("~",SUBSTITUTE(DP3,"/","~",2))+1,IFERROR(FIND("~",SUBSTITUTE(DP3,"/","~",3))-1,LEN(DP3))- FIND("~",SUBSTITUTE(DP3,"/","~",2))),"0"),"W","")*1</f>
        <v>0</v>
      </c>
      <c r="FI3" s="230">
        <f ref="FI3:FI66" t="shared" si="231">SUBSTITUTE(IF(BT3&gt;=4,MID(DP3,FIND("~",SUBSTITUTE(DP3,"/","~",3))+1,IFERROR(FIND("~",SUBSTITUTE(DP3,"/","~",4))-1,LEN(DP3))- FIND("~",SUBSTITUTE(DP3,"/","~",3))),"0"),"W","")*1</f>
        <v>0</v>
      </c>
      <c r="FJ3" s="230">
        <f ref="FJ3:FJ66" t="shared" si="232">SUBSTITUTE(IF(BT3&gt;=5,MID(DP3,FIND("~",SUBSTITUTE(DP3,"/","~",4))+1,IFERROR(FIND("~",SUBSTITUTE(DP3,"/","~",5))-1,LEN(DP3))- FIND("~",SUBSTITUTE(DP3,"/","~",4))),"0"),"W","")*1</f>
        <v>0</v>
      </c>
      <c r="FK3" s="230">
        <f ref="FK3:FK66" t="shared" si="233">SUBSTITUTE(IF(BT3&gt;=6,MID(DP3,FIND("~",SUBSTITUTE(DP3,"/","~",5))+1,IFERROR(FIND("~",SUBSTITUTE(DP3,"/","~",6))-1,LEN(DP3))- FIND("~",SUBSTITUTE(DP3,"/","~",5))),"0"),"W","")*1</f>
        <v>0</v>
      </c>
      <c r="FL3" s="230">
        <f ref="FL3:FL66" t="shared" si="234">MAX(FF3:FI3)</f>
        <v>0</v>
      </c>
      <c r="FM3" s="230">
        <f ref="FM3:FM66" t="shared" si="235">MAX(EC3,EJ3,EQ3,EX3,FE3,FL3)</f>
        <v>40</v>
      </c>
      <c r="FN3" s="230" t="str">
        <f>Input!AL3</f>
        <v>1800</v>
      </c>
      <c r="FO3" s="230" t="str">
        <f>Input!BB3</f>
        <v>2100</v>
      </c>
      <c r="FP3" s="230">
        <f>Input!BR3</f>
        <v>0</v>
      </c>
      <c r="FQ3" s="230" t="str">
        <f>Input!CF3</f>
      </c>
      <c r="FR3" s="230" t="str">
        <f>Input!CT3</f>
      </c>
      <c r="FS3" s="230" t="str">
        <f>Input!DH3</f>
      </c>
      <c r="FT3" s="230" t="str">
        <f>Input!AM3</f>
        <v>24m/ 24m/ 24m</v>
      </c>
      <c r="FU3" s="230" t="str">
        <f>Input!BC3</f>
        <v>24m/ 24m/ 24m</v>
      </c>
      <c r="FV3" s="230">
        <f>Input!BS3</f>
        <v>0</v>
      </c>
      <c r="FW3" s="230" t="str">
        <f>Input!CG3</f>
      </c>
      <c r="FX3" s="230" t="str">
        <f>Input!CU3</f>
      </c>
      <c r="FY3" s="230" t="str">
        <f>Input!DI3</f>
      </c>
      <c r="FZ3" s="230" t="str">
        <f ref="FZ3:FZ66" t="shared" si="236">ConcateMultiple(GF3:GK3,"m/ ",BO3)</f>
        <v>24m/ 24m/ 24m</v>
      </c>
      <c r="GA3" s="230" t="str">
        <f ref="GA3:GA66" t="shared" si="237">ConcateMultiple(GL3:GQ3,"m/ ",BP3)</f>
        <v>24m/ 24m/ 24m</v>
      </c>
      <c r="GB3" s="230" t="str">
        <f ref="GB3:GB66" t="shared" si="238">ConcateMultiple(GR3:GW3,"m/ ",BQ3)</f>
      </c>
      <c r="GC3" s="230" t="str">
        <f ref="GC3:GC66" t="shared" si="239">ConcateMultiple(GX3:HC3,"m/ ",BR3)</f>
      </c>
      <c r="GD3" s="230" t="str">
        <f ref="GD3:GD66" t="shared" si="240">ConcateMultiple(HD3:HI3,"m/ ",BS3)</f>
      </c>
      <c r="GE3" s="230" t="str">
        <f ref="GE3:GE66" t="shared" si="241">ConcateMultiple(HJ3:HO3,"m/ ",BT3)</f>
      </c>
      <c r="GF3" s="230">
        <f ref="GF3:GF66" t="shared" si="242">SUBSTITUTE(IF(BO3&gt;=1,MID(FT3,1,IFERROR(FIND("~",SUBSTITUTE(FT3,"/","~",1))-1,LEN(FT3))),"0"),"m","")*1</f>
        <v>24</v>
      </c>
      <c r="GG3" s="230">
        <f ref="GG3:GG66" t="shared" si="243">SUBSTITUTE(TRIM(IF(BO3&gt;=2,MID(FT3,FIND("~",SUBSTITUTE(FT3,"/","~",1))+1,IFERROR(FIND("~",SUBSTITUTE(FT3,"/","~",2))-1,LEN(FT3))- FIND("~",SUBSTITUTE(FT3,"/","~",1))),"0")),"m","")*1</f>
        <v>24</v>
      </c>
      <c r="GH3" s="230">
        <f ref="GH3:GH66" t="shared" si="244">SUBSTITUTE(TRIM(IF(BO3&gt;=3,MID(FT3,FIND("~",SUBSTITUTE(FT3,"/","~",2))+1,IFERROR(FIND("~",SUBSTITUTE(FT3,"/","~",3))-1,LEN(FT3))- FIND("~",SUBSTITUTE(FT3,"/","~",2))),"0")),"m","")*1</f>
        <v>24</v>
      </c>
      <c r="GI3" s="230">
        <f ref="GI3:GI66" t="shared" si="245">SUBSTITUTE(TRIM(IF(BO3&gt;=4,MID(FT3,FIND("~",SUBSTITUTE(FT3,"/","~",3))+1,IFERROR(FIND("~",SUBSTITUTE(FT3,"/","~",4))-1,LEN(FT3))- FIND("~",SUBSTITUTE(FT3,"/","~",3))),"0")),"m","")*1</f>
        <v>0</v>
      </c>
      <c r="GJ3" s="230">
        <f ref="GJ3:GJ66" t="shared" si="246">SUBSTITUTE(TRIM(IF(BO3&gt;=5,MID(FT3,FIND("~",SUBSTITUTE(FT3,"/","~",4))+1,IFERROR(FIND("~",SUBSTITUTE(FT3,"/","~",5))-1,LEN(FT3))- FIND("~",SUBSTITUTE(FT3,"/","~",4))),"0")),"m","")*1</f>
        <v>0</v>
      </c>
      <c r="GK3" s="230">
        <f ref="GK3:GK66" t="shared" si="247">SUBSTITUTE(TRIM(IF(BO3&gt;=6,MID(FT3,FIND("~",SUBSTITUTE(FT3,"/","~",5))+1,IFERROR(FIND("~",SUBSTITUTE(FT3,"/","~",6))-1,LEN(FT3))- FIND("~",SUBSTITUTE(FT3,"/","~",5))),"0")),"m","")*1</f>
        <v>0</v>
      </c>
      <c r="GL3" s="230">
        <f ref="GL3:GL66" t="shared" si="248">SUBSTITUTE(IF(BP3&gt;=1,MID(FU3,1,IFERROR(FIND("~",SUBSTITUTE(FU3,"/","~",1))-1,LEN(FU3))),"0"),"m","")*1</f>
        <v>24</v>
      </c>
      <c r="GM3" s="230">
        <f ref="GM3:GM66" t="shared" si="249">SUBSTITUTE(TRIM(IF(BP3&gt;=2,MID(FU3,FIND("~",SUBSTITUTE(FU3,"/","~",1))+1,IFERROR(FIND("~",SUBSTITUTE(FU3,"/","~",2))-1,LEN(FU3))- FIND("~",SUBSTITUTE(FU3,"/","~",1))),"0")),"m","")*1</f>
        <v>24</v>
      </c>
      <c r="GN3" s="230">
        <f ref="GN3:GN66" t="shared" si="250">SUBSTITUTE(TRIM(IF(BP3&gt;=3,MID(FU3,FIND("~",SUBSTITUTE(FU3,"/","~",2))+1,IFERROR(FIND("~",SUBSTITUTE(FU3,"/","~",3))-1,LEN(FU3))- FIND("~",SUBSTITUTE(FU3,"/","~",2))),"0")),"m","")*1</f>
        <v>24</v>
      </c>
      <c r="GO3" s="230">
        <f ref="GO3:GO66" t="shared" si="251">SUBSTITUTE(TRIM(IF(BP3&gt;=4,MID(FU3,FIND("~",SUBSTITUTE(FU3,"/","~",3))+1,IFERROR(FIND("~",SUBSTITUTE(FU3,"/","~",4))-1,LEN(FU3))- FIND("~",SUBSTITUTE(FU3,"/","~",3))),"0")),"m","")*1</f>
        <v>0</v>
      </c>
      <c r="GP3" s="230">
        <f ref="GP3:GP66" t="shared" si="252">SUBSTITUTE(TRIM(IF(BP3&gt;=5,MID(FU3,FIND("~",SUBSTITUTE(FU3,"/","~",4))+1,IFERROR(FIND("~",SUBSTITUTE(FU3,"/","~",5))-1,LEN(FU3))- FIND("~",SUBSTITUTE(FU3,"/","~",4))),"0")),"m","")*1</f>
        <v>0</v>
      </c>
      <c r="GQ3" s="230">
        <f ref="GQ3:GQ66" t="shared" si="253">SUBSTITUTE(TRIM(IF(BP3&gt;=6,MID(FU3,FIND("~",SUBSTITUTE(FU3,"/","~",5))+1,IFERROR(FIND("~",SUBSTITUTE(FU3,"/","~",6))-1,LEN(FU3))- FIND("~",SUBSTITUTE(FU3,"/","~",5))),"0")),"m","")*1</f>
        <v>0</v>
      </c>
      <c r="GR3" s="230">
        <f ref="GR3:GR66" t="shared" si="254">SUBSTITUTE(IF(BQ3&gt;=1,MID(FV3,1,IFERROR(FIND("~",SUBSTITUTE(FV3,"/","~",1))-1,LEN(FV3))),"0"),"m","")*1</f>
        <v>0</v>
      </c>
      <c r="GS3" s="230">
        <f ref="GS3:GS66" t="shared" si="255">SUBSTITUTE(TRIM(IF(BQ3&gt;=2,MID(FV3,FIND("~",SUBSTITUTE(FV3,"/","~",1))+1,IFERROR(FIND("~",SUBSTITUTE(FV3,"/","~",2))-1,LEN(FV3))- FIND("~",SUBSTITUTE(FV3,"/","~",1))),"0")),"m","")*1</f>
        <v>0</v>
      </c>
      <c r="GT3" s="230">
        <f ref="GT3:GT66" t="shared" si="256">SUBSTITUTE(TRIM(IF(BQ3&gt;=3,MID(FV3,FIND("~",SUBSTITUTE(FV3,"/","~",2))+1,IFERROR(FIND("~",SUBSTITUTE(FV3,"/","~",3))-1,LEN(FV3))- FIND("~",SUBSTITUTE(FV3,"/","~",2))),"0")),"m","")*1</f>
        <v>0</v>
      </c>
      <c r="GU3" s="230">
        <f ref="GU3:GU66" t="shared" si="257">SUBSTITUTE(TRIM(IF(BQ3&gt;=4,MID(FV3,FIND("~",SUBSTITUTE(FV3,"/","~",3))+1,IFERROR(FIND("~",SUBSTITUTE(FV3,"/","~",4))-1,LEN(FV3))- FIND("~",SUBSTITUTE(FV3,"/","~",3))),"0")),"m","")*1</f>
        <v>0</v>
      </c>
      <c r="GV3" s="230">
        <f ref="GV3:GV66" t="shared" si="258">SUBSTITUTE(TRIM(IF(BQ3&gt;=5,MID(FV3,FIND("~",SUBSTITUTE(FV3,"/","~",4))+1,IFERROR(FIND("~",SUBSTITUTE(FV3,"/","~",5))-1,LEN(FV3))- FIND("~",SUBSTITUTE(FV3,"/","~",4))),"0")),"m","")*1</f>
        <v>0</v>
      </c>
      <c r="GW3" s="230">
        <f ref="GW3:GW66" t="shared" si="259">SUBSTITUTE(TRIM(IF(BQ3&gt;=6,MID(FV3,FIND("~",SUBSTITUTE(FV3,"/","~",5))+1,IFERROR(FIND("~",SUBSTITUTE(FV3,"/","~",6))-1,LEN(FV3))- FIND("~",SUBSTITUTE(FV3,"/","~",5))),"0")),"m","")*1</f>
        <v>0</v>
      </c>
      <c r="GX3" s="230">
        <f ref="GX3:GX66" t="shared" si="260">SUBSTITUTE(IF(BR3&gt;=1,MID(FW3,1,IFERROR(FIND("~",SUBSTITUTE(FW3,"/","~",1))-1,LEN(FW3))),"0"),"m","")*1</f>
        <v>0</v>
      </c>
      <c r="GY3" s="230">
        <f ref="GY3:GY66" t="shared" si="261">SUBSTITUTE(TRIM(IF(BR3&gt;=2,MID(FW3,FIND("~",SUBSTITUTE(FW3,"/","~",1))+1,IFERROR(FIND("~",SUBSTITUTE(FW3,"/","~",2))-1,LEN(FW3))- FIND("~",SUBSTITUTE(FW3,"/","~",1))),"0")),"m","")*1</f>
        <v>0</v>
      </c>
      <c r="GZ3" s="230">
        <f ref="GZ3:GZ66" t="shared" si="262">SUBSTITUTE(TRIM(IF(BR3&gt;=3,MID(FW3,FIND("~",SUBSTITUTE(FW3,"/","~",2))+1,IFERROR(FIND("~",SUBSTITUTE(FW3,"/","~",3))-1,LEN(FW3))- FIND("~",SUBSTITUTE(FW3,"/","~",2))),"0")),"m","")*1</f>
        <v>0</v>
      </c>
      <c r="HA3" s="230">
        <f ref="HA3:HA66" t="shared" si="263">SUBSTITUTE(TRIM(IF(BR3&gt;=4,MID(FW3,FIND("~",SUBSTITUTE(FW3,"/","~",3))+1,IFERROR(FIND("~",SUBSTITUTE(FW3,"/","~",4))-1,LEN(FW3))- FIND("~",SUBSTITUTE(FW3,"/","~",3))),"0")),"m","")*1</f>
        <v>0</v>
      </c>
      <c r="HB3" s="230">
        <f ref="HB3:HB66" t="shared" si="264">SUBSTITUTE(TRIM(IF(BR3&gt;=5,MID(FW3,FIND("~",SUBSTITUTE(FW3,"/","~",4))+1,IFERROR(FIND("~",SUBSTITUTE(FW3,"/","~",5))-1,LEN(FW3))- FIND("~",SUBSTITUTE(FW3,"/","~",4))),"0")),"m","")*1</f>
        <v>0</v>
      </c>
      <c r="HC3" s="230">
        <f ref="HC3:HC66" t="shared" si="265">SUBSTITUTE(TRIM(IF(BR3&gt;=6,MID(FW3,FIND("~",SUBSTITUTE(FW3,"/","~",5))+1,IFERROR(FIND("~",SUBSTITUTE(FW3,"/","~",6))-1,LEN(FW3))- FIND("~",SUBSTITUTE(FW3,"/","~",5))),"0")),"m","")*1</f>
        <v>0</v>
      </c>
      <c r="HD3" s="230">
        <f ref="HD3:HD66" t="shared" si="266">SUBSTITUTE(IF(BS3&gt;=1,MID(FX3,1,IFERROR(FIND("~",SUBSTITUTE(FX3,"/","~",1))-1,LEN(FX3))),"0"),"m","")*1</f>
        <v>0</v>
      </c>
      <c r="HE3" s="230">
        <f ref="HE3:HE66" t="shared" si="267">SUBSTITUTE(TRIM(IF(BS3&gt;=2,MID(FX3,FIND("~",SUBSTITUTE(FX3,"/","~",1))+1,IFERROR(FIND("~",SUBSTITUTE(FX3,"/","~",2))-1,LEN(FX3))- FIND("~",SUBSTITUTE(FX3,"/","~",1))),"0")),"m","")*1</f>
        <v>0</v>
      </c>
      <c r="HF3" s="230">
        <f ref="HF3:HF66" t="shared" si="268">SUBSTITUTE(TRIM(IF(BS3&gt;=3,MID(FX3,FIND("~",SUBSTITUTE(FX3,"/","~",2))+1,IFERROR(FIND("~",SUBSTITUTE(FX3,"/","~",3))-1,LEN(FX3))- FIND("~",SUBSTITUTE(FX3,"/","~",2))),"0")),"m","")*1</f>
        <v>0</v>
      </c>
      <c r="HG3" s="230">
        <f ref="HG3:HG66" t="shared" si="269">SUBSTITUTE(TRIM(IF(BS3&gt;=4,MID(FX3,FIND("~",SUBSTITUTE(FX3,"/","~",3))+1,IFERROR(FIND("~",SUBSTITUTE(FX3,"/","~",4))-1,LEN(FX3))- FIND("~",SUBSTITUTE(FX3,"/","~",3))),"0")),"m","")*1</f>
        <v>0</v>
      </c>
      <c r="HH3" s="230">
        <f ref="HH3:HH66" t="shared" si="270">SUBSTITUTE(TRIM(IF(BS3&gt;=5,MID(FX3,FIND("~",SUBSTITUTE(FX3,"/","~",4))+1,IFERROR(FIND("~",SUBSTITUTE(FX3,"/","~",5))-1,LEN(FX3))- FIND("~",SUBSTITUTE(FX3,"/","~",4))),"0")),"m","")*1</f>
        <v>0</v>
      </c>
      <c r="HI3" s="230">
        <f ref="HI3:HI66" t="shared" si="271">SUBSTITUTE(TRIM(IF(BS3&gt;=6,MID(FX3,FIND("~",SUBSTITUTE(FX3,"/","~",5))+1,IFERROR(FIND("~",SUBSTITUTE(FX3,"/","~",6))-1,LEN(FX3))- FIND("~",SUBSTITUTE(FX3,"/","~",5))),"0")),"m","")*1</f>
        <v>0</v>
      </c>
      <c r="HJ3" s="230">
        <f ref="HJ3:HJ66" t="shared" si="272">SUBSTITUTE(IF(BT3&gt;=1,MID(FY3,1,IFERROR(FIND("~",SUBSTITUTE(FY3,"/","~",1))-1,LEN(FY3))),"0"),"m","")*1</f>
        <v>0</v>
      </c>
      <c r="HK3" s="230">
        <f ref="HK3:HK66" t="shared" si="273">SUBSTITUTE(TRIM(IF(BT3&gt;=2,MID(FY3,FIND("~",SUBSTITUTE(FY3,"/","~",1))+1,IFERROR(FIND("~",SUBSTITUTE(FY3,"/","~",2))-1,LEN(FY3))- FIND("~",SUBSTITUTE(FY3,"/","~",1))),"0")),"m","")*1</f>
        <v>0</v>
      </c>
      <c r="HL3" s="230">
        <f ref="HL3:HL66" t="shared" si="274">SUBSTITUTE(TRIM(IF(BT3&gt;=3,MID(FY3,FIND("~",SUBSTITUTE(FY3,"/","~",2))+1,IFERROR(FIND("~",SUBSTITUTE(FY3,"/","~",3))-1,LEN(FY3))- FIND("~",SUBSTITUTE(FY3,"/","~",2))),"0")),"m","")*1</f>
        <v>0</v>
      </c>
      <c r="HM3" s="230">
        <f ref="HM3:HM66" t="shared" si="275">SUBSTITUTE(TRIM(IF(BT3&gt;=4,MID(FY3,FIND("~",SUBSTITUTE(FY3,"/","~",3))+1,IFERROR(FIND("~",SUBSTITUTE(FY3,"/","~",4))-1,LEN(FY3))- FIND("~",SUBSTITUTE(FY3,"/","~",3))),"0")),"m","")*1</f>
        <v>0</v>
      </c>
      <c r="HN3" s="230">
        <f ref="HN3:HN66" t="shared" si="276">SUBSTITUTE(TRIM(IF(BT3&gt;=5,MID(FY3,FIND("~",SUBSTITUTE(FY3,"/","~",4))+1,IFERROR(FIND("~",SUBSTITUTE(FY3,"/","~",5))-1,LEN(FY3))- FIND("~",SUBSTITUTE(FY3,"/","~",4))),"0")),"m","")*1</f>
        <v>0</v>
      </c>
      <c r="HO3" s="230">
        <f ref="HO3:HO66" t="shared" si="277">SUBSTITUTE(TRIM(IF(BT3&gt;=6,MID(FY3,FIND("~",SUBSTITUTE(FY3,"/","~",5))+1,IFERROR(FIND("~",SUBSTITUTE(FY3,"/","~",6))-1,LEN(FY3))- FIND("~",SUBSTITUTE(FY3,"/","~",5))),"0")),"m","")*1</f>
        <v>0</v>
      </c>
      <c r="HP3" s="230" t="str">
        <f>INDEX(LabNameList,MATCH(LabId,LabIDList,0))</f>
        <v>Trung tâm Kiểm định và Chứng nhận 2</v>
      </c>
      <c r="HQ3" s="230">
        <f ref="HQ3:HQ66" t="shared" si="278">MinMultiple(GF3:GI3,BO3)</f>
        <v>24</v>
      </c>
      <c r="HR3" s="230">
        <f ref="HR3:HR66" t="shared" si="279">MinMultiple(GL3:GO3,BP3)</f>
        <v>24</v>
      </c>
      <c r="HS3" s="230">
        <f ref="HS3:HS66" t="shared" si="280">MinMultiple(GR3:GU3,BQ3)</f>
        <v>0</v>
      </c>
      <c r="HT3" s="230">
        <f ref="HT3:HT66" t="shared" si="281">MinMultiple(GX3:HA3,BR3)</f>
        <v>0</v>
      </c>
      <c r="HU3" s="230">
        <f ref="HU3:HU66" t="shared" si="282">MinMultiple(HD3:HG3,BS3)</f>
        <v>0</v>
      </c>
      <c r="HV3" s="230">
        <f ref="HV3:HV66" t="shared" si="283">MinMultiple(HJ3:HM3,BT3)</f>
        <v>0</v>
      </c>
      <c r="HW3" s="797">
        <f ref="HW3:HW66" t="shared" si="284">MinMultiple(HQ3:HV3,I3)</f>
        <v>24</v>
      </c>
      <c r="HX3" s="797">
        <f>Input!EB3</f>
        <v>0</v>
      </c>
      <c r="HY3" s="230">
        <v>68</v>
      </c>
      <c r="HZ3" s="230"/>
      <c r="IA3" s="230"/>
      <c r="IB3" s="230"/>
      <c r="IC3" s="232" t="str">
        <f ref="IC3:IC66" t="shared" si="285">IF(LEN(ID3)=4,"B0"&amp;ID3&amp;IE3&amp;IF3,IF(LEN(ID3)=3,"B00"&amp;ID3&amp;IE3&amp;IF3,IF(LEN(ID3)=2,"B000"&amp;ID3&amp;IE3&amp;IF3,IF(LEN(ID3)=1,"B0000"&amp;ID3&amp;IE3&amp;IF3,"B"&amp;ID3&amp;IE3&amp;IF3))))</f>
        <v>B01954230916TG05</v>
      </c>
      <c r="ID3" s="233" t="str">
        <f>Input!O3</f>
        <v>01954</v>
      </c>
      <c r="IE3" s="467" t="str">
        <f ref="IE3:IE66" t="shared" si="286">TEXT(II3,"ddmmyy")</f>
        <v>230916</v>
      </c>
      <c r="IF3" s="232" t="s">
        <v>364</v>
      </c>
      <c r="IG3" s="467" t="str">
        <f ref="IG3:IG66" t="shared" si="287">TEXT(II3,"dd/mm/yyyy")</f>
        <v>23/09/2016</v>
      </c>
      <c r="IH3" s="467" t="str">
        <f ref="IH3:IH66" t="shared" si="288">TEXT(IJ3,"dd/mm/yyyy")</f>
        <v>23/09/2021</v>
      </c>
      <c r="II3" s="546" t="str">
        <f> Input!R3</f>
        <v>23/09/2016</v>
      </c>
      <c r="IJ3" s="467">
        <f ref="IJ3:IJ66" t="shared" si="289">DATE(YEAR(II3) + 5,MONTH(II3),DAY(II3))</f>
        <v>44462</v>
      </c>
      <c r="IK3" s="468">
        <f ref="IK3:IK66" t="shared" si="290">IFERROR(MATCH("",AP3:AU3,0)-1,6)</f>
        <v>3</v>
      </c>
      <c r="IL3" s="469" t="str">
        <f ref="IL3:IL66" t="shared" si="291">IK3&amp;"-"&amp;IR3</f>
        <v>3-2</v>
      </c>
      <c r="IM3" s="469" t="str">
        <f ref="IM3:IM66" t="shared" si="292">IF(AQ3&lt;&gt;"",IF(AQ3=AP3,"CHUNG","KHAC"),"")</f>
        <v>CHUNG</v>
      </c>
      <c r="IN3" s="469" t="str">
        <f ref="IN3:IN66" t="shared" si="293">IF(AR3&lt;&gt;"",IF(AR3=AP3,"CHUNG","KHAC"),"")</f>
        <v>KHAC</v>
      </c>
      <c r="IO3" s="469" t="str">
        <f ref="IO3:IO66" t="shared" si="294">IF(AS3&lt;&gt;"",IF(AS3=AP3,"CHUNG","KHAC"),"")</f>
      </c>
      <c r="IP3" s="469" t="str">
        <f ref="IP3:IP66" t="shared" si="295">IF(AT3&lt;&gt;"",IF(AT3=AP3,"CHUNG","KHAC"),"")</f>
      </c>
      <c r="IQ3" s="469" t="str">
        <f ref="IQ3:IQ66" t="shared" si="296">IF(AU3&lt;&gt;"",IF(AU3=AP3,"CHUNG","KHAC"),"")</f>
      </c>
      <c r="IR3" s="469">
        <f ref="IR3:IR66" t="shared" si="297">IF(COUNTIF(IM3:IQ3,"CHUNG")=0,1,COUNTIF(IM3:IQ3,"CHUNG")+1)</f>
        <v>2</v>
      </c>
      <c r="IS3" s="469">
        <f ref="IS3:IS66" t="shared" si="298">IK3-IR3</f>
        <v>1</v>
      </c>
      <c r="IT3" s="469" t="str">
        <f ref="IT3:IT66" t="shared" si="299">IF(IS3=0,"No","Yes")</f>
        <v>Yes</v>
      </c>
      <c r="IU3" s="469" t="str">
        <f ref="IU3:IU66" t="shared" si="300">IF(IS3=0,"No","Yes")</f>
        <v>Yes</v>
      </c>
    </row>
    <row r="4" ht="63.75">
      <c r="A4" s="601">
        <f>Input!A4</f>
        <v>3</v>
      </c>
      <c r="B4" s="229" t="str">
        <f>INDEX(ApplicantIDList,MATCH(AI4,ApplicantNameList,0))</f>
        <v>VIETTEL-2016</v>
      </c>
      <c r="C4" s="229" t="str">
        <f>INDEX(OperatorIDList,MATCH(AJ4,OperatorNameList,0))</f>
        <v>VIETTEL-2016</v>
      </c>
      <c r="D4" s="797" t="str">
        <f>Input!Y4</f>
        <v>HCM4414</v>
      </c>
      <c r="E4" s="229" t="str">
        <f>Input!G4</f>
        <v>Số 32, đường số 1, khu dân cư Lê Thành, phường An Lạc, quận Bình Tân, thành phố Hồ Chí Minh.</v>
      </c>
      <c r="F4" s="229" t="str">
        <f>TRIM(SUBSTITUTE(SUBSTITUTE(Input!H4,"Thành phố ",""),"Tỉnh ",""))</f>
        <v>Hồ Chí Minh</v>
      </c>
      <c r="G4" s="797" t="str">
        <f>Input!I4</f>
        <v>106,61787</v>
      </c>
      <c r="H4" s="797" t="str">
        <f>Input!J4</f>
        <v>10,71977</v>
      </c>
      <c r="I4" s="229">
        <f>Input!V4</f>
        <v>1</v>
      </c>
      <c r="J4" s="229" t="str">
        <f>Input!K4</f>
        <v>1502372/16/TG/TT2</v>
      </c>
      <c r="K4" s="231" t="str">
        <f>TEXT(Input!L4,"dd/mm/yyyy")</f>
        <v>23/09/2016</v>
      </c>
      <c r="L4" s="231" t="str">
        <f>TEXT(Input!M4,"dd/mm/yyyy")</f>
        <v>11/09/2016</v>
      </c>
      <c r="M4" s="229" t="str">
        <f t="shared" si="135"/>
        <v>TỔNG CÔNG TY MẠNG LƯỚI VIETTEL</v>
      </c>
      <c r="N4" s="229" t="str">
        <f t="shared" si="136"/>
        <v>HCM4414</v>
      </c>
      <c r="O4" s="229" t="str">
        <f t="shared" si="137"/>
        <v>HUAWEI DBS3900</v>
      </c>
      <c r="P4" s="229" t="str">
        <f t="shared" si="138"/>
        <v>3</v>
      </c>
      <c r="Q4" s="229" t="str">
        <f t="shared" si="139"/>
        <v>2/2/2</v>
      </c>
      <c r="R4" s="229" t="str">
        <f t="shared" si="140"/>
        <v>40W/ 40W/ 40W</v>
      </c>
      <c r="S4" s="229" t="str">
        <f t="shared" si="141"/>
        <v>2100</v>
      </c>
      <c r="T4" s="229" t="str">
        <f t="shared" si="142"/>
        <v>30m/ 30m/ 30m</v>
      </c>
      <c r="U4" s="229">
        <v>1</v>
      </c>
      <c r="V4" s="229"/>
      <c r="W4" s="229" t="b">
        <f t="shared" si="143"/>
        <v>0</v>
      </c>
      <c r="X4" s="229" t="b">
        <f>INDEX(TrueFalseList,_xlfn.IFNA(MATCH(Input!W4,CoKhongList,0),MATCH(Input!W4,YesNoList,0)))</f>
        <v>0</v>
      </c>
      <c r="Y4" s="797">
        <f>Input!FZ4</f>
        <v>0</v>
      </c>
      <c r="Z4" s="229" t="b">
        <v>1</v>
      </c>
      <c r="AA4" s="797">
        <f t="shared" si="144"/>
        <v>30</v>
      </c>
      <c r="AB4" s="229" t="b">
        <v>0</v>
      </c>
      <c r="AC4" s="229" t="b">
        <v>1</v>
      </c>
      <c r="AD4" s="229">
        <f>Input!DR4</f>
        <v>0</v>
      </c>
      <c r="AE4" s="229"/>
      <c r="AF4" s="229" t="str">
        <f>Options!$D$6</f>
        <v>VCC2</v>
      </c>
      <c r="AG4" s="229">
        <f t="shared" si="145"/>
        <v>0</v>
      </c>
      <c r="AH4" s="230"/>
      <c r="AI4" s="553" t="str">
        <f>Input!E4</f>
        <v>TỔNG CÔNG TY MẠNG LƯỚI VIETTEL</v>
      </c>
      <c r="AJ4" s="553" t="str">
        <f>Input!F4</f>
        <v>TỔNG CÔNG TY MẠNG LƯỚI VIETTEL</v>
      </c>
      <c r="AK4" s="229">
        <f t="shared" si="146"/>
        <v>5</v>
      </c>
      <c r="AL4" s="465" t="str">
        <f t="shared" si="147"/>
        <v>thành phố Hồ Chí Minh.</v>
      </c>
      <c r="AM4" s="465" t="str">
        <f t="shared" si="148"/>
        <v>quận Bình Tân</v>
      </c>
      <c r="AN4" s="465" t="str">
        <f t="shared" si="149"/>
        <v>phường An Lạc</v>
      </c>
      <c r="AO4" s="229" t="str">
        <f>INDEX(CityIDList,MATCH(F4,CityNameList,0))</f>
        <v>HCM</v>
      </c>
      <c r="AP4" s="230" t="str">
        <f>Input!X4</f>
        <v>TỔNG CÔNG TY MẠNG LƯỚI VIETTEL</v>
      </c>
      <c r="AQ4" s="230">
        <f>Input!AN4</f>
        <v>0</v>
      </c>
      <c r="AR4" s="230">
        <f>Input!BD4</f>
        <v>0</v>
      </c>
      <c r="AS4" s="230" t="str">
        <f>Input!BT4</f>
      </c>
      <c r="AT4" s="230" t="str">
        <f>Input!CH4</f>
      </c>
      <c r="AU4" s="230" t="str">
        <f>Input!CV4</f>
      </c>
      <c r="AV4" s="230" t="str">
        <f>IF(I4&gt;=1,INDEX(OperatorIDList,MATCH(AP4,OperatorNameList,0)),"")</f>
        <v>VIETTEL-2016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VIETTEL-2016</v>
      </c>
      <c r="BC4" s="230" t="str">
        <f>Input!Y4</f>
        <v>HCM4414</v>
      </c>
      <c r="BD4" s="230">
        <f>Input!AO4</f>
        <v>0</v>
      </c>
      <c r="BE4" s="230">
        <f>Input!BE4</f>
        <v>0</v>
      </c>
      <c r="BF4" s="230" t="str">
        <f>Input!BU4</f>
      </c>
      <c r="BG4" s="230" t="str">
        <f>Input!CI4</f>
      </c>
      <c r="BH4" s="230" t="str">
        <f>Input!CW4</f>
      </c>
      <c r="BI4" s="230" t="str">
        <f>Input!Z4</f>
        <v>HUAWEI DBS3900</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2/2/2</v>
      </c>
      <c r="BV4" s="230" t="str">
        <f>Input!AV4</f>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40,00W/40,00W/40,00W</v>
      </c>
      <c r="DL4" s="230" t="str">
        <f>Input!BA4</f>
      </c>
      <c r="DM4" s="230" t="str">
        <f>Input!BQ4</f>
      </c>
      <c r="DN4" s="230" t="str">
        <f>Input!CE4</f>
      </c>
      <c r="DO4" s="230" t="str">
        <f>Input!CS4</f>
      </c>
      <c r="DP4" s="230" t="str">
        <f>Input!DG4</f>
      </c>
      <c r="DQ4" s="230" t="str">
        <f t="shared" si="187"/>
        <v>40W/ 40W/ 40W</v>
      </c>
      <c r="DR4" s="230" t="str">
        <f t="shared" si="188"/>
      </c>
      <c r="DS4" s="230" t="str">
        <f t="shared" si="189"/>
      </c>
      <c r="DT4" s="230" t="str">
        <f t="shared" si="190"/>
      </c>
      <c r="DU4" s="230" t="str">
        <f t="shared" si="191"/>
      </c>
      <c r="DV4" s="230" t="str">
        <f t="shared" si="192"/>
      </c>
      <c r="DW4" s="230">
        <f t="shared" si="193"/>
        <v>40</v>
      </c>
      <c r="DX4" s="230">
        <f t="shared" si="194"/>
        <v>40</v>
      </c>
      <c r="DY4" s="230">
        <f t="shared" si="195"/>
        <v>40</v>
      </c>
      <c r="DZ4" s="230">
        <f t="shared" si="196"/>
        <v>0</v>
      </c>
      <c r="EA4" s="230">
        <f t="shared" si="197"/>
        <v>0</v>
      </c>
      <c r="EB4" s="230">
        <f t="shared" si="198"/>
        <v>0</v>
      </c>
      <c r="EC4" s="230">
        <f t="shared" si="199"/>
        <v>40</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f>Input!AL4</f>
        <v>2100</v>
      </c>
      <c r="FO4" s="230">
        <f>Input!BB4</f>
        <v>0</v>
      </c>
      <c r="FP4" s="230">
        <f>Input!BR4</f>
        <v>0</v>
      </c>
      <c r="FQ4" s="230" t="str">
        <f>Input!CF4</f>
      </c>
      <c r="FR4" s="230" t="str">
        <f>Input!CT4</f>
      </c>
      <c r="FS4" s="230" t="str">
        <f>Input!DH4</f>
      </c>
      <c r="FT4" s="230" t="str">
        <f>Input!AM4</f>
        <v>30m/ 30m/ 30m</v>
      </c>
      <c r="FU4" s="230">
        <f>Input!BC4</f>
        <v>0</v>
      </c>
      <c r="FV4" s="230">
        <f>Input!BS4</f>
        <v>0</v>
      </c>
      <c r="FW4" s="230" t="str">
        <f>Input!CG4</f>
      </c>
      <c r="FX4" s="230" t="str">
        <f>Input!CU4</f>
      </c>
      <c r="FY4" s="230" t="str">
        <f>Input!DI4</f>
      </c>
      <c r="FZ4" s="230" t="str">
        <f t="shared" si="236"/>
        <v>30m/ 30m/ 30m</v>
      </c>
      <c r="GA4" s="230" t="str">
        <f t="shared" si="237"/>
      </c>
      <c r="GB4" s="230" t="str">
        <f t="shared" si="238"/>
      </c>
      <c r="GC4" s="230" t="str">
        <f t="shared" si="239"/>
      </c>
      <c r="GD4" s="230" t="str">
        <f t="shared" si="240"/>
      </c>
      <c r="GE4" s="230" t="str">
        <f t="shared" si="241"/>
      </c>
      <c r="GF4" s="230">
        <f t="shared" si="242"/>
        <v>30</v>
      </c>
      <c r="GG4" s="230">
        <f t="shared" si="243"/>
        <v>30</v>
      </c>
      <c r="GH4" s="230">
        <f t="shared" si="244"/>
        <v>30</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30</v>
      </c>
      <c r="HR4" s="230">
        <f t="shared" si="279"/>
        <v>0</v>
      </c>
      <c r="HS4" s="230">
        <f t="shared" si="280"/>
        <v>0</v>
      </c>
      <c r="HT4" s="230">
        <f t="shared" si="281"/>
        <v>0</v>
      </c>
      <c r="HU4" s="230">
        <f t="shared" si="282"/>
        <v>0</v>
      </c>
      <c r="HV4" s="230">
        <f t="shared" si="283"/>
        <v>0</v>
      </c>
      <c r="HW4" s="797">
        <f t="shared" si="284"/>
        <v>30</v>
      </c>
      <c r="HX4" s="797">
        <f>Input!EB4</f>
        <v>0</v>
      </c>
      <c r="HY4" s="230">
        <v>68</v>
      </c>
      <c r="HZ4" s="230"/>
      <c r="IA4" s="230"/>
      <c r="IB4" s="230"/>
      <c r="IC4" s="232" t="str">
        <f t="shared" si="285"/>
        <v>B01955230916TG05</v>
      </c>
      <c r="ID4" s="233" t="str">
        <f>Input!O4</f>
        <v>01955</v>
      </c>
      <c r="IE4" s="467" t="str">
        <f t="shared" si="286"/>
        <v>230916</v>
      </c>
      <c r="IF4" s="232" t="s">
        <v>364</v>
      </c>
      <c r="IG4" s="467" t="str">
        <f t="shared" si="287"/>
        <v>23/09/2016</v>
      </c>
      <c r="IH4" s="467" t="str">
        <f t="shared" si="288"/>
        <v>23/09/2021</v>
      </c>
      <c r="II4" s="546" t="str">
        <f> Input!R4</f>
        <v>23/09/2016</v>
      </c>
      <c r="IJ4" s="467">
        <f t="shared" si="289"/>
        <v>44462</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63.75">
      <c r="A5" s="601">
        <f>Input!A5</f>
        <v>4</v>
      </c>
      <c r="B5" s="229" t="str">
        <f>INDEX(ApplicantIDList,MATCH(AI5,ApplicantNameList,0))</f>
        <v>VIETTEL-2016</v>
      </c>
      <c r="C5" s="229" t="str">
        <f>INDEX(OperatorIDList,MATCH(AJ5,OperatorNameList,0))</f>
        <v>VIETTEL-2016</v>
      </c>
      <c r="D5" s="797" t="str">
        <f>Input!Y5</f>
        <v>HCM4415</v>
      </c>
      <c r="E5" s="229" t="str">
        <f>Input!G5</f>
        <v>Số 67, đường An Dương Vương, phường An Lạc, quận Bình Tân, thành phố Hồ Chí Minh.</v>
      </c>
      <c r="F5" s="229" t="str">
        <f>TRIM(SUBSTITUTE(SUBSTITUTE(Input!H5,"Thành phố ",""),"Tỉnh ",""))</f>
        <v>Hồ Chí Minh</v>
      </c>
      <c r="G5" s="797" t="str">
        <f>Input!I5</f>
        <v>106,61887</v>
      </c>
      <c r="H5" s="797" t="str">
        <f>Input!J5</f>
        <v>10,71683</v>
      </c>
      <c r="I5" s="229">
        <f>Input!V5</f>
        <v>1</v>
      </c>
      <c r="J5" s="229" t="str">
        <f>Input!K5</f>
        <v>1502373/16/TG/TT2</v>
      </c>
      <c r="K5" s="231" t="str">
        <f>TEXT(Input!L5,"dd/mm/yyyy")</f>
        <v>23/09/2016</v>
      </c>
      <c r="L5" s="231" t="str">
        <f>TEXT(Input!M5,"dd/mm/yyyy")</f>
        <v>11/09/2016</v>
      </c>
      <c r="M5" s="229" t="str">
        <f t="shared" si="135"/>
        <v>TỔNG CÔNG TY MẠNG LƯỚI VIETTEL</v>
      </c>
      <c r="N5" s="229" t="str">
        <f t="shared" si="136"/>
        <v>HCM4415</v>
      </c>
      <c r="O5" s="229" t="str">
        <f t="shared" si="137"/>
        <v>HUAWEI DBS3900</v>
      </c>
      <c r="P5" s="229" t="str">
        <f t="shared" si="138"/>
        <v>3</v>
      </c>
      <c r="Q5" s="229" t="str">
        <f t="shared" si="139"/>
        <v>2/2/2</v>
      </c>
      <c r="R5" s="229" t="str">
        <f t="shared" si="140"/>
        <v>40W/ 40W/ 40W</v>
      </c>
      <c r="S5" s="229" t="str">
        <f t="shared" si="141"/>
        <v>2100</v>
      </c>
      <c r="T5" s="229" t="str">
        <f t="shared" si="142"/>
        <v>30m/ 30m/ 30m</v>
      </c>
      <c r="U5" s="229">
        <v>1</v>
      </c>
      <c r="V5" s="229"/>
      <c r="W5" s="229" t="b">
        <f t="shared" si="143"/>
        <v>0</v>
      </c>
      <c r="X5" s="229" t="b">
        <f>INDEX(TrueFalseList,_xlfn.IFNA(MATCH(Input!W5,CoKhongList,0),MATCH(Input!W5,YesNoList,0)))</f>
        <v>0</v>
      </c>
      <c r="Y5" s="797">
        <f>Input!FZ5</f>
        <v>0</v>
      </c>
      <c r="Z5" s="229" t="b">
        <v>1</v>
      </c>
      <c r="AA5" s="797">
        <f t="shared" si="144"/>
        <v>30</v>
      </c>
      <c r="AB5" s="229" t="b">
        <v>0</v>
      </c>
      <c r="AC5" s="229" t="b">
        <v>1</v>
      </c>
      <c r="AD5" s="229">
        <f>Input!DR5</f>
        <v>0</v>
      </c>
      <c r="AE5" s="229"/>
      <c r="AF5" s="229" t="str">
        <f>Options!$D$6</f>
        <v>VCC2</v>
      </c>
      <c r="AG5" s="229">
        <f t="shared" si="145"/>
        <v>0</v>
      </c>
      <c r="AH5" s="230"/>
      <c r="AI5" s="553" t="str">
        <f>Input!E5</f>
        <v>TỔNG CÔNG TY MẠNG LƯỚI VIETTEL</v>
      </c>
      <c r="AJ5" s="553" t="str">
        <f>Input!F5</f>
        <v>TỔNG CÔNG TY MẠNG LƯỚI VIETTEL</v>
      </c>
      <c r="AK5" s="229">
        <f t="shared" si="146"/>
        <v>4</v>
      </c>
      <c r="AL5" s="465" t="str">
        <f t="shared" si="147"/>
        <v>thành phố Hồ Chí Minh.</v>
      </c>
      <c r="AM5" s="465" t="str">
        <f t="shared" si="148"/>
        <v>quận Bình Tân</v>
      </c>
      <c r="AN5" s="465" t="str">
        <f t="shared" si="149"/>
        <v>phường An Lạc</v>
      </c>
      <c r="AO5" s="229" t="str">
        <f>INDEX(CityIDList,MATCH(F5,CityNameList,0))</f>
        <v>HCM</v>
      </c>
      <c r="AP5" s="230" t="str">
        <f>Input!X5</f>
        <v>TỔNG CÔNG TY MẠNG LƯỚI VIETTEL</v>
      </c>
      <c r="AQ5" s="230">
        <f>Input!AN5</f>
        <v>0</v>
      </c>
      <c r="AR5" s="230">
        <f>Input!BD5</f>
        <v>0</v>
      </c>
      <c r="AS5" s="230" t="str">
        <f>Input!BT5</f>
      </c>
      <c r="AT5" s="230" t="str">
        <f>Input!CH5</f>
      </c>
      <c r="AU5" s="230" t="str">
        <f>Input!CV5</f>
      </c>
      <c r="AV5" s="230" t="str">
        <f>IF(I5&gt;=1,INDEX(OperatorIDList,MATCH(AP5,OperatorNameList,0)),"")</f>
        <v>VIETTEL-2016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VIETTEL-2016</v>
      </c>
      <c r="BC5" s="230" t="str">
        <f>Input!Y5</f>
        <v>HCM4415</v>
      </c>
      <c r="BD5" s="230">
        <f>Input!AO5</f>
        <v>0</v>
      </c>
      <c r="BE5" s="230">
        <f>Input!BE5</f>
        <v>0</v>
      </c>
      <c r="BF5" s="230" t="str">
        <f>Input!BU5</f>
      </c>
      <c r="BG5" s="230" t="str">
        <f>Input!CI5</f>
      </c>
      <c r="BH5" s="230" t="str">
        <f>Input!CW5</f>
      </c>
      <c r="BI5" s="230" t="str">
        <f>Input!Z5</f>
        <v>HUAWEI DBS3900</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2/2/2</v>
      </c>
      <c r="BV5" s="230" t="str">
        <f>Input!AV5</f>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40,00W/40,00W/40,00W</v>
      </c>
      <c r="DL5" s="230" t="str">
        <f>Input!BA5</f>
      </c>
      <c r="DM5" s="230" t="str">
        <f>Input!BQ5</f>
      </c>
      <c r="DN5" s="230" t="str">
        <f>Input!CE5</f>
      </c>
      <c r="DO5" s="230" t="str">
        <f>Input!CS5</f>
      </c>
      <c r="DP5" s="230" t="str">
        <f>Input!DG5</f>
      </c>
      <c r="DQ5" s="230" t="str">
        <f t="shared" si="187"/>
        <v>40W/ 40W/ 40W</v>
      </c>
      <c r="DR5" s="230" t="str">
        <f t="shared" si="188"/>
      </c>
      <c r="DS5" s="230" t="str">
        <f t="shared" si="189"/>
      </c>
      <c r="DT5" s="230" t="str">
        <f t="shared" si="190"/>
      </c>
      <c r="DU5" s="230" t="str">
        <f t="shared" si="191"/>
      </c>
      <c r="DV5" s="230" t="str">
        <f t="shared" si="192"/>
      </c>
      <c r="DW5" s="230">
        <f t="shared" si="193"/>
        <v>40</v>
      </c>
      <c r="DX5" s="230">
        <f t="shared" si="194"/>
        <v>40</v>
      </c>
      <c r="DY5" s="230">
        <f t="shared" si="195"/>
        <v>40</v>
      </c>
      <c r="DZ5" s="230">
        <f t="shared" si="196"/>
        <v>0</v>
      </c>
      <c r="EA5" s="230">
        <f t="shared" si="197"/>
        <v>0</v>
      </c>
      <c r="EB5" s="230">
        <f t="shared" si="198"/>
        <v>0</v>
      </c>
      <c r="EC5" s="230">
        <f t="shared" si="199"/>
        <v>40</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f>Input!AL5</f>
        <v>2100</v>
      </c>
      <c r="FO5" s="230">
        <f>Input!BB5</f>
        <v>0</v>
      </c>
      <c r="FP5" s="230">
        <f>Input!BR5</f>
        <v>0</v>
      </c>
      <c r="FQ5" s="230" t="str">
        <f>Input!CF5</f>
      </c>
      <c r="FR5" s="230" t="str">
        <f>Input!CT5</f>
      </c>
      <c r="FS5" s="230" t="str">
        <f>Input!DH5</f>
      </c>
      <c r="FT5" s="230" t="str">
        <f>Input!AM5</f>
        <v>30m/ 30m/ 30m</v>
      </c>
      <c r="FU5" s="230">
        <f>Input!BC5</f>
        <v>0</v>
      </c>
      <c r="FV5" s="230">
        <f>Input!BS5</f>
        <v>0</v>
      </c>
      <c r="FW5" s="230" t="str">
        <f>Input!CG5</f>
      </c>
      <c r="FX5" s="230" t="str">
        <f>Input!CU5</f>
      </c>
      <c r="FY5" s="230" t="str">
        <f>Input!DI5</f>
      </c>
      <c r="FZ5" s="230" t="str">
        <f t="shared" si="236"/>
        <v>30m/ 30m/ 30m</v>
      </c>
      <c r="GA5" s="230" t="str">
        <f t="shared" si="237"/>
      </c>
      <c r="GB5" s="230" t="str">
        <f t="shared" si="238"/>
      </c>
      <c r="GC5" s="230" t="str">
        <f t="shared" si="239"/>
      </c>
      <c r="GD5" s="230" t="str">
        <f t="shared" si="240"/>
      </c>
      <c r="GE5" s="230" t="str">
        <f t="shared" si="241"/>
      </c>
      <c r="GF5" s="230">
        <f t="shared" si="242"/>
        <v>30</v>
      </c>
      <c r="GG5" s="230">
        <f t="shared" si="243"/>
        <v>30</v>
      </c>
      <c r="GH5" s="230">
        <f t="shared" si="244"/>
        <v>30</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30</v>
      </c>
      <c r="HR5" s="230">
        <f t="shared" si="279"/>
        <v>0</v>
      </c>
      <c r="HS5" s="230">
        <f t="shared" si="280"/>
        <v>0</v>
      </c>
      <c r="HT5" s="230">
        <f t="shared" si="281"/>
        <v>0</v>
      </c>
      <c r="HU5" s="230">
        <f t="shared" si="282"/>
        <v>0</v>
      </c>
      <c r="HV5" s="230">
        <f t="shared" si="283"/>
        <v>0</v>
      </c>
      <c r="HW5" s="797">
        <f t="shared" si="284"/>
        <v>30</v>
      </c>
      <c r="HX5" s="797">
        <f>Input!EB5</f>
        <v>0</v>
      </c>
      <c r="HY5" s="230">
        <v>68</v>
      </c>
      <c r="HZ5" s="230"/>
      <c r="IA5" s="230"/>
      <c r="IB5" s="230"/>
      <c r="IC5" s="232" t="str">
        <f t="shared" si="285"/>
        <v>B01956230916TG05</v>
      </c>
      <c r="ID5" s="233" t="str">
        <f>Input!O5</f>
        <v>01956</v>
      </c>
      <c r="IE5" s="467" t="str">
        <f t="shared" si="286"/>
        <v>230916</v>
      </c>
      <c r="IF5" s="232" t="s">
        <v>364</v>
      </c>
      <c r="IG5" s="467" t="str">
        <f t="shared" si="287"/>
        <v>23/09/2016</v>
      </c>
      <c r="IH5" s="467" t="str">
        <f t="shared" si="288"/>
        <v>23/09/2021</v>
      </c>
      <c r="II5" s="546" t="str">
        <f> Input!R5</f>
        <v>23/09/2016</v>
      </c>
      <c r="IJ5" s="467">
        <f t="shared" si="289"/>
        <v>44462</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row r="6" ht="63.75">
      <c r="A6" s="601">
        <f>Input!A6</f>
        <v>5</v>
      </c>
      <c r="B6" s="229" t="str">
        <f>INDEX(ApplicantIDList,MATCH(AI6,ApplicantNameList,0))</f>
        <v>VIETTEL-2016</v>
      </c>
      <c r="C6" s="229" t="str">
        <f>INDEX(OperatorIDList,MATCH(AJ6,OperatorNameList,0))</f>
        <v>VIETTEL-2016</v>
      </c>
      <c r="D6" s="797" t="str">
        <f>Input!Y6</f>
        <v>HCM4130</v>
      </c>
      <c r="E6" s="229" t="str">
        <f>Input!G6</f>
        <v>Số 52, đường số 4, phường Bình Hưng Hòa B, quận Bình Tân, thành phố Hồ Chí Minh.</v>
      </c>
      <c r="F6" s="229" t="str">
        <f>TRIM(SUBSTITUTE(SUBSTITUTE(Input!H6,"Thành phố ",""),"Tỉnh ",""))</f>
        <v>Hồ Chí Minh</v>
      </c>
      <c r="G6" s="797" t="str">
        <f>Input!I6</f>
        <v>106,594105</v>
      </c>
      <c r="H6" s="797" t="str">
        <f>Input!J6</f>
        <v>10,796769</v>
      </c>
      <c r="I6" s="229">
        <f>Input!V6</f>
        <v>1</v>
      </c>
      <c r="J6" s="229" t="str">
        <f>Input!K6</f>
        <v>1502375/16/TG/TT2</v>
      </c>
      <c r="K6" s="231" t="str">
        <f>TEXT(Input!L6,"dd/mm/yyyy")</f>
        <v>23/09/2016</v>
      </c>
      <c r="L6" s="231" t="str">
        <f>TEXT(Input!M6,"dd/mm/yyyy")</f>
        <v>12/09/2016</v>
      </c>
      <c r="M6" s="229" t="str">
        <f t="shared" si="135"/>
        <v>TỔNG CÔNG TY MẠNG LƯỚI VIETTEL</v>
      </c>
      <c r="N6" s="229" t="str">
        <f t="shared" si="136"/>
        <v>HCM4130</v>
      </c>
      <c r="O6" s="229" t="str">
        <f t="shared" si="137"/>
        <v>HUAWEI DBS3900</v>
      </c>
      <c r="P6" s="229" t="str">
        <f t="shared" si="138"/>
        <v>3</v>
      </c>
      <c r="Q6" s="229" t="str">
        <f t="shared" si="139"/>
        <v>2/2/2</v>
      </c>
      <c r="R6" s="229" t="str">
        <f t="shared" si="140"/>
        <v>40W/ 40W/ 40W</v>
      </c>
      <c r="S6" s="229" t="str">
        <f t="shared" si="141"/>
        <v>2100</v>
      </c>
      <c r="T6" s="229" t="str">
        <f t="shared" si="142"/>
        <v>27m/ 27m/ 27m</v>
      </c>
      <c r="U6" s="229">
        <v>1</v>
      </c>
      <c r="V6" s="229"/>
      <c r="W6" s="229" t="b">
        <f t="shared" si="143"/>
        <v>0</v>
      </c>
      <c r="X6" s="229" t="b">
        <f>INDEX(TrueFalseList,_xlfn.IFNA(MATCH(Input!W6,CoKhongList,0),MATCH(Input!W6,YesNoList,0)))</f>
        <v>0</v>
      </c>
      <c r="Y6" s="797">
        <f>Input!FZ6</f>
        <v>0</v>
      </c>
      <c r="Z6" s="229" t="b">
        <v>1</v>
      </c>
      <c r="AA6" s="797">
        <f t="shared" si="144"/>
        <v>27</v>
      </c>
      <c r="AB6" s="229" t="b">
        <v>0</v>
      </c>
      <c r="AC6" s="229" t="b">
        <v>1</v>
      </c>
      <c r="AD6" s="229">
        <f>Input!DR6</f>
        <v>0</v>
      </c>
      <c r="AE6" s="229"/>
      <c r="AF6" s="229" t="str">
        <f>Options!$D$6</f>
        <v>VCC2</v>
      </c>
      <c r="AG6" s="229">
        <f t="shared" si="145"/>
        <v>0</v>
      </c>
      <c r="AH6" s="230"/>
      <c r="AI6" s="553" t="str">
        <f>Input!E6</f>
        <v>TỔNG CÔNG TY MẠNG LƯỚI VIETTEL</v>
      </c>
      <c r="AJ6" s="553" t="str">
        <f>Input!F6</f>
        <v>TỔNG CÔNG TY MẠNG LƯỚI VIETTEL</v>
      </c>
      <c r="AK6" s="229">
        <f t="shared" si="146"/>
        <v>4</v>
      </c>
      <c r="AL6" s="465" t="str">
        <f t="shared" si="147"/>
        <v>thành phố Hồ Chí Minh.</v>
      </c>
      <c r="AM6" s="465" t="str">
        <f t="shared" si="148"/>
        <v>quận Bình Tân</v>
      </c>
      <c r="AN6" s="465" t="str">
        <f t="shared" si="149"/>
        <v>phường Bình Hưng Hòa B</v>
      </c>
      <c r="AO6" s="229" t="str">
        <f>INDEX(CityIDList,MATCH(F6,CityNameList,0))</f>
        <v>HCM</v>
      </c>
      <c r="AP6" s="230" t="str">
        <f>Input!X6</f>
        <v>TỔNG CÔNG TY MẠNG LƯỚI VIETTEL</v>
      </c>
      <c r="AQ6" s="230">
        <f>Input!AN6</f>
        <v>0</v>
      </c>
      <c r="AR6" s="230">
        <f>Input!BD6</f>
        <v>0</v>
      </c>
      <c r="AS6" s="230" t="str">
        <f>Input!BT6</f>
      </c>
      <c r="AT6" s="230" t="str">
        <f>Input!CH6</f>
      </c>
      <c r="AU6" s="230" t="str">
        <f>Input!CV6</f>
      </c>
      <c r="AV6" s="230" t="str">
        <f>IF(I6&gt;=1,INDEX(OperatorIDList,MATCH(AP6,OperatorNameList,0)),"")</f>
        <v>VIETTEL-2016</v>
      </c>
      <c r="AW6" s="230" t="str">
        <f>IF(I6&gt;=2,INDEX(OperatorIDList,MATCH(AQ6,OperatorNameList,0)),"")</f>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VIETTEL-2016</v>
      </c>
      <c r="BC6" s="230" t="str">
        <f>Input!Y6</f>
        <v>HCM4130</v>
      </c>
      <c r="BD6" s="230">
        <f>Input!AO6</f>
        <v>0</v>
      </c>
      <c r="BE6" s="230">
        <f>Input!BE6</f>
        <v>0</v>
      </c>
      <c r="BF6" s="230" t="str">
        <f>Input!BU6</f>
      </c>
      <c r="BG6" s="230" t="str">
        <f>Input!CI6</f>
      </c>
      <c r="BH6" s="230" t="str">
        <f>Input!CW6</f>
      </c>
      <c r="BI6" s="230" t="str">
        <f>Input!Z6</f>
        <v>HUAWEI DBS3900</v>
      </c>
      <c r="BJ6" s="230">
        <f>Input!AP6</f>
        <v>0</v>
      </c>
      <c r="BK6" s="230">
        <f>Input!BF6</f>
        <v>0</v>
      </c>
      <c r="BL6" s="230" t="str">
        <f>Input!BV6</f>
      </c>
      <c r="BM6" s="230" t="str">
        <f>Input!CJ6</f>
      </c>
      <c r="BN6" s="230" t="str">
        <f>Input!CX6</f>
      </c>
      <c r="BO6" s="553">
        <f>IF(ISNUMBER(Input!AA6),Input!AA6,0)</f>
        <v>3</v>
      </c>
      <c r="BP6" s="553">
        <f>IF(ISNUMBER(Input!AQ6),Input!AQ6,0)</f>
        <v>0</v>
      </c>
      <c r="BQ6" s="553">
        <f>IF(ISNUMBER(Input!BG6),Input!BG6,0)</f>
        <v>0</v>
      </c>
      <c r="BR6" s="553">
        <f>IF(ISNUMBER(Input!BW6),Input!BW6,0)</f>
        <v>0</v>
      </c>
      <c r="BS6" s="553">
        <f>IF(ISNUMBER(Input!CK6),Input!CK6,0)</f>
        <v>0</v>
      </c>
      <c r="BT6" s="554">
        <f>IF(ISNUMBER(Input!CY6),Input!CY6,0)</f>
        <v>0</v>
      </c>
      <c r="BU6" s="230" t="str">
        <f>Input!AF6</f>
        <v>2/2/2</v>
      </c>
      <c r="BV6" s="230" t="str">
        <f>Input!AV6</f>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0</v>
      </c>
      <c r="CH6" s="230">
        <f t="shared" si="158"/>
        <v>0</v>
      </c>
      <c r="CI6" s="230">
        <f t="shared" si="159"/>
        <v>0</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40,00W/40,00W/40,00W</v>
      </c>
      <c r="DL6" s="230" t="str">
        <f>Input!BA6</f>
      </c>
      <c r="DM6" s="230" t="str">
        <f>Input!BQ6</f>
      </c>
      <c r="DN6" s="230" t="str">
        <f>Input!CE6</f>
      </c>
      <c r="DO6" s="230" t="str">
        <f>Input!CS6</f>
      </c>
      <c r="DP6" s="230" t="str">
        <f>Input!DG6</f>
      </c>
      <c r="DQ6" s="230" t="str">
        <f t="shared" si="187"/>
        <v>40W/ 40W/ 40W</v>
      </c>
      <c r="DR6" s="230" t="str">
        <f t="shared" si="188"/>
      </c>
      <c r="DS6" s="230" t="str">
        <f t="shared" si="189"/>
      </c>
      <c r="DT6" s="230" t="str">
        <f t="shared" si="190"/>
      </c>
      <c r="DU6" s="230" t="str">
        <f t="shared" si="191"/>
      </c>
      <c r="DV6" s="230" t="str">
        <f t="shared" si="192"/>
      </c>
      <c r="DW6" s="230">
        <f t="shared" si="193"/>
        <v>40</v>
      </c>
      <c r="DX6" s="230">
        <f t="shared" si="194"/>
        <v>40</v>
      </c>
      <c r="DY6" s="230">
        <f t="shared" si="195"/>
        <v>40</v>
      </c>
      <c r="DZ6" s="230">
        <f t="shared" si="196"/>
        <v>0</v>
      </c>
      <c r="EA6" s="230">
        <f t="shared" si="197"/>
        <v>0</v>
      </c>
      <c r="EB6" s="230">
        <f t="shared" si="198"/>
        <v>0</v>
      </c>
      <c r="EC6" s="230">
        <f t="shared" si="199"/>
        <v>40</v>
      </c>
      <c r="ED6" s="230">
        <f t="shared" si="200"/>
        <v>0</v>
      </c>
      <c r="EE6" s="230">
        <f t="shared" si="201"/>
        <v>0</v>
      </c>
      <c r="EF6" s="230">
        <f t="shared" si="202"/>
        <v>0</v>
      </c>
      <c r="EG6" s="230">
        <f t="shared" si="203"/>
        <v>0</v>
      </c>
      <c r="EH6" s="230">
        <f t="shared" si="204"/>
        <v>0</v>
      </c>
      <c r="EI6" s="230">
        <f t="shared" si="205"/>
        <v>0</v>
      </c>
      <c r="EJ6" s="230">
        <f t="shared" si="206"/>
        <v>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f>Input!AL6</f>
        <v>2100</v>
      </c>
      <c r="FO6" s="230">
        <f>Input!BB6</f>
        <v>0</v>
      </c>
      <c r="FP6" s="230">
        <f>Input!BR6</f>
        <v>0</v>
      </c>
      <c r="FQ6" s="230" t="str">
        <f>Input!CF6</f>
      </c>
      <c r="FR6" s="230" t="str">
        <f>Input!CT6</f>
      </c>
      <c r="FS6" s="230" t="str">
        <f>Input!DH6</f>
      </c>
      <c r="FT6" s="230" t="str">
        <f>Input!AM6</f>
        <v>27m/ 27m/ 27m</v>
      </c>
      <c r="FU6" s="230">
        <f>Input!BC6</f>
        <v>0</v>
      </c>
      <c r="FV6" s="230">
        <f>Input!BS6</f>
        <v>0</v>
      </c>
      <c r="FW6" s="230" t="str">
        <f>Input!CG6</f>
      </c>
      <c r="FX6" s="230" t="str">
        <f>Input!CU6</f>
      </c>
      <c r="FY6" s="230" t="str">
        <f>Input!DI6</f>
      </c>
      <c r="FZ6" s="230" t="str">
        <f t="shared" si="236"/>
        <v>27m/ 27m/ 27m</v>
      </c>
      <c r="GA6" s="230" t="str">
        <f t="shared" si="237"/>
      </c>
      <c r="GB6" s="230" t="str">
        <f t="shared" si="238"/>
      </c>
      <c r="GC6" s="230" t="str">
        <f t="shared" si="239"/>
      </c>
      <c r="GD6" s="230" t="str">
        <f t="shared" si="240"/>
      </c>
      <c r="GE6" s="230" t="str">
        <f t="shared" si="241"/>
      </c>
      <c r="GF6" s="230">
        <f t="shared" si="242"/>
        <v>27</v>
      </c>
      <c r="GG6" s="230">
        <f t="shared" si="243"/>
        <v>27</v>
      </c>
      <c r="GH6" s="230">
        <f t="shared" si="244"/>
        <v>27</v>
      </c>
      <c r="GI6" s="230">
        <f t="shared" si="245"/>
        <v>0</v>
      </c>
      <c r="GJ6" s="230">
        <f t="shared" si="246"/>
        <v>0</v>
      </c>
      <c r="GK6" s="230">
        <f t="shared" si="247"/>
        <v>0</v>
      </c>
      <c r="GL6" s="230">
        <f t="shared" si="248"/>
        <v>0</v>
      </c>
      <c r="GM6" s="230">
        <f t="shared" si="249"/>
        <v>0</v>
      </c>
      <c r="GN6" s="230">
        <f t="shared" si="250"/>
        <v>0</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27</v>
      </c>
      <c r="HR6" s="230">
        <f t="shared" si="279"/>
        <v>0</v>
      </c>
      <c r="HS6" s="230">
        <f t="shared" si="280"/>
        <v>0</v>
      </c>
      <c r="HT6" s="230">
        <f t="shared" si="281"/>
        <v>0</v>
      </c>
      <c r="HU6" s="230">
        <f t="shared" si="282"/>
        <v>0</v>
      </c>
      <c r="HV6" s="230">
        <f t="shared" si="283"/>
        <v>0</v>
      </c>
      <c r="HW6" s="797">
        <f t="shared" si="284"/>
        <v>27</v>
      </c>
      <c r="HX6" s="797">
        <f>Input!EB6</f>
        <v>0</v>
      </c>
      <c r="HY6" s="230">
        <v>68</v>
      </c>
      <c r="HZ6" s="230"/>
      <c r="IA6" s="230"/>
      <c r="IB6" s="230"/>
      <c r="IC6" s="232" t="str">
        <f t="shared" si="285"/>
        <v>B01957230916TG05</v>
      </c>
      <c r="ID6" s="233" t="str">
        <f>Input!O6</f>
        <v>01957</v>
      </c>
      <c r="IE6" s="467" t="str">
        <f t="shared" si="286"/>
        <v>230916</v>
      </c>
      <c r="IF6" s="232" t="s">
        <v>364</v>
      </c>
      <c r="IG6" s="467" t="str">
        <f t="shared" si="287"/>
        <v>23/09/2016</v>
      </c>
      <c r="IH6" s="467" t="str">
        <f t="shared" si="288"/>
        <v>23/09/2021</v>
      </c>
      <c r="II6" s="546" t="str">
        <f> Input!R6</f>
        <v>23/09/2016</v>
      </c>
      <c r="IJ6" s="467">
        <f t="shared" si="289"/>
        <v>44462</v>
      </c>
      <c r="IK6" s="468">
        <f t="shared" si="290"/>
        <v>3</v>
      </c>
      <c r="IL6" s="469" t="str">
        <f t="shared" si="291"/>
        <v>3-1</v>
      </c>
      <c r="IM6" s="469" t="str">
        <f t="shared" si="292"/>
        <v>KHAC</v>
      </c>
      <c r="IN6" s="469" t="str">
        <f t="shared" si="293"/>
        <v>KHAC</v>
      </c>
      <c r="IO6" s="469" t="str">
        <f t="shared" si="294"/>
      </c>
      <c r="IP6" s="469" t="str">
        <f t="shared" si="295"/>
      </c>
      <c r="IQ6" s="469" t="str">
        <f t="shared" si="296"/>
      </c>
      <c r="IR6" s="469">
        <f t="shared" si="297"/>
        <v>1</v>
      </c>
      <c r="IS6" s="469">
        <f t="shared" si="298"/>
        <v>2</v>
      </c>
      <c r="IT6" s="469" t="str">
        <f t="shared" si="299"/>
        <v>Yes</v>
      </c>
      <c r="IU6" s="469" t="str">
        <f t="shared" si="300"/>
        <v>Yes</v>
      </c>
    </row>
    <row r="7" ht="63.75">
      <c r="A7" s="601">
        <f>Input!A7</f>
        <v>6</v>
      </c>
      <c r="B7" s="229" t="str">
        <f>INDEX(ApplicantIDList,MATCH(AI7,ApplicantNameList,0))</f>
        <v>VIETTEL-2016</v>
      </c>
      <c r="C7" s="229" t="str">
        <f>INDEX(OperatorIDList,MATCH(AJ7,OperatorNameList,0))</f>
        <v>VIETTEL-2016</v>
      </c>
      <c r="D7" s="797" t="str">
        <f>Input!Y7</f>
        <v>HCM4412</v>
      </c>
      <c r="E7" s="229" t="str">
        <f>Input!G7</f>
        <v>Ngã tư Lê Ngưng-Cao tốc Trung Lương, phường Tân Tạo A, quận Bình Tân, thành phố Hồ Chí Minh.</v>
      </c>
      <c r="F7" s="229" t="str">
        <f>TRIM(SUBSTITUTE(SUBSTITUTE(Input!H7,"Thành phố ",""),"Tỉnh ",""))</f>
        <v>Hồ Chí Minh</v>
      </c>
      <c r="G7" s="797" t="str">
        <f>Input!I7</f>
        <v>106,579983</v>
      </c>
      <c r="H7" s="797" t="str">
        <f>Input!J7</f>
        <v>10,743939</v>
      </c>
      <c r="I7" s="229">
        <f>Input!V7</f>
        <v>2</v>
      </c>
      <c r="J7" s="229" t="str">
        <f>Input!K7</f>
        <v>1502376/16/TG/TT2</v>
      </c>
      <c r="K7" s="231" t="str">
        <f>TEXT(Input!L7,"dd/mm/yyyy")</f>
        <v>23/09/2016</v>
      </c>
      <c r="L7" s="231" t="str">
        <f>TEXT(Input!M7,"dd/mm/yyyy")</f>
        <v>12/09/2016</v>
      </c>
      <c r="M7" s="229" t="str">
        <f t="shared" si="135"/>
        <v>TỔNG CÔNG TY MẠNG LƯỚI VIETTEL;TỔNG CÔNG TY MẠNG LƯỚI VIETTEL</v>
      </c>
      <c r="N7" s="229" t="str">
        <f t="shared" si="136"/>
        <v>HCM4412;HCM785B</v>
      </c>
      <c r="O7" s="229" t="str">
        <f t="shared" si="137"/>
        <v>HUAWEI DBS3900;HUAWEI DBS3900</v>
      </c>
      <c r="P7" s="229" t="str">
        <f t="shared" si="138"/>
        <v>3;3</v>
      </c>
      <c r="Q7" s="229" t="str">
        <f t="shared" si="139"/>
        <v>2/2/2;2/2/2</v>
      </c>
      <c r="R7" s="229" t="str">
        <f t="shared" si="140"/>
        <v>40W/ 40W/ 40W;40W/ 40W/ 40W</v>
      </c>
      <c r="S7" s="229" t="str">
        <f t="shared" si="141"/>
        <v>900;2100</v>
      </c>
      <c r="T7" s="229" t="str">
        <f t="shared" si="142"/>
        <v>30m/ 30m/ 30m;34m/ 34m/ 34m</v>
      </c>
      <c r="U7" s="229">
        <v>1</v>
      </c>
      <c r="V7" s="229"/>
      <c r="W7" s="229" t="b">
        <f t="shared" si="143"/>
        <v>0</v>
      </c>
      <c r="X7" s="229" t="b">
        <f>INDEX(TrueFalseList,_xlfn.IFNA(MATCH(Input!W7,CoKhongList,0),MATCH(Input!W7,YesNoList,0)))</f>
        <v>0</v>
      </c>
      <c r="Y7" s="797">
        <f>Input!FZ7</f>
        <v>0</v>
      </c>
      <c r="Z7" s="229" t="b">
        <v>1</v>
      </c>
      <c r="AA7" s="797">
        <f t="shared" si="144"/>
        <v>30</v>
      </c>
      <c r="AB7" s="229" t="b">
        <v>0</v>
      </c>
      <c r="AC7" s="229" t="b">
        <v>1</v>
      </c>
      <c r="AD7" s="229">
        <f>Input!DR7</f>
        <v>0</v>
      </c>
      <c r="AE7" s="229"/>
      <c r="AF7" s="229" t="str">
        <f>Options!$D$6</f>
        <v>VCC2</v>
      </c>
      <c r="AG7" s="229">
        <f t="shared" si="145"/>
        <v>0</v>
      </c>
      <c r="AH7" s="230"/>
      <c r="AI7" s="553" t="str">
        <f>Input!E7</f>
        <v>TỔNG CÔNG TY MẠNG LƯỚI VIETTEL</v>
      </c>
      <c r="AJ7" s="553" t="str">
        <f>Input!F7</f>
        <v>TỔNG CÔNG TY MẠNG LƯỚI VIETTEL</v>
      </c>
      <c r="AK7" s="229">
        <f t="shared" si="146"/>
        <v>3</v>
      </c>
      <c r="AL7" s="465" t="str">
        <f t="shared" si="147"/>
        <v>thành phố Hồ Chí Minh.</v>
      </c>
      <c r="AM7" s="465" t="str">
        <f t="shared" si="148"/>
        <v>quận Bình Tân</v>
      </c>
      <c r="AN7" s="465" t="str">
        <f t="shared" si="149"/>
        <v>phường Tân Tạo A</v>
      </c>
      <c r="AO7" s="229" t="str">
        <f>INDEX(CityIDList,MATCH(F7,CityNameList,0))</f>
        <v>HCM</v>
      </c>
      <c r="AP7" s="230" t="str">
        <f>Input!X7</f>
        <v>TỔNG CÔNG TY MẠNG LƯỚI VIETTEL</v>
      </c>
      <c r="AQ7" s="230" t="str">
        <f>Input!AN7</f>
        <v>TỔNG CÔNG TY MẠNG LƯỚI VIETTEL</v>
      </c>
      <c r="AR7" s="230">
        <f>Input!BD7</f>
        <v>0</v>
      </c>
      <c r="AS7" s="230" t="str">
        <f>Input!BT7</f>
      </c>
      <c r="AT7" s="230" t="str">
        <f>Input!CH7</f>
      </c>
      <c r="AU7" s="230" t="str">
        <f>Input!CV7</f>
      </c>
      <c r="AV7" s="230" t="str">
        <f>IF(I7&gt;=1,INDEX(OperatorIDList,MATCH(AP7,OperatorNameList,0)),"")</f>
        <v>VIETTEL-2016</v>
      </c>
      <c r="AW7" s="230" t="str">
        <f>IF(I7&gt;=2,INDEX(OperatorIDList,MATCH(AQ7,OperatorNameList,0)),"")</f>
        <v>VIETTEL-2016</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VIETTEL-2016;VIETTEL-2016</v>
      </c>
      <c r="BC7" s="230" t="str">
        <f>Input!Y7</f>
        <v>HCM4412</v>
      </c>
      <c r="BD7" s="230" t="str">
        <f>Input!AO7</f>
        <v>HCM785B</v>
      </c>
      <c r="BE7" s="230">
        <f>Input!BE7</f>
        <v>0</v>
      </c>
      <c r="BF7" s="230" t="str">
        <f>Input!BU7</f>
      </c>
      <c r="BG7" s="230" t="str">
        <f>Input!CI7</f>
      </c>
      <c r="BH7" s="230" t="str">
        <f>Input!CW7</f>
      </c>
      <c r="BI7" s="230" t="str">
        <f>Input!Z7</f>
        <v>HUAWEI DBS3900</v>
      </c>
      <c r="BJ7" s="230" t="str">
        <f>Input!AP7</f>
        <v>HUAWEI DBS3900</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40,00W/40,00W/40,00W</v>
      </c>
      <c r="DL7" s="230" t="str">
        <f>Input!BA7</f>
        <v>40,00W/40,00W/40,00W</v>
      </c>
      <c r="DM7" s="230" t="str">
        <f>Input!BQ7</f>
      </c>
      <c r="DN7" s="230" t="str">
        <f>Input!CE7</f>
      </c>
      <c r="DO7" s="230" t="str">
        <f>Input!CS7</f>
      </c>
      <c r="DP7" s="230" t="str">
        <f>Input!DG7</f>
      </c>
      <c r="DQ7" s="230" t="str">
        <f t="shared" si="187"/>
        <v>40W/ 40W/ 40W</v>
      </c>
      <c r="DR7" s="230" t="str">
        <f t="shared" si="188"/>
        <v>40W/ 40W/ 40W</v>
      </c>
      <c r="DS7" s="230" t="str">
        <f t="shared" si="189"/>
      </c>
      <c r="DT7" s="230" t="str">
        <f t="shared" si="190"/>
      </c>
      <c r="DU7" s="230" t="str">
        <f t="shared" si="191"/>
      </c>
      <c r="DV7" s="230" t="str">
        <f t="shared" si="192"/>
      </c>
      <c r="DW7" s="230">
        <f t="shared" si="193"/>
        <v>40</v>
      </c>
      <c r="DX7" s="230">
        <f t="shared" si="194"/>
        <v>40</v>
      </c>
      <c r="DY7" s="230">
        <f t="shared" si="195"/>
        <v>40</v>
      </c>
      <c r="DZ7" s="230">
        <f t="shared" si="196"/>
        <v>0</v>
      </c>
      <c r="EA7" s="230">
        <f t="shared" si="197"/>
        <v>0</v>
      </c>
      <c r="EB7" s="230">
        <f t="shared" si="198"/>
        <v>0</v>
      </c>
      <c r="EC7" s="230">
        <f t="shared" si="199"/>
        <v>40</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40</v>
      </c>
      <c r="FN7" s="230" t="str">
        <f>Input!AL7</f>
        <v>900</v>
      </c>
      <c r="FO7" s="230" t="str">
        <f>Input!BB7</f>
        <v>2100</v>
      </c>
      <c r="FP7" s="230">
        <f>Input!BR7</f>
        <v>0</v>
      </c>
      <c r="FQ7" s="230" t="str">
        <f>Input!CF7</f>
      </c>
      <c r="FR7" s="230" t="str">
        <f>Input!CT7</f>
      </c>
      <c r="FS7" s="230" t="str">
        <f>Input!DH7</f>
      </c>
      <c r="FT7" s="230" t="str">
        <f>Input!AM7</f>
        <v>30m/ 30m/ 30m</v>
      </c>
      <c r="FU7" s="230" t="str">
        <f>Input!BC7</f>
        <v>34m/ 34m/ 34m</v>
      </c>
      <c r="FV7" s="230">
        <f>Input!BS7</f>
        <v>0</v>
      </c>
      <c r="FW7" s="230" t="str">
        <f>Input!CG7</f>
      </c>
      <c r="FX7" s="230" t="str">
        <f>Input!CU7</f>
      </c>
      <c r="FY7" s="230" t="str">
        <f>Input!DI7</f>
      </c>
      <c r="FZ7" s="230" t="str">
        <f t="shared" si="236"/>
        <v>30m/ 30m/ 30m</v>
      </c>
      <c r="GA7" s="230" t="str">
        <f t="shared" si="237"/>
        <v>34m/ 34m/ 34m</v>
      </c>
      <c r="GB7" s="230" t="str">
        <f t="shared" si="238"/>
      </c>
      <c r="GC7" s="230" t="str">
        <f t="shared" si="239"/>
      </c>
      <c r="GD7" s="230" t="str">
        <f t="shared" si="240"/>
      </c>
      <c r="GE7" s="230" t="str">
        <f t="shared" si="241"/>
      </c>
      <c r="GF7" s="230">
        <f t="shared" si="242"/>
        <v>30</v>
      </c>
      <c r="GG7" s="230">
        <f t="shared" si="243"/>
        <v>30</v>
      </c>
      <c r="GH7" s="230">
        <f t="shared" si="244"/>
        <v>30</v>
      </c>
      <c r="GI7" s="230">
        <f t="shared" si="245"/>
        <v>0</v>
      </c>
      <c r="GJ7" s="230">
        <f t="shared" si="246"/>
        <v>0</v>
      </c>
      <c r="GK7" s="230">
        <f t="shared" si="247"/>
        <v>0</v>
      </c>
      <c r="GL7" s="230">
        <f t="shared" si="248"/>
        <v>34</v>
      </c>
      <c r="GM7" s="230">
        <f t="shared" si="249"/>
        <v>34</v>
      </c>
      <c r="GN7" s="230">
        <f t="shared" si="250"/>
        <v>34</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30</v>
      </c>
      <c r="HR7" s="230">
        <f t="shared" si="279"/>
        <v>34</v>
      </c>
      <c r="HS7" s="230">
        <f t="shared" si="280"/>
        <v>0</v>
      </c>
      <c r="HT7" s="230">
        <f t="shared" si="281"/>
        <v>0</v>
      </c>
      <c r="HU7" s="230">
        <f t="shared" si="282"/>
        <v>0</v>
      </c>
      <c r="HV7" s="230">
        <f t="shared" si="283"/>
        <v>0</v>
      </c>
      <c r="HW7" s="797">
        <f t="shared" si="284"/>
        <v>30</v>
      </c>
      <c r="HX7" s="797">
        <f>Input!EB7</f>
        <v>0</v>
      </c>
      <c r="HY7" s="230">
        <v>68</v>
      </c>
      <c r="HZ7" s="230"/>
      <c r="IA7" s="230"/>
      <c r="IB7" s="230"/>
      <c r="IC7" s="232" t="str">
        <f t="shared" si="285"/>
        <v>B01958230916TG05</v>
      </c>
      <c r="ID7" s="233" t="str">
        <f>Input!O7</f>
        <v>01958</v>
      </c>
      <c r="IE7" s="467" t="str">
        <f t="shared" si="286"/>
        <v>230916</v>
      </c>
      <c r="IF7" s="232" t="s">
        <v>364</v>
      </c>
      <c r="IG7" s="467" t="str">
        <f t="shared" si="287"/>
        <v>23/09/2016</v>
      </c>
      <c r="IH7" s="467" t="str">
        <f t="shared" si="288"/>
        <v>23/09/2021</v>
      </c>
      <c r="II7" s="546" t="str">
        <f> Input!R7</f>
        <v>23/09/2016</v>
      </c>
      <c r="IJ7" s="467">
        <f t="shared" si="289"/>
        <v>44462</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7</v>
      </c>
      <c r="B8" s="229" t="str">
        <f>INDEX(ApplicantIDList,MATCH(AI8,ApplicantNameList,0))</f>
        <v>VIETTEL-2016</v>
      </c>
      <c r="C8" s="229" t="str">
        <f>INDEX(OperatorIDList,MATCH(AJ8,OperatorNameList,0))</f>
        <v>VIETTEL-2016</v>
      </c>
      <c r="D8" s="797" t="str">
        <f>Input!Y8</f>
        <v>HCM4416</v>
      </c>
      <c r="E8" s="229" t="str">
        <f>Input!G8</f>
        <v>Hẻm 150, đường Hồ Ngọc Lãm, phường An Lạc, quận Bình Tân, thành phố Hồ Chí Minh.</v>
      </c>
      <c r="F8" s="229" t="str">
        <f>TRIM(SUBSTITUTE(SUBSTITUTE(Input!H8,"Thành phố ",""),"Tỉnh ",""))</f>
        <v>Hồ Chí Minh</v>
      </c>
      <c r="G8" s="797" t="str">
        <f>Input!I8</f>
        <v>106,6065</v>
      </c>
      <c r="H8" s="797" t="str">
        <f>Input!J8</f>
        <v>10,7147</v>
      </c>
      <c r="I8" s="229">
        <f>Input!V8</f>
        <v>2</v>
      </c>
      <c r="J8" s="229" t="str">
        <f>Input!K8</f>
        <v>1502377/16/TG/TT2</v>
      </c>
      <c r="K8" s="231" t="str">
        <f>TEXT(Input!L8,"dd/mm/yyyy")</f>
        <v>23/09/2016</v>
      </c>
      <c r="L8" s="231" t="str">
        <f>TEXT(Input!M8,"dd/mm/yyyy")</f>
        <v>12/09/2016</v>
      </c>
      <c r="M8" s="229" t="str">
        <f t="shared" si="135"/>
        <v>TỔNG CÔNG TY MẠNG LƯỚI VIETTEL;TỔNG CÔNG TY MẠNG LƯỚI VIETTEL</v>
      </c>
      <c r="N8" s="229" t="str">
        <f t="shared" si="136"/>
        <v>HCM4416;HCM2209</v>
      </c>
      <c r="O8" s="229" t="str">
        <f t="shared" si="137"/>
        <v>HUAWEI DBS3900;HUAWEI DBS3900</v>
      </c>
      <c r="P8" s="229" t="str">
        <f t="shared" si="138"/>
        <v>3;3</v>
      </c>
      <c r="Q8" s="229" t="str">
        <f t="shared" si="139"/>
        <v>2/2/2;2/2/2</v>
      </c>
      <c r="R8" s="229" t="str">
        <f t="shared" si="140"/>
        <v>40W/ 40W/ 40W;40W/ 40W/ 40W</v>
      </c>
      <c r="S8" s="229" t="str">
        <f t="shared" si="141"/>
        <v>1800;2100</v>
      </c>
      <c r="T8" s="229" t="str">
        <f t="shared" si="142"/>
        <v>20m/ 20m/ 20m;20m/ 20m/ 20m</v>
      </c>
      <c r="U8" s="229">
        <v>1</v>
      </c>
      <c r="V8" s="229"/>
      <c r="W8" s="229" t="b">
        <f t="shared" si="143"/>
        <v>0</v>
      </c>
      <c r="X8" s="229" t="b">
        <f>INDEX(TrueFalseList,_xlfn.IFNA(MATCH(Input!W8,CoKhongList,0),MATCH(Input!W8,YesNoList,0)))</f>
        <v>0</v>
      </c>
      <c r="Y8" s="797">
        <f>Input!FZ8</f>
        <v>0</v>
      </c>
      <c r="Z8" s="229" t="b">
        <v>1</v>
      </c>
      <c r="AA8" s="797">
        <f t="shared" si="144"/>
        <v>20</v>
      </c>
      <c r="AB8" s="229" t="b">
        <v>0</v>
      </c>
      <c r="AC8" s="229" t="b">
        <v>1</v>
      </c>
      <c r="AD8" s="229">
        <f>Input!DR8</f>
        <v>0</v>
      </c>
      <c r="AE8" s="229"/>
      <c r="AF8" s="229" t="str">
        <f>Options!$D$6</f>
        <v>VCC2</v>
      </c>
      <c r="AG8" s="229">
        <f t="shared" si="145"/>
        <v>0</v>
      </c>
      <c r="AH8" s="230"/>
      <c r="AI8" s="553" t="str">
        <f>Input!E8</f>
        <v>TỔNG CÔNG TY MẠNG LƯỚI VIETTEL</v>
      </c>
      <c r="AJ8" s="553" t="str">
        <f>Input!F8</f>
        <v>TỔNG CÔNG TY MẠNG LƯỚI VIETTEL</v>
      </c>
      <c r="AK8" s="229">
        <f t="shared" si="146"/>
        <v>4</v>
      </c>
      <c r="AL8" s="465" t="str">
        <f t="shared" si="147"/>
        <v>thành phố Hồ Chí Minh.</v>
      </c>
      <c r="AM8" s="465" t="str">
        <f t="shared" si="148"/>
        <v>quận Bình Tân</v>
      </c>
      <c r="AN8" s="465" t="str">
        <f t="shared" si="149"/>
        <v>phường An Lạc</v>
      </c>
      <c r="AO8" s="229" t="str">
        <f>INDEX(CityIDList,MATCH(F8,CityNameList,0))</f>
        <v>HCM</v>
      </c>
      <c r="AP8" s="230" t="str">
        <f>Input!X8</f>
        <v>TỔNG CÔNG TY MẠNG LƯỚI VIETTEL</v>
      </c>
      <c r="AQ8" s="230" t="str">
        <f>Input!AN8</f>
        <v>TỔNG CÔNG TY MẠNG LƯỚI VIETTEL</v>
      </c>
      <c r="AR8" s="230">
        <f>Input!BD8</f>
        <v>0</v>
      </c>
      <c r="AS8" s="230" t="str">
        <f>Input!BT8</f>
      </c>
      <c r="AT8" s="230" t="str">
        <f>Input!CH8</f>
      </c>
      <c r="AU8" s="230" t="str">
        <f>Input!CV8</f>
      </c>
      <c r="AV8" s="230" t="str">
        <f>IF(I8&gt;=1,INDEX(OperatorIDList,MATCH(AP8,OperatorNameList,0)),"")</f>
        <v>VIETTEL-2016</v>
      </c>
      <c r="AW8" s="230" t="str">
        <f>IF(I8&gt;=2,INDEX(OperatorIDList,MATCH(AQ8,OperatorNameList,0)),"")</f>
        <v>VIETTEL-2016</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VIETTEL-2016;VIETTEL-2016</v>
      </c>
      <c r="BC8" s="230" t="str">
        <f>Input!Y8</f>
        <v>HCM4416</v>
      </c>
      <c r="BD8" s="230" t="str">
        <f>Input!AO8</f>
        <v>HCM2209</v>
      </c>
      <c r="BE8" s="230">
        <f>Input!BE8</f>
        <v>0</v>
      </c>
      <c r="BF8" s="230" t="str">
        <f>Input!BU8</f>
      </c>
      <c r="BG8" s="230" t="str">
        <f>Input!CI8</f>
      </c>
      <c r="BH8" s="230" t="str">
        <f>Input!CW8</f>
      </c>
      <c r="BI8" s="230" t="str">
        <f>Input!Z8</f>
        <v>HUAWEI DBS3900</v>
      </c>
      <c r="BJ8" s="230" t="str">
        <f>Input!AP8</f>
        <v>HUAWEI DBS3900</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40,00W/40,00W/40,00W</v>
      </c>
      <c r="DL8" s="230" t="str">
        <f>Input!BA8</f>
        <v>40,00W/40,00W/40,00W</v>
      </c>
      <c r="DM8" s="230" t="str">
        <f>Input!BQ8</f>
      </c>
      <c r="DN8" s="230" t="str">
        <f>Input!CE8</f>
      </c>
      <c r="DO8" s="230" t="str">
        <f>Input!CS8</f>
      </c>
      <c r="DP8" s="230" t="str">
        <f>Input!DG8</f>
      </c>
      <c r="DQ8" s="230" t="str">
        <f t="shared" si="187"/>
        <v>40W/ 40W/ 40W</v>
      </c>
      <c r="DR8" s="230" t="str">
        <f t="shared" si="188"/>
        <v>40W/ 40W/ 40W</v>
      </c>
      <c r="DS8" s="230" t="str">
        <f t="shared" si="189"/>
      </c>
      <c r="DT8" s="230" t="str">
        <f t="shared" si="190"/>
      </c>
      <c r="DU8" s="230" t="str">
        <f t="shared" si="191"/>
      </c>
      <c r="DV8" s="230" t="str">
        <f t="shared" si="192"/>
      </c>
      <c r="DW8" s="230">
        <f t="shared" si="193"/>
        <v>40</v>
      </c>
      <c r="DX8" s="230">
        <f t="shared" si="194"/>
        <v>40</v>
      </c>
      <c r="DY8" s="230">
        <f t="shared" si="195"/>
        <v>40</v>
      </c>
      <c r="DZ8" s="230">
        <f t="shared" si="196"/>
        <v>0</v>
      </c>
      <c r="EA8" s="230">
        <f t="shared" si="197"/>
        <v>0</v>
      </c>
      <c r="EB8" s="230">
        <f t="shared" si="198"/>
        <v>0</v>
      </c>
      <c r="EC8" s="230">
        <f t="shared" si="199"/>
        <v>40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1800</v>
      </c>
      <c r="FO8" s="230" t="str">
        <f>Input!BB8</f>
        <v>2100</v>
      </c>
      <c r="FP8" s="230">
        <f>Input!BR8</f>
        <v>0</v>
      </c>
      <c r="FQ8" s="230" t="str">
        <f>Input!CF8</f>
      </c>
      <c r="FR8" s="230" t="str">
        <f>Input!CT8</f>
      </c>
      <c r="FS8" s="230" t="str">
        <f>Input!DH8</f>
      </c>
      <c r="FT8" s="230" t="str">
        <f>Input!AM8</f>
        <v>20m/ 20m/ 20m</v>
      </c>
      <c r="FU8" s="230" t="str">
        <f>Input!BC8</f>
        <v>20m/ 20m/ 20m</v>
      </c>
      <c r="FV8" s="230">
        <f>Input!BS8</f>
        <v>0</v>
      </c>
      <c r="FW8" s="230" t="str">
        <f>Input!CG8</f>
      </c>
      <c r="FX8" s="230" t="str">
        <f>Input!CU8</f>
      </c>
      <c r="FY8" s="230" t="str">
        <f>Input!DI8</f>
      </c>
      <c r="FZ8" s="230" t="str">
        <f t="shared" si="236"/>
        <v>20m/ 20m/ 20m</v>
      </c>
      <c r="GA8" s="230" t="str">
        <f t="shared" si="237"/>
        <v>20m/ 20m/ 20m</v>
      </c>
      <c r="GB8" s="230" t="str">
        <f t="shared" si="238"/>
      </c>
      <c r="GC8" s="230" t="str">
        <f t="shared" si="239"/>
      </c>
      <c r="GD8" s="230" t="str">
        <f t="shared" si="240"/>
      </c>
      <c r="GE8" s="230" t="str">
        <f t="shared" si="241"/>
      </c>
      <c r="GF8" s="230">
        <f t="shared" si="242"/>
        <v>20</v>
      </c>
      <c r="GG8" s="230">
        <f t="shared" si="243"/>
        <v>20</v>
      </c>
      <c r="GH8" s="230">
        <f t="shared" si="244"/>
        <v>20</v>
      </c>
      <c r="GI8" s="230">
        <f t="shared" si="245"/>
        <v>0</v>
      </c>
      <c r="GJ8" s="230">
        <f t="shared" si="246"/>
        <v>0</v>
      </c>
      <c r="GK8" s="230">
        <f t="shared" si="247"/>
        <v>0</v>
      </c>
      <c r="GL8" s="230">
        <f t="shared" si="248"/>
        <v>20</v>
      </c>
      <c r="GM8" s="230">
        <f t="shared" si="249"/>
        <v>20</v>
      </c>
      <c r="GN8" s="230">
        <f t="shared" si="250"/>
        <v>20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20</v>
      </c>
      <c r="HR8" s="230">
        <f t="shared" si="279"/>
        <v>20</v>
      </c>
      <c r="HS8" s="230">
        <f t="shared" si="280"/>
        <v>0</v>
      </c>
      <c r="HT8" s="230">
        <f t="shared" si="281"/>
        <v>0</v>
      </c>
      <c r="HU8" s="230">
        <f t="shared" si="282"/>
        <v>0</v>
      </c>
      <c r="HV8" s="230">
        <f t="shared" si="283"/>
        <v>0</v>
      </c>
      <c r="HW8" s="797">
        <f t="shared" si="284"/>
        <v>20</v>
      </c>
      <c r="HX8" s="797">
        <f>Input!EB8</f>
        <v>0</v>
      </c>
      <c r="HY8" s="230">
        <v>68</v>
      </c>
      <c r="HZ8" s="230"/>
      <c r="IA8" s="230"/>
      <c r="IB8" s="230"/>
      <c r="IC8" s="232" t="str">
        <f t="shared" si="285"/>
        <v>B01959230916TG05</v>
      </c>
      <c r="ID8" s="233" t="str">
        <f>Input!O8</f>
        <v>01959</v>
      </c>
      <c r="IE8" s="467" t="str">
        <f t="shared" si="286"/>
        <v>230916</v>
      </c>
      <c r="IF8" s="232" t="s">
        <v>364</v>
      </c>
      <c r="IG8" s="467" t="str">
        <f t="shared" si="287"/>
        <v>23/09/2016</v>
      </c>
      <c r="IH8" s="467" t="str">
        <f t="shared" si="288"/>
        <v>23/09/2021</v>
      </c>
      <c r="II8" s="546" t="str">
        <f> Input!R8</f>
        <v>23/09/2016</v>
      </c>
      <c r="IJ8" s="467">
        <f t="shared" si="289"/>
        <v>44462</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8</v>
      </c>
      <c r="B9" s="229" t="str">
        <f>INDEX(ApplicantIDList,MATCH(AI9,ApplicantNameList,0))</f>
        <v>VIETTEL-2016</v>
      </c>
      <c r="C9" s="229" t="str">
        <f>INDEX(OperatorIDList,MATCH(AJ9,OperatorNameList,0))</f>
        <v>VIETTEL-2016</v>
      </c>
      <c r="D9" s="797" t="str">
        <f>Input!Y9</f>
        <v>HCM2110</v>
      </c>
      <c r="E9" s="229" t="str">
        <f>Input!G9</f>
        <v>Ấp 4, xã Vĩnh Lộc B, huyện Bình Chánh, thành phố Hồ Chí Minh.</v>
      </c>
      <c r="F9" s="229" t="str">
        <f>TRIM(SUBSTITUTE(SUBSTITUTE(Input!H9,"Thành phố ",""),"Tỉnh ",""))</f>
        <v>Hồ Chí Minh</v>
      </c>
      <c r="G9" s="797" t="str">
        <f>Input!I9</f>
        <v>106,584945</v>
      </c>
      <c r="H9" s="797" t="str">
        <f>Input!J9</f>
        <v>10,777918</v>
      </c>
      <c r="I9" s="229">
        <f>Input!V9</f>
        <v>1</v>
      </c>
      <c r="J9" s="229" t="str">
        <f>Input!K9</f>
        <v>1502378/16/TG/TT2</v>
      </c>
      <c r="K9" s="231" t="str">
        <f>TEXT(Input!L9,"dd/mm/yyyy")</f>
        <v>23/09/2016</v>
      </c>
      <c r="L9" s="231" t="str">
        <f>TEXT(Input!M9,"dd/mm/yyyy")</f>
        <v>12/09/2016</v>
      </c>
      <c r="M9" s="229" t="str">
        <f t="shared" si="135"/>
        <v>TỔNG CÔNG TY MẠNG LƯỚI VIETTEL</v>
      </c>
      <c r="N9" s="229" t="str">
        <f t="shared" si="136"/>
        <v>HCM2110</v>
      </c>
      <c r="O9" s="229" t="str">
        <f t="shared" si="137"/>
        <v>HUAWEI DBS3900</v>
      </c>
      <c r="P9" s="229" t="str">
        <f t="shared" si="138"/>
        <v>3</v>
      </c>
      <c r="Q9" s="229" t="str">
        <f t="shared" si="139"/>
        <v>2/2/2</v>
      </c>
      <c r="R9" s="229" t="str">
        <f t="shared" si="140"/>
        <v>40W/ 40W/ 40W</v>
      </c>
      <c r="S9" s="229" t="str">
        <f t="shared" si="141"/>
        <v>2100</v>
      </c>
      <c r="T9" s="229" t="str">
        <f t="shared" si="142"/>
        <v>27m/ 27m/ 27m</v>
      </c>
      <c r="U9" s="229">
        <v>1</v>
      </c>
      <c r="V9" s="229"/>
      <c r="W9" s="229" t="b">
        <f t="shared" si="143"/>
        <v>0</v>
      </c>
      <c r="X9" s="229" t="b">
        <f>INDEX(TrueFalseList,_xlfn.IFNA(MATCH(Input!W9,CoKhongList,0),MATCH(Input!W9,YesNoList,0)))</f>
        <v>0</v>
      </c>
      <c r="Y9" s="797">
        <f>Input!FZ9</f>
        <v>0</v>
      </c>
      <c r="Z9" s="229" t="b">
        <v>1</v>
      </c>
      <c r="AA9" s="797">
        <f t="shared" si="144"/>
        <v>27</v>
      </c>
      <c r="AB9" s="229" t="b">
        <v>0</v>
      </c>
      <c r="AC9" s="229" t="b">
        <v>1</v>
      </c>
      <c r="AD9" s="229">
        <f>Input!DR9</f>
        <v>0</v>
      </c>
      <c r="AE9" s="229"/>
      <c r="AF9" s="229" t="str">
        <f>Options!$D$6</f>
        <v>VCC2</v>
      </c>
      <c r="AG9" s="229">
        <f t="shared" si="145"/>
        <v>0</v>
      </c>
      <c r="AH9" s="230"/>
      <c r="AI9" s="553" t="str">
        <f>Input!E9</f>
        <v>TỔNG CÔNG TY MẠNG LƯỚI VIETTEL</v>
      </c>
      <c r="AJ9" s="553" t="str">
        <f>Input!F9</f>
        <v>TỔNG CÔNG TY MẠNG LƯỚI VIETTEL</v>
      </c>
      <c r="AK9" s="229">
        <f t="shared" si="146"/>
        <v>3</v>
      </c>
      <c r="AL9" s="465" t="str">
        <f t="shared" si="147"/>
        <v>thành phố Hồ Chí Minh.</v>
      </c>
      <c r="AM9" s="465" t="str">
        <f t="shared" si="148"/>
        <v>huyện Bình Chánh</v>
      </c>
      <c r="AN9" s="465" t="str">
        <f t="shared" si="149"/>
        <v>xã Vĩnh Lộc B</v>
      </c>
      <c r="AO9" s="229" t="str">
        <f>INDEX(CityIDList,MATCH(F9,CityNameList,0))</f>
        <v>HCM</v>
      </c>
      <c r="AP9" s="230" t="str">
        <f>Input!X9</f>
        <v>TỔNG CÔNG TY MẠNG LƯỚI VIETTEL</v>
      </c>
      <c r="AQ9" s="230">
        <f>Input!AN9</f>
        <v>0</v>
      </c>
      <c r="AR9" s="230">
        <f>Input!BD9</f>
        <v>0</v>
      </c>
      <c r="AS9" s="230" t="str">
        <f>Input!BT9</f>
      </c>
      <c r="AT9" s="230" t="str">
        <f>Input!CH9</f>
      </c>
      <c r="AU9" s="230" t="str">
        <f>Input!CV9</f>
      </c>
      <c r="AV9" s="230" t="str">
        <f>IF(I9&gt;=1,INDEX(OperatorIDList,MATCH(AP9,OperatorNameList,0)),"")</f>
        <v>VIETTEL-2016</v>
      </c>
      <c r="AW9" s="230" t="str">
        <f>IF(I9&gt;=2,INDEX(OperatorIDList,MATCH(AQ9,OperatorNameList,0)),"")</f>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VIETTEL-2016</v>
      </c>
      <c r="BC9" s="230" t="str">
        <f>Input!Y9</f>
        <v>HCM2110</v>
      </c>
      <c r="BD9" s="230">
        <f>Input!AO9</f>
        <v>0</v>
      </c>
      <c r="BE9" s="230">
        <f>Input!BE9</f>
        <v>0</v>
      </c>
      <c r="BF9" s="230" t="str">
        <f>Input!BU9</f>
      </c>
      <c r="BG9" s="230" t="str">
        <f>Input!CI9</f>
      </c>
      <c r="BH9" s="230" t="str">
        <f>Input!CW9</f>
      </c>
      <c r="BI9" s="230" t="str">
        <f>Input!Z9</f>
        <v>HUAWEI DBS3900</v>
      </c>
      <c r="BJ9" s="230">
        <f>Input!AP9</f>
        <v>0</v>
      </c>
      <c r="BK9" s="230">
        <f>Input!BF9</f>
        <v>0</v>
      </c>
      <c r="BL9" s="230" t="str">
        <f>Input!BV9</f>
      </c>
      <c r="BM9" s="230" t="str">
        <f>Input!CJ9</f>
      </c>
      <c r="BN9" s="230" t="str">
        <f>Input!CX9</f>
      </c>
      <c r="BO9" s="553">
        <f>IF(ISNUMBER(Input!AA9),Input!AA9,0)</f>
        <v>3</v>
      </c>
      <c r="BP9" s="553">
        <f>IF(ISNUMBER(Input!AQ9),Input!AQ9,0)</f>
        <v>0</v>
      </c>
      <c r="BQ9" s="553">
        <f>IF(ISNUMBER(Input!BG9),Input!BG9,0)</f>
        <v>0</v>
      </c>
      <c r="BR9" s="553">
        <f>IF(ISNUMBER(Input!BW9),Input!BW9,0)</f>
        <v>0</v>
      </c>
      <c r="BS9" s="553">
        <f>IF(ISNUMBER(Input!CK9),Input!CK9,0)</f>
        <v>0</v>
      </c>
      <c r="BT9" s="554">
        <f>IF(ISNUMBER(Input!CY9),Input!CY9,0)</f>
        <v>0</v>
      </c>
      <c r="BU9" s="230" t="str">
        <f>Input!AF9</f>
        <v>2/2/2</v>
      </c>
      <c r="BV9" s="230" t="str">
        <f>Input!AV9</f>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0</v>
      </c>
      <c r="CH9" s="230">
        <f t="shared" si="158"/>
        <v>0</v>
      </c>
      <c r="CI9" s="230">
        <f t="shared" si="159"/>
        <v>0</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40,00W/40,00W/40,00W</v>
      </c>
      <c r="DL9" s="230" t="str">
        <f>Input!BA9</f>
      </c>
      <c r="DM9" s="230" t="str">
        <f>Input!BQ9</f>
      </c>
      <c r="DN9" s="230" t="str">
        <f>Input!CE9</f>
      </c>
      <c r="DO9" s="230" t="str">
        <f>Input!CS9</f>
      </c>
      <c r="DP9" s="230" t="str">
        <f>Input!DG9</f>
      </c>
      <c r="DQ9" s="230" t="str">
        <f t="shared" si="187"/>
        <v>40W/ 40W/ 40W</v>
      </c>
      <c r="DR9" s="230" t="str">
        <f t="shared" si="188"/>
      </c>
      <c r="DS9" s="230" t="str">
        <f t="shared" si="189"/>
      </c>
      <c r="DT9" s="230" t="str">
        <f t="shared" si="190"/>
      </c>
      <c r="DU9" s="230" t="str">
        <f t="shared" si="191"/>
      </c>
      <c r="DV9" s="230" t="str">
        <f t="shared" si="192"/>
      </c>
      <c r="DW9" s="230">
        <f t="shared" si="193"/>
        <v>40</v>
      </c>
      <c r="DX9" s="230">
        <f t="shared" si="194"/>
        <v>40</v>
      </c>
      <c r="DY9" s="230">
        <f t="shared" si="195"/>
        <v>40</v>
      </c>
      <c r="DZ9" s="230">
        <f t="shared" si="196"/>
        <v>0</v>
      </c>
      <c r="EA9" s="230">
        <f t="shared" si="197"/>
        <v>0</v>
      </c>
      <c r="EB9" s="230">
        <f t="shared" si="198"/>
        <v>0</v>
      </c>
      <c r="EC9" s="230">
        <f t="shared" si="199"/>
        <v>40</v>
      </c>
      <c r="ED9" s="230">
        <f t="shared" si="200"/>
        <v>0</v>
      </c>
      <c r="EE9" s="230">
        <f t="shared" si="201"/>
        <v>0</v>
      </c>
      <c r="EF9" s="230">
        <f t="shared" si="202"/>
        <v>0</v>
      </c>
      <c r="EG9" s="230">
        <f t="shared" si="203"/>
        <v>0</v>
      </c>
      <c r="EH9" s="230">
        <f t="shared" si="204"/>
        <v>0</v>
      </c>
      <c r="EI9" s="230">
        <f t="shared" si="205"/>
        <v>0</v>
      </c>
      <c r="EJ9" s="230">
        <f t="shared" si="206"/>
        <v>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f>Input!AL9</f>
        <v>2100</v>
      </c>
      <c r="FO9" s="230">
        <f>Input!BB9</f>
        <v>0</v>
      </c>
      <c r="FP9" s="230">
        <f>Input!BR9</f>
        <v>0</v>
      </c>
      <c r="FQ9" s="230" t="str">
        <f>Input!CF9</f>
      </c>
      <c r="FR9" s="230" t="str">
        <f>Input!CT9</f>
      </c>
      <c r="FS9" s="230" t="str">
        <f>Input!DH9</f>
      </c>
      <c r="FT9" s="230" t="str">
        <f>Input!AM9</f>
        <v>27m/ 27m/ 27m</v>
      </c>
      <c r="FU9" s="230">
        <f>Input!BC9</f>
        <v>0</v>
      </c>
      <c r="FV9" s="230">
        <f>Input!BS9</f>
        <v>0</v>
      </c>
      <c r="FW9" s="230" t="str">
        <f>Input!CG9</f>
      </c>
      <c r="FX9" s="230" t="str">
        <f>Input!CU9</f>
      </c>
      <c r="FY9" s="230" t="str">
        <f>Input!DI9</f>
      </c>
      <c r="FZ9" s="230" t="str">
        <f t="shared" si="236"/>
        <v>27m/ 27m/ 27m</v>
      </c>
      <c r="GA9" s="230" t="str">
        <f t="shared" si="237"/>
      </c>
      <c r="GB9" s="230" t="str">
        <f t="shared" si="238"/>
      </c>
      <c r="GC9" s="230" t="str">
        <f t="shared" si="239"/>
      </c>
      <c r="GD9" s="230" t="str">
        <f t="shared" si="240"/>
      </c>
      <c r="GE9" s="230" t="str">
        <f t="shared" si="241"/>
      </c>
      <c r="GF9" s="230">
        <f t="shared" si="242"/>
        <v>27</v>
      </c>
      <c r="GG9" s="230">
        <f t="shared" si="243"/>
        <v>27</v>
      </c>
      <c r="GH9" s="230">
        <f t="shared" si="244"/>
        <v>27</v>
      </c>
      <c r="GI9" s="230">
        <f t="shared" si="245"/>
        <v>0</v>
      </c>
      <c r="GJ9" s="230">
        <f t="shared" si="246"/>
        <v>0</v>
      </c>
      <c r="GK9" s="230">
        <f t="shared" si="247"/>
        <v>0</v>
      </c>
      <c r="GL9" s="230">
        <f t="shared" si="248"/>
        <v>0</v>
      </c>
      <c r="GM9" s="230">
        <f t="shared" si="249"/>
        <v>0</v>
      </c>
      <c r="GN9" s="230">
        <f t="shared" si="250"/>
        <v>0</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27</v>
      </c>
      <c r="HR9" s="230">
        <f t="shared" si="279"/>
        <v>0</v>
      </c>
      <c r="HS9" s="230">
        <f t="shared" si="280"/>
        <v>0</v>
      </c>
      <c r="HT9" s="230">
        <f t="shared" si="281"/>
        <v>0</v>
      </c>
      <c r="HU9" s="230">
        <f t="shared" si="282"/>
        <v>0</v>
      </c>
      <c r="HV9" s="230">
        <f t="shared" si="283"/>
        <v>0</v>
      </c>
      <c r="HW9" s="797">
        <f t="shared" si="284"/>
        <v>27</v>
      </c>
      <c r="HX9" s="797">
        <f>Input!EB9</f>
        <v>0</v>
      </c>
      <c r="HY9" s="230">
        <v>68</v>
      </c>
      <c r="HZ9" s="230"/>
      <c r="IA9" s="230"/>
      <c r="IB9" s="230"/>
      <c r="IC9" s="232" t="str">
        <f t="shared" si="285"/>
        <v>B01960230916TG05</v>
      </c>
      <c r="ID9" s="233" t="str">
        <f>Input!O9</f>
        <v>01960</v>
      </c>
      <c r="IE9" s="467" t="str">
        <f t="shared" si="286"/>
        <v>230916</v>
      </c>
      <c r="IF9" s="232" t="s">
        <v>364</v>
      </c>
      <c r="IG9" s="467" t="str">
        <f t="shared" si="287"/>
        <v>23/09/2016</v>
      </c>
      <c r="IH9" s="467" t="str">
        <f t="shared" si="288"/>
        <v>23/09/2021</v>
      </c>
      <c r="II9" s="546" t="str">
        <f> Input!R9</f>
        <v>23/09/2016</v>
      </c>
      <c r="IJ9" s="467">
        <f t="shared" si="289"/>
        <v>44462</v>
      </c>
      <c r="IK9" s="468">
        <f t="shared" si="290"/>
        <v>3</v>
      </c>
      <c r="IL9" s="469" t="str">
        <f t="shared" si="291"/>
        <v>3-1</v>
      </c>
      <c r="IM9" s="469" t="str">
        <f t="shared" si="292"/>
        <v>KHAC</v>
      </c>
      <c r="IN9" s="469" t="str">
        <f t="shared" si="293"/>
        <v>KHAC</v>
      </c>
      <c r="IO9" s="469" t="str">
        <f t="shared" si="294"/>
      </c>
      <c r="IP9" s="469" t="str">
        <f t="shared" si="295"/>
      </c>
      <c r="IQ9" s="469" t="str">
        <f t="shared" si="296"/>
      </c>
      <c r="IR9" s="469">
        <f t="shared" si="297"/>
        <v>1</v>
      </c>
      <c r="IS9" s="469">
        <f t="shared" si="298"/>
        <v>2</v>
      </c>
      <c r="IT9" s="469" t="str">
        <f t="shared" si="299"/>
        <v>Yes</v>
      </c>
      <c r="IU9" s="469" t="str">
        <f t="shared" si="300"/>
        <v>Yes</v>
      </c>
    </row>
    <row r="10" ht="63.75">
      <c r="A10" s="601">
        <f>Input!A10</f>
        <v>9</v>
      </c>
      <c r="B10" s="229" t="str">
        <f>INDEX(ApplicantIDList,MATCH(AI10,ApplicantNameList,0))</f>
        <v>VIETTEL-2016</v>
      </c>
      <c r="C10" s="229" t="str">
        <f>INDEX(OperatorIDList,MATCH(AJ10,OperatorNameList,0))</f>
        <v>VIETTEL-2016</v>
      </c>
      <c r="D10" s="797" t="str">
        <f>Input!Y10</f>
        <v>HCM2212</v>
      </c>
      <c r="E10" s="229" t="str">
        <f>Input!G10</f>
        <v>Số D10/13, ấp 4, xã Vĩnh Lộc A, huyện Bình Chánh, thành phố Hồ Chí Minh.</v>
      </c>
      <c r="F10" s="229" t="str">
        <f>TRIM(SUBSTITUTE(SUBSTITUTE(Input!H10,"Thành phố ",""),"Tỉnh ",""))</f>
        <v>Hồ Chí Minh</v>
      </c>
      <c r="G10" s="797" t="str">
        <f>Input!I10</f>
        <v>106,56638</v>
      </c>
      <c r="H10" s="797" t="str">
        <f>Input!J10</f>
        <v>10,83246</v>
      </c>
      <c r="I10" s="229">
        <f>Input!V10</f>
        <v>1</v>
      </c>
      <c r="J10" s="229" t="str">
        <f>Input!K10</f>
        <v>1502379/16/TG/TT2</v>
      </c>
      <c r="K10" s="231" t="str">
        <f>TEXT(Input!L10,"dd/mm/yyyy")</f>
        <v>23/09/2016</v>
      </c>
      <c r="L10" s="231" t="str">
        <f>TEXT(Input!M10,"dd/mm/yyyy")</f>
        <v>12/09/2016</v>
      </c>
      <c r="M10" s="229" t="str">
        <f t="shared" si="135"/>
        <v>TỔNG CÔNG TY MẠNG LƯỚI VIETTEL</v>
      </c>
      <c r="N10" s="229" t="str">
        <f t="shared" si="136"/>
        <v>HCM2212</v>
      </c>
      <c r="O10" s="229" t="str">
        <f t="shared" si="137"/>
        <v>HUAWEI DBS3900</v>
      </c>
      <c r="P10" s="229" t="str">
        <f t="shared" si="138"/>
        <v>3</v>
      </c>
      <c r="Q10" s="229" t="str">
        <f t="shared" si="139"/>
        <v>2/2/2</v>
      </c>
      <c r="R10" s="229" t="str">
        <f t="shared" si="140"/>
        <v>40W/ 40W/ 40W</v>
      </c>
      <c r="S10" s="229" t="str">
        <f t="shared" si="141"/>
        <v>2100</v>
      </c>
      <c r="T10" s="229" t="str">
        <f t="shared" si="142"/>
        <v>34m/ 34m/ 34m</v>
      </c>
      <c r="U10" s="229">
        <v>1</v>
      </c>
      <c r="V10" s="229"/>
      <c r="W10" s="229" t="b">
        <f t="shared" si="143"/>
        <v>1</v>
      </c>
      <c r="X10" s="229" t="b">
        <f>INDEX(TrueFalseList,_xlfn.IFNA(MATCH(Input!W10,CoKhongList,0),MATCH(Input!W10,YesNoList,0)))</f>
        <v>1</v>
      </c>
      <c r="Y10" s="797">
        <f>Input!FZ10</f>
        <v>1</v>
      </c>
      <c r="Z10" s="229" t="b">
        <v>1</v>
      </c>
      <c r="AA10" s="797">
        <f t="shared" si="144"/>
        <v>34</v>
      </c>
      <c r="AB10" s="229" t="b">
        <v>0</v>
      </c>
      <c r="AC10" s="229" t="b">
        <v>1</v>
      </c>
      <c r="AD10" s="229">
        <f>Input!DR10</f>
        <v>0</v>
      </c>
      <c r="AE10" s="229"/>
      <c r="AF10" s="229" t="str">
        <f>Options!$D$6</f>
        <v>VCC2</v>
      </c>
      <c r="AG10" s="229">
        <f t="shared" si="145"/>
        <v>0</v>
      </c>
      <c r="AH10" s="230"/>
      <c r="AI10" s="553" t="str">
        <f>Input!E10</f>
        <v>TỔNG CÔNG TY MẠNG LƯỚI VIETTEL</v>
      </c>
      <c r="AJ10" s="553" t="str">
        <f>Input!F10</f>
        <v>TỔNG CÔNG TY MẠNG LƯỚI VIETTEL</v>
      </c>
      <c r="AK10" s="229">
        <f t="shared" si="146"/>
        <v>4</v>
      </c>
      <c r="AL10" s="465" t="str">
        <f t="shared" si="147"/>
        <v>thành phố Hồ Chí Minh.</v>
      </c>
      <c r="AM10" s="465" t="str">
        <f t="shared" si="148"/>
        <v>huyện Bình Chánh</v>
      </c>
      <c r="AN10" s="465" t="str">
        <f t="shared" si="149"/>
        <v>xã Vĩnh Lộc A</v>
      </c>
      <c r="AO10" s="229" t="str">
        <f>INDEX(CityIDList,MATCH(F10,CityNameList,0))</f>
        <v>HCM</v>
      </c>
      <c r="AP10" s="230" t="str">
        <f>Input!X10</f>
        <v>TỔNG CÔNG TY MẠNG LƯỚI VIETTEL</v>
      </c>
      <c r="AQ10" s="230">
        <f>Input!AN10</f>
        <v>0</v>
      </c>
      <c r="AR10" s="230">
        <f>Input!BD10</f>
        <v>0</v>
      </c>
      <c r="AS10" s="230" t="str">
        <f>Input!BT10</f>
      </c>
      <c r="AT10" s="230" t="str">
        <f>Input!CH10</f>
      </c>
      <c r="AU10" s="230" t="str">
        <f>Input!CV10</f>
      </c>
      <c r="AV10" s="230" t="str">
        <f>IF(I10&gt;=1,INDEX(OperatorIDList,MATCH(AP10,OperatorNameList,0)),"")</f>
        <v>VIETTEL-2016</v>
      </c>
      <c r="AW10" s="230" t="str">
        <f>IF(I10&gt;=2,INDEX(OperatorIDList,MATCH(AQ10,OperatorNameList,0)),"")</f>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VIETTEL-2016</v>
      </c>
      <c r="BC10" s="230" t="str">
        <f>Input!Y10</f>
        <v>HCM2212</v>
      </c>
      <c r="BD10" s="230">
        <f>Input!AO10</f>
        <v>0</v>
      </c>
      <c r="BE10" s="230">
        <f>Input!BE10</f>
        <v>0</v>
      </c>
      <c r="BF10" s="230" t="str">
        <f>Input!BU10</f>
      </c>
      <c r="BG10" s="230" t="str">
        <f>Input!CI10</f>
      </c>
      <c r="BH10" s="230" t="str">
        <f>Input!CW10</f>
      </c>
      <c r="BI10" s="230" t="str">
        <f>Input!Z10</f>
        <v>HUAWEI DBS3900</v>
      </c>
      <c r="BJ10" s="230">
        <f>Input!AP10</f>
        <v>0</v>
      </c>
      <c r="BK10" s="230">
        <f>Input!BF10</f>
        <v>0</v>
      </c>
      <c r="BL10" s="230" t="str">
        <f>Input!BV10</f>
      </c>
      <c r="BM10" s="230" t="str">
        <f>Input!CJ10</f>
      </c>
      <c r="BN10" s="230" t="str">
        <f>Input!CX10</f>
      </c>
      <c r="BO10" s="553">
        <f>IF(ISNUMBER(Input!AA10),Input!AA10,0)</f>
        <v>3</v>
      </c>
      <c r="BP10" s="553">
        <f>IF(ISNUMBER(Input!AQ10),Input!AQ10,0)</f>
        <v>0</v>
      </c>
      <c r="BQ10" s="553">
        <f>IF(ISNUMBER(Input!BG10),Input!BG10,0)</f>
        <v>0</v>
      </c>
      <c r="BR10" s="553">
        <f>IF(ISNUMBER(Input!BW10),Input!BW10,0)</f>
        <v>0</v>
      </c>
      <c r="BS10" s="553">
        <f>IF(ISNUMBER(Input!CK10),Input!CK10,0)</f>
        <v>0</v>
      </c>
      <c r="BT10" s="554">
        <f>IF(ISNUMBER(Input!CY10),Input!CY10,0)</f>
        <v>0</v>
      </c>
      <c r="BU10" s="230" t="str">
        <f>Input!AF10</f>
        <v>2/2/2</v>
      </c>
      <c r="BV10" s="230" t="str">
        <f>Input!AV10</f>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0</v>
      </c>
      <c r="CH10" s="230">
        <f t="shared" si="158"/>
        <v>0</v>
      </c>
      <c r="CI10" s="230">
        <f t="shared" si="159"/>
        <v>0</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40,00W/40,00W/40,00W</v>
      </c>
      <c r="DL10" s="230" t="str">
        <f>Input!BA10</f>
      </c>
      <c r="DM10" s="230" t="str">
        <f>Input!BQ10</f>
      </c>
      <c r="DN10" s="230" t="str">
        <f>Input!CE10</f>
      </c>
      <c r="DO10" s="230" t="str">
        <f>Input!CS10</f>
      </c>
      <c r="DP10" s="230" t="str">
        <f>Input!DG10</f>
      </c>
      <c r="DQ10" s="230" t="str">
        <f t="shared" si="187"/>
        <v>40W/ 40W/ 40W</v>
      </c>
      <c r="DR10" s="230" t="str">
        <f t="shared" si="188"/>
      </c>
      <c r="DS10" s="230" t="str">
        <f t="shared" si="189"/>
      </c>
      <c r="DT10" s="230" t="str">
        <f t="shared" si="190"/>
      </c>
      <c r="DU10" s="230" t="str">
        <f t="shared" si="191"/>
      </c>
      <c r="DV10" s="230" t="str">
        <f t="shared" si="192"/>
      </c>
      <c r="DW10" s="230">
        <f t="shared" si="193"/>
        <v>40</v>
      </c>
      <c r="DX10" s="230">
        <f t="shared" si="194"/>
        <v>40</v>
      </c>
      <c r="DY10" s="230">
        <f t="shared" si="195"/>
        <v>40</v>
      </c>
      <c r="DZ10" s="230">
        <f t="shared" si="196"/>
        <v>0</v>
      </c>
      <c r="EA10" s="230">
        <f t="shared" si="197"/>
        <v>0</v>
      </c>
      <c r="EB10" s="230">
        <f t="shared" si="198"/>
        <v>0</v>
      </c>
      <c r="EC10" s="230">
        <f t="shared" si="199"/>
        <v>40</v>
      </c>
      <c r="ED10" s="230">
        <f t="shared" si="200"/>
        <v>0</v>
      </c>
      <c r="EE10" s="230">
        <f t="shared" si="201"/>
        <v>0</v>
      </c>
      <c r="EF10" s="230">
        <f t="shared" si="202"/>
        <v>0</v>
      </c>
      <c r="EG10" s="230">
        <f t="shared" si="203"/>
        <v>0</v>
      </c>
      <c r="EH10" s="230">
        <f t="shared" si="204"/>
        <v>0</v>
      </c>
      <c r="EI10" s="230">
        <f t="shared" si="205"/>
        <v>0</v>
      </c>
      <c r="EJ10" s="230">
        <f t="shared" si="206"/>
        <v>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f>Input!AL10</f>
        <v>2100</v>
      </c>
      <c r="FO10" s="230">
        <f>Input!BB10</f>
        <v>0</v>
      </c>
      <c r="FP10" s="230">
        <f>Input!BR10</f>
        <v>0</v>
      </c>
      <c r="FQ10" s="230" t="str">
        <f>Input!CF10</f>
      </c>
      <c r="FR10" s="230" t="str">
        <f>Input!CT10</f>
      </c>
      <c r="FS10" s="230" t="str">
        <f>Input!DH10</f>
      </c>
      <c r="FT10" s="230" t="str">
        <f>Input!AM10</f>
        <v>34m/ 34m/ 34m</v>
      </c>
      <c r="FU10" s="230">
        <f>Input!BC10</f>
        <v>0</v>
      </c>
      <c r="FV10" s="230">
        <f>Input!BS10</f>
        <v>0</v>
      </c>
      <c r="FW10" s="230" t="str">
        <f>Input!CG10</f>
      </c>
      <c r="FX10" s="230" t="str">
        <f>Input!CU10</f>
      </c>
      <c r="FY10" s="230" t="str">
        <f>Input!DI10</f>
      </c>
      <c r="FZ10" s="230" t="str">
        <f t="shared" si="236"/>
        <v>34m/ 34m/ 34m</v>
      </c>
      <c r="GA10" s="230" t="str">
        <f t="shared" si="237"/>
      </c>
      <c r="GB10" s="230" t="str">
        <f t="shared" si="238"/>
      </c>
      <c r="GC10" s="230" t="str">
        <f t="shared" si="239"/>
      </c>
      <c r="GD10" s="230" t="str">
        <f t="shared" si="240"/>
      </c>
      <c r="GE10" s="230" t="str">
        <f t="shared" si="241"/>
      </c>
      <c r="GF10" s="230">
        <f t="shared" si="242"/>
        <v>34</v>
      </c>
      <c r="GG10" s="230">
        <f t="shared" si="243"/>
        <v>34</v>
      </c>
      <c r="GH10" s="230">
        <f t="shared" si="244"/>
        <v>34</v>
      </c>
      <c r="GI10" s="230">
        <f t="shared" si="245"/>
        <v>0</v>
      </c>
      <c r="GJ10" s="230">
        <f t="shared" si="246"/>
        <v>0</v>
      </c>
      <c r="GK10" s="230">
        <f t="shared" si="247"/>
        <v>0</v>
      </c>
      <c r="GL10" s="230">
        <f t="shared" si="248"/>
        <v>0</v>
      </c>
      <c r="GM10" s="230">
        <f t="shared" si="249"/>
        <v>0</v>
      </c>
      <c r="GN10" s="230">
        <f t="shared" si="250"/>
        <v>0</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34</v>
      </c>
      <c r="HR10" s="230">
        <f t="shared" si="279"/>
        <v>0</v>
      </c>
      <c r="HS10" s="230">
        <f t="shared" si="280"/>
        <v>0</v>
      </c>
      <c r="HT10" s="230">
        <f t="shared" si="281"/>
        <v>0</v>
      </c>
      <c r="HU10" s="230">
        <f t="shared" si="282"/>
        <v>0</v>
      </c>
      <c r="HV10" s="230">
        <f t="shared" si="283"/>
        <v>0</v>
      </c>
      <c r="HW10" s="797">
        <f t="shared" si="284"/>
        <v>34</v>
      </c>
      <c r="HX10" s="797">
        <f>Input!EB10</f>
        <v>0</v>
      </c>
      <c r="HY10" s="230">
        <v>68</v>
      </c>
      <c r="HZ10" s="230"/>
      <c r="IA10" s="230"/>
      <c r="IB10" s="230"/>
      <c r="IC10" s="232" t="str">
        <f t="shared" si="285"/>
        <v>B01961230916TG05</v>
      </c>
      <c r="ID10" s="233" t="str">
        <f>Input!O10</f>
        <v>01961</v>
      </c>
      <c r="IE10" s="467" t="str">
        <f t="shared" si="286"/>
        <v>230916</v>
      </c>
      <c r="IF10" s="232" t="s">
        <v>364</v>
      </c>
      <c r="IG10" s="467" t="str">
        <f t="shared" si="287"/>
        <v>23/09/2016</v>
      </c>
      <c r="IH10" s="467" t="str">
        <f t="shared" si="288"/>
        <v>23/09/2021</v>
      </c>
      <c r="II10" s="546" t="str">
        <f> Input!R10</f>
        <v>23/09/2016</v>
      </c>
      <c r="IJ10" s="467">
        <f t="shared" si="289"/>
        <v>44462</v>
      </c>
      <c r="IK10" s="468">
        <f t="shared" si="290"/>
        <v>3</v>
      </c>
      <c r="IL10" s="469" t="str">
        <f t="shared" si="291"/>
        <v>3-1</v>
      </c>
      <c r="IM10" s="469" t="str">
        <f t="shared" si="292"/>
        <v>KHAC</v>
      </c>
      <c r="IN10" s="469" t="str">
        <f t="shared" si="293"/>
        <v>KHAC</v>
      </c>
      <c r="IO10" s="469" t="str">
        <f t="shared" si="294"/>
      </c>
      <c r="IP10" s="469" t="str">
        <f t="shared" si="295"/>
      </c>
      <c r="IQ10" s="469" t="str">
        <f t="shared" si="296"/>
      </c>
      <c r="IR10" s="469">
        <f t="shared" si="297"/>
        <v>1</v>
      </c>
      <c r="IS10" s="469">
        <f t="shared" si="298"/>
        <v>2</v>
      </c>
      <c r="IT10" s="469" t="str">
        <f t="shared" si="299"/>
        <v>Yes</v>
      </c>
      <c r="IU10" s="469" t="str">
        <f t="shared" si="300"/>
        <v>Yes</v>
      </c>
    </row>
    <row r="11" ht="63.75">
      <c r="A11" s="601">
        <f>Input!A11</f>
        <v>10</v>
      </c>
      <c r="B11" s="229" t="str">
        <f>INDEX(ApplicantIDList,MATCH(AI11,ApplicantNameList,0))</f>
        <v>VIETTEL-2016</v>
      </c>
      <c r="C11" s="229" t="str">
        <f>INDEX(OperatorIDList,MATCH(AJ11,OperatorNameList,0))</f>
        <v>VIETTEL-2016</v>
      </c>
      <c r="D11" s="797" t="str">
        <f>Input!Y11</f>
        <v>HCM2222</v>
      </c>
      <c r="E11" s="229" t="str">
        <f>Input!G11</f>
        <v>Số G12/21, ấp 3, xã Lê Minh Xuân, huyện Bình Chánh, thành phố Hồ Chí Minh.</v>
      </c>
      <c r="F11" s="229" t="str">
        <f>TRIM(SUBSTITUTE(SUBSTITUTE(Input!H11,"Thành phố ",""),"Tỉnh ",""))</f>
        <v>Hồ Chí Minh</v>
      </c>
      <c r="G11" s="797" t="str">
        <f>Input!I11</f>
        <v>106,548103</v>
      </c>
      <c r="H11" s="797" t="str">
        <f>Input!J11</f>
        <v>10,763037</v>
      </c>
      <c r="I11" s="229">
        <f>Input!V11</f>
        <v>1</v>
      </c>
      <c r="J11" s="229" t="str">
        <f>Input!K11</f>
        <v>1502380/16/TG/TT2</v>
      </c>
      <c r="K11" s="231" t="str">
        <f>TEXT(Input!L11,"dd/mm/yyyy")</f>
        <v>23/09/2016</v>
      </c>
      <c r="L11" s="231" t="str">
        <f>TEXT(Input!M11,"dd/mm/yyyy")</f>
        <v>12/09/2016</v>
      </c>
      <c r="M11" s="229" t="str">
        <f t="shared" si="135"/>
        <v>TỔNG CÔNG TY MẠNG LƯỚI VIETTEL</v>
      </c>
      <c r="N11" s="229" t="str">
        <f t="shared" si="136"/>
        <v>HCM2222</v>
      </c>
      <c r="O11" s="229" t="str">
        <f t="shared" si="137"/>
        <v>HUAWEI DBS3900</v>
      </c>
      <c r="P11" s="229" t="str">
        <f t="shared" si="138"/>
        <v>3</v>
      </c>
      <c r="Q11" s="229" t="str">
        <f t="shared" si="139"/>
        <v>2/2/2</v>
      </c>
      <c r="R11" s="229" t="str">
        <f t="shared" si="140"/>
        <v>40W/ 40W/ 40W</v>
      </c>
      <c r="S11" s="229" t="str">
        <f t="shared" si="141"/>
        <v>2100</v>
      </c>
      <c r="T11" s="229" t="str">
        <f t="shared" si="142"/>
        <v>34m/ 34m/ 34m</v>
      </c>
      <c r="U11" s="229">
        <v>1</v>
      </c>
      <c r="V11" s="229"/>
      <c r="W11" s="229" t="b">
        <f t="shared" si="143"/>
        <v>1</v>
      </c>
      <c r="X11" s="229" t="b">
        <f>INDEX(TrueFalseList,_xlfn.IFNA(MATCH(Input!W11,CoKhongList,0),MATCH(Input!W11,YesNoList,0)))</f>
        <v>1</v>
      </c>
      <c r="Y11" s="797">
        <f>Input!FZ11</f>
        <v>1</v>
      </c>
      <c r="Z11" s="229" t="b">
        <v>1</v>
      </c>
      <c r="AA11" s="797">
        <f t="shared" si="144"/>
        <v>34</v>
      </c>
      <c r="AB11" s="229" t="b">
        <v>0</v>
      </c>
      <c r="AC11" s="229" t="b">
        <v>1</v>
      </c>
      <c r="AD11" s="229">
        <f>Input!DR11</f>
        <v>0</v>
      </c>
      <c r="AE11" s="229"/>
      <c r="AF11" s="229" t="str">
        <f>Options!$D$6</f>
        <v>VCC2</v>
      </c>
      <c r="AG11" s="229">
        <f t="shared" si="145"/>
        <v>0</v>
      </c>
      <c r="AH11" s="230"/>
      <c r="AI11" s="553" t="str">
        <f>Input!E11</f>
        <v>TỔNG CÔNG TY MẠNG LƯỚI VIETTEL</v>
      </c>
      <c r="AJ11" s="553" t="str">
        <f>Input!F11</f>
        <v>TỔNG CÔNG TY MẠNG LƯỚI VIETTEL</v>
      </c>
      <c r="AK11" s="229">
        <f t="shared" si="146"/>
        <v>4</v>
      </c>
      <c r="AL11" s="465" t="str">
        <f t="shared" si="147"/>
        <v>thành phố Hồ Chí Minh.</v>
      </c>
      <c r="AM11" s="465" t="str">
        <f t="shared" si="148"/>
        <v>huyện Bình Chánh</v>
      </c>
      <c r="AN11" s="465" t="str">
        <f t="shared" si="149"/>
        <v>xã Lê Minh Xuân</v>
      </c>
      <c r="AO11" s="229" t="str">
        <f>INDEX(CityIDList,MATCH(F11,CityNameList,0))</f>
        <v>HCM</v>
      </c>
      <c r="AP11" s="230" t="str">
        <f>Input!X11</f>
        <v>TỔNG CÔNG TY MẠNG LƯỚI VIETTEL</v>
      </c>
      <c r="AQ11" s="230">
        <f>Input!AN11</f>
        <v>0</v>
      </c>
      <c r="AR11" s="230">
        <f>Input!BD11</f>
        <v>0</v>
      </c>
      <c r="AS11" s="230" t="str">
        <f>Input!BT11</f>
      </c>
      <c r="AT11" s="230" t="str">
        <f>Input!CH11</f>
      </c>
      <c r="AU11" s="230" t="str">
        <f>Input!CV11</f>
      </c>
      <c r="AV11" s="230" t="str">
        <f>IF(I11&gt;=1,INDEX(OperatorIDList,MATCH(AP11,OperatorNameList,0)),"")</f>
        <v>VIETTEL-2016</v>
      </c>
      <c r="AW11" s="230" t="str">
        <f>IF(I11&gt;=2,INDEX(OperatorIDList,MATCH(AQ11,OperatorNameList,0)),"")</f>
      </c>
      <c r="AX11" s="230" t="str">
        <f>IF(I11&gt;=3,INDEX(OperatorIDList,MATCH(AR11,OperatorNameList,0)),"")</f>
      </c>
      <c r="AY11" s="230" t="str">
        <f>IF(I11&gt;=4,INDEX(OperatorIDList,MATCH(AS11,OperatorNameList,0)),"")</f>
      </c>
      <c r="AZ11" s="230" t="str">
        <f>IF(I11&gt;=5,INDEX(OperatorIDList,MATCH(AT11,OperatorNameList,0)),"")</f>
      </c>
      <c r="BA11" s="230" t="str">
        <f>IF(I11&gt;=6,INDEX(OperatorIDList,MATCH(AU11,OperatorNameList,0)),"")</f>
      </c>
      <c r="BB11" s="230" t="str">
        <f t="shared" si="150"/>
        <v>VIETTEL-2016</v>
      </c>
      <c r="BC11" s="230" t="str">
        <f>Input!Y11</f>
        <v>HCM2222</v>
      </c>
      <c r="BD11" s="230">
        <f>Input!AO11</f>
        <v>0</v>
      </c>
      <c r="BE11" s="230">
        <f>Input!BE11</f>
        <v>0</v>
      </c>
      <c r="BF11" s="230" t="str">
        <f>Input!BU11</f>
      </c>
      <c r="BG11" s="230" t="str">
        <f>Input!CI11</f>
      </c>
      <c r="BH11" s="230" t="str">
        <f>Input!CW11</f>
      </c>
      <c r="BI11" s="230" t="str">
        <f>Input!Z11</f>
        <v>HUAWEI DBS3900</v>
      </c>
      <c r="BJ11" s="230">
        <f>Input!AP11</f>
        <v>0</v>
      </c>
      <c r="BK11" s="230">
        <f>Input!BF11</f>
        <v>0</v>
      </c>
      <c r="BL11" s="230" t="str">
        <f>Input!BV11</f>
      </c>
      <c r="BM11" s="230" t="str">
        <f>Input!CJ11</f>
      </c>
      <c r="BN11" s="230" t="str">
        <f>Input!CX11</f>
      </c>
      <c r="BO11" s="553">
        <f>IF(ISNUMBER(Input!AA11),Input!AA11,0)</f>
        <v>3</v>
      </c>
      <c r="BP11" s="553">
        <f>IF(ISNUMBER(Input!AQ11),Input!AQ11,0)</f>
        <v>0</v>
      </c>
      <c r="BQ11" s="553">
        <f>IF(ISNUMBER(Input!BG11),Input!BG11,0)</f>
        <v>0</v>
      </c>
      <c r="BR11" s="553">
        <f>IF(ISNUMBER(Input!BW11),Input!BW11,0)</f>
        <v>0</v>
      </c>
      <c r="BS11" s="553">
        <f>IF(ISNUMBER(Input!CK11),Input!CK11,0)</f>
        <v>0</v>
      </c>
      <c r="BT11" s="554">
        <f>IF(ISNUMBER(Input!CY11),Input!CY11,0)</f>
        <v>0</v>
      </c>
      <c r="BU11" s="230" t="str">
        <f>Input!AF11</f>
        <v>2/2/2</v>
      </c>
      <c r="BV11" s="230" t="str">
        <f>Input!AV11</f>
      </c>
      <c r="BW11" s="230" t="str">
        <f>Input!BL11</f>
      </c>
      <c r="BX11" s="230" t="str">
        <f>Input!CA11</f>
      </c>
      <c r="BY11" s="230" t="str">
        <f>Input!CO11</f>
      </c>
      <c r="BZ11" s="230" t="str">
        <f>Input!DC11</f>
      </c>
      <c r="CA11" s="230">
        <f t="shared" si="151"/>
        <v>2</v>
      </c>
      <c r="CB11" s="230">
        <f t="shared" si="152"/>
        <v>2</v>
      </c>
      <c r="CC11" s="230">
        <f t="shared" si="153"/>
        <v>2</v>
      </c>
      <c r="CD11" s="230">
        <f t="shared" si="154"/>
        <v>0</v>
      </c>
      <c r="CE11" s="230">
        <f t="shared" si="155"/>
        <v>0</v>
      </c>
      <c r="CF11" s="230">
        <f t="shared" si="156"/>
        <v>0</v>
      </c>
      <c r="CG11" s="230">
        <f t="shared" si="157"/>
        <v>0</v>
      </c>
      <c r="CH11" s="230">
        <f t="shared" si="158"/>
        <v>0</v>
      </c>
      <c r="CI11" s="230">
        <f t="shared" si="159"/>
        <v>0</v>
      </c>
      <c r="CJ11" s="230">
        <f t="shared" si="160"/>
        <v>0</v>
      </c>
      <c r="CK11" s="230">
        <f t="shared" si="161"/>
        <v>0</v>
      </c>
      <c r="CL11" s="230">
        <f t="shared" si="162"/>
        <v>0</v>
      </c>
      <c r="CM11" s="230">
        <f t="shared" si="163"/>
        <v>0</v>
      </c>
      <c r="CN11" s="230">
        <f t="shared" si="164"/>
        <v>0</v>
      </c>
      <c r="CO11" s="230">
        <f t="shared" si="165"/>
        <v>0</v>
      </c>
      <c r="CP11" s="230">
        <f t="shared" si="166"/>
        <v>0</v>
      </c>
      <c r="CQ11" s="230">
        <f t="shared" si="167"/>
        <v>0</v>
      </c>
      <c r="CR11" s="230">
        <f t="shared" si="168"/>
        <v>0</v>
      </c>
      <c r="CS11" s="230">
        <f t="shared" si="169"/>
        <v>0</v>
      </c>
      <c r="CT11" s="230">
        <f t="shared" si="170"/>
        <v>0</v>
      </c>
      <c r="CU11" s="230">
        <f t="shared" si="171"/>
        <v>0</v>
      </c>
      <c r="CV11" s="230">
        <f t="shared" si="172"/>
        <v>0</v>
      </c>
      <c r="CW11" s="230">
        <f t="shared" si="173"/>
        <v>0</v>
      </c>
      <c r="CX11" s="230">
        <f t="shared" si="174"/>
        <v>0</v>
      </c>
      <c r="CY11" s="230">
        <f t="shared" si="175"/>
        <v>0</v>
      </c>
      <c r="CZ11" s="230">
        <f t="shared" si="176"/>
        <v>0</v>
      </c>
      <c r="DA11" s="230">
        <f t="shared" si="177"/>
        <v>0</v>
      </c>
      <c r="DB11" s="230">
        <f t="shared" si="178"/>
        <v>0</v>
      </c>
      <c r="DC11" s="230">
        <f t="shared" si="179"/>
        <v>0</v>
      </c>
      <c r="DD11" s="230">
        <f t="shared" si="180"/>
        <v>0</v>
      </c>
      <c r="DE11" s="230">
        <f t="shared" si="181"/>
        <v>0</v>
      </c>
      <c r="DF11" s="230">
        <f t="shared" si="182"/>
        <v>0</v>
      </c>
      <c r="DG11" s="230">
        <f t="shared" si="183"/>
        <v>0</v>
      </c>
      <c r="DH11" s="230">
        <f t="shared" si="184"/>
        <v>0</v>
      </c>
      <c r="DI11" s="230">
        <f t="shared" si="185"/>
        <v>0</v>
      </c>
      <c r="DJ11" s="230">
        <f t="shared" si="186"/>
        <v>0</v>
      </c>
      <c r="DK11" s="230" t="str">
        <f>Input!AK11</f>
        <v>40,00W/40,00W/40,00W</v>
      </c>
      <c r="DL11" s="230" t="str">
        <f>Input!BA11</f>
      </c>
      <c r="DM11" s="230" t="str">
        <f>Input!BQ11</f>
      </c>
      <c r="DN11" s="230" t="str">
        <f>Input!CE11</f>
      </c>
      <c r="DO11" s="230" t="str">
        <f>Input!CS11</f>
      </c>
      <c r="DP11" s="230" t="str">
        <f>Input!DG11</f>
      </c>
      <c r="DQ11" s="230" t="str">
        <f t="shared" si="187"/>
        <v>40W/ 40W/ 40W</v>
      </c>
      <c r="DR11" s="230" t="str">
        <f t="shared" si="188"/>
      </c>
      <c r="DS11" s="230" t="str">
        <f t="shared" si="189"/>
      </c>
      <c r="DT11" s="230" t="str">
        <f t="shared" si="190"/>
      </c>
      <c r="DU11" s="230" t="str">
        <f t="shared" si="191"/>
      </c>
      <c r="DV11" s="230" t="str">
        <f t="shared" si="192"/>
      </c>
      <c r="DW11" s="230">
        <f t="shared" si="193"/>
        <v>40</v>
      </c>
      <c r="DX11" s="230">
        <f t="shared" si="194"/>
        <v>40</v>
      </c>
      <c r="DY11" s="230">
        <f t="shared" si="195"/>
        <v>40</v>
      </c>
      <c r="DZ11" s="230">
        <f t="shared" si="196"/>
        <v>0</v>
      </c>
      <c r="EA11" s="230">
        <f t="shared" si="197"/>
        <v>0</v>
      </c>
      <c r="EB11" s="230">
        <f t="shared" si="198"/>
        <v>0</v>
      </c>
      <c r="EC11" s="230">
        <f t="shared" si="199"/>
        <v>40</v>
      </c>
      <c r="ED11" s="230">
        <f t="shared" si="200"/>
        <v>0</v>
      </c>
      <c r="EE11" s="230">
        <f t="shared" si="201"/>
        <v>0</v>
      </c>
      <c r="EF11" s="230">
        <f t="shared" si="202"/>
        <v>0</v>
      </c>
      <c r="EG11" s="230">
        <f t="shared" si="203"/>
        <v>0</v>
      </c>
      <c r="EH11" s="230">
        <f t="shared" si="204"/>
        <v>0</v>
      </c>
      <c r="EI11" s="230">
        <f t="shared" si="205"/>
        <v>0</v>
      </c>
      <c r="EJ11" s="230">
        <f t="shared" si="206"/>
        <v>0</v>
      </c>
      <c r="EK11" s="230">
        <f t="shared" si="207"/>
        <v>0</v>
      </c>
      <c r="EL11" s="230">
        <f t="shared" si="208"/>
        <v>0</v>
      </c>
      <c r="EM11" s="230">
        <f t="shared" si="209"/>
        <v>0</v>
      </c>
      <c r="EN11" s="230">
        <f t="shared" si="210"/>
        <v>0</v>
      </c>
      <c r="EO11" s="230">
        <f t="shared" si="211"/>
        <v>0</v>
      </c>
      <c r="EP11" s="230">
        <f t="shared" si="212"/>
        <v>0</v>
      </c>
      <c r="EQ11" s="230">
        <f t="shared" si="213"/>
        <v>0</v>
      </c>
      <c r="ER11" s="230">
        <f t="shared" si="214"/>
        <v>0</v>
      </c>
      <c r="ES11" s="230">
        <f t="shared" si="215"/>
        <v>0</v>
      </c>
      <c r="ET11" s="230">
        <f t="shared" si="216"/>
        <v>0</v>
      </c>
      <c r="EU11" s="230">
        <f t="shared" si="217"/>
        <v>0</v>
      </c>
      <c r="EV11" s="230">
        <f t="shared" si="218"/>
        <v>0</v>
      </c>
      <c r="EW11" s="230">
        <f t="shared" si="219"/>
        <v>0</v>
      </c>
      <c r="EX11" s="230">
        <f t="shared" si="220"/>
        <v>0</v>
      </c>
      <c r="EY11" s="230">
        <f t="shared" si="221"/>
        <v>0</v>
      </c>
      <c r="EZ11" s="230">
        <f t="shared" si="222"/>
        <v>0</v>
      </c>
      <c r="FA11" s="230">
        <f t="shared" si="223"/>
        <v>0</v>
      </c>
      <c r="FB11" s="230">
        <f t="shared" si="224"/>
        <v>0</v>
      </c>
      <c r="FC11" s="230">
        <f t="shared" si="225"/>
        <v>0</v>
      </c>
      <c r="FD11" s="230">
        <f t="shared" si="226"/>
        <v>0</v>
      </c>
      <c r="FE11" s="230">
        <f t="shared" si="227"/>
        <v>0</v>
      </c>
      <c r="FF11" s="230">
        <f t="shared" si="228"/>
        <v>0</v>
      </c>
      <c r="FG11" s="230">
        <f t="shared" si="229"/>
        <v>0</v>
      </c>
      <c r="FH11" s="230">
        <f t="shared" si="230"/>
        <v>0</v>
      </c>
      <c r="FI11" s="230">
        <f t="shared" si="231"/>
        <v>0</v>
      </c>
      <c r="FJ11" s="230">
        <f t="shared" si="232"/>
        <v>0</v>
      </c>
      <c r="FK11" s="230">
        <f t="shared" si="233"/>
        <v>0</v>
      </c>
      <c r="FL11" s="230">
        <f t="shared" si="234"/>
        <v>0</v>
      </c>
      <c r="FM11" s="230">
        <f t="shared" si="235"/>
        <v>40</v>
      </c>
      <c r="FN11" s="230">
        <f>Input!AL11</f>
        <v>2100</v>
      </c>
      <c r="FO11" s="230">
        <f>Input!BB11</f>
        <v>0</v>
      </c>
      <c r="FP11" s="230">
        <f>Input!BR11</f>
        <v>0</v>
      </c>
      <c r="FQ11" s="230" t="str">
        <f>Input!CF11</f>
      </c>
      <c r="FR11" s="230" t="str">
        <f>Input!CT11</f>
      </c>
      <c r="FS11" s="230" t="str">
        <f>Input!DH11</f>
      </c>
      <c r="FT11" s="230" t="str">
        <f>Input!AM11</f>
        <v>34m/ 34m/ 34m</v>
      </c>
      <c r="FU11" s="230">
        <f>Input!BC11</f>
        <v>0</v>
      </c>
      <c r="FV11" s="230">
        <f>Input!BS11</f>
        <v>0</v>
      </c>
      <c r="FW11" s="230" t="str">
        <f>Input!CG11</f>
      </c>
      <c r="FX11" s="230" t="str">
        <f>Input!CU11</f>
      </c>
      <c r="FY11" s="230" t="str">
        <f>Input!DI11</f>
      </c>
      <c r="FZ11" s="230" t="str">
        <f t="shared" si="236"/>
        <v>34m/ 34m/ 34m</v>
      </c>
      <c r="GA11" s="230" t="str">
        <f t="shared" si="237"/>
      </c>
      <c r="GB11" s="230" t="str">
        <f t="shared" si="238"/>
      </c>
      <c r="GC11" s="230" t="str">
        <f t="shared" si="239"/>
      </c>
      <c r="GD11" s="230" t="str">
        <f t="shared" si="240"/>
      </c>
      <c r="GE11" s="230" t="str">
        <f t="shared" si="241"/>
      </c>
      <c r="GF11" s="230">
        <f t="shared" si="242"/>
        <v>34</v>
      </c>
      <c r="GG11" s="230">
        <f t="shared" si="243"/>
        <v>34</v>
      </c>
      <c r="GH11" s="230">
        <f t="shared" si="244"/>
        <v>34</v>
      </c>
      <c r="GI11" s="230">
        <f t="shared" si="245"/>
        <v>0</v>
      </c>
      <c r="GJ11" s="230">
        <f t="shared" si="246"/>
        <v>0</v>
      </c>
      <c r="GK11" s="230">
        <f t="shared" si="247"/>
        <v>0</v>
      </c>
      <c r="GL11" s="230">
        <f t="shared" si="248"/>
        <v>0</v>
      </c>
      <c r="GM11" s="230">
        <f t="shared" si="249"/>
        <v>0</v>
      </c>
      <c r="GN11" s="230">
        <f t="shared" si="250"/>
        <v>0</v>
      </c>
      <c r="GO11" s="230">
        <f t="shared" si="251"/>
        <v>0</v>
      </c>
      <c r="GP11" s="230">
        <f t="shared" si="252"/>
        <v>0</v>
      </c>
      <c r="GQ11" s="230">
        <f t="shared" si="253"/>
        <v>0</v>
      </c>
      <c r="GR11" s="230">
        <f t="shared" si="254"/>
        <v>0</v>
      </c>
      <c r="GS11" s="230">
        <f t="shared" si="255"/>
        <v>0</v>
      </c>
      <c r="GT11" s="230">
        <f t="shared" si="256"/>
        <v>0</v>
      </c>
      <c r="GU11" s="230">
        <f t="shared" si="257"/>
        <v>0</v>
      </c>
      <c r="GV11" s="230">
        <f t="shared" si="258"/>
        <v>0</v>
      </c>
      <c r="GW11" s="230">
        <f t="shared" si="259"/>
        <v>0</v>
      </c>
      <c r="GX11" s="230">
        <f t="shared" si="260"/>
        <v>0</v>
      </c>
      <c r="GY11" s="230">
        <f t="shared" si="261"/>
        <v>0</v>
      </c>
      <c r="GZ11" s="230">
        <f t="shared" si="262"/>
        <v>0</v>
      </c>
      <c r="HA11" s="230">
        <f t="shared" si="263"/>
        <v>0</v>
      </c>
      <c r="HB11" s="230">
        <f t="shared" si="264"/>
        <v>0</v>
      </c>
      <c r="HC11" s="230">
        <f t="shared" si="265"/>
        <v>0</v>
      </c>
      <c r="HD11" s="230">
        <f t="shared" si="266"/>
        <v>0</v>
      </c>
      <c r="HE11" s="230">
        <f t="shared" si="267"/>
        <v>0</v>
      </c>
      <c r="HF11" s="230">
        <f t="shared" si="268"/>
        <v>0</v>
      </c>
      <c r="HG11" s="230">
        <f t="shared" si="269"/>
        <v>0</v>
      </c>
      <c r="HH11" s="230">
        <f t="shared" si="270"/>
        <v>0</v>
      </c>
      <c r="HI11" s="230">
        <f t="shared" si="271"/>
        <v>0</v>
      </c>
      <c r="HJ11" s="230">
        <f t="shared" si="272"/>
        <v>0</v>
      </c>
      <c r="HK11" s="230">
        <f t="shared" si="273"/>
        <v>0</v>
      </c>
      <c r="HL11" s="230">
        <f t="shared" si="274"/>
        <v>0</v>
      </c>
      <c r="HM11" s="230">
        <f t="shared" si="275"/>
        <v>0</v>
      </c>
      <c r="HN11" s="230">
        <f t="shared" si="276"/>
        <v>0</v>
      </c>
      <c r="HO11" s="230">
        <f t="shared" si="277"/>
        <v>0</v>
      </c>
      <c r="HP11" s="230" t="str">
        <f>INDEX(LabNameList,MATCH(LabId,LabIDList,0))</f>
        <v>Trung tâm Kiểm định và Chứng nhận 2</v>
      </c>
      <c r="HQ11" s="230">
        <f t="shared" si="278"/>
        <v>34</v>
      </c>
      <c r="HR11" s="230">
        <f t="shared" si="279"/>
        <v>0</v>
      </c>
      <c r="HS11" s="230">
        <f t="shared" si="280"/>
        <v>0</v>
      </c>
      <c r="HT11" s="230">
        <f t="shared" si="281"/>
        <v>0</v>
      </c>
      <c r="HU11" s="230">
        <f t="shared" si="282"/>
        <v>0</v>
      </c>
      <c r="HV11" s="230">
        <f t="shared" si="283"/>
        <v>0</v>
      </c>
      <c r="HW11" s="797">
        <f t="shared" si="284"/>
        <v>34</v>
      </c>
      <c r="HX11" s="797">
        <f>Input!EB11</f>
        <v>0</v>
      </c>
      <c r="HY11" s="230">
        <v>68</v>
      </c>
      <c r="HZ11" s="230"/>
      <c r="IA11" s="230"/>
      <c r="IB11" s="230"/>
      <c r="IC11" s="232" t="str">
        <f t="shared" si="285"/>
        <v>B01962230916TG05</v>
      </c>
      <c r="ID11" s="233" t="str">
        <f>Input!O11</f>
        <v>01962</v>
      </c>
      <c r="IE11" s="467" t="str">
        <f t="shared" si="286"/>
        <v>230916</v>
      </c>
      <c r="IF11" s="232" t="s">
        <v>364</v>
      </c>
      <c r="IG11" s="467" t="str">
        <f t="shared" si="287"/>
        <v>23/09/2016</v>
      </c>
      <c r="IH11" s="467" t="str">
        <f t="shared" si="288"/>
        <v>23/09/2021</v>
      </c>
      <c r="II11" s="546" t="str">
        <f> Input!R11</f>
        <v>23/09/2016</v>
      </c>
      <c r="IJ11" s="467">
        <f t="shared" si="289"/>
        <v>44462</v>
      </c>
      <c r="IK11" s="468">
        <f t="shared" si="290"/>
        <v>3</v>
      </c>
      <c r="IL11" s="469" t="str">
        <f t="shared" si="291"/>
        <v>3-1</v>
      </c>
      <c r="IM11" s="469" t="str">
        <f t="shared" si="292"/>
        <v>KHAC</v>
      </c>
      <c r="IN11" s="469" t="str">
        <f t="shared" si="293"/>
        <v>KHAC</v>
      </c>
      <c r="IO11" s="469" t="str">
        <f t="shared" si="294"/>
      </c>
      <c r="IP11" s="469" t="str">
        <f t="shared" si="295"/>
      </c>
      <c r="IQ11" s="469" t="str">
        <f t="shared" si="296"/>
      </c>
      <c r="IR11" s="469">
        <f t="shared" si="297"/>
        <v>1</v>
      </c>
      <c r="IS11" s="469">
        <f t="shared" si="298"/>
        <v>2</v>
      </c>
      <c r="IT11" s="469" t="str">
        <f t="shared" si="299"/>
        <v>Yes</v>
      </c>
      <c r="IU11" s="469" t="str">
        <f t="shared" si="300"/>
        <v>Yes</v>
      </c>
    </row>
    <row r="12" ht="63.75">
      <c r="A12" s="601">
        <f>Input!A12</f>
        <v>11</v>
      </c>
      <c r="B12" s="229" t="str">
        <f>INDEX(ApplicantIDList,MATCH(AI12,ApplicantNameList,0))</f>
        <v>VIETTEL-2016</v>
      </c>
      <c r="C12" s="229" t="str">
        <f>INDEX(OperatorIDList,MATCH(AJ12,OperatorNameList,0))</f>
        <v>VIETTEL-2016</v>
      </c>
      <c r="D12" s="797" t="str">
        <f>Input!Y12</f>
        <v>HCM2226</v>
      </c>
      <c r="E12" s="229" t="str">
        <f>Input!G12</f>
        <v>Ấp 3, xã Lê Minh Xuân, huyện Bình Chánh, thành phố Hồ Chí Minh.</v>
      </c>
      <c r="F12" s="229" t="str">
        <f>TRIM(SUBSTITUTE(SUBSTITUTE(Input!H12,"Thành phố ",""),"Tỉnh ",""))</f>
        <v>Hồ Chí Minh</v>
      </c>
      <c r="G12" s="797" t="str">
        <f>Input!I12</f>
        <v>106,527641</v>
      </c>
      <c r="H12" s="797" t="str">
        <f>Input!J12</f>
        <v>10,772458</v>
      </c>
      <c r="I12" s="229">
        <f>Input!V12</f>
        <v>1</v>
      </c>
      <c r="J12" s="229" t="str">
        <f>Input!K12</f>
        <v>1502381/16/TG/TT2</v>
      </c>
      <c r="K12" s="231" t="str">
        <f>TEXT(Input!L12,"dd/mm/yyyy")</f>
        <v>23/09/2016</v>
      </c>
      <c r="L12" s="231" t="str">
        <f>TEXT(Input!M12,"dd/mm/yyyy")</f>
        <v>13/09/2016</v>
      </c>
      <c r="M12" s="229" t="str">
        <f t="shared" si="135"/>
        <v>TỔNG CÔNG TY MẠNG LƯỚI VIETTEL</v>
      </c>
      <c r="N12" s="229" t="str">
        <f t="shared" si="136"/>
        <v>HCM2226</v>
      </c>
      <c r="O12" s="229" t="str">
        <f t="shared" si="137"/>
        <v>HUAWEI DBS3900</v>
      </c>
      <c r="P12" s="229" t="str">
        <f t="shared" si="138"/>
        <v>3</v>
      </c>
      <c r="Q12" s="229" t="str">
        <f t="shared" si="139"/>
        <v>2/2/2</v>
      </c>
      <c r="R12" s="229" t="str">
        <f t="shared" si="140"/>
        <v>40W/ 40W/ 40W</v>
      </c>
      <c r="S12" s="229" t="str">
        <f t="shared" si="141"/>
        <v>2100</v>
      </c>
      <c r="T12" s="229" t="str">
        <f t="shared" si="142"/>
        <v>34m/ 34m/ 34m</v>
      </c>
      <c r="U12" s="229">
        <v>1</v>
      </c>
      <c r="V12" s="229"/>
      <c r="W12" s="229" t="b">
        <f t="shared" si="143"/>
        <v>1</v>
      </c>
      <c r="X12" s="229" t="b">
        <f>INDEX(TrueFalseList,_xlfn.IFNA(MATCH(Input!W12,CoKhongList,0),MATCH(Input!W12,YesNoList,0)))</f>
        <v>1</v>
      </c>
      <c r="Y12" s="797">
        <f>Input!FZ12</f>
        <v>1</v>
      </c>
      <c r="Z12" s="229" t="b">
        <v>1</v>
      </c>
      <c r="AA12" s="797">
        <f t="shared" si="144"/>
        <v>34</v>
      </c>
      <c r="AB12" s="229" t="b">
        <v>0</v>
      </c>
      <c r="AC12" s="229" t="b">
        <v>1</v>
      </c>
      <c r="AD12" s="229">
        <f>Input!DR12</f>
        <v>0</v>
      </c>
      <c r="AE12" s="229"/>
      <c r="AF12" s="229" t="str">
        <f>Options!$D$6</f>
        <v>VCC2</v>
      </c>
      <c r="AG12" s="229">
        <f t="shared" si="145"/>
        <v>0</v>
      </c>
      <c r="AH12" s="230"/>
      <c r="AI12" s="553" t="str">
        <f>Input!E12</f>
        <v>TỔNG CÔNG TY MẠNG LƯỚI VIETTEL</v>
      </c>
      <c r="AJ12" s="553" t="str">
        <f>Input!F12</f>
        <v>TỔNG CÔNG TY MẠNG LƯỚI VIETTEL</v>
      </c>
      <c r="AK12" s="229">
        <f t="shared" si="146"/>
        <v>3</v>
      </c>
      <c r="AL12" s="465" t="str">
        <f t="shared" si="147"/>
        <v>thành phố Hồ Chí Minh.</v>
      </c>
      <c r="AM12" s="465" t="str">
        <f t="shared" si="148"/>
        <v>huyện Bình Chánh</v>
      </c>
      <c r="AN12" s="465" t="str">
        <f t="shared" si="149"/>
        <v>xã Lê Minh Xuân</v>
      </c>
      <c r="AO12" s="229" t="str">
        <f>INDEX(CityIDList,MATCH(F12,CityNameList,0))</f>
        <v>HCM</v>
      </c>
      <c r="AP12" s="230" t="str">
        <f>Input!X12</f>
        <v>TỔNG CÔNG TY MẠNG LƯỚI VIETTEL</v>
      </c>
      <c r="AQ12" s="230">
        <f>Input!AN12</f>
        <v>0</v>
      </c>
      <c r="AR12" s="230">
        <f>Input!BD12</f>
        <v>0</v>
      </c>
      <c r="AS12" s="230" t="str">
        <f>Input!BT12</f>
      </c>
      <c r="AT12" s="230" t="str">
        <f>Input!CH12</f>
      </c>
      <c r="AU12" s="230" t="str">
        <f>Input!CV12</f>
      </c>
      <c r="AV12" s="230" t="str">
        <f>IF(I12&gt;=1,INDEX(OperatorIDList,MATCH(AP12,OperatorNameList,0)),"")</f>
        <v>VIETTEL-2016</v>
      </c>
      <c r="AW12" s="230" t="str">
        <f>IF(I12&gt;=2,INDEX(OperatorIDList,MATCH(AQ12,OperatorNameList,0)),"")</f>
      </c>
      <c r="AX12" s="230" t="str">
        <f>IF(I12&gt;=3,INDEX(OperatorIDList,MATCH(AR12,OperatorNameList,0)),"")</f>
      </c>
      <c r="AY12" s="230" t="str">
        <f>IF(I12&gt;=4,INDEX(OperatorIDList,MATCH(AS12,OperatorNameList,0)),"")</f>
      </c>
      <c r="AZ12" s="230" t="str">
        <f>IF(I12&gt;=5,INDEX(OperatorIDList,MATCH(AT12,OperatorNameList,0)),"")</f>
      </c>
      <c r="BA12" s="230" t="str">
        <f>IF(I12&gt;=6,INDEX(OperatorIDList,MATCH(AU12,OperatorNameList,0)),"")</f>
      </c>
      <c r="BB12" s="230" t="str">
        <f t="shared" si="150"/>
        <v>VIETTEL-2016</v>
      </c>
      <c r="BC12" s="230" t="str">
        <f>Input!Y12</f>
        <v>HCM2226</v>
      </c>
      <c r="BD12" s="230">
        <f>Input!AO12</f>
        <v>0</v>
      </c>
      <c r="BE12" s="230">
        <f>Input!BE12</f>
        <v>0</v>
      </c>
      <c r="BF12" s="230" t="str">
        <f>Input!BU12</f>
      </c>
      <c r="BG12" s="230" t="str">
        <f>Input!CI12</f>
      </c>
      <c r="BH12" s="230" t="str">
        <f>Input!CW12</f>
      </c>
      <c r="BI12" s="230" t="str">
        <f>Input!Z12</f>
        <v>HUAWEI DBS3900</v>
      </c>
      <c r="BJ12" s="230">
        <f>Input!AP12</f>
        <v>0</v>
      </c>
      <c r="BK12" s="230">
        <f>Input!BF12</f>
        <v>0</v>
      </c>
      <c r="BL12" s="230" t="str">
        <f>Input!BV12</f>
      </c>
      <c r="BM12" s="230" t="str">
        <f>Input!CJ12</f>
      </c>
      <c r="BN12" s="230" t="str">
        <f>Input!CX12</f>
      </c>
      <c r="BO12" s="553">
        <f>IF(ISNUMBER(Input!AA12),Input!AA12,0)</f>
        <v>3</v>
      </c>
      <c r="BP12" s="553">
        <f>IF(ISNUMBER(Input!AQ12),Input!AQ12,0)</f>
        <v>0</v>
      </c>
      <c r="BQ12" s="553">
        <f>IF(ISNUMBER(Input!BG12),Input!BG12,0)</f>
        <v>0</v>
      </c>
      <c r="BR12" s="553">
        <f>IF(ISNUMBER(Input!BW12),Input!BW12,0)</f>
        <v>0</v>
      </c>
      <c r="BS12" s="553">
        <f>IF(ISNUMBER(Input!CK12),Input!CK12,0)</f>
        <v>0</v>
      </c>
      <c r="BT12" s="554">
        <f>IF(ISNUMBER(Input!CY12),Input!CY12,0)</f>
        <v>0</v>
      </c>
      <c r="BU12" s="230" t="str">
        <f>Input!AF12</f>
        <v>2/2/2</v>
      </c>
      <c r="BV12" s="230" t="str">
        <f>Input!AV12</f>
      </c>
      <c r="BW12" s="230" t="str">
        <f>Input!BL12</f>
      </c>
      <c r="BX12" s="230" t="str">
        <f>Input!CA12</f>
      </c>
      <c r="BY12" s="230" t="str">
        <f>Input!CO12</f>
      </c>
      <c r="BZ12" s="230" t="str">
        <f>Input!DC12</f>
      </c>
      <c r="CA12" s="230">
        <f t="shared" si="151"/>
        <v>2</v>
      </c>
      <c r="CB12" s="230">
        <f t="shared" si="152"/>
        <v>2</v>
      </c>
      <c r="CC12" s="230">
        <f t="shared" si="153"/>
        <v>2</v>
      </c>
      <c r="CD12" s="230">
        <f t="shared" si="154"/>
        <v>0</v>
      </c>
      <c r="CE12" s="230">
        <f t="shared" si="155"/>
        <v>0</v>
      </c>
      <c r="CF12" s="230">
        <f t="shared" si="156"/>
        <v>0</v>
      </c>
      <c r="CG12" s="230">
        <f t="shared" si="157"/>
        <v>0</v>
      </c>
      <c r="CH12" s="230">
        <f t="shared" si="158"/>
        <v>0</v>
      </c>
      <c r="CI12" s="230">
        <f t="shared" si="159"/>
        <v>0</v>
      </c>
      <c r="CJ12" s="230">
        <f t="shared" si="160"/>
        <v>0</v>
      </c>
      <c r="CK12" s="230">
        <f t="shared" si="161"/>
        <v>0</v>
      </c>
      <c r="CL12" s="230">
        <f t="shared" si="162"/>
        <v>0</v>
      </c>
      <c r="CM12" s="230">
        <f t="shared" si="163"/>
        <v>0</v>
      </c>
      <c r="CN12" s="230">
        <f t="shared" si="164"/>
        <v>0</v>
      </c>
      <c r="CO12" s="230">
        <f t="shared" si="165"/>
        <v>0</v>
      </c>
      <c r="CP12" s="230">
        <f t="shared" si="166"/>
        <v>0</v>
      </c>
      <c r="CQ12" s="230">
        <f t="shared" si="167"/>
        <v>0</v>
      </c>
      <c r="CR12" s="230">
        <f t="shared" si="168"/>
        <v>0</v>
      </c>
      <c r="CS12" s="230">
        <f t="shared" si="169"/>
        <v>0</v>
      </c>
      <c r="CT12" s="230">
        <f t="shared" si="170"/>
        <v>0</v>
      </c>
      <c r="CU12" s="230">
        <f t="shared" si="171"/>
        <v>0</v>
      </c>
      <c r="CV12" s="230">
        <f t="shared" si="172"/>
        <v>0</v>
      </c>
      <c r="CW12" s="230">
        <f t="shared" si="173"/>
        <v>0</v>
      </c>
      <c r="CX12" s="230">
        <f t="shared" si="174"/>
        <v>0</v>
      </c>
      <c r="CY12" s="230">
        <f t="shared" si="175"/>
        <v>0</v>
      </c>
      <c r="CZ12" s="230">
        <f t="shared" si="176"/>
        <v>0</v>
      </c>
      <c r="DA12" s="230">
        <f t="shared" si="177"/>
        <v>0</v>
      </c>
      <c r="DB12" s="230">
        <f t="shared" si="178"/>
        <v>0</v>
      </c>
      <c r="DC12" s="230">
        <f t="shared" si="179"/>
        <v>0</v>
      </c>
      <c r="DD12" s="230">
        <f t="shared" si="180"/>
        <v>0</v>
      </c>
      <c r="DE12" s="230">
        <f t="shared" si="181"/>
        <v>0</v>
      </c>
      <c r="DF12" s="230">
        <f t="shared" si="182"/>
        <v>0</v>
      </c>
      <c r="DG12" s="230">
        <f t="shared" si="183"/>
        <v>0</v>
      </c>
      <c r="DH12" s="230">
        <f t="shared" si="184"/>
        <v>0</v>
      </c>
      <c r="DI12" s="230">
        <f t="shared" si="185"/>
        <v>0</v>
      </c>
      <c r="DJ12" s="230">
        <f t="shared" si="186"/>
        <v>0</v>
      </c>
      <c r="DK12" s="230" t="str">
        <f>Input!AK12</f>
        <v>40,00W/40,00W/40,00W</v>
      </c>
      <c r="DL12" s="230" t="str">
        <f>Input!BA12</f>
      </c>
      <c r="DM12" s="230" t="str">
        <f>Input!BQ12</f>
      </c>
      <c r="DN12" s="230" t="str">
        <f>Input!CE12</f>
      </c>
      <c r="DO12" s="230" t="str">
        <f>Input!CS12</f>
      </c>
      <c r="DP12" s="230" t="str">
        <f>Input!DG12</f>
      </c>
      <c r="DQ12" s="230" t="str">
        <f t="shared" si="187"/>
        <v>40W/ 40W/ 40W</v>
      </c>
      <c r="DR12" s="230" t="str">
        <f t="shared" si="188"/>
      </c>
      <c r="DS12" s="230" t="str">
        <f t="shared" si="189"/>
      </c>
      <c r="DT12" s="230" t="str">
        <f t="shared" si="190"/>
      </c>
      <c r="DU12" s="230" t="str">
        <f t="shared" si="191"/>
      </c>
      <c r="DV12" s="230" t="str">
        <f t="shared" si="192"/>
      </c>
      <c r="DW12" s="230">
        <f t="shared" si="193"/>
        <v>40</v>
      </c>
      <c r="DX12" s="230">
        <f t="shared" si="194"/>
        <v>40</v>
      </c>
      <c r="DY12" s="230">
        <f t="shared" si="195"/>
        <v>40</v>
      </c>
      <c r="DZ12" s="230">
        <f t="shared" si="196"/>
        <v>0</v>
      </c>
      <c r="EA12" s="230">
        <f t="shared" si="197"/>
        <v>0</v>
      </c>
      <c r="EB12" s="230">
        <f t="shared" si="198"/>
        <v>0</v>
      </c>
      <c r="EC12" s="230">
        <f t="shared" si="199"/>
        <v>40</v>
      </c>
      <c r="ED12" s="230">
        <f t="shared" si="200"/>
        <v>0</v>
      </c>
      <c r="EE12" s="230">
        <f t="shared" si="201"/>
        <v>0</v>
      </c>
      <c r="EF12" s="230">
        <f t="shared" si="202"/>
        <v>0</v>
      </c>
      <c r="EG12" s="230">
        <f t="shared" si="203"/>
        <v>0</v>
      </c>
      <c r="EH12" s="230">
        <f t="shared" si="204"/>
        <v>0</v>
      </c>
      <c r="EI12" s="230">
        <f t="shared" si="205"/>
        <v>0</v>
      </c>
      <c r="EJ12" s="230">
        <f t="shared" si="206"/>
        <v>0</v>
      </c>
      <c r="EK12" s="230">
        <f t="shared" si="207"/>
        <v>0</v>
      </c>
      <c r="EL12" s="230">
        <f t="shared" si="208"/>
        <v>0</v>
      </c>
      <c r="EM12" s="230">
        <f t="shared" si="209"/>
        <v>0</v>
      </c>
      <c r="EN12" s="230">
        <f t="shared" si="210"/>
        <v>0</v>
      </c>
      <c r="EO12" s="230">
        <f t="shared" si="211"/>
        <v>0</v>
      </c>
      <c r="EP12" s="230">
        <f t="shared" si="212"/>
        <v>0</v>
      </c>
      <c r="EQ12" s="230">
        <f t="shared" si="213"/>
        <v>0</v>
      </c>
      <c r="ER12" s="230">
        <f t="shared" si="214"/>
        <v>0</v>
      </c>
      <c r="ES12" s="230">
        <f t="shared" si="215"/>
        <v>0</v>
      </c>
      <c r="ET12" s="230">
        <f t="shared" si="216"/>
        <v>0</v>
      </c>
      <c r="EU12" s="230">
        <f t="shared" si="217"/>
        <v>0</v>
      </c>
      <c r="EV12" s="230">
        <f t="shared" si="218"/>
        <v>0</v>
      </c>
      <c r="EW12" s="230">
        <f t="shared" si="219"/>
        <v>0</v>
      </c>
      <c r="EX12" s="230">
        <f t="shared" si="220"/>
        <v>0</v>
      </c>
      <c r="EY12" s="230">
        <f t="shared" si="221"/>
        <v>0</v>
      </c>
      <c r="EZ12" s="230">
        <f t="shared" si="222"/>
        <v>0</v>
      </c>
      <c r="FA12" s="230">
        <f t="shared" si="223"/>
        <v>0</v>
      </c>
      <c r="FB12" s="230">
        <f t="shared" si="224"/>
        <v>0</v>
      </c>
      <c r="FC12" s="230">
        <f t="shared" si="225"/>
        <v>0</v>
      </c>
      <c r="FD12" s="230">
        <f t="shared" si="226"/>
        <v>0</v>
      </c>
      <c r="FE12" s="230">
        <f t="shared" si="227"/>
        <v>0</v>
      </c>
      <c r="FF12" s="230">
        <f t="shared" si="228"/>
        <v>0</v>
      </c>
      <c r="FG12" s="230">
        <f t="shared" si="229"/>
        <v>0</v>
      </c>
      <c r="FH12" s="230">
        <f t="shared" si="230"/>
        <v>0</v>
      </c>
      <c r="FI12" s="230">
        <f t="shared" si="231"/>
        <v>0</v>
      </c>
      <c r="FJ12" s="230">
        <f t="shared" si="232"/>
        <v>0</v>
      </c>
      <c r="FK12" s="230">
        <f t="shared" si="233"/>
        <v>0</v>
      </c>
      <c r="FL12" s="230">
        <f t="shared" si="234"/>
        <v>0</v>
      </c>
      <c r="FM12" s="230">
        <f t="shared" si="235"/>
        <v>40</v>
      </c>
      <c r="FN12" s="230">
        <f>Input!AL12</f>
        <v>2100</v>
      </c>
      <c r="FO12" s="230">
        <f>Input!BB12</f>
        <v>0</v>
      </c>
      <c r="FP12" s="230">
        <f>Input!BR12</f>
        <v>0</v>
      </c>
      <c r="FQ12" s="230" t="str">
        <f>Input!CF12</f>
      </c>
      <c r="FR12" s="230" t="str">
        <f>Input!CT12</f>
      </c>
      <c r="FS12" s="230" t="str">
        <f>Input!DH12</f>
      </c>
      <c r="FT12" s="230" t="str">
        <f>Input!AM12</f>
        <v>34m/ 34m/ 34m</v>
      </c>
      <c r="FU12" s="230">
        <f>Input!BC12</f>
        <v>0</v>
      </c>
      <c r="FV12" s="230">
        <f>Input!BS12</f>
        <v>0</v>
      </c>
      <c r="FW12" s="230" t="str">
        <f>Input!CG12</f>
      </c>
      <c r="FX12" s="230" t="str">
        <f>Input!CU12</f>
      </c>
      <c r="FY12" s="230" t="str">
        <f>Input!DI12</f>
      </c>
      <c r="FZ12" s="230" t="str">
        <f t="shared" si="236"/>
        <v>34m/ 34m/ 34m</v>
      </c>
      <c r="GA12" s="230" t="str">
        <f t="shared" si="237"/>
      </c>
      <c r="GB12" s="230" t="str">
        <f t="shared" si="238"/>
      </c>
      <c r="GC12" s="230" t="str">
        <f t="shared" si="239"/>
      </c>
      <c r="GD12" s="230" t="str">
        <f t="shared" si="240"/>
      </c>
      <c r="GE12" s="230" t="str">
        <f t="shared" si="241"/>
      </c>
      <c r="GF12" s="230">
        <f t="shared" si="242"/>
        <v>34</v>
      </c>
      <c r="GG12" s="230">
        <f t="shared" si="243"/>
        <v>34</v>
      </c>
      <c r="GH12" s="230">
        <f t="shared" si="244"/>
        <v>34</v>
      </c>
      <c r="GI12" s="230">
        <f t="shared" si="245"/>
        <v>0</v>
      </c>
      <c r="GJ12" s="230">
        <f t="shared" si="246"/>
        <v>0</v>
      </c>
      <c r="GK12" s="230">
        <f t="shared" si="247"/>
        <v>0</v>
      </c>
      <c r="GL12" s="230">
        <f t="shared" si="248"/>
        <v>0</v>
      </c>
      <c r="GM12" s="230">
        <f t="shared" si="249"/>
        <v>0</v>
      </c>
      <c r="GN12" s="230">
        <f t="shared" si="250"/>
        <v>0</v>
      </c>
      <c r="GO12" s="230">
        <f t="shared" si="251"/>
        <v>0</v>
      </c>
      <c r="GP12" s="230">
        <f t="shared" si="252"/>
        <v>0</v>
      </c>
      <c r="GQ12" s="230">
        <f t="shared" si="253"/>
        <v>0</v>
      </c>
      <c r="GR12" s="230">
        <f t="shared" si="254"/>
        <v>0</v>
      </c>
      <c r="GS12" s="230">
        <f t="shared" si="255"/>
        <v>0</v>
      </c>
      <c r="GT12" s="230">
        <f t="shared" si="256"/>
        <v>0</v>
      </c>
      <c r="GU12" s="230">
        <f t="shared" si="257"/>
        <v>0</v>
      </c>
      <c r="GV12" s="230">
        <f t="shared" si="258"/>
        <v>0</v>
      </c>
      <c r="GW12" s="230">
        <f t="shared" si="259"/>
        <v>0</v>
      </c>
      <c r="GX12" s="230">
        <f t="shared" si="260"/>
        <v>0</v>
      </c>
      <c r="GY12" s="230">
        <f t="shared" si="261"/>
        <v>0</v>
      </c>
      <c r="GZ12" s="230">
        <f t="shared" si="262"/>
        <v>0</v>
      </c>
      <c r="HA12" s="230">
        <f t="shared" si="263"/>
        <v>0</v>
      </c>
      <c r="HB12" s="230">
        <f t="shared" si="264"/>
        <v>0</v>
      </c>
      <c r="HC12" s="230">
        <f t="shared" si="265"/>
        <v>0</v>
      </c>
      <c r="HD12" s="230">
        <f t="shared" si="266"/>
        <v>0</v>
      </c>
      <c r="HE12" s="230">
        <f t="shared" si="267"/>
        <v>0</v>
      </c>
      <c r="HF12" s="230">
        <f t="shared" si="268"/>
        <v>0</v>
      </c>
      <c r="HG12" s="230">
        <f t="shared" si="269"/>
        <v>0</v>
      </c>
      <c r="HH12" s="230">
        <f t="shared" si="270"/>
        <v>0</v>
      </c>
      <c r="HI12" s="230">
        <f t="shared" si="271"/>
        <v>0</v>
      </c>
      <c r="HJ12" s="230">
        <f t="shared" si="272"/>
        <v>0</v>
      </c>
      <c r="HK12" s="230">
        <f t="shared" si="273"/>
        <v>0</v>
      </c>
      <c r="HL12" s="230">
        <f t="shared" si="274"/>
        <v>0</v>
      </c>
      <c r="HM12" s="230">
        <f t="shared" si="275"/>
        <v>0</v>
      </c>
      <c r="HN12" s="230">
        <f t="shared" si="276"/>
        <v>0</v>
      </c>
      <c r="HO12" s="230">
        <f t="shared" si="277"/>
        <v>0</v>
      </c>
      <c r="HP12" s="230" t="str">
        <f>INDEX(LabNameList,MATCH(LabId,LabIDList,0))</f>
        <v>Trung tâm Kiểm định và Chứng nhận 2</v>
      </c>
      <c r="HQ12" s="230">
        <f t="shared" si="278"/>
        <v>34</v>
      </c>
      <c r="HR12" s="230">
        <f t="shared" si="279"/>
        <v>0</v>
      </c>
      <c r="HS12" s="230">
        <f t="shared" si="280"/>
        <v>0</v>
      </c>
      <c r="HT12" s="230">
        <f t="shared" si="281"/>
        <v>0</v>
      </c>
      <c r="HU12" s="230">
        <f t="shared" si="282"/>
        <v>0</v>
      </c>
      <c r="HV12" s="230">
        <f t="shared" si="283"/>
        <v>0</v>
      </c>
      <c r="HW12" s="797">
        <f t="shared" si="284"/>
        <v>34</v>
      </c>
      <c r="HX12" s="797">
        <f>Input!EB12</f>
        <v>0</v>
      </c>
      <c r="HY12" s="230">
        <v>68</v>
      </c>
      <c r="HZ12" s="230"/>
      <c r="IA12" s="230"/>
      <c r="IB12" s="230"/>
      <c r="IC12" s="232" t="str">
        <f t="shared" si="285"/>
        <v>B01963230916TG05</v>
      </c>
      <c r="ID12" s="233" t="str">
        <f>Input!O12</f>
        <v>01963</v>
      </c>
      <c r="IE12" s="467" t="str">
        <f t="shared" si="286"/>
        <v>230916</v>
      </c>
      <c r="IF12" s="232" t="s">
        <v>364</v>
      </c>
      <c r="IG12" s="467" t="str">
        <f t="shared" si="287"/>
        <v>23/09/2016</v>
      </c>
      <c r="IH12" s="467" t="str">
        <f t="shared" si="288"/>
        <v>23/09/2021</v>
      </c>
      <c r="II12" s="546" t="str">
        <f> Input!R12</f>
        <v>23/09/2016</v>
      </c>
      <c r="IJ12" s="467">
        <f t="shared" si="289"/>
        <v>44462</v>
      </c>
      <c r="IK12" s="468">
        <f t="shared" si="290"/>
        <v>3</v>
      </c>
      <c r="IL12" s="469" t="str">
        <f t="shared" si="291"/>
        <v>3-1</v>
      </c>
      <c r="IM12" s="469" t="str">
        <f t="shared" si="292"/>
        <v>KHAC</v>
      </c>
      <c r="IN12" s="469" t="str">
        <f t="shared" si="293"/>
        <v>KHAC</v>
      </c>
      <c r="IO12" s="469" t="str">
        <f t="shared" si="294"/>
      </c>
      <c r="IP12" s="469" t="str">
        <f t="shared" si="295"/>
      </c>
      <c r="IQ12" s="469" t="str">
        <f t="shared" si="296"/>
      </c>
      <c r="IR12" s="469">
        <f t="shared" si="297"/>
        <v>1</v>
      </c>
      <c r="IS12" s="469">
        <f t="shared" si="298"/>
        <v>2</v>
      </c>
      <c r="IT12" s="469" t="str">
        <f t="shared" si="299"/>
        <v>Yes</v>
      </c>
      <c r="IU12" s="469" t="str">
        <f t="shared" si="300"/>
        <v>Yes</v>
      </c>
    </row>
    <row r="13" ht="63.75">
      <c r="A13" s="601">
        <f>Input!A13</f>
        <v>12</v>
      </c>
      <c r="B13" s="229" t="str">
        <f>INDEX(ApplicantIDList,MATCH(AI13,ApplicantNameList,0))</f>
        <v>VIETTEL-2016</v>
      </c>
      <c r="C13" s="229" t="str">
        <f>INDEX(OperatorIDList,MATCH(AJ13,OperatorNameList,0))</f>
        <v>VIETTEL-2016</v>
      </c>
      <c r="D13" s="797" t="str">
        <f>Input!Y13</f>
        <v>HCM2230</v>
      </c>
      <c r="E13" s="229" t="str">
        <f>Input!G13</f>
        <v>Số 888/6, đường Lê Văn Lương, xã Nhơn Đức, huyện Bình Chánh, thành phố Hồ Chí Minh.</v>
      </c>
      <c r="F13" s="229" t="str">
        <f>TRIM(SUBSTITUTE(SUBSTITUTE(Input!H13,"Thành phố ",""),"Tỉnh ",""))</f>
        <v>Hồ Chí Minh</v>
      </c>
      <c r="G13" s="797" t="str">
        <f>Input!I13</f>
        <v>106,70084</v>
      </c>
      <c r="H13" s="797" t="str">
        <f>Input!J13</f>
        <v>10,68607</v>
      </c>
      <c r="I13" s="229">
        <f>Input!V13</f>
        <v>1</v>
      </c>
      <c r="J13" s="229" t="str">
        <f>Input!K13</f>
        <v>1502382/16/TG/TT2</v>
      </c>
      <c r="K13" s="231" t="str">
        <f>TEXT(Input!L13,"dd/mm/yyyy")</f>
        <v>23/09/2016</v>
      </c>
      <c r="L13" s="231" t="str">
        <f>TEXT(Input!M13,"dd/mm/yyyy")</f>
        <v>13/09/2016</v>
      </c>
      <c r="M13" s="229" t="str">
        <f t="shared" si="135"/>
        <v>TỔNG CÔNG TY MẠNG LƯỚI VIETTEL</v>
      </c>
      <c r="N13" s="229" t="str">
        <f t="shared" si="136"/>
        <v>HCM2230</v>
      </c>
      <c r="O13" s="229" t="str">
        <f t="shared" si="137"/>
        <v>HUAWEI DBS3900</v>
      </c>
      <c r="P13" s="229" t="str">
        <f t="shared" si="138"/>
        <v>3</v>
      </c>
      <c r="Q13" s="229" t="str">
        <f t="shared" si="139"/>
        <v>2/2/2</v>
      </c>
      <c r="R13" s="229" t="str">
        <f t="shared" si="140"/>
        <v>40W/ 40W/ 40W</v>
      </c>
      <c r="S13" s="229" t="str">
        <f t="shared" si="141"/>
        <v>2100</v>
      </c>
      <c r="T13" s="229" t="str">
        <f t="shared" si="142"/>
        <v>27m/ 27m/ 27m</v>
      </c>
      <c r="U13" s="229">
        <v>1</v>
      </c>
      <c r="V13" s="229"/>
      <c r="W13" s="229" t="b">
        <f t="shared" si="143"/>
        <v>0</v>
      </c>
      <c r="X13" s="229" t="b">
        <f>INDEX(TrueFalseList,_xlfn.IFNA(MATCH(Input!W13,CoKhongList,0),MATCH(Input!W13,YesNoList,0)))</f>
        <v>0</v>
      </c>
      <c r="Y13" s="797">
        <f>Input!FZ13</f>
        <v>0</v>
      </c>
      <c r="Z13" s="229" t="b">
        <v>1</v>
      </c>
      <c r="AA13" s="797">
        <f t="shared" si="144"/>
        <v>27</v>
      </c>
      <c r="AB13" s="229" t="b">
        <v>0</v>
      </c>
      <c r="AC13" s="229" t="b">
        <v>1</v>
      </c>
      <c r="AD13" s="229">
        <f>Input!DR13</f>
        <v>0</v>
      </c>
      <c r="AE13" s="229"/>
      <c r="AF13" s="229" t="str">
        <f>Options!$D$6</f>
        <v>VCC2</v>
      </c>
      <c r="AG13" s="229">
        <f t="shared" si="145"/>
        <v>0</v>
      </c>
      <c r="AH13" s="230"/>
      <c r="AI13" s="553" t="str">
        <f>Input!E13</f>
        <v>TỔNG CÔNG TY MẠNG LƯỚI VIETTEL</v>
      </c>
      <c r="AJ13" s="553" t="str">
        <f>Input!F13</f>
        <v>TỔNG CÔNG TY MẠNG LƯỚI VIETTEL</v>
      </c>
      <c r="AK13" s="229">
        <f t="shared" si="146"/>
        <v>4</v>
      </c>
      <c r="AL13" s="465" t="str">
        <f t="shared" si="147"/>
        <v>thành phố Hồ Chí Minh.</v>
      </c>
      <c r="AM13" s="465" t="str">
        <f t="shared" si="148"/>
        <v>huyện Bình Chánh</v>
      </c>
      <c r="AN13" s="465" t="str">
        <f t="shared" si="149"/>
        <v>xã Nhơn Đức</v>
      </c>
      <c r="AO13" s="229" t="str">
        <f>INDEX(CityIDList,MATCH(F13,CityNameList,0))</f>
        <v>HCM</v>
      </c>
      <c r="AP13" s="230" t="str">
        <f>Input!X13</f>
        <v>TỔNG CÔNG TY MẠNG LƯỚI VIETTEL</v>
      </c>
      <c r="AQ13" s="230">
        <f>Input!AN13</f>
        <v>0</v>
      </c>
      <c r="AR13" s="230">
        <f>Input!BD13</f>
        <v>0</v>
      </c>
      <c r="AS13" s="230" t="str">
        <f>Input!BT13</f>
      </c>
      <c r="AT13" s="230" t="str">
        <f>Input!CH13</f>
      </c>
      <c r="AU13" s="230" t="str">
        <f>Input!CV13</f>
      </c>
      <c r="AV13" s="230" t="str">
        <f>IF(I13&gt;=1,INDEX(OperatorIDList,MATCH(AP13,OperatorNameList,0)),"")</f>
        <v>VIETTEL-2016</v>
      </c>
      <c r="AW13" s="230" t="str">
        <f>IF(I13&gt;=2,INDEX(OperatorIDList,MATCH(AQ13,OperatorNameList,0)),"")</f>
      </c>
      <c r="AX13" s="230" t="str">
        <f>IF(I13&gt;=3,INDEX(OperatorIDList,MATCH(AR13,OperatorNameList,0)),"")</f>
      </c>
      <c r="AY13" s="230" t="str">
        <f>IF(I13&gt;=4,INDEX(OperatorIDList,MATCH(AS13,OperatorNameList,0)),"")</f>
      </c>
      <c r="AZ13" s="230" t="str">
        <f>IF(I13&gt;=5,INDEX(OperatorIDList,MATCH(AT13,OperatorNameList,0)),"")</f>
      </c>
      <c r="BA13" s="230" t="str">
        <f>IF(I13&gt;=6,INDEX(OperatorIDList,MATCH(AU13,OperatorNameList,0)),"")</f>
      </c>
      <c r="BB13" s="230" t="str">
        <f t="shared" si="150"/>
        <v>VIETTEL-2016</v>
      </c>
      <c r="BC13" s="230" t="str">
        <f>Input!Y13</f>
        <v>HCM2230</v>
      </c>
      <c r="BD13" s="230">
        <f>Input!AO13</f>
        <v>0</v>
      </c>
      <c r="BE13" s="230">
        <f>Input!BE13</f>
        <v>0</v>
      </c>
      <c r="BF13" s="230" t="str">
        <f>Input!BU13</f>
      </c>
      <c r="BG13" s="230" t="str">
        <f>Input!CI13</f>
      </c>
      <c r="BH13" s="230" t="str">
        <f>Input!CW13</f>
      </c>
      <c r="BI13" s="230" t="str">
        <f>Input!Z13</f>
        <v>HUAWEI DBS3900</v>
      </c>
      <c r="BJ13" s="230">
        <f>Input!AP13</f>
        <v>0</v>
      </c>
      <c r="BK13" s="230">
        <f>Input!BF13</f>
        <v>0</v>
      </c>
      <c r="BL13" s="230" t="str">
        <f>Input!BV13</f>
      </c>
      <c r="BM13" s="230" t="str">
        <f>Input!CJ13</f>
      </c>
      <c r="BN13" s="230" t="str">
        <f>Input!CX13</f>
      </c>
      <c r="BO13" s="553">
        <f>IF(ISNUMBER(Input!AA13),Input!AA13,0)</f>
        <v>3</v>
      </c>
      <c r="BP13" s="553">
        <f>IF(ISNUMBER(Input!AQ13),Input!AQ13,0)</f>
        <v>0</v>
      </c>
      <c r="BQ13" s="553">
        <f>IF(ISNUMBER(Input!BG13),Input!BG13,0)</f>
        <v>0</v>
      </c>
      <c r="BR13" s="553">
        <f>IF(ISNUMBER(Input!BW13),Input!BW13,0)</f>
        <v>0</v>
      </c>
      <c r="BS13" s="553">
        <f>IF(ISNUMBER(Input!CK13),Input!CK13,0)</f>
        <v>0</v>
      </c>
      <c r="BT13" s="554">
        <f>IF(ISNUMBER(Input!CY13),Input!CY13,0)</f>
        <v>0</v>
      </c>
      <c r="BU13" s="230" t="str">
        <f>Input!AF13</f>
        <v>2/2/2</v>
      </c>
      <c r="BV13" s="230" t="str">
        <f>Input!AV13</f>
      </c>
      <c r="BW13" s="230" t="str">
        <f>Input!BL13</f>
      </c>
      <c r="BX13" s="230" t="str">
        <f>Input!CA13</f>
      </c>
      <c r="BY13" s="230" t="str">
        <f>Input!CO13</f>
      </c>
      <c r="BZ13" s="230" t="str">
        <f>Input!DC13</f>
      </c>
      <c r="CA13" s="230">
        <f t="shared" si="151"/>
        <v>2</v>
      </c>
      <c r="CB13" s="230">
        <f t="shared" si="152"/>
        <v>2</v>
      </c>
      <c r="CC13" s="230">
        <f t="shared" si="153"/>
        <v>2</v>
      </c>
      <c r="CD13" s="230">
        <f t="shared" si="154"/>
        <v>0</v>
      </c>
      <c r="CE13" s="230">
        <f t="shared" si="155"/>
        <v>0</v>
      </c>
      <c r="CF13" s="230">
        <f t="shared" si="156"/>
        <v>0</v>
      </c>
      <c r="CG13" s="230">
        <f t="shared" si="157"/>
        <v>0</v>
      </c>
      <c r="CH13" s="230">
        <f t="shared" si="158"/>
        <v>0</v>
      </c>
      <c r="CI13" s="230">
        <f t="shared" si="159"/>
        <v>0</v>
      </c>
      <c r="CJ13" s="230">
        <f t="shared" si="160"/>
        <v>0</v>
      </c>
      <c r="CK13" s="230">
        <f t="shared" si="161"/>
        <v>0</v>
      </c>
      <c r="CL13" s="230">
        <f t="shared" si="162"/>
        <v>0</v>
      </c>
      <c r="CM13" s="230">
        <f t="shared" si="163"/>
        <v>0</v>
      </c>
      <c r="CN13" s="230">
        <f t="shared" si="164"/>
        <v>0</v>
      </c>
      <c r="CO13" s="230">
        <f t="shared" si="165"/>
        <v>0</v>
      </c>
      <c r="CP13" s="230">
        <f t="shared" si="166"/>
        <v>0</v>
      </c>
      <c r="CQ13" s="230">
        <f t="shared" si="167"/>
        <v>0</v>
      </c>
      <c r="CR13" s="230">
        <f t="shared" si="168"/>
        <v>0</v>
      </c>
      <c r="CS13" s="230">
        <f t="shared" si="169"/>
        <v>0</v>
      </c>
      <c r="CT13" s="230">
        <f t="shared" si="170"/>
        <v>0</v>
      </c>
      <c r="CU13" s="230">
        <f t="shared" si="171"/>
        <v>0</v>
      </c>
      <c r="CV13" s="230">
        <f t="shared" si="172"/>
        <v>0</v>
      </c>
      <c r="CW13" s="230">
        <f t="shared" si="173"/>
        <v>0</v>
      </c>
      <c r="CX13" s="230">
        <f t="shared" si="174"/>
        <v>0</v>
      </c>
      <c r="CY13" s="230">
        <f t="shared" si="175"/>
        <v>0</v>
      </c>
      <c r="CZ13" s="230">
        <f t="shared" si="176"/>
        <v>0</v>
      </c>
      <c r="DA13" s="230">
        <f t="shared" si="177"/>
        <v>0</v>
      </c>
      <c r="DB13" s="230">
        <f t="shared" si="178"/>
        <v>0</v>
      </c>
      <c r="DC13" s="230">
        <f t="shared" si="179"/>
        <v>0</v>
      </c>
      <c r="DD13" s="230">
        <f t="shared" si="180"/>
        <v>0</v>
      </c>
      <c r="DE13" s="230">
        <f t="shared" si="181"/>
        <v>0</v>
      </c>
      <c r="DF13" s="230">
        <f t="shared" si="182"/>
        <v>0</v>
      </c>
      <c r="DG13" s="230">
        <f t="shared" si="183"/>
        <v>0</v>
      </c>
      <c r="DH13" s="230">
        <f t="shared" si="184"/>
        <v>0</v>
      </c>
      <c r="DI13" s="230">
        <f t="shared" si="185"/>
        <v>0</v>
      </c>
      <c r="DJ13" s="230">
        <f t="shared" si="186"/>
        <v>0</v>
      </c>
      <c r="DK13" s="230" t="str">
        <f>Input!AK13</f>
        <v>40,00W/40,00W/40,00W</v>
      </c>
      <c r="DL13" s="230" t="str">
        <f>Input!BA13</f>
      </c>
      <c r="DM13" s="230" t="str">
        <f>Input!BQ13</f>
      </c>
      <c r="DN13" s="230" t="str">
        <f>Input!CE13</f>
      </c>
      <c r="DO13" s="230" t="str">
        <f>Input!CS13</f>
      </c>
      <c r="DP13" s="230" t="str">
        <f>Input!DG13</f>
      </c>
      <c r="DQ13" s="230" t="str">
        <f t="shared" si="187"/>
        <v>40W/ 40W/ 40W</v>
      </c>
      <c r="DR13" s="230" t="str">
        <f t="shared" si="188"/>
      </c>
      <c r="DS13" s="230" t="str">
        <f t="shared" si="189"/>
      </c>
      <c r="DT13" s="230" t="str">
        <f t="shared" si="190"/>
      </c>
      <c r="DU13" s="230" t="str">
        <f t="shared" si="191"/>
      </c>
      <c r="DV13" s="230" t="str">
        <f t="shared" si="192"/>
      </c>
      <c r="DW13" s="230">
        <f t="shared" si="193"/>
        <v>40</v>
      </c>
      <c r="DX13" s="230">
        <f t="shared" si="194"/>
        <v>40</v>
      </c>
      <c r="DY13" s="230">
        <f t="shared" si="195"/>
        <v>40</v>
      </c>
      <c r="DZ13" s="230">
        <f t="shared" si="196"/>
        <v>0</v>
      </c>
      <c r="EA13" s="230">
        <f t="shared" si="197"/>
        <v>0</v>
      </c>
      <c r="EB13" s="230">
        <f t="shared" si="198"/>
        <v>0</v>
      </c>
      <c r="EC13" s="230">
        <f t="shared" si="199"/>
        <v>40</v>
      </c>
      <c r="ED13" s="230">
        <f t="shared" si="200"/>
        <v>0</v>
      </c>
      <c r="EE13" s="230">
        <f t="shared" si="201"/>
        <v>0</v>
      </c>
      <c r="EF13" s="230">
        <f t="shared" si="202"/>
        <v>0</v>
      </c>
      <c r="EG13" s="230">
        <f t="shared" si="203"/>
        <v>0</v>
      </c>
      <c r="EH13" s="230">
        <f t="shared" si="204"/>
        <v>0</v>
      </c>
      <c r="EI13" s="230">
        <f t="shared" si="205"/>
        <v>0</v>
      </c>
      <c r="EJ13" s="230">
        <f t="shared" si="206"/>
        <v>0</v>
      </c>
      <c r="EK13" s="230">
        <f t="shared" si="207"/>
        <v>0</v>
      </c>
      <c r="EL13" s="230">
        <f t="shared" si="208"/>
        <v>0</v>
      </c>
      <c r="EM13" s="230">
        <f t="shared" si="209"/>
        <v>0</v>
      </c>
      <c r="EN13" s="230">
        <f t="shared" si="210"/>
        <v>0</v>
      </c>
      <c r="EO13" s="230">
        <f t="shared" si="211"/>
        <v>0</v>
      </c>
      <c r="EP13" s="230">
        <f t="shared" si="212"/>
        <v>0</v>
      </c>
      <c r="EQ13" s="230">
        <f t="shared" si="213"/>
        <v>0</v>
      </c>
      <c r="ER13" s="230">
        <f t="shared" si="214"/>
        <v>0</v>
      </c>
      <c r="ES13" s="230">
        <f t="shared" si="215"/>
        <v>0</v>
      </c>
      <c r="ET13" s="230">
        <f t="shared" si="216"/>
        <v>0</v>
      </c>
      <c r="EU13" s="230">
        <f t="shared" si="217"/>
        <v>0</v>
      </c>
      <c r="EV13" s="230">
        <f t="shared" si="218"/>
        <v>0</v>
      </c>
      <c r="EW13" s="230">
        <f t="shared" si="219"/>
        <v>0</v>
      </c>
      <c r="EX13" s="230">
        <f t="shared" si="220"/>
        <v>0</v>
      </c>
      <c r="EY13" s="230">
        <f t="shared" si="221"/>
        <v>0</v>
      </c>
      <c r="EZ13" s="230">
        <f t="shared" si="222"/>
        <v>0</v>
      </c>
      <c r="FA13" s="230">
        <f t="shared" si="223"/>
        <v>0</v>
      </c>
      <c r="FB13" s="230">
        <f t="shared" si="224"/>
        <v>0</v>
      </c>
      <c r="FC13" s="230">
        <f t="shared" si="225"/>
        <v>0</v>
      </c>
      <c r="FD13" s="230">
        <f t="shared" si="226"/>
        <v>0</v>
      </c>
      <c r="FE13" s="230">
        <f t="shared" si="227"/>
        <v>0</v>
      </c>
      <c r="FF13" s="230">
        <f t="shared" si="228"/>
        <v>0</v>
      </c>
      <c r="FG13" s="230">
        <f t="shared" si="229"/>
        <v>0</v>
      </c>
      <c r="FH13" s="230">
        <f t="shared" si="230"/>
        <v>0</v>
      </c>
      <c r="FI13" s="230">
        <f t="shared" si="231"/>
        <v>0</v>
      </c>
      <c r="FJ13" s="230">
        <f t="shared" si="232"/>
        <v>0</v>
      </c>
      <c r="FK13" s="230">
        <f t="shared" si="233"/>
        <v>0</v>
      </c>
      <c r="FL13" s="230">
        <f t="shared" si="234"/>
        <v>0</v>
      </c>
      <c r="FM13" s="230">
        <f t="shared" si="235"/>
        <v>40</v>
      </c>
      <c r="FN13" s="230">
        <f>Input!AL13</f>
        <v>2100</v>
      </c>
      <c r="FO13" s="230">
        <f>Input!BB13</f>
        <v>0</v>
      </c>
      <c r="FP13" s="230">
        <f>Input!BR13</f>
        <v>0</v>
      </c>
      <c r="FQ13" s="230" t="str">
        <f>Input!CF13</f>
      </c>
      <c r="FR13" s="230" t="str">
        <f>Input!CT13</f>
      </c>
      <c r="FS13" s="230" t="str">
        <f>Input!DH13</f>
      </c>
      <c r="FT13" s="230" t="str">
        <f>Input!AM13</f>
        <v>27m/ 27m/ 27m</v>
      </c>
      <c r="FU13" s="230">
        <f>Input!BC13</f>
        <v>0</v>
      </c>
      <c r="FV13" s="230">
        <f>Input!BS13</f>
        <v>0</v>
      </c>
      <c r="FW13" s="230" t="str">
        <f>Input!CG13</f>
      </c>
      <c r="FX13" s="230" t="str">
        <f>Input!CU13</f>
      </c>
      <c r="FY13" s="230" t="str">
        <f>Input!DI13</f>
      </c>
      <c r="FZ13" s="230" t="str">
        <f t="shared" si="236"/>
        <v>27m/ 27m/ 27m</v>
      </c>
      <c r="GA13" s="230" t="str">
        <f t="shared" si="237"/>
      </c>
      <c r="GB13" s="230" t="str">
        <f t="shared" si="238"/>
      </c>
      <c r="GC13" s="230" t="str">
        <f t="shared" si="239"/>
      </c>
      <c r="GD13" s="230" t="str">
        <f t="shared" si="240"/>
      </c>
      <c r="GE13" s="230" t="str">
        <f t="shared" si="241"/>
      </c>
      <c r="GF13" s="230">
        <f t="shared" si="242"/>
        <v>27</v>
      </c>
      <c r="GG13" s="230">
        <f t="shared" si="243"/>
        <v>27</v>
      </c>
      <c r="GH13" s="230">
        <f t="shared" si="244"/>
        <v>27</v>
      </c>
      <c r="GI13" s="230">
        <f t="shared" si="245"/>
        <v>0</v>
      </c>
      <c r="GJ13" s="230">
        <f t="shared" si="246"/>
        <v>0</v>
      </c>
      <c r="GK13" s="230">
        <f t="shared" si="247"/>
        <v>0</v>
      </c>
      <c r="GL13" s="230">
        <f t="shared" si="248"/>
        <v>0</v>
      </c>
      <c r="GM13" s="230">
        <f t="shared" si="249"/>
        <v>0</v>
      </c>
      <c r="GN13" s="230">
        <f t="shared" si="250"/>
        <v>0</v>
      </c>
      <c r="GO13" s="230">
        <f t="shared" si="251"/>
        <v>0</v>
      </c>
      <c r="GP13" s="230">
        <f t="shared" si="252"/>
        <v>0</v>
      </c>
      <c r="GQ13" s="230">
        <f t="shared" si="253"/>
        <v>0</v>
      </c>
      <c r="GR13" s="230">
        <f t="shared" si="254"/>
        <v>0</v>
      </c>
      <c r="GS13" s="230">
        <f t="shared" si="255"/>
        <v>0</v>
      </c>
      <c r="GT13" s="230">
        <f t="shared" si="256"/>
        <v>0</v>
      </c>
      <c r="GU13" s="230">
        <f t="shared" si="257"/>
        <v>0</v>
      </c>
      <c r="GV13" s="230">
        <f t="shared" si="258"/>
        <v>0</v>
      </c>
      <c r="GW13" s="230">
        <f t="shared" si="259"/>
        <v>0</v>
      </c>
      <c r="GX13" s="230">
        <f t="shared" si="260"/>
        <v>0</v>
      </c>
      <c r="GY13" s="230">
        <f t="shared" si="261"/>
        <v>0</v>
      </c>
      <c r="GZ13" s="230">
        <f t="shared" si="262"/>
        <v>0</v>
      </c>
      <c r="HA13" s="230">
        <f t="shared" si="263"/>
        <v>0</v>
      </c>
      <c r="HB13" s="230">
        <f t="shared" si="264"/>
        <v>0</v>
      </c>
      <c r="HC13" s="230">
        <f t="shared" si="265"/>
        <v>0</v>
      </c>
      <c r="HD13" s="230">
        <f t="shared" si="266"/>
        <v>0</v>
      </c>
      <c r="HE13" s="230">
        <f t="shared" si="267"/>
        <v>0</v>
      </c>
      <c r="HF13" s="230">
        <f t="shared" si="268"/>
        <v>0</v>
      </c>
      <c r="HG13" s="230">
        <f t="shared" si="269"/>
        <v>0</v>
      </c>
      <c r="HH13" s="230">
        <f t="shared" si="270"/>
        <v>0</v>
      </c>
      <c r="HI13" s="230">
        <f t="shared" si="271"/>
        <v>0</v>
      </c>
      <c r="HJ13" s="230">
        <f t="shared" si="272"/>
        <v>0</v>
      </c>
      <c r="HK13" s="230">
        <f t="shared" si="273"/>
        <v>0</v>
      </c>
      <c r="HL13" s="230">
        <f t="shared" si="274"/>
        <v>0</v>
      </c>
      <c r="HM13" s="230">
        <f t="shared" si="275"/>
        <v>0</v>
      </c>
      <c r="HN13" s="230">
        <f t="shared" si="276"/>
        <v>0</v>
      </c>
      <c r="HO13" s="230">
        <f t="shared" si="277"/>
        <v>0</v>
      </c>
      <c r="HP13" s="230" t="str">
        <f>INDEX(LabNameList,MATCH(LabId,LabIDList,0))</f>
        <v>Trung tâm Kiểm định và Chứng nhận 2</v>
      </c>
      <c r="HQ13" s="230">
        <f t="shared" si="278"/>
        <v>27</v>
      </c>
      <c r="HR13" s="230">
        <f t="shared" si="279"/>
        <v>0</v>
      </c>
      <c r="HS13" s="230">
        <f t="shared" si="280"/>
        <v>0</v>
      </c>
      <c r="HT13" s="230">
        <f t="shared" si="281"/>
        <v>0</v>
      </c>
      <c r="HU13" s="230">
        <f t="shared" si="282"/>
        <v>0</v>
      </c>
      <c r="HV13" s="230">
        <f t="shared" si="283"/>
        <v>0</v>
      </c>
      <c r="HW13" s="797">
        <f t="shared" si="284"/>
        <v>27</v>
      </c>
      <c r="HX13" s="797">
        <f>Input!EB13</f>
        <v>0</v>
      </c>
      <c r="HY13" s="230">
        <v>68</v>
      </c>
      <c r="HZ13" s="230"/>
      <c r="IA13" s="230"/>
      <c r="IB13" s="230"/>
      <c r="IC13" s="232" t="str">
        <f t="shared" si="285"/>
        <v>B01964230916TG05</v>
      </c>
      <c r="ID13" s="233" t="str">
        <f>Input!O13</f>
        <v>01964</v>
      </c>
      <c r="IE13" s="467" t="str">
        <f t="shared" si="286"/>
        <v>230916</v>
      </c>
      <c r="IF13" s="232" t="s">
        <v>364</v>
      </c>
      <c r="IG13" s="467" t="str">
        <f t="shared" si="287"/>
        <v>23/09/2016</v>
      </c>
      <c r="IH13" s="467" t="str">
        <f t="shared" si="288"/>
        <v>23/09/2021</v>
      </c>
      <c r="II13" s="546" t="str">
        <f> Input!R13</f>
        <v>23/09/2016</v>
      </c>
      <c r="IJ13" s="467">
        <f t="shared" si="289"/>
        <v>44462</v>
      </c>
      <c r="IK13" s="468">
        <f t="shared" si="290"/>
        <v>3</v>
      </c>
      <c r="IL13" s="469" t="str">
        <f t="shared" si="291"/>
        <v>3-1</v>
      </c>
      <c r="IM13" s="469" t="str">
        <f t="shared" si="292"/>
        <v>KHAC</v>
      </c>
      <c r="IN13" s="469" t="str">
        <f t="shared" si="293"/>
        <v>KHAC</v>
      </c>
      <c r="IO13" s="469" t="str">
        <f t="shared" si="294"/>
      </c>
      <c r="IP13" s="469" t="str">
        <f t="shared" si="295"/>
      </c>
      <c r="IQ13" s="469" t="str">
        <f t="shared" si="296"/>
      </c>
      <c r="IR13" s="469">
        <f t="shared" si="297"/>
        <v>1</v>
      </c>
      <c r="IS13" s="469">
        <f t="shared" si="298"/>
        <v>2</v>
      </c>
      <c r="IT13" s="469" t="str">
        <f t="shared" si="299"/>
        <v>Yes</v>
      </c>
      <c r="IU13" s="469" t="str">
        <f t="shared" si="300"/>
        <v>Yes</v>
      </c>
    </row>
    <row r="14" ht="63.75">
      <c r="A14" s="601">
        <f>Input!A14</f>
        <v>13</v>
      </c>
      <c r="B14" s="229" t="str">
        <f>INDEX(ApplicantIDList,MATCH(AI14,ApplicantNameList,0))</f>
        <v>VIETTEL-2016</v>
      </c>
      <c r="C14" s="229" t="str">
        <f>INDEX(OperatorIDList,MATCH(AJ14,OperatorNameList,0))</f>
        <v>VIETTEL-2016</v>
      </c>
      <c r="D14" s="797" t="str">
        <f>Input!Y14</f>
        <v>HCM2232</v>
      </c>
      <c r="E14" s="229" t="str">
        <f>Input!G14</f>
        <v>Ấp 1, xã Tân Kiên, huyện Bình Chánh, thành phố Hồ Chí Minh.</v>
      </c>
      <c r="F14" s="229" t="str">
        <f>TRIM(SUBSTITUTE(SUBSTITUTE(Input!H14,"Thành phố ",""),"Tỉnh ",""))</f>
        <v>Hồ Chí Minh</v>
      </c>
      <c r="G14" s="797" t="str">
        <f>Input!I14</f>
        <v>106,580956</v>
      </c>
      <c r="H14" s="797" t="str">
        <f>Input!J14</f>
        <v>10,724742</v>
      </c>
      <c r="I14" s="229">
        <f>Input!V14</f>
        <v>1</v>
      </c>
      <c r="J14" s="229" t="str">
        <f>Input!K14</f>
        <v>1502383/16/TG/TT2</v>
      </c>
      <c r="K14" s="231" t="str">
        <f>TEXT(Input!L14,"dd/mm/yyyy")</f>
        <v>23/09/2016</v>
      </c>
      <c r="L14" s="231" t="str">
        <f>TEXT(Input!M14,"dd/mm/yyyy")</f>
        <v>13/09/2016</v>
      </c>
      <c r="M14" s="229" t="str">
        <f t="shared" si="135"/>
        <v>TỔNG CÔNG TY MẠNG LƯỚI VIETTEL</v>
      </c>
      <c r="N14" s="229" t="str">
        <f t="shared" si="136"/>
        <v>HCM2232</v>
      </c>
      <c r="O14" s="229" t="str">
        <f t="shared" si="137"/>
        <v>HUAWEI DBS3900</v>
      </c>
      <c r="P14" s="229" t="str">
        <f t="shared" si="138"/>
        <v>3</v>
      </c>
      <c r="Q14" s="229" t="str">
        <f t="shared" si="139"/>
        <v>2/2/2</v>
      </c>
      <c r="R14" s="229" t="str">
        <f t="shared" si="140"/>
        <v>40W/ 40W/ 40W</v>
      </c>
      <c r="S14" s="229" t="str">
        <f t="shared" si="141"/>
        <v>2100</v>
      </c>
      <c r="T14" s="229" t="str">
        <f t="shared" si="142"/>
        <v>28m/ 28m/ 28m</v>
      </c>
      <c r="U14" s="229">
        <v>1</v>
      </c>
      <c r="V14" s="229"/>
      <c r="W14" s="229" t="b">
        <f t="shared" si="143"/>
        <v>0</v>
      </c>
      <c r="X14" s="229" t="b">
        <f>INDEX(TrueFalseList,_xlfn.IFNA(MATCH(Input!W14,CoKhongList,0),MATCH(Input!W14,YesNoList,0)))</f>
        <v>0</v>
      </c>
      <c r="Y14" s="797">
        <f>Input!FZ14</f>
        <v>0</v>
      </c>
      <c r="Z14" s="229" t="b">
        <v>1</v>
      </c>
      <c r="AA14" s="797">
        <f t="shared" si="144"/>
        <v>28</v>
      </c>
      <c r="AB14" s="229" t="b">
        <v>0</v>
      </c>
      <c r="AC14" s="229" t="b">
        <v>1</v>
      </c>
      <c r="AD14" s="229">
        <f>Input!DR14</f>
        <v>0</v>
      </c>
      <c r="AE14" s="229"/>
      <c r="AF14" s="229" t="str">
        <f>Options!$D$6</f>
        <v>VCC2</v>
      </c>
      <c r="AG14" s="229">
        <f t="shared" si="145"/>
        <v>0</v>
      </c>
      <c r="AH14" s="230"/>
      <c r="AI14" s="553" t="str">
        <f>Input!E14</f>
        <v>TỔNG CÔNG TY MẠNG LƯỚI VIETTEL</v>
      </c>
      <c r="AJ14" s="553" t="str">
        <f>Input!F14</f>
        <v>TỔNG CÔNG TY MẠNG LƯỚI VIETTEL</v>
      </c>
      <c r="AK14" s="229">
        <f t="shared" si="146"/>
        <v>3</v>
      </c>
      <c r="AL14" s="465" t="str">
        <f t="shared" si="147"/>
        <v>thành phố Hồ Chí Minh.</v>
      </c>
      <c r="AM14" s="465" t="str">
        <f t="shared" si="148"/>
        <v>huyện Bình Chánh</v>
      </c>
      <c r="AN14" s="465" t="str">
        <f t="shared" si="149"/>
        <v>xã Tân Kiên</v>
      </c>
      <c r="AO14" s="229" t="str">
        <f>INDEX(CityIDList,MATCH(F14,CityNameList,0))</f>
        <v>HCM</v>
      </c>
      <c r="AP14" s="230" t="str">
        <f>Input!X14</f>
        <v>TỔNG CÔNG TY MẠNG LƯỚI VIETTEL</v>
      </c>
      <c r="AQ14" s="230">
        <f>Input!AN14</f>
        <v>0</v>
      </c>
      <c r="AR14" s="230">
        <f>Input!BD14</f>
        <v>0</v>
      </c>
      <c r="AS14" s="230" t="str">
        <f>Input!BT14</f>
      </c>
      <c r="AT14" s="230" t="str">
        <f>Input!CH14</f>
      </c>
      <c r="AU14" s="230" t="str">
        <f>Input!CV14</f>
      </c>
      <c r="AV14" s="230" t="str">
        <f>IF(I14&gt;=1,INDEX(OperatorIDList,MATCH(AP14,OperatorNameList,0)),"")</f>
        <v>VIETTEL-2016</v>
      </c>
      <c r="AW14" s="230" t="str">
        <f>IF(I14&gt;=2,INDEX(OperatorIDList,MATCH(AQ14,OperatorNameList,0)),"")</f>
      </c>
      <c r="AX14" s="230" t="str">
        <f>IF(I14&gt;=3,INDEX(OperatorIDList,MATCH(AR14,OperatorNameList,0)),"")</f>
      </c>
      <c r="AY14" s="230" t="str">
        <f>IF(I14&gt;=4,INDEX(OperatorIDList,MATCH(AS14,OperatorNameList,0)),"")</f>
      </c>
      <c r="AZ14" s="230" t="str">
        <f>IF(I14&gt;=5,INDEX(OperatorIDList,MATCH(AT14,OperatorNameList,0)),"")</f>
      </c>
      <c r="BA14" s="230" t="str">
        <f>IF(I14&gt;=6,INDEX(OperatorIDList,MATCH(AU14,OperatorNameList,0)),"")</f>
      </c>
      <c r="BB14" s="230" t="str">
        <f t="shared" si="150"/>
        <v>VIETTEL-2016</v>
      </c>
      <c r="BC14" s="230" t="str">
        <f>Input!Y14</f>
        <v>HCM2232</v>
      </c>
      <c r="BD14" s="230">
        <f>Input!AO14</f>
        <v>0</v>
      </c>
      <c r="BE14" s="230">
        <f>Input!BE14</f>
        <v>0</v>
      </c>
      <c r="BF14" s="230" t="str">
        <f>Input!BU14</f>
      </c>
      <c r="BG14" s="230" t="str">
        <f>Input!CI14</f>
      </c>
      <c r="BH14" s="230" t="str">
        <f>Input!CW14</f>
      </c>
      <c r="BI14" s="230" t="str">
        <f>Input!Z14</f>
        <v>HUAWEI DBS3900</v>
      </c>
      <c r="BJ14" s="230">
        <f>Input!AP14</f>
        <v>0</v>
      </c>
      <c r="BK14" s="230">
        <f>Input!BF14</f>
        <v>0</v>
      </c>
      <c r="BL14" s="230" t="str">
        <f>Input!BV14</f>
      </c>
      <c r="BM14" s="230" t="str">
        <f>Input!CJ14</f>
      </c>
      <c r="BN14" s="230" t="str">
        <f>Input!CX14</f>
      </c>
      <c r="BO14" s="553">
        <f>IF(ISNUMBER(Input!AA14),Input!AA14,0)</f>
        <v>3</v>
      </c>
      <c r="BP14" s="553">
        <f>IF(ISNUMBER(Input!AQ14),Input!AQ14,0)</f>
        <v>0</v>
      </c>
      <c r="BQ14" s="553">
        <f>IF(ISNUMBER(Input!BG14),Input!BG14,0)</f>
        <v>0</v>
      </c>
      <c r="BR14" s="553">
        <f>IF(ISNUMBER(Input!BW14),Input!BW14,0)</f>
        <v>0</v>
      </c>
      <c r="BS14" s="553">
        <f>IF(ISNUMBER(Input!CK14),Input!CK14,0)</f>
        <v>0</v>
      </c>
      <c r="BT14" s="554">
        <f>IF(ISNUMBER(Input!CY14),Input!CY14,0)</f>
        <v>0</v>
      </c>
      <c r="BU14" s="230" t="str">
        <f>Input!AF14</f>
        <v>2/2/2</v>
      </c>
      <c r="BV14" s="230" t="str">
        <f>Input!AV14</f>
      </c>
      <c r="BW14" s="230" t="str">
        <f>Input!BL14</f>
      </c>
      <c r="BX14" s="230" t="str">
        <f>Input!CA14</f>
      </c>
      <c r="BY14" s="230" t="str">
        <f>Input!CO14</f>
      </c>
      <c r="BZ14" s="230" t="str">
        <f>Input!DC14</f>
      </c>
      <c r="CA14" s="230">
        <f t="shared" si="151"/>
        <v>2</v>
      </c>
      <c r="CB14" s="230">
        <f t="shared" si="152"/>
        <v>2</v>
      </c>
      <c r="CC14" s="230">
        <f t="shared" si="153"/>
        <v>2</v>
      </c>
      <c r="CD14" s="230">
        <f t="shared" si="154"/>
        <v>0</v>
      </c>
      <c r="CE14" s="230">
        <f t="shared" si="155"/>
        <v>0</v>
      </c>
      <c r="CF14" s="230">
        <f t="shared" si="156"/>
        <v>0</v>
      </c>
      <c r="CG14" s="230">
        <f t="shared" si="157"/>
        <v>0</v>
      </c>
      <c r="CH14" s="230">
        <f t="shared" si="158"/>
        <v>0</v>
      </c>
      <c r="CI14" s="230">
        <f t="shared" si="159"/>
        <v>0</v>
      </c>
      <c r="CJ14" s="230">
        <f t="shared" si="160"/>
        <v>0</v>
      </c>
      <c r="CK14" s="230">
        <f t="shared" si="161"/>
        <v>0</v>
      </c>
      <c r="CL14" s="230">
        <f t="shared" si="162"/>
        <v>0</v>
      </c>
      <c r="CM14" s="230">
        <f t="shared" si="163"/>
        <v>0</v>
      </c>
      <c r="CN14" s="230">
        <f t="shared" si="164"/>
        <v>0</v>
      </c>
      <c r="CO14" s="230">
        <f t="shared" si="165"/>
        <v>0</v>
      </c>
      <c r="CP14" s="230">
        <f t="shared" si="166"/>
        <v>0</v>
      </c>
      <c r="CQ14" s="230">
        <f t="shared" si="167"/>
        <v>0</v>
      </c>
      <c r="CR14" s="230">
        <f t="shared" si="168"/>
        <v>0</v>
      </c>
      <c r="CS14" s="230">
        <f t="shared" si="169"/>
        <v>0</v>
      </c>
      <c r="CT14" s="230">
        <f t="shared" si="170"/>
        <v>0</v>
      </c>
      <c r="CU14" s="230">
        <f t="shared" si="171"/>
        <v>0</v>
      </c>
      <c r="CV14" s="230">
        <f t="shared" si="172"/>
        <v>0</v>
      </c>
      <c r="CW14" s="230">
        <f t="shared" si="173"/>
        <v>0</v>
      </c>
      <c r="CX14" s="230">
        <f t="shared" si="174"/>
        <v>0</v>
      </c>
      <c r="CY14" s="230">
        <f t="shared" si="175"/>
        <v>0</v>
      </c>
      <c r="CZ14" s="230">
        <f t="shared" si="176"/>
        <v>0</v>
      </c>
      <c r="DA14" s="230">
        <f t="shared" si="177"/>
        <v>0</v>
      </c>
      <c r="DB14" s="230">
        <f t="shared" si="178"/>
        <v>0</v>
      </c>
      <c r="DC14" s="230">
        <f t="shared" si="179"/>
        <v>0</v>
      </c>
      <c r="DD14" s="230">
        <f t="shared" si="180"/>
        <v>0</v>
      </c>
      <c r="DE14" s="230">
        <f t="shared" si="181"/>
        <v>0</v>
      </c>
      <c r="DF14" s="230">
        <f t="shared" si="182"/>
        <v>0</v>
      </c>
      <c r="DG14" s="230">
        <f t="shared" si="183"/>
        <v>0</v>
      </c>
      <c r="DH14" s="230">
        <f t="shared" si="184"/>
        <v>0</v>
      </c>
      <c r="DI14" s="230">
        <f t="shared" si="185"/>
        <v>0</v>
      </c>
      <c r="DJ14" s="230">
        <f t="shared" si="186"/>
        <v>0</v>
      </c>
      <c r="DK14" s="230" t="str">
        <f>Input!AK14</f>
        <v>40,00W/40,00W/40,00W</v>
      </c>
      <c r="DL14" s="230" t="str">
        <f>Input!BA14</f>
      </c>
      <c r="DM14" s="230" t="str">
        <f>Input!BQ14</f>
      </c>
      <c r="DN14" s="230" t="str">
        <f>Input!CE14</f>
      </c>
      <c r="DO14" s="230" t="str">
        <f>Input!CS14</f>
      </c>
      <c r="DP14" s="230" t="str">
        <f>Input!DG14</f>
      </c>
      <c r="DQ14" s="230" t="str">
        <f t="shared" si="187"/>
        <v>40W/ 40W/ 40W</v>
      </c>
      <c r="DR14" s="230" t="str">
        <f t="shared" si="188"/>
      </c>
      <c r="DS14" s="230" t="str">
        <f t="shared" si="189"/>
      </c>
      <c r="DT14" s="230" t="str">
        <f t="shared" si="190"/>
      </c>
      <c r="DU14" s="230" t="str">
        <f t="shared" si="191"/>
      </c>
      <c r="DV14" s="230" t="str">
        <f t="shared" si="192"/>
      </c>
      <c r="DW14" s="230">
        <f t="shared" si="193"/>
        <v>40</v>
      </c>
      <c r="DX14" s="230">
        <f t="shared" si="194"/>
        <v>40</v>
      </c>
      <c r="DY14" s="230">
        <f t="shared" si="195"/>
        <v>40</v>
      </c>
      <c r="DZ14" s="230">
        <f t="shared" si="196"/>
        <v>0</v>
      </c>
      <c r="EA14" s="230">
        <f t="shared" si="197"/>
        <v>0</v>
      </c>
      <c r="EB14" s="230">
        <f t="shared" si="198"/>
        <v>0</v>
      </c>
      <c r="EC14" s="230">
        <f t="shared" si="199"/>
        <v>40</v>
      </c>
      <c r="ED14" s="230">
        <f t="shared" si="200"/>
        <v>0</v>
      </c>
      <c r="EE14" s="230">
        <f t="shared" si="201"/>
        <v>0</v>
      </c>
      <c r="EF14" s="230">
        <f t="shared" si="202"/>
        <v>0</v>
      </c>
      <c r="EG14" s="230">
        <f t="shared" si="203"/>
        <v>0</v>
      </c>
      <c r="EH14" s="230">
        <f t="shared" si="204"/>
        <v>0</v>
      </c>
      <c r="EI14" s="230">
        <f t="shared" si="205"/>
        <v>0</v>
      </c>
      <c r="EJ14" s="230">
        <f t="shared" si="206"/>
        <v>0</v>
      </c>
      <c r="EK14" s="230">
        <f t="shared" si="207"/>
        <v>0</v>
      </c>
      <c r="EL14" s="230">
        <f t="shared" si="208"/>
        <v>0</v>
      </c>
      <c r="EM14" s="230">
        <f t="shared" si="209"/>
        <v>0</v>
      </c>
      <c r="EN14" s="230">
        <f t="shared" si="210"/>
        <v>0</v>
      </c>
      <c r="EO14" s="230">
        <f t="shared" si="211"/>
        <v>0</v>
      </c>
      <c r="EP14" s="230">
        <f t="shared" si="212"/>
        <v>0</v>
      </c>
      <c r="EQ14" s="230">
        <f t="shared" si="213"/>
        <v>0</v>
      </c>
      <c r="ER14" s="230">
        <f t="shared" si="214"/>
        <v>0</v>
      </c>
      <c r="ES14" s="230">
        <f t="shared" si="215"/>
        <v>0</v>
      </c>
      <c r="ET14" s="230">
        <f t="shared" si="216"/>
        <v>0</v>
      </c>
      <c r="EU14" s="230">
        <f t="shared" si="217"/>
        <v>0</v>
      </c>
      <c r="EV14" s="230">
        <f t="shared" si="218"/>
        <v>0</v>
      </c>
      <c r="EW14" s="230">
        <f t="shared" si="219"/>
        <v>0</v>
      </c>
      <c r="EX14" s="230">
        <f t="shared" si="220"/>
        <v>0</v>
      </c>
      <c r="EY14" s="230">
        <f t="shared" si="221"/>
        <v>0</v>
      </c>
      <c r="EZ14" s="230">
        <f t="shared" si="222"/>
        <v>0</v>
      </c>
      <c r="FA14" s="230">
        <f t="shared" si="223"/>
        <v>0</v>
      </c>
      <c r="FB14" s="230">
        <f t="shared" si="224"/>
        <v>0</v>
      </c>
      <c r="FC14" s="230">
        <f t="shared" si="225"/>
        <v>0</v>
      </c>
      <c r="FD14" s="230">
        <f t="shared" si="226"/>
        <v>0</v>
      </c>
      <c r="FE14" s="230">
        <f t="shared" si="227"/>
        <v>0</v>
      </c>
      <c r="FF14" s="230">
        <f t="shared" si="228"/>
        <v>0</v>
      </c>
      <c r="FG14" s="230">
        <f t="shared" si="229"/>
        <v>0</v>
      </c>
      <c r="FH14" s="230">
        <f t="shared" si="230"/>
        <v>0</v>
      </c>
      <c r="FI14" s="230">
        <f t="shared" si="231"/>
        <v>0</v>
      </c>
      <c r="FJ14" s="230">
        <f t="shared" si="232"/>
        <v>0</v>
      </c>
      <c r="FK14" s="230">
        <f t="shared" si="233"/>
        <v>0</v>
      </c>
      <c r="FL14" s="230">
        <f t="shared" si="234"/>
        <v>0</v>
      </c>
      <c r="FM14" s="230">
        <f t="shared" si="235"/>
        <v>40</v>
      </c>
      <c r="FN14" s="230">
        <f>Input!AL14</f>
        <v>2100</v>
      </c>
      <c r="FO14" s="230">
        <f>Input!BB14</f>
        <v>0</v>
      </c>
      <c r="FP14" s="230">
        <f>Input!BR14</f>
        <v>0</v>
      </c>
      <c r="FQ14" s="230" t="str">
        <f>Input!CF14</f>
      </c>
      <c r="FR14" s="230" t="str">
        <f>Input!CT14</f>
      </c>
      <c r="FS14" s="230" t="str">
        <f>Input!DH14</f>
      </c>
      <c r="FT14" s="230" t="str">
        <f>Input!AM14</f>
        <v>28m/ 28m/ 28m</v>
      </c>
      <c r="FU14" s="230">
        <f>Input!BC14</f>
        <v>0</v>
      </c>
      <c r="FV14" s="230">
        <f>Input!BS14</f>
        <v>0</v>
      </c>
      <c r="FW14" s="230" t="str">
        <f>Input!CG14</f>
      </c>
      <c r="FX14" s="230" t="str">
        <f>Input!CU14</f>
      </c>
      <c r="FY14" s="230" t="str">
        <f>Input!DI14</f>
      </c>
      <c r="FZ14" s="230" t="str">
        <f t="shared" si="236"/>
        <v>28m/ 28m/ 28m</v>
      </c>
      <c r="GA14" s="230" t="str">
        <f t="shared" si="237"/>
      </c>
      <c r="GB14" s="230" t="str">
        <f t="shared" si="238"/>
      </c>
      <c r="GC14" s="230" t="str">
        <f t="shared" si="239"/>
      </c>
      <c r="GD14" s="230" t="str">
        <f t="shared" si="240"/>
      </c>
      <c r="GE14" s="230" t="str">
        <f t="shared" si="241"/>
      </c>
      <c r="GF14" s="230">
        <f t="shared" si="242"/>
        <v>28</v>
      </c>
      <c r="GG14" s="230">
        <f t="shared" si="243"/>
        <v>28</v>
      </c>
      <c r="GH14" s="230">
        <f t="shared" si="244"/>
        <v>28</v>
      </c>
      <c r="GI14" s="230">
        <f t="shared" si="245"/>
        <v>0</v>
      </c>
      <c r="GJ14" s="230">
        <f t="shared" si="246"/>
        <v>0</v>
      </c>
      <c r="GK14" s="230">
        <f t="shared" si="247"/>
        <v>0</v>
      </c>
      <c r="GL14" s="230">
        <f t="shared" si="248"/>
        <v>0</v>
      </c>
      <c r="GM14" s="230">
        <f t="shared" si="249"/>
        <v>0</v>
      </c>
      <c r="GN14" s="230">
        <f t="shared" si="250"/>
        <v>0</v>
      </c>
      <c r="GO14" s="230">
        <f t="shared" si="251"/>
        <v>0</v>
      </c>
      <c r="GP14" s="230">
        <f t="shared" si="252"/>
        <v>0</v>
      </c>
      <c r="GQ14" s="230">
        <f t="shared" si="253"/>
        <v>0</v>
      </c>
      <c r="GR14" s="230">
        <f t="shared" si="254"/>
        <v>0</v>
      </c>
      <c r="GS14" s="230">
        <f t="shared" si="255"/>
        <v>0</v>
      </c>
      <c r="GT14" s="230">
        <f t="shared" si="256"/>
        <v>0</v>
      </c>
      <c r="GU14" s="230">
        <f t="shared" si="257"/>
        <v>0</v>
      </c>
      <c r="GV14" s="230">
        <f t="shared" si="258"/>
        <v>0</v>
      </c>
      <c r="GW14" s="230">
        <f t="shared" si="259"/>
        <v>0</v>
      </c>
      <c r="GX14" s="230">
        <f t="shared" si="260"/>
        <v>0</v>
      </c>
      <c r="GY14" s="230">
        <f t="shared" si="261"/>
        <v>0</v>
      </c>
      <c r="GZ14" s="230">
        <f t="shared" si="262"/>
        <v>0</v>
      </c>
      <c r="HA14" s="230">
        <f t="shared" si="263"/>
        <v>0</v>
      </c>
      <c r="HB14" s="230">
        <f t="shared" si="264"/>
        <v>0</v>
      </c>
      <c r="HC14" s="230">
        <f t="shared" si="265"/>
        <v>0</v>
      </c>
      <c r="HD14" s="230">
        <f t="shared" si="266"/>
        <v>0</v>
      </c>
      <c r="HE14" s="230">
        <f t="shared" si="267"/>
        <v>0</v>
      </c>
      <c r="HF14" s="230">
        <f t="shared" si="268"/>
        <v>0</v>
      </c>
      <c r="HG14" s="230">
        <f t="shared" si="269"/>
        <v>0</v>
      </c>
      <c r="HH14" s="230">
        <f t="shared" si="270"/>
        <v>0</v>
      </c>
      <c r="HI14" s="230">
        <f t="shared" si="271"/>
        <v>0</v>
      </c>
      <c r="HJ14" s="230">
        <f t="shared" si="272"/>
        <v>0</v>
      </c>
      <c r="HK14" s="230">
        <f t="shared" si="273"/>
        <v>0</v>
      </c>
      <c r="HL14" s="230">
        <f t="shared" si="274"/>
        <v>0</v>
      </c>
      <c r="HM14" s="230">
        <f t="shared" si="275"/>
        <v>0</v>
      </c>
      <c r="HN14" s="230">
        <f t="shared" si="276"/>
        <v>0</v>
      </c>
      <c r="HO14" s="230">
        <f t="shared" si="277"/>
        <v>0</v>
      </c>
      <c r="HP14" s="230" t="str">
        <f>INDEX(LabNameList,MATCH(LabId,LabIDList,0))</f>
        <v>Trung tâm Kiểm định và Chứng nhận 2</v>
      </c>
      <c r="HQ14" s="230">
        <f t="shared" si="278"/>
        <v>28</v>
      </c>
      <c r="HR14" s="230">
        <f t="shared" si="279"/>
        <v>0</v>
      </c>
      <c r="HS14" s="230">
        <f t="shared" si="280"/>
        <v>0</v>
      </c>
      <c r="HT14" s="230">
        <f t="shared" si="281"/>
        <v>0</v>
      </c>
      <c r="HU14" s="230">
        <f t="shared" si="282"/>
        <v>0</v>
      </c>
      <c r="HV14" s="230">
        <f t="shared" si="283"/>
        <v>0</v>
      </c>
      <c r="HW14" s="797">
        <f t="shared" si="284"/>
        <v>28</v>
      </c>
      <c r="HX14" s="797">
        <f>Input!EB14</f>
        <v>0</v>
      </c>
      <c r="HY14" s="230">
        <v>68</v>
      </c>
      <c r="HZ14" s="230"/>
      <c r="IA14" s="230"/>
      <c r="IB14" s="230"/>
      <c r="IC14" s="232" t="str">
        <f t="shared" si="285"/>
        <v>B01965230916TG05</v>
      </c>
      <c r="ID14" s="233" t="str">
        <f>Input!O14</f>
        <v>01965</v>
      </c>
      <c r="IE14" s="467" t="str">
        <f t="shared" si="286"/>
        <v>230916</v>
      </c>
      <c r="IF14" s="232" t="s">
        <v>364</v>
      </c>
      <c r="IG14" s="467" t="str">
        <f t="shared" si="287"/>
        <v>23/09/2016</v>
      </c>
      <c r="IH14" s="467" t="str">
        <f t="shared" si="288"/>
        <v>23/09/2021</v>
      </c>
      <c r="II14" s="546" t="str">
        <f> Input!R14</f>
        <v>23/09/2016</v>
      </c>
      <c r="IJ14" s="467">
        <f t="shared" si="289"/>
        <v>44462</v>
      </c>
      <c r="IK14" s="468">
        <f t="shared" si="290"/>
        <v>3</v>
      </c>
      <c r="IL14" s="469" t="str">
        <f t="shared" si="291"/>
        <v>3-1</v>
      </c>
      <c r="IM14" s="469" t="str">
        <f t="shared" si="292"/>
        <v>KHAC</v>
      </c>
      <c r="IN14" s="469" t="str">
        <f t="shared" si="293"/>
        <v>KHAC</v>
      </c>
      <c r="IO14" s="469" t="str">
        <f t="shared" si="294"/>
      </c>
      <c r="IP14" s="469" t="str">
        <f t="shared" si="295"/>
      </c>
      <c r="IQ14" s="469" t="str">
        <f t="shared" si="296"/>
      </c>
      <c r="IR14" s="469">
        <f t="shared" si="297"/>
        <v>1</v>
      </c>
      <c r="IS14" s="469">
        <f t="shared" si="298"/>
        <v>2</v>
      </c>
      <c r="IT14" s="469" t="str">
        <f t="shared" si="299"/>
        <v>Yes</v>
      </c>
      <c r="IU14" s="469" t="str">
        <f t="shared" si="300"/>
        <v>Yes</v>
      </c>
    </row>
    <row r="15" ht="63.75">
      <c r="A15" s="601">
        <f>Input!A15</f>
        <v>14</v>
      </c>
      <c r="B15" s="229" t="str">
        <f>INDEX(ApplicantIDList,MATCH(AI15,ApplicantNameList,0))</f>
        <v>VIETTEL-2016</v>
      </c>
      <c r="C15" s="229" t="str">
        <f>INDEX(OperatorIDList,MATCH(AJ15,OperatorNameList,0))</f>
        <v>VIETTEL-2016</v>
      </c>
      <c r="D15" s="797" t="str">
        <f>Input!Y15</f>
        <v>HCM2242</v>
      </c>
      <c r="E15" s="229" t="str">
        <f>Input!G15</f>
        <v>Số C5/38, ấp 3, xã Bình Chánh, huyện Bình Chánh, thành phố Hồ Chí Minh.</v>
      </c>
      <c r="F15" s="229" t="str">
        <f>TRIM(SUBSTITUTE(SUBSTITUTE(Input!H15,"Thành phố ",""),"Tỉnh ",""))</f>
        <v>Hồ Chí Minh</v>
      </c>
      <c r="G15" s="797" t="str">
        <f>Input!I15</f>
        <v>106,57595</v>
      </c>
      <c r="H15" s="797" t="str">
        <f>Input!J15</f>
        <v>10,661018</v>
      </c>
      <c r="I15" s="229">
        <f>Input!V15</f>
        <v>1</v>
      </c>
      <c r="J15" s="229" t="str">
        <f>Input!K15</f>
        <v>1502384/16/TG/TT2</v>
      </c>
      <c r="K15" s="231" t="str">
        <f>TEXT(Input!L15,"dd/mm/yyyy")</f>
        <v>23/09/2016</v>
      </c>
      <c r="L15" s="231" t="str">
        <f>TEXT(Input!M15,"dd/mm/yyyy")</f>
        <v>13/09/2016</v>
      </c>
      <c r="M15" s="229" t="str">
        <f t="shared" si="135"/>
        <v>TỔNG CÔNG TY MẠNG LƯỚI VIETTEL</v>
      </c>
      <c r="N15" s="229" t="str">
        <f t="shared" si="136"/>
        <v>HCM2242</v>
      </c>
      <c r="O15" s="229" t="str">
        <f t="shared" si="137"/>
        <v>HUAWEI DBS3900</v>
      </c>
      <c r="P15" s="229" t="str">
        <f t="shared" si="138"/>
        <v>3</v>
      </c>
      <c r="Q15" s="229" t="str">
        <f t="shared" si="139"/>
        <v>2/2/2</v>
      </c>
      <c r="R15" s="229" t="str">
        <f t="shared" si="140"/>
        <v>40W/ 40W/ 40W</v>
      </c>
      <c r="S15" s="229" t="str">
        <f t="shared" si="141"/>
        <v>2100</v>
      </c>
      <c r="T15" s="229" t="str">
        <f t="shared" si="142"/>
        <v>27m/ 27m/ 27m</v>
      </c>
      <c r="U15" s="229">
        <v>1</v>
      </c>
      <c r="V15" s="229"/>
      <c r="W15" s="229" t="b">
        <f t="shared" si="143"/>
        <v>0</v>
      </c>
      <c r="X15" s="229" t="b">
        <f>INDEX(TrueFalseList,_xlfn.IFNA(MATCH(Input!W15,CoKhongList,0),MATCH(Input!W15,YesNoList,0)))</f>
        <v>0</v>
      </c>
      <c r="Y15" s="797">
        <f>Input!FZ15</f>
        <v>0</v>
      </c>
      <c r="Z15" s="229" t="b">
        <v>1</v>
      </c>
      <c r="AA15" s="797">
        <f t="shared" si="144"/>
        <v>27</v>
      </c>
      <c r="AB15" s="229" t="b">
        <v>0</v>
      </c>
      <c r="AC15" s="229" t="b">
        <v>1</v>
      </c>
      <c r="AD15" s="229">
        <f>Input!DR15</f>
        <v>0</v>
      </c>
      <c r="AE15" s="229"/>
      <c r="AF15" s="229" t="str">
        <f>Options!$D$6</f>
        <v>VCC2</v>
      </c>
      <c r="AG15" s="229">
        <f t="shared" si="145"/>
        <v>0</v>
      </c>
      <c r="AH15" s="230"/>
      <c r="AI15" s="553" t="str">
        <f>Input!E15</f>
        <v>TỔNG CÔNG TY MẠNG LƯỚI VIETTEL</v>
      </c>
      <c r="AJ15" s="553" t="str">
        <f>Input!F15</f>
        <v>TỔNG CÔNG TY MẠNG LƯỚI VIETTEL</v>
      </c>
      <c r="AK15" s="229">
        <f t="shared" si="146"/>
        <v>4</v>
      </c>
      <c r="AL15" s="465" t="str">
        <f t="shared" si="147"/>
        <v>thành phố Hồ Chí Minh.</v>
      </c>
      <c r="AM15" s="465" t="str">
        <f t="shared" si="148"/>
        <v>huyện Bình Chánh</v>
      </c>
      <c r="AN15" s="465" t="str">
        <f t="shared" si="149"/>
        <v>xã Bình Chánh</v>
      </c>
      <c r="AO15" s="229" t="str">
        <f>INDEX(CityIDList,MATCH(F15,CityNameList,0))</f>
        <v>HCM</v>
      </c>
      <c r="AP15" s="230" t="str">
        <f>Input!X15</f>
        <v>TỔNG CÔNG TY MẠNG LƯỚI VIETTEL</v>
      </c>
      <c r="AQ15" s="230">
        <f>Input!AN15</f>
        <v>0</v>
      </c>
      <c r="AR15" s="230">
        <f>Input!BD15</f>
        <v>0</v>
      </c>
      <c r="AS15" s="230" t="str">
        <f>Input!BT15</f>
      </c>
      <c r="AT15" s="230" t="str">
        <f>Input!CH15</f>
      </c>
      <c r="AU15" s="230" t="str">
        <f>Input!CV15</f>
      </c>
      <c r="AV15" s="230" t="str">
        <f>IF(I15&gt;=1,INDEX(OperatorIDList,MATCH(AP15,OperatorNameList,0)),"")</f>
        <v>VIETTEL-2016</v>
      </c>
      <c r="AW15" s="230" t="str">
        <f>IF(I15&gt;=2,INDEX(OperatorIDList,MATCH(AQ15,OperatorNameList,0)),"")</f>
      </c>
      <c r="AX15" s="230" t="str">
        <f>IF(I15&gt;=3,INDEX(OperatorIDList,MATCH(AR15,OperatorNameList,0)),"")</f>
      </c>
      <c r="AY15" s="230" t="str">
        <f>IF(I15&gt;=4,INDEX(OperatorIDList,MATCH(AS15,OperatorNameList,0)),"")</f>
      </c>
      <c r="AZ15" s="230" t="str">
        <f>IF(I15&gt;=5,INDEX(OperatorIDList,MATCH(AT15,OperatorNameList,0)),"")</f>
      </c>
      <c r="BA15" s="230" t="str">
        <f>IF(I15&gt;=6,INDEX(OperatorIDList,MATCH(AU15,OperatorNameList,0)),"")</f>
      </c>
      <c r="BB15" s="230" t="str">
        <f t="shared" si="150"/>
        <v>VIETTEL-2016</v>
      </c>
      <c r="BC15" s="230" t="str">
        <f>Input!Y15</f>
        <v>HCM2242</v>
      </c>
      <c r="BD15" s="230">
        <f>Input!AO15</f>
        <v>0</v>
      </c>
      <c r="BE15" s="230">
        <f>Input!BE15</f>
        <v>0</v>
      </c>
      <c r="BF15" s="230" t="str">
        <f>Input!BU15</f>
      </c>
      <c r="BG15" s="230" t="str">
        <f>Input!CI15</f>
      </c>
      <c r="BH15" s="230" t="str">
        <f>Input!CW15</f>
      </c>
      <c r="BI15" s="230" t="str">
        <f>Input!Z15</f>
        <v>HUAWEI DBS3900</v>
      </c>
      <c r="BJ15" s="230">
        <f>Input!AP15</f>
        <v>0</v>
      </c>
      <c r="BK15" s="230">
        <f>Input!BF15</f>
        <v>0</v>
      </c>
      <c r="BL15" s="230" t="str">
        <f>Input!BV15</f>
      </c>
      <c r="BM15" s="230" t="str">
        <f>Input!CJ15</f>
      </c>
      <c r="BN15" s="230" t="str">
        <f>Input!CX15</f>
      </c>
      <c r="BO15" s="553">
        <f>IF(ISNUMBER(Input!AA15),Input!AA15,0)</f>
        <v>3</v>
      </c>
      <c r="BP15" s="553">
        <f>IF(ISNUMBER(Input!AQ15),Input!AQ15,0)</f>
        <v>0</v>
      </c>
      <c r="BQ15" s="553">
        <f>IF(ISNUMBER(Input!BG15),Input!BG15,0)</f>
        <v>0</v>
      </c>
      <c r="BR15" s="553">
        <f>IF(ISNUMBER(Input!BW15),Input!BW15,0)</f>
        <v>0</v>
      </c>
      <c r="BS15" s="553">
        <f>IF(ISNUMBER(Input!CK15),Input!CK15,0)</f>
        <v>0</v>
      </c>
      <c r="BT15" s="554">
        <f>IF(ISNUMBER(Input!CY15),Input!CY15,0)</f>
        <v>0</v>
      </c>
      <c r="BU15" s="230" t="str">
        <f>Input!AF15</f>
        <v>2/2/2</v>
      </c>
      <c r="BV15" s="230" t="str">
        <f>Input!AV15</f>
      </c>
      <c r="BW15" s="230" t="str">
        <f>Input!BL15</f>
      </c>
      <c r="BX15" s="230" t="str">
        <f>Input!CA15</f>
      </c>
      <c r="BY15" s="230" t="str">
        <f>Input!CO15</f>
      </c>
      <c r="BZ15" s="230" t="str">
        <f>Input!DC15</f>
      </c>
      <c r="CA15" s="230">
        <f t="shared" si="151"/>
        <v>2</v>
      </c>
      <c r="CB15" s="230">
        <f t="shared" si="152"/>
        <v>2</v>
      </c>
      <c r="CC15" s="230">
        <f t="shared" si="153"/>
        <v>2</v>
      </c>
      <c r="CD15" s="230">
        <f t="shared" si="154"/>
        <v>0</v>
      </c>
      <c r="CE15" s="230">
        <f t="shared" si="155"/>
        <v>0</v>
      </c>
      <c r="CF15" s="230">
        <f t="shared" si="156"/>
        <v>0</v>
      </c>
      <c r="CG15" s="230">
        <f t="shared" si="157"/>
        <v>0</v>
      </c>
      <c r="CH15" s="230">
        <f t="shared" si="158"/>
        <v>0</v>
      </c>
      <c r="CI15" s="230">
        <f t="shared" si="159"/>
        <v>0</v>
      </c>
      <c r="CJ15" s="230">
        <f t="shared" si="160"/>
        <v>0</v>
      </c>
      <c r="CK15" s="230">
        <f t="shared" si="161"/>
        <v>0</v>
      </c>
      <c r="CL15" s="230">
        <f t="shared" si="162"/>
        <v>0</v>
      </c>
      <c r="CM15" s="230">
        <f t="shared" si="163"/>
        <v>0</v>
      </c>
      <c r="CN15" s="230">
        <f t="shared" si="164"/>
        <v>0</v>
      </c>
      <c r="CO15" s="230">
        <f t="shared" si="165"/>
        <v>0</v>
      </c>
      <c r="CP15" s="230">
        <f t="shared" si="166"/>
        <v>0</v>
      </c>
      <c r="CQ15" s="230">
        <f t="shared" si="167"/>
        <v>0</v>
      </c>
      <c r="CR15" s="230">
        <f t="shared" si="168"/>
        <v>0</v>
      </c>
      <c r="CS15" s="230">
        <f t="shared" si="169"/>
        <v>0</v>
      </c>
      <c r="CT15" s="230">
        <f t="shared" si="170"/>
        <v>0</v>
      </c>
      <c r="CU15" s="230">
        <f t="shared" si="171"/>
        <v>0</v>
      </c>
      <c r="CV15" s="230">
        <f t="shared" si="172"/>
        <v>0</v>
      </c>
      <c r="CW15" s="230">
        <f t="shared" si="173"/>
        <v>0</v>
      </c>
      <c r="CX15" s="230">
        <f t="shared" si="174"/>
        <v>0</v>
      </c>
      <c r="CY15" s="230">
        <f t="shared" si="175"/>
        <v>0</v>
      </c>
      <c r="CZ15" s="230">
        <f t="shared" si="176"/>
        <v>0</v>
      </c>
      <c r="DA15" s="230">
        <f t="shared" si="177"/>
        <v>0</v>
      </c>
      <c r="DB15" s="230">
        <f t="shared" si="178"/>
        <v>0</v>
      </c>
      <c r="DC15" s="230">
        <f t="shared" si="179"/>
        <v>0</v>
      </c>
      <c r="DD15" s="230">
        <f t="shared" si="180"/>
        <v>0</v>
      </c>
      <c r="DE15" s="230">
        <f t="shared" si="181"/>
        <v>0</v>
      </c>
      <c r="DF15" s="230">
        <f t="shared" si="182"/>
        <v>0</v>
      </c>
      <c r="DG15" s="230">
        <f t="shared" si="183"/>
        <v>0</v>
      </c>
      <c r="DH15" s="230">
        <f t="shared" si="184"/>
        <v>0</v>
      </c>
      <c r="DI15" s="230">
        <f t="shared" si="185"/>
        <v>0</v>
      </c>
      <c r="DJ15" s="230">
        <f t="shared" si="186"/>
        <v>0</v>
      </c>
      <c r="DK15" s="230" t="str">
        <f>Input!AK15</f>
        <v>40,00W/40,00W/40,00W</v>
      </c>
      <c r="DL15" s="230" t="str">
        <f>Input!BA15</f>
      </c>
      <c r="DM15" s="230" t="str">
        <f>Input!BQ15</f>
      </c>
      <c r="DN15" s="230" t="str">
        <f>Input!CE15</f>
      </c>
      <c r="DO15" s="230" t="str">
        <f>Input!CS15</f>
      </c>
      <c r="DP15" s="230" t="str">
        <f>Input!DG15</f>
      </c>
      <c r="DQ15" s="230" t="str">
        <f t="shared" si="187"/>
        <v>40W/ 40W/ 40W</v>
      </c>
      <c r="DR15" s="230" t="str">
        <f t="shared" si="188"/>
      </c>
      <c r="DS15" s="230" t="str">
        <f t="shared" si="189"/>
      </c>
      <c r="DT15" s="230" t="str">
        <f t="shared" si="190"/>
      </c>
      <c r="DU15" s="230" t="str">
        <f t="shared" si="191"/>
      </c>
      <c r="DV15" s="230" t="str">
        <f t="shared" si="192"/>
      </c>
      <c r="DW15" s="230">
        <f t="shared" si="193"/>
        <v>40</v>
      </c>
      <c r="DX15" s="230">
        <f t="shared" si="194"/>
        <v>40</v>
      </c>
      <c r="DY15" s="230">
        <f t="shared" si="195"/>
        <v>40</v>
      </c>
      <c r="DZ15" s="230">
        <f t="shared" si="196"/>
        <v>0</v>
      </c>
      <c r="EA15" s="230">
        <f t="shared" si="197"/>
        <v>0</v>
      </c>
      <c r="EB15" s="230">
        <f t="shared" si="198"/>
        <v>0</v>
      </c>
      <c r="EC15" s="230">
        <f t="shared" si="199"/>
        <v>40</v>
      </c>
      <c r="ED15" s="230">
        <f t="shared" si="200"/>
        <v>0</v>
      </c>
      <c r="EE15" s="230">
        <f t="shared" si="201"/>
        <v>0</v>
      </c>
      <c r="EF15" s="230">
        <f t="shared" si="202"/>
        <v>0</v>
      </c>
      <c r="EG15" s="230">
        <f t="shared" si="203"/>
        <v>0</v>
      </c>
      <c r="EH15" s="230">
        <f t="shared" si="204"/>
        <v>0</v>
      </c>
      <c r="EI15" s="230">
        <f t="shared" si="205"/>
        <v>0</v>
      </c>
      <c r="EJ15" s="230">
        <f t="shared" si="206"/>
        <v>0</v>
      </c>
      <c r="EK15" s="230">
        <f t="shared" si="207"/>
        <v>0</v>
      </c>
      <c r="EL15" s="230">
        <f t="shared" si="208"/>
        <v>0</v>
      </c>
      <c r="EM15" s="230">
        <f t="shared" si="209"/>
        <v>0</v>
      </c>
      <c r="EN15" s="230">
        <f t="shared" si="210"/>
        <v>0</v>
      </c>
      <c r="EO15" s="230">
        <f t="shared" si="211"/>
        <v>0</v>
      </c>
      <c r="EP15" s="230">
        <f t="shared" si="212"/>
        <v>0</v>
      </c>
      <c r="EQ15" s="230">
        <f t="shared" si="213"/>
        <v>0</v>
      </c>
      <c r="ER15" s="230">
        <f t="shared" si="214"/>
        <v>0</v>
      </c>
      <c r="ES15" s="230">
        <f t="shared" si="215"/>
        <v>0</v>
      </c>
      <c r="ET15" s="230">
        <f t="shared" si="216"/>
        <v>0</v>
      </c>
      <c r="EU15" s="230">
        <f t="shared" si="217"/>
        <v>0</v>
      </c>
      <c r="EV15" s="230">
        <f t="shared" si="218"/>
        <v>0</v>
      </c>
      <c r="EW15" s="230">
        <f t="shared" si="219"/>
        <v>0</v>
      </c>
      <c r="EX15" s="230">
        <f t="shared" si="220"/>
        <v>0</v>
      </c>
      <c r="EY15" s="230">
        <f t="shared" si="221"/>
        <v>0</v>
      </c>
      <c r="EZ15" s="230">
        <f t="shared" si="222"/>
        <v>0</v>
      </c>
      <c r="FA15" s="230">
        <f t="shared" si="223"/>
        <v>0</v>
      </c>
      <c r="FB15" s="230">
        <f t="shared" si="224"/>
        <v>0</v>
      </c>
      <c r="FC15" s="230">
        <f t="shared" si="225"/>
        <v>0</v>
      </c>
      <c r="FD15" s="230">
        <f t="shared" si="226"/>
        <v>0</v>
      </c>
      <c r="FE15" s="230">
        <f t="shared" si="227"/>
        <v>0</v>
      </c>
      <c r="FF15" s="230">
        <f t="shared" si="228"/>
        <v>0</v>
      </c>
      <c r="FG15" s="230">
        <f t="shared" si="229"/>
        <v>0</v>
      </c>
      <c r="FH15" s="230">
        <f t="shared" si="230"/>
        <v>0</v>
      </c>
      <c r="FI15" s="230">
        <f t="shared" si="231"/>
        <v>0</v>
      </c>
      <c r="FJ15" s="230">
        <f t="shared" si="232"/>
        <v>0</v>
      </c>
      <c r="FK15" s="230">
        <f t="shared" si="233"/>
        <v>0</v>
      </c>
      <c r="FL15" s="230">
        <f t="shared" si="234"/>
        <v>0</v>
      </c>
      <c r="FM15" s="230">
        <f t="shared" si="235"/>
        <v>40</v>
      </c>
      <c r="FN15" s="230">
        <f>Input!AL15</f>
        <v>2100</v>
      </c>
      <c r="FO15" s="230">
        <f>Input!BB15</f>
        <v>0</v>
      </c>
      <c r="FP15" s="230">
        <f>Input!BR15</f>
        <v>0</v>
      </c>
      <c r="FQ15" s="230" t="str">
        <f>Input!CF15</f>
      </c>
      <c r="FR15" s="230" t="str">
        <f>Input!CT15</f>
      </c>
      <c r="FS15" s="230" t="str">
        <f>Input!DH15</f>
      </c>
      <c r="FT15" s="230" t="str">
        <f>Input!AM15</f>
        <v>27m/ 27m/ 27m</v>
      </c>
      <c r="FU15" s="230">
        <f>Input!BC15</f>
        <v>0</v>
      </c>
      <c r="FV15" s="230">
        <f>Input!BS15</f>
        <v>0</v>
      </c>
      <c r="FW15" s="230" t="str">
        <f>Input!CG15</f>
      </c>
      <c r="FX15" s="230" t="str">
        <f>Input!CU15</f>
      </c>
      <c r="FY15" s="230" t="str">
        <f>Input!DI15</f>
      </c>
      <c r="FZ15" s="230" t="str">
        <f t="shared" si="236"/>
        <v>27m/ 27m/ 27m</v>
      </c>
      <c r="GA15" s="230" t="str">
        <f t="shared" si="237"/>
      </c>
      <c r="GB15" s="230" t="str">
        <f t="shared" si="238"/>
      </c>
      <c r="GC15" s="230" t="str">
        <f t="shared" si="239"/>
      </c>
      <c r="GD15" s="230" t="str">
        <f t="shared" si="240"/>
      </c>
      <c r="GE15" s="230" t="str">
        <f t="shared" si="241"/>
      </c>
      <c r="GF15" s="230">
        <f t="shared" si="242"/>
        <v>27</v>
      </c>
      <c r="GG15" s="230">
        <f t="shared" si="243"/>
        <v>27</v>
      </c>
      <c r="GH15" s="230">
        <f t="shared" si="244"/>
        <v>27</v>
      </c>
      <c r="GI15" s="230">
        <f t="shared" si="245"/>
        <v>0</v>
      </c>
      <c r="GJ15" s="230">
        <f t="shared" si="246"/>
        <v>0</v>
      </c>
      <c r="GK15" s="230">
        <f t="shared" si="247"/>
        <v>0</v>
      </c>
      <c r="GL15" s="230">
        <f t="shared" si="248"/>
        <v>0</v>
      </c>
      <c r="GM15" s="230">
        <f t="shared" si="249"/>
        <v>0</v>
      </c>
      <c r="GN15" s="230">
        <f t="shared" si="250"/>
        <v>0</v>
      </c>
      <c r="GO15" s="230">
        <f t="shared" si="251"/>
        <v>0</v>
      </c>
      <c r="GP15" s="230">
        <f t="shared" si="252"/>
        <v>0</v>
      </c>
      <c r="GQ15" s="230">
        <f t="shared" si="253"/>
        <v>0</v>
      </c>
      <c r="GR15" s="230">
        <f t="shared" si="254"/>
        <v>0</v>
      </c>
      <c r="GS15" s="230">
        <f t="shared" si="255"/>
        <v>0</v>
      </c>
      <c r="GT15" s="230">
        <f t="shared" si="256"/>
        <v>0</v>
      </c>
      <c r="GU15" s="230">
        <f t="shared" si="257"/>
        <v>0</v>
      </c>
      <c r="GV15" s="230">
        <f t="shared" si="258"/>
        <v>0</v>
      </c>
      <c r="GW15" s="230">
        <f t="shared" si="259"/>
        <v>0</v>
      </c>
      <c r="GX15" s="230">
        <f t="shared" si="260"/>
        <v>0</v>
      </c>
      <c r="GY15" s="230">
        <f t="shared" si="261"/>
        <v>0</v>
      </c>
      <c r="GZ15" s="230">
        <f t="shared" si="262"/>
        <v>0</v>
      </c>
      <c r="HA15" s="230">
        <f t="shared" si="263"/>
        <v>0</v>
      </c>
      <c r="HB15" s="230">
        <f t="shared" si="264"/>
        <v>0</v>
      </c>
      <c r="HC15" s="230">
        <f t="shared" si="265"/>
        <v>0</v>
      </c>
      <c r="HD15" s="230">
        <f t="shared" si="266"/>
        <v>0</v>
      </c>
      <c r="HE15" s="230">
        <f t="shared" si="267"/>
        <v>0</v>
      </c>
      <c r="HF15" s="230">
        <f t="shared" si="268"/>
        <v>0</v>
      </c>
      <c r="HG15" s="230">
        <f t="shared" si="269"/>
        <v>0</v>
      </c>
      <c r="HH15" s="230">
        <f t="shared" si="270"/>
        <v>0</v>
      </c>
      <c r="HI15" s="230">
        <f t="shared" si="271"/>
        <v>0</v>
      </c>
      <c r="HJ15" s="230">
        <f t="shared" si="272"/>
        <v>0</v>
      </c>
      <c r="HK15" s="230">
        <f t="shared" si="273"/>
        <v>0</v>
      </c>
      <c r="HL15" s="230">
        <f t="shared" si="274"/>
        <v>0</v>
      </c>
      <c r="HM15" s="230">
        <f t="shared" si="275"/>
        <v>0</v>
      </c>
      <c r="HN15" s="230">
        <f t="shared" si="276"/>
        <v>0</v>
      </c>
      <c r="HO15" s="230">
        <f t="shared" si="277"/>
        <v>0</v>
      </c>
      <c r="HP15" s="230" t="str">
        <f>INDEX(LabNameList,MATCH(LabId,LabIDList,0))</f>
        <v>Trung tâm Kiểm định và Chứng nhận 2</v>
      </c>
      <c r="HQ15" s="230">
        <f t="shared" si="278"/>
        <v>27</v>
      </c>
      <c r="HR15" s="230">
        <f t="shared" si="279"/>
        <v>0</v>
      </c>
      <c r="HS15" s="230">
        <f t="shared" si="280"/>
        <v>0</v>
      </c>
      <c r="HT15" s="230">
        <f t="shared" si="281"/>
        <v>0</v>
      </c>
      <c r="HU15" s="230">
        <f t="shared" si="282"/>
        <v>0</v>
      </c>
      <c r="HV15" s="230">
        <f t="shared" si="283"/>
        <v>0</v>
      </c>
      <c r="HW15" s="797">
        <f t="shared" si="284"/>
        <v>27</v>
      </c>
      <c r="HX15" s="797">
        <f>Input!EB15</f>
        <v>0</v>
      </c>
      <c r="HY15" s="230">
        <v>68</v>
      </c>
      <c r="HZ15" s="230"/>
      <c r="IA15" s="230"/>
      <c r="IB15" s="230"/>
      <c r="IC15" s="232" t="str">
        <f t="shared" si="285"/>
        <v>B01966230916TG05</v>
      </c>
      <c r="ID15" s="233" t="str">
        <f>Input!O15</f>
        <v>01966</v>
      </c>
      <c r="IE15" s="467" t="str">
        <f t="shared" si="286"/>
        <v>230916</v>
      </c>
      <c r="IF15" s="232" t="s">
        <v>364</v>
      </c>
      <c r="IG15" s="467" t="str">
        <f t="shared" si="287"/>
        <v>23/09/2016</v>
      </c>
      <c r="IH15" s="467" t="str">
        <f t="shared" si="288"/>
        <v>23/09/2021</v>
      </c>
      <c r="II15" s="546" t="str">
        <f> Input!R15</f>
        <v>23/09/2016</v>
      </c>
      <c r="IJ15" s="467">
        <f t="shared" si="289"/>
        <v>44462</v>
      </c>
      <c r="IK15" s="468">
        <f t="shared" si="290"/>
        <v>3</v>
      </c>
      <c r="IL15" s="469" t="str">
        <f t="shared" si="291"/>
        <v>3-1</v>
      </c>
      <c r="IM15" s="469" t="str">
        <f t="shared" si="292"/>
        <v>KHAC</v>
      </c>
      <c r="IN15" s="469" t="str">
        <f t="shared" si="293"/>
        <v>KHAC</v>
      </c>
      <c r="IO15" s="469" t="str">
        <f t="shared" si="294"/>
      </c>
      <c r="IP15" s="469" t="str">
        <f t="shared" si="295"/>
      </c>
      <c r="IQ15" s="469" t="str">
        <f t="shared" si="296"/>
      </c>
      <c r="IR15" s="469">
        <f t="shared" si="297"/>
        <v>1</v>
      </c>
      <c r="IS15" s="469">
        <f t="shared" si="298"/>
        <v>2</v>
      </c>
      <c r="IT15" s="469" t="str">
        <f t="shared" si="299"/>
        <v>Yes</v>
      </c>
      <c r="IU15" s="469" t="str">
        <f t="shared" si="300"/>
        <v>Yes</v>
      </c>
    </row>
    <row r="16" ht="63.75">
      <c r="A16" s="601">
        <f>Input!A16</f>
        <v>15</v>
      </c>
      <c r="B16" s="229" t="str">
        <f>INDEX(ApplicantIDList,MATCH(AI16,ApplicantNameList,0))</f>
        <v>VIETTEL-2016</v>
      </c>
      <c r="C16" s="229" t="str">
        <f>INDEX(OperatorIDList,MATCH(AJ16,OperatorNameList,0))</f>
        <v>VIETTEL-2016</v>
      </c>
      <c r="D16" s="797" t="str">
        <f>Input!Y16</f>
        <v>HCM2257</v>
      </c>
      <c r="E16" s="229" t="str">
        <f>Input!G16</f>
        <v>Ấp 1, xã Vĩnh Lộc A, huyện Bình Chánh, thành phố Hồ Chí Minh.</v>
      </c>
      <c r="F16" s="229" t="str">
        <f>TRIM(SUBSTITUTE(SUBSTITUTE(Input!H16,"Thành phố ",""),"Tỉnh ",""))</f>
        <v>Hồ Chí Minh</v>
      </c>
      <c r="G16" s="797" t="str">
        <f>Input!I16</f>
        <v>106,55921</v>
      </c>
      <c r="H16" s="797" t="str">
        <f>Input!J16</f>
        <v>10,80846</v>
      </c>
      <c r="I16" s="229">
        <f>Input!V16</f>
        <v>1</v>
      </c>
      <c r="J16" s="229" t="str">
        <f>Input!K16</f>
        <v>1502386/16/TG/TT2</v>
      </c>
      <c r="K16" s="231" t="str">
        <f>TEXT(Input!L16,"dd/mm/yyyy")</f>
        <v>23/09/2016</v>
      </c>
      <c r="L16" s="231" t="str">
        <f>TEXT(Input!M16,"dd/mm/yyyy")</f>
        <v>13/09/2016</v>
      </c>
      <c r="M16" s="229" t="str">
        <f t="shared" si="135"/>
        <v>TỔNG CÔNG TY MẠNG LƯỚI VIETTEL</v>
      </c>
      <c r="N16" s="229" t="str">
        <f t="shared" si="136"/>
        <v>HCM2257</v>
      </c>
      <c r="O16" s="229" t="str">
        <f t="shared" si="137"/>
        <v>HUAWEI DBS3900</v>
      </c>
      <c r="P16" s="229" t="str">
        <f t="shared" si="138"/>
        <v>3</v>
      </c>
      <c r="Q16" s="229" t="str">
        <f t="shared" si="139"/>
        <v>2/2/2</v>
      </c>
      <c r="R16" s="229" t="str">
        <f t="shared" si="140"/>
        <v>40W/ 40W/ 40W</v>
      </c>
      <c r="S16" s="229" t="str">
        <f t="shared" si="141"/>
        <v>2100</v>
      </c>
      <c r="T16" s="229" t="str">
        <f t="shared" si="142"/>
        <v>39m/ 39m/ 39m</v>
      </c>
      <c r="U16" s="229">
        <v>1</v>
      </c>
      <c r="V16" s="229"/>
      <c r="W16" s="229" t="b">
        <f t="shared" si="143"/>
        <v>1</v>
      </c>
      <c r="X16" s="229" t="b">
        <f>INDEX(TrueFalseList,_xlfn.IFNA(MATCH(Input!W16,CoKhongList,0),MATCH(Input!W16,YesNoList,0)))</f>
        <v>1</v>
      </c>
      <c r="Y16" s="797">
        <f>Input!FZ16</f>
        <v>1</v>
      </c>
      <c r="Z16" s="229" t="b">
        <v>1</v>
      </c>
      <c r="AA16" s="797">
        <f t="shared" si="144"/>
        <v>39</v>
      </c>
      <c r="AB16" s="229" t="b">
        <v>0</v>
      </c>
      <c r="AC16" s="229" t="b">
        <v>1</v>
      </c>
      <c r="AD16" s="229">
        <f>Input!DR16</f>
        <v>0</v>
      </c>
      <c r="AE16" s="229"/>
      <c r="AF16" s="229" t="str">
        <f>Options!$D$6</f>
        <v>VCC2</v>
      </c>
      <c r="AG16" s="229">
        <f t="shared" si="145"/>
        <v>0</v>
      </c>
      <c r="AH16" s="230"/>
      <c r="AI16" s="553" t="str">
        <f>Input!E16</f>
        <v>TỔNG CÔNG TY MẠNG LƯỚI VIETTEL</v>
      </c>
      <c r="AJ16" s="553" t="str">
        <f>Input!F16</f>
        <v>TỔNG CÔNG TY MẠNG LƯỚI VIETTEL</v>
      </c>
      <c r="AK16" s="229">
        <f t="shared" si="146"/>
        <v>3</v>
      </c>
      <c r="AL16" s="465" t="str">
        <f t="shared" si="147"/>
        <v>thành phố Hồ Chí Minh.</v>
      </c>
      <c r="AM16" s="465" t="str">
        <f t="shared" si="148"/>
        <v>huyện Bình Chánh</v>
      </c>
      <c r="AN16" s="465" t="str">
        <f t="shared" si="149"/>
        <v>xã Vĩnh Lộc A</v>
      </c>
      <c r="AO16" s="229" t="str">
        <f>INDEX(CityIDList,MATCH(F16,CityNameList,0))</f>
        <v>HCM</v>
      </c>
      <c r="AP16" s="230" t="str">
        <f>Input!X16</f>
        <v>TỔNG CÔNG TY MẠNG LƯỚI VIETTEL</v>
      </c>
      <c r="AQ16" s="230">
        <f>Input!AN16</f>
        <v>0</v>
      </c>
      <c r="AR16" s="230">
        <f>Input!BD16</f>
        <v>0</v>
      </c>
      <c r="AS16" s="230" t="str">
        <f>Input!BT16</f>
      </c>
      <c r="AT16" s="230" t="str">
        <f>Input!CH16</f>
      </c>
      <c r="AU16" s="230" t="str">
        <f>Input!CV16</f>
      </c>
      <c r="AV16" s="230" t="str">
        <f>IF(I16&gt;=1,INDEX(OperatorIDList,MATCH(AP16,OperatorNameList,0)),"")</f>
        <v>VIETTEL-2016</v>
      </c>
      <c r="AW16" s="230" t="str">
        <f>IF(I16&gt;=2,INDEX(OperatorIDList,MATCH(AQ16,OperatorNameList,0)),"")</f>
      </c>
      <c r="AX16" s="230" t="str">
        <f>IF(I16&gt;=3,INDEX(OperatorIDList,MATCH(AR16,OperatorNameList,0)),"")</f>
      </c>
      <c r="AY16" s="230" t="str">
        <f>IF(I16&gt;=4,INDEX(OperatorIDList,MATCH(AS16,OperatorNameList,0)),"")</f>
      </c>
      <c r="AZ16" s="230" t="str">
        <f>IF(I16&gt;=5,INDEX(OperatorIDList,MATCH(AT16,OperatorNameList,0)),"")</f>
      </c>
      <c r="BA16" s="230" t="str">
        <f>IF(I16&gt;=6,INDEX(OperatorIDList,MATCH(AU16,OperatorNameList,0)),"")</f>
      </c>
      <c r="BB16" s="230" t="str">
        <f t="shared" si="150"/>
        <v>VIETTEL-2016</v>
      </c>
      <c r="BC16" s="230" t="str">
        <f>Input!Y16</f>
        <v>HCM2257</v>
      </c>
      <c r="BD16" s="230">
        <f>Input!AO16</f>
        <v>0</v>
      </c>
      <c r="BE16" s="230">
        <f>Input!BE16</f>
        <v>0</v>
      </c>
      <c r="BF16" s="230" t="str">
        <f>Input!BU16</f>
      </c>
      <c r="BG16" s="230" t="str">
        <f>Input!CI16</f>
      </c>
      <c r="BH16" s="230" t="str">
        <f>Input!CW16</f>
      </c>
      <c r="BI16" s="230" t="str">
        <f>Input!Z16</f>
        <v>HUAWEI DBS3900</v>
      </c>
      <c r="BJ16" s="230">
        <f>Input!AP16</f>
        <v>0</v>
      </c>
      <c r="BK16" s="230">
        <f>Input!BF16</f>
        <v>0</v>
      </c>
      <c r="BL16" s="230" t="str">
        <f>Input!BV16</f>
      </c>
      <c r="BM16" s="230" t="str">
        <f>Input!CJ16</f>
      </c>
      <c r="BN16" s="230" t="str">
        <f>Input!CX16</f>
      </c>
      <c r="BO16" s="553">
        <f>IF(ISNUMBER(Input!AA16),Input!AA16,0)</f>
        <v>3</v>
      </c>
      <c r="BP16" s="553">
        <f>IF(ISNUMBER(Input!AQ16),Input!AQ16,0)</f>
        <v>0</v>
      </c>
      <c r="BQ16" s="553">
        <f>IF(ISNUMBER(Input!BG16),Input!BG16,0)</f>
        <v>0</v>
      </c>
      <c r="BR16" s="553">
        <f>IF(ISNUMBER(Input!BW16),Input!BW16,0)</f>
        <v>0</v>
      </c>
      <c r="BS16" s="553">
        <f>IF(ISNUMBER(Input!CK16),Input!CK16,0)</f>
        <v>0</v>
      </c>
      <c r="BT16" s="554">
        <f>IF(ISNUMBER(Input!CY16),Input!CY16,0)</f>
        <v>0</v>
      </c>
      <c r="BU16" s="230" t="str">
        <f>Input!AF16</f>
        <v>2/2/2</v>
      </c>
      <c r="BV16" s="230" t="str">
        <f>Input!AV16</f>
      </c>
      <c r="BW16" s="230" t="str">
        <f>Input!BL16</f>
      </c>
      <c r="BX16" s="230" t="str">
        <f>Input!CA16</f>
      </c>
      <c r="BY16" s="230" t="str">
        <f>Input!CO16</f>
      </c>
      <c r="BZ16" s="230" t="str">
        <f>Input!DC16</f>
      </c>
      <c r="CA16" s="230">
        <f t="shared" si="151"/>
        <v>2</v>
      </c>
      <c r="CB16" s="230">
        <f t="shared" si="152"/>
        <v>2</v>
      </c>
      <c r="CC16" s="230">
        <f t="shared" si="153"/>
        <v>2</v>
      </c>
      <c r="CD16" s="230">
        <f t="shared" si="154"/>
        <v>0</v>
      </c>
      <c r="CE16" s="230">
        <f t="shared" si="155"/>
        <v>0</v>
      </c>
      <c r="CF16" s="230">
        <f t="shared" si="156"/>
        <v>0</v>
      </c>
      <c r="CG16" s="230">
        <f t="shared" si="157"/>
        <v>0</v>
      </c>
      <c r="CH16" s="230">
        <f t="shared" si="158"/>
        <v>0</v>
      </c>
      <c r="CI16" s="230">
        <f t="shared" si="159"/>
        <v>0</v>
      </c>
      <c r="CJ16" s="230">
        <f t="shared" si="160"/>
        <v>0</v>
      </c>
      <c r="CK16" s="230">
        <f t="shared" si="161"/>
        <v>0</v>
      </c>
      <c r="CL16" s="230">
        <f t="shared" si="162"/>
        <v>0</v>
      </c>
      <c r="CM16" s="230">
        <f t="shared" si="163"/>
        <v>0</v>
      </c>
      <c r="CN16" s="230">
        <f t="shared" si="164"/>
        <v>0</v>
      </c>
      <c r="CO16" s="230">
        <f t="shared" si="165"/>
        <v>0</v>
      </c>
      <c r="CP16" s="230">
        <f t="shared" si="166"/>
        <v>0</v>
      </c>
      <c r="CQ16" s="230">
        <f t="shared" si="167"/>
        <v>0</v>
      </c>
      <c r="CR16" s="230">
        <f t="shared" si="168"/>
        <v>0</v>
      </c>
      <c r="CS16" s="230">
        <f t="shared" si="169"/>
        <v>0</v>
      </c>
      <c r="CT16" s="230">
        <f t="shared" si="170"/>
        <v>0</v>
      </c>
      <c r="CU16" s="230">
        <f t="shared" si="171"/>
        <v>0</v>
      </c>
      <c r="CV16" s="230">
        <f t="shared" si="172"/>
        <v>0</v>
      </c>
      <c r="CW16" s="230">
        <f t="shared" si="173"/>
        <v>0</v>
      </c>
      <c r="CX16" s="230">
        <f t="shared" si="174"/>
        <v>0</v>
      </c>
      <c r="CY16" s="230">
        <f t="shared" si="175"/>
        <v>0</v>
      </c>
      <c r="CZ16" s="230">
        <f t="shared" si="176"/>
        <v>0</v>
      </c>
      <c r="DA16" s="230">
        <f t="shared" si="177"/>
        <v>0</v>
      </c>
      <c r="DB16" s="230">
        <f t="shared" si="178"/>
        <v>0</v>
      </c>
      <c r="DC16" s="230">
        <f t="shared" si="179"/>
        <v>0</v>
      </c>
      <c r="DD16" s="230">
        <f t="shared" si="180"/>
        <v>0</v>
      </c>
      <c r="DE16" s="230">
        <f t="shared" si="181"/>
        <v>0</v>
      </c>
      <c r="DF16" s="230">
        <f t="shared" si="182"/>
        <v>0</v>
      </c>
      <c r="DG16" s="230">
        <f t="shared" si="183"/>
        <v>0</v>
      </c>
      <c r="DH16" s="230">
        <f t="shared" si="184"/>
        <v>0</v>
      </c>
      <c r="DI16" s="230">
        <f t="shared" si="185"/>
        <v>0</v>
      </c>
      <c r="DJ16" s="230">
        <f t="shared" si="186"/>
        <v>0</v>
      </c>
      <c r="DK16" s="230" t="str">
        <f>Input!AK16</f>
        <v>40,00W/40,00W/40,00W</v>
      </c>
      <c r="DL16" s="230" t="str">
        <f>Input!BA16</f>
      </c>
      <c r="DM16" s="230" t="str">
        <f>Input!BQ16</f>
      </c>
      <c r="DN16" s="230" t="str">
        <f>Input!CE16</f>
      </c>
      <c r="DO16" s="230" t="str">
        <f>Input!CS16</f>
      </c>
      <c r="DP16" s="230" t="str">
        <f>Input!DG16</f>
      </c>
      <c r="DQ16" s="230" t="str">
        <f t="shared" si="187"/>
        <v>40W/ 40W/ 40W</v>
      </c>
      <c r="DR16" s="230" t="str">
        <f t="shared" si="188"/>
      </c>
      <c r="DS16" s="230" t="str">
        <f t="shared" si="189"/>
      </c>
      <c r="DT16" s="230" t="str">
        <f t="shared" si="190"/>
      </c>
      <c r="DU16" s="230" t="str">
        <f t="shared" si="191"/>
      </c>
      <c r="DV16" s="230" t="str">
        <f t="shared" si="192"/>
      </c>
      <c r="DW16" s="230">
        <f t="shared" si="193"/>
        <v>40</v>
      </c>
      <c r="DX16" s="230">
        <f t="shared" si="194"/>
        <v>40</v>
      </c>
      <c r="DY16" s="230">
        <f t="shared" si="195"/>
        <v>40</v>
      </c>
      <c r="DZ16" s="230">
        <f t="shared" si="196"/>
        <v>0</v>
      </c>
      <c r="EA16" s="230">
        <f t="shared" si="197"/>
        <v>0</v>
      </c>
      <c r="EB16" s="230">
        <f t="shared" si="198"/>
        <v>0</v>
      </c>
      <c r="EC16" s="230">
        <f t="shared" si="199"/>
        <v>40</v>
      </c>
      <c r="ED16" s="230">
        <f t="shared" si="200"/>
        <v>0</v>
      </c>
      <c r="EE16" s="230">
        <f t="shared" si="201"/>
        <v>0</v>
      </c>
      <c r="EF16" s="230">
        <f t="shared" si="202"/>
        <v>0</v>
      </c>
      <c r="EG16" s="230">
        <f t="shared" si="203"/>
        <v>0</v>
      </c>
      <c r="EH16" s="230">
        <f t="shared" si="204"/>
        <v>0</v>
      </c>
      <c r="EI16" s="230">
        <f t="shared" si="205"/>
        <v>0</v>
      </c>
      <c r="EJ16" s="230">
        <f t="shared" si="206"/>
        <v>0</v>
      </c>
      <c r="EK16" s="230">
        <f t="shared" si="207"/>
        <v>0</v>
      </c>
      <c r="EL16" s="230">
        <f t="shared" si="208"/>
        <v>0</v>
      </c>
      <c r="EM16" s="230">
        <f t="shared" si="209"/>
        <v>0</v>
      </c>
      <c r="EN16" s="230">
        <f t="shared" si="210"/>
        <v>0</v>
      </c>
      <c r="EO16" s="230">
        <f t="shared" si="211"/>
        <v>0</v>
      </c>
      <c r="EP16" s="230">
        <f t="shared" si="212"/>
        <v>0</v>
      </c>
      <c r="EQ16" s="230">
        <f t="shared" si="213"/>
        <v>0</v>
      </c>
      <c r="ER16" s="230">
        <f t="shared" si="214"/>
        <v>0</v>
      </c>
      <c r="ES16" s="230">
        <f t="shared" si="215"/>
        <v>0</v>
      </c>
      <c r="ET16" s="230">
        <f t="shared" si="216"/>
        <v>0</v>
      </c>
      <c r="EU16" s="230">
        <f t="shared" si="217"/>
        <v>0</v>
      </c>
      <c r="EV16" s="230">
        <f t="shared" si="218"/>
        <v>0</v>
      </c>
      <c r="EW16" s="230">
        <f t="shared" si="219"/>
        <v>0</v>
      </c>
      <c r="EX16" s="230">
        <f t="shared" si="220"/>
        <v>0</v>
      </c>
      <c r="EY16" s="230">
        <f t="shared" si="221"/>
        <v>0</v>
      </c>
      <c r="EZ16" s="230">
        <f t="shared" si="222"/>
        <v>0</v>
      </c>
      <c r="FA16" s="230">
        <f t="shared" si="223"/>
        <v>0</v>
      </c>
      <c r="FB16" s="230">
        <f t="shared" si="224"/>
        <v>0</v>
      </c>
      <c r="FC16" s="230">
        <f t="shared" si="225"/>
        <v>0</v>
      </c>
      <c r="FD16" s="230">
        <f t="shared" si="226"/>
        <v>0</v>
      </c>
      <c r="FE16" s="230">
        <f t="shared" si="227"/>
        <v>0</v>
      </c>
      <c r="FF16" s="230">
        <f t="shared" si="228"/>
        <v>0</v>
      </c>
      <c r="FG16" s="230">
        <f t="shared" si="229"/>
        <v>0</v>
      </c>
      <c r="FH16" s="230">
        <f t="shared" si="230"/>
        <v>0</v>
      </c>
      <c r="FI16" s="230">
        <f t="shared" si="231"/>
        <v>0</v>
      </c>
      <c r="FJ16" s="230">
        <f t="shared" si="232"/>
        <v>0</v>
      </c>
      <c r="FK16" s="230">
        <f t="shared" si="233"/>
        <v>0</v>
      </c>
      <c r="FL16" s="230">
        <f t="shared" si="234"/>
        <v>0</v>
      </c>
      <c r="FM16" s="230">
        <f t="shared" si="235"/>
        <v>40</v>
      </c>
      <c r="FN16" s="230">
        <f>Input!AL16</f>
        <v>2100</v>
      </c>
      <c r="FO16" s="230">
        <f>Input!BB16</f>
        <v>0</v>
      </c>
      <c r="FP16" s="230">
        <f>Input!BR16</f>
        <v>0</v>
      </c>
      <c r="FQ16" s="230" t="str">
        <f>Input!CF16</f>
      </c>
      <c r="FR16" s="230" t="str">
        <f>Input!CT16</f>
      </c>
      <c r="FS16" s="230" t="str">
        <f>Input!DH16</f>
      </c>
      <c r="FT16" s="230" t="str">
        <f>Input!AM16</f>
        <v>39m/ 39m/ 39m</v>
      </c>
      <c r="FU16" s="230">
        <f>Input!BC16</f>
        <v>0</v>
      </c>
      <c r="FV16" s="230">
        <f>Input!BS16</f>
        <v>0</v>
      </c>
      <c r="FW16" s="230" t="str">
        <f>Input!CG16</f>
      </c>
      <c r="FX16" s="230" t="str">
        <f>Input!CU16</f>
      </c>
      <c r="FY16" s="230" t="str">
        <f>Input!DI16</f>
      </c>
      <c r="FZ16" s="230" t="str">
        <f t="shared" si="236"/>
        <v>39m/ 39m/ 39m</v>
      </c>
      <c r="GA16" s="230" t="str">
        <f t="shared" si="237"/>
      </c>
      <c r="GB16" s="230" t="str">
        <f t="shared" si="238"/>
      </c>
      <c r="GC16" s="230" t="str">
        <f t="shared" si="239"/>
      </c>
      <c r="GD16" s="230" t="str">
        <f t="shared" si="240"/>
      </c>
      <c r="GE16" s="230" t="str">
        <f t="shared" si="241"/>
      </c>
      <c r="GF16" s="230">
        <f t="shared" si="242"/>
        <v>39</v>
      </c>
      <c r="GG16" s="230">
        <f t="shared" si="243"/>
        <v>39</v>
      </c>
      <c r="GH16" s="230">
        <f t="shared" si="244"/>
        <v>39</v>
      </c>
      <c r="GI16" s="230">
        <f t="shared" si="245"/>
        <v>0</v>
      </c>
      <c r="GJ16" s="230">
        <f t="shared" si="246"/>
        <v>0</v>
      </c>
      <c r="GK16" s="230">
        <f t="shared" si="247"/>
        <v>0</v>
      </c>
      <c r="GL16" s="230">
        <f t="shared" si="248"/>
        <v>0</v>
      </c>
      <c r="GM16" s="230">
        <f t="shared" si="249"/>
        <v>0</v>
      </c>
      <c r="GN16" s="230">
        <f t="shared" si="250"/>
        <v>0</v>
      </c>
      <c r="GO16" s="230">
        <f t="shared" si="251"/>
        <v>0</v>
      </c>
      <c r="GP16" s="230">
        <f t="shared" si="252"/>
        <v>0</v>
      </c>
      <c r="GQ16" s="230">
        <f t="shared" si="253"/>
        <v>0</v>
      </c>
      <c r="GR16" s="230">
        <f t="shared" si="254"/>
        <v>0</v>
      </c>
      <c r="GS16" s="230">
        <f t="shared" si="255"/>
        <v>0</v>
      </c>
      <c r="GT16" s="230">
        <f t="shared" si="256"/>
        <v>0</v>
      </c>
      <c r="GU16" s="230">
        <f t="shared" si="257"/>
        <v>0</v>
      </c>
      <c r="GV16" s="230">
        <f t="shared" si="258"/>
        <v>0</v>
      </c>
      <c r="GW16" s="230">
        <f t="shared" si="259"/>
        <v>0</v>
      </c>
      <c r="GX16" s="230">
        <f t="shared" si="260"/>
        <v>0</v>
      </c>
      <c r="GY16" s="230">
        <f t="shared" si="261"/>
        <v>0</v>
      </c>
      <c r="GZ16" s="230">
        <f t="shared" si="262"/>
        <v>0</v>
      </c>
      <c r="HA16" s="230">
        <f t="shared" si="263"/>
        <v>0</v>
      </c>
      <c r="HB16" s="230">
        <f t="shared" si="264"/>
        <v>0</v>
      </c>
      <c r="HC16" s="230">
        <f t="shared" si="265"/>
        <v>0</v>
      </c>
      <c r="HD16" s="230">
        <f t="shared" si="266"/>
        <v>0</v>
      </c>
      <c r="HE16" s="230">
        <f t="shared" si="267"/>
        <v>0</v>
      </c>
      <c r="HF16" s="230">
        <f t="shared" si="268"/>
        <v>0</v>
      </c>
      <c r="HG16" s="230">
        <f t="shared" si="269"/>
        <v>0</v>
      </c>
      <c r="HH16" s="230">
        <f t="shared" si="270"/>
        <v>0</v>
      </c>
      <c r="HI16" s="230">
        <f t="shared" si="271"/>
        <v>0</v>
      </c>
      <c r="HJ16" s="230">
        <f t="shared" si="272"/>
        <v>0</v>
      </c>
      <c r="HK16" s="230">
        <f t="shared" si="273"/>
        <v>0</v>
      </c>
      <c r="HL16" s="230">
        <f t="shared" si="274"/>
        <v>0</v>
      </c>
      <c r="HM16" s="230">
        <f t="shared" si="275"/>
        <v>0</v>
      </c>
      <c r="HN16" s="230">
        <f t="shared" si="276"/>
        <v>0</v>
      </c>
      <c r="HO16" s="230">
        <f t="shared" si="277"/>
        <v>0</v>
      </c>
      <c r="HP16" s="230" t="str">
        <f>INDEX(LabNameList,MATCH(LabId,LabIDList,0))</f>
        <v>Trung tâm Kiểm định và Chứng nhận 2</v>
      </c>
      <c r="HQ16" s="230">
        <f t="shared" si="278"/>
        <v>39</v>
      </c>
      <c r="HR16" s="230">
        <f t="shared" si="279"/>
        <v>0</v>
      </c>
      <c r="HS16" s="230">
        <f t="shared" si="280"/>
        <v>0</v>
      </c>
      <c r="HT16" s="230">
        <f t="shared" si="281"/>
        <v>0</v>
      </c>
      <c r="HU16" s="230">
        <f t="shared" si="282"/>
        <v>0</v>
      </c>
      <c r="HV16" s="230">
        <f t="shared" si="283"/>
        <v>0</v>
      </c>
      <c r="HW16" s="797">
        <f t="shared" si="284"/>
        <v>39</v>
      </c>
      <c r="HX16" s="797">
        <f>Input!EB16</f>
        <v>0</v>
      </c>
      <c r="HY16" s="230">
        <v>68</v>
      </c>
      <c r="HZ16" s="230"/>
      <c r="IA16" s="230"/>
      <c r="IB16" s="230"/>
      <c r="IC16" s="232" t="str">
        <f t="shared" si="285"/>
        <v>B01967230916TG05</v>
      </c>
      <c r="ID16" s="233" t="str">
        <f>Input!O16</f>
        <v>01967</v>
      </c>
      <c r="IE16" s="467" t="str">
        <f t="shared" si="286"/>
        <v>230916</v>
      </c>
      <c r="IF16" s="232" t="s">
        <v>364</v>
      </c>
      <c r="IG16" s="467" t="str">
        <f t="shared" si="287"/>
        <v>23/09/2016</v>
      </c>
      <c r="IH16" s="467" t="str">
        <f t="shared" si="288"/>
        <v>23/09/2021</v>
      </c>
      <c r="II16" s="546" t="str">
        <f> Input!R16</f>
        <v>23/09/2016</v>
      </c>
      <c r="IJ16" s="467">
        <f t="shared" si="289"/>
        <v>44462</v>
      </c>
      <c r="IK16" s="468">
        <f t="shared" si="290"/>
        <v>3</v>
      </c>
      <c r="IL16" s="469" t="str">
        <f t="shared" si="291"/>
        <v>3-1</v>
      </c>
      <c r="IM16" s="469" t="str">
        <f t="shared" si="292"/>
        <v>KHAC</v>
      </c>
      <c r="IN16" s="469" t="str">
        <f t="shared" si="293"/>
        <v>KHAC</v>
      </c>
      <c r="IO16" s="469" t="str">
        <f t="shared" si="294"/>
      </c>
      <c r="IP16" s="469" t="str">
        <f t="shared" si="295"/>
      </c>
      <c r="IQ16" s="469" t="str">
        <f t="shared" si="296"/>
      </c>
      <c r="IR16" s="469">
        <f t="shared" si="297"/>
        <v>1</v>
      </c>
      <c r="IS16" s="469">
        <f t="shared" si="298"/>
        <v>2</v>
      </c>
      <c r="IT16" s="469" t="str">
        <f t="shared" si="299"/>
        <v>Yes</v>
      </c>
      <c r="IU16" s="469" t="str">
        <f t="shared" si="300"/>
        <v>Yes</v>
      </c>
    </row>
    <row r="17" ht="63.75">
      <c r="A17" s="601">
        <f>Input!A17</f>
        <v>16</v>
      </c>
      <c r="B17" s="229" t="str">
        <f>INDEX(ApplicantIDList,MATCH(AI17,ApplicantNameList,0))</f>
        <v>VIETTEL-2016</v>
      </c>
      <c r="C17" s="229" t="str">
        <f>INDEX(OperatorIDList,MATCH(AJ17,OperatorNameList,0))</f>
        <v>VIETTEL-2016</v>
      </c>
      <c r="D17" s="797" t="str">
        <f>Input!Y17</f>
        <v>HCM2259</v>
      </c>
      <c r="E17" s="229" t="str">
        <f>Input!G17</f>
        <v>Ấp 5, xã Vĩnh Lộc A, huyện Bình Chánh, thành phố Hồ Chí Minh.</v>
      </c>
      <c r="F17" s="229" t="str">
        <f>TRIM(SUBSTITUTE(SUBSTITUTE(Input!H17,"Thành phố ",""),"Tỉnh ",""))</f>
        <v>Hồ Chí Minh</v>
      </c>
      <c r="G17" s="797" t="str">
        <f>Input!I17</f>
        <v>106,574855</v>
      </c>
      <c r="H17" s="797" t="str">
        <f>Input!J17</f>
        <v>10,82464</v>
      </c>
      <c r="I17" s="229">
        <f>Input!V17</f>
        <v>1</v>
      </c>
      <c r="J17" s="229" t="str">
        <f>Input!K17</f>
        <v>1502387/16/TG/TT2</v>
      </c>
      <c r="K17" s="231" t="str">
        <f>TEXT(Input!L17,"dd/mm/yyyy")</f>
        <v>23/09/2016</v>
      </c>
      <c r="L17" s="231" t="str">
        <f>TEXT(Input!M17,"dd/mm/yyyy")</f>
        <v>14/09/2016</v>
      </c>
      <c r="M17" s="229" t="str">
        <f t="shared" si="135"/>
        <v>TỔNG CÔNG TY MẠNG LƯỚI VIETTEL</v>
      </c>
      <c r="N17" s="229" t="str">
        <f t="shared" si="136"/>
        <v>HCM2259</v>
      </c>
      <c r="O17" s="229" t="str">
        <f t="shared" si="137"/>
        <v>HUAWEI DBS3900</v>
      </c>
      <c r="P17" s="229" t="str">
        <f t="shared" si="138"/>
        <v>3</v>
      </c>
      <c r="Q17" s="229" t="str">
        <f t="shared" si="139"/>
        <v>2/2/2</v>
      </c>
      <c r="R17" s="229" t="str">
        <f t="shared" si="140"/>
        <v>40W/ 40W/ 40W</v>
      </c>
      <c r="S17" s="229" t="str">
        <f t="shared" si="141"/>
        <v>2100</v>
      </c>
      <c r="T17" s="229" t="str">
        <f t="shared" si="142"/>
        <v>34m/ 34m/ 34m</v>
      </c>
      <c r="U17" s="229">
        <v>1</v>
      </c>
      <c r="V17" s="229"/>
      <c r="W17" s="229" t="b">
        <f t="shared" si="143"/>
        <v>1</v>
      </c>
      <c r="X17" s="229" t="b">
        <f>INDEX(TrueFalseList,_xlfn.IFNA(MATCH(Input!W17,CoKhongList,0),MATCH(Input!W17,YesNoList,0)))</f>
        <v>1</v>
      </c>
      <c r="Y17" s="797">
        <f>Input!FZ17</f>
        <v>1</v>
      </c>
      <c r="Z17" s="229" t="b">
        <v>1</v>
      </c>
      <c r="AA17" s="797">
        <f t="shared" si="144"/>
        <v>34</v>
      </c>
      <c r="AB17" s="229" t="b">
        <v>0</v>
      </c>
      <c r="AC17" s="229" t="b">
        <v>1</v>
      </c>
      <c r="AD17" s="229">
        <f>Input!DR17</f>
        <v>0</v>
      </c>
      <c r="AE17" s="229"/>
      <c r="AF17" s="229" t="str">
        <f>Options!$D$6</f>
        <v>VCC2</v>
      </c>
      <c r="AG17" s="229">
        <f t="shared" si="145"/>
        <v>0</v>
      </c>
      <c r="AH17" s="230"/>
      <c r="AI17" s="553" t="str">
        <f>Input!E17</f>
        <v>TỔNG CÔNG TY MẠNG LƯỚI VIETTEL</v>
      </c>
      <c r="AJ17" s="553" t="str">
        <f>Input!F17</f>
        <v>TỔNG CÔNG TY MẠNG LƯỚI VIETTEL</v>
      </c>
      <c r="AK17" s="229">
        <f t="shared" si="146"/>
        <v>3</v>
      </c>
      <c r="AL17" s="465" t="str">
        <f t="shared" si="147"/>
        <v>thành phố Hồ Chí Minh.</v>
      </c>
      <c r="AM17" s="465" t="str">
        <f t="shared" si="148"/>
        <v>huyện Bình Chánh</v>
      </c>
      <c r="AN17" s="465" t="str">
        <f t="shared" si="149"/>
        <v>xã Vĩnh Lộc A</v>
      </c>
      <c r="AO17" s="229" t="str">
        <f>INDEX(CityIDList,MATCH(F17,CityNameList,0))</f>
        <v>HCM</v>
      </c>
      <c r="AP17" s="230" t="str">
        <f>Input!X17</f>
        <v>TỔNG CÔNG TY MẠNG LƯỚI VIETTEL</v>
      </c>
      <c r="AQ17" s="230">
        <f>Input!AN17</f>
        <v>0</v>
      </c>
      <c r="AR17" s="230">
        <f>Input!BD17</f>
        <v>0</v>
      </c>
      <c r="AS17" s="230" t="str">
        <f>Input!BT17</f>
      </c>
      <c r="AT17" s="230" t="str">
        <f>Input!CH17</f>
      </c>
      <c r="AU17" s="230" t="str">
        <f>Input!CV17</f>
      </c>
      <c r="AV17" s="230" t="str">
        <f>IF(I17&gt;=1,INDEX(OperatorIDList,MATCH(AP17,OperatorNameList,0)),"")</f>
        <v>VIETTEL-2016</v>
      </c>
      <c r="AW17" s="230" t="str">
        <f>IF(I17&gt;=2,INDEX(OperatorIDList,MATCH(AQ17,OperatorNameList,0)),"")</f>
      </c>
      <c r="AX17" s="230" t="str">
        <f>IF(I17&gt;=3,INDEX(OperatorIDList,MATCH(AR17,OperatorNameList,0)),"")</f>
      </c>
      <c r="AY17" s="230" t="str">
        <f>IF(I17&gt;=4,INDEX(OperatorIDList,MATCH(AS17,OperatorNameList,0)),"")</f>
      </c>
      <c r="AZ17" s="230" t="str">
        <f>IF(I17&gt;=5,INDEX(OperatorIDList,MATCH(AT17,OperatorNameList,0)),"")</f>
      </c>
      <c r="BA17" s="230" t="str">
        <f>IF(I17&gt;=6,INDEX(OperatorIDList,MATCH(AU17,OperatorNameList,0)),"")</f>
      </c>
      <c r="BB17" s="230" t="str">
        <f t="shared" si="150"/>
        <v>VIETTEL-2016</v>
      </c>
      <c r="BC17" s="230" t="str">
        <f>Input!Y17</f>
        <v>HCM2259</v>
      </c>
      <c r="BD17" s="230">
        <f>Input!AO17</f>
        <v>0</v>
      </c>
      <c r="BE17" s="230">
        <f>Input!BE17</f>
        <v>0</v>
      </c>
      <c r="BF17" s="230" t="str">
        <f>Input!BU17</f>
      </c>
      <c r="BG17" s="230" t="str">
        <f>Input!CI17</f>
      </c>
      <c r="BH17" s="230" t="str">
        <f>Input!CW17</f>
      </c>
      <c r="BI17" s="230" t="str">
        <f>Input!Z17</f>
        <v>HUAWEI DBS3900</v>
      </c>
      <c r="BJ17" s="230">
        <f>Input!AP17</f>
        <v>0</v>
      </c>
      <c r="BK17" s="230">
        <f>Input!BF17</f>
        <v>0</v>
      </c>
      <c r="BL17" s="230" t="str">
        <f>Input!BV17</f>
      </c>
      <c r="BM17" s="230" t="str">
        <f>Input!CJ17</f>
      </c>
      <c r="BN17" s="230" t="str">
        <f>Input!CX17</f>
      </c>
      <c r="BO17" s="553">
        <f>IF(ISNUMBER(Input!AA17),Input!AA17,0)</f>
        <v>3</v>
      </c>
      <c r="BP17" s="553">
        <f>IF(ISNUMBER(Input!AQ17),Input!AQ17,0)</f>
        <v>0</v>
      </c>
      <c r="BQ17" s="553">
        <f>IF(ISNUMBER(Input!BG17),Input!BG17,0)</f>
        <v>0</v>
      </c>
      <c r="BR17" s="553">
        <f>IF(ISNUMBER(Input!BW17),Input!BW17,0)</f>
        <v>0</v>
      </c>
      <c r="BS17" s="553">
        <f>IF(ISNUMBER(Input!CK17),Input!CK17,0)</f>
        <v>0</v>
      </c>
      <c r="BT17" s="554">
        <f>IF(ISNUMBER(Input!CY17),Input!CY17,0)</f>
        <v>0</v>
      </c>
      <c r="BU17" s="230" t="str">
        <f>Input!AF17</f>
        <v>2/2/2</v>
      </c>
      <c r="BV17" s="230" t="str">
        <f>Input!AV17</f>
      </c>
      <c r="BW17" s="230" t="str">
        <f>Input!BL17</f>
      </c>
      <c r="BX17" s="230" t="str">
        <f>Input!CA17</f>
      </c>
      <c r="BY17" s="230" t="str">
        <f>Input!CO17</f>
      </c>
      <c r="BZ17" s="230" t="str">
        <f>Input!DC17</f>
      </c>
      <c r="CA17" s="230">
        <f t="shared" si="151"/>
        <v>2</v>
      </c>
      <c r="CB17" s="230">
        <f t="shared" si="152"/>
        <v>2</v>
      </c>
      <c r="CC17" s="230">
        <f t="shared" si="153"/>
        <v>2</v>
      </c>
      <c r="CD17" s="230">
        <f t="shared" si="154"/>
        <v>0</v>
      </c>
      <c r="CE17" s="230">
        <f t="shared" si="155"/>
        <v>0</v>
      </c>
      <c r="CF17" s="230">
        <f t="shared" si="156"/>
        <v>0</v>
      </c>
      <c r="CG17" s="230">
        <f t="shared" si="157"/>
        <v>0</v>
      </c>
      <c r="CH17" s="230">
        <f t="shared" si="158"/>
        <v>0</v>
      </c>
      <c r="CI17" s="230">
        <f t="shared" si="159"/>
        <v>0</v>
      </c>
      <c r="CJ17" s="230">
        <f t="shared" si="160"/>
        <v>0</v>
      </c>
      <c r="CK17" s="230">
        <f t="shared" si="161"/>
        <v>0</v>
      </c>
      <c r="CL17" s="230">
        <f t="shared" si="162"/>
        <v>0</v>
      </c>
      <c r="CM17" s="230">
        <f t="shared" si="163"/>
        <v>0</v>
      </c>
      <c r="CN17" s="230">
        <f t="shared" si="164"/>
        <v>0</v>
      </c>
      <c r="CO17" s="230">
        <f t="shared" si="165"/>
        <v>0</v>
      </c>
      <c r="CP17" s="230">
        <f t="shared" si="166"/>
        <v>0</v>
      </c>
      <c r="CQ17" s="230">
        <f t="shared" si="167"/>
        <v>0</v>
      </c>
      <c r="CR17" s="230">
        <f t="shared" si="168"/>
        <v>0</v>
      </c>
      <c r="CS17" s="230">
        <f t="shared" si="169"/>
        <v>0</v>
      </c>
      <c r="CT17" s="230">
        <f t="shared" si="170"/>
        <v>0</v>
      </c>
      <c r="CU17" s="230">
        <f t="shared" si="171"/>
        <v>0</v>
      </c>
      <c r="CV17" s="230">
        <f t="shared" si="172"/>
        <v>0</v>
      </c>
      <c r="CW17" s="230">
        <f t="shared" si="173"/>
        <v>0</v>
      </c>
      <c r="CX17" s="230">
        <f t="shared" si="174"/>
        <v>0</v>
      </c>
      <c r="CY17" s="230">
        <f t="shared" si="175"/>
        <v>0</v>
      </c>
      <c r="CZ17" s="230">
        <f t="shared" si="176"/>
        <v>0</v>
      </c>
      <c r="DA17" s="230">
        <f t="shared" si="177"/>
        <v>0</v>
      </c>
      <c r="DB17" s="230">
        <f t="shared" si="178"/>
        <v>0</v>
      </c>
      <c r="DC17" s="230">
        <f t="shared" si="179"/>
        <v>0</v>
      </c>
      <c r="DD17" s="230">
        <f t="shared" si="180"/>
        <v>0</v>
      </c>
      <c r="DE17" s="230">
        <f t="shared" si="181"/>
        <v>0</v>
      </c>
      <c r="DF17" s="230">
        <f t="shared" si="182"/>
        <v>0</v>
      </c>
      <c r="DG17" s="230">
        <f t="shared" si="183"/>
        <v>0</v>
      </c>
      <c r="DH17" s="230">
        <f t="shared" si="184"/>
        <v>0</v>
      </c>
      <c r="DI17" s="230">
        <f t="shared" si="185"/>
        <v>0</v>
      </c>
      <c r="DJ17" s="230">
        <f t="shared" si="186"/>
        <v>0</v>
      </c>
      <c r="DK17" s="230" t="str">
        <f>Input!AK17</f>
        <v>40,00W/40,00W/40,00W</v>
      </c>
      <c r="DL17" s="230" t="str">
        <f>Input!BA17</f>
      </c>
      <c r="DM17" s="230" t="str">
        <f>Input!BQ17</f>
      </c>
      <c r="DN17" s="230" t="str">
        <f>Input!CE17</f>
      </c>
      <c r="DO17" s="230" t="str">
        <f>Input!CS17</f>
      </c>
      <c r="DP17" s="230" t="str">
        <f>Input!DG17</f>
      </c>
      <c r="DQ17" s="230" t="str">
        <f t="shared" si="187"/>
        <v>40W/ 40W/ 40W</v>
      </c>
      <c r="DR17" s="230" t="str">
        <f t="shared" si="188"/>
      </c>
      <c r="DS17" s="230" t="str">
        <f t="shared" si="189"/>
      </c>
      <c r="DT17" s="230" t="str">
        <f t="shared" si="190"/>
      </c>
      <c r="DU17" s="230" t="str">
        <f t="shared" si="191"/>
      </c>
      <c r="DV17" s="230" t="str">
        <f t="shared" si="192"/>
      </c>
      <c r="DW17" s="230">
        <f t="shared" si="193"/>
        <v>40</v>
      </c>
      <c r="DX17" s="230">
        <f t="shared" si="194"/>
        <v>40</v>
      </c>
      <c r="DY17" s="230">
        <f t="shared" si="195"/>
        <v>40</v>
      </c>
      <c r="DZ17" s="230">
        <f t="shared" si="196"/>
        <v>0</v>
      </c>
      <c r="EA17" s="230">
        <f t="shared" si="197"/>
        <v>0</v>
      </c>
      <c r="EB17" s="230">
        <f t="shared" si="198"/>
        <v>0</v>
      </c>
      <c r="EC17" s="230">
        <f t="shared" si="199"/>
        <v>40</v>
      </c>
      <c r="ED17" s="230">
        <f t="shared" si="200"/>
        <v>0</v>
      </c>
      <c r="EE17" s="230">
        <f t="shared" si="201"/>
        <v>0</v>
      </c>
      <c r="EF17" s="230">
        <f t="shared" si="202"/>
        <v>0</v>
      </c>
      <c r="EG17" s="230">
        <f t="shared" si="203"/>
        <v>0</v>
      </c>
      <c r="EH17" s="230">
        <f t="shared" si="204"/>
        <v>0</v>
      </c>
      <c r="EI17" s="230">
        <f t="shared" si="205"/>
        <v>0</v>
      </c>
      <c r="EJ17" s="230">
        <f t="shared" si="206"/>
        <v>0</v>
      </c>
      <c r="EK17" s="230">
        <f t="shared" si="207"/>
        <v>0</v>
      </c>
      <c r="EL17" s="230">
        <f t="shared" si="208"/>
        <v>0</v>
      </c>
      <c r="EM17" s="230">
        <f t="shared" si="209"/>
        <v>0</v>
      </c>
      <c r="EN17" s="230">
        <f t="shared" si="210"/>
        <v>0</v>
      </c>
      <c r="EO17" s="230">
        <f t="shared" si="211"/>
        <v>0</v>
      </c>
      <c r="EP17" s="230">
        <f t="shared" si="212"/>
        <v>0</v>
      </c>
      <c r="EQ17" s="230">
        <f t="shared" si="213"/>
        <v>0</v>
      </c>
      <c r="ER17" s="230">
        <f t="shared" si="214"/>
        <v>0</v>
      </c>
      <c r="ES17" s="230">
        <f t="shared" si="215"/>
        <v>0</v>
      </c>
      <c r="ET17" s="230">
        <f t="shared" si="216"/>
        <v>0</v>
      </c>
      <c r="EU17" s="230">
        <f t="shared" si="217"/>
        <v>0</v>
      </c>
      <c r="EV17" s="230">
        <f t="shared" si="218"/>
        <v>0</v>
      </c>
      <c r="EW17" s="230">
        <f t="shared" si="219"/>
        <v>0</v>
      </c>
      <c r="EX17" s="230">
        <f t="shared" si="220"/>
        <v>0</v>
      </c>
      <c r="EY17" s="230">
        <f t="shared" si="221"/>
        <v>0</v>
      </c>
      <c r="EZ17" s="230">
        <f t="shared" si="222"/>
        <v>0</v>
      </c>
      <c r="FA17" s="230">
        <f t="shared" si="223"/>
        <v>0</v>
      </c>
      <c r="FB17" s="230">
        <f t="shared" si="224"/>
        <v>0</v>
      </c>
      <c r="FC17" s="230">
        <f t="shared" si="225"/>
        <v>0</v>
      </c>
      <c r="FD17" s="230">
        <f t="shared" si="226"/>
        <v>0</v>
      </c>
      <c r="FE17" s="230">
        <f t="shared" si="227"/>
        <v>0</v>
      </c>
      <c r="FF17" s="230">
        <f t="shared" si="228"/>
        <v>0</v>
      </c>
      <c r="FG17" s="230">
        <f t="shared" si="229"/>
        <v>0</v>
      </c>
      <c r="FH17" s="230">
        <f t="shared" si="230"/>
        <v>0</v>
      </c>
      <c r="FI17" s="230">
        <f t="shared" si="231"/>
        <v>0</v>
      </c>
      <c r="FJ17" s="230">
        <f t="shared" si="232"/>
        <v>0</v>
      </c>
      <c r="FK17" s="230">
        <f t="shared" si="233"/>
        <v>0</v>
      </c>
      <c r="FL17" s="230">
        <f t="shared" si="234"/>
        <v>0</v>
      </c>
      <c r="FM17" s="230">
        <f t="shared" si="235"/>
        <v>40</v>
      </c>
      <c r="FN17" s="230">
        <f>Input!AL17</f>
        <v>2100</v>
      </c>
      <c r="FO17" s="230">
        <f>Input!BB17</f>
        <v>0</v>
      </c>
      <c r="FP17" s="230">
        <f>Input!BR17</f>
        <v>0</v>
      </c>
      <c r="FQ17" s="230" t="str">
        <f>Input!CF17</f>
      </c>
      <c r="FR17" s="230" t="str">
        <f>Input!CT17</f>
      </c>
      <c r="FS17" s="230" t="str">
        <f>Input!DH17</f>
      </c>
      <c r="FT17" s="230" t="str">
        <f>Input!AM17</f>
        <v>34m/ 34m/ 34m</v>
      </c>
      <c r="FU17" s="230">
        <f>Input!BC17</f>
        <v>0</v>
      </c>
      <c r="FV17" s="230">
        <f>Input!BS17</f>
        <v>0</v>
      </c>
      <c r="FW17" s="230" t="str">
        <f>Input!CG17</f>
      </c>
      <c r="FX17" s="230" t="str">
        <f>Input!CU17</f>
      </c>
      <c r="FY17" s="230" t="str">
        <f>Input!DI17</f>
      </c>
      <c r="FZ17" s="230" t="str">
        <f t="shared" si="236"/>
        <v>34m/ 34m/ 34m</v>
      </c>
      <c r="GA17" s="230" t="str">
        <f t="shared" si="237"/>
      </c>
      <c r="GB17" s="230" t="str">
        <f t="shared" si="238"/>
      </c>
      <c r="GC17" s="230" t="str">
        <f t="shared" si="239"/>
      </c>
      <c r="GD17" s="230" t="str">
        <f t="shared" si="240"/>
      </c>
      <c r="GE17" s="230" t="str">
        <f t="shared" si="241"/>
      </c>
      <c r="GF17" s="230">
        <f t="shared" si="242"/>
        <v>34</v>
      </c>
      <c r="GG17" s="230">
        <f t="shared" si="243"/>
        <v>34</v>
      </c>
      <c r="GH17" s="230">
        <f t="shared" si="244"/>
        <v>34</v>
      </c>
      <c r="GI17" s="230">
        <f t="shared" si="245"/>
        <v>0</v>
      </c>
      <c r="GJ17" s="230">
        <f t="shared" si="246"/>
        <v>0</v>
      </c>
      <c r="GK17" s="230">
        <f t="shared" si="247"/>
        <v>0</v>
      </c>
      <c r="GL17" s="230">
        <f t="shared" si="248"/>
        <v>0</v>
      </c>
      <c r="GM17" s="230">
        <f t="shared" si="249"/>
        <v>0</v>
      </c>
      <c r="GN17" s="230">
        <f t="shared" si="250"/>
        <v>0</v>
      </c>
      <c r="GO17" s="230">
        <f t="shared" si="251"/>
        <v>0</v>
      </c>
      <c r="GP17" s="230">
        <f t="shared" si="252"/>
        <v>0</v>
      </c>
      <c r="GQ17" s="230">
        <f t="shared" si="253"/>
        <v>0</v>
      </c>
      <c r="GR17" s="230">
        <f t="shared" si="254"/>
        <v>0</v>
      </c>
      <c r="GS17" s="230">
        <f t="shared" si="255"/>
        <v>0</v>
      </c>
      <c r="GT17" s="230">
        <f t="shared" si="256"/>
        <v>0</v>
      </c>
      <c r="GU17" s="230">
        <f t="shared" si="257"/>
        <v>0</v>
      </c>
      <c r="GV17" s="230">
        <f t="shared" si="258"/>
        <v>0</v>
      </c>
      <c r="GW17" s="230">
        <f t="shared" si="259"/>
        <v>0</v>
      </c>
      <c r="GX17" s="230">
        <f t="shared" si="260"/>
        <v>0</v>
      </c>
      <c r="GY17" s="230">
        <f t="shared" si="261"/>
        <v>0</v>
      </c>
      <c r="GZ17" s="230">
        <f t="shared" si="262"/>
        <v>0</v>
      </c>
      <c r="HA17" s="230">
        <f t="shared" si="263"/>
        <v>0</v>
      </c>
      <c r="HB17" s="230">
        <f t="shared" si="264"/>
        <v>0</v>
      </c>
      <c r="HC17" s="230">
        <f t="shared" si="265"/>
        <v>0</v>
      </c>
      <c r="HD17" s="230">
        <f t="shared" si="266"/>
        <v>0</v>
      </c>
      <c r="HE17" s="230">
        <f t="shared" si="267"/>
        <v>0</v>
      </c>
      <c r="HF17" s="230">
        <f t="shared" si="268"/>
        <v>0</v>
      </c>
      <c r="HG17" s="230">
        <f t="shared" si="269"/>
        <v>0</v>
      </c>
      <c r="HH17" s="230">
        <f t="shared" si="270"/>
        <v>0</v>
      </c>
      <c r="HI17" s="230">
        <f t="shared" si="271"/>
        <v>0</v>
      </c>
      <c r="HJ17" s="230">
        <f t="shared" si="272"/>
        <v>0</v>
      </c>
      <c r="HK17" s="230">
        <f t="shared" si="273"/>
        <v>0</v>
      </c>
      <c r="HL17" s="230">
        <f t="shared" si="274"/>
        <v>0</v>
      </c>
      <c r="HM17" s="230">
        <f t="shared" si="275"/>
        <v>0</v>
      </c>
      <c r="HN17" s="230">
        <f t="shared" si="276"/>
        <v>0</v>
      </c>
      <c r="HO17" s="230">
        <f t="shared" si="277"/>
        <v>0</v>
      </c>
      <c r="HP17" s="230" t="str">
        <f>INDEX(LabNameList,MATCH(LabId,LabIDList,0))</f>
        <v>Trung tâm Kiểm định và Chứng nhận 2</v>
      </c>
      <c r="HQ17" s="230">
        <f t="shared" si="278"/>
        <v>34</v>
      </c>
      <c r="HR17" s="230">
        <f t="shared" si="279"/>
        <v>0</v>
      </c>
      <c r="HS17" s="230">
        <f t="shared" si="280"/>
        <v>0</v>
      </c>
      <c r="HT17" s="230">
        <f t="shared" si="281"/>
        <v>0</v>
      </c>
      <c r="HU17" s="230">
        <f t="shared" si="282"/>
        <v>0</v>
      </c>
      <c r="HV17" s="230">
        <f t="shared" si="283"/>
        <v>0</v>
      </c>
      <c r="HW17" s="797">
        <f t="shared" si="284"/>
        <v>34</v>
      </c>
      <c r="HX17" s="797">
        <f>Input!EB17</f>
        <v>0</v>
      </c>
      <c r="HY17" s="230">
        <v>68</v>
      </c>
      <c r="HZ17" s="230"/>
      <c r="IA17" s="230"/>
      <c r="IB17" s="230"/>
      <c r="IC17" s="232" t="str">
        <f t="shared" si="285"/>
        <v>B01968230916TG05</v>
      </c>
      <c r="ID17" s="233" t="str">
        <f>Input!O17</f>
        <v>01968</v>
      </c>
      <c r="IE17" s="467" t="str">
        <f t="shared" si="286"/>
        <v>230916</v>
      </c>
      <c r="IF17" s="232" t="s">
        <v>364</v>
      </c>
      <c r="IG17" s="467" t="str">
        <f t="shared" si="287"/>
        <v>23/09/2016</v>
      </c>
      <c r="IH17" s="467" t="str">
        <f t="shared" si="288"/>
        <v>23/09/2021</v>
      </c>
      <c r="II17" s="546" t="str">
        <f> Input!R17</f>
        <v>23/09/2016</v>
      </c>
      <c r="IJ17" s="467">
        <f t="shared" si="289"/>
        <v>44462</v>
      </c>
      <c r="IK17" s="468">
        <f t="shared" si="290"/>
        <v>3</v>
      </c>
      <c r="IL17" s="469" t="str">
        <f t="shared" si="291"/>
        <v>3-1</v>
      </c>
      <c r="IM17" s="469" t="str">
        <f t="shared" si="292"/>
        <v>KHAC</v>
      </c>
      <c r="IN17" s="469" t="str">
        <f t="shared" si="293"/>
        <v>KHAC</v>
      </c>
      <c r="IO17" s="469" t="str">
        <f t="shared" si="294"/>
      </c>
      <c r="IP17" s="469" t="str">
        <f t="shared" si="295"/>
      </c>
      <c r="IQ17" s="469" t="str">
        <f t="shared" si="296"/>
      </c>
      <c r="IR17" s="469">
        <f t="shared" si="297"/>
        <v>1</v>
      </c>
      <c r="IS17" s="469">
        <f t="shared" si="298"/>
        <v>2</v>
      </c>
      <c r="IT17" s="469" t="str">
        <f t="shared" si="299"/>
        <v>Yes</v>
      </c>
      <c r="IU17" s="469" t="str">
        <f t="shared" si="300"/>
        <v>Yes</v>
      </c>
    </row>
    <row r="18" ht="63.75">
      <c r="A18" s="601">
        <f>Input!A18</f>
        <v>17</v>
      </c>
      <c r="B18" s="229" t="str">
        <f>INDEX(ApplicantIDList,MATCH(AI18,ApplicantNameList,0))</f>
        <v>VIETTEL-2016</v>
      </c>
      <c r="C18" s="229" t="str">
        <f>INDEX(OperatorIDList,MATCH(AJ18,OperatorNameList,0))</f>
        <v>VIETTEL-2016</v>
      </c>
      <c r="D18" s="797" t="str">
        <f>Input!Y18</f>
        <v>HCM2284</v>
      </c>
      <c r="E18" s="229" t="str">
        <f>Input!G18</f>
        <v>Số E6/162, ấp 5, xã Phong Phú, huyện Bình Chánh, thành phố Hồ Chí Minh.</v>
      </c>
      <c r="F18" s="229" t="str">
        <f>TRIM(SUBSTITUTE(SUBSTITUTE(Input!H18,"Thành phố ",""),"Tỉnh ",""))</f>
        <v>Hồ Chí Minh</v>
      </c>
      <c r="G18" s="797" t="str">
        <f>Input!I18</f>
        <v>106,654419</v>
      </c>
      <c r="H18" s="797" t="str">
        <f>Input!J18</f>
        <v>10,702732</v>
      </c>
      <c r="I18" s="229">
        <f>Input!V18</f>
        <v>1</v>
      </c>
      <c r="J18" s="229" t="str">
        <f>Input!K18</f>
        <v>1502388/16/TG/TT2</v>
      </c>
      <c r="K18" s="231" t="str">
        <f>TEXT(Input!L18,"dd/mm/yyyy")</f>
        <v>23/09/2016</v>
      </c>
      <c r="L18" s="231" t="str">
        <f>TEXT(Input!M18,"dd/mm/yyyy")</f>
        <v>14/09/2016</v>
      </c>
      <c r="M18" s="229" t="str">
        <f t="shared" si="135"/>
        <v>TỔNG CÔNG TY MẠNG LƯỚI VIETTEL</v>
      </c>
      <c r="N18" s="229" t="str">
        <f t="shared" si="136"/>
        <v>HCM2284</v>
      </c>
      <c r="O18" s="229" t="str">
        <f t="shared" si="137"/>
        <v>HUAWEI DBS3900</v>
      </c>
      <c r="P18" s="229" t="str">
        <f t="shared" si="138"/>
        <v>3</v>
      </c>
      <c r="Q18" s="229" t="str">
        <f t="shared" si="139"/>
        <v>2/2/2</v>
      </c>
      <c r="R18" s="229" t="str">
        <f t="shared" si="140"/>
        <v>40W/ 40W/ 40W</v>
      </c>
      <c r="S18" s="229" t="str">
        <f t="shared" si="141"/>
        <v>2100</v>
      </c>
      <c r="T18" s="229" t="str">
        <f t="shared" si="142"/>
        <v>27m/ 27m/ 27m</v>
      </c>
      <c r="U18" s="229">
        <v>1</v>
      </c>
      <c r="V18" s="229"/>
      <c r="W18" s="229" t="b">
        <f t="shared" si="143"/>
        <v>0</v>
      </c>
      <c r="X18" s="229" t="b">
        <f>INDEX(TrueFalseList,_xlfn.IFNA(MATCH(Input!W18,CoKhongList,0),MATCH(Input!W18,YesNoList,0)))</f>
        <v>0</v>
      </c>
      <c r="Y18" s="797">
        <f>Input!FZ18</f>
        <v>0</v>
      </c>
      <c r="Z18" s="229" t="b">
        <v>1</v>
      </c>
      <c r="AA18" s="797">
        <f t="shared" si="144"/>
        <v>27</v>
      </c>
      <c r="AB18" s="229" t="b">
        <v>0</v>
      </c>
      <c r="AC18" s="229" t="b">
        <v>1</v>
      </c>
      <c r="AD18" s="229">
        <f>Input!DR18</f>
        <v>0</v>
      </c>
      <c r="AE18" s="229"/>
      <c r="AF18" s="229" t="str">
        <f>Options!$D$6</f>
        <v>VCC2</v>
      </c>
      <c r="AG18" s="229">
        <f t="shared" si="145"/>
        <v>0</v>
      </c>
      <c r="AH18" s="230"/>
      <c r="AI18" s="553" t="str">
        <f>Input!E18</f>
        <v>TỔNG CÔNG TY MẠNG LƯỚI VIETTEL</v>
      </c>
      <c r="AJ18" s="553" t="str">
        <f>Input!F18</f>
        <v>TỔNG CÔNG TY MẠNG LƯỚI VIETTEL</v>
      </c>
      <c r="AK18" s="229">
        <f t="shared" si="146"/>
        <v>4</v>
      </c>
      <c r="AL18" s="465" t="str">
        <f t="shared" si="147"/>
        <v>thành phố Hồ Chí Minh.</v>
      </c>
      <c r="AM18" s="465" t="str">
        <f t="shared" si="148"/>
        <v>huyện Bình Chánh</v>
      </c>
      <c r="AN18" s="465" t="str">
        <f t="shared" si="149"/>
        <v>xã Phong Phú</v>
      </c>
      <c r="AO18" s="229" t="str">
        <f>INDEX(CityIDList,MATCH(F18,CityNameList,0))</f>
        <v>HCM</v>
      </c>
      <c r="AP18" s="230" t="str">
        <f>Input!X18</f>
        <v>TỔNG CÔNG TY MẠNG LƯỚI VIETTEL</v>
      </c>
      <c r="AQ18" s="230">
        <f>Input!AN18</f>
        <v>0</v>
      </c>
      <c r="AR18" s="230">
        <f>Input!BD18</f>
        <v>0</v>
      </c>
      <c r="AS18" s="230" t="str">
        <f>Input!BT18</f>
      </c>
      <c r="AT18" s="230" t="str">
        <f>Input!CH18</f>
      </c>
      <c r="AU18" s="230" t="str">
        <f>Input!CV18</f>
      </c>
      <c r="AV18" s="230" t="str">
        <f>IF(I18&gt;=1,INDEX(OperatorIDList,MATCH(AP18,OperatorNameList,0)),"")</f>
        <v>VIETTEL-2016</v>
      </c>
      <c r="AW18" s="230" t="str">
        <f>IF(I18&gt;=2,INDEX(OperatorIDList,MATCH(AQ18,OperatorNameList,0)),"")</f>
      </c>
      <c r="AX18" s="230" t="str">
        <f>IF(I18&gt;=3,INDEX(OperatorIDList,MATCH(AR18,OperatorNameList,0)),"")</f>
      </c>
      <c r="AY18" s="230" t="str">
        <f>IF(I18&gt;=4,INDEX(OperatorIDList,MATCH(AS18,OperatorNameList,0)),"")</f>
      </c>
      <c r="AZ18" s="230" t="str">
        <f>IF(I18&gt;=5,INDEX(OperatorIDList,MATCH(AT18,OperatorNameList,0)),"")</f>
      </c>
      <c r="BA18" s="230" t="str">
        <f>IF(I18&gt;=6,INDEX(OperatorIDList,MATCH(AU18,OperatorNameList,0)),"")</f>
      </c>
      <c r="BB18" s="230" t="str">
        <f t="shared" si="150"/>
        <v>VIETTEL-2016</v>
      </c>
      <c r="BC18" s="230" t="str">
        <f>Input!Y18</f>
        <v>HCM2284</v>
      </c>
      <c r="BD18" s="230">
        <f>Input!AO18</f>
        <v>0</v>
      </c>
      <c r="BE18" s="230">
        <f>Input!BE18</f>
        <v>0</v>
      </c>
      <c r="BF18" s="230" t="str">
        <f>Input!BU18</f>
      </c>
      <c r="BG18" s="230" t="str">
        <f>Input!CI18</f>
      </c>
      <c r="BH18" s="230" t="str">
        <f>Input!CW18</f>
      </c>
      <c r="BI18" s="230" t="str">
        <f>Input!Z18</f>
        <v>HUAWEI DBS3900</v>
      </c>
      <c r="BJ18" s="230">
        <f>Input!AP18</f>
        <v>0</v>
      </c>
      <c r="BK18" s="230">
        <f>Input!BF18</f>
        <v>0</v>
      </c>
      <c r="BL18" s="230" t="str">
        <f>Input!BV18</f>
      </c>
      <c r="BM18" s="230" t="str">
        <f>Input!CJ18</f>
      </c>
      <c r="BN18" s="230" t="str">
        <f>Input!CX18</f>
      </c>
      <c r="BO18" s="553">
        <f>IF(ISNUMBER(Input!AA18),Input!AA18,0)</f>
        <v>3</v>
      </c>
      <c r="BP18" s="553">
        <f>IF(ISNUMBER(Input!AQ18),Input!AQ18,0)</f>
        <v>0</v>
      </c>
      <c r="BQ18" s="553">
        <f>IF(ISNUMBER(Input!BG18),Input!BG18,0)</f>
        <v>0</v>
      </c>
      <c r="BR18" s="553">
        <f>IF(ISNUMBER(Input!BW18),Input!BW18,0)</f>
        <v>0</v>
      </c>
      <c r="BS18" s="553">
        <f>IF(ISNUMBER(Input!CK18),Input!CK18,0)</f>
        <v>0</v>
      </c>
      <c r="BT18" s="554">
        <f>IF(ISNUMBER(Input!CY18),Input!CY18,0)</f>
        <v>0</v>
      </c>
      <c r="BU18" s="230" t="str">
        <f>Input!AF18</f>
        <v>2/2/2</v>
      </c>
      <c r="BV18" s="230" t="str">
        <f>Input!AV18</f>
      </c>
      <c r="BW18" s="230" t="str">
        <f>Input!BL18</f>
      </c>
      <c r="BX18" s="230" t="str">
        <f>Input!CA18</f>
      </c>
      <c r="BY18" s="230" t="str">
        <f>Input!CO18</f>
      </c>
      <c r="BZ18" s="230" t="str">
        <f>Input!DC18</f>
      </c>
      <c r="CA18" s="230">
        <f t="shared" si="151"/>
        <v>2</v>
      </c>
      <c r="CB18" s="230">
        <f t="shared" si="152"/>
        <v>2</v>
      </c>
      <c r="CC18" s="230">
        <f t="shared" si="153"/>
        <v>2</v>
      </c>
      <c r="CD18" s="230">
        <f t="shared" si="154"/>
        <v>0</v>
      </c>
      <c r="CE18" s="230">
        <f t="shared" si="155"/>
        <v>0</v>
      </c>
      <c r="CF18" s="230">
        <f t="shared" si="156"/>
        <v>0</v>
      </c>
      <c r="CG18" s="230">
        <f t="shared" si="157"/>
        <v>0</v>
      </c>
      <c r="CH18" s="230">
        <f t="shared" si="158"/>
        <v>0</v>
      </c>
      <c r="CI18" s="230">
        <f t="shared" si="159"/>
        <v>0</v>
      </c>
      <c r="CJ18" s="230">
        <f t="shared" si="160"/>
        <v>0</v>
      </c>
      <c r="CK18" s="230">
        <f t="shared" si="161"/>
        <v>0</v>
      </c>
      <c r="CL18" s="230">
        <f t="shared" si="162"/>
        <v>0</v>
      </c>
      <c r="CM18" s="230">
        <f t="shared" si="163"/>
        <v>0</v>
      </c>
      <c r="CN18" s="230">
        <f t="shared" si="164"/>
        <v>0</v>
      </c>
      <c r="CO18" s="230">
        <f t="shared" si="165"/>
        <v>0</v>
      </c>
      <c r="CP18" s="230">
        <f t="shared" si="166"/>
        <v>0</v>
      </c>
      <c r="CQ18" s="230">
        <f t="shared" si="167"/>
        <v>0</v>
      </c>
      <c r="CR18" s="230">
        <f t="shared" si="168"/>
        <v>0</v>
      </c>
      <c r="CS18" s="230">
        <f t="shared" si="169"/>
        <v>0</v>
      </c>
      <c r="CT18" s="230">
        <f t="shared" si="170"/>
        <v>0</v>
      </c>
      <c r="CU18" s="230">
        <f t="shared" si="171"/>
        <v>0</v>
      </c>
      <c r="CV18" s="230">
        <f t="shared" si="172"/>
        <v>0</v>
      </c>
      <c r="CW18" s="230">
        <f t="shared" si="173"/>
        <v>0</v>
      </c>
      <c r="CX18" s="230">
        <f t="shared" si="174"/>
        <v>0</v>
      </c>
      <c r="CY18" s="230">
        <f t="shared" si="175"/>
        <v>0</v>
      </c>
      <c r="CZ18" s="230">
        <f t="shared" si="176"/>
        <v>0</v>
      </c>
      <c r="DA18" s="230">
        <f t="shared" si="177"/>
        <v>0</v>
      </c>
      <c r="DB18" s="230">
        <f t="shared" si="178"/>
        <v>0</v>
      </c>
      <c r="DC18" s="230">
        <f t="shared" si="179"/>
        <v>0</v>
      </c>
      <c r="DD18" s="230">
        <f t="shared" si="180"/>
        <v>0</v>
      </c>
      <c r="DE18" s="230">
        <f t="shared" si="181"/>
        <v>0</v>
      </c>
      <c r="DF18" s="230">
        <f t="shared" si="182"/>
        <v>0</v>
      </c>
      <c r="DG18" s="230">
        <f t="shared" si="183"/>
        <v>0</v>
      </c>
      <c r="DH18" s="230">
        <f t="shared" si="184"/>
        <v>0</v>
      </c>
      <c r="DI18" s="230">
        <f t="shared" si="185"/>
        <v>0</v>
      </c>
      <c r="DJ18" s="230">
        <f t="shared" si="186"/>
        <v>0</v>
      </c>
      <c r="DK18" s="230" t="str">
        <f>Input!AK18</f>
        <v>40,00W/40,00W/40,00W</v>
      </c>
      <c r="DL18" s="230" t="str">
        <f>Input!BA18</f>
      </c>
      <c r="DM18" s="230" t="str">
        <f>Input!BQ18</f>
      </c>
      <c r="DN18" s="230" t="str">
        <f>Input!CE18</f>
      </c>
      <c r="DO18" s="230" t="str">
        <f>Input!CS18</f>
      </c>
      <c r="DP18" s="230" t="str">
        <f>Input!DG18</f>
      </c>
      <c r="DQ18" s="230" t="str">
        <f t="shared" si="187"/>
        <v>40W/ 40W/ 40W</v>
      </c>
      <c r="DR18" s="230" t="str">
        <f t="shared" si="188"/>
      </c>
      <c r="DS18" s="230" t="str">
        <f t="shared" si="189"/>
      </c>
      <c r="DT18" s="230" t="str">
        <f t="shared" si="190"/>
      </c>
      <c r="DU18" s="230" t="str">
        <f t="shared" si="191"/>
      </c>
      <c r="DV18" s="230" t="str">
        <f t="shared" si="192"/>
      </c>
      <c r="DW18" s="230">
        <f t="shared" si="193"/>
        <v>40</v>
      </c>
      <c r="DX18" s="230">
        <f t="shared" si="194"/>
        <v>40</v>
      </c>
      <c r="DY18" s="230">
        <f t="shared" si="195"/>
        <v>40</v>
      </c>
      <c r="DZ18" s="230">
        <f t="shared" si="196"/>
        <v>0</v>
      </c>
      <c r="EA18" s="230">
        <f t="shared" si="197"/>
        <v>0</v>
      </c>
      <c r="EB18" s="230">
        <f t="shared" si="198"/>
        <v>0</v>
      </c>
      <c r="EC18" s="230">
        <f t="shared" si="199"/>
        <v>40</v>
      </c>
      <c r="ED18" s="230">
        <f t="shared" si="200"/>
        <v>0</v>
      </c>
      <c r="EE18" s="230">
        <f t="shared" si="201"/>
        <v>0</v>
      </c>
      <c r="EF18" s="230">
        <f t="shared" si="202"/>
        <v>0</v>
      </c>
      <c r="EG18" s="230">
        <f t="shared" si="203"/>
        <v>0</v>
      </c>
      <c r="EH18" s="230">
        <f t="shared" si="204"/>
        <v>0</v>
      </c>
      <c r="EI18" s="230">
        <f t="shared" si="205"/>
        <v>0</v>
      </c>
      <c r="EJ18" s="230">
        <f t="shared" si="206"/>
        <v>0</v>
      </c>
      <c r="EK18" s="230">
        <f t="shared" si="207"/>
        <v>0</v>
      </c>
      <c r="EL18" s="230">
        <f t="shared" si="208"/>
        <v>0</v>
      </c>
      <c r="EM18" s="230">
        <f t="shared" si="209"/>
        <v>0</v>
      </c>
      <c r="EN18" s="230">
        <f t="shared" si="210"/>
        <v>0</v>
      </c>
      <c r="EO18" s="230">
        <f t="shared" si="211"/>
        <v>0</v>
      </c>
      <c r="EP18" s="230">
        <f t="shared" si="212"/>
        <v>0</v>
      </c>
      <c r="EQ18" s="230">
        <f t="shared" si="213"/>
        <v>0</v>
      </c>
      <c r="ER18" s="230">
        <f t="shared" si="214"/>
        <v>0</v>
      </c>
      <c r="ES18" s="230">
        <f t="shared" si="215"/>
        <v>0</v>
      </c>
      <c r="ET18" s="230">
        <f t="shared" si="216"/>
        <v>0</v>
      </c>
      <c r="EU18" s="230">
        <f t="shared" si="217"/>
        <v>0</v>
      </c>
      <c r="EV18" s="230">
        <f t="shared" si="218"/>
        <v>0</v>
      </c>
      <c r="EW18" s="230">
        <f t="shared" si="219"/>
        <v>0</v>
      </c>
      <c r="EX18" s="230">
        <f t="shared" si="220"/>
        <v>0</v>
      </c>
      <c r="EY18" s="230">
        <f t="shared" si="221"/>
        <v>0</v>
      </c>
      <c r="EZ18" s="230">
        <f t="shared" si="222"/>
        <v>0</v>
      </c>
      <c r="FA18" s="230">
        <f t="shared" si="223"/>
        <v>0</v>
      </c>
      <c r="FB18" s="230">
        <f t="shared" si="224"/>
        <v>0</v>
      </c>
      <c r="FC18" s="230">
        <f t="shared" si="225"/>
        <v>0</v>
      </c>
      <c r="FD18" s="230">
        <f t="shared" si="226"/>
        <v>0</v>
      </c>
      <c r="FE18" s="230">
        <f t="shared" si="227"/>
        <v>0</v>
      </c>
      <c r="FF18" s="230">
        <f t="shared" si="228"/>
        <v>0</v>
      </c>
      <c r="FG18" s="230">
        <f t="shared" si="229"/>
        <v>0</v>
      </c>
      <c r="FH18" s="230">
        <f t="shared" si="230"/>
        <v>0</v>
      </c>
      <c r="FI18" s="230">
        <f t="shared" si="231"/>
        <v>0</v>
      </c>
      <c r="FJ18" s="230">
        <f t="shared" si="232"/>
        <v>0</v>
      </c>
      <c r="FK18" s="230">
        <f t="shared" si="233"/>
        <v>0</v>
      </c>
      <c r="FL18" s="230">
        <f t="shared" si="234"/>
        <v>0</v>
      </c>
      <c r="FM18" s="230">
        <f t="shared" si="235"/>
        <v>40</v>
      </c>
      <c r="FN18" s="230">
        <f>Input!AL18</f>
        <v>2100</v>
      </c>
      <c r="FO18" s="230">
        <f>Input!BB18</f>
        <v>0</v>
      </c>
      <c r="FP18" s="230">
        <f>Input!BR18</f>
        <v>0</v>
      </c>
      <c r="FQ18" s="230" t="str">
        <f>Input!CF18</f>
      </c>
      <c r="FR18" s="230" t="str">
        <f>Input!CT18</f>
      </c>
      <c r="FS18" s="230" t="str">
        <f>Input!DH18</f>
      </c>
      <c r="FT18" s="230" t="str">
        <f>Input!AM18</f>
        <v>27m/ 27m/ 27m</v>
      </c>
      <c r="FU18" s="230">
        <f>Input!BC18</f>
        <v>0</v>
      </c>
      <c r="FV18" s="230">
        <f>Input!BS18</f>
        <v>0</v>
      </c>
      <c r="FW18" s="230" t="str">
        <f>Input!CG18</f>
      </c>
      <c r="FX18" s="230" t="str">
        <f>Input!CU18</f>
      </c>
      <c r="FY18" s="230" t="str">
        <f>Input!DI18</f>
      </c>
      <c r="FZ18" s="230" t="str">
        <f t="shared" si="236"/>
        <v>27m/ 27m/ 27m</v>
      </c>
      <c r="GA18" s="230" t="str">
        <f t="shared" si="237"/>
      </c>
      <c r="GB18" s="230" t="str">
        <f t="shared" si="238"/>
      </c>
      <c r="GC18" s="230" t="str">
        <f t="shared" si="239"/>
      </c>
      <c r="GD18" s="230" t="str">
        <f t="shared" si="240"/>
      </c>
      <c r="GE18" s="230" t="str">
        <f t="shared" si="241"/>
      </c>
      <c r="GF18" s="230">
        <f t="shared" si="242"/>
        <v>27</v>
      </c>
      <c r="GG18" s="230">
        <f t="shared" si="243"/>
        <v>27</v>
      </c>
      <c r="GH18" s="230">
        <f t="shared" si="244"/>
        <v>27</v>
      </c>
      <c r="GI18" s="230">
        <f t="shared" si="245"/>
        <v>0</v>
      </c>
      <c r="GJ18" s="230">
        <f t="shared" si="246"/>
        <v>0</v>
      </c>
      <c r="GK18" s="230">
        <f t="shared" si="247"/>
        <v>0</v>
      </c>
      <c r="GL18" s="230">
        <f t="shared" si="248"/>
        <v>0</v>
      </c>
      <c r="GM18" s="230">
        <f t="shared" si="249"/>
        <v>0</v>
      </c>
      <c r="GN18" s="230">
        <f t="shared" si="250"/>
        <v>0</v>
      </c>
      <c r="GO18" s="230">
        <f t="shared" si="251"/>
        <v>0</v>
      </c>
      <c r="GP18" s="230">
        <f t="shared" si="252"/>
        <v>0</v>
      </c>
      <c r="GQ18" s="230">
        <f t="shared" si="253"/>
        <v>0</v>
      </c>
      <c r="GR18" s="230">
        <f t="shared" si="254"/>
        <v>0</v>
      </c>
      <c r="GS18" s="230">
        <f t="shared" si="255"/>
        <v>0</v>
      </c>
      <c r="GT18" s="230">
        <f t="shared" si="256"/>
        <v>0</v>
      </c>
      <c r="GU18" s="230">
        <f t="shared" si="257"/>
        <v>0</v>
      </c>
      <c r="GV18" s="230">
        <f t="shared" si="258"/>
        <v>0</v>
      </c>
      <c r="GW18" s="230">
        <f t="shared" si="259"/>
        <v>0</v>
      </c>
      <c r="GX18" s="230">
        <f t="shared" si="260"/>
        <v>0</v>
      </c>
      <c r="GY18" s="230">
        <f t="shared" si="261"/>
        <v>0</v>
      </c>
      <c r="GZ18" s="230">
        <f t="shared" si="262"/>
        <v>0</v>
      </c>
      <c r="HA18" s="230">
        <f t="shared" si="263"/>
        <v>0</v>
      </c>
      <c r="HB18" s="230">
        <f t="shared" si="264"/>
        <v>0</v>
      </c>
      <c r="HC18" s="230">
        <f t="shared" si="265"/>
        <v>0</v>
      </c>
      <c r="HD18" s="230">
        <f t="shared" si="266"/>
        <v>0</v>
      </c>
      <c r="HE18" s="230">
        <f t="shared" si="267"/>
        <v>0</v>
      </c>
      <c r="HF18" s="230">
        <f t="shared" si="268"/>
        <v>0</v>
      </c>
      <c r="HG18" s="230">
        <f t="shared" si="269"/>
        <v>0</v>
      </c>
      <c r="HH18" s="230">
        <f t="shared" si="270"/>
        <v>0</v>
      </c>
      <c r="HI18" s="230">
        <f t="shared" si="271"/>
        <v>0</v>
      </c>
      <c r="HJ18" s="230">
        <f t="shared" si="272"/>
        <v>0</v>
      </c>
      <c r="HK18" s="230">
        <f t="shared" si="273"/>
        <v>0</v>
      </c>
      <c r="HL18" s="230">
        <f t="shared" si="274"/>
        <v>0</v>
      </c>
      <c r="HM18" s="230">
        <f t="shared" si="275"/>
        <v>0</v>
      </c>
      <c r="HN18" s="230">
        <f t="shared" si="276"/>
        <v>0</v>
      </c>
      <c r="HO18" s="230">
        <f t="shared" si="277"/>
        <v>0</v>
      </c>
      <c r="HP18" s="230" t="str">
        <f>INDEX(LabNameList,MATCH(LabId,LabIDList,0))</f>
        <v>Trung tâm Kiểm định và Chứng nhận 2</v>
      </c>
      <c r="HQ18" s="230">
        <f t="shared" si="278"/>
        <v>27</v>
      </c>
      <c r="HR18" s="230">
        <f t="shared" si="279"/>
        <v>0</v>
      </c>
      <c r="HS18" s="230">
        <f t="shared" si="280"/>
        <v>0</v>
      </c>
      <c r="HT18" s="230">
        <f t="shared" si="281"/>
        <v>0</v>
      </c>
      <c r="HU18" s="230">
        <f t="shared" si="282"/>
        <v>0</v>
      </c>
      <c r="HV18" s="230">
        <f t="shared" si="283"/>
        <v>0</v>
      </c>
      <c r="HW18" s="797">
        <f t="shared" si="284"/>
        <v>27</v>
      </c>
      <c r="HX18" s="797">
        <f>Input!EB18</f>
        <v>0</v>
      </c>
      <c r="HY18" s="230">
        <v>68</v>
      </c>
      <c r="HZ18" s="230"/>
      <c r="IA18" s="230"/>
      <c r="IB18" s="230"/>
      <c r="IC18" s="232" t="str">
        <f t="shared" si="285"/>
        <v>B01969230916TG05</v>
      </c>
      <c r="ID18" s="233" t="str">
        <f>Input!O18</f>
        <v>01969</v>
      </c>
      <c r="IE18" s="467" t="str">
        <f t="shared" si="286"/>
        <v>230916</v>
      </c>
      <c r="IF18" s="232" t="s">
        <v>364</v>
      </c>
      <c r="IG18" s="467" t="str">
        <f t="shared" si="287"/>
        <v>23/09/2016</v>
      </c>
      <c r="IH18" s="467" t="str">
        <f t="shared" si="288"/>
        <v>23/09/2021</v>
      </c>
      <c r="II18" s="546" t="str">
        <f> Input!R18</f>
        <v>23/09/2016</v>
      </c>
      <c r="IJ18" s="467">
        <f t="shared" si="289"/>
        <v>44462</v>
      </c>
      <c r="IK18" s="468">
        <f t="shared" si="290"/>
        <v>3</v>
      </c>
      <c r="IL18" s="469" t="str">
        <f t="shared" si="291"/>
        <v>3-1</v>
      </c>
      <c r="IM18" s="469" t="str">
        <f t="shared" si="292"/>
        <v>KHAC</v>
      </c>
      <c r="IN18" s="469" t="str">
        <f t="shared" si="293"/>
        <v>KHAC</v>
      </c>
      <c r="IO18" s="469" t="str">
        <f t="shared" si="294"/>
      </c>
      <c r="IP18" s="469" t="str">
        <f t="shared" si="295"/>
      </c>
      <c r="IQ18" s="469" t="str">
        <f t="shared" si="296"/>
      </c>
      <c r="IR18" s="469">
        <f t="shared" si="297"/>
        <v>1</v>
      </c>
      <c r="IS18" s="469">
        <f t="shared" si="298"/>
        <v>2</v>
      </c>
      <c r="IT18" s="469" t="str">
        <f t="shared" si="299"/>
        <v>Yes</v>
      </c>
      <c r="IU18" s="469" t="str">
        <f t="shared" si="300"/>
        <v>Yes</v>
      </c>
    </row>
    <row r="19" ht="63.75">
      <c r="A19" s="601">
        <f>Input!A19</f>
        <v>18</v>
      </c>
      <c r="B19" s="229" t="str">
        <f>INDEX(ApplicantIDList,MATCH(AI19,ApplicantNameList,0))</f>
        <v>VIETTEL-2016</v>
      </c>
      <c r="C19" s="229" t="str">
        <f>INDEX(OperatorIDList,MATCH(AJ19,OperatorNameList,0))</f>
        <v>VIETTEL-2016</v>
      </c>
      <c r="D19" s="797" t="str">
        <f>Input!Y19</f>
        <v>HCM2285</v>
      </c>
      <c r="E19" s="229" t="str">
        <f>Input!G19</f>
        <v>Số A28/27, ấp 1, xã Bình Hưng, huyện Bình Chánh, thành phố Hồ Chí Minh.</v>
      </c>
      <c r="F19" s="229" t="str">
        <f>TRIM(SUBSTITUTE(SUBSTITUTE(Input!H19,"Thành phố ",""),"Tỉnh ",""))</f>
        <v>Hồ Chí Minh</v>
      </c>
      <c r="G19" s="797" t="str">
        <f>Input!I19</f>
        <v>106,65756</v>
      </c>
      <c r="H19" s="797" t="str">
        <f>Input!J19</f>
        <v>10,73023</v>
      </c>
      <c r="I19" s="229">
        <f>Input!V19</f>
        <v>1</v>
      </c>
      <c r="J19" s="229" t="str">
        <f>Input!K19</f>
        <v>1502389/16/TG/TT2</v>
      </c>
      <c r="K19" s="231" t="str">
        <f>TEXT(Input!L19,"dd/mm/yyyy")</f>
        <v>23/09/2016</v>
      </c>
      <c r="L19" s="231" t="str">
        <f>TEXT(Input!M19,"dd/mm/yyyy")</f>
        <v>14/09/2016</v>
      </c>
      <c r="M19" s="229" t="str">
        <f t="shared" si="135"/>
        <v>TỔNG CÔNG TY MẠNG LƯỚI VIETTEL</v>
      </c>
      <c r="N19" s="229" t="str">
        <f t="shared" si="136"/>
        <v>HCM2285</v>
      </c>
      <c r="O19" s="229" t="str">
        <f t="shared" si="137"/>
        <v>HUAWEI DBS3900</v>
      </c>
      <c r="P19" s="229" t="str">
        <f t="shared" si="138"/>
        <v>3</v>
      </c>
      <c r="Q19" s="229" t="str">
        <f t="shared" si="139"/>
        <v>2/2/2</v>
      </c>
      <c r="R19" s="229" t="str">
        <f t="shared" si="140"/>
        <v>40W/ 40W/ 40W</v>
      </c>
      <c r="S19" s="229" t="str">
        <f t="shared" si="141"/>
        <v>2100</v>
      </c>
      <c r="T19" s="229" t="str">
        <f t="shared" si="142"/>
        <v>23m/ 23m/ 23m</v>
      </c>
      <c r="U19" s="229">
        <v>1</v>
      </c>
      <c r="V19" s="229"/>
      <c r="W19" s="229" t="b">
        <f t="shared" si="143"/>
        <v>0</v>
      </c>
      <c r="X19" s="229" t="b">
        <f>INDEX(TrueFalseList,_xlfn.IFNA(MATCH(Input!W19,CoKhongList,0),MATCH(Input!W19,YesNoList,0)))</f>
        <v>0</v>
      </c>
      <c r="Y19" s="797">
        <f>Input!FZ19</f>
        <v>0</v>
      </c>
      <c r="Z19" s="229" t="b">
        <v>1</v>
      </c>
      <c r="AA19" s="797">
        <f t="shared" si="144"/>
        <v>23</v>
      </c>
      <c r="AB19" s="229" t="b">
        <v>0</v>
      </c>
      <c r="AC19" s="229" t="b">
        <v>1</v>
      </c>
      <c r="AD19" s="229">
        <f>Input!DR19</f>
        <v>0</v>
      </c>
      <c r="AE19" s="229"/>
      <c r="AF19" s="229" t="str">
        <f>Options!$D$6</f>
        <v>VCC2</v>
      </c>
      <c r="AG19" s="229">
        <f t="shared" si="145"/>
        <v>0</v>
      </c>
      <c r="AH19" s="230"/>
      <c r="AI19" s="553" t="str">
        <f>Input!E19</f>
        <v>TỔNG CÔNG TY MẠNG LƯỚI VIETTEL</v>
      </c>
      <c r="AJ19" s="553" t="str">
        <f>Input!F19</f>
        <v>TỔNG CÔNG TY MẠNG LƯỚI VIETTEL</v>
      </c>
      <c r="AK19" s="229">
        <f t="shared" si="146"/>
        <v>4</v>
      </c>
      <c r="AL19" s="465" t="str">
        <f t="shared" si="147"/>
        <v>thành phố Hồ Chí Minh.</v>
      </c>
      <c r="AM19" s="465" t="str">
        <f t="shared" si="148"/>
        <v>huyện Bình Chánh</v>
      </c>
      <c r="AN19" s="465" t="str">
        <f t="shared" si="149"/>
        <v>xã Bình Hưng</v>
      </c>
      <c r="AO19" s="229" t="str">
        <f>INDEX(CityIDList,MATCH(F19,CityNameList,0))</f>
        <v>HCM</v>
      </c>
      <c r="AP19" s="230" t="str">
        <f>Input!X19</f>
        <v>TỔNG CÔNG TY MẠNG LƯỚI VIETTEL</v>
      </c>
      <c r="AQ19" s="230">
        <f>Input!AN19</f>
        <v>0</v>
      </c>
      <c r="AR19" s="230">
        <f>Input!BD19</f>
        <v>0</v>
      </c>
      <c r="AS19" s="230" t="str">
        <f>Input!BT19</f>
      </c>
      <c r="AT19" s="230" t="str">
        <f>Input!CH19</f>
      </c>
      <c r="AU19" s="230" t="str">
        <f>Input!CV19</f>
      </c>
      <c r="AV19" s="230" t="str">
        <f>IF(I19&gt;=1,INDEX(OperatorIDList,MATCH(AP19,OperatorNameList,0)),"")</f>
        <v>VIETTEL-2016</v>
      </c>
      <c r="AW19" s="230" t="str">
        <f>IF(I19&gt;=2,INDEX(OperatorIDList,MATCH(AQ19,OperatorNameList,0)),"")</f>
      </c>
      <c r="AX19" s="230" t="str">
        <f>IF(I19&gt;=3,INDEX(OperatorIDList,MATCH(AR19,OperatorNameList,0)),"")</f>
      </c>
      <c r="AY19" s="230" t="str">
        <f>IF(I19&gt;=4,INDEX(OperatorIDList,MATCH(AS19,OperatorNameList,0)),"")</f>
      </c>
      <c r="AZ19" s="230" t="str">
        <f>IF(I19&gt;=5,INDEX(OperatorIDList,MATCH(AT19,OperatorNameList,0)),"")</f>
      </c>
      <c r="BA19" s="230" t="str">
        <f>IF(I19&gt;=6,INDEX(OperatorIDList,MATCH(AU19,OperatorNameList,0)),"")</f>
      </c>
      <c r="BB19" s="230" t="str">
        <f t="shared" si="150"/>
        <v>VIETTEL-2016</v>
      </c>
      <c r="BC19" s="230" t="str">
        <f>Input!Y19</f>
        <v>HCM2285</v>
      </c>
      <c r="BD19" s="230">
        <f>Input!AO19</f>
        <v>0</v>
      </c>
      <c r="BE19" s="230">
        <f>Input!BE19</f>
        <v>0</v>
      </c>
      <c r="BF19" s="230" t="str">
        <f>Input!BU19</f>
      </c>
      <c r="BG19" s="230" t="str">
        <f>Input!CI19</f>
      </c>
      <c r="BH19" s="230" t="str">
        <f>Input!CW19</f>
      </c>
      <c r="BI19" s="230" t="str">
        <f>Input!Z19</f>
        <v>HUAWEI DBS3900</v>
      </c>
      <c r="BJ19" s="230">
        <f>Input!AP19</f>
        <v>0</v>
      </c>
      <c r="BK19" s="230">
        <f>Input!BF19</f>
        <v>0</v>
      </c>
      <c r="BL19" s="230" t="str">
        <f>Input!BV19</f>
      </c>
      <c r="BM19" s="230" t="str">
        <f>Input!CJ19</f>
      </c>
      <c r="BN19" s="230" t="str">
        <f>Input!CX19</f>
      </c>
      <c r="BO19" s="553">
        <f>IF(ISNUMBER(Input!AA19),Input!AA19,0)</f>
        <v>3</v>
      </c>
      <c r="BP19" s="553">
        <f>IF(ISNUMBER(Input!AQ19),Input!AQ19,0)</f>
        <v>0</v>
      </c>
      <c r="BQ19" s="553">
        <f>IF(ISNUMBER(Input!BG19),Input!BG19,0)</f>
        <v>0</v>
      </c>
      <c r="BR19" s="553">
        <f>IF(ISNUMBER(Input!BW19),Input!BW19,0)</f>
        <v>0</v>
      </c>
      <c r="BS19" s="553">
        <f>IF(ISNUMBER(Input!CK19),Input!CK19,0)</f>
        <v>0</v>
      </c>
      <c r="BT19" s="554">
        <f>IF(ISNUMBER(Input!CY19),Input!CY19,0)</f>
        <v>0</v>
      </c>
      <c r="BU19" s="230" t="str">
        <f>Input!AF19</f>
        <v>2/2/2</v>
      </c>
      <c r="BV19" s="230" t="str">
        <f>Input!AV19</f>
      </c>
      <c r="BW19" s="230" t="str">
        <f>Input!BL19</f>
      </c>
      <c r="BX19" s="230" t="str">
        <f>Input!CA19</f>
      </c>
      <c r="BY19" s="230" t="str">
        <f>Input!CO19</f>
      </c>
      <c r="BZ19" s="230" t="str">
        <f>Input!DC19</f>
      </c>
      <c r="CA19" s="230">
        <f t="shared" si="151"/>
        <v>2</v>
      </c>
      <c r="CB19" s="230">
        <f t="shared" si="152"/>
        <v>2</v>
      </c>
      <c r="CC19" s="230">
        <f t="shared" si="153"/>
        <v>2</v>
      </c>
      <c r="CD19" s="230">
        <f t="shared" si="154"/>
        <v>0</v>
      </c>
      <c r="CE19" s="230">
        <f t="shared" si="155"/>
        <v>0</v>
      </c>
      <c r="CF19" s="230">
        <f t="shared" si="156"/>
        <v>0</v>
      </c>
      <c r="CG19" s="230">
        <f t="shared" si="157"/>
        <v>0</v>
      </c>
      <c r="CH19" s="230">
        <f t="shared" si="158"/>
        <v>0</v>
      </c>
      <c r="CI19" s="230">
        <f t="shared" si="159"/>
        <v>0</v>
      </c>
      <c r="CJ19" s="230">
        <f t="shared" si="160"/>
        <v>0</v>
      </c>
      <c r="CK19" s="230">
        <f t="shared" si="161"/>
        <v>0</v>
      </c>
      <c r="CL19" s="230">
        <f t="shared" si="162"/>
        <v>0</v>
      </c>
      <c r="CM19" s="230">
        <f t="shared" si="163"/>
        <v>0</v>
      </c>
      <c r="CN19" s="230">
        <f t="shared" si="164"/>
        <v>0</v>
      </c>
      <c r="CO19" s="230">
        <f t="shared" si="165"/>
        <v>0</v>
      </c>
      <c r="CP19" s="230">
        <f t="shared" si="166"/>
        <v>0</v>
      </c>
      <c r="CQ19" s="230">
        <f t="shared" si="167"/>
        <v>0</v>
      </c>
      <c r="CR19" s="230">
        <f t="shared" si="168"/>
        <v>0</v>
      </c>
      <c r="CS19" s="230">
        <f t="shared" si="169"/>
        <v>0</v>
      </c>
      <c r="CT19" s="230">
        <f t="shared" si="170"/>
        <v>0</v>
      </c>
      <c r="CU19" s="230">
        <f t="shared" si="171"/>
        <v>0</v>
      </c>
      <c r="CV19" s="230">
        <f t="shared" si="172"/>
        <v>0</v>
      </c>
      <c r="CW19" s="230">
        <f t="shared" si="173"/>
        <v>0</v>
      </c>
      <c r="CX19" s="230">
        <f t="shared" si="174"/>
        <v>0</v>
      </c>
      <c r="CY19" s="230">
        <f t="shared" si="175"/>
        <v>0</v>
      </c>
      <c r="CZ19" s="230">
        <f t="shared" si="176"/>
        <v>0</v>
      </c>
      <c r="DA19" s="230">
        <f t="shared" si="177"/>
        <v>0</v>
      </c>
      <c r="DB19" s="230">
        <f t="shared" si="178"/>
        <v>0</v>
      </c>
      <c r="DC19" s="230">
        <f t="shared" si="179"/>
        <v>0</v>
      </c>
      <c r="DD19" s="230">
        <f t="shared" si="180"/>
        <v>0</v>
      </c>
      <c r="DE19" s="230">
        <f t="shared" si="181"/>
        <v>0</v>
      </c>
      <c r="DF19" s="230">
        <f t="shared" si="182"/>
        <v>0</v>
      </c>
      <c r="DG19" s="230">
        <f t="shared" si="183"/>
        <v>0</v>
      </c>
      <c r="DH19" s="230">
        <f t="shared" si="184"/>
        <v>0</v>
      </c>
      <c r="DI19" s="230">
        <f t="shared" si="185"/>
        <v>0</v>
      </c>
      <c r="DJ19" s="230">
        <f t="shared" si="186"/>
        <v>0</v>
      </c>
      <c r="DK19" s="230" t="str">
        <f>Input!AK19</f>
        <v>40,00W/40,00W/40,00W</v>
      </c>
      <c r="DL19" s="230" t="str">
        <f>Input!BA19</f>
      </c>
      <c r="DM19" s="230" t="str">
        <f>Input!BQ19</f>
      </c>
      <c r="DN19" s="230" t="str">
        <f>Input!CE19</f>
      </c>
      <c r="DO19" s="230" t="str">
        <f>Input!CS19</f>
      </c>
      <c r="DP19" s="230" t="str">
        <f>Input!DG19</f>
      </c>
      <c r="DQ19" s="230" t="str">
        <f t="shared" si="187"/>
        <v>40W/ 40W/ 40W</v>
      </c>
      <c r="DR19" s="230" t="str">
        <f t="shared" si="188"/>
      </c>
      <c r="DS19" s="230" t="str">
        <f t="shared" si="189"/>
      </c>
      <c r="DT19" s="230" t="str">
        <f t="shared" si="190"/>
      </c>
      <c r="DU19" s="230" t="str">
        <f t="shared" si="191"/>
      </c>
      <c r="DV19" s="230" t="str">
        <f t="shared" si="192"/>
      </c>
      <c r="DW19" s="230">
        <f t="shared" si="193"/>
        <v>40</v>
      </c>
      <c r="DX19" s="230">
        <f t="shared" si="194"/>
        <v>40</v>
      </c>
      <c r="DY19" s="230">
        <f t="shared" si="195"/>
        <v>40</v>
      </c>
      <c r="DZ19" s="230">
        <f t="shared" si="196"/>
        <v>0</v>
      </c>
      <c r="EA19" s="230">
        <f t="shared" si="197"/>
        <v>0</v>
      </c>
      <c r="EB19" s="230">
        <f t="shared" si="198"/>
        <v>0</v>
      </c>
      <c r="EC19" s="230">
        <f t="shared" si="199"/>
        <v>40</v>
      </c>
      <c r="ED19" s="230">
        <f t="shared" si="200"/>
        <v>0</v>
      </c>
      <c r="EE19" s="230">
        <f t="shared" si="201"/>
        <v>0</v>
      </c>
      <c r="EF19" s="230">
        <f t="shared" si="202"/>
        <v>0</v>
      </c>
      <c r="EG19" s="230">
        <f t="shared" si="203"/>
        <v>0</v>
      </c>
      <c r="EH19" s="230">
        <f t="shared" si="204"/>
        <v>0</v>
      </c>
      <c r="EI19" s="230">
        <f t="shared" si="205"/>
        <v>0</v>
      </c>
      <c r="EJ19" s="230">
        <f t="shared" si="206"/>
        <v>0</v>
      </c>
      <c r="EK19" s="230">
        <f t="shared" si="207"/>
        <v>0</v>
      </c>
      <c r="EL19" s="230">
        <f t="shared" si="208"/>
        <v>0</v>
      </c>
      <c r="EM19" s="230">
        <f t="shared" si="209"/>
        <v>0</v>
      </c>
      <c r="EN19" s="230">
        <f t="shared" si="210"/>
        <v>0</v>
      </c>
      <c r="EO19" s="230">
        <f t="shared" si="211"/>
        <v>0</v>
      </c>
      <c r="EP19" s="230">
        <f t="shared" si="212"/>
        <v>0</v>
      </c>
      <c r="EQ19" s="230">
        <f t="shared" si="213"/>
        <v>0</v>
      </c>
      <c r="ER19" s="230">
        <f t="shared" si="214"/>
        <v>0</v>
      </c>
      <c r="ES19" s="230">
        <f t="shared" si="215"/>
        <v>0</v>
      </c>
      <c r="ET19" s="230">
        <f t="shared" si="216"/>
        <v>0</v>
      </c>
      <c r="EU19" s="230">
        <f t="shared" si="217"/>
        <v>0</v>
      </c>
      <c r="EV19" s="230">
        <f t="shared" si="218"/>
        <v>0</v>
      </c>
      <c r="EW19" s="230">
        <f t="shared" si="219"/>
        <v>0</v>
      </c>
      <c r="EX19" s="230">
        <f t="shared" si="220"/>
        <v>0</v>
      </c>
      <c r="EY19" s="230">
        <f t="shared" si="221"/>
        <v>0</v>
      </c>
      <c r="EZ19" s="230">
        <f t="shared" si="222"/>
        <v>0</v>
      </c>
      <c r="FA19" s="230">
        <f t="shared" si="223"/>
        <v>0</v>
      </c>
      <c r="FB19" s="230">
        <f t="shared" si="224"/>
        <v>0</v>
      </c>
      <c r="FC19" s="230">
        <f t="shared" si="225"/>
        <v>0</v>
      </c>
      <c r="FD19" s="230">
        <f t="shared" si="226"/>
        <v>0</v>
      </c>
      <c r="FE19" s="230">
        <f t="shared" si="227"/>
        <v>0</v>
      </c>
      <c r="FF19" s="230">
        <f t="shared" si="228"/>
        <v>0</v>
      </c>
      <c r="FG19" s="230">
        <f t="shared" si="229"/>
        <v>0</v>
      </c>
      <c r="FH19" s="230">
        <f t="shared" si="230"/>
        <v>0</v>
      </c>
      <c r="FI19" s="230">
        <f t="shared" si="231"/>
        <v>0</v>
      </c>
      <c r="FJ19" s="230">
        <f t="shared" si="232"/>
        <v>0</v>
      </c>
      <c r="FK19" s="230">
        <f t="shared" si="233"/>
        <v>0</v>
      </c>
      <c r="FL19" s="230">
        <f t="shared" si="234"/>
        <v>0</v>
      </c>
      <c r="FM19" s="230">
        <f t="shared" si="235"/>
        <v>40</v>
      </c>
      <c r="FN19" s="230">
        <f>Input!AL19</f>
        <v>2100</v>
      </c>
      <c r="FO19" s="230">
        <f>Input!BB19</f>
        <v>0</v>
      </c>
      <c r="FP19" s="230">
        <f>Input!BR19</f>
        <v>0</v>
      </c>
      <c r="FQ19" s="230" t="str">
        <f>Input!CF19</f>
      </c>
      <c r="FR19" s="230" t="str">
        <f>Input!CT19</f>
      </c>
      <c r="FS19" s="230" t="str">
        <f>Input!DH19</f>
      </c>
      <c r="FT19" s="230" t="str">
        <f>Input!AM19</f>
        <v>23m/ 23m/ 23m</v>
      </c>
      <c r="FU19" s="230">
        <f>Input!BC19</f>
        <v>0</v>
      </c>
      <c r="FV19" s="230">
        <f>Input!BS19</f>
        <v>0</v>
      </c>
      <c r="FW19" s="230" t="str">
        <f>Input!CG19</f>
      </c>
      <c r="FX19" s="230" t="str">
        <f>Input!CU19</f>
      </c>
      <c r="FY19" s="230" t="str">
        <f>Input!DI19</f>
      </c>
      <c r="FZ19" s="230" t="str">
        <f t="shared" si="236"/>
        <v>23m/ 23m/ 23m</v>
      </c>
      <c r="GA19" s="230" t="str">
        <f t="shared" si="237"/>
      </c>
      <c r="GB19" s="230" t="str">
        <f t="shared" si="238"/>
      </c>
      <c r="GC19" s="230" t="str">
        <f t="shared" si="239"/>
      </c>
      <c r="GD19" s="230" t="str">
        <f t="shared" si="240"/>
      </c>
      <c r="GE19" s="230" t="str">
        <f t="shared" si="241"/>
      </c>
      <c r="GF19" s="230">
        <f t="shared" si="242"/>
        <v>23</v>
      </c>
      <c r="GG19" s="230">
        <f t="shared" si="243"/>
        <v>23</v>
      </c>
      <c r="GH19" s="230">
        <f t="shared" si="244"/>
        <v>23</v>
      </c>
      <c r="GI19" s="230">
        <f t="shared" si="245"/>
        <v>0</v>
      </c>
      <c r="GJ19" s="230">
        <f t="shared" si="246"/>
        <v>0</v>
      </c>
      <c r="GK19" s="230">
        <f t="shared" si="247"/>
        <v>0</v>
      </c>
      <c r="GL19" s="230">
        <f t="shared" si="248"/>
        <v>0</v>
      </c>
      <c r="GM19" s="230">
        <f t="shared" si="249"/>
        <v>0</v>
      </c>
      <c r="GN19" s="230">
        <f t="shared" si="250"/>
        <v>0</v>
      </c>
      <c r="GO19" s="230">
        <f t="shared" si="251"/>
        <v>0</v>
      </c>
      <c r="GP19" s="230">
        <f t="shared" si="252"/>
        <v>0</v>
      </c>
      <c r="GQ19" s="230">
        <f t="shared" si="253"/>
        <v>0</v>
      </c>
      <c r="GR19" s="230">
        <f t="shared" si="254"/>
        <v>0</v>
      </c>
      <c r="GS19" s="230">
        <f t="shared" si="255"/>
        <v>0</v>
      </c>
      <c r="GT19" s="230">
        <f t="shared" si="256"/>
        <v>0</v>
      </c>
      <c r="GU19" s="230">
        <f t="shared" si="257"/>
        <v>0</v>
      </c>
      <c r="GV19" s="230">
        <f t="shared" si="258"/>
        <v>0</v>
      </c>
      <c r="GW19" s="230">
        <f t="shared" si="259"/>
        <v>0</v>
      </c>
      <c r="GX19" s="230">
        <f t="shared" si="260"/>
        <v>0</v>
      </c>
      <c r="GY19" s="230">
        <f t="shared" si="261"/>
        <v>0</v>
      </c>
      <c r="GZ19" s="230">
        <f t="shared" si="262"/>
        <v>0</v>
      </c>
      <c r="HA19" s="230">
        <f t="shared" si="263"/>
        <v>0</v>
      </c>
      <c r="HB19" s="230">
        <f t="shared" si="264"/>
        <v>0</v>
      </c>
      <c r="HC19" s="230">
        <f t="shared" si="265"/>
        <v>0</v>
      </c>
      <c r="HD19" s="230">
        <f t="shared" si="266"/>
        <v>0</v>
      </c>
      <c r="HE19" s="230">
        <f t="shared" si="267"/>
        <v>0</v>
      </c>
      <c r="HF19" s="230">
        <f t="shared" si="268"/>
        <v>0</v>
      </c>
      <c r="HG19" s="230">
        <f t="shared" si="269"/>
        <v>0</v>
      </c>
      <c r="HH19" s="230">
        <f t="shared" si="270"/>
        <v>0</v>
      </c>
      <c r="HI19" s="230">
        <f t="shared" si="271"/>
        <v>0</v>
      </c>
      <c r="HJ19" s="230">
        <f t="shared" si="272"/>
        <v>0</v>
      </c>
      <c r="HK19" s="230">
        <f t="shared" si="273"/>
        <v>0</v>
      </c>
      <c r="HL19" s="230">
        <f t="shared" si="274"/>
        <v>0</v>
      </c>
      <c r="HM19" s="230">
        <f t="shared" si="275"/>
        <v>0</v>
      </c>
      <c r="HN19" s="230">
        <f t="shared" si="276"/>
        <v>0</v>
      </c>
      <c r="HO19" s="230">
        <f t="shared" si="277"/>
        <v>0</v>
      </c>
      <c r="HP19" s="230" t="str">
        <f>INDEX(LabNameList,MATCH(LabId,LabIDList,0))</f>
        <v>Trung tâm Kiểm định và Chứng nhận 2</v>
      </c>
      <c r="HQ19" s="230">
        <f t="shared" si="278"/>
        <v>23</v>
      </c>
      <c r="HR19" s="230">
        <f t="shared" si="279"/>
        <v>0</v>
      </c>
      <c r="HS19" s="230">
        <f t="shared" si="280"/>
        <v>0</v>
      </c>
      <c r="HT19" s="230">
        <f t="shared" si="281"/>
        <v>0</v>
      </c>
      <c r="HU19" s="230">
        <f t="shared" si="282"/>
        <v>0</v>
      </c>
      <c r="HV19" s="230">
        <f t="shared" si="283"/>
        <v>0</v>
      </c>
      <c r="HW19" s="797">
        <f t="shared" si="284"/>
        <v>23</v>
      </c>
      <c r="HX19" s="797">
        <f>Input!EB19</f>
        <v>0</v>
      </c>
      <c r="HY19" s="230">
        <v>68</v>
      </c>
      <c r="HZ19" s="230"/>
      <c r="IA19" s="230"/>
      <c r="IB19" s="230"/>
      <c r="IC19" s="232" t="str">
        <f t="shared" si="285"/>
        <v>B01970230916TG05</v>
      </c>
      <c r="ID19" s="233" t="str">
        <f>Input!O19</f>
        <v>01970</v>
      </c>
      <c r="IE19" s="467" t="str">
        <f t="shared" si="286"/>
        <v>230916</v>
      </c>
      <c r="IF19" s="232" t="s">
        <v>364</v>
      </c>
      <c r="IG19" s="467" t="str">
        <f t="shared" si="287"/>
        <v>23/09/2016</v>
      </c>
      <c r="IH19" s="467" t="str">
        <f t="shared" si="288"/>
        <v>23/09/2021</v>
      </c>
      <c r="II19" s="546" t="str">
        <f> Input!R19</f>
        <v>23/09/2016</v>
      </c>
      <c r="IJ19" s="467">
        <f t="shared" si="289"/>
        <v>44462</v>
      </c>
      <c r="IK19" s="468">
        <f t="shared" si="290"/>
        <v>3</v>
      </c>
      <c r="IL19" s="469" t="str">
        <f t="shared" si="291"/>
        <v>3-1</v>
      </c>
      <c r="IM19" s="469" t="str">
        <f t="shared" si="292"/>
        <v>KHAC</v>
      </c>
      <c r="IN19" s="469" t="str">
        <f t="shared" si="293"/>
        <v>KHAC</v>
      </c>
      <c r="IO19" s="469" t="str">
        <f t="shared" si="294"/>
      </c>
      <c r="IP19" s="469" t="str">
        <f t="shared" si="295"/>
      </c>
      <c r="IQ19" s="469" t="str">
        <f t="shared" si="296"/>
      </c>
      <c r="IR19" s="469">
        <f t="shared" si="297"/>
        <v>1</v>
      </c>
      <c r="IS19" s="469">
        <f t="shared" si="298"/>
        <v>2</v>
      </c>
      <c r="IT19" s="469" t="str">
        <f t="shared" si="299"/>
        <v>Yes</v>
      </c>
      <c r="IU19" s="469" t="str">
        <f t="shared" si="300"/>
        <v>Yes</v>
      </c>
    </row>
    <row r="20" ht="63.75">
      <c r="A20" s="601">
        <f>Input!A20</f>
        <v>19</v>
      </c>
      <c r="B20" s="229" t="str">
        <f>INDEX(ApplicantIDList,MATCH(AI20,ApplicantNameList,0))</f>
        <v>VIETTEL-2016</v>
      </c>
      <c r="C20" s="229" t="str">
        <f>INDEX(OperatorIDList,MATCH(AJ20,OperatorNameList,0))</f>
        <v>VIETTEL-2016</v>
      </c>
      <c r="D20" s="797" t="str">
        <f>Input!Y20</f>
        <v>HCM2301</v>
      </c>
      <c r="E20" s="229" t="str">
        <f>Input!G20</f>
        <v>Số E13/22, ấp 5, xã Vĩnh Lộc A, huyện Bình Chánh, thành phố Hồ Chí Minh.</v>
      </c>
      <c r="F20" s="229" t="str">
        <f>TRIM(SUBSTITUTE(SUBSTITUTE(Input!H20,"Thành phố ",""),"Tỉnh ",""))</f>
        <v>Hồ Chí Minh</v>
      </c>
      <c r="G20" s="797" t="str">
        <f>Input!I20</f>
        <v>106,57468</v>
      </c>
      <c r="H20" s="797" t="str">
        <f>Input!J20</f>
        <v>10,83455</v>
      </c>
      <c r="I20" s="229">
        <f>Input!V20</f>
        <v>1</v>
      </c>
      <c r="J20" s="229" t="str">
        <f>Input!K20</f>
        <v>1502390/16/TG/TT2</v>
      </c>
      <c r="K20" s="231" t="str">
        <f>TEXT(Input!L20,"dd/mm/yyyy")</f>
        <v>23/09/2016</v>
      </c>
      <c r="L20" s="231" t="str">
        <f>TEXT(Input!M20,"dd/mm/yyyy")</f>
        <v>14/09/2016</v>
      </c>
      <c r="M20" s="229" t="str">
        <f t="shared" si="135"/>
        <v>TỔNG CÔNG TY MẠNG LƯỚI VIETTEL</v>
      </c>
      <c r="N20" s="229" t="str">
        <f t="shared" si="136"/>
        <v>HCM2301</v>
      </c>
      <c r="O20" s="229" t="str">
        <f t="shared" si="137"/>
        <v>HUAWEI DBS3900</v>
      </c>
      <c r="P20" s="229" t="str">
        <f t="shared" si="138"/>
        <v>3</v>
      </c>
      <c r="Q20" s="229" t="str">
        <f t="shared" si="139"/>
        <v>2/2/2</v>
      </c>
      <c r="R20" s="229" t="str">
        <f t="shared" si="140"/>
        <v>40W/ 40W/ 40W</v>
      </c>
      <c r="S20" s="229" t="str">
        <f t="shared" si="141"/>
        <v>2100</v>
      </c>
      <c r="T20" s="229" t="str">
        <f t="shared" si="142"/>
        <v>34m/ 34m/ 34m</v>
      </c>
      <c r="U20" s="229">
        <v>1</v>
      </c>
      <c r="V20" s="229"/>
      <c r="W20" s="229" t="b">
        <f t="shared" si="143"/>
        <v>1</v>
      </c>
      <c r="X20" s="229" t="b">
        <f>INDEX(TrueFalseList,_xlfn.IFNA(MATCH(Input!W20,CoKhongList,0),MATCH(Input!W20,YesNoList,0)))</f>
        <v>1</v>
      </c>
      <c r="Y20" s="797">
        <f>Input!FZ20</f>
        <v>1</v>
      </c>
      <c r="Z20" s="229" t="b">
        <v>1</v>
      </c>
      <c r="AA20" s="797">
        <f t="shared" si="144"/>
        <v>34</v>
      </c>
      <c r="AB20" s="229" t="b">
        <v>0</v>
      </c>
      <c r="AC20" s="229" t="b">
        <v>1</v>
      </c>
      <c r="AD20" s="229">
        <f>Input!DR20</f>
        <v>0</v>
      </c>
      <c r="AE20" s="229"/>
      <c r="AF20" s="229" t="str">
        <f>Options!$D$6</f>
        <v>VCC2</v>
      </c>
      <c r="AG20" s="229">
        <f t="shared" si="145"/>
        <v>0</v>
      </c>
      <c r="AH20" s="230"/>
      <c r="AI20" s="553" t="str">
        <f>Input!E20</f>
        <v>TỔNG CÔNG TY MẠNG LƯỚI VIETTEL</v>
      </c>
      <c r="AJ20" s="553" t="str">
        <f>Input!F20</f>
        <v>TỔNG CÔNG TY MẠNG LƯỚI VIETTEL</v>
      </c>
      <c r="AK20" s="229">
        <f t="shared" si="146"/>
        <v>4</v>
      </c>
      <c r="AL20" s="465" t="str">
        <f t="shared" si="147"/>
        <v>thành phố Hồ Chí Minh.</v>
      </c>
      <c r="AM20" s="465" t="str">
        <f t="shared" si="148"/>
        <v>huyện Bình Chánh</v>
      </c>
      <c r="AN20" s="465" t="str">
        <f t="shared" si="149"/>
        <v>xã Vĩnh Lộc A</v>
      </c>
      <c r="AO20" s="229" t="str">
        <f>INDEX(CityIDList,MATCH(F20,CityNameList,0))</f>
        <v>HCM</v>
      </c>
      <c r="AP20" s="230" t="str">
        <f>Input!X20</f>
        <v>TỔNG CÔNG TY MẠNG LƯỚI VIETTEL</v>
      </c>
      <c r="AQ20" s="230">
        <f>Input!AN20</f>
        <v>0</v>
      </c>
      <c r="AR20" s="230">
        <f>Input!BD20</f>
        <v>0</v>
      </c>
      <c r="AS20" s="230" t="str">
        <f>Input!BT20</f>
      </c>
      <c r="AT20" s="230" t="str">
        <f>Input!CH20</f>
      </c>
      <c r="AU20" s="230" t="str">
        <f>Input!CV20</f>
      </c>
      <c r="AV20" s="230" t="str">
        <f>IF(I20&gt;=1,INDEX(OperatorIDList,MATCH(AP20,OperatorNameList,0)),"")</f>
        <v>VIETTEL-2016</v>
      </c>
      <c r="AW20" s="230" t="str">
        <f>IF(I20&gt;=2,INDEX(OperatorIDList,MATCH(AQ20,OperatorNameList,0)),"")</f>
      </c>
      <c r="AX20" s="230" t="str">
        <f>IF(I20&gt;=3,INDEX(OperatorIDList,MATCH(AR20,OperatorNameList,0)),"")</f>
      </c>
      <c r="AY20" s="230" t="str">
        <f>IF(I20&gt;=4,INDEX(OperatorIDList,MATCH(AS20,OperatorNameList,0)),"")</f>
      </c>
      <c r="AZ20" s="230" t="str">
        <f>IF(I20&gt;=5,INDEX(OperatorIDList,MATCH(AT20,OperatorNameList,0)),"")</f>
      </c>
      <c r="BA20" s="230" t="str">
        <f>IF(I20&gt;=6,INDEX(OperatorIDList,MATCH(AU20,OperatorNameList,0)),"")</f>
      </c>
      <c r="BB20" s="230" t="str">
        <f t="shared" si="150"/>
        <v>VIETTEL-2016</v>
      </c>
      <c r="BC20" s="230" t="str">
        <f>Input!Y20</f>
        <v>HCM2301</v>
      </c>
      <c r="BD20" s="230">
        <f>Input!AO20</f>
        <v>0</v>
      </c>
      <c r="BE20" s="230">
        <f>Input!BE20</f>
        <v>0</v>
      </c>
      <c r="BF20" s="230" t="str">
        <f>Input!BU20</f>
      </c>
      <c r="BG20" s="230" t="str">
        <f>Input!CI20</f>
      </c>
      <c r="BH20" s="230" t="str">
        <f>Input!CW20</f>
      </c>
      <c r="BI20" s="230" t="str">
        <f>Input!Z20</f>
        <v>HUAWEI DBS3900</v>
      </c>
      <c r="BJ20" s="230">
        <f>Input!AP20</f>
        <v>0</v>
      </c>
      <c r="BK20" s="230">
        <f>Input!BF20</f>
        <v>0</v>
      </c>
      <c r="BL20" s="230" t="str">
        <f>Input!BV20</f>
      </c>
      <c r="BM20" s="230" t="str">
        <f>Input!CJ20</f>
      </c>
      <c r="BN20" s="230" t="str">
        <f>Input!CX20</f>
      </c>
      <c r="BO20" s="553">
        <f>IF(ISNUMBER(Input!AA20),Input!AA20,0)</f>
        <v>3</v>
      </c>
      <c r="BP20" s="553">
        <f>IF(ISNUMBER(Input!AQ20),Input!AQ20,0)</f>
        <v>0</v>
      </c>
      <c r="BQ20" s="553">
        <f>IF(ISNUMBER(Input!BG20),Input!BG20,0)</f>
        <v>0</v>
      </c>
      <c r="BR20" s="553">
        <f>IF(ISNUMBER(Input!BW20),Input!BW20,0)</f>
        <v>0</v>
      </c>
      <c r="BS20" s="553">
        <f>IF(ISNUMBER(Input!CK20),Input!CK20,0)</f>
        <v>0</v>
      </c>
      <c r="BT20" s="554">
        <f>IF(ISNUMBER(Input!CY20),Input!CY20,0)</f>
        <v>0</v>
      </c>
      <c r="BU20" s="230" t="str">
        <f>Input!AF20</f>
        <v>2/2/2</v>
      </c>
      <c r="BV20" s="230" t="str">
        <f>Input!AV20</f>
      </c>
      <c r="BW20" s="230" t="str">
        <f>Input!BL20</f>
      </c>
      <c r="BX20" s="230" t="str">
        <f>Input!CA20</f>
      </c>
      <c r="BY20" s="230" t="str">
        <f>Input!CO20</f>
      </c>
      <c r="BZ20" s="230" t="str">
        <f>Input!DC20</f>
      </c>
      <c r="CA20" s="230">
        <f t="shared" si="151"/>
        <v>2</v>
      </c>
      <c r="CB20" s="230">
        <f t="shared" si="152"/>
        <v>2</v>
      </c>
      <c r="CC20" s="230">
        <f t="shared" si="153"/>
        <v>2</v>
      </c>
      <c r="CD20" s="230">
        <f t="shared" si="154"/>
        <v>0</v>
      </c>
      <c r="CE20" s="230">
        <f t="shared" si="155"/>
        <v>0</v>
      </c>
      <c r="CF20" s="230">
        <f t="shared" si="156"/>
        <v>0</v>
      </c>
      <c r="CG20" s="230">
        <f t="shared" si="157"/>
        <v>0</v>
      </c>
      <c r="CH20" s="230">
        <f t="shared" si="158"/>
        <v>0</v>
      </c>
      <c r="CI20" s="230">
        <f t="shared" si="159"/>
        <v>0</v>
      </c>
      <c r="CJ20" s="230">
        <f t="shared" si="160"/>
        <v>0</v>
      </c>
      <c r="CK20" s="230">
        <f t="shared" si="161"/>
        <v>0</v>
      </c>
      <c r="CL20" s="230">
        <f t="shared" si="162"/>
        <v>0</v>
      </c>
      <c r="CM20" s="230">
        <f t="shared" si="163"/>
        <v>0</v>
      </c>
      <c r="CN20" s="230">
        <f t="shared" si="164"/>
        <v>0</v>
      </c>
      <c r="CO20" s="230">
        <f t="shared" si="165"/>
        <v>0</v>
      </c>
      <c r="CP20" s="230">
        <f t="shared" si="166"/>
        <v>0</v>
      </c>
      <c r="CQ20" s="230">
        <f t="shared" si="167"/>
        <v>0</v>
      </c>
      <c r="CR20" s="230">
        <f t="shared" si="168"/>
        <v>0</v>
      </c>
      <c r="CS20" s="230">
        <f t="shared" si="169"/>
        <v>0</v>
      </c>
      <c r="CT20" s="230">
        <f t="shared" si="170"/>
        <v>0</v>
      </c>
      <c r="CU20" s="230">
        <f t="shared" si="171"/>
        <v>0</v>
      </c>
      <c r="CV20" s="230">
        <f t="shared" si="172"/>
        <v>0</v>
      </c>
      <c r="CW20" s="230">
        <f t="shared" si="173"/>
        <v>0</v>
      </c>
      <c r="CX20" s="230">
        <f t="shared" si="174"/>
        <v>0</v>
      </c>
      <c r="CY20" s="230">
        <f t="shared" si="175"/>
        <v>0</v>
      </c>
      <c r="CZ20" s="230">
        <f t="shared" si="176"/>
        <v>0</v>
      </c>
      <c r="DA20" s="230">
        <f t="shared" si="177"/>
        <v>0</v>
      </c>
      <c r="DB20" s="230">
        <f t="shared" si="178"/>
        <v>0</v>
      </c>
      <c r="DC20" s="230">
        <f t="shared" si="179"/>
        <v>0</v>
      </c>
      <c r="DD20" s="230">
        <f t="shared" si="180"/>
        <v>0</v>
      </c>
      <c r="DE20" s="230">
        <f t="shared" si="181"/>
        <v>0</v>
      </c>
      <c r="DF20" s="230">
        <f t="shared" si="182"/>
        <v>0</v>
      </c>
      <c r="DG20" s="230">
        <f t="shared" si="183"/>
        <v>0</v>
      </c>
      <c r="DH20" s="230">
        <f t="shared" si="184"/>
        <v>0</v>
      </c>
      <c r="DI20" s="230">
        <f t="shared" si="185"/>
        <v>0</v>
      </c>
      <c r="DJ20" s="230">
        <f t="shared" si="186"/>
        <v>0</v>
      </c>
      <c r="DK20" s="230" t="str">
        <f>Input!AK20</f>
        <v>40,00W/40,00W/40,00W</v>
      </c>
      <c r="DL20" s="230" t="str">
        <f>Input!BA20</f>
      </c>
      <c r="DM20" s="230" t="str">
        <f>Input!BQ20</f>
      </c>
      <c r="DN20" s="230" t="str">
        <f>Input!CE20</f>
      </c>
      <c r="DO20" s="230" t="str">
        <f>Input!CS20</f>
      </c>
      <c r="DP20" s="230" t="str">
        <f>Input!DG20</f>
      </c>
      <c r="DQ20" s="230" t="str">
        <f t="shared" si="187"/>
        <v>40W/ 40W/ 40W</v>
      </c>
      <c r="DR20" s="230" t="str">
        <f t="shared" si="188"/>
      </c>
      <c r="DS20" s="230" t="str">
        <f t="shared" si="189"/>
      </c>
      <c r="DT20" s="230" t="str">
        <f t="shared" si="190"/>
      </c>
      <c r="DU20" s="230" t="str">
        <f t="shared" si="191"/>
      </c>
      <c r="DV20" s="230" t="str">
        <f t="shared" si="192"/>
      </c>
      <c r="DW20" s="230">
        <f t="shared" si="193"/>
        <v>40</v>
      </c>
      <c r="DX20" s="230">
        <f t="shared" si="194"/>
        <v>40</v>
      </c>
      <c r="DY20" s="230">
        <f t="shared" si="195"/>
        <v>40</v>
      </c>
      <c r="DZ20" s="230">
        <f t="shared" si="196"/>
        <v>0</v>
      </c>
      <c r="EA20" s="230">
        <f t="shared" si="197"/>
        <v>0</v>
      </c>
      <c r="EB20" s="230">
        <f t="shared" si="198"/>
        <v>0</v>
      </c>
      <c r="EC20" s="230">
        <f t="shared" si="199"/>
        <v>40</v>
      </c>
      <c r="ED20" s="230">
        <f t="shared" si="200"/>
        <v>0</v>
      </c>
      <c r="EE20" s="230">
        <f t="shared" si="201"/>
        <v>0</v>
      </c>
      <c r="EF20" s="230">
        <f t="shared" si="202"/>
        <v>0</v>
      </c>
      <c r="EG20" s="230">
        <f t="shared" si="203"/>
        <v>0</v>
      </c>
      <c r="EH20" s="230">
        <f t="shared" si="204"/>
        <v>0</v>
      </c>
      <c r="EI20" s="230">
        <f t="shared" si="205"/>
        <v>0</v>
      </c>
      <c r="EJ20" s="230">
        <f t="shared" si="206"/>
        <v>0</v>
      </c>
      <c r="EK20" s="230">
        <f t="shared" si="207"/>
        <v>0</v>
      </c>
      <c r="EL20" s="230">
        <f t="shared" si="208"/>
        <v>0</v>
      </c>
      <c r="EM20" s="230">
        <f t="shared" si="209"/>
        <v>0</v>
      </c>
      <c r="EN20" s="230">
        <f t="shared" si="210"/>
        <v>0</v>
      </c>
      <c r="EO20" s="230">
        <f t="shared" si="211"/>
        <v>0</v>
      </c>
      <c r="EP20" s="230">
        <f t="shared" si="212"/>
        <v>0</v>
      </c>
      <c r="EQ20" s="230">
        <f t="shared" si="213"/>
        <v>0</v>
      </c>
      <c r="ER20" s="230">
        <f t="shared" si="214"/>
        <v>0</v>
      </c>
      <c r="ES20" s="230">
        <f t="shared" si="215"/>
        <v>0</v>
      </c>
      <c r="ET20" s="230">
        <f t="shared" si="216"/>
        <v>0</v>
      </c>
      <c r="EU20" s="230">
        <f t="shared" si="217"/>
        <v>0</v>
      </c>
      <c r="EV20" s="230">
        <f t="shared" si="218"/>
        <v>0</v>
      </c>
      <c r="EW20" s="230">
        <f t="shared" si="219"/>
        <v>0</v>
      </c>
      <c r="EX20" s="230">
        <f t="shared" si="220"/>
        <v>0</v>
      </c>
      <c r="EY20" s="230">
        <f t="shared" si="221"/>
        <v>0</v>
      </c>
      <c r="EZ20" s="230">
        <f t="shared" si="222"/>
        <v>0</v>
      </c>
      <c r="FA20" s="230">
        <f t="shared" si="223"/>
        <v>0</v>
      </c>
      <c r="FB20" s="230">
        <f t="shared" si="224"/>
        <v>0</v>
      </c>
      <c r="FC20" s="230">
        <f t="shared" si="225"/>
        <v>0</v>
      </c>
      <c r="FD20" s="230">
        <f t="shared" si="226"/>
        <v>0</v>
      </c>
      <c r="FE20" s="230">
        <f t="shared" si="227"/>
        <v>0</v>
      </c>
      <c r="FF20" s="230">
        <f t="shared" si="228"/>
        <v>0</v>
      </c>
      <c r="FG20" s="230">
        <f t="shared" si="229"/>
        <v>0</v>
      </c>
      <c r="FH20" s="230">
        <f t="shared" si="230"/>
        <v>0</v>
      </c>
      <c r="FI20" s="230">
        <f t="shared" si="231"/>
        <v>0</v>
      </c>
      <c r="FJ20" s="230">
        <f t="shared" si="232"/>
        <v>0</v>
      </c>
      <c r="FK20" s="230">
        <f t="shared" si="233"/>
        <v>0</v>
      </c>
      <c r="FL20" s="230">
        <f t="shared" si="234"/>
        <v>0</v>
      </c>
      <c r="FM20" s="230">
        <f t="shared" si="235"/>
        <v>40</v>
      </c>
      <c r="FN20" s="230">
        <f>Input!AL20</f>
        <v>2100</v>
      </c>
      <c r="FO20" s="230">
        <f>Input!BB20</f>
        <v>0</v>
      </c>
      <c r="FP20" s="230">
        <f>Input!BR20</f>
        <v>0</v>
      </c>
      <c r="FQ20" s="230" t="str">
        <f>Input!CF20</f>
      </c>
      <c r="FR20" s="230" t="str">
        <f>Input!CT20</f>
      </c>
      <c r="FS20" s="230" t="str">
        <f>Input!DH20</f>
      </c>
      <c r="FT20" s="230" t="str">
        <f>Input!AM20</f>
        <v>34m/ 34m/ 34m</v>
      </c>
      <c r="FU20" s="230">
        <f>Input!BC20</f>
        <v>0</v>
      </c>
      <c r="FV20" s="230">
        <f>Input!BS20</f>
        <v>0</v>
      </c>
      <c r="FW20" s="230" t="str">
        <f>Input!CG20</f>
      </c>
      <c r="FX20" s="230" t="str">
        <f>Input!CU20</f>
      </c>
      <c r="FY20" s="230" t="str">
        <f>Input!DI20</f>
      </c>
      <c r="FZ20" s="230" t="str">
        <f t="shared" si="236"/>
        <v>34m/ 34m/ 34m</v>
      </c>
      <c r="GA20" s="230" t="str">
        <f t="shared" si="237"/>
      </c>
      <c r="GB20" s="230" t="str">
        <f t="shared" si="238"/>
      </c>
      <c r="GC20" s="230" t="str">
        <f t="shared" si="239"/>
      </c>
      <c r="GD20" s="230" t="str">
        <f t="shared" si="240"/>
      </c>
      <c r="GE20" s="230" t="str">
        <f t="shared" si="241"/>
      </c>
      <c r="GF20" s="230">
        <f t="shared" si="242"/>
        <v>34</v>
      </c>
      <c r="GG20" s="230">
        <f t="shared" si="243"/>
        <v>34</v>
      </c>
      <c r="GH20" s="230">
        <f t="shared" si="244"/>
        <v>34</v>
      </c>
      <c r="GI20" s="230">
        <f t="shared" si="245"/>
        <v>0</v>
      </c>
      <c r="GJ20" s="230">
        <f t="shared" si="246"/>
        <v>0</v>
      </c>
      <c r="GK20" s="230">
        <f t="shared" si="247"/>
        <v>0</v>
      </c>
      <c r="GL20" s="230">
        <f t="shared" si="248"/>
        <v>0</v>
      </c>
      <c r="GM20" s="230">
        <f t="shared" si="249"/>
        <v>0</v>
      </c>
      <c r="GN20" s="230">
        <f t="shared" si="250"/>
        <v>0</v>
      </c>
      <c r="GO20" s="230">
        <f t="shared" si="251"/>
        <v>0</v>
      </c>
      <c r="GP20" s="230">
        <f t="shared" si="252"/>
        <v>0</v>
      </c>
      <c r="GQ20" s="230">
        <f t="shared" si="253"/>
        <v>0</v>
      </c>
      <c r="GR20" s="230">
        <f t="shared" si="254"/>
        <v>0</v>
      </c>
      <c r="GS20" s="230">
        <f t="shared" si="255"/>
        <v>0</v>
      </c>
      <c r="GT20" s="230">
        <f t="shared" si="256"/>
        <v>0</v>
      </c>
      <c r="GU20" s="230">
        <f t="shared" si="257"/>
        <v>0</v>
      </c>
      <c r="GV20" s="230">
        <f t="shared" si="258"/>
        <v>0</v>
      </c>
      <c r="GW20" s="230">
        <f t="shared" si="259"/>
        <v>0</v>
      </c>
      <c r="GX20" s="230">
        <f t="shared" si="260"/>
        <v>0</v>
      </c>
      <c r="GY20" s="230">
        <f t="shared" si="261"/>
        <v>0</v>
      </c>
      <c r="GZ20" s="230">
        <f t="shared" si="262"/>
        <v>0</v>
      </c>
      <c r="HA20" s="230">
        <f t="shared" si="263"/>
        <v>0</v>
      </c>
      <c r="HB20" s="230">
        <f t="shared" si="264"/>
        <v>0</v>
      </c>
      <c r="HC20" s="230">
        <f t="shared" si="265"/>
        <v>0</v>
      </c>
      <c r="HD20" s="230">
        <f t="shared" si="266"/>
        <v>0</v>
      </c>
      <c r="HE20" s="230">
        <f t="shared" si="267"/>
        <v>0</v>
      </c>
      <c r="HF20" s="230">
        <f t="shared" si="268"/>
        <v>0</v>
      </c>
      <c r="HG20" s="230">
        <f t="shared" si="269"/>
        <v>0</v>
      </c>
      <c r="HH20" s="230">
        <f t="shared" si="270"/>
        <v>0</v>
      </c>
      <c r="HI20" s="230">
        <f t="shared" si="271"/>
        <v>0</v>
      </c>
      <c r="HJ20" s="230">
        <f t="shared" si="272"/>
        <v>0</v>
      </c>
      <c r="HK20" s="230">
        <f t="shared" si="273"/>
        <v>0</v>
      </c>
      <c r="HL20" s="230">
        <f t="shared" si="274"/>
        <v>0</v>
      </c>
      <c r="HM20" s="230">
        <f t="shared" si="275"/>
        <v>0</v>
      </c>
      <c r="HN20" s="230">
        <f t="shared" si="276"/>
        <v>0</v>
      </c>
      <c r="HO20" s="230">
        <f t="shared" si="277"/>
        <v>0</v>
      </c>
      <c r="HP20" s="230" t="str">
        <f>INDEX(LabNameList,MATCH(LabId,LabIDList,0))</f>
        <v>Trung tâm Kiểm định và Chứng nhận 2</v>
      </c>
      <c r="HQ20" s="230">
        <f t="shared" si="278"/>
        <v>34</v>
      </c>
      <c r="HR20" s="230">
        <f t="shared" si="279"/>
        <v>0</v>
      </c>
      <c r="HS20" s="230">
        <f t="shared" si="280"/>
        <v>0</v>
      </c>
      <c r="HT20" s="230">
        <f t="shared" si="281"/>
        <v>0</v>
      </c>
      <c r="HU20" s="230">
        <f t="shared" si="282"/>
        <v>0</v>
      </c>
      <c r="HV20" s="230">
        <f t="shared" si="283"/>
        <v>0</v>
      </c>
      <c r="HW20" s="797">
        <f t="shared" si="284"/>
        <v>34</v>
      </c>
      <c r="HX20" s="797">
        <f>Input!EB20</f>
        <v>0</v>
      </c>
      <c r="HY20" s="230">
        <v>68</v>
      </c>
      <c r="HZ20" s="230"/>
      <c r="IA20" s="230"/>
      <c r="IB20" s="230"/>
      <c r="IC20" s="232" t="str">
        <f t="shared" si="285"/>
        <v>B01971230916TG05</v>
      </c>
      <c r="ID20" s="233" t="str">
        <f>Input!O20</f>
        <v>01971</v>
      </c>
      <c r="IE20" s="467" t="str">
        <f t="shared" si="286"/>
        <v>230916</v>
      </c>
      <c r="IF20" s="232" t="s">
        <v>364</v>
      </c>
      <c r="IG20" s="467" t="str">
        <f t="shared" si="287"/>
        <v>23/09/2016</v>
      </c>
      <c r="IH20" s="467" t="str">
        <f t="shared" si="288"/>
        <v>23/09/2021</v>
      </c>
      <c r="II20" s="546" t="str">
        <f> Input!R20</f>
        <v>23/09/2016</v>
      </c>
      <c r="IJ20" s="467">
        <f t="shared" si="289"/>
        <v>44462</v>
      </c>
      <c r="IK20" s="468">
        <f t="shared" si="290"/>
        <v>3</v>
      </c>
      <c r="IL20" s="469" t="str">
        <f t="shared" si="291"/>
        <v>3-1</v>
      </c>
      <c r="IM20" s="469" t="str">
        <f t="shared" si="292"/>
        <v>KHAC</v>
      </c>
      <c r="IN20" s="469" t="str">
        <f t="shared" si="293"/>
        <v>KHAC</v>
      </c>
      <c r="IO20" s="469" t="str">
        <f t="shared" si="294"/>
      </c>
      <c r="IP20" s="469" t="str">
        <f t="shared" si="295"/>
      </c>
      <c r="IQ20" s="469" t="str">
        <f t="shared" si="296"/>
      </c>
      <c r="IR20" s="469">
        <f t="shared" si="297"/>
        <v>1</v>
      </c>
      <c r="IS20" s="469">
        <f t="shared" si="298"/>
        <v>2</v>
      </c>
      <c r="IT20" s="469" t="str">
        <f t="shared" si="299"/>
        <v>Yes</v>
      </c>
      <c r="IU20" s="469" t="str">
        <f t="shared" si="300"/>
        <v>Yes</v>
      </c>
    </row>
    <row r="21" ht="63.75">
      <c r="A21" s="601">
        <f>Input!A21</f>
        <v>20</v>
      </c>
      <c r="B21" s="229" t="str">
        <f>INDEX(ApplicantIDList,MATCH(AI21,ApplicantNameList,0))</f>
        <v>VIETTEL-2016</v>
      </c>
      <c r="C21" s="229" t="str">
        <f>INDEX(OperatorIDList,MATCH(AJ21,OperatorNameList,0))</f>
        <v>VIETTEL-2016</v>
      </c>
      <c r="D21" s="797" t="str">
        <f>Input!Y21</f>
        <v>HCM2306</v>
      </c>
      <c r="E21" s="229" t="str">
        <f>Input!G21</f>
        <v>Số B2/25/2, quốc lộ 50, xã Đa Phước, huyện Bình Chánh, thành phố Hồ Chí Minh.</v>
      </c>
      <c r="F21" s="229" t="str">
        <f>TRIM(SUBSTITUTE(SUBSTITUTE(Input!H21,"Thành phố ",""),"Tỉnh ",""))</f>
        <v>Hồ Chí Minh</v>
      </c>
      <c r="G21" s="797" t="str">
        <f>Input!I21</f>
        <v>106,651824</v>
      </c>
      <c r="H21" s="797" t="str">
        <f>Input!J21</f>
        <v>10,66602</v>
      </c>
      <c r="I21" s="229">
        <f>Input!V21</f>
        <v>1</v>
      </c>
      <c r="J21" s="229" t="str">
        <f>Input!K21</f>
        <v>1502391/16/TG/TT2</v>
      </c>
      <c r="K21" s="231" t="str">
        <f>TEXT(Input!L21,"dd/mm/yyyy")</f>
        <v>23/09/2016</v>
      </c>
      <c r="L21" s="231" t="str">
        <f>TEXT(Input!M21,"dd/mm/yyyy")</f>
        <v>14/09/2016</v>
      </c>
      <c r="M21" s="229" t="str">
        <f t="shared" si="135"/>
        <v>TỔNG CÔNG TY MẠNG LƯỚI VIETTEL</v>
      </c>
      <c r="N21" s="229" t="str">
        <f t="shared" si="136"/>
        <v>HCM2306</v>
      </c>
      <c r="O21" s="229" t="str">
        <f t="shared" si="137"/>
        <v>HUAWEI DBS3900</v>
      </c>
      <c r="P21" s="229" t="str">
        <f t="shared" si="138"/>
        <v>3</v>
      </c>
      <c r="Q21" s="229" t="str">
        <f t="shared" si="139"/>
        <v>2/2/2</v>
      </c>
      <c r="R21" s="229" t="str">
        <f t="shared" si="140"/>
        <v>40W/ 40W/ 40W</v>
      </c>
      <c r="S21" s="229" t="str">
        <f t="shared" si="141"/>
        <v>2100</v>
      </c>
      <c r="T21" s="229" t="str">
        <f t="shared" si="142"/>
        <v>34m/ 34m/ 34m</v>
      </c>
      <c r="U21" s="229">
        <v>1</v>
      </c>
      <c r="V21" s="229"/>
      <c r="W21" s="229" t="b">
        <f t="shared" si="143"/>
        <v>1</v>
      </c>
      <c r="X21" s="229" t="b">
        <f>INDEX(TrueFalseList,_xlfn.IFNA(MATCH(Input!W21,CoKhongList,0),MATCH(Input!W21,YesNoList,0)))</f>
        <v>1</v>
      </c>
      <c r="Y21" s="797">
        <f>Input!FZ21</f>
        <v>1</v>
      </c>
      <c r="Z21" s="229" t="b">
        <v>1</v>
      </c>
      <c r="AA21" s="797">
        <f t="shared" si="144"/>
        <v>34</v>
      </c>
      <c r="AB21" s="229" t="b">
        <v>0</v>
      </c>
      <c r="AC21" s="229" t="b">
        <v>1</v>
      </c>
      <c r="AD21" s="229">
        <f>Input!DR21</f>
        <v>0</v>
      </c>
      <c r="AE21" s="229"/>
      <c r="AF21" s="229" t="str">
        <f>Options!$D$6</f>
        <v>VCC2</v>
      </c>
      <c r="AG21" s="229">
        <f t="shared" si="145"/>
        <v>0</v>
      </c>
      <c r="AH21" s="230"/>
      <c r="AI21" s="553" t="str">
        <f>Input!E21</f>
        <v>TỔNG CÔNG TY MẠNG LƯỚI VIETTEL</v>
      </c>
      <c r="AJ21" s="553" t="str">
        <f>Input!F21</f>
        <v>TỔNG CÔNG TY MẠNG LƯỚI VIETTEL</v>
      </c>
      <c r="AK21" s="229">
        <f t="shared" si="146"/>
        <v>4</v>
      </c>
      <c r="AL21" s="465" t="str">
        <f t="shared" si="147"/>
        <v>thành phố Hồ Chí Minh.</v>
      </c>
      <c r="AM21" s="465" t="str">
        <f t="shared" si="148"/>
        <v>huyện Bình Chánh</v>
      </c>
      <c r="AN21" s="465" t="str">
        <f t="shared" si="149"/>
        <v>xã Đa Phước</v>
      </c>
      <c r="AO21" s="229" t="str">
        <f>INDEX(CityIDList,MATCH(F21,CityNameList,0))</f>
        <v>HCM</v>
      </c>
      <c r="AP21" s="230" t="str">
        <f>Input!X21</f>
        <v>TỔNG CÔNG TY MẠNG LƯỚI VIETTEL</v>
      </c>
      <c r="AQ21" s="230">
        <f>Input!AN21</f>
        <v>0</v>
      </c>
      <c r="AR21" s="230">
        <f>Input!BD21</f>
        <v>0</v>
      </c>
      <c r="AS21" s="230" t="str">
        <f>Input!BT21</f>
      </c>
      <c r="AT21" s="230" t="str">
        <f>Input!CH21</f>
      </c>
      <c r="AU21" s="230" t="str">
        <f>Input!CV21</f>
      </c>
      <c r="AV21" s="230" t="str">
        <f>IF(I21&gt;=1,INDEX(OperatorIDList,MATCH(AP21,OperatorNameList,0)),"")</f>
        <v>VIETTEL-2016</v>
      </c>
      <c r="AW21" s="230" t="str">
        <f>IF(I21&gt;=2,INDEX(OperatorIDList,MATCH(AQ21,OperatorNameList,0)),"")</f>
      </c>
      <c r="AX21" s="230" t="str">
        <f>IF(I21&gt;=3,INDEX(OperatorIDList,MATCH(AR21,OperatorNameList,0)),"")</f>
      </c>
      <c r="AY21" s="230" t="str">
        <f>IF(I21&gt;=4,INDEX(OperatorIDList,MATCH(AS21,OperatorNameList,0)),"")</f>
      </c>
      <c r="AZ21" s="230" t="str">
        <f>IF(I21&gt;=5,INDEX(OperatorIDList,MATCH(AT21,OperatorNameList,0)),"")</f>
      </c>
      <c r="BA21" s="230" t="str">
        <f>IF(I21&gt;=6,INDEX(OperatorIDList,MATCH(AU21,OperatorNameList,0)),"")</f>
      </c>
      <c r="BB21" s="230" t="str">
        <f t="shared" si="150"/>
        <v>VIETTEL-2016</v>
      </c>
      <c r="BC21" s="230" t="str">
        <f>Input!Y21</f>
        <v>HCM2306</v>
      </c>
      <c r="BD21" s="230">
        <f>Input!AO21</f>
        <v>0</v>
      </c>
      <c r="BE21" s="230">
        <f>Input!BE21</f>
        <v>0</v>
      </c>
      <c r="BF21" s="230" t="str">
        <f>Input!BU21</f>
      </c>
      <c r="BG21" s="230" t="str">
        <f>Input!CI21</f>
      </c>
      <c r="BH21" s="230" t="str">
        <f>Input!CW21</f>
      </c>
      <c r="BI21" s="230" t="str">
        <f>Input!Z21</f>
        <v>HUAWEI DBS3900</v>
      </c>
      <c r="BJ21" s="230">
        <f>Input!AP21</f>
        <v>0</v>
      </c>
      <c r="BK21" s="230">
        <f>Input!BF21</f>
        <v>0</v>
      </c>
      <c r="BL21" s="230" t="str">
        <f>Input!BV21</f>
      </c>
      <c r="BM21" s="230" t="str">
        <f>Input!CJ21</f>
      </c>
      <c r="BN21" s="230" t="str">
        <f>Input!CX21</f>
      </c>
      <c r="BO21" s="553">
        <f>IF(ISNUMBER(Input!AA21),Input!AA21,0)</f>
        <v>3</v>
      </c>
      <c r="BP21" s="553">
        <f>IF(ISNUMBER(Input!AQ21),Input!AQ21,0)</f>
        <v>0</v>
      </c>
      <c r="BQ21" s="553">
        <f>IF(ISNUMBER(Input!BG21),Input!BG21,0)</f>
        <v>0</v>
      </c>
      <c r="BR21" s="553">
        <f>IF(ISNUMBER(Input!BW21),Input!BW21,0)</f>
        <v>0</v>
      </c>
      <c r="BS21" s="553">
        <f>IF(ISNUMBER(Input!CK21),Input!CK21,0)</f>
        <v>0</v>
      </c>
      <c r="BT21" s="554">
        <f>IF(ISNUMBER(Input!CY21),Input!CY21,0)</f>
        <v>0</v>
      </c>
      <c r="BU21" s="230" t="str">
        <f>Input!AF21</f>
        <v>2/2/2</v>
      </c>
      <c r="BV21" s="230" t="str">
        <f>Input!AV21</f>
      </c>
      <c r="BW21" s="230" t="str">
        <f>Input!BL21</f>
      </c>
      <c r="BX21" s="230" t="str">
        <f>Input!CA21</f>
      </c>
      <c r="BY21" s="230" t="str">
        <f>Input!CO21</f>
      </c>
      <c r="BZ21" s="230" t="str">
        <f>Input!DC21</f>
      </c>
      <c r="CA21" s="230">
        <f t="shared" si="151"/>
        <v>2</v>
      </c>
      <c r="CB21" s="230">
        <f t="shared" si="152"/>
        <v>2</v>
      </c>
      <c r="CC21" s="230">
        <f t="shared" si="153"/>
        <v>2</v>
      </c>
      <c r="CD21" s="230">
        <f t="shared" si="154"/>
        <v>0</v>
      </c>
      <c r="CE21" s="230">
        <f t="shared" si="155"/>
        <v>0</v>
      </c>
      <c r="CF21" s="230">
        <f t="shared" si="156"/>
        <v>0</v>
      </c>
      <c r="CG21" s="230">
        <f t="shared" si="157"/>
        <v>0</v>
      </c>
      <c r="CH21" s="230">
        <f t="shared" si="158"/>
        <v>0</v>
      </c>
      <c r="CI21" s="230">
        <f t="shared" si="159"/>
        <v>0</v>
      </c>
      <c r="CJ21" s="230">
        <f t="shared" si="160"/>
        <v>0</v>
      </c>
      <c r="CK21" s="230">
        <f t="shared" si="161"/>
        <v>0</v>
      </c>
      <c r="CL21" s="230">
        <f t="shared" si="162"/>
        <v>0</v>
      </c>
      <c r="CM21" s="230">
        <f t="shared" si="163"/>
        <v>0</v>
      </c>
      <c r="CN21" s="230">
        <f t="shared" si="164"/>
        <v>0</v>
      </c>
      <c r="CO21" s="230">
        <f t="shared" si="165"/>
        <v>0</v>
      </c>
      <c r="CP21" s="230">
        <f t="shared" si="166"/>
        <v>0</v>
      </c>
      <c r="CQ21" s="230">
        <f t="shared" si="167"/>
        <v>0</v>
      </c>
      <c r="CR21" s="230">
        <f t="shared" si="168"/>
        <v>0</v>
      </c>
      <c r="CS21" s="230">
        <f t="shared" si="169"/>
        <v>0</v>
      </c>
      <c r="CT21" s="230">
        <f t="shared" si="170"/>
        <v>0</v>
      </c>
      <c r="CU21" s="230">
        <f t="shared" si="171"/>
        <v>0</v>
      </c>
      <c r="CV21" s="230">
        <f t="shared" si="172"/>
        <v>0</v>
      </c>
      <c r="CW21" s="230">
        <f t="shared" si="173"/>
        <v>0</v>
      </c>
      <c r="CX21" s="230">
        <f t="shared" si="174"/>
        <v>0</v>
      </c>
      <c r="CY21" s="230">
        <f t="shared" si="175"/>
        <v>0</v>
      </c>
      <c r="CZ21" s="230">
        <f t="shared" si="176"/>
        <v>0</v>
      </c>
      <c r="DA21" s="230">
        <f t="shared" si="177"/>
        <v>0</v>
      </c>
      <c r="DB21" s="230">
        <f t="shared" si="178"/>
        <v>0</v>
      </c>
      <c r="DC21" s="230">
        <f t="shared" si="179"/>
        <v>0</v>
      </c>
      <c r="DD21" s="230">
        <f t="shared" si="180"/>
        <v>0</v>
      </c>
      <c r="DE21" s="230">
        <f t="shared" si="181"/>
        <v>0</v>
      </c>
      <c r="DF21" s="230">
        <f t="shared" si="182"/>
        <v>0</v>
      </c>
      <c r="DG21" s="230">
        <f t="shared" si="183"/>
        <v>0</v>
      </c>
      <c r="DH21" s="230">
        <f t="shared" si="184"/>
        <v>0</v>
      </c>
      <c r="DI21" s="230">
        <f t="shared" si="185"/>
        <v>0</v>
      </c>
      <c r="DJ21" s="230">
        <f t="shared" si="186"/>
        <v>0</v>
      </c>
      <c r="DK21" s="230" t="str">
        <f>Input!AK21</f>
        <v>40,00W/40,00W/40,00W</v>
      </c>
      <c r="DL21" s="230" t="str">
        <f>Input!BA21</f>
      </c>
      <c r="DM21" s="230" t="str">
        <f>Input!BQ21</f>
      </c>
      <c r="DN21" s="230" t="str">
        <f>Input!CE21</f>
      </c>
      <c r="DO21" s="230" t="str">
        <f>Input!CS21</f>
      </c>
      <c r="DP21" s="230" t="str">
        <f>Input!DG21</f>
      </c>
      <c r="DQ21" s="230" t="str">
        <f t="shared" si="187"/>
        <v>40W/ 40W/ 40W</v>
      </c>
      <c r="DR21" s="230" t="str">
        <f t="shared" si="188"/>
      </c>
      <c r="DS21" s="230" t="str">
        <f t="shared" si="189"/>
      </c>
      <c r="DT21" s="230" t="str">
        <f t="shared" si="190"/>
      </c>
      <c r="DU21" s="230" t="str">
        <f t="shared" si="191"/>
      </c>
      <c r="DV21" s="230" t="str">
        <f t="shared" si="192"/>
      </c>
      <c r="DW21" s="230">
        <f t="shared" si="193"/>
        <v>40</v>
      </c>
      <c r="DX21" s="230">
        <f t="shared" si="194"/>
        <v>40</v>
      </c>
      <c r="DY21" s="230">
        <f t="shared" si="195"/>
        <v>40</v>
      </c>
      <c r="DZ21" s="230">
        <f t="shared" si="196"/>
        <v>0</v>
      </c>
      <c r="EA21" s="230">
        <f t="shared" si="197"/>
        <v>0</v>
      </c>
      <c r="EB21" s="230">
        <f t="shared" si="198"/>
        <v>0</v>
      </c>
      <c r="EC21" s="230">
        <f t="shared" si="199"/>
        <v>40</v>
      </c>
      <c r="ED21" s="230">
        <f t="shared" si="200"/>
        <v>0</v>
      </c>
      <c r="EE21" s="230">
        <f t="shared" si="201"/>
        <v>0</v>
      </c>
      <c r="EF21" s="230">
        <f t="shared" si="202"/>
        <v>0</v>
      </c>
      <c r="EG21" s="230">
        <f t="shared" si="203"/>
        <v>0</v>
      </c>
      <c r="EH21" s="230">
        <f t="shared" si="204"/>
        <v>0</v>
      </c>
      <c r="EI21" s="230">
        <f t="shared" si="205"/>
        <v>0</v>
      </c>
      <c r="EJ21" s="230">
        <f t="shared" si="206"/>
        <v>0</v>
      </c>
      <c r="EK21" s="230">
        <f t="shared" si="207"/>
        <v>0</v>
      </c>
      <c r="EL21" s="230">
        <f t="shared" si="208"/>
        <v>0</v>
      </c>
      <c r="EM21" s="230">
        <f t="shared" si="209"/>
        <v>0</v>
      </c>
      <c r="EN21" s="230">
        <f t="shared" si="210"/>
        <v>0</v>
      </c>
      <c r="EO21" s="230">
        <f t="shared" si="211"/>
        <v>0</v>
      </c>
      <c r="EP21" s="230">
        <f t="shared" si="212"/>
        <v>0</v>
      </c>
      <c r="EQ21" s="230">
        <f t="shared" si="213"/>
        <v>0</v>
      </c>
      <c r="ER21" s="230">
        <f t="shared" si="214"/>
        <v>0</v>
      </c>
      <c r="ES21" s="230">
        <f t="shared" si="215"/>
        <v>0</v>
      </c>
      <c r="ET21" s="230">
        <f t="shared" si="216"/>
        <v>0</v>
      </c>
      <c r="EU21" s="230">
        <f t="shared" si="217"/>
        <v>0</v>
      </c>
      <c r="EV21" s="230">
        <f t="shared" si="218"/>
        <v>0</v>
      </c>
      <c r="EW21" s="230">
        <f t="shared" si="219"/>
        <v>0</v>
      </c>
      <c r="EX21" s="230">
        <f t="shared" si="220"/>
        <v>0</v>
      </c>
      <c r="EY21" s="230">
        <f t="shared" si="221"/>
        <v>0</v>
      </c>
      <c r="EZ21" s="230">
        <f t="shared" si="222"/>
        <v>0</v>
      </c>
      <c r="FA21" s="230">
        <f t="shared" si="223"/>
        <v>0</v>
      </c>
      <c r="FB21" s="230">
        <f t="shared" si="224"/>
        <v>0</v>
      </c>
      <c r="FC21" s="230">
        <f t="shared" si="225"/>
        <v>0</v>
      </c>
      <c r="FD21" s="230">
        <f t="shared" si="226"/>
        <v>0</v>
      </c>
      <c r="FE21" s="230">
        <f t="shared" si="227"/>
        <v>0</v>
      </c>
      <c r="FF21" s="230">
        <f t="shared" si="228"/>
        <v>0</v>
      </c>
      <c r="FG21" s="230">
        <f t="shared" si="229"/>
        <v>0</v>
      </c>
      <c r="FH21" s="230">
        <f t="shared" si="230"/>
        <v>0</v>
      </c>
      <c r="FI21" s="230">
        <f t="shared" si="231"/>
        <v>0</v>
      </c>
      <c r="FJ21" s="230">
        <f t="shared" si="232"/>
        <v>0</v>
      </c>
      <c r="FK21" s="230">
        <f t="shared" si="233"/>
        <v>0</v>
      </c>
      <c r="FL21" s="230">
        <f t="shared" si="234"/>
        <v>0</v>
      </c>
      <c r="FM21" s="230">
        <f t="shared" si="235"/>
        <v>40</v>
      </c>
      <c r="FN21" s="230">
        <f>Input!AL21</f>
        <v>2100</v>
      </c>
      <c r="FO21" s="230">
        <f>Input!BB21</f>
        <v>0</v>
      </c>
      <c r="FP21" s="230">
        <f>Input!BR21</f>
        <v>0</v>
      </c>
      <c r="FQ21" s="230" t="str">
        <f>Input!CF21</f>
      </c>
      <c r="FR21" s="230" t="str">
        <f>Input!CT21</f>
      </c>
      <c r="FS21" s="230" t="str">
        <f>Input!DH21</f>
      </c>
      <c r="FT21" s="230" t="str">
        <f>Input!AM21</f>
        <v>34m/ 34m/ 34m</v>
      </c>
      <c r="FU21" s="230">
        <f>Input!BC21</f>
        <v>0</v>
      </c>
      <c r="FV21" s="230">
        <f>Input!BS21</f>
        <v>0</v>
      </c>
      <c r="FW21" s="230" t="str">
        <f>Input!CG21</f>
      </c>
      <c r="FX21" s="230" t="str">
        <f>Input!CU21</f>
      </c>
      <c r="FY21" s="230" t="str">
        <f>Input!DI21</f>
      </c>
      <c r="FZ21" s="230" t="str">
        <f t="shared" si="236"/>
        <v>34m/ 34m/ 34m</v>
      </c>
      <c r="GA21" s="230" t="str">
        <f t="shared" si="237"/>
      </c>
      <c r="GB21" s="230" t="str">
        <f t="shared" si="238"/>
      </c>
      <c r="GC21" s="230" t="str">
        <f t="shared" si="239"/>
      </c>
      <c r="GD21" s="230" t="str">
        <f t="shared" si="240"/>
      </c>
      <c r="GE21" s="230" t="str">
        <f t="shared" si="241"/>
      </c>
      <c r="GF21" s="230">
        <f t="shared" si="242"/>
        <v>34</v>
      </c>
      <c r="GG21" s="230">
        <f t="shared" si="243"/>
        <v>34</v>
      </c>
      <c r="GH21" s="230">
        <f t="shared" si="244"/>
        <v>34</v>
      </c>
      <c r="GI21" s="230">
        <f t="shared" si="245"/>
        <v>0</v>
      </c>
      <c r="GJ21" s="230">
        <f t="shared" si="246"/>
        <v>0</v>
      </c>
      <c r="GK21" s="230">
        <f t="shared" si="247"/>
        <v>0</v>
      </c>
      <c r="GL21" s="230">
        <f t="shared" si="248"/>
        <v>0</v>
      </c>
      <c r="GM21" s="230">
        <f t="shared" si="249"/>
        <v>0</v>
      </c>
      <c r="GN21" s="230">
        <f t="shared" si="250"/>
        <v>0</v>
      </c>
      <c r="GO21" s="230">
        <f t="shared" si="251"/>
        <v>0</v>
      </c>
      <c r="GP21" s="230">
        <f t="shared" si="252"/>
        <v>0</v>
      </c>
      <c r="GQ21" s="230">
        <f t="shared" si="253"/>
        <v>0</v>
      </c>
      <c r="GR21" s="230">
        <f t="shared" si="254"/>
        <v>0</v>
      </c>
      <c r="GS21" s="230">
        <f t="shared" si="255"/>
        <v>0</v>
      </c>
      <c r="GT21" s="230">
        <f t="shared" si="256"/>
        <v>0</v>
      </c>
      <c r="GU21" s="230">
        <f t="shared" si="257"/>
        <v>0</v>
      </c>
      <c r="GV21" s="230">
        <f t="shared" si="258"/>
        <v>0</v>
      </c>
      <c r="GW21" s="230">
        <f t="shared" si="259"/>
        <v>0</v>
      </c>
      <c r="GX21" s="230">
        <f t="shared" si="260"/>
        <v>0</v>
      </c>
      <c r="GY21" s="230">
        <f t="shared" si="261"/>
        <v>0</v>
      </c>
      <c r="GZ21" s="230">
        <f t="shared" si="262"/>
        <v>0</v>
      </c>
      <c r="HA21" s="230">
        <f t="shared" si="263"/>
        <v>0</v>
      </c>
      <c r="HB21" s="230">
        <f t="shared" si="264"/>
        <v>0</v>
      </c>
      <c r="HC21" s="230">
        <f t="shared" si="265"/>
        <v>0</v>
      </c>
      <c r="HD21" s="230">
        <f t="shared" si="266"/>
        <v>0</v>
      </c>
      <c r="HE21" s="230">
        <f t="shared" si="267"/>
        <v>0</v>
      </c>
      <c r="HF21" s="230">
        <f t="shared" si="268"/>
        <v>0</v>
      </c>
      <c r="HG21" s="230">
        <f t="shared" si="269"/>
        <v>0</v>
      </c>
      <c r="HH21" s="230">
        <f t="shared" si="270"/>
        <v>0</v>
      </c>
      <c r="HI21" s="230">
        <f t="shared" si="271"/>
        <v>0</v>
      </c>
      <c r="HJ21" s="230">
        <f t="shared" si="272"/>
        <v>0</v>
      </c>
      <c r="HK21" s="230">
        <f t="shared" si="273"/>
        <v>0</v>
      </c>
      <c r="HL21" s="230">
        <f t="shared" si="274"/>
        <v>0</v>
      </c>
      <c r="HM21" s="230">
        <f t="shared" si="275"/>
        <v>0</v>
      </c>
      <c r="HN21" s="230">
        <f t="shared" si="276"/>
        <v>0</v>
      </c>
      <c r="HO21" s="230">
        <f t="shared" si="277"/>
        <v>0</v>
      </c>
      <c r="HP21" s="230" t="str">
        <f>INDEX(LabNameList,MATCH(LabId,LabIDList,0))</f>
        <v>Trung tâm Kiểm định và Chứng nhận 2</v>
      </c>
      <c r="HQ21" s="230">
        <f t="shared" si="278"/>
        <v>34</v>
      </c>
      <c r="HR21" s="230">
        <f t="shared" si="279"/>
        <v>0</v>
      </c>
      <c r="HS21" s="230">
        <f t="shared" si="280"/>
        <v>0</v>
      </c>
      <c r="HT21" s="230">
        <f t="shared" si="281"/>
        <v>0</v>
      </c>
      <c r="HU21" s="230">
        <f t="shared" si="282"/>
        <v>0</v>
      </c>
      <c r="HV21" s="230">
        <f t="shared" si="283"/>
        <v>0</v>
      </c>
      <c r="HW21" s="797">
        <f t="shared" si="284"/>
        <v>34</v>
      </c>
      <c r="HX21" s="797">
        <f>Input!EB21</f>
        <v>0</v>
      </c>
      <c r="HY21" s="230">
        <v>68</v>
      </c>
      <c r="HZ21" s="230"/>
      <c r="IA21" s="230"/>
      <c r="IB21" s="230"/>
      <c r="IC21" s="232" t="str">
        <f t="shared" si="285"/>
        <v>B01972230916TG05</v>
      </c>
      <c r="ID21" s="233" t="str">
        <f>Input!O21</f>
        <v>01972</v>
      </c>
      <c r="IE21" s="467" t="str">
        <f t="shared" si="286"/>
        <v>230916</v>
      </c>
      <c r="IF21" s="232" t="s">
        <v>364</v>
      </c>
      <c r="IG21" s="467" t="str">
        <f t="shared" si="287"/>
        <v>23/09/2016</v>
      </c>
      <c r="IH21" s="467" t="str">
        <f t="shared" si="288"/>
        <v>23/09/2021</v>
      </c>
      <c r="II21" s="546" t="str">
        <f> Input!R21</f>
        <v>23/09/2016</v>
      </c>
      <c r="IJ21" s="467">
        <f t="shared" si="289"/>
        <v>44462</v>
      </c>
      <c r="IK21" s="468">
        <f t="shared" si="290"/>
        <v>3</v>
      </c>
      <c r="IL21" s="469" t="str">
        <f t="shared" si="291"/>
        <v>3-1</v>
      </c>
      <c r="IM21" s="469" t="str">
        <f t="shared" si="292"/>
        <v>KHAC</v>
      </c>
      <c r="IN21" s="469" t="str">
        <f t="shared" si="293"/>
        <v>KHAC</v>
      </c>
      <c r="IO21" s="469" t="str">
        <f t="shared" si="294"/>
      </c>
      <c r="IP21" s="469" t="str">
        <f t="shared" si="295"/>
      </c>
      <c r="IQ21" s="469" t="str">
        <f t="shared" si="296"/>
      </c>
      <c r="IR21" s="469">
        <f t="shared" si="297"/>
        <v>1</v>
      </c>
      <c r="IS21" s="469">
        <f t="shared" si="298"/>
        <v>2</v>
      </c>
      <c r="IT21" s="469" t="str">
        <f t="shared" si="299"/>
        <v>Yes</v>
      </c>
      <c r="IU21" s="469" t="str">
        <f t="shared" si="300"/>
        <v>Yes</v>
      </c>
    </row>
    <row r="22" ht="63.75">
      <c r="A22" s="601">
        <f>Input!A22</f>
        <v>21</v>
      </c>
      <c r="B22" s="229" t="str">
        <f>INDEX(ApplicantIDList,MATCH(AI22,ApplicantNameList,0))</f>
        <v>VIETTEL-2016</v>
      </c>
      <c r="C22" s="229" t="str">
        <f>INDEX(OperatorIDList,MATCH(AJ22,OperatorNameList,0))</f>
        <v>VIETTEL-2016</v>
      </c>
      <c r="D22" s="797" t="str">
        <f>Input!Y22</f>
        <v>HCM2307</v>
      </c>
      <c r="E22" s="229" t="str">
        <f>Input!G22</f>
        <v>Số A1/6, đường Đoàn Nguyễn Tuân, xã Tân Quý Tây, huyện Bình Chánh, thành phố Hồ Chí Minh.</v>
      </c>
      <c r="F22" s="229" t="str">
        <f>TRIM(SUBSTITUTE(SUBSTITUTE(Input!H22,"Thành phố ",""),"Tỉnh ",""))</f>
        <v>Hồ Chí Minh</v>
      </c>
      <c r="G22" s="797" t="str">
        <f>Input!I22</f>
        <v>106,604385</v>
      </c>
      <c r="H22" s="797" t="str">
        <f>Input!J22</f>
        <v>10,660769</v>
      </c>
      <c r="I22" s="229">
        <f>Input!V22</f>
        <v>1</v>
      </c>
      <c r="J22" s="229" t="str">
        <f>Input!K22</f>
        <v>1502392/16/TG/TT2</v>
      </c>
      <c r="K22" s="231" t="str">
        <f>TEXT(Input!L22,"dd/mm/yyyy")</f>
        <v>23/09/2016</v>
      </c>
      <c r="L22" s="231" t="str">
        <f>TEXT(Input!M22,"dd/mm/yyyy")</f>
        <v>14/09/2016</v>
      </c>
      <c r="M22" s="229" t="str">
        <f t="shared" si="135"/>
        <v>TỔNG CÔNG TY MẠNG LƯỚI VIETTEL</v>
      </c>
      <c r="N22" s="229" t="str">
        <f t="shared" si="136"/>
        <v>HCM2307</v>
      </c>
      <c r="O22" s="229" t="str">
        <f t="shared" si="137"/>
        <v>HUAWEI DBS3900</v>
      </c>
      <c r="P22" s="229" t="str">
        <f t="shared" si="138"/>
        <v>3</v>
      </c>
      <c r="Q22" s="229" t="str">
        <f t="shared" si="139"/>
        <v>2/2/2</v>
      </c>
      <c r="R22" s="229" t="str">
        <f t="shared" si="140"/>
        <v>40W/ 40W/ 40W</v>
      </c>
      <c r="S22" s="229" t="str">
        <f t="shared" si="141"/>
        <v>2100</v>
      </c>
      <c r="T22" s="229" t="str">
        <f t="shared" si="142"/>
        <v>34m/ 34m/ 34m</v>
      </c>
      <c r="U22" s="229">
        <v>1</v>
      </c>
      <c r="V22" s="229"/>
      <c r="W22" s="229" t="b">
        <f t="shared" si="143"/>
        <v>1</v>
      </c>
      <c r="X22" s="229" t="b">
        <f>INDEX(TrueFalseList,_xlfn.IFNA(MATCH(Input!W22,CoKhongList,0),MATCH(Input!W22,YesNoList,0)))</f>
        <v>1</v>
      </c>
      <c r="Y22" s="797">
        <f>Input!FZ22</f>
        <v>1</v>
      </c>
      <c r="Z22" s="229" t="b">
        <v>1</v>
      </c>
      <c r="AA22" s="797">
        <f t="shared" si="144"/>
        <v>34</v>
      </c>
      <c r="AB22" s="229" t="b">
        <v>0</v>
      </c>
      <c r="AC22" s="229" t="b">
        <v>1</v>
      </c>
      <c r="AD22" s="229">
        <f>Input!DR22</f>
        <v>0</v>
      </c>
      <c r="AE22" s="229"/>
      <c r="AF22" s="229" t="str">
        <f>Options!$D$6</f>
        <v>VCC2</v>
      </c>
      <c r="AG22" s="229">
        <f t="shared" si="145"/>
        <v>0</v>
      </c>
      <c r="AH22" s="230"/>
      <c r="AI22" s="553" t="str">
        <f>Input!E22</f>
        <v>TỔNG CÔNG TY MẠNG LƯỚI VIETTEL</v>
      </c>
      <c r="AJ22" s="553" t="str">
        <f>Input!F22</f>
        <v>TỔNG CÔNG TY MẠNG LƯỚI VIETTEL</v>
      </c>
      <c r="AK22" s="229">
        <f t="shared" si="146"/>
        <v>4</v>
      </c>
      <c r="AL22" s="465" t="str">
        <f t="shared" si="147"/>
        <v>thành phố Hồ Chí Minh.</v>
      </c>
      <c r="AM22" s="465" t="str">
        <f t="shared" si="148"/>
        <v>huyện Bình Chánh</v>
      </c>
      <c r="AN22" s="465" t="str">
        <f t="shared" si="149"/>
        <v>xã Tân Quý Tây</v>
      </c>
      <c r="AO22" s="229" t="str">
        <f>INDEX(CityIDList,MATCH(F22,CityNameList,0))</f>
        <v>HCM</v>
      </c>
      <c r="AP22" s="230" t="str">
        <f>Input!X22</f>
        <v>TỔNG CÔNG TY MẠNG LƯỚI VIETTEL</v>
      </c>
      <c r="AQ22" s="230">
        <f>Input!AN22</f>
        <v>0</v>
      </c>
      <c r="AR22" s="230">
        <f>Input!BD22</f>
        <v>0</v>
      </c>
      <c r="AS22" s="230" t="str">
        <f>Input!BT22</f>
      </c>
      <c r="AT22" s="230" t="str">
        <f>Input!CH22</f>
      </c>
      <c r="AU22" s="230" t="str">
        <f>Input!CV22</f>
      </c>
      <c r="AV22" s="230" t="str">
        <f>IF(I22&gt;=1,INDEX(OperatorIDList,MATCH(AP22,OperatorNameList,0)),"")</f>
        <v>VIETTEL-2016</v>
      </c>
      <c r="AW22" s="230" t="str">
        <f>IF(I22&gt;=2,INDEX(OperatorIDList,MATCH(AQ22,OperatorNameList,0)),"")</f>
      </c>
      <c r="AX22" s="230" t="str">
        <f>IF(I22&gt;=3,INDEX(OperatorIDList,MATCH(AR22,OperatorNameList,0)),"")</f>
      </c>
      <c r="AY22" s="230" t="str">
        <f>IF(I22&gt;=4,INDEX(OperatorIDList,MATCH(AS22,OperatorNameList,0)),"")</f>
      </c>
      <c r="AZ22" s="230" t="str">
        <f>IF(I22&gt;=5,INDEX(OperatorIDList,MATCH(AT22,OperatorNameList,0)),"")</f>
      </c>
      <c r="BA22" s="230" t="str">
        <f>IF(I22&gt;=6,INDEX(OperatorIDList,MATCH(AU22,OperatorNameList,0)),"")</f>
      </c>
      <c r="BB22" s="230" t="str">
        <f t="shared" si="150"/>
        <v>VIETTEL-2016</v>
      </c>
      <c r="BC22" s="230" t="str">
        <f>Input!Y22</f>
        <v>HCM2307</v>
      </c>
      <c r="BD22" s="230">
        <f>Input!AO22</f>
        <v>0</v>
      </c>
      <c r="BE22" s="230">
        <f>Input!BE22</f>
        <v>0</v>
      </c>
      <c r="BF22" s="230" t="str">
        <f>Input!BU22</f>
      </c>
      <c r="BG22" s="230" t="str">
        <f>Input!CI22</f>
      </c>
      <c r="BH22" s="230" t="str">
        <f>Input!CW22</f>
      </c>
      <c r="BI22" s="230" t="str">
        <f>Input!Z22</f>
        <v>HUAWEI DBS3900</v>
      </c>
      <c r="BJ22" s="230">
        <f>Input!AP22</f>
        <v>0</v>
      </c>
      <c r="BK22" s="230">
        <f>Input!BF22</f>
        <v>0</v>
      </c>
      <c r="BL22" s="230" t="str">
        <f>Input!BV22</f>
      </c>
      <c r="BM22" s="230" t="str">
        <f>Input!CJ22</f>
      </c>
      <c r="BN22" s="230" t="str">
        <f>Input!CX22</f>
      </c>
      <c r="BO22" s="553">
        <f>IF(ISNUMBER(Input!AA22),Input!AA22,0)</f>
        <v>3</v>
      </c>
      <c r="BP22" s="553">
        <f>IF(ISNUMBER(Input!AQ22),Input!AQ22,0)</f>
        <v>0</v>
      </c>
      <c r="BQ22" s="553">
        <f>IF(ISNUMBER(Input!BG22),Input!BG22,0)</f>
        <v>0</v>
      </c>
      <c r="BR22" s="553">
        <f>IF(ISNUMBER(Input!BW22),Input!BW22,0)</f>
        <v>0</v>
      </c>
      <c r="BS22" s="553">
        <f>IF(ISNUMBER(Input!CK22),Input!CK22,0)</f>
        <v>0</v>
      </c>
      <c r="BT22" s="554">
        <f>IF(ISNUMBER(Input!CY22),Input!CY22,0)</f>
        <v>0</v>
      </c>
      <c r="BU22" s="230" t="str">
        <f>Input!AF22</f>
        <v>2/2/2</v>
      </c>
      <c r="BV22" s="230" t="str">
        <f>Input!AV22</f>
      </c>
      <c r="BW22" s="230" t="str">
        <f>Input!BL22</f>
      </c>
      <c r="BX22" s="230" t="str">
        <f>Input!CA22</f>
      </c>
      <c r="BY22" s="230" t="str">
        <f>Input!CO22</f>
      </c>
      <c r="BZ22" s="230" t="str">
        <f>Input!DC22</f>
      </c>
      <c r="CA22" s="230">
        <f t="shared" si="151"/>
        <v>2</v>
      </c>
      <c r="CB22" s="230">
        <f t="shared" si="152"/>
        <v>2</v>
      </c>
      <c r="CC22" s="230">
        <f t="shared" si="153"/>
        <v>2</v>
      </c>
      <c r="CD22" s="230">
        <f t="shared" si="154"/>
        <v>0</v>
      </c>
      <c r="CE22" s="230">
        <f t="shared" si="155"/>
        <v>0</v>
      </c>
      <c r="CF22" s="230">
        <f t="shared" si="156"/>
        <v>0</v>
      </c>
      <c r="CG22" s="230">
        <f t="shared" si="157"/>
        <v>0</v>
      </c>
      <c r="CH22" s="230">
        <f t="shared" si="158"/>
        <v>0</v>
      </c>
      <c r="CI22" s="230">
        <f t="shared" si="159"/>
        <v>0</v>
      </c>
      <c r="CJ22" s="230">
        <f t="shared" si="160"/>
        <v>0</v>
      </c>
      <c r="CK22" s="230">
        <f t="shared" si="161"/>
        <v>0</v>
      </c>
      <c r="CL22" s="230">
        <f t="shared" si="162"/>
        <v>0</v>
      </c>
      <c r="CM22" s="230">
        <f t="shared" si="163"/>
        <v>0</v>
      </c>
      <c r="CN22" s="230">
        <f t="shared" si="164"/>
        <v>0</v>
      </c>
      <c r="CO22" s="230">
        <f t="shared" si="165"/>
        <v>0</v>
      </c>
      <c r="CP22" s="230">
        <f t="shared" si="166"/>
        <v>0</v>
      </c>
      <c r="CQ22" s="230">
        <f t="shared" si="167"/>
        <v>0</v>
      </c>
      <c r="CR22" s="230">
        <f t="shared" si="168"/>
        <v>0</v>
      </c>
      <c r="CS22" s="230">
        <f t="shared" si="169"/>
        <v>0</v>
      </c>
      <c r="CT22" s="230">
        <f t="shared" si="170"/>
        <v>0</v>
      </c>
      <c r="CU22" s="230">
        <f t="shared" si="171"/>
        <v>0</v>
      </c>
      <c r="CV22" s="230">
        <f t="shared" si="172"/>
        <v>0</v>
      </c>
      <c r="CW22" s="230">
        <f t="shared" si="173"/>
        <v>0</v>
      </c>
      <c r="CX22" s="230">
        <f t="shared" si="174"/>
        <v>0</v>
      </c>
      <c r="CY22" s="230">
        <f t="shared" si="175"/>
        <v>0</v>
      </c>
      <c r="CZ22" s="230">
        <f t="shared" si="176"/>
        <v>0</v>
      </c>
      <c r="DA22" s="230">
        <f t="shared" si="177"/>
        <v>0</v>
      </c>
      <c r="DB22" s="230">
        <f t="shared" si="178"/>
        <v>0</v>
      </c>
      <c r="DC22" s="230">
        <f t="shared" si="179"/>
        <v>0</v>
      </c>
      <c r="DD22" s="230">
        <f t="shared" si="180"/>
        <v>0</v>
      </c>
      <c r="DE22" s="230">
        <f t="shared" si="181"/>
        <v>0</v>
      </c>
      <c r="DF22" s="230">
        <f t="shared" si="182"/>
        <v>0</v>
      </c>
      <c r="DG22" s="230">
        <f t="shared" si="183"/>
        <v>0</v>
      </c>
      <c r="DH22" s="230">
        <f t="shared" si="184"/>
        <v>0</v>
      </c>
      <c r="DI22" s="230">
        <f t="shared" si="185"/>
        <v>0</v>
      </c>
      <c r="DJ22" s="230">
        <f t="shared" si="186"/>
        <v>0</v>
      </c>
      <c r="DK22" s="230" t="str">
        <f>Input!AK22</f>
        <v>40,00W/40,00W/40,00W</v>
      </c>
      <c r="DL22" s="230" t="str">
        <f>Input!BA22</f>
      </c>
      <c r="DM22" s="230" t="str">
        <f>Input!BQ22</f>
      </c>
      <c r="DN22" s="230" t="str">
        <f>Input!CE22</f>
      </c>
      <c r="DO22" s="230" t="str">
        <f>Input!CS22</f>
      </c>
      <c r="DP22" s="230" t="str">
        <f>Input!DG22</f>
      </c>
      <c r="DQ22" s="230" t="str">
        <f t="shared" si="187"/>
        <v>40W/ 40W/ 40W</v>
      </c>
      <c r="DR22" s="230" t="str">
        <f t="shared" si="188"/>
      </c>
      <c r="DS22" s="230" t="str">
        <f t="shared" si="189"/>
      </c>
      <c r="DT22" s="230" t="str">
        <f t="shared" si="190"/>
      </c>
      <c r="DU22" s="230" t="str">
        <f t="shared" si="191"/>
      </c>
      <c r="DV22" s="230" t="str">
        <f t="shared" si="192"/>
      </c>
      <c r="DW22" s="230">
        <f t="shared" si="193"/>
        <v>40</v>
      </c>
      <c r="DX22" s="230">
        <f t="shared" si="194"/>
        <v>40</v>
      </c>
      <c r="DY22" s="230">
        <f t="shared" si="195"/>
        <v>40</v>
      </c>
      <c r="DZ22" s="230">
        <f t="shared" si="196"/>
        <v>0</v>
      </c>
      <c r="EA22" s="230">
        <f t="shared" si="197"/>
        <v>0</v>
      </c>
      <c r="EB22" s="230">
        <f t="shared" si="198"/>
        <v>0</v>
      </c>
      <c r="EC22" s="230">
        <f t="shared" si="199"/>
        <v>40</v>
      </c>
      <c r="ED22" s="230">
        <f t="shared" si="200"/>
        <v>0</v>
      </c>
      <c r="EE22" s="230">
        <f t="shared" si="201"/>
        <v>0</v>
      </c>
      <c r="EF22" s="230">
        <f t="shared" si="202"/>
        <v>0</v>
      </c>
      <c r="EG22" s="230">
        <f t="shared" si="203"/>
        <v>0</v>
      </c>
      <c r="EH22" s="230">
        <f t="shared" si="204"/>
        <v>0</v>
      </c>
      <c r="EI22" s="230">
        <f t="shared" si="205"/>
        <v>0</v>
      </c>
      <c r="EJ22" s="230">
        <f t="shared" si="206"/>
        <v>0</v>
      </c>
      <c r="EK22" s="230">
        <f t="shared" si="207"/>
        <v>0</v>
      </c>
      <c r="EL22" s="230">
        <f t="shared" si="208"/>
        <v>0</v>
      </c>
      <c r="EM22" s="230">
        <f t="shared" si="209"/>
        <v>0</v>
      </c>
      <c r="EN22" s="230">
        <f t="shared" si="210"/>
        <v>0</v>
      </c>
      <c r="EO22" s="230">
        <f t="shared" si="211"/>
        <v>0</v>
      </c>
      <c r="EP22" s="230">
        <f t="shared" si="212"/>
        <v>0</v>
      </c>
      <c r="EQ22" s="230">
        <f t="shared" si="213"/>
        <v>0</v>
      </c>
      <c r="ER22" s="230">
        <f t="shared" si="214"/>
        <v>0</v>
      </c>
      <c r="ES22" s="230">
        <f t="shared" si="215"/>
        <v>0</v>
      </c>
      <c r="ET22" s="230">
        <f t="shared" si="216"/>
        <v>0</v>
      </c>
      <c r="EU22" s="230">
        <f t="shared" si="217"/>
        <v>0</v>
      </c>
      <c r="EV22" s="230">
        <f t="shared" si="218"/>
        <v>0</v>
      </c>
      <c r="EW22" s="230">
        <f t="shared" si="219"/>
        <v>0</v>
      </c>
      <c r="EX22" s="230">
        <f t="shared" si="220"/>
        <v>0</v>
      </c>
      <c r="EY22" s="230">
        <f t="shared" si="221"/>
        <v>0</v>
      </c>
      <c r="EZ22" s="230">
        <f t="shared" si="222"/>
        <v>0</v>
      </c>
      <c r="FA22" s="230">
        <f t="shared" si="223"/>
        <v>0</v>
      </c>
      <c r="FB22" s="230">
        <f t="shared" si="224"/>
        <v>0</v>
      </c>
      <c r="FC22" s="230">
        <f t="shared" si="225"/>
        <v>0</v>
      </c>
      <c r="FD22" s="230">
        <f t="shared" si="226"/>
        <v>0</v>
      </c>
      <c r="FE22" s="230">
        <f t="shared" si="227"/>
        <v>0</v>
      </c>
      <c r="FF22" s="230">
        <f t="shared" si="228"/>
        <v>0</v>
      </c>
      <c r="FG22" s="230">
        <f t="shared" si="229"/>
        <v>0</v>
      </c>
      <c r="FH22" s="230">
        <f t="shared" si="230"/>
        <v>0</v>
      </c>
      <c r="FI22" s="230">
        <f t="shared" si="231"/>
        <v>0</v>
      </c>
      <c r="FJ22" s="230">
        <f t="shared" si="232"/>
        <v>0</v>
      </c>
      <c r="FK22" s="230">
        <f t="shared" si="233"/>
        <v>0</v>
      </c>
      <c r="FL22" s="230">
        <f t="shared" si="234"/>
        <v>0</v>
      </c>
      <c r="FM22" s="230">
        <f t="shared" si="235"/>
        <v>40</v>
      </c>
      <c r="FN22" s="230">
        <f>Input!AL22</f>
        <v>2100</v>
      </c>
      <c r="FO22" s="230">
        <f>Input!BB22</f>
        <v>0</v>
      </c>
      <c r="FP22" s="230">
        <f>Input!BR22</f>
        <v>0</v>
      </c>
      <c r="FQ22" s="230" t="str">
        <f>Input!CF22</f>
      </c>
      <c r="FR22" s="230" t="str">
        <f>Input!CT22</f>
      </c>
      <c r="FS22" s="230" t="str">
        <f>Input!DH22</f>
      </c>
      <c r="FT22" s="230" t="str">
        <f>Input!AM22</f>
        <v>34m/ 34m/ 34m</v>
      </c>
      <c r="FU22" s="230">
        <f>Input!BC22</f>
        <v>0</v>
      </c>
      <c r="FV22" s="230">
        <f>Input!BS22</f>
        <v>0</v>
      </c>
      <c r="FW22" s="230" t="str">
        <f>Input!CG22</f>
      </c>
      <c r="FX22" s="230" t="str">
        <f>Input!CU22</f>
      </c>
      <c r="FY22" s="230" t="str">
        <f>Input!DI22</f>
      </c>
      <c r="FZ22" s="230" t="str">
        <f t="shared" si="236"/>
        <v>34m/ 34m/ 34m</v>
      </c>
      <c r="GA22" s="230" t="str">
        <f t="shared" si="237"/>
      </c>
      <c r="GB22" s="230" t="str">
        <f t="shared" si="238"/>
      </c>
      <c r="GC22" s="230" t="str">
        <f t="shared" si="239"/>
      </c>
      <c r="GD22" s="230" t="str">
        <f t="shared" si="240"/>
      </c>
      <c r="GE22" s="230" t="str">
        <f t="shared" si="241"/>
      </c>
      <c r="GF22" s="230">
        <f t="shared" si="242"/>
        <v>34</v>
      </c>
      <c r="GG22" s="230">
        <f t="shared" si="243"/>
        <v>34</v>
      </c>
      <c r="GH22" s="230">
        <f t="shared" si="244"/>
        <v>34</v>
      </c>
      <c r="GI22" s="230">
        <f t="shared" si="245"/>
        <v>0</v>
      </c>
      <c r="GJ22" s="230">
        <f t="shared" si="246"/>
        <v>0</v>
      </c>
      <c r="GK22" s="230">
        <f t="shared" si="247"/>
        <v>0</v>
      </c>
      <c r="GL22" s="230">
        <f t="shared" si="248"/>
        <v>0</v>
      </c>
      <c r="GM22" s="230">
        <f t="shared" si="249"/>
        <v>0</v>
      </c>
      <c r="GN22" s="230">
        <f t="shared" si="250"/>
        <v>0</v>
      </c>
      <c r="GO22" s="230">
        <f t="shared" si="251"/>
        <v>0</v>
      </c>
      <c r="GP22" s="230">
        <f t="shared" si="252"/>
        <v>0</v>
      </c>
      <c r="GQ22" s="230">
        <f t="shared" si="253"/>
        <v>0</v>
      </c>
      <c r="GR22" s="230">
        <f t="shared" si="254"/>
        <v>0</v>
      </c>
      <c r="GS22" s="230">
        <f t="shared" si="255"/>
        <v>0</v>
      </c>
      <c r="GT22" s="230">
        <f t="shared" si="256"/>
        <v>0</v>
      </c>
      <c r="GU22" s="230">
        <f t="shared" si="257"/>
        <v>0</v>
      </c>
      <c r="GV22" s="230">
        <f t="shared" si="258"/>
        <v>0</v>
      </c>
      <c r="GW22" s="230">
        <f t="shared" si="259"/>
        <v>0</v>
      </c>
      <c r="GX22" s="230">
        <f t="shared" si="260"/>
        <v>0</v>
      </c>
      <c r="GY22" s="230">
        <f t="shared" si="261"/>
        <v>0</v>
      </c>
      <c r="GZ22" s="230">
        <f t="shared" si="262"/>
        <v>0</v>
      </c>
      <c r="HA22" s="230">
        <f t="shared" si="263"/>
        <v>0</v>
      </c>
      <c r="HB22" s="230">
        <f t="shared" si="264"/>
        <v>0</v>
      </c>
      <c r="HC22" s="230">
        <f t="shared" si="265"/>
        <v>0</v>
      </c>
      <c r="HD22" s="230">
        <f t="shared" si="266"/>
        <v>0</v>
      </c>
      <c r="HE22" s="230">
        <f t="shared" si="267"/>
        <v>0</v>
      </c>
      <c r="HF22" s="230">
        <f t="shared" si="268"/>
        <v>0</v>
      </c>
      <c r="HG22" s="230">
        <f t="shared" si="269"/>
        <v>0</v>
      </c>
      <c r="HH22" s="230">
        <f t="shared" si="270"/>
        <v>0</v>
      </c>
      <c r="HI22" s="230">
        <f t="shared" si="271"/>
        <v>0</v>
      </c>
      <c r="HJ22" s="230">
        <f t="shared" si="272"/>
        <v>0</v>
      </c>
      <c r="HK22" s="230">
        <f t="shared" si="273"/>
        <v>0</v>
      </c>
      <c r="HL22" s="230">
        <f t="shared" si="274"/>
        <v>0</v>
      </c>
      <c r="HM22" s="230">
        <f t="shared" si="275"/>
        <v>0</v>
      </c>
      <c r="HN22" s="230">
        <f t="shared" si="276"/>
        <v>0</v>
      </c>
      <c r="HO22" s="230">
        <f t="shared" si="277"/>
        <v>0</v>
      </c>
      <c r="HP22" s="230" t="str">
        <f>INDEX(LabNameList,MATCH(LabId,LabIDList,0))</f>
        <v>Trung tâm Kiểm định và Chứng nhận 2</v>
      </c>
      <c r="HQ22" s="230">
        <f t="shared" si="278"/>
        <v>34</v>
      </c>
      <c r="HR22" s="230">
        <f t="shared" si="279"/>
        <v>0</v>
      </c>
      <c r="HS22" s="230">
        <f t="shared" si="280"/>
        <v>0</v>
      </c>
      <c r="HT22" s="230">
        <f t="shared" si="281"/>
        <v>0</v>
      </c>
      <c r="HU22" s="230">
        <f t="shared" si="282"/>
        <v>0</v>
      </c>
      <c r="HV22" s="230">
        <f t="shared" si="283"/>
        <v>0</v>
      </c>
      <c r="HW22" s="797">
        <f t="shared" si="284"/>
        <v>34</v>
      </c>
      <c r="HX22" s="797">
        <f>Input!EB22</f>
        <v>0</v>
      </c>
      <c r="HY22" s="230">
        <v>68</v>
      </c>
      <c r="HZ22" s="230"/>
      <c r="IA22" s="230"/>
      <c r="IB22" s="230"/>
      <c r="IC22" s="232" t="str">
        <f t="shared" si="285"/>
        <v>B01973230916TG05</v>
      </c>
      <c r="ID22" s="233" t="str">
        <f>Input!O22</f>
        <v>01973</v>
      </c>
      <c r="IE22" s="467" t="str">
        <f t="shared" si="286"/>
        <v>230916</v>
      </c>
      <c r="IF22" s="232" t="s">
        <v>364</v>
      </c>
      <c r="IG22" s="467" t="str">
        <f t="shared" si="287"/>
        <v>23/09/2016</v>
      </c>
      <c r="IH22" s="467" t="str">
        <f t="shared" si="288"/>
        <v>23/09/2021</v>
      </c>
      <c r="II22" s="546" t="str">
        <f> Input!R22</f>
        <v>23/09/2016</v>
      </c>
      <c r="IJ22" s="467">
        <f t="shared" si="289"/>
        <v>44462</v>
      </c>
      <c r="IK22" s="468">
        <f t="shared" si="290"/>
        <v>3</v>
      </c>
      <c r="IL22" s="469" t="str">
        <f t="shared" si="291"/>
        <v>3-1</v>
      </c>
      <c r="IM22" s="469" t="str">
        <f t="shared" si="292"/>
        <v>KHAC</v>
      </c>
      <c r="IN22" s="469" t="str">
        <f t="shared" si="293"/>
        <v>KHAC</v>
      </c>
      <c r="IO22" s="469" t="str">
        <f t="shared" si="294"/>
      </c>
      <c r="IP22" s="469" t="str">
        <f t="shared" si="295"/>
      </c>
      <c r="IQ22" s="469" t="str">
        <f t="shared" si="296"/>
      </c>
      <c r="IR22" s="469">
        <f t="shared" si="297"/>
        <v>1</v>
      </c>
      <c r="IS22" s="469">
        <f t="shared" si="298"/>
        <v>2</v>
      </c>
      <c r="IT22" s="469" t="str">
        <f t="shared" si="299"/>
        <v>Yes</v>
      </c>
      <c r="IU22" s="469" t="str">
        <f t="shared" si="300"/>
        <v>Yes</v>
      </c>
    </row>
    <row r="23" ht="63.75">
      <c r="A23" s="601">
        <f>Input!A23</f>
        <v>22</v>
      </c>
      <c r="B23" s="229" t="str">
        <f>INDEX(ApplicantIDList,MATCH(AI23,ApplicantNameList,0))</f>
        <v>VIETTEL-2016</v>
      </c>
      <c r="C23" s="229" t="str">
        <f>INDEX(OperatorIDList,MATCH(AJ23,OperatorNameList,0))</f>
        <v>VIETTEL-2016</v>
      </c>
      <c r="D23" s="797" t="str">
        <f>Input!Y23</f>
        <v>HCM4012</v>
      </c>
      <c r="E23" s="229" t="str">
        <f>Input!G23</f>
        <v>Số C15/27H, đường Huỳnh Bá Chánh, ấp 3, xã Tân Kiên, huyện Bình Chánh, thành phố Hồ Chí Minh.</v>
      </c>
      <c r="F23" s="229" t="str">
        <f>TRIM(SUBSTITUTE(SUBSTITUTE(Input!H23,"Thành phố ",""),"Tỉnh ",""))</f>
        <v>Hồ Chí Minh</v>
      </c>
      <c r="G23" s="797" t="str">
        <f>Input!I23</f>
        <v>106,603218</v>
      </c>
      <c r="H23" s="797" t="str">
        <f>Input!J23</f>
        <v>10,708873</v>
      </c>
      <c r="I23" s="229">
        <f>Input!V23</f>
        <v>2</v>
      </c>
      <c r="J23" s="229" t="str">
        <f>Input!K23</f>
        <v>1502393/16/TG/TT2</v>
      </c>
      <c r="K23" s="231" t="str">
        <f>TEXT(Input!L23,"dd/mm/yyyy")</f>
        <v>23/09/2016</v>
      </c>
      <c r="L23" s="231" t="str">
        <f>TEXT(Input!M23,"dd/mm/yyyy")</f>
        <v>15/09/2016</v>
      </c>
      <c r="M23" s="229" t="str">
        <f t="shared" si="135"/>
        <v>TỔNG CÔNG TY MẠNG LƯỚI VIETTEL;TỔNG CÔNG TY MẠNG LƯỚI VIETTEL</v>
      </c>
      <c r="N23" s="229" t="str">
        <f t="shared" si="136"/>
        <v>HCM4012;HCM4012</v>
      </c>
      <c r="O23" s="229" t="str">
        <f t="shared" si="137"/>
        <v>HUAWEI DBS3900;HUAWEI DBS3900</v>
      </c>
      <c r="P23" s="229" t="str">
        <f t="shared" si="138"/>
        <v>3;3</v>
      </c>
      <c r="Q23" s="229" t="str">
        <f t="shared" si="139"/>
        <v>2/2/2;2/2/2</v>
      </c>
      <c r="R23" s="229" t="str">
        <f t="shared" si="140"/>
        <v>40W/ 40W/ 40W;40W/ 40W/ 40W</v>
      </c>
      <c r="S23" s="229" t="str">
        <f t="shared" si="141"/>
        <v>900;2100</v>
      </c>
      <c r="T23" s="229" t="str">
        <f t="shared" si="142"/>
        <v>23m/ 23m/ 23m;27m/ 27m/ 27m</v>
      </c>
      <c r="U23" s="229">
        <v>1</v>
      </c>
      <c r="V23" s="229"/>
      <c r="W23" s="229" t="b">
        <f t="shared" si="143"/>
        <v>0</v>
      </c>
      <c r="X23" s="229" t="b">
        <f>INDEX(TrueFalseList,_xlfn.IFNA(MATCH(Input!W23,CoKhongList,0),MATCH(Input!W23,YesNoList,0)))</f>
        <v>0</v>
      </c>
      <c r="Y23" s="797">
        <f>Input!FZ23</f>
        <v>0</v>
      </c>
      <c r="Z23" s="229" t="b">
        <v>1</v>
      </c>
      <c r="AA23" s="797">
        <f t="shared" si="144"/>
        <v>23</v>
      </c>
      <c r="AB23" s="229" t="b">
        <v>0</v>
      </c>
      <c r="AC23" s="229" t="b">
        <v>1</v>
      </c>
      <c r="AD23" s="229">
        <f>Input!DR23</f>
        <v>0</v>
      </c>
      <c r="AE23" s="229"/>
      <c r="AF23" s="229" t="str">
        <f>Options!$D$6</f>
        <v>VCC2</v>
      </c>
      <c r="AG23" s="229">
        <f t="shared" si="145"/>
        <v>0</v>
      </c>
      <c r="AH23" s="230"/>
      <c r="AI23" s="553" t="str">
        <f>Input!E23</f>
        <v>TỔNG CÔNG TY MẠNG LƯỚI VIETTEL</v>
      </c>
      <c r="AJ23" s="553" t="str">
        <f>Input!F23</f>
        <v>TỔNG CÔNG TY MẠNG LƯỚI VIETTEL</v>
      </c>
      <c r="AK23" s="229">
        <f t="shared" si="146"/>
        <v>5</v>
      </c>
      <c r="AL23" s="465" t="str">
        <f t="shared" si="147"/>
        <v>thành phố Hồ Chí Minh.</v>
      </c>
      <c r="AM23" s="465" t="str">
        <f t="shared" si="148"/>
        <v>huyện Bình Chánh</v>
      </c>
      <c r="AN23" s="465" t="str">
        <f t="shared" si="149"/>
        <v>xã Tân Kiên</v>
      </c>
      <c r="AO23" s="229" t="str">
        <f>INDEX(CityIDList,MATCH(F23,CityNameList,0))</f>
        <v>HCM</v>
      </c>
      <c r="AP23" s="230" t="str">
        <f>Input!X23</f>
        <v>TỔNG CÔNG TY MẠNG LƯỚI VIETTEL</v>
      </c>
      <c r="AQ23" s="230" t="str">
        <f>Input!AN23</f>
        <v>TỔNG CÔNG TY MẠNG LƯỚI VIETTEL</v>
      </c>
      <c r="AR23" s="230">
        <f>Input!BD23</f>
        <v>0</v>
      </c>
      <c r="AS23" s="230" t="str">
        <f>Input!BT23</f>
      </c>
      <c r="AT23" s="230" t="str">
        <f>Input!CH23</f>
      </c>
      <c r="AU23" s="230" t="str">
        <f>Input!CV23</f>
      </c>
      <c r="AV23" s="230" t="str">
        <f>IF(I23&gt;=1,INDEX(OperatorIDList,MATCH(AP23,OperatorNameList,0)),"")</f>
        <v>VIETTEL-2016</v>
      </c>
      <c r="AW23" s="230" t="str">
        <f>IF(I23&gt;=2,INDEX(OperatorIDList,MATCH(AQ23,OperatorNameList,0)),"")</f>
        <v>VIETTEL-2016</v>
      </c>
      <c r="AX23" s="230" t="str">
        <f>IF(I23&gt;=3,INDEX(OperatorIDList,MATCH(AR23,OperatorNameList,0)),"")</f>
      </c>
      <c r="AY23" s="230" t="str">
        <f>IF(I23&gt;=4,INDEX(OperatorIDList,MATCH(AS23,OperatorNameList,0)),"")</f>
      </c>
      <c r="AZ23" s="230" t="str">
        <f>IF(I23&gt;=5,INDEX(OperatorIDList,MATCH(AT23,OperatorNameList,0)),"")</f>
      </c>
      <c r="BA23" s="230" t="str">
        <f>IF(I23&gt;=6,INDEX(OperatorIDList,MATCH(AU23,OperatorNameList,0)),"")</f>
      </c>
      <c r="BB23" s="230" t="str">
        <f t="shared" si="150"/>
        <v>VIETTEL-2016;VIETTEL-2016</v>
      </c>
      <c r="BC23" s="230" t="str">
        <f>Input!Y23</f>
        <v>HCM4012</v>
      </c>
      <c r="BD23" s="230" t="str">
        <f>Input!AO23</f>
        <v>HCM4012</v>
      </c>
      <c r="BE23" s="230">
        <f>Input!BE23</f>
        <v>0</v>
      </c>
      <c r="BF23" s="230" t="str">
        <f>Input!BU23</f>
      </c>
      <c r="BG23" s="230" t="str">
        <f>Input!CI23</f>
      </c>
      <c r="BH23" s="230" t="str">
        <f>Input!CW23</f>
      </c>
      <c r="BI23" s="230" t="str">
        <f>Input!Z23</f>
        <v>HUAWEI DBS3900</v>
      </c>
      <c r="BJ23" s="230" t="str">
        <f>Input!AP23</f>
        <v>HUAWEI DBS3900</v>
      </c>
      <c r="BK23" s="230">
        <f>Input!BF23</f>
        <v>0</v>
      </c>
      <c r="BL23" s="230" t="str">
        <f>Input!BV23</f>
      </c>
      <c r="BM23" s="230" t="str">
        <f>Input!CJ23</f>
      </c>
      <c r="BN23" s="230" t="str">
        <f>Input!CX23</f>
      </c>
      <c r="BO23" s="553">
        <f>IF(ISNUMBER(Input!AA23),Input!AA23,0)</f>
        <v>3</v>
      </c>
      <c r="BP23" s="553">
        <f>IF(ISNUMBER(Input!AQ23),Input!AQ23,0)</f>
        <v>3</v>
      </c>
      <c r="BQ23" s="553">
        <f>IF(ISNUMBER(Input!BG23),Input!BG23,0)</f>
        <v>0</v>
      </c>
      <c r="BR23" s="553">
        <f>IF(ISNUMBER(Input!BW23),Input!BW23,0)</f>
        <v>0</v>
      </c>
      <c r="BS23" s="553">
        <f>IF(ISNUMBER(Input!CK23),Input!CK23,0)</f>
        <v>0</v>
      </c>
      <c r="BT23" s="554">
        <f>IF(ISNUMBER(Input!CY23),Input!CY23,0)</f>
        <v>0</v>
      </c>
      <c r="BU23" s="230" t="str">
        <f>Input!AF23</f>
        <v>2/2/2</v>
      </c>
      <c r="BV23" s="230" t="str">
        <f>Input!AV23</f>
        <v>2/2/2</v>
      </c>
      <c r="BW23" s="230" t="str">
        <f>Input!BL23</f>
      </c>
      <c r="BX23" s="230" t="str">
        <f>Input!CA23</f>
      </c>
      <c r="BY23" s="230" t="str">
        <f>Input!CO23</f>
      </c>
      <c r="BZ23" s="230" t="str">
        <f>Input!DC23</f>
      </c>
      <c r="CA23" s="230">
        <f t="shared" si="151"/>
        <v>2</v>
      </c>
      <c r="CB23" s="230">
        <f t="shared" si="152"/>
        <v>2</v>
      </c>
      <c r="CC23" s="230">
        <f t="shared" si="153"/>
        <v>2</v>
      </c>
      <c r="CD23" s="230">
        <f t="shared" si="154"/>
        <v>0</v>
      </c>
      <c r="CE23" s="230">
        <f t="shared" si="155"/>
        <v>0</v>
      </c>
      <c r="CF23" s="230">
        <f t="shared" si="156"/>
        <v>0</v>
      </c>
      <c r="CG23" s="230">
        <f t="shared" si="157"/>
        <v>2</v>
      </c>
      <c r="CH23" s="230">
        <f t="shared" si="158"/>
        <v>2</v>
      </c>
      <c r="CI23" s="230">
        <f t="shared" si="159"/>
        <v>2</v>
      </c>
      <c r="CJ23" s="230">
        <f t="shared" si="160"/>
        <v>0</v>
      </c>
      <c r="CK23" s="230">
        <f t="shared" si="161"/>
        <v>0</v>
      </c>
      <c r="CL23" s="230">
        <f t="shared" si="162"/>
        <v>0</v>
      </c>
      <c r="CM23" s="230">
        <f t="shared" si="163"/>
        <v>0</v>
      </c>
      <c r="CN23" s="230">
        <f t="shared" si="164"/>
        <v>0</v>
      </c>
      <c r="CO23" s="230">
        <f t="shared" si="165"/>
        <v>0</v>
      </c>
      <c r="CP23" s="230">
        <f t="shared" si="166"/>
        <v>0</v>
      </c>
      <c r="CQ23" s="230">
        <f t="shared" si="167"/>
        <v>0</v>
      </c>
      <c r="CR23" s="230">
        <f t="shared" si="168"/>
        <v>0</v>
      </c>
      <c r="CS23" s="230">
        <f t="shared" si="169"/>
        <v>0</v>
      </c>
      <c r="CT23" s="230">
        <f t="shared" si="170"/>
        <v>0</v>
      </c>
      <c r="CU23" s="230">
        <f t="shared" si="171"/>
        <v>0</v>
      </c>
      <c r="CV23" s="230">
        <f t="shared" si="172"/>
        <v>0</v>
      </c>
      <c r="CW23" s="230">
        <f t="shared" si="173"/>
        <v>0</v>
      </c>
      <c r="CX23" s="230">
        <f t="shared" si="174"/>
        <v>0</v>
      </c>
      <c r="CY23" s="230">
        <f t="shared" si="175"/>
        <v>0</v>
      </c>
      <c r="CZ23" s="230">
        <f t="shared" si="176"/>
        <v>0</v>
      </c>
      <c r="DA23" s="230">
        <f t="shared" si="177"/>
        <v>0</v>
      </c>
      <c r="DB23" s="230">
        <f t="shared" si="178"/>
        <v>0</v>
      </c>
      <c r="DC23" s="230">
        <f t="shared" si="179"/>
        <v>0</v>
      </c>
      <c r="DD23" s="230">
        <f t="shared" si="180"/>
        <v>0</v>
      </c>
      <c r="DE23" s="230">
        <f t="shared" si="181"/>
        <v>0</v>
      </c>
      <c r="DF23" s="230">
        <f t="shared" si="182"/>
        <v>0</v>
      </c>
      <c r="DG23" s="230">
        <f t="shared" si="183"/>
        <v>0</v>
      </c>
      <c r="DH23" s="230">
        <f t="shared" si="184"/>
        <v>0</v>
      </c>
      <c r="DI23" s="230">
        <f t="shared" si="185"/>
        <v>0</v>
      </c>
      <c r="DJ23" s="230">
        <f t="shared" si="186"/>
        <v>0</v>
      </c>
      <c r="DK23" s="230" t="str">
        <f>Input!AK23</f>
        <v>40,00W/40,00W/40,00W</v>
      </c>
      <c r="DL23" s="230" t="str">
        <f>Input!BA23</f>
        <v>40,00W/40,00W/40,00W</v>
      </c>
      <c r="DM23" s="230" t="str">
        <f>Input!BQ23</f>
      </c>
      <c r="DN23" s="230" t="str">
        <f>Input!CE23</f>
      </c>
      <c r="DO23" s="230" t="str">
        <f>Input!CS23</f>
      </c>
      <c r="DP23" s="230" t="str">
        <f>Input!DG23</f>
      </c>
      <c r="DQ23" s="230" t="str">
        <f t="shared" si="187"/>
        <v>40W/ 40W/ 40W</v>
      </c>
      <c r="DR23" s="230" t="str">
        <f t="shared" si="188"/>
        <v>40W/ 40W/ 40W</v>
      </c>
      <c r="DS23" s="230" t="str">
        <f t="shared" si="189"/>
      </c>
      <c r="DT23" s="230" t="str">
        <f t="shared" si="190"/>
      </c>
      <c r="DU23" s="230" t="str">
        <f t="shared" si="191"/>
      </c>
      <c r="DV23" s="230" t="str">
        <f t="shared" si="192"/>
      </c>
      <c r="DW23" s="230">
        <f t="shared" si="193"/>
        <v>40</v>
      </c>
      <c r="DX23" s="230">
        <f t="shared" si="194"/>
        <v>40</v>
      </c>
      <c r="DY23" s="230">
        <f t="shared" si="195"/>
        <v>40</v>
      </c>
      <c r="DZ23" s="230">
        <f t="shared" si="196"/>
        <v>0</v>
      </c>
      <c r="EA23" s="230">
        <f t="shared" si="197"/>
        <v>0</v>
      </c>
      <c r="EB23" s="230">
        <f t="shared" si="198"/>
        <v>0</v>
      </c>
      <c r="EC23" s="230">
        <f t="shared" si="199"/>
        <v>40</v>
      </c>
      <c r="ED23" s="230">
        <f t="shared" si="200"/>
        <v>40</v>
      </c>
      <c r="EE23" s="230">
        <f t="shared" si="201"/>
        <v>40</v>
      </c>
      <c r="EF23" s="230">
        <f t="shared" si="202"/>
        <v>40</v>
      </c>
      <c r="EG23" s="230">
        <f t="shared" si="203"/>
        <v>0</v>
      </c>
      <c r="EH23" s="230">
        <f t="shared" si="204"/>
        <v>0</v>
      </c>
      <c r="EI23" s="230">
        <f t="shared" si="205"/>
        <v>0</v>
      </c>
      <c r="EJ23" s="230">
        <f t="shared" si="206"/>
        <v>40</v>
      </c>
      <c r="EK23" s="230">
        <f t="shared" si="207"/>
        <v>0</v>
      </c>
      <c r="EL23" s="230">
        <f t="shared" si="208"/>
        <v>0</v>
      </c>
      <c r="EM23" s="230">
        <f t="shared" si="209"/>
        <v>0</v>
      </c>
      <c r="EN23" s="230">
        <f t="shared" si="210"/>
        <v>0</v>
      </c>
      <c r="EO23" s="230">
        <f t="shared" si="211"/>
        <v>0</v>
      </c>
      <c r="EP23" s="230">
        <f t="shared" si="212"/>
        <v>0</v>
      </c>
      <c r="EQ23" s="230">
        <f t="shared" si="213"/>
        <v>0</v>
      </c>
      <c r="ER23" s="230">
        <f t="shared" si="214"/>
        <v>0</v>
      </c>
      <c r="ES23" s="230">
        <f t="shared" si="215"/>
        <v>0</v>
      </c>
      <c r="ET23" s="230">
        <f t="shared" si="216"/>
        <v>0</v>
      </c>
      <c r="EU23" s="230">
        <f t="shared" si="217"/>
        <v>0</v>
      </c>
      <c r="EV23" s="230">
        <f t="shared" si="218"/>
        <v>0</v>
      </c>
      <c r="EW23" s="230">
        <f t="shared" si="219"/>
        <v>0</v>
      </c>
      <c r="EX23" s="230">
        <f t="shared" si="220"/>
        <v>0</v>
      </c>
      <c r="EY23" s="230">
        <f t="shared" si="221"/>
        <v>0</v>
      </c>
      <c r="EZ23" s="230">
        <f t="shared" si="222"/>
        <v>0</v>
      </c>
      <c r="FA23" s="230">
        <f t="shared" si="223"/>
        <v>0</v>
      </c>
      <c r="FB23" s="230">
        <f t="shared" si="224"/>
        <v>0</v>
      </c>
      <c r="FC23" s="230">
        <f t="shared" si="225"/>
        <v>0</v>
      </c>
      <c r="FD23" s="230">
        <f t="shared" si="226"/>
        <v>0</v>
      </c>
      <c r="FE23" s="230">
        <f t="shared" si="227"/>
        <v>0</v>
      </c>
      <c r="FF23" s="230">
        <f t="shared" si="228"/>
        <v>0</v>
      </c>
      <c r="FG23" s="230">
        <f t="shared" si="229"/>
        <v>0</v>
      </c>
      <c r="FH23" s="230">
        <f t="shared" si="230"/>
        <v>0</v>
      </c>
      <c r="FI23" s="230">
        <f t="shared" si="231"/>
        <v>0</v>
      </c>
      <c r="FJ23" s="230">
        <f t="shared" si="232"/>
        <v>0</v>
      </c>
      <c r="FK23" s="230">
        <f t="shared" si="233"/>
        <v>0</v>
      </c>
      <c r="FL23" s="230">
        <f t="shared" si="234"/>
        <v>0</v>
      </c>
      <c r="FM23" s="230">
        <f t="shared" si="235"/>
        <v>40</v>
      </c>
      <c r="FN23" s="230" t="str">
        <f>Input!AL23</f>
        <v>900</v>
      </c>
      <c r="FO23" s="230" t="str">
        <f>Input!BB23</f>
        <v>2100</v>
      </c>
      <c r="FP23" s="230">
        <f>Input!BR23</f>
        <v>0</v>
      </c>
      <c r="FQ23" s="230" t="str">
        <f>Input!CF23</f>
      </c>
      <c r="FR23" s="230" t="str">
        <f>Input!CT23</f>
      </c>
      <c r="FS23" s="230" t="str">
        <f>Input!DH23</f>
      </c>
      <c r="FT23" s="230" t="str">
        <f>Input!AM23</f>
        <v>23m/ 23m/ 23m</v>
      </c>
      <c r="FU23" s="230" t="str">
        <f>Input!BC23</f>
        <v>27m/ 27m/ 27m</v>
      </c>
      <c r="FV23" s="230">
        <f>Input!BS23</f>
        <v>0</v>
      </c>
      <c r="FW23" s="230" t="str">
        <f>Input!CG23</f>
      </c>
      <c r="FX23" s="230" t="str">
        <f>Input!CU23</f>
      </c>
      <c r="FY23" s="230" t="str">
        <f>Input!DI23</f>
      </c>
      <c r="FZ23" s="230" t="str">
        <f t="shared" si="236"/>
        <v>23m/ 23m/ 23m</v>
      </c>
      <c r="GA23" s="230" t="str">
        <f t="shared" si="237"/>
        <v>27m/ 27m/ 27m</v>
      </c>
      <c r="GB23" s="230" t="str">
        <f t="shared" si="238"/>
      </c>
      <c r="GC23" s="230" t="str">
        <f t="shared" si="239"/>
      </c>
      <c r="GD23" s="230" t="str">
        <f t="shared" si="240"/>
      </c>
      <c r="GE23" s="230" t="str">
        <f t="shared" si="241"/>
      </c>
      <c r="GF23" s="230">
        <f t="shared" si="242"/>
        <v>23</v>
      </c>
      <c r="GG23" s="230">
        <f t="shared" si="243"/>
        <v>23</v>
      </c>
      <c r="GH23" s="230">
        <f t="shared" si="244"/>
        <v>23</v>
      </c>
      <c r="GI23" s="230">
        <f t="shared" si="245"/>
        <v>0</v>
      </c>
      <c r="GJ23" s="230">
        <f t="shared" si="246"/>
        <v>0</v>
      </c>
      <c r="GK23" s="230">
        <f t="shared" si="247"/>
        <v>0</v>
      </c>
      <c r="GL23" s="230">
        <f t="shared" si="248"/>
        <v>27</v>
      </c>
      <c r="GM23" s="230">
        <f t="shared" si="249"/>
        <v>27</v>
      </c>
      <c r="GN23" s="230">
        <f t="shared" si="250"/>
        <v>27</v>
      </c>
      <c r="GO23" s="230">
        <f t="shared" si="251"/>
        <v>0</v>
      </c>
      <c r="GP23" s="230">
        <f t="shared" si="252"/>
        <v>0</v>
      </c>
      <c r="GQ23" s="230">
        <f t="shared" si="253"/>
        <v>0</v>
      </c>
      <c r="GR23" s="230">
        <f t="shared" si="254"/>
        <v>0</v>
      </c>
      <c r="GS23" s="230">
        <f t="shared" si="255"/>
        <v>0</v>
      </c>
      <c r="GT23" s="230">
        <f t="shared" si="256"/>
        <v>0</v>
      </c>
      <c r="GU23" s="230">
        <f t="shared" si="257"/>
        <v>0</v>
      </c>
      <c r="GV23" s="230">
        <f t="shared" si="258"/>
        <v>0</v>
      </c>
      <c r="GW23" s="230">
        <f t="shared" si="259"/>
        <v>0</v>
      </c>
      <c r="GX23" s="230">
        <f t="shared" si="260"/>
        <v>0</v>
      </c>
      <c r="GY23" s="230">
        <f t="shared" si="261"/>
        <v>0</v>
      </c>
      <c r="GZ23" s="230">
        <f t="shared" si="262"/>
        <v>0</v>
      </c>
      <c r="HA23" s="230">
        <f t="shared" si="263"/>
        <v>0</v>
      </c>
      <c r="HB23" s="230">
        <f t="shared" si="264"/>
        <v>0</v>
      </c>
      <c r="HC23" s="230">
        <f t="shared" si="265"/>
        <v>0</v>
      </c>
      <c r="HD23" s="230">
        <f t="shared" si="266"/>
        <v>0</v>
      </c>
      <c r="HE23" s="230">
        <f t="shared" si="267"/>
        <v>0</v>
      </c>
      <c r="HF23" s="230">
        <f t="shared" si="268"/>
        <v>0</v>
      </c>
      <c r="HG23" s="230">
        <f t="shared" si="269"/>
        <v>0</v>
      </c>
      <c r="HH23" s="230">
        <f t="shared" si="270"/>
        <v>0</v>
      </c>
      <c r="HI23" s="230">
        <f t="shared" si="271"/>
        <v>0</v>
      </c>
      <c r="HJ23" s="230">
        <f t="shared" si="272"/>
        <v>0</v>
      </c>
      <c r="HK23" s="230">
        <f t="shared" si="273"/>
        <v>0</v>
      </c>
      <c r="HL23" s="230">
        <f t="shared" si="274"/>
        <v>0</v>
      </c>
      <c r="HM23" s="230">
        <f t="shared" si="275"/>
        <v>0</v>
      </c>
      <c r="HN23" s="230">
        <f t="shared" si="276"/>
        <v>0</v>
      </c>
      <c r="HO23" s="230">
        <f t="shared" si="277"/>
        <v>0</v>
      </c>
      <c r="HP23" s="230" t="str">
        <f>INDEX(LabNameList,MATCH(LabId,LabIDList,0))</f>
        <v>Trung tâm Kiểm định và Chứng nhận 2</v>
      </c>
      <c r="HQ23" s="230">
        <f t="shared" si="278"/>
        <v>23</v>
      </c>
      <c r="HR23" s="230">
        <f t="shared" si="279"/>
        <v>27</v>
      </c>
      <c r="HS23" s="230">
        <f t="shared" si="280"/>
        <v>0</v>
      </c>
      <c r="HT23" s="230">
        <f t="shared" si="281"/>
        <v>0</v>
      </c>
      <c r="HU23" s="230">
        <f t="shared" si="282"/>
        <v>0</v>
      </c>
      <c r="HV23" s="230">
        <f t="shared" si="283"/>
        <v>0</v>
      </c>
      <c r="HW23" s="797">
        <f t="shared" si="284"/>
        <v>23</v>
      </c>
      <c r="HX23" s="797">
        <f>Input!EB23</f>
        <v>0</v>
      </c>
      <c r="HY23" s="230">
        <v>68</v>
      </c>
      <c r="HZ23" s="230"/>
      <c r="IA23" s="230"/>
      <c r="IB23" s="230"/>
      <c r="IC23" s="232" t="str">
        <f t="shared" si="285"/>
        <v>B01974230916TG05</v>
      </c>
      <c r="ID23" s="233" t="str">
        <f>Input!O23</f>
        <v>01974</v>
      </c>
      <c r="IE23" s="467" t="str">
        <f t="shared" si="286"/>
        <v>230916</v>
      </c>
      <c r="IF23" s="232" t="s">
        <v>364</v>
      </c>
      <c r="IG23" s="467" t="str">
        <f t="shared" si="287"/>
        <v>23/09/2016</v>
      </c>
      <c r="IH23" s="467" t="str">
        <f t="shared" si="288"/>
        <v>23/09/2021</v>
      </c>
      <c r="II23" s="546" t="str">
        <f> Input!R23</f>
        <v>23/09/2016</v>
      </c>
      <c r="IJ23" s="467">
        <f t="shared" si="289"/>
        <v>44462</v>
      </c>
      <c r="IK23" s="468">
        <f t="shared" si="290"/>
        <v>3</v>
      </c>
      <c r="IL23" s="469" t="str">
        <f t="shared" si="291"/>
        <v>3-2</v>
      </c>
      <c r="IM23" s="469" t="str">
        <f t="shared" si="292"/>
        <v>CHUNG</v>
      </c>
      <c r="IN23" s="469" t="str">
        <f t="shared" si="293"/>
        <v>KHAC</v>
      </c>
      <c r="IO23" s="469" t="str">
        <f t="shared" si="294"/>
      </c>
      <c r="IP23" s="469" t="str">
        <f t="shared" si="295"/>
      </c>
      <c r="IQ23" s="469" t="str">
        <f t="shared" si="296"/>
      </c>
      <c r="IR23" s="469">
        <f t="shared" si="297"/>
        <v>2</v>
      </c>
      <c r="IS23" s="469">
        <f t="shared" si="298"/>
        <v>1</v>
      </c>
      <c r="IT23" s="469" t="str">
        <f t="shared" si="299"/>
        <v>Yes</v>
      </c>
      <c r="IU23" s="469" t="str">
        <f t="shared" si="300"/>
        <v>Yes</v>
      </c>
    </row>
    <row r="24" ht="63.75">
      <c r="A24" s="601">
        <f>Input!A24</f>
        <v>23</v>
      </c>
      <c r="B24" s="229" t="str">
        <f>INDEX(ApplicantIDList,MATCH(AI24,ApplicantNameList,0))</f>
        <v>VIETTEL-2016</v>
      </c>
      <c r="C24" s="229" t="str">
        <f>INDEX(OperatorIDList,MATCH(AJ24,OperatorNameList,0))</f>
        <v>VIETTEL-2016</v>
      </c>
      <c r="D24" s="797" t="str">
        <f>Input!Y24</f>
        <v>HCM4491</v>
      </c>
      <c r="E24" s="229" t="str">
        <f>Input!G24</f>
        <v>Số 100, đường số 5, khu dân cư ấp 5, xã Phong Phú, huyện Bình Chánh, thành phố Hồ Chí Minh.</v>
      </c>
      <c r="F24" s="229" t="str">
        <f>TRIM(SUBSTITUTE(SUBSTITUTE(Input!H24,"Thành phố ",""),"Tỉnh ",""))</f>
        <v>Hồ Chí Minh</v>
      </c>
      <c r="G24" s="797" t="str">
        <f>Input!I24</f>
        <v>106,646347</v>
      </c>
      <c r="H24" s="797" t="str">
        <f>Input!J24</f>
        <v>10,724739</v>
      </c>
      <c r="I24" s="229">
        <f>Input!V24</f>
        <v>1</v>
      </c>
      <c r="J24" s="229" t="str">
        <f>Input!K24</f>
        <v>1502394/16/TG/TT2</v>
      </c>
      <c r="K24" s="231" t="str">
        <f>TEXT(Input!L24,"dd/mm/yyyy")</f>
        <v>23/09/2016</v>
      </c>
      <c r="L24" s="231" t="str">
        <f>TEXT(Input!M24,"dd/mm/yyyy")</f>
        <v>15/09/2016</v>
      </c>
      <c r="M24" s="229" t="str">
        <f t="shared" si="135"/>
        <v>TỔNG CÔNG TY MẠNG LƯỚI VIETTEL</v>
      </c>
      <c r="N24" s="229" t="str">
        <f t="shared" si="136"/>
        <v>HCM4491</v>
      </c>
      <c r="O24" s="229" t="str">
        <f t="shared" si="137"/>
        <v>HUAWEI DBS3900</v>
      </c>
      <c r="P24" s="229" t="str">
        <f t="shared" si="138"/>
        <v>3</v>
      </c>
      <c r="Q24" s="229" t="str">
        <f t="shared" si="139"/>
        <v>2/2/2</v>
      </c>
      <c r="R24" s="229" t="str">
        <f t="shared" si="140"/>
        <v>40W/ 40W/ 40W</v>
      </c>
      <c r="S24" s="229" t="str">
        <f t="shared" si="141"/>
        <v>2100</v>
      </c>
      <c r="T24" s="229" t="str">
        <f t="shared" si="142"/>
        <v>31m/ 31m/ 31m</v>
      </c>
      <c r="U24" s="229">
        <v>1</v>
      </c>
      <c r="V24" s="229"/>
      <c r="W24" s="229" t="b">
        <f t="shared" si="143"/>
        <v>0</v>
      </c>
      <c r="X24" s="229" t="b">
        <f>INDEX(TrueFalseList,_xlfn.IFNA(MATCH(Input!W24,CoKhongList,0),MATCH(Input!W24,YesNoList,0)))</f>
        <v>0</v>
      </c>
      <c r="Y24" s="797">
        <f>Input!FZ24</f>
        <v>0</v>
      </c>
      <c r="Z24" s="229" t="b">
        <v>1</v>
      </c>
      <c r="AA24" s="797">
        <f t="shared" si="144"/>
        <v>31</v>
      </c>
      <c r="AB24" s="229" t="b">
        <v>0</v>
      </c>
      <c r="AC24" s="229" t="b">
        <v>1</v>
      </c>
      <c r="AD24" s="229">
        <f>Input!DR24</f>
        <v>0</v>
      </c>
      <c r="AE24" s="229"/>
      <c r="AF24" s="229" t="str">
        <f>Options!$D$6</f>
        <v>VCC2</v>
      </c>
      <c r="AG24" s="229">
        <f t="shared" si="145"/>
        <v>0</v>
      </c>
      <c r="AH24" s="230"/>
      <c r="AI24" s="553" t="str">
        <f>Input!E24</f>
        <v>TỔNG CÔNG TY MẠNG LƯỚI VIETTEL</v>
      </c>
      <c r="AJ24" s="553" t="str">
        <f>Input!F24</f>
        <v>TỔNG CÔNG TY MẠNG LƯỚI VIETTEL</v>
      </c>
      <c r="AK24" s="229">
        <f t="shared" si="146"/>
        <v>5</v>
      </c>
      <c r="AL24" s="465" t="str">
        <f t="shared" si="147"/>
        <v>thành phố Hồ Chí Minh.</v>
      </c>
      <c r="AM24" s="465" t="str">
        <f t="shared" si="148"/>
        <v>huyện Bình Chánh</v>
      </c>
      <c r="AN24" s="465" t="str">
        <f t="shared" si="149"/>
        <v>xã Phong Phú</v>
      </c>
      <c r="AO24" s="229" t="str">
        <f>INDEX(CityIDList,MATCH(F24,CityNameList,0))</f>
        <v>HCM</v>
      </c>
      <c r="AP24" s="230" t="str">
        <f>Input!X24</f>
        <v>TỔNG CÔNG TY MẠNG LƯỚI VIETTEL</v>
      </c>
      <c r="AQ24" s="230">
        <f>Input!AN24</f>
        <v>0</v>
      </c>
      <c r="AR24" s="230">
        <f>Input!BD24</f>
        <v>0</v>
      </c>
      <c r="AS24" s="230" t="str">
        <f>Input!BT24</f>
      </c>
      <c r="AT24" s="230" t="str">
        <f>Input!CH24</f>
      </c>
      <c r="AU24" s="230" t="str">
        <f>Input!CV24</f>
      </c>
      <c r="AV24" s="230" t="str">
        <f>IF(I24&gt;=1,INDEX(OperatorIDList,MATCH(AP24,OperatorNameList,0)),"")</f>
        <v>VIETTEL-2016</v>
      </c>
      <c r="AW24" s="230" t="str">
        <f>IF(I24&gt;=2,INDEX(OperatorIDList,MATCH(AQ24,OperatorNameList,0)),"")</f>
      </c>
      <c r="AX24" s="230" t="str">
        <f>IF(I24&gt;=3,INDEX(OperatorIDList,MATCH(AR24,OperatorNameList,0)),"")</f>
      </c>
      <c r="AY24" s="230" t="str">
        <f>IF(I24&gt;=4,INDEX(OperatorIDList,MATCH(AS24,OperatorNameList,0)),"")</f>
      </c>
      <c r="AZ24" s="230" t="str">
        <f>IF(I24&gt;=5,INDEX(OperatorIDList,MATCH(AT24,OperatorNameList,0)),"")</f>
      </c>
      <c r="BA24" s="230" t="str">
        <f>IF(I24&gt;=6,INDEX(OperatorIDList,MATCH(AU24,OperatorNameList,0)),"")</f>
      </c>
      <c r="BB24" s="230" t="str">
        <f t="shared" si="150"/>
        <v>VIETTEL-2016</v>
      </c>
      <c r="BC24" s="230" t="str">
        <f>Input!Y24</f>
        <v>HCM4491</v>
      </c>
      <c r="BD24" s="230">
        <f>Input!AO24</f>
        <v>0</v>
      </c>
      <c r="BE24" s="230">
        <f>Input!BE24</f>
        <v>0</v>
      </c>
      <c r="BF24" s="230" t="str">
        <f>Input!BU24</f>
      </c>
      <c r="BG24" s="230" t="str">
        <f>Input!CI24</f>
      </c>
      <c r="BH24" s="230" t="str">
        <f>Input!CW24</f>
      </c>
      <c r="BI24" s="230" t="str">
        <f>Input!Z24</f>
        <v>HUAWEI DBS3900</v>
      </c>
      <c r="BJ24" s="230">
        <f>Input!AP24</f>
        <v>0</v>
      </c>
      <c r="BK24" s="230">
        <f>Input!BF24</f>
        <v>0</v>
      </c>
      <c r="BL24" s="230" t="str">
        <f>Input!BV24</f>
      </c>
      <c r="BM24" s="230" t="str">
        <f>Input!CJ24</f>
      </c>
      <c r="BN24" s="230" t="str">
        <f>Input!CX24</f>
      </c>
      <c r="BO24" s="553">
        <f>IF(ISNUMBER(Input!AA24),Input!AA24,0)</f>
        <v>3</v>
      </c>
      <c r="BP24" s="553">
        <f>IF(ISNUMBER(Input!AQ24),Input!AQ24,0)</f>
        <v>0</v>
      </c>
      <c r="BQ24" s="553">
        <f>IF(ISNUMBER(Input!BG24),Input!BG24,0)</f>
        <v>0</v>
      </c>
      <c r="BR24" s="553">
        <f>IF(ISNUMBER(Input!BW24),Input!BW24,0)</f>
        <v>0</v>
      </c>
      <c r="BS24" s="553">
        <f>IF(ISNUMBER(Input!CK24),Input!CK24,0)</f>
        <v>0</v>
      </c>
      <c r="BT24" s="554">
        <f>IF(ISNUMBER(Input!CY24),Input!CY24,0)</f>
        <v>0</v>
      </c>
      <c r="BU24" s="230" t="str">
        <f>Input!AF24</f>
        <v>2/2/2</v>
      </c>
      <c r="BV24" s="230" t="str">
        <f>Input!AV24</f>
      </c>
      <c r="BW24" s="230" t="str">
        <f>Input!BL24</f>
      </c>
      <c r="BX24" s="230" t="str">
        <f>Input!CA24</f>
      </c>
      <c r="BY24" s="230" t="str">
        <f>Input!CO24</f>
      </c>
      <c r="BZ24" s="230" t="str">
        <f>Input!DC24</f>
      </c>
      <c r="CA24" s="230">
        <f t="shared" si="151"/>
        <v>2</v>
      </c>
      <c r="CB24" s="230">
        <f t="shared" si="152"/>
        <v>2</v>
      </c>
      <c r="CC24" s="230">
        <f t="shared" si="153"/>
        <v>2</v>
      </c>
      <c r="CD24" s="230">
        <f t="shared" si="154"/>
        <v>0</v>
      </c>
      <c r="CE24" s="230">
        <f t="shared" si="155"/>
        <v>0</v>
      </c>
      <c r="CF24" s="230">
        <f t="shared" si="156"/>
        <v>0</v>
      </c>
      <c r="CG24" s="230">
        <f t="shared" si="157"/>
        <v>0</v>
      </c>
      <c r="CH24" s="230">
        <f t="shared" si="158"/>
        <v>0</v>
      </c>
      <c r="CI24" s="230">
        <f t="shared" si="159"/>
        <v>0</v>
      </c>
      <c r="CJ24" s="230">
        <f t="shared" si="160"/>
        <v>0</v>
      </c>
      <c r="CK24" s="230">
        <f t="shared" si="161"/>
        <v>0</v>
      </c>
      <c r="CL24" s="230">
        <f t="shared" si="162"/>
        <v>0</v>
      </c>
      <c r="CM24" s="230">
        <f t="shared" si="163"/>
        <v>0</v>
      </c>
      <c r="CN24" s="230">
        <f t="shared" si="164"/>
        <v>0</v>
      </c>
      <c r="CO24" s="230">
        <f t="shared" si="165"/>
        <v>0</v>
      </c>
      <c r="CP24" s="230">
        <f t="shared" si="166"/>
        <v>0</v>
      </c>
      <c r="CQ24" s="230">
        <f t="shared" si="167"/>
        <v>0</v>
      </c>
      <c r="CR24" s="230">
        <f t="shared" si="168"/>
        <v>0</v>
      </c>
      <c r="CS24" s="230">
        <f t="shared" si="169"/>
        <v>0</v>
      </c>
      <c r="CT24" s="230">
        <f t="shared" si="170"/>
        <v>0</v>
      </c>
      <c r="CU24" s="230">
        <f t="shared" si="171"/>
        <v>0</v>
      </c>
      <c r="CV24" s="230">
        <f t="shared" si="172"/>
        <v>0</v>
      </c>
      <c r="CW24" s="230">
        <f t="shared" si="173"/>
        <v>0</v>
      </c>
      <c r="CX24" s="230">
        <f t="shared" si="174"/>
        <v>0</v>
      </c>
      <c r="CY24" s="230">
        <f t="shared" si="175"/>
        <v>0</v>
      </c>
      <c r="CZ24" s="230">
        <f t="shared" si="176"/>
        <v>0</v>
      </c>
      <c r="DA24" s="230">
        <f t="shared" si="177"/>
        <v>0</v>
      </c>
      <c r="DB24" s="230">
        <f t="shared" si="178"/>
        <v>0</v>
      </c>
      <c r="DC24" s="230">
        <f t="shared" si="179"/>
        <v>0</v>
      </c>
      <c r="DD24" s="230">
        <f t="shared" si="180"/>
        <v>0</v>
      </c>
      <c r="DE24" s="230">
        <f t="shared" si="181"/>
        <v>0</v>
      </c>
      <c r="DF24" s="230">
        <f t="shared" si="182"/>
        <v>0</v>
      </c>
      <c r="DG24" s="230">
        <f t="shared" si="183"/>
        <v>0</v>
      </c>
      <c r="DH24" s="230">
        <f t="shared" si="184"/>
        <v>0</v>
      </c>
      <c r="DI24" s="230">
        <f t="shared" si="185"/>
        <v>0</v>
      </c>
      <c r="DJ24" s="230">
        <f t="shared" si="186"/>
        <v>0</v>
      </c>
      <c r="DK24" s="230" t="str">
        <f>Input!AK24</f>
        <v>40,00W/40,00W/40,00W</v>
      </c>
      <c r="DL24" s="230" t="str">
        <f>Input!BA24</f>
      </c>
      <c r="DM24" s="230" t="str">
        <f>Input!BQ24</f>
      </c>
      <c r="DN24" s="230" t="str">
        <f>Input!CE24</f>
      </c>
      <c r="DO24" s="230" t="str">
        <f>Input!CS24</f>
      </c>
      <c r="DP24" s="230" t="str">
        <f>Input!DG24</f>
      </c>
      <c r="DQ24" s="230" t="str">
        <f t="shared" si="187"/>
        <v>40W/ 40W/ 40W</v>
      </c>
      <c r="DR24" s="230" t="str">
        <f t="shared" si="188"/>
      </c>
      <c r="DS24" s="230" t="str">
        <f t="shared" si="189"/>
      </c>
      <c r="DT24" s="230" t="str">
        <f t="shared" si="190"/>
      </c>
      <c r="DU24" s="230" t="str">
        <f t="shared" si="191"/>
      </c>
      <c r="DV24" s="230" t="str">
        <f t="shared" si="192"/>
      </c>
      <c r="DW24" s="230">
        <f t="shared" si="193"/>
        <v>40</v>
      </c>
      <c r="DX24" s="230">
        <f t="shared" si="194"/>
        <v>40</v>
      </c>
      <c r="DY24" s="230">
        <f t="shared" si="195"/>
        <v>40</v>
      </c>
      <c r="DZ24" s="230">
        <f t="shared" si="196"/>
        <v>0</v>
      </c>
      <c r="EA24" s="230">
        <f t="shared" si="197"/>
        <v>0</v>
      </c>
      <c r="EB24" s="230">
        <f t="shared" si="198"/>
        <v>0</v>
      </c>
      <c r="EC24" s="230">
        <f t="shared" si="199"/>
        <v>40</v>
      </c>
      <c r="ED24" s="230">
        <f t="shared" si="200"/>
        <v>0</v>
      </c>
      <c r="EE24" s="230">
        <f t="shared" si="201"/>
        <v>0</v>
      </c>
      <c r="EF24" s="230">
        <f t="shared" si="202"/>
        <v>0</v>
      </c>
      <c r="EG24" s="230">
        <f t="shared" si="203"/>
        <v>0</v>
      </c>
      <c r="EH24" s="230">
        <f t="shared" si="204"/>
        <v>0</v>
      </c>
      <c r="EI24" s="230">
        <f t="shared" si="205"/>
        <v>0</v>
      </c>
      <c r="EJ24" s="230">
        <f t="shared" si="206"/>
        <v>0</v>
      </c>
      <c r="EK24" s="230">
        <f t="shared" si="207"/>
        <v>0</v>
      </c>
      <c r="EL24" s="230">
        <f t="shared" si="208"/>
        <v>0</v>
      </c>
      <c r="EM24" s="230">
        <f t="shared" si="209"/>
        <v>0</v>
      </c>
      <c r="EN24" s="230">
        <f t="shared" si="210"/>
        <v>0</v>
      </c>
      <c r="EO24" s="230">
        <f t="shared" si="211"/>
        <v>0</v>
      </c>
      <c r="EP24" s="230">
        <f t="shared" si="212"/>
        <v>0</v>
      </c>
      <c r="EQ24" s="230">
        <f t="shared" si="213"/>
        <v>0</v>
      </c>
      <c r="ER24" s="230">
        <f t="shared" si="214"/>
        <v>0</v>
      </c>
      <c r="ES24" s="230">
        <f t="shared" si="215"/>
        <v>0</v>
      </c>
      <c r="ET24" s="230">
        <f t="shared" si="216"/>
        <v>0</v>
      </c>
      <c r="EU24" s="230">
        <f t="shared" si="217"/>
        <v>0</v>
      </c>
      <c r="EV24" s="230">
        <f t="shared" si="218"/>
        <v>0</v>
      </c>
      <c r="EW24" s="230">
        <f t="shared" si="219"/>
        <v>0</v>
      </c>
      <c r="EX24" s="230">
        <f t="shared" si="220"/>
        <v>0</v>
      </c>
      <c r="EY24" s="230">
        <f t="shared" si="221"/>
        <v>0</v>
      </c>
      <c r="EZ24" s="230">
        <f t="shared" si="222"/>
        <v>0</v>
      </c>
      <c r="FA24" s="230">
        <f t="shared" si="223"/>
        <v>0</v>
      </c>
      <c r="FB24" s="230">
        <f t="shared" si="224"/>
        <v>0</v>
      </c>
      <c r="FC24" s="230">
        <f t="shared" si="225"/>
        <v>0</v>
      </c>
      <c r="FD24" s="230">
        <f t="shared" si="226"/>
        <v>0</v>
      </c>
      <c r="FE24" s="230">
        <f t="shared" si="227"/>
        <v>0</v>
      </c>
      <c r="FF24" s="230">
        <f t="shared" si="228"/>
        <v>0</v>
      </c>
      <c r="FG24" s="230">
        <f t="shared" si="229"/>
        <v>0</v>
      </c>
      <c r="FH24" s="230">
        <f t="shared" si="230"/>
        <v>0</v>
      </c>
      <c r="FI24" s="230">
        <f t="shared" si="231"/>
        <v>0</v>
      </c>
      <c r="FJ24" s="230">
        <f t="shared" si="232"/>
        <v>0</v>
      </c>
      <c r="FK24" s="230">
        <f t="shared" si="233"/>
        <v>0</v>
      </c>
      <c r="FL24" s="230">
        <f t="shared" si="234"/>
        <v>0</v>
      </c>
      <c r="FM24" s="230">
        <f t="shared" si="235"/>
        <v>40</v>
      </c>
      <c r="FN24" s="230">
        <f>Input!AL24</f>
        <v>2100</v>
      </c>
      <c r="FO24" s="230">
        <f>Input!BB24</f>
        <v>0</v>
      </c>
      <c r="FP24" s="230">
        <f>Input!BR24</f>
        <v>0</v>
      </c>
      <c r="FQ24" s="230" t="str">
        <f>Input!CF24</f>
      </c>
      <c r="FR24" s="230" t="str">
        <f>Input!CT24</f>
      </c>
      <c r="FS24" s="230" t="str">
        <f>Input!DH24</f>
      </c>
      <c r="FT24" s="230" t="str">
        <f>Input!AM24</f>
        <v>31m/ 31m/ 31m</v>
      </c>
      <c r="FU24" s="230">
        <f>Input!BC24</f>
        <v>0</v>
      </c>
      <c r="FV24" s="230">
        <f>Input!BS24</f>
        <v>0</v>
      </c>
      <c r="FW24" s="230" t="str">
        <f>Input!CG24</f>
      </c>
      <c r="FX24" s="230" t="str">
        <f>Input!CU24</f>
      </c>
      <c r="FY24" s="230" t="str">
        <f>Input!DI24</f>
      </c>
      <c r="FZ24" s="230" t="str">
        <f t="shared" si="236"/>
        <v>31m/ 31m/ 31m</v>
      </c>
      <c r="GA24" s="230" t="str">
        <f t="shared" si="237"/>
      </c>
      <c r="GB24" s="230" t="str">
        <f t="shared" si="238"/>
      </c>
      <c r="GC24" s="230" t="str">
        <f t="shared" si="239"/>
      </c>
      <c r="GD24" s="230" t="str">
        <f t="shared" si="240"/>
      </c>
      <c r="GE24" s="230" t="str">
        <f t="shared" si="241"/>
      </c>
      <c r="GF24" s="230">
        <f t="shared" si="242"/>
        <v>31</v>
      </c>
      <c r="GG24" s="230">
        <f t="shared" si="243"/>
        <v>31</v>
      </c>
      <c r="GH24" s="230">
        <f t="shared" si="244"/>
        <v>31</v>
      </c>
      <c r="GI24" s="230">
        <f t="shared" si="245"/>
        <v>0</v>
      </c>
      <c r="GJ24" s="230">
        <f t="shared" si="246"/>
        <v>0</v>
      </c>
      <c r="GK24" s="230">
        <f t="shared" si="247"/>
        <v>0</v>
      </c>
      <c r="GL24" s="230">
        <f t="shared" si="248"/>
        <v>0</v>
      </c>
      <c r="GM24" s="230">
        <f t="shared" si="249"/>
        <v>0</v>
      </c>
      <c r="GN24" s="230">
        <f t="shared" si="250"/>
        <v>0</v>
      </c>
      <c r="GO24" s="230">
        <f t="shared" si="251"/>
        <v>0</v>
      </c>
      <c r="GP24" s="230">
        <f t="shared" si="252"/>
        <v>0</v>
      </c>
      <c r="GQ24" s="230">
        <f t="shared" si="253"/>
        <v>0</v>
      </c>
      <c r="GR24" s="230">
        <f t="shared" si="254"/>
        <v>0</v>
      </c>
      <c r="GS24" s="230">
        <f t="shared" si="255"/>
        <v>0</v>
      </c>
      <c r="GT24" s="230">
        <f t="shared" si="256"/>
        <v>0</v>
      </c>
      <c r="GU24" s="230">
        <f t="shared" si="257"/>
        <v>0</v>
      </c>
      <c r="GV24" s="230">
        <f t="shared" si="258"/>
        <v>0</v>
      </c>
      <c r="GW24" s="230">
        <f t="shared" si="259"/>
        <v>0</v>
      </c>
      <c r="GX24" s="230">
        <f t="shared" si="260"/>
        <v>0</v>
      </c>
      <c r="GY24" s="230">
        <f t="shared" si="261"/>
        <v>0</v>
      </c>
      <c r="GZ24" s="230">
        <f t="shared" si="262"/>
        <v>0</v>
      </c>
      <c r="HA24" s="230">
        <f t="shared" si="263"/>
        <v>0</v>
      </c>
      <c r="HB24" s="230">
        <f t="shared" si="264"/>
        <v>0</v>
      </c>
      <c r="HC24" s="230">
        <f t="shared" si="265"/>
        <v>0</v>
      </c>
      <c r="HD24" s="230">
        <f t="shared" si="266"/>
        <v>0</v>
      </c>
      <c r="HE24" s="230">
        <f t="shared" si="267"/>
        <v>0</v>
      </c>
      <c r="HF24" s="230">
        <f t="shared" si="268"/>
        <v>0</v>
      </c>
      <c r="HG24" s="230">
        <f t="shared" si="269"/>
        <v>0</v>
      </c>
      <c r="HH24" s="230">
        <f t="shared" si="270"/>
        <v>0</v>
      </c>
      <c r="HI24" s="230">
        <f t="shared" si="271"/>
        <v>0</v>
      </c>
      <c r="HJ24" s="230">
        <f t="shared" si="272"/>
        <v>0</v>
      </c>
      <c r="HK24" s="230">
        <f t="shared" si="273"/>
        <v>0</v>
      </c>
      <c r="HL24" s="230">
        <f t="shared" si="274"/>
        <v>0</v>
      </c>
      <c r="HM24" s="230">
        <f t="shared" si="275"/>
        <v>0</v>
      </c>
      <c r="HN24" s="230">
        <f t="shared" si="276"/>
        <v>0</v>
      </c>
      <c r="HO24" s="230">
        <f t="shared" si="277"/>
        <v>0</v>
      </c>
      <c r="HP24" s="230" t="str">
        <f>INDEX(LabNameList,MATCH(LabId,LabIDList,0))</f>
        <v>Trung tâm Kiểm định và Chứng nhận 2</v>
      </c>
      <c r="HQ24" s="230">
        <f t="shared" si="278"/>
        <v>31</v>
      </c>
      <c r="HR24" s="230">
        <f t="shared" si="279"/>
        <v>0</v>
      </c>
      <c r="HS24" s="230">
        <f t="shared" si="280"/>
        <v>0</v>
      </c>
      <c r="HT24" s="230">
        <f t="shared" si="281"/>
        <v>0</v>
      </c>
      <c r="HU24" s="230">
        <f t="shared" si="282"/>
        <v>0</v>
      </c>
      <c r="HV24" s="230">
        <f t="shared" si="283"/>
        <v>0</v>
      </c>
      <c r="HW24" s="797">
        <f t="shared" si="284"/>
        <v>31</v>
      </c>
      <c r="HX24" s="797">
        <f>Input!EB24</f>
        <v>0</v>
      </c>
      <c r="HY24" s="230">
        <v>68</v>
      </c>
      <c r="HZ24" s="230"/>
      <c r="IA24" s="230"/>
      <c r="IB24" s="230"/>
      <c r="IC24" s="232" t="str">
        <f t="shared" si="285"/>
        <v>B01975230916TG05</v>
      </c>
      <c r="ID24" s="233" t="str">
        <f>Input!O24</f>
        <v>01975</v>
      </c>
      <c r="IE24" s="467" t="str">
        <f t="shared" si="286"/>
        <v>230916</v>
      </c>
      <c r="IF24" s="232" t="s">
        <v>364</v>
      </c>
      <c r="IG24" s="467" t="str">
        <f t="shared" si="287"/>
        <v>23/09/2016</v>
      </c>
      <c r="IH24" s="467" t="str">
        <f t="shared" si="288"/>
        <v>23/09/2021</v>
      </c>
      <c r="II24" s="546" t="str">
        <f> Input!R24</f>
        <v>23/09/2016</v>
      </c>
      <c r="IJ24" s="467">
        <f t="shared" si="289"/>
        <v>44462</v>
      </c>
      <c r="IK24" s="468">
        <f t="shared" si="290"/>
        <v>3</v>
      </c>
      <c r="IL24" s="469" t="str">
        <f t="shared" si="291"/>
        <v>3-1</v>
      </c>
      <c r="IM24" s="469" t="str">
        <f t="shared" si="292"/>
        <v>KHAC</v>
      </c>
      <c r="IN24" s="469" t="str">
        <f t="shared" si="293"/>
        <v>KHAC</v>
      </c>
      <c r="IO24" s="469" t="str">
        <f t="shared" si="294"/>
      </c>
      <c r="IP24" s="469" t="str">
        <f t="shared" si="295"/>
      </c>
      <c r="IQ24" s="469" t="str">
        <f t="shared" si="296"/>
      </c>
      <c r="IR24" s="469">
        <f t="shared" si="297"/>
        <v>1</v>
      </c>
      <c r="IS24" s="469">
        <f t="shared" si="298"/>
        <v>2</v>
      </c>
      <c r="IT24" s="469" t="str">
        <f t="shared" si="299"/>
        <v>Yes</v>
      </c>
      <c r="IU24" s="469" t="str">
        <f t="shared" si="300"/>
        <v>Yes</v>
      </c>
    </row>
    <row r="25" ht="63.75">
      <c r="A25" s="601">
        <f>Input!A25</f>
        <v>24</v>
      </c>
      <c r="B25" s="229" t="str">
        <f>INDEX(ApplicantIDList,MATCH(AI25,ApplicantNameList,0))</f>
        <v>VIETTEL-2016</v>
      </c>
      <c r="C25" s="229" t="str">
        <f>INDEX(OperatorIDList,MATCH(AJ25,OperatorNameList,0))</f>
        <v>VIETTEL-2016</v>
      </c>
      <c r="D25" s="797" t="str">
        <f>Input!Y25</f>
        <v>HCM785B</v>
      </c>
      <c r="E25" s="229" t="str">
        <f>Input!G25</f>
        <v>Ấp 1, xã Tân Nhật, huyện Bình Chánh, thành phố Hồ Chí Minh.</v>
      </c>
      <c r="F25" s="229" t="str">
        <f>TRIM(SUBSTITUTE(SUBSTITUTE(Input!H25,"Thành phố ",""),"Tỉnh ",""))</f>
        <v>Hồ Chí Minh</v>
      </c>
      <c r="G25" s="797" t="str">
        <f>Input!I25</f>
        <v>106,53625</v>
      </c>
      <c r="H25" s="797" t="str">
        <f>Input!J25</f>
        <v>10,72206</v>
      </c>
      <c r="I25" s="229">
        <f>Input!V25</f>
        <v>2</v>
      </c>
      <c r="J25" s="229" t="str">
        <f>Input!K25</f>
        <v>1502395/16/TG/TT2</v>
      </c>
      <c r="K25" s="231" t="str">
        <f>TEXT(Input!L25,"dd/mm/yyyy")</f>
        <v>23/09/2016</v>
      </c>
      <c r="L25" s="231" t="str">
        <f>TEXT(Input!M25,"dd/mm/yyyy")</f>
        <v>15/09/2016</v>
      </c>
      <c r="M25" s="229" t="str">
        <f t="shared" si="135"/>
        <v>TỔNG CÔNG TY MẠNG LƯỚI VIETTEL;TỔNG CÔNG TY MẠNG LƯỚI VIETTEL</v>
      </c>
      <c r="N25" s="229" t="str">
        <f t="shared" si="136"/>
        <v>HCM785B;HCM785B</v>
      </c>
      <c r="O25" s="229" t="str">
        <f t="shared" si="137"/>
        <v>HUAWEI DBS3900;HUAWEI DBS3900</v>
      </c>
      <c r="P25" s="229" t="str">
        <f t="shared" si="138"/>
        <v>3;3</v>
      </c>
      <c r="Q25" s="229" t="str">
        <f t="shared" si="139"/>
        <v>4/4/4;2/2/2</v>
      </c>
      <c r="R25" s="229" t="str">
        <f t="shared" si="140"/>
        <v>20W/ 20W/ 20W;40W/ 40W/ 40W</v>
      </c>
      <c r="S25" s="229" t="str">
        <f t="shared" si="141"/>
        <v>900;2100</v>
      </c>
      <c r="T25" s="229" t="str">
        <f t="shared" si="142"/>
        <v>33m/ 33m/ 33m;40m/ 40m/ 40m</v>
      </c>
      <c r="U25" s="229">
        <v>1</v>
      </c>
      <c r="V25" s="229"/>
      <c r="W25" s="229" t="b">
        <f t="shared" si="143"/>
        <v>1</v>
      </c>
      <c r="X25" s="229" t="b">
        <f>INDEX(TrueFalseList,_xlfn.IFNA(MATCH(Input!W25,CoKhongList,0),MATCH(Input!W25,YesNoList,0)))</f>
        <v>1</v>
      </c>
      <c r="Y25" s="797">
        <f>Input!FZ25</f>
        <v>1</v>
      </c>
      <c r="Z25" s="229" t="b">
        <v>1</v>
      </c>
      <c r="AA25" s="797">
        <f t="shared" si="144"/>
        <v>33</v>
      </c>
      <c r="AB25" s="229" t="b">
        <v>0</v>
      </c>
      <c r="AC25" s="229" t="b">
        <v>1</v>
      </c>
      <c r="AD25" s="229">
        <f>Input!DR25</f>
        <v>0</v>
      </c>
      <c r="AE25" s="229"/>
      <c r="AF25" s="229" t="str">
        <f>Options!$D$6</f>
        <v>VCC2</v>
      </c>
      <c r="AG25" s="229">
        <f t="shared" si="145"/>
        <v>0</v>
      </c>
      <c r="AH25" s="230"/>
      <c r="AI25" s="553" t="str">
        <f>Input!E25</f>
        <v>TỔNG CÔNG TY MẠNG LƯỚI VIETTEL</v>
      </c>
      <c r="AJ25" s="553" t="str">
        <f>Input!F25</f>
        <v>TỔNG CÔNG TY MẠNG LƯỚI VIETTEL</v>
      </c>
      <c r="AK25" s="229">
        <f t="shared" si="146"/>
        <v>3</v>
      </c>
      <c r="AL25" s="465" t="str">
        <f t="shared" si="147"/>
        <v>thành phố Hồ Chí Minh.</v>
      </c>
      <c r="AM25" s="465" t="str">
        <f t="shared" si="148"/>
        <v>huyện Bình Chánh</v>
      </c>
      <c r="AN25" s="465" t="str">
        <f t="shared" si="149"/>
        <v>xã Tân Nhật</v>
      </c>
      <c r="AO25" s="229" t="str">
        <f>INDEX(CityIDList,MATCH(F25,CityNameList,0))</f>
        <v>HCM</v>
      </c>
      <c r="AP25" s="230" t="str">
        <f>Input!X25</f>
        <v>TỔNG CÔNG TY MẠNG LƯỚI VIETTEL</v>
      </c>
      <c r="AQ25" s="230" t="str">
        <f>Input!AN25</f>
        <v>TỔNG CÔNG TY MẠNG LƯỚI VIETTEL</v>
      </c>
      <c r="AR25" s="230">
        <f>Input!BD25</f>
        <v>0</v>
      </c>
      <c r="AS25" s="230" t="str">
        <f>Input!BT25</f>
      </c>
      <c r="AT25" s="230" t="str">
        <f>Input!CH25</f>
      </c>
      <c r="AU25" s="230" t="str">
        <f>Input!CV25</f>
      </c>
      <c r="AV25" s="230" t="str">
        <f>IF(I25&gt;=1,INDEX(OperatorIDList,MATCH(AP25,OperatorNameList,0)),"")</f>
        <v>VIETTEL-2016</v>
      </c>
      <c r="AW25" s="230" t="str">
        <f>IF(I25&gt;=2,INDEX(OperatorIDList,MATCH(AQ25,OperatorNameList,0)),"")</f>
        <v>VIETTEL-2016</v>
      </c>
      <c r="AX25" s="230" t="str">
        <f>IF(I25&gt;=3,INDEX(OperatorIDList,MATCH(AR25,OperatorNameList,0)),"")</f>
      </c>
      <c r="AY25" s="230" t="str">
        <f>IF(I25&gt;=4,INDEX(OperatorIDList,MATCH(AS25,OperatorNameList,0)),"")</f>
      </c>
      <c r="AZ25" s="230" t="str">
        <f>IF(I25&gt;=5,INDEX(OperatorIDList,MATCH(AT25,OperatorNameList,0)),"")</f>
      </c>
      <c r="BA25" s="230" t="str">
        <f>IF(I25&gt;=6,INDEX(OperatorIDList,MATCH(AU25,OperatorNameList,0)),"")</f>
      </c>
      <c r="BB25" s="230" t="str">
        <f t="shared" si="150"/>
        <v>VIETTEL-2016;VIETTEL-2016</v>
      </c>
      <c r="BC25" s="230" t="str">
        <f>Input!Y25</f>
        <v>HCM785B</v>
      </c>
      <c r="BD25" s="230" t="str">
        <f>Input!AO25</f>
        <v>HCM785B</v>
      </c>
      <c r="BE25" s="230">
        <f>Input!BE25</f>
        <v>0</v>
      </c>
      <c r="BF25" s="230" t="str">
        <f>Input!BU25</f>
      </c>
      <c r="BG25" s="230" t="str">
        <f>Input!CI25</f>
      </c>
      <c r="BH25" s="230" t="str">
        <f>Input!CW25</f>
      </c>
      <c r="BI25" s="230" t="str">
        <f>Input!Z25</f>
        <v>HUAWEI DBS3900</v>
      </c>
      <c r="BJ25" s="230" t="str">
        <f>Input!AP25</f>
        <v>HUAWEI DBS3900</v>
      </c>
      <c r="BK25" s="230">
        <f>Input!BF25</f>
        <v>0</v>
      </c>
      <c r="BL25" s="230" t="str">
        <f>Input!BV25</f>
      </c>
      <c r="BM25" s="230" t="str">
        <f>Input!CJ25</f>
      </c>
      <c r="BN25" s="230" t="str">
        <f>Input!CX25</f>
      </c>
      <c r="BO25" s="553">
        <f>IF(ISNUMBER(Input!AA25),Input!AA25,0)</f>
        <v>3</v>
      </c>
      <c r="BP25" s="553">
        <f>IF(ISNUMBER(Input!AQ25),Input!AQ25,0)</f>
        <v>3</v>
      </c>
      <c r="BQ25" s="553">
        <f>IF(ISNUMBER(Input!BG25),Input!BG25,0)</f>
        <v>0</v>
      </c>
      <c r="BR25" s="553">
        <f>IF(ISNUMBER(Input!BW25),Input!BW25,0)</f>
        <v>0</v>
      </c>
      <c r="BS25" s="553">
        <f>IF(ISNUMBER(Input!CK25),Input!CK25,0)</f>
        <v>0</v>
      </c>
      <c r="BT25" s="554">
        <f>IF(ISNUMBER(Input!CY25),Input!CY25,0)</f>
        <v>0</v>
      </c>
      <c r="BU25" s="230" t="str">
        <f>Input!AF25</f>
        <v>4/4/4</v>
      </c>
      <c r="BV25" s="230" t="str">
        <f>Input!AV25</f>
        <v>2/2/2</v>
      </c>
      <c r="BW25" s="230" t="str">
        <f>Input!BL25</f>
      </c>
      <c r="BX25" s="230" t="str">
        <f>Input!CA25</f>
      </c>
      <c r="BY25" s="230" t="str">
        <f>Input!CO25</f>
      </c>
      <c r="BZ25" s="230" t="str">
        <f>Input!DC25</f>
      </c>
      <c r="CA25" s="230">
        <f t="shared" si="151"/>
        <v>4</v>
      </c>
      <c r="CB25" s="230">
        <f t="shared" si="152"/>
        <v>4</v>
      </c>
      <c r="CC25" s="230">
        <f t="shared" si="153"/>
        <v>4</v>
      </c>
      <c r="CD25" s="230">
        <f t="shared" si="154"/>
        <v>0</v>
      </c>
      <c r="CE25" s="230">
        <f t="shared" si="155"/>
        <v>0</v>
      </c>
      <c r="CF25" s="230">
        <f t="shared" si="156"/>
        <v>0</v>
      </c>
      <c r="CG25" s="230">
        <f t="shared" si="157"/>
        <v>2</v>
      </c>
      <c r="CH25" s="230">
        <f t="shared" si="158"/>
        <v>2</v>
      </c>
      <c r="CI25" s="230">
        <f t="shared" si="159"/>
        <v>2</v>
      </c>
      <c r="CJ25" s="230">
        <f t="shared" si="160"/>
        <v>0</v>
      </c>
      <c r="CK25" s="230">
        <f t="shared" si="161"/>
        <v>0</v>
      </c>
      <c r="CL25" s="230">
        <f t="shared" si="162"/>
        <v>0</v>
      </c>
      <c r="CM25" s="230">
        <f t="shared" si="163"/>
        <v>0</v>
      </c>
      <c r="CN25" s="230">
        <f t="shared" si="164"/>
        <v>0</v>
      </c>
      <c r="CO25" s="230">
        <f t="shared" si="165"/>
        <v>0</v>
      </c>
      <c r="CP25" s="230">
        <f t="shared" si="166"/>
        <v>0</v>
      </c>
      <c r="CQ25" s="230">
        <f t="shared" si="167"/>
        <v>0</v>
      </c>
      <c r="CR25" s="230">
        <f t="shared" si="168"/>
        <v>0</v>
      </c>
      <c r="CS25" s="230">
        <f t="shared" si="169"/>
        <v>0</v>
      </c>
      <c r="CT25" s="230">
        <f t="shared" si="170"/>
        <v>0</v>
      </c>
      <c r="CU25" s="230">
        <f t="shared" si="171"/>
        <v>0</v>
      </c>
      <c r="CV25" s="230">
        <f t="shared" si="172"/>
        <v>0</v>
      </c>
      <c r="CW25" s="230">
        <f t="shared" si="173"/>
        <v>0</v>
      </c>
      <c r="CX25" s="230">
        <f t="shared" si="174"/>
        <v>0</v>
      </c>
      <c r="CY25" s="230">
        <f t="shared" si="175"/>
        <v>0</v>
      </c>
      <c r="CZ25" s="230">
        <f t="shared" si="176"/>
        <v>0</v>
      </c>
      <c r="DA25" s="230">
        <f t="shared" si="177"/>
        <v>0</v>
      </c>
      <c r="DB25" s="230">
        <f t="shared" si="178"/>
        <v>0</v>
      </c>
      <c r="DC25" s="230">
        <f t="shared" si="179"/>
        <v>0</v>
      </c>
      <c r="DD25" s="230">
        <f t="shared" si="180"/>
        <v>0</v>
      </c>
      <c r="DE25" s="230">
        <f t="shared" si="181"/>
        <v>0</v>
      </c>
      <c r="DF25" s="230">
        <f t="shared" si="182"/>
        <v>0</v>
      </c>
      <c r="DG25" s="230">
        <f t="shared" si="183"/>
        <v>0</v>
      </c>
      <c r="DH25" s="230">
        <f t="shared" si="184"/>
        <v>0</v>
      </c>
      <c r="DI25" s="230">
        <f t="shared" si="185"/>
        <v>0</v>
      </c>
      <c r="DJ25" s="230">
        <f t="shared" si="186"/>
        <v>0</v>
      </c>
      <c r="DK25" s="230" t="str">
        <f>Input!AK25</f>
        <v>20,00W/20,00W/20,00W</v>
      </c>
      <c r="DL25" s="230" t="str">
        <f>Input!BA25</f>
        <v>40,00W/40,00W/40,00W</v>
      </c>
      <c r="DM25" s="230" t="str">
        <f>Input!BQ25</f>
      </c>
      <c r="DN25" s="230" t="str">
        <f>Input!CE25</f>
      </c>
      <c r="DO25" s="230" t="str">
        <f>Input!CS25</f>
      </c>
      <c r="DP25" s="230" t="str">
        <f>Input!DG25</f>
      </c>
      <c r="DQ25" s="230" t="str">
        <f t="shared" si="187"/>
        <v>20W/ 20W/ 20W</v>
      </c>
      <c r="DR25" s="230" t="str">
        <f t="shared" si="188"/>
        <v>40W/ 40W/ 40W</v>
      </c>
      <c r="DS25" s="230" t="str">
        <f t="shared" si="189"/>
      </c>
      <c r="DT25" s="230" t="str">
        <f t="shared" si="190"/>
      </c>
      <c r="DU25" s="230" t="str">
        <f t="shared" si="191"/>
      </c>
      <c r="DV25" s="230" t="str">
        <f t="shared" si="192"/>
      </c>
      <c r="DW25" s="230">
        <f t="shared" si="193"/>
        <v>20</v>
      </c>
      <c r="DX25" s="230">
        <f t="shared" si="194"/>
        <v>20</v>
      </c>
      <c r="DY25" s="230">
        <f t="shared" si="195"/>
        <v>20</v>
      </c>
      <c r="DZ25" s="230">
        <f t="shared" si="196"/>
        <v>0</v>
      </c>
      <c r="EA25" s="230">
        <f t="shared" si="197"/>
        <v>0</v>
      </c>
      <c r="EB25" s="230">
        <f t="shared" si="198"/>
        <v>0</v>
      </c>
      <c r="EC25" s="230">
        <f t="shared" si="199"/>
        <v>20</v>
      </c>
      <c r="ED25" s="230">
        <f t="shared" si="200"/>
        <v>40</v>
      </c>
      <c r="EE25" s="230">
        <f t="shared" si="201"/>
        <v>40</v>
      </c>
      <c r="EF25" s="230">
        <f t="shared" si="202"/>
        <v>40</v>
      </c>
      <c r="EG25" s="230">
        <f t="shared" si="203"/>
        <v>0</v>
      </c>
      <c r="EH25" s="230">
        <f t="shared" si="204"/>
        <v>0</v>
      </c>
      <c r="EI25" s="230">
        <f t="shared" si="205"/>
        <v>0</v>
      </c>
      <c r="EJ25" s="230">
        <f t="shared" si="206"/>
        <v>40</v>
      </c>
      <c r="EK25" s="230">
        <f t="shared" si="207"/>
        <v>0</v>
      </c>
      <c r="EL25" s="230">
        <f t="shared" si="208"/>
        <v>0</v>
      </c>
      <c r="EM25" s="230">
        <f t="shared" si="209"/>
        <v>0</v>
      </c>
      <c r="EN25" s="230">
        <f t="shared" si="210"/>
        <v>0</v>
      </c>
      <c r="EO25" s="230">
        <f t="shared" si="211"/>
        <v>0</v>
      </c>
      <c r="EP25" s="230">
        <f t="shared" si="212"/>
        <v>0</v>
      </c>
      <c r="EQ25" s="230">
        <f t="shared" si="213"/>
        <v>0</v>
      </c>
      <c r="ER25" s="230">
        <f t="shared" si="214"/>
        <v>0</v>
      </c>
      <c r="ES25" s="230">
        <f t="shared" si="215"/>
        <v>0</v>
      </c>
      <c r="ET25" s="230">
        <f t="shared" si="216"/>
        <v>0</v>
      </c>
      <c r="EU25" s="230">
        <f t="shared" si="217"/>
        <v>0</v>
      </c>
      <c r="EV25" s="230">
        <f t="shared" si="218"/>
        <v>0</v>
      </c>
      <c r="EW25" s="230">
        <f t="shared" si="219"/>
        <v>0</v>
      </c>
      <c r="EX25" s="230">
        <f t="shared" si="220"/>
        <v>0</v>
      </c>
      <c r="EY25" s="230">
        <f t="shared" si="221"/>
        <v>0</v>
      </c>
      <c r="EZ25" s="230">
        <f t="shared" si="222"/>
        <v>0</v>
      </c>
      <c r="FA25" s="230">
        <f t="shared" si="223"/>
        <v>0</v>
      </c>
      <c r="FB25" s="230">
        <f t="shared" si="224"/>
        <v>0</v>
      </c>
      <c r="FC25" s="230">
        <f t="shared" si="225"/>
        <v>0</v>
      </c>
      <c r="FD25" s="230">
        <f t="shared" si="226"/>
        <v>0</v>
      </c>
      <c r="FE25" s="230">
        <f t="shared" si="227"/>
        <v>0</v>
      </c>
      <c r="FF25" s="230">
        <f t="shared" si="228"/>
        <v>0</v>
      </c>
      <c r="FG25" s="230">
        <f t="shared" si="229"/>
        <v>0</v>
      </c>
      <c r="FH25" s="230">
        <f t="shared" si="230"/>
        <v>0</v>
      </c>
      <c r="FI25" s="230">
        <f t="shared" si="231"/>
        <v>0</v>
      </c>
      <c r="FJ25" s="230">
        <f t="shared" si="232"/>
        <v>0</v>
      </c>
      <c r="FK25" s="230">
        <f t="shared" si="233"/>
        <v>0</v>
      </c>
      <c r="FL25" s="230">
        <f t="shared" si="234"/>
        <v>0</v>
      </c>
      <c r="FM25" s="230">
        <f t="shared" si="235"/>
        <v>40</v>
      </c>
      <c r="FN25" s="230" t="str">
        <f>Input!AL25</f>
        <v>900</v>
      </c>
      <c r="FO25" s="230" t="str">
        <f>Input!BB25</f>
        <v>2100</v>
      </c>
      <c r="FP25" s="230">
        <f>Input!BR25</f>
        <v>0</v>
      </c>
      <c r="FQ25" s="230" t="str">
        <f>Input!CF25</f>
      </c>
      <c r="FR25" s="230" t="str">
        <f>Input!CT25</f>
      </c>
      <c r="FS25" s="230" t="str">
        <f>Input!DH25</f>
      </c>
      <c r="FT25" s="230" t="str">
        <f>Input!AM25</f>
        <v>33m/ 33m/ 33m</v>
      </c>
      <c r="FU25" s="230" t="str">
        <f>Input!BC25</f>
        <v>40m/ 40m/ 40m</v>
      </c>
      <c r="FV25" s="230">
        <f>Input!BS25</f>
        <v>0</v>
      </c>
      <c r="FW25" s="230" t="str">
        <f>Input!CG25</f>
      </c>
      <c r="FX25" s="230" t="str">
        <f>Input!CU25</f>
      </c>
      <c r="FY25" s="230" t="str">
        <f>Input!DI25</f>
      </c>
      <c r="FZ25" s="230" t="str">
        <f t="shared" si="236"/>
        <v>33m/ 33m/ 33m</v>
      </c>
      <c r="GA25" s="230" t="str">
        <f t="shared" si="237"/>
        <v>40m/ 40m/ 40m</v>
      </c>
      <c r="GB25" s="230" t="str">
        <f t="shared" si="238"/>
      </c>
      <c r="GC25" s="230" t="str">
        <f t="shared" si="239"/>
      </c>
      <c r="GD25" s="230" t="str">
        <f t="shared" si="240"/>
      </c>
      <c r="GE25" s="230" t="str">
        <f t="shared" si="241"/>
      </c>
      <c r="GF25" s="230">
        <f t="shared" si="242"/>
        <v>33</v>
      </c>
      <c r="GG25" s="230">
        <f t="shared" si="243"/>
        <v>33</v>
      </c>
      <c r="GH25" s="230">
        <f t="shared" si="244"/>
        <v>33</v>
      </c>
      <c r="GI25" s="230">
        <f t="shared" si="245"/>
        <v>0</v>
      </c>
      <c r="GJ25" s="230">
        <f t="shared" si="246"/>
        <v>0</v>
      </c>
      <c r="GK25" s="230">
        <f t="shared" si="247"/>
        <v>0</v>
      </c>
      <c r="GL25" s="230">
        <f t="shared" si="248"/>
        <v>40</v>
      </c>
      <c r="GM25" s="230">
        <f t="shared" si="249"/>
        <v>40</v>
      </c>
      <c r="GN25" s="230">
        <f t="shared" si="250"/>
        <v>40</v>
      </c>
      <c r="GO25" s="230">
        <f t="shared" si="251"/>
        <v>0</v>
      </c>
      <c r="GP25" s="230">
        <f t="shared" si="252"/>
        <v>0</v>
      </c>
      <c r="GQ25" s="230">
        <f t="shared" si="253"/>
        <v>0</v>
      </c>
      <c r="GR25" s="230">
        <f t="shared" si="254"/>
        <v>0</v>
      </c>
      <c r="GS25" s="230">
        <f t="shared" si="255"/>
        <v>0</v>
      </c>
      <c r="GT25" s="230">
        <f t="shared" si="256"/>
        <v>0</v>
      </c>
      <c r="GU25" s="230">
        <f t="shared" si="257"/>
        <v>0</v>
      </c>
      <c r="GV25" s="230">
        <f t="shared" si="258"/>
        <v>0</v>
      </c>
      <c r="GW25" s="230">
        <f t="shared" si="259"/>
        <v>0</v>
      </c>
      <c r="GX25" s="230">
        <f t="shared" si="260"/>
        <v>0</v>
      </c>
      <c r="GY25" s="230">
        <f t="shared" si="261"/>
        <v>0</v>
      </c>
      <c r="GZ25" s="230">
        <f t="shared" si="262"/>
        <v>0</v>
      </c>
      <c r="HA25" s="230">
        <f t="shared" si="263"/>
        <v>0</v>
      </c>
      <c r="HB25" s="230">
        <f t="shared" si="264"/>
        <v>0</v>
      </c>
      <c r="HC25" s="230">
        <f t="shared" si="265"/>
        <v>0</v>
      </c>
      <c r="HD25" s="230">
        <f t="shared" si="266"/>
        <v>0</v>
      </c>
      <c r="HE25" s="230">
        <f t="shared" si="267"/>
        <v>0</v>
      </c>
      <c r="HF25" s="230">
        <f t="shared" si="268"/>
        <v>0</v>
      </c>
      <c r="HG25" s="230">
        <f t="shared" si="269"/>
        <v>0</v>
      </c>
      <c r="HH25" s="230">
        <f t="shared" si="270"/>
        <v>0</v>
      </c>
      <c r="HI25" s="230">
        <f t="shared" si="271"/>
        <v>0</v>
      </c>
      <c r="HJ25" s="230">
        <f t="shared" si="272"/>
        <v>0</v>
      </c>
      <c r="HK25" s="230">
        <f t="shared" si="273"/>
        <v>0</v>
      </c>
      <c r="HL25" s="230">
        <f t="shared" si="274"/>
        <v>0</v>
      </c>
      <c r="HM25" s="230">
        <f t="shared" si="275"/>
        <v>0</v>
      </c>
      <c r="HN25" s="230">
        <f t="shared" si="276"/>
        <v>0</v>
      </c>
      <c r="HO25" s="230">
        <f t="shared" si="277"/>
        <v>0</v>
      </c>
      <c r="HP25" s="230" t="str">
        <f>INDEX(LabNameList,MATCH(LabId,LabIDList,0))</f>
        <v>Trung tâm Kiểm định và Chứng nhận 2</v>
      </c>
      <c r="HQ25" s="230">
        <f t="shared" si="278"/>
        <v>33</v>
      </c>
      <c r="HR25" s="230">
        <f t="shared" si="279"/>
        <v>40</v>
      </c>
      <c r="HS25" s="230">
        <f t="shared" si="280"/>
        <v>0</v>
      </c>
      <c r="HT25" s="230">
        <f t="shared" si="281"/>
        <v>0</v>
      </c>
      <c r="HU25" s="230">
        <f t="shared" si="282"/>
        <v>0</v>
      </c>
      <c r="HV25" s="230">
        <f t="shared" si="283"/>
        <v>0</v>
      </c>
      <c r="HW25" s="797">
        <f t="shared" si="284"/>
        <v>33</v>
      </c>
      <c r="HX25" s="797">
        <f>Input!EB25</f>
        <v>0</v>
      </c>
      <c r="HY25" s="230">
        <v>68</v>
      </c>
      <c r="HZ25" s="230"/>
      <c r="IA25" s="230"/>
      <c r="IB25" s="230"/>
      <c r="IC25" s="232" t="str">
        <f t="shared" si="285"/>
        <v>B01976230916TG05</v>
      </c>
      <c r="ID25" s="233" t="str">
        <f>Input!O25</f>
        <v>01976</v>
      </c>
      <c r="IE25" s="467" t="str">
        <f t="shared" si="286"/>
        <v>230916</v>
      </c>
      <c r="IF25" s="232" t="s">
        <v>364</v>
      </c>
      <c r="IG25" s="467" t="str">
        <f t="shared" si="287"/>
        <v>23/09/2016</v>
      </c>
      <c r="IH25" s="467" t="str">
        <f t="shared" si="288"/>
        <v>23/09/2021</v>
      </c>
      <c r="II25" s="546" t="str">
        <f> Input!R25</f>
        <v>23/09/2016</v>
      </c>
      <c r="IJ25" s="467">
        <f t="shared" si="289"/>
        <v>44462</v>
      </c>
      <c r="IK25" s="468">
        <f t="shared" si="290"/>
        <v>3</v>
      </c>
      <c r="IL25" s="469" t="str">
        <f t="shared" si="291"/>
        <v>3-2</v>
      </c>
      <c r="IM25" s="469" t="str">
        <f t="shared" si="292"/>
        <v>CHUNG</v>
      </c>
      <c r="IN25" s="469" t="str">
        <f t="shared" si="293"/>
        <v>KHAC</v>
      </c>
      <c r="IO25" s="469" t="str">
        <f t="shared" si="294"/>
      </c>
      <c r="IP25" s="469" t="str">
        <f t="shared" si="295"/>
      </c>
      <c r="IQ25" s="469" t="str">
        <f t="shared" si="296"/>
      </c>
      <c r="IR25" s="469">
        <f t="shared" si="297"/>
        <v>2</v>
      </c>
      <c r="IS25" s="469">
        <f t="shared" si="298"/>
        <v>1</v>
      </c>
      <c r="IT25" s="469" t="str">
        <f t="shared" si="299"/>
        <v>Yes</v>
      </c>
      <c r="IU25" s="469" t="str">
        <f t="shared" si="300"/>
        <v>Yes</v>
      </c>
    </row>
    <row r="26" ht="63.75">
      <c r="A26" s="601">
        <f>Input!A26</f>
        <v>25</v>
      </c>
      <c r="B26" s="229" t="str">
        <f>INDEX(ApplicantIDList,MATCH(AI26,ApplicantNameList,0))</f>
        <v>VIETTEL-2016</v>
      </c>
      <c r="C26" s="229" t="str">
        <f>INDEX(OperatorIDList,MATCH(AJ26,OperatorNameList,0))</f>
        <v>VIETTEL-2016</v>
      </c>
      <c r="D26" s="797" t="str">
        <f>Input!Y26</f>
        <v>HCM2209</v>
      </c>
      <c r="E26" s="229" t="str">
        <f>Input!G26</f>
        <v>Số 122/2/4, đường Nguyễn Văn Tạo, xã Long Thới, huyện Nhà Bè, thành phố Hồ Chí Minh.</v>
      </c>
      <c r="F26" s="229" t="str">
        <f>TRIM(SUBSTITUTE(SUBSTITUTE(Input!H26,"Thành phố ",""),"Tỉnh ",""))</f>
        <v>Hồ Chí Minh</v>
      </c>
      <c r="G26" s="797" t="str">
        <f>Input!I26</f>
        <v>106,72519</v>
      </c>
      <c r="H26" s="797" t="str">
        <f>Input!J26</f>
        <v>10,66455</v>
      </c>
      <c r="I26" s="229">
        <f>Input!V26</f>
        <v>2</v>
      </c>
      <c r="J26" s="229" t="str">
        <f>Input!K26</f>
        <v>1502396/16/TG/TT2</v>
      </c>
      <c r="K26" s="231" t="str">
        <f>TEXT(Input!L26,"dd/mm/yyyy")</f>
        <v>23/09/2016</v>
      </c>
      <c r="L26" s="231" t="str">
        <f>TEXT(Input!M26,"dd/mm/yyyy")</f>
        <v>15/09/2016</v>
      </c>
      <c r="M26" s="229" t="str">
        <f t="shared" si="135"/>
        <v>TỔNG CÔNG TY MẠNG LƯỚI VIETTEL;TỔNG CÔNG TY MẠNG LƯỚI VIETTEL</v>
      </c>
      <c r="N26" s="229" t="str">
        <f t="shared" si="136"/>
        <v>HCM2209;HCM2209</v>
      </c>
      <c r="O26" s="229" t="str">
        <f t="shared" si="137"/>
        <v>HUAWEI DBS3900;HUAWEI DBS3900</v>
      </c>
      <c r="P26" s="229" t="str">
        <f t="shared" si="138"/>
        <v>3;3</v>
      </c>
      <c r="Q26" s="229" t="str">
        <f t="shared" si="139"/>
        <v>4/4/4;2/2/2</v>
      </c>
      <c r="R26" s="229" t="str">
        <f t="shared" si="140"/>
        <v>20W/ 20W/ 20W;40W/ 40W/ 40W</v>
      </c>
      <c r="S26" s="229" t="str">
        <f t="shared" si="141"/>
        <v>900;2100</v>
      </c>
      <c r="T26" s="229" t="str">
        <f t="shared" si="142"/>
        <v>29m/ 29m/ 29m;34m/ 34m/ 34m</v>
      </c>
      <c r="U26" s="229">
        <v>1</v>
      </c>
      <c r="V26" s="229"/>
      <c r="W26" s="229" t="b">
        <f t="shared" si="143"/>
        <v>0</v>
      </c>
      <c r="X26" s="229" t="b">
        <f>INDEX(TrueFalseList,_xlfn.IFNA(MATCH(Input!W26,CoKhongList,0),MATCH(Input!W26,YesNoList,0)))</f>
        <v>0</v>
      </c>
      <c r="Y26" s="797">
        <f>Input!FZ26</f>
        <v>0</v>
      </c>
      <c r="Z26" s="229" t="b">
        <v>1</v>
      </c>
      <c r="AA26" s="797">
        <f t="shared" si="144"/>
        <v>29</v>
      </c>
      <c r="AB26" s="229" t="b">
        <v>0</v>
      </c>
      <c r="AC26" s="229" t="b">
        <v>1</v>
      </c>
      <c r="AD26" s="229">
        <f>Input!DR26</f>
        <v>0</v>
      </c>
      <c r="AE26" s="229"/>
      <c r="AF26" s="229" t="str">
        <f>Options!$D$6</f>
        <v>VCC2</v>
      </c>
      <c r="AG26" s="229">
        <f t="shared" si="145"/>
        <v>0</v>
      </c>
      <c r="AH26" s="230"/>
      <c r="AI26" s="553" t="str">
        <f>Input!E26</f>
        <v>TỔNG CÔNG TY MẠNG LƯỚI VIETTEL</v>
      </c>
      <c r="AJ26" s="553" t="str">
        <f>Input!F26</f>
        <v>TỔNG CÔNG TY MẠNG LƯỚI VIETTEL</v>
      </c>
      <c r="AK26" s="229">
        <f t="shared" si="146"/>
        <v>4</v>
      </c>
      <c r="AL26" s="465" t="str">
        <f t="shared" si="147"/>
        <v>thành phố Hồ Chí Minh.</v>
      </c>
      <c r="AM26" s="465" t="str">
        <f t="shared" si="148"/>
        <v>huyện Nhà Bè</v>
      </c>
      <c r="AN26" s="465" t="str">
        <f t="shared" si="149"/>
        <v>xã Long Thới</v>
      </c>
      <c r="AO26" s="229" t="str">
        <f>INDEX(CityIDList,MATCH(F26,CityNameList,0))</f>
        <v>HCM</v>
      </c>
      <c r="AP26" s="230" t="str">
        <f>Input!X26</f>
        <v>TỔNG CÔNG TY MẠNG LƯỚI VIETTEL</v>
      </c>
      <c r="AQ26" s="230" t="str">
        <f>Input!AN26</f>
        <v>TỔNG CÔNG TY MẠNG LƯỚI VIETTEL</v>
      </c>
      <c r="AR26" s="230">
        <f>Input!BD26</f>
        <v>0</v>
      </c>
      <c r="AS26" s="230" t="str">
        <f>Input!BT26</f>
      </c>
      <c r="AT26" s="230" t="str">
        <f>Input!CH26</f>
      </c>
      <c r="AU26" s="230" t="str">
        <f>Input!CV26</f>
      </c>
      <c r="AV26" s="230" t="str">
        <f>IF(I26&gt;=1,INDEX(OperatorIDList,MATCH(AP26,OperatorNameList,0)),"")</f>
        <v>VIETTEL-2016</v>
      </c>
      <c r="AW26" s="230" t="str">
        <f>IF(I26&gt;=2,INDEX(OperatorIDList,MATCH(AQ26,OperatorNameList,0)),"")</f>
        <v>VIETTEL-2016</v>
      </c>
      <c r="AX26" s="230" t="str">
        <f>IF(I26&gt;=3,INDEX(OperatorIDList,MATCH(AR26,OperatorNameList,0)),"")</f>
      </c>
      <c r="AY26" s="230" t="str">
        <f>IF(I26&gt;=4,INDEX(OperatorIDList,MATCH(AS26,OperatorNameList,0)),"")</f>
      </c>
      <c r="AZ26" s="230" t="str">
        <f>IF(I26&gt;=5,INDEX(OperatorIDList,MATCH(AT26,OperatorNameList,0)),"")</f>
      </c>
      <c r="BA26" s="230" t="str">
        <f>IF(I26&gt;=6,INDEX(OperatorIDList,MATCH(AU26,OperatorNameList,0)),"")</f>
      </c>
      <c r="BB26" s="230" t="str">
        <f t="shared" si="150"/>
        <v>VIETTEL-2016;VIETTEL-2016</v>
      </c>
      <c r="BC26" s="230" t="str">
        <f>Input!Y26</f>
        <v>HCM2209</v>
      </c>
      <c r="BD26" s="230" t="str">
        <f>Input!AO26</f>
        <v>HCM2209</v>
      </c>
      <c r="BE26" s="230">
        <f>Input!BE26</f>
        <v>0</v>
      </c>
      <c r="BF26" s="230" t="str">
        <f>Input!BU26</f>
      </c>
      <c r="BG26" s="230" t="str">
        <f>Input!CI26</f>
      </c>
      <c r="BH26" s="230" t="str">
        <f>Input!CW26</f>
      </c>
      <c r="BI26" s="230" t="str">
        <f>Input!Z26</f>
        <v>HUAWEI DBS3900</v>
      </c>
      <c r="BJ26" s="230" t="str">
        <f>Input!AP26</f>
        <v>HUAWEI DBS3900</v>
      </c>
      <c r="BK26" s="230">
        <f>Input!BF26</f>
        <v>0</v>
      </c>
      <c r="BL26" s="230" t="str">
        <f>Input!BV26</f>
      </c>
      <c r="BM26" s="230" t="str">
        <f>Input!CJ26</f>
      </c>
      <c r="BN26" s="230" t="str">
        <f>Input!CX26</f>
      </c>
      <c r="BO26" s="553">
        <f>IF(ISNUMBER(Input!AA26),Input!AA26,0)</f>
        <v>3</v>
      </c>
      <c r="BP26" s="553">
        <f>IF(ISNUMBER(Input!AQ26),Input!AQ26,0)</f>
        <v>3</v>
      </c>
      <c r="BQ26" s="553">
        <f>IF(ISNUMBER(Input!BG26),Input!BG26,0)</f>
        <v>0</v>
      </c>
      <c r="BR26" s="553">
        <f>IF(ISNUMBER(Input!BW26),Input!BW26,0)</f>
        <v>0</v>
      </c>
      <c r="BS26" s="553">
        <f>IF(ISNUMBER(Input!CK26),Input!CK26,0)</f>
        <v>0</v>
      </c>
      <c r="BT26" s="554">
        <f>IF(ISNUMBER(Input!CY26),Input!CY26,0)</f>
        <v>0</v>
      </c>
      <c r="BU26" s="230" t="str">
        <f>Input!AF26</f>
        <v>4/4/4</v>
      </c>
      <c r="BV26" s="230" t="str">
        <f>Input!AV26</f>
        <v>2/2/2</v>
      </c>
      <c r="BW26" s="230" t="str">
        <f>Input!BL26</f>
      </c>
      <c r="BX26" s="230" t="str">
        <f>Input!CA26</f>
      </c>
      <c r="BY26" s="230" t="str">
        <f>Input!CO26</f>
      </c>
      <c r="BZ26" s="230" t="str">
        <f>Input!DC26</f>
      </c>
      <c r="CA26" s="230">
        <f t="shared" si="151"/>
        <v>4</v>
      </c>
      <c r="CB26" s="230">
        <f t="shared" si="152"/>
        <v>4</v>
      </c>
      <c r="CC26" s="230">
        <f t="shared" si="153"/>
        <v>4</v>
      </c>
      <c r="CD26" s="230">
        <f t="shared" si="154"/>
        <v>0</v>
      </c>
      <c r="CE26" s="230">
        <f t="shared" si="155"/>
        <v>0</v>
      </c>
      <c r="CF26" s="230">
        <f t="shared" si="156"/>
        <v>0</v>
      </c>
      <c r="CG26" s="230">
        <f t="shared" si="157"/>
        <v>2</v>
      </c>
      <c r="CH26" s="230">
        <f t="shared" si="158"/>
        <v>2</v>
      </c>
      <c r="CI26" s="230">
        <f t="shared" si="159"/>
        <v>2</v>
      </c>
      <c r="CJ26" s="230">
        <f t="shared" si="160"/>
        <v>0</v>
      </c>
      <c r="CK26" s="230">
        <f t="shared" si="161"/>
        <v>0</v>
      </c>
      <c r="CL26" s="230">
        <f t="shared" si="162"/>
        <v>0</v>
      </c>
      <c r="CM26" s="230">
        <f t="shared" si="163"/>
        <v>0</v>
      </c>
      <c r="CN26" s="230">
        <f t="shared" si="164"/>
        <v>0</v>
      </c>
      <c r="CO26" s="230">
        <f t="shared" si="165"/>
        <v>0</v>
      </c>
      <c r="CP26" s="230">
        <f t="shared" si="166"/>
        <v>0</v>
      </c>
      <c r="CQ26" s="230">
        <f t="shared" si="167"/>
        <v>0</v>
      </c>
      <c r="CR26" s="230">
        <f t="shared" si="168"/>
        <v>0</v>
      </c>
      <c r="CS26" s="230">
        <f t="shared" si="169"/>
        <v>0</v>
      </c>
      <c r="CT26" s="230">
        <f t="shared" si="170"/>
        <v>0</v>
      </c>
      <c r="CU26" s="230">
        <f t="shared" si="171"/>
        <v>0</v>
      </c>
      <c r="CV26" s="230">
        <f t="shared" si="172"/>
        <v>0</v>
      </c>
      <c r="CW26" s="230">
        <f t="shared" si="173"/>
        <v>0</v>
      </c>
      <c r="CX26" s="230">
        <f t="shared" si="174"/>
        <v>0</v>
      </c>
      <c r="CY26" s="230">
        <f t="shared" si="175"/>
        <v>0</v>
      </c>
      <c r="CZ26" s="230">
        <f t="shared" si="176"/>
        <v>0</v>
      </c>
      <c r="DA26" s="230">
        <f t="shared" si="177"/>
        <v>0</v>
      </c>
      <c r="DB26" s="230">
        <f t="shared" si="178"/>
        <v>0</v>
      </c>
      <c r="DC26" s="230">
        <f t="shared" si="179"/>
        <v>0</v>
      </c>
      <c r="DD26" s="230">
        <f t="shared" si="180"/>
        <v>0</v>
      </c>
      <c r="DE26" s="230">
        <f t="shared" si="181"/>
        <v>0</v>
      </c>
      <c r="DF26" s="230">
        <f t="shared" si="182"/>
        <v>0</v>
      </c>
      <c r="DG26" s="230">
        <f t="shared" si="183"/>
        <v>0</v>
      </c>
      <c r="DH26" s="230">
        <f t="shared" si="184"/>
        <v>0</v>
      </c>
      <c r="DI26" s="230">
        <f t="shared" si="185"/>
        <v>0</v>
      </c>
      <c r="DJ26" s="230">
        <f t="shared" si="186"/>
        <v>0</v>
      </c>
      <c r="DK26" s="230" t="str">
        <f>Input!AK26</f>
        <v>20,00W/20,00W/20,00W</v>
      </c>
      <c r="DL26" s="230" t="str">
        <f>Input!BA26</f>
        <v>40,00W/40,00W/40,00W</v>
      </c>
      <c r="DM26" s="230" t="str">
        <f>Input!BQ26</f>
      </c>
      <c r="DN26" s="230" t="str">
        <f>Input!CE26</f>
      </c>
      <c r="DO26" s="230" t="str">
        <f>Input!CS26</f>
      </c>
      <c r="DP26" s="230" t="str">
        <f>Input!DG26</f>
      </c>
      <c r="DQ26" s="230" t="str">
        <f t="shared" si="187"/>
        <v>20W/ 20W/ 20W</v>
      </c>
      <c r="DR26" s="230" t="str">
        <f t="shared" si="188"/>
        <v>40W/ 40W/ 40W</v>
      </c>
      <c r="DS26" s="230" t="str">
        <f t="shared" si="189"/>
      </c>
      <c r="DT26" s="230" t="str">
        <f t="shared" si="190"/>
      </c>
      <c r="DU26" s="230" t="str">
        <f t="shared" si="191"/>
      </c>
      <c r="DV26" s="230" t="str">
        <f t="shared" si="192"/>
      </c>
      <c r="DW26" s="230">
        <f t="shared" si="193"/>
        <v>20</v>
      </c>
      <c r="DX26" s="230">
        <f t="shared" si="194"/>
        <v>20</v>
      </c>
      <c r="DY26" s="230">
        <f t="shared" si="195"/>
        <v>20</v>
      </c>
      <c r="DZ26" s="230">
        <f t="shared" si="196"/>
        <v>0</v>
      </c>
      <c r="EA26" s="230">
        <f t="shared" si="197"/>
        <v>0</v>
      </c>
      <c r="EB26" s="230">
        <f t="shared" si="198"/>
        <v>0</v>
      </c>
      <c r="EC26" s="230">
        <f t="shared" si="199"/>
        <v>20</v>
      </c>
      <c r="ED26" s="230">
        <f t="shared" si="200"/>
        <v>40</v>
      </c>
      <c r="EE26" s="230">
        <f t="shared" si="201"/>
        <v>40</v>
      </c>
      <c r="EF26" s="230">
        <f t="shared" si="202"/>
        <v>40</v>
      </c>
      <c r="EG26" s="230">
        <f t="shared" si="203"/>
        <v>0</v>
      </c>
      <c r="EH26" s="230">
        <f t="shared" si="204"/>
        <v>0</v>
      </c>
      <c r="EI26" s="230">
        <f t="shared" si="205"/>
        <v>0</v>
      </c>
      <c r="EJ26" s="230">
        <f t="shared" si="206"/>
        <v>40</v>
      </c>
      <c r="EK26" s="230">
        <f t="shared" si="207"/>
        <v>0</v>
      </c>
      <c r="EL26" s="230">
        <f t="shared" si="208"/>
        <v>0</v>
      </c>
      <c r="EM26" s="230">
        <f t="shared" si="209"/>
        <v>0</v>
      </c>
      <c r="EN26" s="230">
        <f t="shared" si="210"/>
        <v>0</v>
      </c>
      <c r="EO26" s="230">
        <f t="shared" si="211"/>
        <v>0</v>
      </c>
      <c r="EP26" s="230">
        <f t="shared" si="212"/>
        <v>0</v>
      </c>
      <c r="EQ26" s="230">
        <f t="shared" si="213"/>
        <v>0</v>
      </c>
      <c r="ER26" s="230">
        <f t="shared" si="214"/>
        <v>0</v>
      </c>
      <c r="ES26" s="230">
        <f t="shared" si="215"/>
        <v>0</v>
      </c>
      <c r="ET26" s="230">
        <f t="shared" si="216"/>
        <v>0</v>
      </c>
      <c r="EU26" s="230">
        <f t="shared" si="217"/>
        <v>0</v>
      </c>
      <c r="EV26" s="230">
        <f t="shared" si="218"/>
        <v>0</v>
      </c>
      <c r="EW26" s="230">
        <f t="shared" si="219"/>
        <v>0</v>
      </c>
      <c r="EX26" s="230">
        <f t="shared" si="220"/>
        <v>0</v>
      </c>
      <c r="EY26" s="230">
        <f t="shared" si="221"/>
        <v>0</v>
      </c>
      <c r="EZ26" s="230">
        <f t="shared" si="222"/>
        <v>0</v>
      </c>
      <c r="FA26" s="230">
        <f t="shared" si="223"/>
        <v>0</v>
      </c>
      <c r="FB26" s="230">
        <f t="shared" si="224"/>
        <v>0</v>
      </c>
      <c r="FC26" s="230">
        <f t="shared" si="225"/>
        <v>0</v>
      </c>
      <c r="FD26" s="230">
        <f t="shared" si="226"/>
        <v>0</v>
      </c>
      <c r="FE26" s="230">
        <f t="shared" si="227"/>
        <v>0</v>
      </c>
      <c r="FF26" s="230">
        <f t="shared" si="228"/>
        <v>0</v>
      </c>
      <c r="FG26" s="230">
        <f t="shared" si="229"/>
        <v>0</v>
      </c>
      <c r="FH26" s="230">
        <f t="shared" si="230"/>
        <v>0</v>
      </c>
      <c r="FI26" s="230">
        <f t="shared" si="231"/>
        <v>0</v>
      </c>
      <c r="FJ26" s="230">
        <f t="shared" si="232"/>
        <v>0</v>
      </c>
      <c r="FK26" s="230">
        <f t="shared" si="233"/>
        <v>0</v>
      </c>
      <c r="FL26" s="230">
        <f t="shared" si="234"/>
        <v>0</v>
      </c>
      <c r="FM26" s="230">
        <f t="shared" si="235"/>
        <v>40</v>
      </c>
      <c r="FN26" s="230" t="str">
        <f>Input!AL26</f>
        <v>900</v>
      </c>
      <c r="FO26" s="230" t="str">
        <f>Input!BB26</f>
        <v>2100</v>
      </c>
      <c r="FP26" s="230">
        <f>Input!BR26</f>
        <v>0</v>
      </c>
      <c r="FQ26" s="230" t="str">
        <f>Input!CF26</f>
      </c>
      <c r="FR26" s="230" t="str">
        <f>Input!CT26</f>
      </c>
      <c r="FS26" s="230" t="str">
        <f>Input!DH26</f>
      </c>
      <c r="FT26" s="230" t="str">
        <f>Input!AM26</f>
        <v>29m/ 29m/ 29m</v>
      </c>
      <c r="FU26" s="230" t="str">
        <f>Input!BC26</f>
        <v>34m/ 34m/ 34m</v>
      </c>
      <c r="FV26" s="230">
        <f>Input!BS26</f>
        <v>0</v>
      </c>
      <c r="FW26" s="230" t="str">
        <f>Input!CG26</f>
      </c>
      <c r="FX26" s="230" t="str">
        <f>Input!CU26</f>
      </c>
      <c r="FY26" s="230" t="str">
        <f>Input!DI26</f>
      </c>
      <c r="FZ26" s="230" t="str">
        <f t="shared" si="236"/>
        <v>29m/ 29m/ 29m</v>
      </c>
      <c r="GA26" s="230" t="str">
        <f t="shared" si="237"/>
        <v>34m/ 34m/ 34m</v>
      </c>
      <c r="GB26" s="230" t="str">
        <f t="shared" si="238"/>
      </c>
      <c r="GC26" s="230" t="str">
        <f t="shared" si="239"/>
      </c>
      <c r="GD26" s="230" t="str">
        <f t="shared" si="240"/>
      </c>
      <c r="GE26" s="230" t="str">
        <f t="shared" si="241"/>
      </c>
      <c r="GF26" s="230">
        <f t="shared" si="242"/>
        <v>29</v>
      </c>
      <c r="GG26" s="230">
        <f t="shared" si="243"/>
        <v>29</v>
      </c>
      <c r="GH26" s="230">
        <f t="shared" si="244"/>
        <v>29</v>
      </c>
      <c r="GI26" s="230">
        <f t="shared" si="245"/>
        <v>0</v>
      </c>
      <c r="GJ26" s="230">
        <f t="shared" si="246"/>
        <v>0</v>
      </c>
      <c r="GK26" s="230">
        <f t="shared" si="247"/>
        <v>0</v>
      </c>
      <c r="GL26" s="230">
        <f t="shared" si="248"/>
        <v>34</v>
      </c>
      <c r="GM26" s="230">
        <f t="shared" si="249"/>
        <v>34</v>
      </c>
      <c r="GN26" s="230">
        <f t="shared" si="250"/>
        <v>34</v>
      </c>
      <c r="GO26" s="230">
        <f t="shared" si="251"/>
        <v>0</v>
      </c>
      <c r="GP26" s="230">
        <f t="shared" si="252"/>
        <v>0</v>
      </c>
      <c r="GQ26" s="230">
        <f t="shared" si="253"/>
        <v>0</v>
      </c>
      <c r="GR26" s="230">
        <f t="shared" si="254"/>
        <v>0</v>
      </c>
      <c r="GS26" s="230">
        <f t="shared" si="255"/>
        <v>0</v>
      </c>
      <c r="GT26" s="230">
        <f t="shared" si="256"/>
        <v>0</v>
      </c>
      <c r="GU26" s="230">
        <f t="shared" si="257"/>
        <v>0</v>
      </c>
      <c r="GV26" s="230">
        <f t="shared" si="258"/>
        <v>0</v>
      </c>
      <c r="GW26" s="230">
        <f t="shared" si="259"/>
        <v>0</v>
      </c>
      <c r="GX26" s="230">
        <f t="shared" si="260"/>
        <v>0</v>
      </c>
      <c r="GY26" s="230">
        <f t="shared" si="261"/>
        <v>0</v>
      </c>
      <c r="GZ26" s="230">
        <f t="shared" si="262"/>
        <v>0</v>
      </c>
      <c r="HA26" s="230">
        <f t="shared" si="263"/>
        <v>0</v>
      </c>
      <c r="HB26" s="230">
        <f t="shared" si="264"/>
        <v>0</v>
      </c>
      <c r="HC26" s="230">
        <f t="shared" si="265"/>
        <v>0</v>
      </c>
      <c r="HD26" s="230">
        <f t="shared" si="266"/>
        <v>0</v>
      </c>
      <c r="HE26" s="230">
        <f t="shared" si="267"/>
        <v>0</v>
      </c>
      <c r="HF26" s="230">
        <f t="shared" si="268"/>
        <v>0</v>
      </c>
      <c r="HG26" s="230">
        <f t="shared" si="269"/>
        <v>0</v>
      </c>
      <c r="HH26" s="230">
        <f t="shared" si="270"/>
        <v>0</v>
      </c>
      <c r="HI26" s="230">
        <f t="shared" si="271"/>
        <v>0</v>
      </c>
      <c r="HJ26" s="230">
        <f t="shared" si="272"/>
        <v>0</v>
      </c>
      <c r="HK26" s="230">
        <f t="shared" si="273"/>
        <v>0</v>
      </c>
      <c r="HL26" s="230">
        <f t="shared" si="274"/>
        <v>0</v>
      </c>
      <c r="HM26" s="230">
        <f t="shared" si="275"/>
        <v>0</v>
      </c>
      <c r="HN26" s="230">
        <f t="shared" si="276"/>
        <v>0</v>
      </c>
      <c r="HO26" s="230">
        <f t="shared" si="277"/>
        <v>0</v>
      </c>
      <c r="HP26" s="230" t="str">
        <f>INDEX(LabNameList,MATCH(LabId,LabIDList,0))</f>
        <v>Trung tâm Kiểm định và Chứng nhận 2</v>
      </c>
      <c r="HQ26" s="230">
        <f t="shared" si="278"/>
        <v>29</v>
      </c>
      <c r="HR26" s="230">
        <f t="shared" si="279"/>
        <v>34</v>
      </c>
      <c r="HS26" s="230">
        <f t="shared" si="280"/>
        <v>0</v>
      </c>
      <c r="HT26" s="230">
        <f t="shared" si="281"/>
        <v>0</v>
      </c>
      <c r="HU26" s="230">
        <f t="shared" si="282"/>
        <v>0</v>
      </c>
      <c r="HV26" s="230">
        <f t="shared" si="283"/>
        <v>0</v>
      </c>
      <c r="HW26" s="797">
        <f t="shared" si="284"/>
        <v>29</v>
      </c>
      <c r="HX26" s="797">
        <f>Input!EB26</f>
        <v>0</v>
      </c>
      <c r="HY26" s="230">
        <v>68</v>
      </c>
      <c r="HZ26" s="230"/>
      <c r="IA26" s="230"/>
      <c r="IB26" s="230"/>
      <c r="IC26" s="232" t="str">
        <f t="shared" si="285"/>
        <v>B01977230916TG05</v>
      </c>
      <c r="ID26" s="233" t="str">
        <f>Input!O26</f>
        <v>01977</v>
      </c>
      <c r="IE26" s="467" t="str">
        <f t="shared" si="286"/>
        <v>230916</v>
      </c>
      <c r="IF26" s="232" t="s">
        <v>364</v>
      </c>
      <c r="IG26" s="467" t="str">
        <f t="shared" si="287"/>
        <v>23/09/2016</v>
      </c>
      <c r="IH26" s="467" t="str">
        <f t="shared" si="288"/>
        <v>23/09/2021</v>
      </c>
      <c r="II26" s="546" t="str">
        <f> Input!R26</f>
        <v>23/09/2016</v>
      </c>
      <c r="IJ26" s="467">
        <f t="shared" si="289"/>
        <v>44462</v>
      </c>
      <c r="IK26" s="468">
        <f t="shared" si="290"/>
        <v>3</v>
      </c>
      <c r="IL26" s="469" t="str">
        <f t="shared" si="291"/>
        <v>3-2</v>
      </c>
      <c r="IM26" s="469" t="str">
        <f t="shared" si="292"/>
        <v>CHUNG</v>
      </c>
      <c r="IN26" s="469" t="str">
        <f t="shared" si="293"/>
        <v>KHAC</v>
      </c>
      <c r="IO26" s="469" t="str">
        <f t="shared" si="294"/>
      </c>
      <c r="IP26" s="469" t="str">
        <f t="shared" si="295"/>
      </c>
      <c r="IQ26" s="469" t="str">
        <f t="shared" si="296"/>
      </c>
      <c r="IR26" s="469">
        <f t="shared" si="297"/>
        <v>2</v>
      </c>
      <c r="IS26" s="469">
        <f t="shared" si="298"/>
        <v>1</v>
      </c>
      <c r="IT26" s="469" t="str">
        <f t="shared" si="299"/>
        <v>Yes</v>
      </c>
      <c r="IU26" s="469" t="str">
        <f t="shared" si="300"/>
        <v>Yes</v>
      </c>
    </row>
    <row r="27" ht="63.75">
      <c r="A27" s="601">
        <f>Input!A27</f>
        <v>26</v>
      </c>
      <c r="B27" s="229" t="str">
        <f>INDEX(ApplicantIDList,MATCH(AI27,ApplicantNameList,0))</f>
        <v>VIETTEL-2016</v>
      </c>
      <c r="C27" s="229" t="str">
        <f>INDEX(OperatorIDList,MATCH(AJ27,OperatorNameList,0))</f>
        <v>VIETTEL-2016</v>
      </c>
      <c r="D27" s="797" t="str">
        <f>Input!Y27</f>
        <v>HCM2218</v>
      </c>
      <c r="E27" s="229" t="str">
        <f>Input!G27</f>
        <v>Số 18/1, đường Nguyễn Bình, xã Phú Xuân, huyện Nhà Bè, thành phố Hồ Chí Minh.</v>
      </c>
      <c r="F27" s="229" t="str">
        <f>TRIM(SUBSTITUTE(SUBSTITUTE(Input!H27,"Thành phố ",""),"Tỉnh ",""))</f>
        <v>Hồ Chí Minh</v>
      </c>
      <c r="G27" s="797" t="str">
        <f>Input!I27</f>
        <v>106,73048</v>
      </c>
      <c r="H27" s="797" t="str">
        <f>Input!J27</f>
        <v>10,67242</v>
      </c>
      <c r="I27" s="229">
        <f>Input!V27</f>
        <v>1</v>
      </c>
      <c r="J27" s="229" t="str">
        <f>Input!K27</f>
        <v>1502397/16/TG/TT2</v>
      </c>
      <c r="K27" s="231" t="str">
        <f>TEXT(Input!L27,"dd/mm/yyyy")</f>
        <v>23/09/2016</v>
      </c>
      <c r="L27" s="231" t="str">
        <f>TEXT(Input!M27,"dd/mm/yyyy")</f>
        <v>15/09/2016</v>
      </c>
      <c r="M27" s="229" t="str">
        <f t="shared" si="135"/>
        <v>TỔNG CÔNG TY MẠNG LƯỚI VIETTEL</v>
      </c>
      <c r="N27" s="229" t="str">
        <f t="shared" si="136"/>
        <v>HCM2218</v>
      </c>
      <c r="O27" s="229" t="str">
        <f t="shared" si="137"/>
        <v>HUAWEI DBS3900</v>
      </c>
      <c r="P27" s="229" t="str">
        <f t="shared" si="138"/>
        <v>3</v>
      </c>
      <c r="Q27" s="229" t="str">
        <f t="shared" si="139"/>
        <v>2/2/2</v>
      </c>
      <c r="R27" s="229" t="str">
        <f t="shared" si="140"/>
        <v>40W/ 40W/ 40W</v>
      </c>
      <c r="S27" s="229" t="str">
        <f t="shared" si="141"/>
        <v>2100</v>
      </c>
      <c r="T27" s="229" t="str">
        <f t="shared" si="142"/>
        <v>25m/ 25m/ 25m</v>
      </c>
      <c r="U27" s="229">
        <v>1</v>
      </c>
      <c r="V27" s="229"/>
      <c r="W27" s="229" t="b">
        <f t="shared" si="143"/>
        <v>0</v>
      </c>
      <c r="X27" s="229" t="b">
        <f>INDEX(TrueFalseList,_xlfn.IFNA(MATCH(Input!W27,CoKhongList,0),MATCH(Input!W27,YesNoList,0)))</f>
        <v>0</v>
      </c>
      <c r="Y27" s="797">
        <f>Input!FZ27</f>
        <v>0</v>
      </c>
      <c r="Z27" s="229" t="b">
        <v>1</v>
      </c>
      <c r="AA27" s="797">
        <f t="shared" si="144"/>
        <v>25</v>
      </c>
      <c r="AB27" s="229" t="b">
        <v>0</v>
      </c>
      <c r="AC27" s="229" t="b">
        <v>1</v>
      </c>
      <c r="AD27" s="229">
        <f>Input!DR27</f>
        <v>0</v>
      </c>
      <c r="AE27" s="229"/>
      <c r="AF27" s="229" t="str">
        <f>Options!$D$6</f>
        <v>VCC2</v>
      </c>
      <c r="AG27" s="229">
        <f t="shared" si="145"/>
        <v>0</v>
      </c>
      <c r="AH27" s="230"/>
      <c r="AI27" s="553" t="str">
        <f>Input!E27</f>
        <v>TỔNG CÔNG TY MẠNG LƯỚI VIETTEL</v>
      </c>
      <c r="AJ27" s="553" t="str">
        <f>Input!F27</f>
        <v>TỔNG CÔNG TY MẠNG LƯỚI VIETTEL</v>
      </c>
      <c r="AK27" s="229">
        <f t="shared" si="146"/>
        <v>4</v>
      </c>
      <c r="AL27" s="465" t="str">
        <f t="shared" si="147"/>
        <v>thành phố Hồ Chí Minh.</v>
      </c>
      <c r="AM27" s="465" t="str">
        <f t="shared" si="148"/>
        <v>huyện Nhà Bè</v>
      </c>
      <c r="AN27" s="465" t="str">
        <f t="shared" si="149"/>
        <v>xã Phú Xuân</v>
      </c>
      <c r="AO27" s="229" t="str">
        <f>INDEX(CityIDList,MATCH(F27,CityNameList,0))</f>
        <v>HCM</v>
      </c>
      <c r="AP27" s="230" t="str">
        <f>Input!X27</f>
        <v>TỔNG CÔNG TY MẠNG LƯỚI VIETTEL</v>
      </c>
      <c r="AQ27" s="230">
        <f>Input!AN27</f>
        <v>0</v>
      </c>
      <c r="AR27" s="230">
        <f>Input!BD27</f>
        <v>0</v>
      </c>
      <c r="AS27" s="230" t="str">
        <f>Input!BT27</f>
      </c>
      <c r="AT27" s="230" t="str">
        <f>Input!CH27</f>
      </c>
      <c r="AU27" s="230" t="str">
        <f>Input!CV27</f>
      </c>
      <c r="AV27" s="230" t="str">
        <f>IF(I27&gt;=1,INDEX(OperatorIDList,MATCH(AP27,OperatorNameList,0)),"")</f>
        <v>VIETTEL-2016</v>
      </c>
      <c r="AW27" s="230" t="str">
        <f>IF(I27&gt;=2,INDEX(OperatorIDList,MATCH(AQ27,OperatorNameList,0)),"")</f>
      </c>
      <c r="AX27" s="230" t="str">
        <f>IF(I27&gt;=3,INDEX(OperatorIDList,MATCH(AR27,OperatorNameList,0)),"")</f>
      </c>
      <c r="AY27" s="230" t="str">
        <f>IF(I27&gt;=4,INDEX(OperatorIDList,MATCH(AS27,OperatorNameList,0)),"")</f>
      </c>
      <c r="AZ27" s="230" t="str">
        <f>IF(I27&gt;=5,INDEX(OperatorIDList,MATCH(AT27,OperatorNameList,0)),"")</f>
      </c>
      <c r="BA27" s="230" t="str">
        <f>IF(I27&gt;=6,INDEX(OperatorIDList,MATCH(AU27,OperatorNameList,0)),"")</f>
      </c>
      <c r="BB27" s="230" t="str">
        <f t="shared" si="150"/>
        <v>VIETTEL-2016</v>
      </c>
      <c r="BC27" s="230" t="str">
        <f>Input!Y27</f>
        <v>HCM2218</v>
      </c>
      <c r="BD27" s="230">
        <f>Input!AO27</f>
        <v>0</v>
      </c>
      <c r="BE27" s="230">
        <f>Input!BE27</f>
        <v>0</v>
      </c>
      <c r="BF27" s="230" t="str">
        <f>Input!BU27</f>
      </c>
      <c r="BG27" s="230" t="str">
        <f>Input!CI27</f>
      </c>
      <c r="BH27" s="230" t="str">
        <f>Input!CW27</f>
      </c>
      <c r="BI27" s="230" t="str">
        <f>Input!Z27</f>
        <v>HUAWEI DBS3900</v>
      </c>
      <c r="BJ27" s="230">
        <f>Input!AP27</f>
        <v>0</v>
      </c>
      <c r="BK27" s="230">
        <f>Input!BF27</f>
        <v>0</v>
      </c>
      <c r="BL27" s="230" t="str">
        <f>Input!BV27</f>
      </c>
      <c r="BM27" s="230" t="str">
        <f>Input!CJ27</f>
      </c>
      <c r="BN27" s="230" t="str">
        <f>Input!CX27</f>
      </c>
      <c r="BO27" s="553">
        <f>IF(ISNUMBER(Input!AA27),Input!AA27,0)</f>
        <v>3</v>
      </c>
      <c r="BP27" s="553">
        <f>IF(ISNUMBER(Input!AQ27),Input!AQ27,0)</f>
        <v>0</v>
      </c>
      <c r="BQ27" s="553">
        <f>IF(ISNUMBER(Input!BG27),Input!BG27,0)</f>
        <v>0</v>
      </c>
      <c r="BR27" s="553">
        <f>IF(ISNUMBER(Input!BW27),Input!BW27,0)</f>
        <v>0</v>
      </c>
      <c r="BS27" s="553">
        <f>IF(ISNUMBER(Input!CK27),Input!CK27,0)</f>
        <v>0</v>
      </c>
      <c r="BT27" s="554">
        <f>IF(ISNUMBER(Input!CY27),Input!CY27,0)</f>
        <v>0</v>
      </c>
      <c r="BU27" s="230" t="str">
        <f>Input!AF27</f>
        <v>2/2/2</v>
      </c>
      <c r="BV27" s="230" t="str">
        <f>Input!AV27</f>
      </c>
      <c r="BW27" s="230" t="str">
        <f>Input!BL27</f>
      </c>
      <c r="BX27" s="230" t="str">
        <f>Input!CA27</f>
      </c>
      <c r="BY27" s="230" t="str">
        <f>Input!CO27</f>
      </c>
      <c r="BZ27" s="230" t="str">
        <f>Input!DC27</f>
      </c>
      <c r="CA27" s="230">
        <f t="shared" si="151"/>
        <v>2</v>
      </c>
      <c r="CB27" s="230">
        <f t="shared" si="152"/>
        <v>2</v>
      </c>
      <c r="CC27" s="230">
        <f t="shared" si="153"/>
        <v>2</v>
      </c>
      <c r="CD27" s="230">
        <f t="shared" si="154"/>
        <v>0</v>
      </c>
      <c r="CE27" s="230">
        <f t="shared" si="155"/>
        <v>0</v>
      </c>
      <c r="CF27" s="230">
        <f t="shared" si="156"/>
        <v>0</v>
      </c>
      <c r="CG27" s="230">
        <f t="shared" si="157"/>
        <v>0</v>
      </c>
      <c r="CH27" s="230">
        <f t="shared" si="158"/>
        <v>0</v>
      </c>
      <c r="CI27" s="230">
        <f t="shared" si="159"/>
        <v>0</v>
      </c>
      <c r="CJ27" s="230">
        <f t="shared" si="160"/>
        <v>0</v>
      </c>
      <c r="CK27" s="230">
        <f t="shared" si="161"/>
        <v>0</v>
      </c>
      <c r="CL27" s="230">
        <f t="shared" si="162"/>
        <v>0</v>
      </c>
      <c r="CM27" s="230">
        <f t="shared" si="163"/>
        <v>0</v>
      </c>
      <c r="CN27" s="230">
        <f t="shared" si="164"/>
        <v>0</v>
      </c>
      <c r="CO27" s="230">
        <f t="shared" si="165"/>
        <v>0</v>
      </c>
      <c r="CP27" s="230">
        <f t="shared" si="166"/>
        <v>0</v>
      </c>
      <c r="CQ27" s="230">
        <f t="shared" si="167"/>
        <v>0</v>
      </c>
      <c r="CR27" s="230">
        <f t="shared" si="168"/>
        <v>0</v>
      </c>
      <c r="CS27" s="230">
        <f t="shared" si="169"/>
        <v>0</v>
      </c>
      <c r="CT27" s="230">
        <f t="shared" si="170"/>
        <v>0</v>
      </c>
      <c r="CU27" s="230">
        <f t="shared" si="171"/>
        <v>0</v>
      </c>
      <c r="CV27" s="230">
        <f t="shared" si="172"/>
        <v>0</v>
      </c>
      <c r="CW27" s="230">
        <f t="shared" si="173"/>
        <v>0</v>
      </c>
      <c r="CX27" s="230">
        <f t="shared" si="174"/>
        <v>0</v>
      </c>
      <c r="CY27" s="230">
        <f t="shared" si="175"/>
        <v>0</v>
      </c>
      <c r="CZ27" s="230">
        <f t="shared" si="176"/>
        <v>0</v>
      </c>
      <c r="DA27" s="230">
        <f t="shared" si="177"/>
        <v>0</v>
      </c>
      <c r="DB27" s="230">
        <f t="shared" si="178"/>
        <v>0</v>
      </c>
      <c r="DC27" s="230">
        <f t="shared" si="179"/>
        <v>0</v>
      </c>
      <c r="DD27" s="230">
        <f t="shared" si="180"/>
        <v>0</v>
      </c>
      <c r="DE27" s="230">
        <f t="shared" si="181"/>
        <v>0</v>
      </c>
      <c r="DF27" s="230">
        <f t="shared" si="182"/>
        <v>0</v>
      </c>
      <c r="DG27" s="230">
        <f t="shared" si="183"/>
        <v>0</v>
      </c>
      <c r="DH27" s="230">
        <f t="shared" si="184"/>
        <v>0</v>
      </c>
      <c r="DI27" s="230">
        <f t="shared" si="185"/>
        <v>0</v>
      </c>
      <c r="DJ27" s="230">
        <f t="shared" si="186"/>
        <v>0</v>
      </c>
      <c r="DK27" s="230" t="str">
        <f>Input!AK27</f>
        <v>40,00W/40,00W/40,00W</v>
      </c>
      <c r="DL27" s="230" t="str">
        <f>Input!BA27</f>
      </c>
      <c r="DM27" s="230" t="str">
        <f>Input!BQ27</f>
      </c>
      <c r="DN27" s="230" t="str">
        <f>Input!CE27</f>
      </c>
      <c r="DO27" s="230" t="str">
        <f>Input!CS27</f>
      </c>
      <c r="DP27" s="230" t="str">
        <f>Input!DG27</f>
      </c>
      <c r="DQ27" s="230" t="str">
        <f t="shared" si="187"/>
        <v>40W/ 40W/ 40W</v>
      </c>
      <c r="DR27" s="230" t="str">
        <f t="shared" si="188"/>
      </c>
      <c r="DS27" s="230" t="str">
        <f t="shared" si="189"/>
      </c>
      <c r="DT27" s="230" t="str">
        <f t="shared" si="190"/>
      </c>
      <c r="DU27" s="230" t="str">
        <f t="shared" si="191"/>
      </c>
      <c r="DV27" s="230" t="str">
        <f t="shared" si="192"/>
      </c>
      <c r="DW27" s="230">
        <f t="shared" si="193"/>
        <v>40</v>
      </c>
      <c r="DX27" s="230">
        <f t="shared" si="194"/>
        <v>40</v>
      </c>
      <c r="DY27" s="230">
        <f t="shared" si="195"/>
        <v>40</v>
      </c>
      <c r="DZ27" s="230">
        <f t="shared" si="196"/>
        <v>0</v>
      </c>
      <c r="EA27" s="230">
        <f t="shared" si="197"/>
        <v>0</v>
      </c>
      <c r="EB27" s="230">
        <f t="shared" si="198"/>
        <v>0</v>
      </c>
      <c r="EC27" s="230">
        <f t="shared" si="199"/>
        <v>40</v>
      </c>
      <c r="ED27" s="230">
        <f t="shared" si="200"/>
        <v>0</v>
      </c>
      <c r="EE27" s="230">
        <f t="shared" si="201"/>
        <v>0</v>
      </c>
      <c r="EF27" s="230">
        <f t="shared" si="202"/>
        <v>0</v>
      </c>
      <c r="EG27" s="230">
        <f t="shared" si="203"/>
        <v>0</v>
      </c>
      <c r="EH27" s="230">
        <f t="shared" si="204"/>
        <v>0</v>
      </c>
      <c r="EI27" s="230">
        <f t="shared" si="205"/>
        <v>0</v>
      </c>
      <c r="EJ27" s="230">
        <f t="shared" si="206"/>
        <v>0</v>
      </c>
      <c r="EK27" s="230">
        <f t="shared" si="207"/>
        <v>0</v>
      </c>
      <c r="EL27" s="230">
        <f t="shared" si="208"/>
        <v>0</v>
      </c>
      <c r="EM27" s="230">
        <f t="shared" si="209"/>
        <v>0</v>
      </c>
      <c r="EN27" s="230">
        <f t="shared" si="210"/>
        <v>0</v>
      </c>
      <c r="EO27" s="230">
        <f t="shared" si="211"/>
        <v>0</v>
      </c>
      <c r="EP27" s="230">
        <f t="shared" si="212"/>
        <v>0</v>
      </c>
      <c r="EQ27" s="230">
        <f t="shared" si="213"/>
        <v>0</v>
      </c>
      <c r="ER27" s="230">
        <f t="shared" si="214"/>
        <v>0</v>
      </c>
      <c r="ES27" s="230">
        <f t="shared" si="215"/>
        <v>0</v>
      </c>
      <c r="ET27" s="230">
        <f t="shared" si="216"/>
        <v>0</v>
      </c>
      <c r="EU27" s="230">
        <f t="shared" si="217"/>
        <v>0</v>
      </c>
      <c r="EV27" s="230">
        <f t="shared" si="218"/>
        <v>0</v>
      </c>
      <c r="EW27" s="230">
        <f t="shared" si="219"/>
        <v>0</v>
      </c>
      <c r="EX27" s="230">
        <f t="shared" si="220"/>
        <v>0</v>
      </c>
      <c r="EY27" s="230">
        <f t="shared" si="221"/>
        <v>0</v>
      </c>
      <c r="EZ27" s="230">
        <f t="shared" si="222"/>
        <v>0</v>
      </c>
      <c r="FA27" s="230">
        <f t="shared" si="223"/>
        <v>0</v>
      </c>
      <c r="FB27" s="230">
        <f t="shared" si="224"/>
        <v>0</v>
      </c>
      <c r="FC27" s="230">
        <f t="shared" si="225"/>
        <v>0</v>
      </c>
      <c r="FD27" s="230">
        <f t="shared" si="226"/>
        <v>0</v>
      </c>
      <c r="FE27" s="230">
        <f t="shared" si="227"/>
        <v>0</v>
      </c>
      <c r="FF27" s="230">
        <f t="shared" si="228"/>
        <v>0</v>
      </c>
      <c r="FG27" s="230">
        <f t="shared" si="229"/>
        <v>0</v>
      </c>
      <c r="FH27" s="230">
        <f t="shared" si="230"/>
        <v>0</v>
      </c>
      <c r="FI27" s="230">
        <f t="shared" si="231"/>
        <v>0</v>
      </c>
      <c r="FJ27" s="230">
        <f t="shared" si="232"/>
        <v>0</v>
      </c>
      <c r="FK27" s="230">
        <f t="shared" si="233"/>
        <v>0</v>
      </c>
      <c r="FL27" s="230">
        <f t="shared" si="234"/>
        <v>0</v>
      </c>
      <c r="FM27" s="230">
        <f t="shared" si="235"/>
        <v>40</v>
      </c>
      <c r="FN27" s="230">
        <f>Input!AL27</f>
        <v>2100</v>
      </c>
      <c r="FO27" s="230">
        <f>Input!BB27</f>
        <v>0</v>
      </c>
      <c r="FP27" s="230">
        <f>Input!BR27</f>
        <v>0</v>
      </c>
      <c r="FQ27" s="230" t="str">
        <f>Input!CF27</f>
      </c>
      <c r="FR27" s="230" t="str">
        <f>Input!CT27</f>
      </c>
      <c r="FS27" s="230" t="str">
        <f>Input!DH27</f>
      </c>
      <c r="FT27" s="230" t="str">
        <f>Input!AM27</f>
        <v>25m/ 25m/ 25m</v>
      </c>
      <c r="FU27" s="230">
        <f>Input!BC27</f>
        <v>0</v>
      </c>
      <c r="FV27" s="230">
        <f>Input!BS27</f>
        <v>0</v>
      </c>
      <c r="FW27" s="230" t="str">
        <f>Input!CG27</f>
      </c>
      <c r="FX27" s="230" t="str">
        <f>Input!CU27</f>
      </c>
      <c r="FY27" s="230" t="str">
        <f>Input!DI27</f>
      </c>
      <c r="FZ27" s="230" t="str">
        <f t="shared" si="236"/>
        <v>25m/ 25m/ 25m</v>
      </c>
      <c r="GA27" s="230" t="str">
        <f t="shared" si="237"/>
      </c>
      <c r="GB27" s="230" t="str">
        <f t="shared" si="238"/>
      </c>
      <c r="GC27" s="230" t="str">
        <f t="shared" si="239"/>
      </c>
      <c r="GD27" s="230" t="str">
        <f t="shared" si="240"/>
      </c>
      <c r="GE27" s="230" t="str">
        <f t="shared" si="241"/>
      </c>
      <c r="GF27" s="230">
        <f t="shared" si="242"/>
        <v>25</v>
      </c>
      <c r="GG27" s="230">
        <f t="shared" si="243"/>
        <v>25</v>
      </c>
      <c r="GH27" s="230">
        <f t="shared" si="244"/>
        <v>25</v>
      </c>
      <c r="GI27" s="230">
        <f t="shared" si="245"/>
        <v>0</v>
      </c>
      <c r="GJ27" s="230">
        <f t="shared" si="246"/>
        <v>0</v>
      </c>
      <c r="GK27" s="230">
        <f t="shared" si="247"/>
        <v>0</v>
      </c>
      <c r="GL27" s="230">
        <f t="shared" si="248"/>
        <v>0</v>
      </c>
      <c r="GM27" s="230">
        <f t="shared" si="249"/>
        <v>0</v>
      </c>
      <c r="GN27" s="230">
        <f t="shared" si="250"/>
        <v>0</v>
      </c>
      <c r="GO27" s="230">
        <f t="shared" si="251"/>
        <v>0</v>
      </c>
      <c r="GP27" s="230">
        <f t="shared" si="252"/>
        <v>0</v>
      </c>
      <c r="GQ27" s="230">
        <f t="shared" si="253"/>
        <v>0</v>
      </c>
      <c r="GR27" s="230">
        <f t="shared" si="254"/>
        <v>0</v>
      </c>
      <c r="GS27" s="230">
        <f t="shared" si="255"/>
        <v>0</v>
      </c>
      <c r="GT27" s="230">
        <f t="shared" si="256"/>
        <v>0</v>
      </c>
      <c r="GU27" s="230">
        <f t="shared" si="257"/>
        <v>0</v>
      </c>
      <c r="GV27" s="230">
        <f t="shared" si="258"/>
        <v>0</v>
      </c>
      <c r="GW27" s="230">
        <f t="shared" si="259"/>
        <v>0</v>
      </c>
      <c r="GX27" s="230">
        <f t="shared" si="260"/>
        <v>0</v>
      </c>
      <c r="GY27" s="230">
        <f t="shared" si="261"/>
        <v>0</v>
      </c>
      <c r="GZ27" s="230">
        <f t="shared" si="262"/>
        <v>0</v>
      </c>
      <c r="HA27" s="230">
        <f t="shared" si="263"/>
        <v>0</v>
      </c>
      <c r="HB27" s="230">
        <f t="shared" si="264"/>
        <v>0</v>
      </c>
      <c r="HC27" s="230">
        <f t="shared" si="265"/>
        <v>0</v>
      </c>
      <c r="HD27" s="230">
        <f t="shared" si="266"/>
        <v>0</v>
      </c>
      <c r="HE27" s="230">
        <f t="shared" si="267"/>
        <v>0</v>
      </c>
      <c r="HF27" s="230">
        <f t="shared" si="268"/>
        <v>0</v>
      </c>
      <c r="HG27" s="230">
        <f t="shared" si="269"/>
        <v>0</v>
      </c>
      <c r="HH27" s="230">
        <f t="shared" si="270"/>
        <v>0</v>
      </c>
      <c r="HI27" s="230">
        <f t="shared" si="271"/>
        <v>0</v>
      </c>
      <c r="HJ27" s="230">
        <f t="shared" si="272"/>
        <v>0</v>
      </c>
      <c r="HK27" s="230">
        <f t="shared" si="273"/>
        <v>0</v>
      </c>
      <c r="HL27" s="230">
        <f t="shared" si="274"/>
        <v>0</v>
      </c>
      <c r="HM27" s="230">
        <f t="shared" si="275"/>
        <v>0</v>
      </c>
      <c r="HN27" s="230">
        <f t="shared" si="276"/>
        <v>0</v>
      </c>
      <c r="HO27" s="230">
        <f t="shared" si="277"/>
        <v>0</v>
      </c>
      <c r="HP27" s="230" t="str">
        <f>INDEX(LabNameList,MATCH(LabId,LabIDList,0))</f>
        <v>Trung tâm Kiểm định và Chứng nhận 2</v>
      </c>
      <c r="HQ27" s="230">
        <f t="shared" si="278"/>
        <v>25</v>
      </c>
      <c r="HR27" s="230">
        <f t="shared" si="279"/>
        <v>0</v>
      </c>
      <c r="HS27" s="230">
        <f t="shared" si="280"/>
        <v>0</v>
      </c>
      <c r="HT27" s="230">
        <f t="shared" si="281"/>
        <v>0</v>
      </c>
      <c r="HU27" s="230">
        <f t="shared" si="282"/>
        <v>0</v>
      </c>
      <c r="HV27" s="230">
        <f t="shared" si="283"/>
        <v>0</v>
      </c>
      <c r="HW27" s="797">
        <f t="shared" si="284"/>
        <v>25</v>
      </c>
      <c r="HX27" s="797">
        <f>Input!EB27</f>
        <v>0</v>
      </c>
      <c r="HY27" s="230">
        <v>68</v>
      </c>
      <c r="HZ27" s="230"/>
      <c r="IA27" s="230"/>
      <c r="IB27" s="230"/>
      <c r="IC27" s="232" t="str">
        <f t="shared" si="285"/>
        <v>B01978230916TG05</v>
      </c>
      <c r="ID27" s="233" t="str">
        <f>Input!O27</f>
        <v>01978</v>
      </c>
      <c r="IE27" s="467" t="str">
        <f t="shared" si="286"/>
        <v>230916</v>
      </c>
      <c r="IF27" s="232" t="s">
        <v>364</v>
      </c>
      <c r="IG27" s="467" t="str">
        <f t="shared" si="287"/>
        <v>23/09/2016</v>
      </c>
      <c r="IH27" s="467" t="str">
        <f t="shared" si="288"/>
        <v>23/09/2021</v>
      </c>
      <c r="II27" s="546" t="str">
        <f> Input!R27</f>
        <v>23/09/2016</v>
      </c>
      <c r="IJ27" s="467">
        <f t="shared" si="289"/>
        <v>44462</v>
      </c>
      <c r="IK27" s="468">
        <f t="shared" si="290"/>
        <v>3</v>
      </c>
      <c r="IL27" s="469" t="str">
        <f t="shared" si="291"/>
        <v>3-1</v>
      </c>
      <c r="IM27" s="469" t="str">
        <f t="shared" si="292"/>
        <v>KHAC</v>
      </c>
      <c r="IN27" s="469" t="str">
        <f t="shared" si="293"/>
        <v>KHAC</v>
      </c>
      <c r="IO27" s="469" t="str">
        <f t="shared" si="294"/>
      </c>
      <c r="IP27" s="469" t="str">
        <f t="shared" si="295"/>
      </c>
      <c r="IQ27" s="469" t="str">
        <f t="shared" si="296"/>
      </c>
      <c r="IR27" s="469">
        <f t="shared" si="297"/>
        <v>1</v>
      </c>
      <c r="IS27" s="469">
        <f t="shared" si="298"/>
        <v>2</v>
      </c>
      <c r="IT27" s="469" t="str">
        <f t="shared" si="299"/>
        <v>Yes</v>
      </c>
      <c r="IU27" s="469" t="str">
        <f t="shared" si="300"/>
        <v>Yes</v>
      </c>
    </row>
    <row r="28" ht="63.75">
      <c r="A28" s="601">
        <f>Input!A28</f>
        <v>27</v>
      </c>
      <c r="B28" s="229" t="str">
        <f>INDEX(ApplicantIDList,MATCH(AI28,ApplicantNameList,0))</f>
        <v>VIETTEL-2016</v>
      </c>
      <c r="C28" s="229" t="str">
        <f>INDEX(OperatorIDList,MATCH(AJ28,OperatorNameList,0))</f>
        <v>VIETTEL-2016</v>
      </c>
      <c r="D28" s="797" t="str">
        <f>Input!Y28</f>
        <v>HCM2219</v>
      </c>
      <c r="E28" s="229" t="str">
        <f>Input!G28</f>
        <v>Số 179, đường Nguyễn Bình, xã Phú Xuân, huyện Nhà Bè, thành phố Hồ Chí Minh.</v>
      </c>
      <c r="F28" s="229" t="str">
        <f>TRIM(SUBSTITUTE(SUBSTITUTE(Input!H28,"Thành phố ",""),"Tỉnh ",""))</f>
        <v>Hồ Chí Minh</v>
      </c>
      <c r="G28" s="797" t="str">
        <f>Input!I28</f>
        <v>106,74492</v>
      </c>
      <c r="H28" s="797" t="str">
        <f>Input!J28</f>
        <v>10,67591</v>
      </c>
      <c r="I28" s="229">
        <f>Input!V28</f>
        <v>1</v>
      </c>
      <c r="J28" s="229" t="str">
        <f>Input!K28</f>
        <v>1502398/16/TG/TT2</v>
      </c>
      <c r="K28" s="231" t="str">
        <f>TEXT(Input!L28,"dd/mm/yyyy")</f>
        <v>23/09/2016</v>
      </c>
      <c r="L28" s="231" t="str">
        <f>TEXT(Input!M28,"dd/mm/yyyy")</f>
        <v>15/09/2016</v>
      </c>
      <c r="M28" s="229" t="str">
        <f t="shared" si="135"/>
        <v>TỔNG CÔNG TY MẠNG LƯỚI VIETTEL</v>
      </c>
      <c r="N28" s="229" t="str">
        <f t="shared" si="136"/>
        <v>HCM2219</v>
      </c>
      <c r="O28" s="229" t="str">
        <f t="shared" si="137"/>
        <v>HUAWEI DBS3900</v>
      </c>
      <c r="P28" s="229" t="str">
        <f t="shared" si="138"/>
        <v>3</v>
      </c>
      <c r="Q28" s="229" t="str">
        <f t="shared" si="139"/>
        <v>2/2/2</v>
      </c>
      <c r="R28" s="229" t="str">
        <f t="shared" si="140"/>
        <v>40W/ 40W/ 40W</v>
      </c>
      <c r="S28" s="229" t="str">
        <f t="shared" si="141"/>
        <v>2100</v>
      </c>
      <c r="T28" s="229" t="str">
        <f t="shared" si="142"/>
        <v>34m/ 34m/ 34m</v>
      </c>
      <c r="U28" s="229">
        <v>1</v>
      </c>
      <c r="V28" s="229"/>
      <c r="W28" s="229" t="b">
        <f t="shared" si="143"/>
        <v>0</v>
      </c>
      <c r="X28" s="229" t="b">
        <f>INDEX(TrueFalseList,_xlfn.IFNA(MATCH(Input!W28,CoKhongList,0),MATCH(Input!W28,YesNoList,0)))</f>
        <v>0</v>
      </c>
      <c r="Y28" s="797">
        <f>Input!FZ28</f>
        <v>0</v>
      </c>
      <c r="Z28" s="229" t="b">
        <v>1</v>
      </c>
      <c r="AA28" s="797">
        <f t="shared" si="144"/>
        <v>34</v>
      </c>
      <c r="AB28" s="229" t="b">
        <v>0</v>
      </c>
      <c r="AC28" s="229" t="b">
        <v>1</v>
      </c>
      <c r="AD28" s="229">
        <f>Input!DR28</f>
        <v>0</v>
      </c>
      <c r="AE28" s="229"/>
      <c r="AF28" s="229" t="str">
        <f>Options!$D$6</f>
        <v>VCC2</v>
      </c>
      <c r="AG28" s="229">
        <f t="shared" si="145"/>
        <v>0</v>
      </c>
      <c r="AH28" s="230"/>
      <c r="AI28" s="553" t="str">
        <f>Input!E28</f>
        <v>TỔNG CÔNG TY MẠNG LƯỚI VIETTEL</v>
      </c>
      <c r="AJ28" s="553" t="str">
        <f>Input!F28</f>
        <v>TỔNG CÔNG TY MẠNG LƯỚI VIETTEL</v>
      </c>
      <c r="AK28" s="229">
        <f t="shared" si="146"/>
        <v>4</v>
      </c>
      <c r="AL28" s="465" t="str">
        <f t="shared" si="147"/>
        <v>thành phố Hồ Chí Minh.</v>
      </c>
      <c r="AM28" s="465" t="str">
        <f t="shared" si="148"/>
        <v>huyện Nhà Bè</v>
      </c>
      <c r="AN28" s="465" t="str">
        <f t="shared" si="149"/>
        <v>xã Phú Xuân</v>
      </c>
      <c r="AO28" s="229" t="str">
        <f>INDEX(CityIDList,MATCH(F28,CityNameList,0))</f>
        <v>HCM</v>
      </c>
      <c r="AP28" s="230" t="str">
        <f>Input!X28</f>
        <v>TỔNG CÔNG TY MẠNG LƯỚI VIETTEL</v>
      </c>
      <c r="AQ28" s="230">
        <f>Input!AN28</f>
        <v>0</v>
      </c>
      <c r="AR28" s="230">
        <f>Input!BD28</f>
        <v>0</v>
      </c>
      <c r="AS28" s="230" t="str">
        <f>Input!BT28</f>
      </c>
      <c r="AT28" s="230" t="str">
        <f>Input!CH28</f>
      </c>
      <c r="AU28" s="230" t="str">
        <f>Input!CV28</f>
      </c>
      <c r="AV28" s="230" t="str">
        <f>IF(I28&gt;=1,INDEX(OperatorIDList,MATCH(AP28,OperatorNameList,0)),"")</f>
        <v>VIETTEL-2016</v>
      </c>
      <c r="AW28" s="230" t="str">
        <f>IF(I28&gt;=2,INDEX(OperatorIDList,MATCH(AQ28,OperatorNameList,0)),"")</f>
      </c>
      <c r="AX28" s="230" t="str">
        <f>IF(I28&gt;=3,INDEX(OperatorIDList,MATCH(AR28,OperatorNameList,0)),"")</f>
      </c>
      <c r="AY28" s="230" t="str">
        <f>IF(I28&gt;=4,INDEX(OperatorIDList,MATCH(AS28,OperatorNameList,0)),"")</f>
      </c>
      <c r="AZ28" s="230" t="str">
        <f>IF(I28&gt;=5,INDEX(OperatorIDList,MATCH(AT28,OperatorNameList,0)),"")</f>
      </c>
      <c r="BA28" s="230" t="str">
        <f>IF(I28&gt;=6,INDEX(OperatorIDList,MATCH(AU28,OperatorNameList,0)),"")</f>
      </c>
      <c r="BB28" s="230" t="str">
        <f t="shared" si="150"/>
        <v>VIETTEL-2016</v>
      </c>
      <c r="BC28" s="230" t="str">
        <f>Input!Y28</f>
        <v>HCM2219</v>
      </c>
      <c r="BD28" s="230">
        <f>Input!AO28</f>
        <v>0</v>
      </c>
      <c r="BE28" s="230">
        <f>Input!BE28</f>
        <v>0</v>
      </c>
      <c r="BF28" s="230" t="str">
        <f>Input!BU28</f>
      </c>
      <c r="BG28" s="230" t="str">
        <f>Input!CI28</f>
      </c>
      <c r="BH28" s="230" t="str">
        <f>Input!CW28</f>
      </c>
      <c r="BI28" s="230" t="str">
        <f>Input!Z28</f>
        <v>HUAWEI DBS3900</v>
      </c>
      <c r="BJ28" s="230">
        <f>Input!AP28</f>
        <v>0</v>
      </c>
      <c r="BK28" s="230">
        <f>Input!BF28</f>
        <v>0</v>
      </c>
      <c r="BL28" s="230" t="str">
        <f>Input!BV28</f>
      </c>
      <c r="BM28" s="230" t="str">
        <f>Input!CJ28</f>
      </c>
      <c r="BN28" s="230" t="str">
        <f>Input!CX28</f>
      </c>
      <c r="BO28" s="553">
        <f>IF(ISNUMBER(Input!AA28),Input!AA28,0)</f>
        <v>3</v>
      </c>
      <c r="BP28" s="553">
        <f>IF(ISNUMBER(Input!AQ28),Input!AQ28,0)</f>
        <v>0</v>
      </c>
      <c r="BQ28" s="553">
        <f>IF(ISNUMBER(Input!BG28),Input!BG28,0)</f>
        <v>0</v>
      </c>
      <c r="BR28" s="553">
        <f>IF(ISNUMBER(Input!BW28),Input!BW28,0)</f>
        <v>0</v>
      </c>
      <c r="BS28" s="553">
        <f>IF(ISNUMBER(Input!CK28),Input!CK28,0)</f>
        <v>0</v>
      </c>
      <c r="BT28" s="554">
        <f>IF(ISNUMBER(Input!CY28),Input!CY28,0)</f>
        <v>0</v>
      </c>
      <c r="BU28" s="230" t="str">
        <f>Input!AF28</f>
        <v>2/2/2</v>
      </c>
      <c r="BV28" s="230" t="str">
        <f>Input!AV28</f>
      </c>
      <c r="BW28" s="230" t="str">
        <f>Input!BL28</f>
      </c>
      <c r="BX28" s="230" t="str">
        <f>Input!CA28</f>
      </c>
      <c r="BY28" s="230" t="str">
        <f>Input!CO28</f>
      </c>
      <c r="BZ28" s="230" t="str">
        <f>Input!DC28</f>
      </c>
      <c r="CA28" s="230">
        <f t="shared" si="151"/>
        <v>2</v>
      </c>
      <c r="CB28" s="230">
        <f t="shared" si="152"/>
        <v>2</v>
      </c>
      <c r="CC28" s="230">
        <f t="shared" si="153"/>
        <v>2</v>
      </c>
      <c r="CD28" s="230">
        <f t="shared" si="154"/>
        <v>0</v>
      </c>
      <c r="CE28" s="230">
        <f t="shared" si="155"/>
        <v>0</v>
      </c>
      <c r="CF28" s="230">
        <f t="shared" si="156"/>
        <v>0</v>
      </c>
      <c r="CG28" s="230">
        <f t="shared" si="157"/>
        <v>0</v>
      </c>
      <c r="CH28" s="230">
        <f t="shared" si="158"/>
        <v>0</v>
      </c>
      <c r="CI28" s="230">
        <f t="shared" si="159"/>
        <v>0</v>
      </c>
      <c r="CJ28" s="230">
        <f t="shared" si="160"/>
        <v>0</v>
      </c>
      <c r="CK28" s="230">
        <f t="shared" si="161"/>
        <v>0</v>
      </c>
      <c r="CL28" s="230">
        <f t="shared" si="162"/>
        <v>0</v>
      </c>
      <c r="CM28" s="230">
        <f t="shared" si="163"/>
        <v>0</v>
      </c>
      <c r="CN28" s="230">
        <f t="shared" si="164"/>
        <v>0</v>
      </c>
      <c r="CO28" s="230">
        <f t="shared" si="165"/>
        <v>0</v>
      </c>
      <c r="CP28" s="230">
        <f t="shared" si="166"/>
        <v>0</v>
      </c>
      <c r="CQ28" s="230">
        <f t="shared" si="167"/>
        <v>0</v>
      </c>
      <c r="CR28" s="230">
        <f t="shared" si="168"/>
        <v>0</v>
      </c>
      <c r="CS28" s="230">
        <f t="shared" si="169"/>
        <v>0</v>
      </c>
      <c r="CT28" s="230">
        <f t="shared" si="170"/>
        <v>0</v>
      </c>
      <c r="CU28" s="230">
        <f t="shared" si="171"/>
        <v>0</v>
      </c>
      <c r="CV28" s="230">
        <f t="shared" si="172"/>
        <v>0</v>
      </c>
      <c r="CW28" s="230">
        <f t="shared" si="173"/>
        <v>0</v>
      </c>
      <c r="CX28" s="230">
        <f t="shared" si="174"/>
        <v>0</v>
      </c>
      <c r="CY28" s="230">
        <f t="shared" si="175"/>
        <v>0</v>
      </c>
      <c r="CZ28" s="230">
        <f t="shared" si="176"/>
        <v>0</v>
      </c>
      <c r="DA28" s="230">
        <f t="shared" si="177"/>
        <v>0</v>
      </c>
      <c r="DB28" s="230">
        <f t="shared" si="178"/>
        <v>0</v>
      </c>
      <c r="DC28" s="230">
        <f t="shared" si="179"/>
        <v>0</v>
      </c>
      <c r="DD28" s="230">
        <f t="shared" si="180"/>
        <v>0</v>
      </c>
      <c r="DE28" s="230">
        <f t="shared" si="181"/>
        <v>0</v>
      </c>
      <c r="DF28" s="230">
        <f t="shared" si="182"/>
        <v>0</v>
      </c>
      <c r="DG28" s="230">
        <f t="shared" si="183"/>
        <v>0</v>
      </c>
      <c r="DH28" s="230">
        <f t="shared" si="184"/>
        <v>0</v>
      </c>
      <c r="DI28" s="230">
        <f t="shared" si="185"/>
        <v>0</v>
      </c>
      <c r="DJ28" s="230">
        <f t="shared" si="186"/>
        <v>0</v>
      </c>
      <c r="DK28" s="230" t="str">
        <f>Input!AK28</f>
        <v>40,00W/40,00W/40,00W</v>
      </c>
      <c r="DL28" s="230" t="str">
        <f>Input!BA28</f>
      </c>
      <c r="DM28" s="230" t="str">
        <f>Input!BQ28</f>
      </c>
      <c r="DN28" s="230" t="str">
        <f>Input!CE28</f>
      </c>
      <c r="DO28" s="230" t="str">
        <f>Input!CS28</f>
      </c>
      <c r="DP28" s="230" t="str">
        <f>Input!DG28</f>
      </c>
      <c r="DQ28" s="230" t="str">
        <f t="shared" si="187"/>
        <v>40W/ 40W/ 40W</v>
      </c>
      <c r="DR28" s="230" t="str">
        <f t="shared" si="188"/>
      </c>
      <c r="DS28" s="230" t="str">
        <f t="shared" si="189"/>
      </c>
      <c r="DT28" s="230" t="str">
        <f t="shared" si="190"/>
      </c>
      <c r="DU28" s="230" t="str">
        <f t="shared" si="191"/>
      </c>
      <c r="DV28" s="230" t="str">
        <f t="shared" si="192"/>
      </c>
      <c r="DW28" s="230">
        <f t="shared" si="193"/>
        <v>40</v>
      </c>
      <c r="DX28" s="230">
        <f t="shared" si="194"/>
        <v>40</v>
      </c>
      <c r="DY28" s="230">
        <f t="shared" si="195"/>
        <v>40</v>
      </c>
      <c r="DZ28" s="230">
        <f t="shared" si="196"/>
        <v>0</v>
      </c>
      <c r="EA28" s="230">
        <f t="shared" si="197"/>
        <v>0</v>
      </c>
      <c r="EB28" s="230">
        <f t="shared" si="198"/>
        <v>0</v>
      </c>
      <c r="EC28" s="230">
        <f t="shared" si="199"/>
        <v>40</v>
      </c>
      <c r="ED28" s="230">
        <f t="shared" si="200"/>
        <v>0</v>
      </c>
      <c r="EE28" s="230">
        <f t="shared" si="201"/>
        <v>0</v>
      </c>
      <c r="EF28" s="230">
        <f t="shared" si="202"/>
        <v>0</v>
      </c>
      <c r="EG28" s="230">
        <f t="shared" si="203"/>
        <v>0</v>
      </c>
      <c r="EH28" s="230">
        <f t="shared" si="204"/>
        <v>0</v>
      </c>
      <c r="EI28" s="230">
        <f t="shared" si="205"/>
        <v>0</v>
      </c>
      <c r="EJ28" s="230">
        <f t="shared" si="206"/>
        <v>0</v>
      </c>
      <c r="EK28" s="230">
        <f t="shared" si="207"/>
        <v>0</v>
      </c>
      <c r="EL28" s="230">
        <f t="shared" si="208"/>
        <v>0</v>
      </c>
      <c r="EM28" s="230">
        <f t="shared" si="209"/>
        <v>0</v>
      </c>
      <c r="EN28" s="230">
        <f t="shared" si="210"/>
        <v>0</v>
      </c>
      <c r="EO28" s="230">
        <f t="shared" si="211"/>
        <v>0</v>
      </c>
      <c r="EP28" s="230">
        <f t="shared" si="212"/>
        <v>0</v>
      </c>
      <c r="EQ28" s="230">
        <f t="shared" si="213"/>
        <v>0</v>
      </c>
      <c r="ER28" s="230">
        <f t="shared" si="214"/>
        <v>0</v>
      </c>
      <c r="ES28" s="230">
        <f t="shared" si="215"/>
        <v>0</v>
      </c>
      <c r="ET28" s="230">
        <f t="shared" si="216"/>
        <v>0</v>
      </c>
      <c r="EU28" s="230">
        <f t="shared" si="217"/>
        <v>0</v>
      </c>
      <c r="EV28" s="230">
        <f t="shared" si="218"/>
        <v>0</v>
      </c>
      <c r="EW28" s="230">
        <f t="shared" si="219"/>
        <v>0</v>
      </c>
      <c r="EX28" s="230">
        <f t="shared" si="220"/>
        <v>0</v>
      </c>
      <c r="EY28" s="230">
        <f t="shared" si="221"/>
        <v>0</v>
      </c>
      <c r="EZ28" s="230">
        <f t="shared" si="222"/>
        <v>0</v>
      </c>
      <c r="FA28" s="230">
        <f t="shared" si="223"/>
        <v>0</v>
      </c>
      <c r="FB28" s="230">
        <f t="shared" si="224"/>
        <v>0</v>
      </c>
      <c r="FC28" s="230">
        <f t="shared" si="225"/>
        <v>0</v>
      </c>
      <c r="FD28" s="230">
        <f t="shared" si="226"/>
        <v>0</v>
      </c>
      <c r="FE28" s="230">
        <f t="shared" si="227"/>
        <v>0</v>
      </c>
      <c r="FF28" s="230">
        <f t="shared" si="228"/>
        <v>0</v>
      </c>
      <c r="FG28" s="230">
        <f t="shared" si="229"/>
        <v>0</v>
      </c>
      <c r="FH28" s="230">
        <f t="shared" si="230"/>
        <v>0</v>
      </c>
      <c r="FI28" s="230">
        <f t="shared" si="231"/>
        <v>0</v>
      </c>
      <c r="FJ28" s="230">
        <f t="shared" si="232"/>
        <v>0</v>
      </c>
      <c r="FK28" s="230">
        <f t="shared" si="233"/>
        <v>0</v>
      </c>
      <c r="FL28" s="230">
        <f t="shared" si="234"/>
        <v>0</v>
      </c>
      <c r="FM28" s="230">
        <f t="shared" si="235"/>
        <v>40</v>
      </c>
      <c r="FN28" s="230">
        <f>Input!AL28</f>
        <v>2100</v>
      </c>
      <c r="FO28" s="230">
        <f>Input!BB28</f>
        <v>0</v>
      </c>
      <c r="FP28" s="230">
        <f>Input!BR28</f>
        <v>0</v>
      </c>
      <c r="FQ28" s="230" t="str">
        <f>Input!CF28</f>
      </c>
      <c r="FR28" s="230" t="str">
        <f>Input!CT28</f>
      </c>
      <c r="FS28" s="230" t="str">
        <f>Input!DH28</f>
      </c>
      <c r="FT28" s="230" t="str">
        <f>Input!AM28</f>
        <v>34m/ 34m/ 34m</v>
      </c>
      <c r="FU28" s="230">
        <f>Input!BC28</f>
        <v>0</v>
      </c>
      <c r="FV28" s="230">
        <f>Input!BS28</f>
        <v>0</v>
      </c>
      <c r="FW28" s="230" t="str">
        <f>Input!CG28</f>
      </c>
      <c r="FX28" s="230" t="str">
        <f>Input!CU28</f>
      </c>
      <c r="FY28" s="230" t="str">
        <f>Input!DI28</f>
      </c>
      <c r="FZ28" s="230" t="str">
        <f t="shared" si="236"/>
        <v>34m/ 34m/ 34m</v>
      </c>
      <c r="GA28" s="230" t="str">
        <f t="shared" si="237"/>
      </c>
      <c r="GB28" s="230" t="str">
        <f t="shared" si="238"/>
      </c>
      <c r="GC28" s="230" t="str">
        <f t="shared" si="239"/>
      </c>
      <c r="GD28" s="230" t="str">
        <f t="shared" si="240"/>
      </c>
      <c r="GE28" s="230" t="str">
        <f t="shared" si="241"/>
      </c>
      <c r="GF28" s="230">
        <f t="shared" si="242"/>
        <v>34</v>
      </c>
      <c r="GG28" s="230">
        <f t="shared" si="243"/>
        <v>34</v>
      </c>
      <c r="GH28" s="230">
        <f t="shared" si="244"/>
        <v>34</v>
      </c>
      <c r="GI28" s="230">
        <f t="shared" si="245"/>
        <v>0</v>
      </c>
      <c r="GJ28" s="230">
        <f t="shared" si="246"/>
        <v>0</v>
      </c>
      <c r="GK28" s="230">
        <f t="shared" si="247"/>
        <v>0</v>
      </c>
      <c r="GL28" s="230">
        <f t="shared" si="248"/>
        <v>0</v>
      </c>
      <c r="GM28" s="230">
        <f t="shared" si="249"/>
        <v>0</v>
      </c>
      <c r="GN28" s="230">
        <f t="shared" si="250"/>
        <v>0</v>
      </c>
      <c r="GO28" s="230">
        <f t="shared" si="251"/>
        <v>0</v>
      </c>
      <c r="GP28" s="230">
        <f t="shared" si="252"/>
        <v>0</v>
      </c>
      <c r="GQ28" s="230">
        <f t="shared" si="253"/>
        <v>0</v>
      </c>
      <c r="GR28" s="230">
        <f t="shared" si="254"/>
        <v>0</v>
      </c>
      <c r="GS28" s="230">
        <f t="shared" si="255"/>
        <v>0</v>
      </c>
      <c r="GT28" s="230">
        <f t="shared" si="256"/>
        <v>0</v>
      </c>
      <c r="GU28" s="230">
        <f t="shared" si="257"/>
        <v>0</v>
      </c>
      <c r="GV28" s="230">
        <f t="shared" si="258"/>
        <v>0</v>
      </c>
      <c r="GW28" s="230">
        <f t="shared" si="259"/>
        <v>0</v>
      </c>
      <c r="GX28" s="230">
        <f t="shared" si="260"/>
        <v>0</v>
      </c>
      <c r="GY28" s="230">
        <f t="shared" si="261"/>
        <v>0</v>
      </c>
      <c r="GZ28" s="230">
        <f t="shared" si="262"/>
        <v>0</v>
      </c>
      <c r="HA28" s="230">
        <f t="shared" si="263"/>
        <v>0</v>
      </c>
      <c r="HB28" s="230">
        <f t="shared" si="264"/>
        <v>0</v>
      </c>
      <c r="HC28" s="230">
        <f t="shared" si="265"/>
        <v>0</v>
      </c>
      <c r="HD28" s="230">
        <f t="shared" si="266"/>
        <v>0</v>
      </c>
      <c r="HE28" s="230">
        <f t="shared" si="267"/>
        <v>0</v>
      </c>
      <c r="HF28" s="230">
        <f t="shared" si="268"/>
        <v>0</v>
      </c>
      <c r="HG28" s="230">
        <f t="shared" si="269"/>
        <v>0</v>
      </c>
      <c r="HH28" s="230">
        <f t="shared" si="270"/>
        <v>0</v>
      </c>
      <c r="HI28" s="230">
        <f t="shared" si="271"/>
        <v>0</v>
      </c>
      <c r="HJ28" s="230">
        <f t="shared" si="272"/>
        <v>0</v>
      </c>
      <c r="HK28" s="230">
        <f t="shared" si="273"/>
        <v>0</v>
      </c>
      <c r="HL28" s="230">
        <f t="shared" si="274"/>
        <v>0</v>
      </c>
      <c r="HM28" s="230">
        <f t="shared" si="275"/>
        <v>0</v>
      </c>
      <c r="HN28" s="230">
        <f t="shared" si="276"/>
        <v>0</v>
      </c>
      <c r="HO28" s="230">
        <f t="shared" si="277"/>
        <v>0</v>
      </c>
      <c r="HP28" s="230" t="str">
        <f>INDEX(LabNameList,MATCH(LabId,LabIDList,0))</f>
        <v>Trung tâm Kiểm định và Chứng nhận 2</v>
      </c>
      <c r="HQ28" s="230">
        <f t="shared" si="278"/>
        <v>34</v>
      </c>
      <c r="HR28" s="230">
        <f t="shared" si="279"/>
        <v>0</v>
      </c>
      <c r="HS28" s="230">
        <f t="shared" si="280"/>
        <v>0</v>
      </c>
      <c r="HT28" s="230">
        <f t="shared" si="281"/>
        <v>0</v>
      </c>
      <c r="HU28" s="230">
        <f t="shared" si="282"/>
        <v>0</v>
      </c>
      <c r="HV28" s="230">
        <f t="shared" si="283"/>
        <v>0</v>
      </c>
      <c r="HW28" s="797">
        <f t="shared" si="284"/>
        <v>34</v>
      </c>
      <c r="HX28" s="797">
        <f>Input!EB28</f>
        <v>0</v>
      </c>
      <c r="HY28" s="230">
        <v>68</v>
      </c>
      <c r="HZ28" s="230"/>
      <c r="IA28" s="230"/>
      <c r="IB28" s="230"/>
      <c r="IC28" s="232" t="str">
        <f t="shared" si="285"/>
        <v>B01979230916TG05</v>
      </c>
      <c r="ID28" s="233" t="str">
        <f>Input!O28</f>
        <v>01979</v>
      </c>
      <c r="IE28" s="467" t="str">
        <f t="shared" si="286"/>
        <v>230916</v>
      </c>
      <c r="IF28" s="232" t="s">
        <v>364</v>
      </c>
      <c r="IG28" s="467" t="str">
        <f t="shared" si="287"/>
        <v>23/09/2016</v>
      </c>
      <c r="IH28" s="467" t="str">
        <f t="shared" si="288"/>
        <v>23/09/2021</v>
      </c>
      <c r="II28" s="546" t="str">
        <f> Input!R28</f>
        <v>23/09/2016</v>
      </c>
      <c r="IJ28" s="467">
        <f t="shared" si="289"/>
        <v>44462</v>
      </c>
      <c r="IK28" s="468">
        <f t="shared" si="290"/>
        <v>3</v>
      </c>
      <c r="IL28" s="469" t="str">
        <f t="shared" si="291"/>
        <v>3-1</v>
      </c>
      <c r="IM28" s="469" t="str">
        <f t="shared" si="292"/>
        <v>KHAC</v>
      </c>
      <c r="IN28" s="469" t="str">
        <f t="shared" si="293"/>
        <v>KHAC</v>
      </c>
      <c r="IO28" s="469" t="str">
        <f t="shared" si="294"/>
      </c>
      <c r="IP28" s="469" t="str">
        <f t="shared" si="295"/>
      </c>
      <c r="IQ28" s="469" t="str">
        <f t="shared" si="296"/>
      </c>
      <c r="IR28" s="469">
        <f t="shared" si="297"/>
        <v>1</v>
      </c>
      <c r="IS28" s="469">
        <f t="shared" si="298"/>
        <v>2</v>
      </c>
      <c r="IT28" s="469" t="str">
        <f t="shared" si="299"/>
        <v>Yes</v>
      </c>
      <c r="IU28" s="469" t="str">
        <f t="shared" si="300"/>
        <v>Yes</v>
      </c>
    </row>
    <row r="29" ht="63.75">
      <c r="A29" s="601">
        <f>Input!A29</f>
        <v>28</v>
      </c>
      <c r="B29" s="229" t="str">
        <f>INDEX(ApplicantIDList,MATCH(AI29,ApplicantNameList,0))</f>
        <v>VIETTEL-2016</v>
      </c>
      <c r="C29" s="229" t="str">
        <f>INDEX(OperatorIDList,MATCH(AJ29,OperatorNameList,0))</f>
        <v>VIETTEL-2016</v>
      </c>
      <c r="D29" s="797" t="str">
        <f>Input!Y29</f>
        <v>HCM2221</v>
      </c>
      <c r="E29" s="229" t="str">
        <f>Input!G29</f>
        <v>Số 769B, đường Huỳnh Tấn Phát, xã Phú Xuân, huyện Nhà Bè, thành phố Hồ Chí Minh.</v>
      </c>
      <c r="F29" s="229" t="str">
        <f>TRIM(SUBSTITUTE(SUBSTITUTE(Input!H29,"Thành phố ",""),"Tỉnh ",""))</f>
        <v>Hồ Chí Minh</v>
      </c>
      <c r="G29" s="797" t="str">
        <f>Input!I29</f>
        <v>106,75310</v>
      </c>
      <c r="H29" s="797" t="str">
        <f>Input!J29</f>
        <v>10,67851</v>
      </c>
      <c r="I29" s="229">
        <f>Input!V29</f>
        <v>1</v>
      </c>
      <c r="J29" s="229" t="str">
        <f>Input!K29</f>
        <v>1502399/16/TG/TT2</v>
      </c>
      <c r="K29" s="231" t="str">
        <f>TEXT(Input!L29,"dd/mm/yyyy")</f>
        <v>23/09/2016</v>
      </c>
      <c r="L29" s="231" t="str">
        <f>TEXT(Input!M29,"dd/mm/yyyy")</f>
        <v>16/09/2016</v>
      </c>
      <c r="M29" s="229" t="str">
        <f t="shared" si="135"/>
        <v>TỔNG CÔNG TY MẠNG LƯỚI VIETTEL</v>
      </c>
      <c r="N29" s="229" t="str">
        <f t="shared" si="136"/>
        <v>HCM2221</v>
      </c>
      <c r="O29" s="229" t="str">
        <f t="shared" si="137"/>
        <v>HUAWEI DBS3900</v>
      </c>
      <c r="P29" s="229" t="str">
        <f t="shared" si="138"/>
        <v>3</v>
      </c>
      <c r="Q29" s="229" t="str">
        <f t="shared" si="139"/>
        <v>2/2/2</v>
      </c>
      <c r="R29" s="229" t="str">
        <f t="shared" si="140"/>
        <v>40W/ 40W/ 40W</v>
      </c>
      <c r="S29" s="229" t="str">
        <f t="shared" si="141"/>
        <v>2100</v>
      </c>
      <c r="T29" s="229" t="str">
        <f t="shared" si="142"/>
        <v>28m/ 28m/ 28m</v>
      </c>
      <c r="U29" s="229">
        <v>1</v>
      </c>
      <c r="V29" s="229"/>
      <c r="W29" s="229" t="b">
        <f t="shared" si="143"/>
        <v>0</v>
      </c>
      <c r="X29" s="229" t="b">
        <f>INDEX(TrueFalseList,_xlfn.IFNA(MATCH(Input!W29,CoKhongList,0),MATCH(Input!W29,YesNoList,0)))</f>
        <v>0</v>
      </c>
      <c r="Y29" s="797">
        <f>Input!FZ29</f>
        <v>0</v>
      </c>
      <c r="Z29" s="229" t="b">
        <v>1</v>
      </c>
      <c r="AA29" s="797">
        <f t="shared" si="144"/>
        <v>28</v>
      </c>
      <c r="AB29" s="229" t="b">
        <v>0</v>
      </c>
      <c r="AC29" s="229" t="b">
        <v>1</v>
      </c>
      <c r="AD29" s="229">
        <f>Input!DR29</f>
        <v>0</v>
      </c>
      <c r="AE29" s="229"/>
      <c r="AF29" s="229" t="str">
        <f>Options!$D$6</f>
        <v>VCC2</v>
      </c>
      <c r="AG29" s="229">
        <f t="shared" si="145"/>
        <v>0</v>
      </c>
      <c r="AH29" s="230"/>
      <c r="AI29" s="553" t="str">
        <f>Input!E29</f>
        <v>TỔNG CÔNG TY MẠNG LƯỚI VIETTEL</v>
      </c>
      <c r="AJ29" s="553" t="str">
        <f>Input!F29</f>
        <v>TỔNG CÔNG TY MẠNG LƯỚI VIETTEL</v>
      </c>
      <c r="AK29" s="229">
        <f t="shared" si="146"/>
        <v>4</v>
      </c>
      <c r="AL29" s="465" t="str">
        <f t="shared" si="147"/>
        <v>thành phố Hồ Chí Minh.</v>
      </c>
      <c r="AM29" s="465" t="str">
        <f t="shared" si="148"/>
        <v>huyện Nhà Bè</v>
      </c>
      <c r="AN29" s="465" t="str">
        <f t="shared" si="149"/>
        <v>xã Phú Xuân</v>
      </c>
      <c r="AO29" s="229" t="str">
        <f>INDEX(CityIDList,MATCH(F29,CityNameList,0))</f>
        <v>HCM</v>
      </c>
      <c r="AP29" s="230" t="str">
        <f>Input!X29</f>
        <v>TỔNG CÔNG TY MẠNG LƯỚI VIETTEL</v>
      </c>
      <c r="AQ29" s="230">
        <f>Input!AN29</f>
        <v>0</v>
      </c>
      <c r="AR29" s="230">
        <f>Input!BD29</f>
        <v>0</v>
      </c>
      <c r="AS29" s="230" t="str">
        <f>Input!BT29</f>
      </c>
      <c r="AT29" s="230" t="str">
        <f>Input!CH29</f>
      </c>
      <c r="AU29" s="230" t="str">
        <f>Input!CV29</f>
      </c>
      <c r="AV29" s="230" t="str">
        <f>IF(I29&gt;=1,INDEX(OperatorIDList,MATCH(AP29,OperatorNameList,0)),"")</f>
        <v>VIETTEL-2016</v>
      </c>
      <c r="AW29" s="230" t="str">
        <f>IF(I29&gt;=2,INDEX(OperatorIDList,MATCH(AQ29,OperatorNameList,0)),"")</f>
      </c>
      <c r="AX29" s="230" t="str">
        <f>IF(I29&gt;=3,INDEX(OperatorIDList,MATCH(AR29,OperatorNameList,0)),"")</f>
      </c>
      <c r="AY29" s="230" t="str">
        <f>IF(I29&gt;=4,INDEX(OperatorIDList,MATCH(AS29,OperatorNameList,0)),"")</f>
      </c>
      <c r="AZ29" s="230" t="str">
        <f>IF(I29&gt;=5,INDEX(OperatorIDList,MATCH(AT29,OperatorNameList,0)),"")</f>
      </c>
      <c r="BA29" s="230" t="str">
        <f>IF(I29&gt;=6,INDEX(OperatorIDList,MATCH(AU29,OperatorNameList,0)),"")</f>
      </c>
      <c r="BB29" s="230" t="str">
        <f t="shared" si="150"/>
        <v>VIETTEL-2016</v>
      </c>
      <c r="BC29" s="230" t="str">
        <f>Input!Y29</f>
        <v>HCM2221</v>
      </c>
      <c r="BD29" s="230">
        <f>Input!AO29</f>
        <v>0</v>
      </c>
      <c r="BE29" s="230">
        <f>Input!BE29</f>
        <v>0</v>
      </c>
      <c r="BF29" s="230" t="str">
        <f>Input!BU29</f>
      </c>
      <c r="BG29" s="230" t="str">
        <f>Input!CI29</f>
      </c>
      <c r="BH29" s="230" t="str">
        <f>Input!CW29</f>
      </c>
      <c r="BI29" s="230" t="str">
        <f>Input!Z29</f>
        <v>HUAWEI DBS3900</v>
      </c>
      <c r="BJ29" s="230">
        <f>Input!AP29</f>
        <v>0</v>
      </c>
      <c r="BK29" s="230">
        <f>Input!BF29</f>
        <v>0</v>
      </c>
      <c r="BL29" s="230" t="str">
        <f>Input!BV29</f>
      </c>
      <c r="BM29" s="230" t="str">
        <f>Input!CJ29</f>
      </c>
      <c r="BN29" s="230" t="str">
        <f>Input!CX29</f>
      </c>
      <c r="BO29" s="553">
        <f>IF(ISNUMBER(Input!AA29),Input!AA29,0)</f>
        <v>3</v>
      </c>
      <c r="BP29" s="553">
        <f>IF(ISNUMBER(Input!AQ29),Input!AQ29,0)</f>
        <v>0</v>
      </c>
      <c r="BQ29" s="553">
        <f>IF(ISNUMBER(Input!BG29),Input!BG29,0)</f>
        <v>0</v>
      </c>
      <c r="BR29" s="553">
        <f>IF(ISNUMBER(Input!BW29),Input!BW29,0)</f>
        <v>0</v>
      </c>
      <c r="BS29" s="553">
        <f>IF(ISNUMBER(Input!CK29),Input!CK29,0)</f>
        <v>0</v>
      </c>
      <c r="BT29" s="554">
        <f>IF(ISNUMBER(Input!CY29),Input!CY29,0)</f>
        <v>0</v>
      </c>
      <c r="BU29" s="230" t="str">
        <f>Input!AF29</f>
        <v>2/2/2</v>
      </c>
      <c r="BV29" s="230" t="str">
        <f>Input!AV29</f>
      </c>
      <c r="BW29" s="230" t="str">
        <f>Input!BL29</f>
      </c>
      <c r="BX29" s="230" t="str">
        <f>Input!CA29</f>
      </c>
      <c r="BY29" s="230" t="str">
        <f>Input!CO29</f>
      </c>
      <c r="BZ29" s="230" t="str">
        <f>Input!DC29</f>
      </c>
      <c r="CA29" s="230">
        <f t="shared" si="151"/>
        <v>2</v>
      </c>
      <c r="CB29" s="230">
        <f t="shared" si="152"/>
        <v>2</v>
      </c>
      <c r="CC29" s="230">
        <f t="shared" si="153"/>
        <v>2</v>
      </c>
      <c r="CD29" s="230">
        <f t="shared" si="154"/>
        <v>0</v>
      </c>
      <c r="CE29" s="230">
        <f t="shared" si="155"/>
        <v>0</v>
      </c>
      <c r="CF29" s="230">
        <f t="shared" si="156"/>
        <v>0</v>
      </c>
      <c r="CG29" s="230">
        <f t="shared" si="157"/>
        <v>0</v>
      </c>
      <c r="CH29" s="230">
        <f t="shared" si="158"/>
        <v>0</v>
      </c>
      <c r="CI29" s="230">
        <f t="shared" si="159"/>
        <v>0</v>
      </c>
      <c r="CJ29" s="230">
        <f t="shared" si="160"/>
        <v>0</v>
      </c>
      <c r="CK29" s="230">
        <f t="shared" si="161"/>
        <v>0</v>
      </c>
      <c r="CL29" s="230">
        <f t="shared" si="162"/>
        <v>0</v>
      </c>
      <c r="CM29" s="230">
        <f t="shared" si="163"/>
        <v>0</v>
      </c>
      <c r="CN29" s="230">
        <f t="shared" si="164"/>
        <v>0</v>
      </c>
      <c r="CO29" s="230">
        <f t="shared" si="165"/>
        <v>0</v>
      </c>
      <c r="CP29" s="230">
        <f t="shared" si="166"/>
        <v>0</v>
      </c>
      <c r="CQ29" s="230">
        <f t="shared" si="167"/>
        <v>0</v>
      </c>
      <c r="CR29" s="230">
        <f t="shared" si="168"/>
        <v>0</v>
      </c>
      <c r="CS29" s="230">
        <f t="shared" si="169"/>
        <v>0</v>
      </c>
      <c r="CT29" s="230">
        <f t="shared" si="170"/>
        <v>0</v>
      </c>
      <c r="CU29" s="230">
        <f t="shared" si="171"/>
        <v>0</v>
      </c>
      <c r="CV29" s="230">
        <f t="shared" si="172"/>
        <v>0</v>
      </c>
      <c r="CW29" s="230">
        <f t="shared" si="173"/>
        <v>0</v>
      </c>
      <c r="CX29" s="230">
        <f t="shared" si="174"/>
        <v>0</v>
      </c>
      <c r="CY29" s="230">
        <f t="shared" si="175"/>
        <v>0</v>
      </c>
      <c r="CZ29" s="230">
        <f t="shared" si="176"/>
        <v>0</v>
      </c>
      <c r="DA29" s="230">
        <f t="shared" si="177"/>
        <v>0</v>
      </c>
      <c r="DB29" s="230">
        <f t="shared" si="178"/>
        <v>0</v>
      </c>
      <c r="DC29" s="230">
        <f t="shared" si="179"/>
        <v>0</v>
      </c>
      <c r="DD29" s="230">
        <f t="shared" si="180"/>
        <v>0</v>
      </c>
      <c r="DE29" s="230">
        <f t="shared" si="181"/>
        <v>0</v>
      </c>
      <c r="DF29" s="230">
        <f t="shared" si="182"/>
        <v>0</v>
      </c>
      <c r="DG29" s="230">
        <f t="shared" si="183"/>
        <v>0</v>
      </c>
      <c r="DH29" s="230">
        <f t="shared" si="184"/>
        <v>0</v>
      </c>
      <c r="DI29" s="230">
        <f t="shared" si="185"/>
        <v>0</v>
      </c>
      <c r="DJ29" s="230">
        <f t="shared" si="186"/>
        <v>0</v>
      </c>
      <c r="DK29" s="230" t="str">
        <f>Input!AK29</f>
        <v>40,00W/40,00W/40,00W</v>
      </c>
      <c r="DL29" s="230" t="str">
        <f>Input!BA29</f>
      </c>
      <c r="DM29" s="230" t="str">
        <f>Input!BQ29</f>
      </c>
      <c r="DN29" s="230" t="str">
        <f>Input!CE29</f>
      </c>
      <c r="DO29" s="230" t="str">
        <f>Input!CS29</f>
      </c>
      <c r="DP29" s="230" t="str">
        <f>Input!DG29</f>
      </c>
      <c r="DQ29" s="230" t="str">
        <f t="shared" si="187"/>
        <v>40W/ 40W/ 40W</v>
      </c>
      <c r="DR29" s="230" t="str">
        <f t="shared" si="188"/>
      </c>
      <c r="DS29" s="230" t="str">
        <f t="shared" si="189"/>
      </c>
      <c r="DT29" s="230" t="str">
        <f t="shared" si="190"/>
      </c>
      <c r="DU29" s="230" t="str">
        <f t="shared" si="191"/>
      </c>
      <c r="DV29" s="230" t="str">
        <f t="shared" si="192"/>
      </c>
      <c r="DW29" s="230">
        <f t="shared" si="193"/>
        <v>40</v>
      </c>
      <c r="DX29" s="230">
        <f t="shared" si="194"/>
        <v>40</v>
      </c>
      <c r="DY29" s="230">
        <f t="shared" si="195"/>
        <v>40</v>
      </c>
      <c r="DZ29" s="230">
        <f t="shared" si="196"/>
        <v>0</v>
      </c>
      <c r="EA29" s="230">
        <f t="shared" si="197"/>
        <v>0</v>
      </c>
      <c r="EB29" s="230">
        <f t="shared" si="198"/>
        <v>0</v>
      </c>
      <c r="EC29" s="230">
        <f t="shared" si="199"/>
        <v>40</v>
      </c>
      <c r="ED29" s="230">
        <f t="shared" si="200"/>
        <v>0</v>
      </c>
      <c r="EE29" s="230">
        <f t="shared" si="201"/>
        <v>0</v>
      </c>
      <c r="EF29" s="230">
        <f t="shared" si="202"/>
        <v>0</v>
      </c>
      <c r="EG29" s="230">
        <f t="shared" si="203"/>
        <v>0</v>
      </c>
      <c r="EH29" s="230">
        <f t="shared" si="204"/>
        <v>0</v>
      </c>
      <c r="EI29" s="230">
        <f t="shared" si="205"/>
        <v>0</v>
      </c>
      <c r="EJ29" s="230">
        <f t="shared" si="206"/>
        <v>0</v>
      </c>
      <c r="EK29" s="230">
        <f t="shared" si="207"/>
        <v>0</v>
      </c>
      <c r="EL29" s="230">
        <f t="shared" si="208"/>
        <v>0</v>
      </c>
      <c r="EM29" s="230">
        <f t="shared" si="209"/>
        <v>0</v>
      </c>
      <c r="EN29" s="230">
        <f t="shared" si="210"/>
        <v>0</v>
      </c>
      <c r="EO29" s="230">
        <f t="shared" si="211"/>
        <v>0</v>
      </c>
      <c r="EP29" s="230">
        <f t="shared" si="212"/>
        <v>0</v>
      </c>
      <c r="EQ29" s="230">
        <f t="shared" si="213"/>
        <v>0</v>
      </c>
      <c r="ER29" s="230">
        <f t="shared" si="214"/>
        <v>0</v>
      </c>
      <c r="ES29" s="230">
        <f t="shared" si="215"/>
        <v>0</v>
      </c>
      <c r="ET29" s="230">
        <f t="shared" si="216"/>
        <v>0</v>
      </c>
      <c r="EU29" s="230">
        <f t="shared" si="217"/>
        <v>0</v>
      </c>
      <c r="EV29" s="230">
        <f t="shared" si="218"/>
        <v>0</v>
      </c>
      <c r="EW29" s="230">
        <f t="shared" si="219"/>
        <v>0</v>
      </c>
      <c r="EX29" s="230">
        <f t="shared" si="220"/>
        <v>0</v>
      </c>
      <c r="EY29" s="230">
        <f t="shared" si="221"/>
        <v>0</v>
      </c>
      <c r="EZ29" s="230">
        <f t="shared" si="222"/>
        <v>0</v>
      </c>
      <c r="FA29" s="230">
        <f t="shared" si="223"/>
        <v>0</v>
      </c>
      <c r="FB29" s="230">
        <f t="shared" si="224"/>
        <v>0</v>
      </c>
      <c r="FC29" s="230">
        <f t="shared" si="225"/>
        <v>0</v>
      </c>
      <c r="FD29" s="230">
        <f t="shared" si="226"/>
        <v>0</v>
      </c>
      <c r="FE29" s="230">
        <f t="shared" si="227"/>
        <v>0</v>
      </c>
      <c r="FF29" s="230">
        <f t="shared" si="228"/>
        <v>0</v>
      </c>
      <c r="FG29" s="230">
        <f t="shared" si="229"/>
        <v>0</v>
      </c>
      <c r="FH29" s="230">
        <f t="shared" si="230"/>
        <v>0</v>
      </c>
      <c r="FI29" s="230">
        <f t="shared" si="231"/>
        <v>0</v>
      </c>
      <c r="FJ29" s="230">
        <f t="shared" si="232"/>
        <v>0</v>
      </c>
      <c r="FK29" s="230">
        <f t="shared" si="233"/>
        <v>0</v>
      </c>
      <c r="FL29" s="230">
        <f t="shared" si="234"/>
        <v>0</v>
      </c>
      <c r="FM29" s="230">
        <f t="shared" si="235"/>
        <v>40</v>
      </c>
      <c r="FN29" s="230">
        <f>Input!AL29</f>
        <v>2100</v>
      </c>
      <c r="FO29" s="230">
        <f>Input!BB29</f>
        <v>0</v>
      </c>
      <c r="FP29" s="230">
        <f>Input!BR29</f>
        <v>0</v>
      </c>
      <c r="FQ29" s="230" t="str">
        <f>Input!CF29</f>
      </c>
      <c r="FR29" s="230" t="str">
        <f>Input!CT29</f>
      </c>
      <c r="FS29" s="230" t="str">
        <f>Input!DH29</f>
      </c>
      <c r="FT29" s="230" t="str">
        <f>Input!AM29</f>
        <v>28m/ 28m/ 28m</v>
      </c>
      <c r="FU29" s="230">
        <f>Input!BC29</f>
        <v>0</v>
      </c>
      <c r="FV29" s="230">
        <f>Input!BS29</f>
        <v>0</v>
      </c>
      <c r="FW29" s="230" t="str">
        <f>Input!CG29</f>
      </c>
      <c r="FX29" s="230" t="str">
        <f>Input!CU29</f>
      </c>
      <c r="FY29" s="230" t="str">
        <f>Input!DI29</f>
      </c>
      <c r="FZ29" s="230" t="str">
        <f t="shared" si="236"/>
        <v>28m/ 28m/ 28m</v>
      </c>
      <c r="GA29" s="230" t="str">
        <f t="shared" si="237"/>
      </c>
      <c r="GB29" s="230" t="str">
        <f t="shared" si="238"/>
      </c>
      <c r="GC29" s="230" t="str">
        <f t="shared" si="239"/>
      </c>
      <c r="GD29" s="230" t="str">
        <f t="shared" si="240"/>
      </c>
      <c r="GE29" s="230" t="str">
        <f t="shared" si="241"/>
      </c>
      <c r="GF29" s="230">
        <f t="shared" si="242"/>
        <v>28</v>
      </c>
      <c r="GG29" s="230">
        <f t="shared" si="243"/>
        <v>28</v>
      </c>
      <c r="GH29" s="230">
        <f t="shared" si="244"/>
        <v>28</v>
      </c>
      <c r="GI29" s="230">
        <f t="shared" si="245"/>
        <v>0</v>
      </c>
      <c r="GJ29" s="230">
        <f t="shared" si="246"/>
        <v>0</v>
      </c>
      <c r="GK29" s="230">
        <f t="shared" si="247"/>
        <v>0</v>
      </c>
      <c r="GL29" s="230">
        <f t="shared" si="248"/>
        <v>0</v>
      </c>
      <c r="GM29" s="230">
        <f t="shared" si="249"/>
        <v>0</v>
      </c>
      <c r="GN29" s="230">
        <f t="shared" si="250"/>
        <v>0</v>
      </c>
      <c r="GO29" s="230">
        <f t="shared" si="251"/>
        <v>0</v>
      </c>
      <c r="GP29" s="230">
        <f t="shared" si="252"/>
        <v>0</v>
      </c>
      <c r="GQ29" s="230">
        <f t="shared" si="253"/>
        <v>0</v>
      </c>
      <c r="GR29" s="230">
        <f t="shared" si="254"/>
        <v>0</v>
      </c>
      <c r="GS29" s="230">
        <f t="shared" si="255"/>
        <v>0</v>
      </c>
      <c r="GT29" s="230">
        <f t="shared" si="256"/>
        <v>0</v>
      </c>
      <c r="GU29" s="230">
        <f t="shared" si="257"/>
        <v>0</v>
      </c>
      <c r="GV29" s="230">
        <f t="shared" si="258"/>
        <v>0</v>
      </c>
      <c r="GW29" s="230">
        <f t="shared" si="259"/>
        <v>0</v>
      </c>
      <c r="GX29" s="230">
        <f t="shared" si="260"/>
        <v>0</v>
      </c>
      <c r="GY29" s="230">
        <f t="shared" si="261"/>
        <v>0</v>
      </c>
      <c r="GZ29" s="230">
        <f t="shared" si="262"/>
        <v>0</v>
      </c>
      <c r="HA29" s="230">
        <f t="shared" si="263"/>
        <v>0</v>
      </c>
      <c r="HB29" s="230">
        <f t="shared" si="264"/>
        <v>0</v>
      </c>
      <c r="HC29" s="230">
        <f t="shared" si="265"/>
        <v>0</v>
      </c>
      <c r="HD29" s="230">
        <f t="shared" si="266"/>
        <v>0</v>
      </c>
      <c r="HE29" s="230">
        <f t="shared" si="267"/>
        <v>0</v>
      </c>
      <c r="HF29" s="230">
        <f t="shared" si="268"/>
        <v>0</v>
      </c>
      <c r="HG29" s="230">
        <f t="shared" si="269"/>
        <v>0</v>
      </c>
      <c r="HH29" s="230">
        <f t="shared" si="270"/>
        <v>0</v>
      </c>
      <c r="HI29" s="230">
        <f t="shared" si="271"/>
        <v>0</v>
      </c>
      <c r="HJ29" s="230">
        <f t="shared" si="272"/>
        <v>0</v>
      </c>
      <c r="HK29" s="230">
        <f t="shared" si="273"/>
        <v>0</v>
      </c>
      <c r="HL29" s="230">
        <f t="shared" si="274"/>
        <v>0</v>
      </c>
      <c r="HM29" s="230">
        <f t="shared" si="275"/>
        <v>0</v>
      </c>
      <c r="HN29" s="230">
        <f t="shared" si="276"/>
        <v>0</v>
      </c>
      <c r="HO29" s="230">
        <f t="shared" si="277"/>
        <v>0</v>
      </c>
      <c r="HP29" s="230" t="str">
        <f>INDEX(LabNameList,MATCH(LabId,LabIDList,0))</f>
        <v>Trung tâm Kiểm định và Chứng nhận 2</v>
      </c>
      <c r="HQ29" s="230">
        <f t="shared" si="278"/>
        <v>28</v>
      </c>
      <c r="HR29" s="230">
        <f t="shared" si="279"/>
        <v>0</v>
      </c>
      <c r="HS29" s="230">
        <f t="shared" si="280"/>
        <v>0</v>
      </c>
      <c r="HT29" s="230">
        <f t="shared" si="281"/>
        <v>0</v>
      </c>
      <c r="HU29" s="230">
        <f t="shared" si="282"/>
        <v>0</v>
      </c>
      <c r="HV29" s="230">
        <f t="shared" si="283"/>
        <v>0</v>
      </c>
      <c r="HW29" s="797">
        <f t="shared" si="284"/>
        <v>28</v>
      </c>
      <c r="HX29" s="797">
        <f>Input!EB29</f>
        <v>0</v>
      </c>
      <c r="HY29" s="230">
        <v>68</v>
      </c>
      <c r="HZ29" s="230"/>
      <c r="IA29" s="230"/>
      <c r="IB29" s="230"/>
      <c r="IC29" s="232" t="str">
        <f t="shared" si="285"/>
        <v>B01980230916TG05</v>
      </c>
      <c r="ID29" s="233" t="str">
        <f>Input!O29</f>
        <v>01980</v>
      </c>
      <c r="IE29" s="467" t="str">
        <f t="shared" si="286"/>
        <v>230916</v>
      </c>
      <c r="IF29" s="232" t="s">
        <v>364</v>
      </c>
      <c r="IG29" s="467" t="str">
        <f t="shared" si="287"/>
        <v>23/09/2016</v>
      </c>
      <c r="IH29" s="467" t="str">
        <f t="shared" si="288"/>
        <v>23/09/2021</v>
      </c>
      <c r="II29" s="546" t="str">
        <f> Input!R29</f>
        <v>23/09/2016</v>
      </c>
      <c r="IJ29" s="467">
        <f t="shared" si="289"/>
        <v>44462</v>
      </c>
      <c r="IK29" s="468">
        <f t="shared" si="290"/>
        <v>3</v>
      </c>
      <c r="IL29" s="469" t="str">
        <f t="shared" si="291"/>
        <v>3-1</v>
      </c>
      <c r="IM29" s="469" t="str">
        <f t="shared" si="292"/>
        <v>KHAC</v>
      </c>
      <c r="IN29" s="469" t="str">
        <f t="shared" si="293"/>
        <v>KHAC</v>
      </c>
      <c r="IO29" s="469" t="str">
        <f t="shared" si="294"/>
      </c>
      <c r="IP29" s="469" t="str">
        <f t="shared" si="295"/>
      </c>
      <c r="IQ29" s="469" t="str">
        <f t="shared" si="296"/>
      </c>
      <c r="IR29" s="469">
        <f t="shared" si="297"/>
        <v>1</v>
      </c>
      <c r="IS29" s="469">
        <f t="shared" si="298"/>
        <v>2</v>
      </c>
      <c r="IT29" s="469" t="str">
        <f t="shared" si="299"/>
        <v>Yes</v>
      </c>
      <c r="IU29" s="469" t="str">
        <f t="shared" si="300"/>
        <v>Yes</v>
      </c>
    </row>
    <row r="30" ht="63.75">
      <c r="A30" s="601">
        <f>Input!A30</f>
        <v>29</v>
      </c>
      <c r="B30" s="229" t="str">
        <f>INDEX(ApplicantIDList,MATCH(AI30,ApplicantNameList,0))</f>
        <v>VIETTEL-2016</v>
      </c>
      <c r="C30" s="229" t="str">
        <f>INDEX(OperatorIDList,MATCH(AJ30,OperatorNameList,0))</f>
        <v>VIETTEL-2016</v>
      </c>
      <c r="D30" s="797" t="str">
        <f>Input!Y30</f>
        <v>HCM2224</v>
      </c>
      <c r="E30" s="229" t="str">
        <f>Input!G30</f>
        <v>Số 64/6/35/17, đường Đào Tông Nguyên, xã Phú Xuân, huyện Nhà Bè, thành phố Hồ Chí Minh.</v>
      </c>
      <c r="F30" s="229" t="str">
        <f>TRIM(SUBSTITUTE(SUBSTITUTE(Input!H30,"Thành phố ",""),"Tỉnh ",""))</f>
        <v>Hồ Chí Minh</v>
      </c>
      <c r="G30" s="797" t="str">
        <f>Input!I30</f>
        <v>106,75365</v>
      </c>
      <c r="H30" s="797" t="str">
        <f>Input!J30</f>
        <v>10,68303</v>
      </c>
      <c r="I30" s="229">
        <f>Input!V30</f>
        <v>1</v>
      </c>
      <c r="J30" s="229" t="str">
        <f>Input!K30</f>
        <v>1502400/16/TG/TT2</v>
      </c>
      <c r="K30" s="231" t="str">
        <f>TEXT(Input!L30,"dd/mm/yyyy")</f>
        <v>23/09/2016</v>
      </c>
      <c r="L30" s="231" t="str">
        <f>TEXT(Input!M30,"dd/mm/yyyy")</f>
        <v>16/09/2016</v>
      </c>
      <c r="M30" s="229" t="str">
        <f t="shared" si="135"/>
        <v>TỔNG CÔNG TY MẠNG LƯỚI VIETTEL</v>
      </c>
      <c r="N30" s="229" t="str">
        <f t="shared" si="136"/>
        <v>HCM2224</v>
      </c>
      <c r="O30" s="229" t="str">
        <f t="shared" si="137"/>
        <v>HUAWEI DBS3900</v>
      </c>
      <c r="P30" s="229" t="str">
        <f t="shared" si="138"/>
        <v>3</v>
      </c>
      <c r="Q30" s="229" t="str">
        <f t="shared" si="139"/>
        <v>2/2/2</v>
      </c>
      <c r="R30" s="229" t="str">
        <f t="shared" si="140"/>
        <v>40W/ 40W/ 40W</v>
      </c>
      <c r="S30" s="229" t="str">
        <f t="shared" si="141"/>
        <v>2100</v>
      </c>
      <c r="T30" s="229" t="str">
        <f t="shared" si="142"/>
        <v>27m/ 27m/ 27m</v>
      </c>
      <c r="U30" s="229">
        <v>1</v>
      </c>
      <c r="V30" s="229"/>
      <c r="W30" s="229" t="b">
        <f t="shared" si="143"/>
        <v>0</v>
      </c>
      <c r="X30" s="229" t="b">
        <f>INDEX(TrueFalseList,_xlfn.IFNA(MATCH(Input!W30,CoKhongList,0),MATCH(Input!W30,YesNoList,0)))</f>
        <v>0</v>
      </c>
      <c r="Y30" s="797">
        <f>Input!FZ30</f>
        <v>0</v>
      </c>
      <c r="Z30" s="229" t="b">
        <v>1</v>
      </c>
      <c r="AA30" s="797">
        <f t="shared" si="144"/>
        <v>27</v>
      </c>
      <c r="AB30" s="229" t="b">
        <v>0</v>
      </c>
      <c r="AC30" s="229" t="b">
        <v>1</v>
      </c>
      <c r="AD30" s="229">
        <f>Input!DR30</f>
        <v>0</v>
      </c>
      <c r="AE30" s="229"/>
      <c r="AF30" s="229" t="str">
        <f>Options!$D$6</f>
        <v>VCC2</v>
      </c>
      <c r="AG30" s="229">
        <f t="shared" si="145"/>
        <v>0</v>
      </c>
      <c r="AH30" s="230"/>
      <c r="AI30" s="553" t="str">
        <f>Input!E30</f>
        <v>TỔNG CÔNG TY MẠNG LƯỚI VIETTEL</v>
      </c>
      <c r="AJ30" s="553" t="str">
        <f>Input!F30</f>
        <v>TỔNG CÔNG TY MẠNG LƯỚI VIETTEL</v>
      </c>
      <c r="AK30" s="229">
        <f t="shared" si="146"/>
        <v>4</v>
      </c>
      <c r="AL30" s="465" t="str">
        <f t="shared" si="147"/>
        <v>thành phố Hồ Chí Minh.</v>
      </c>
      <c r="AM30" s="465" t="str">
        <f t="shared" si="148"/>
        <v>huyện Nhà Bè</v>
      </c>
      <c r="AN30" s="465" t="str">
        <f t="shared" si="149"/>
        <v>xã Phú Xuân</v>
      </c>
      <c r="AO30" s="229" t="str">
        <f>INDEX(CityIDList,MATCH(F30,CityNameList,0))</f>
        <v>HCM</v>
      </c>
      <c r="AP30" s="230" t="str">
        <f>Input!X30</f>
        <v>TỔNG CÔNG TY MẠNG LƯỚI VIETTEL</v>
      </c>
      <c r="AQ30" s="230">
        <f>Input!AN30</f>
        <v>0</v>
      </c>
      <c r="AR30" s="230">
        <f>Input!BD30</f>
        <v>0</v>
      </c>
      <c r="AS30" s="230" t="str">
        <f>Input!BT30</f>
      </c>
      <c r="AT30" s="230" t="str">
        <f>Input!CH30</f>
      </c>
      <c r="AU30" s="230" t="str">
        <f>Input!CV30</f>
      </c>
      <c r="AV30" s="230" t="str">
        <f>IF(I30&gt;=1,INDEX(OperatorIDList,MATCH(AP30,OperatorNameList,0)),"")</f>
        <v>VIETTEL-2016</v>
      </c>
      <c r="AW30" s="230" t="str">
        <f>IF(I30&gt;=2,INDEX(OperatorIDList,MATCH(AQ30,OperatorNameList,0)),"")</f>
      </c>
      <c r="AX30" s="230" t="str">
        <f>IF(I30&gt;=3,INDEX(OperatorIDList,MATCH(AR30,OperatorNameList,0)),"")</f>
      </c>
      <c r="AY30" s="230" t="str">
        <f>IF(I30&gt;=4,INDEX(OperatorIDList,MATCH(AS30,OperatorNameList,0)),"")</f>
      </c>
      <c r="AZ30" s="230" t="str">
        <f>IF(I30&gt;=5,INDEX(OperatorIDList,MATCH(AT30,OperatorNameList,0)),"")</f>
      </c>
      <c r="BA30" s="230" t="str">
        <f>IF(I30&gt;=6,INDEX(OperatorIDList,MATCH(AU30,OperatorNameList,0)),"")</f>
      </c>
      <c r="BB30" s="230" t="str">
        <f t="shared" si="150"/>
        <v>VIETTEL-2016</v>
      </c>
      <c r="BC30" s="230" t="str">
        <f>Input!Y30</f>
        <v>HCM2224</v>
      </c>
      <c r="BD30" s="230">
        <f>Input!AO30</f>
        <v>0</v>
      </c>
      <c r="BE30" s="230">
        <f>Input!BE30</f>
        <v>0</v>
      </c>
      <c r="BF30" s="230" t="str">
        <f>Input!BU30</f>
      </c>
      <c r="BG30" s="230" t="str">
        <f>Input!CI30</f>
      </c>
      <c r="BH30" s="230" t="str">
        <f>Input!CW30</f>
      </c>
      <c r="BI30" s="230" t="str">
        <f>Input!Z30</f>
        <v>HUAWEI DBS3900</v>
      </c>
      <c r="BJ30" s="230">
        <f>Input!AP30</f>
        <v>0</v>
      </c>
      <c r="BK30" s="230">
        <f>Input!BF30</f>
        <v>0</v>
      </c>
      <c r="BL30" s="230" t="str">
        <f>Input!BV30</f>
      </c>
      <c r="BM30" s="230" t="str">
        <f>Input!CJ30</f>
      </c>
      <c r="BN30" s="230" t="str">
        <f>Input!CX30</f>
      </c>
      <c r="BO30" s="553">
        <f>IF(ISNUMBER(Input!AA30),Input!AA30,0)</f>
        <v>3</v>
      </c>
      <c r="BP30" s="553">
        <f>IF(ISNUMBER(Input!AQ30),Input!AQ30,0)</f>
        <v>0</v>
      </c>
      <c r="BQ30" s="553">
        <f>IF(ISNUMBER(Input!BG30),Input!BG30,0)</f>
        <v>0</v>
      </c>
      <c r="BR30" s="553">
        <f>IF(ISNUMBER(Input!BW30),Input!BW30,0)</f>
        <v>0</v>
      </c>
      <c r="BS30" s="553">
        <f>IF(ISNUMBER(Input!CK30),Input!CK30,0)</f>
        <v>0</v>
      </c>
      <c r="BT30" s="554">
        <f>IF(ISNUMBER(Input!CY30),Input!CY30,0)</f>
        <v>0</v>
      </c>
      <c r="BU30" s="230" t="str">
        <f>Input!AF30</f>
        <v>2/2/2</v>
      </c>
      <c r="BV30" s="230" t="str">
        <f>Input!AV30</f>
      </c>
      <c r="BW30" s="230" t="str">
        <f>Input!BL30</f>
      </c>
      <c r="BX30" s="230" t="str">
        <f>Input!CA30</f>
      </c>
      <c r="BY30" s="230" t="str">
        <f>Input!CO30</f>
      </c>
      <c r="BZ30" s="230" t="str">
        <f>Input!DC30</f>
      </c>
      <c r="CA30" s="230">
        <f t="shared" si="151"/>
        <v>2</v>
      </c>
      <c r="CB30" s="230">
        <f t="shared" si="152"/>
        <v>2</v>
      </c>
      <c r="CC30" s="230">
        <f t="shared" si="153"/>
        <v>2</v>
      </c>
      <c r="CD30" s="230">
        <f t="shared" si="154"/>
        <v>0</v>
      </c>
      <c r="CE30" s="230">
        <f t="shared" si="155"/>
        <v>0</v>
      </c>
      <c r="CF30" s="230">
        <f t="shared" si="156"/>
        <v>0</v>
      </c>
      <c r="CG30" s="230">
        <f t="shared" si="157"/>
        <v>0</v>
      </c>
      <c r="CH30" s="230">
        <f t="shared" si="158"/>
        <v>0</v>
      </c>
      <c r="CI30" s="230">
        <f t="shared" si="159"/>
        <v>0</v>
      </c>
      <c r="CJ30" s="230">
        <f t="shared" si="160"/>
        <v>0</v>
      </c>
      <c r="CK30" s="230">
        <f t="shared" si="161"/>
        <v>0</v>
      </c>
      <c r="CL30" s="230">
        <f t="shared" si="162"/>
        <v>0</v>
      </c>
      <c r="CM30" s="230">
        <f t="shared" si="163"/>
        <v>0</v>
      </c>
      <c r="CN30" s="230">
        <f t="shared" si="164"/>
        <v>0</v>
      </c>
      <c r="CO30" s="230">
        <f t="shared" si="165"/>
        <v>0</v>
      </c>
      <c r="CP30" s="230">
        <f t="shared" si="166"/>
        <v>0</v>
      </c>
      <c r="CQ30" s="230">
        <f t="shared" si="167"/>
        <v>0</v>
      </c>
      <c r="CR30" s="230">
        <f t="shared" si="168"/>
        <v>0</v>
      </c>
      <c r="CS30" s="230">
        <f t="shared" si="169"/>
        <v>0</v>
      </c>
      <c r="CT30" s="230">
        <f t="shared" si="170"/>
        <v>0</v>
      </c>
      <c r="CU30" s="230">
        <f t="shared" si="171"/>
        <v>0</v>
      </c>
      <c r="CV30" s="230">
        <f t="shared" si="172"/>
        <v>0</v>
      </c>
      <c r="CW30" s="230">
        <f t="shared" si="173"/>
        <v>0</v>
      </c>
      <c r="CX30" s="230">
        <f t="shared" si="174"/>
        <v>0</v>
      </c>
      <c r="CY30" s="230">
        <f t="shared" si="175"/>
        <v>0</v>
      </c>
      <c r="CZ30" s="230">
        <f t="shared" si="176"/>
        <v>0</v>
      </c>
      <c r="DA30" s="230">
        <f t="shared" si="177"/>
        <v>0</v>
      </c>
      <c r="DB30" s="230">
        <f t="shared" si="178"/>
        <v>0</v>
      </c>
      <c r="DC30" s="230">
        <f t="shared" si="179"/>
        <v>0</v>
      </c>
      <c r="DD30" s="230">
        <f t="shared" si="180"/>
        <v>0</v>
      </c>
      <c r="DE30" s="230">
        <f t="shared" si="181"/>
        <v>0</v>
      </c>
      <c r="DF30" s="230">
        <f t="shared" si="182"/>
        <v>0</v>
      </c>
      <c r="DG30" s="230">
        <f t="shared" si="183"/>
        <v>0</v>
      </c>
      <c r="DH30" s="230">
        <f t="shared" si="184"/>
        <v>0</v>
      </c>
      <c r="DI30" s="230">
        <f t="shared" si="185"/>
        <v>0</v>
      </c>
      <c r="DJ30" s="230">
        <f t="shared" si="186"/>
        <v>0</v>
      </c>
      <c r="DK30" s="230" t="str">
        <f>Input!AK30</f>
        <v>40,00W/40,00W/40,00W</v>
      </c>
      <c r="DL30" s="230" t="str">
        <f>Input!BA30</f>
      </c>
      <c r="DM30" s="230" t="str">
        <f>Input!BQ30</f>
      </c>
      <c r="DN30" s="230" t="str">
        <f>Input!CE30</f>
      </c>
      <c r="DO30" s="230" t="str">
        <f>Input!CS30</f>
      </c>
      <c r="DP30" s="230" t="str">
        <f>Input!DG30</f>
      </c>
      <c r="DQ30" s="230" t="str">
        <f t="shared" si="187"/>
        <v>40W/ 40W/ 40W</v>
      </c>
      <c r="DR30" s="230" t="str">
        <f t="shared" si="188"/>
      </c>
      <c r="DS30" s="230" t="str">
        <f t="shared" si="189"/>
      </c>
      <c r="DT30" s="230" t="str">
        <f t="shared" si="190"/>
      </c>
      <c r="DU30" s="230" t="str">
        <f t="shared" si="191"/>
      </c>
      <c r="DV30" s="230" t="str">
        <f t="shared" si="192"/>
      </c>
      <c r="DW30" s="230">
        <f t="shared" si="193"/>
        <v>40</v>
      </c>
      <c r="DX30" s="230">
        <f t="shared" si="194"/>
        <v>40</v>
      </c>
      <c r="DY30" s="230">
        <f t="shared" si="195"/>
        <v>40</v>
      </c>
      <c r="DZ30" s="230">
        <f t="shared" si="196"/>
        <v>0</v>
      </c>
      <c r="EA30" s="230">
        <f t="shared" si="197"/>
        <v>0</v>
      </c>
      <c r="EB30" s="230">
        <f t="shared" si="198"/>
        <v>0</v>
      </c>
      <c r="EC30" s="230">
        <f t="shared" si="199"/>
        <v>40</v>
      </c>
      <c r="ED30" s="230">
        <f t="shared" si="200"/>
        <v>0</v>
      </c>
      <c r="EE30" s="230">
        <f t="shared" si="201"/>
        <v>0</v>
      </c>
      <c r="EF30" s="230">
        <f t="shared" si="202"/>
        <v>0</v>
      </c>
      <c r="EG30" s="230">
        <f t="shared" si="203"/>
        <v>0</v>
      </c>
      <c r="EH30" s="230">
        <f t="shared" si="204"/>
        <v>0</v>
      </c>
      <c r="EI30" s="230">
        <f t="shared" si="205"/>
        <v>0</v>
      </c>
      <c r="EJ30" s="230">
        <f t="shared" si="206"/>
        <v>0</v>
      </c>
      <c r="EK30" s="230">
        <f t="shared" si="207"/>
        <v>0</v>
      </c>
      <c r="EL30" s="230">
        <f t="shared" si="208"/>
        <v>0</v>
      </c>
      <c r="EM30" s="230">
        <f t="shared" si="209"/>
        <v>0</v>
      </c>
      <c r="EN30" s="230">
        <f t="shared" si="210"/>
        <v>0</v>
      </c>
      <c r="EO30" s="230">
        <f t="shared" si="211"/>
        <v>0</v>
      </c>
      <c r="EP30" s="230">
        <f t="shared" si="212"/>
        <v>0</v>
      </c>
      <c r="EQ30" s="230">
        <f t="shared" si="213"/>
        <v>0</v>
      </c>
      <c r="ER30" s="230">
        <f t="shared" si="214"/>
        <v>0</v>
      </c>
      <c r="ES30" s="230">
        <f t="shared" si="215"/>
        <v>0</v>
      </c>
      <c r="ET30" s="230">
        <f t="shared" si="216"/>
        <v>0</v>
      </c>
      <c r="EU30" s="230">
        <f t="shared" si="217"/>
        <v>0</v>
      </c>
      <c r="EV30" s="230">
        <f t="shared" si="218"/>
        <v>0</v>
      </c>
      <c r="EW30" s="230">
        <f t="shared" si="219"/>
        <v>0</v>
      </c>
      <c r="EX30" s="230">
        <f t="shared" si="220"/>
        <v>0</v>
      </c>
      <c r="EY30" s="230">
        <f t="shared" si="221"/>
        <v>0</v>
      </c>
      <c r="EZ30" s="230">
        <f t="shared" si="222"/>
        <v>0</v>
      </c>
      <c r="FA30" s="230">
        <f t="shared" si="223"/>
        <v>0</v>
      </c>
      <c r="FB30" s="230">
        <f t="shared" si="224"/>
        <v>0</v>
      </c>
      <c r="FC30" s="230">
        <f t="shared" si="225"/>
        <v>0</v>
      </c>
      <c r="FD30" s="230">
        <f t="shared" si="226"/>
        <v>0</v>
      </c>
      <c r="FE30" s="230">
        <f t="shared" si="227"/>
        <v>0</v>
      </c>
      <c r="FF30" s="230">
        <f t="shared" si="228"/>
        <v>0</v>
      </c>
      <c r="FG30" s="230">
        <f t="shared" si="229"/>
        <v>0</v>
      </c>
      <c r="FH30" s="230">
        <f t="shared" si="230"/>
        <v>0</v>
      </c>
      <c r="FI30" s="230">
        <f t="shared" si="231"/>
        <v>0</v>
      </c>
      <c r="FJ30" s="230">
        <f t="shared" si="232"/>
        <v>0</v>
      </c>
      <c r="FK30" s="230">
        <f t="shared" si="233"/>
        <v>0</v>
      </c>
      <c r="FL30" s="230">
        <f t="shared" si="234"/>
        <v>0</v>
      </c>
      <c r="FM30" s="230">
        <f t="shared" si="235"/>
        <v>40</v>
      </c>
      <c r="FN30" s="230">
        <f>Input!AL30</f>
        <v>2100</v>
      </c>
      <c r="FO30" s="230">
        <f>Input!BB30</f>
        <v>0</v>
      </c>
      <c r="FP30" s="230">
        <f>Input!BR30</f>
        <v>0</v>
      </c>
      <c r="FQ30" s="230" t="str">
        <f>Input!CF30</f>
      </c>
      <c r="FR30" s="230" t="str">
        <f>Input!CT30</f>
      </c>
      <c r="FS30" s="230" t="str">
        <f>Input!DH30</f>
      </c>
      <c r="FT30" s="230" t="str">
        <f>Input!AM30</f>
        <v>27m/ 27m/ 27m</v>
      </c>
      <c r="FU30" s="230">
        <f>Input!BC30</f>
        <v>0</v>
      </c>
      <c r="FV30" s="230">
        <f>Input!BS30</f>
        <v>0</v>
      </c>
      <c r="FW30" s="230" t="str">
        <f>Input!CG30</f>
      </c>
      <c r="FX30" s="230" t="str">
        <f>Input!CU30</f>
      </c>
      <c r="FY30" s="230" t="str">
        <f>Input!DI30</f>
      </c>
      <c r="FZ30" s="230" t="str">
        <f t="shared" si="236"/>
        <v>27m/ 27m/ 27m</v>
      </c>
      <c r="GA30" s="230" t="str">
        <f t="shared" si="237"/>
      </c>
      <c r="GB30" s="230" t="str">
        <f t="shared" si="238"/>
      </c>
      <c r="GC30" s="230" t="str">
        <f t="shared" si="239"/>
      </c>
      <c r="GD30" s="230" t="str">
        <f t="shared" si="240"/>
      </c>
      <c r="GE30" s="230" t="str">
        <f t="shared" si="241"/>
      </c>
      <c r="GF30" s="230">
        <f t="shared" si="242"/>
        <v>27</v>
      </c>
      <c r="GG30" s="230">
        <f t="shared" si="243"/>
        <v>27</v>
      </c>
      <c r="GH30" s="230">
        <f t="shared" si="244"/>
        <v>27</v>
      </c>
      <c r="GI30" s="230">
        <f t="shared" si="245"/>
        <v>0</v>
      </c>
      <c r="GJ30" s="230">
        <f t="shared" si="246"/>
        <v>0</v>
      </c>
      <c r="GK30" s="230">
        <f t="shared" si="247"/>
        <v>0</v>
      </c>
      <c r="GL30" s="230">
        <f t="shared" si="248"/>
        <v>0</v>
      </c>
      <c r="GM30" s="230">
        <f t="shared" si="249"/>
        <v>0</v>
      </c>
      <c r="GN30" s="230">
        <f t="shared" si="250"/>
        <v>0</v>
      </c>
      <c r="GO30" s="230">
        <f t="shared" si="251"/>
        <v>0</v>
      </c>
      <c r="GP30" s="230">
        <f t="shared" si="252"/>
        <v>0</v>
      </c>
      <c r="GQ30" s="230">
        <f t="shared" si="253"/>
        <v>0</v>
      </c>
      <c r="GR30" s="230">
        <f t="shared" si="254"/>
        <v>0</v>
      </c>
      <c r="GS30" s="230">
        <f t="shared" si="255"/>
        <v>0</v>
      </c>
      <c r="GT30" s="230">
        <f t="shared" si="256"/>
        <v>0</v>
      </c>
      <c r="GU30" s="230">
        <f t="shared" si="257"/>
        <v>0</v>
      </c>
      <c r="GV30" s="230">
        <f t="shared" si="258"/>
        <v>0</v>
      </c>
      <c r="GW30" s="230">
        <f t="shared" si="259"/>
        <v>0</v>
      </c>
      <c r="GX30" s="230">
        <f t="shared" si="260"/>
        <v>0</v>
      </c>
      <c r="GY30" s="230">
        <f t="shared" si="261"/>
        <v>0</v>
      </c>
      <c r="GZ30" s="230">
        <f t="shared" si="262"/>
        <v>0</v>
      </c>
      <c r="HA30" s="230">
        <f t="shared" si="263"/>
        <v>0</v>
      </c>
      <c r="HB30" s="230">
        <f t="shared" si="264"/>
        <v>0</v>
      </c>
      <c r="HC30" s="230">
        <f t="shared" si="265"/>
        <v>0</v>
      </c>
      <c r="HD30" s="230">
        <f t="shared" si="266"/>
        <v>0</v>
      </c>
      <c r="HE30" s="230">
        <f t="shared" si="267"/>
        <v>0</v>
      </c>
      <c r="HF30" s="230">
        <f t="shared" si="268"/>
        <v>0</v>
      </c>
      <c r="HG30" s="230">
        <f t="shared" si="269"/>
        <v>0</v>
      </c>
      <c r="HH30" s="230">
        <f t="shared" si="270"/>
        <v>0</v>
      </c>
      <c r="HI30" s="230">
        <f t="shared" si="271"/>
        <v>0</v>
      </c>
      <c r="HJ30" s="230">
        <f t="shared" si="272"/>
        <v>0</v>
      </c>
      <c r="HK30" s="230">
        <f t="shared" si="273"/>
        <v>0</v>
      </c>
      <c r="HL30" s="230">
        <f t="shared" si="274"/>
        <v>0</v>
      </c>
      <c r="HM30" s="230">
        <f t="shared" si="275"/>
        <v>0</v>
      </c>
      <c r="HN30" s="230">
        <f t="shared" si="276"/>
        <v>0</v>
      </c>
      <c r="HO30" s="230">
        <f t="shared" si="277"/>
        <v>0</v>
      </c>
      <c r="HP30" s="230" t="str">
        <f>INDEX(LabNameList,MATCH(LabId,LabIDList,0))</f>
        <v>Trung tâm Kiểm định và Chứng nhận 2</v>
      </c>
      <c r="HQ30" s="230">
        <f t="shared" si="278"/>
        <v>27</v>
      </c>
      <c r="HR30" s="230">
        <f t="shared" si="279"/>
        <v>0</v>
      </c>
      <c r="HS30" s="230">
        <f t="shared" si="280"/>
        <v>0</v>
      </c>
      <c r="HT30" s="230">
        <f t="shared" si="281"/>
        <v>0</v>
      </c>
      <c r="HU30" s="230">
        <f t="shared" si="282"/>
        <v>0</v>
      </c>
      <c r="HV30" s="230">
        <f t="shared" si="283"/>
        <v>0</v>
      </c>
      <c r="HW30" s="797">
        <f t="shared" si="284"/>
        <v>27</v>
      </c>
      <c r="HX30" s="797">
        <f>Input!EB30</f>
        <v>0</v>
      </c>
      <c r="HY30" s="230">
        <v>68</v>
      </c>
      <c r="HZ30" s="230"/>
      <c r="IA30" s="230"/>
      <c r="IB30" s="230"/>
      <c r="IC30" s="232" t="str">
        <f t="shared" si="285"/>
        <v>B01981230916TG05</v>
      </c>
      <c r="ID30" s="233" t="str">
        <f>Input!O30</f>
        <v>01981</v>
      </c>
      <c r="IE30" s="467" t="str">
        <f t="shared" si="286"/>
        <v>230916</v>
      </c>
      <c r="IF30" s="232" t="s">
        <v>364</v>
      </c>
      <c r="IG30" s="467" t="str">
        <f t="shared" si="287"/>
        <v>23/09/2016</v>
      </c>
      <c r="IH30" s="467" t="str">
        <f t="shared" si="288"/>
        <v>23/09/2021</v>
      </c>
      <c r="II30" s="546" t="str">
        <f> Input!R30</f>
        <v>23/09/2016</v>
      </c>
      <c r="IJ30" s="467">
        <f t="shared" si="289"/>
        <v>44462</v>
      </c>
      <c r="IK30" s="468">
        <f t="shared" si="290"/>
        <v>3</v>
      </c>
      <c r="IL30" s="469" t="str">
        <f t="shared" si="291"/>
        <v>3-1</v>
      </c>
      <c r="IM30" s="469" t="str">
        <f t="shared" si="292"/>
        <v>KHAC</v>
      </c>
      <c r="IN30" s="469" t="str">
        <f t="shared" si="293"/>
        <v>KHAC</v>
      </c>
      <c r="IO30" s="469" t="str">
        <f t="shared" si="294"/>
      </c>
      <c r="IP30" s="469" t="str">
        <f t="shared" si="295"/>
      </c>
      <c r="IQ30" s="469" t="str">
        <f t="shared" si="296"/>
      </c>
      <c r="IR30" s="469">
        <f t="shared" si="297"/>
        <v>1</v>
      </c>
      <c r="IS30" s="469">
        <f t="shared" si="298"/>
        <v>2</v>
      </c>
      <c r="IT30" s="469" t="str">
        <f t="shared" si="299"/>
        <v>Yes</v>
      </c>
      <c r="IU30" s="469" t="str">
        <f t="shared" si="300"/>
        <v>Yes</v>
      </c>
    </row>
    <row r="31" ht="63.75">
      <c r="A31" s="601">
        <f>Input!A31</f>
        <v>30</v>
      </c>
      <c r="B31" s="229" t="str">
        <f>INDEX(ApplicantIDList,MATCH(AI31,ApplicantNameList,0))</f>
        <v>VIETTEL-2016</v>
      </c>
      <c r="C31" s="229" t="str">
        <f>INDEX(OperatorIDList,MATCH(AJ31,OperatorNameList,0))</f>
        <v>VIETTEL-2016</v>
      </c>
      <c r="D31" s="797" t="str">
        <f>Input!Y31</f>
        <v>HCM2234</v>
      </c>
      <c r="E31" s="229" t="str">
        <f>Input!G31</f>
        <v>Số 415, đường Lê Văn Lương, xã Phước Kiểng, huyện Nhà Bè, thành phố Hồ Chí Minh.</v>
      </c>
      <c r="F31" s="229" t="str">
        <f>TRIM(SUBSTITUTE(SUBSTITUTE(Input!H31,"Thành phố ",""),"Tỉnh ",""))</f>
        <v>Hồ Chí Minh</v>
      </c>
      <c r="G31" s="797" t="str">
        <f>Input!I31</f>
        <v>106,70509</v>
      </c>
      <c r="H31" s="797" t="str">
        <f>Input!J31</f>
        <v>10,69572</v>
      </c>
      <c r="I31" s="229">
        <f>Input!V31</f>
        <v>1</v>
      </c>
      <c r="J31" s="229" t="str">
        <f>Input!K31</f>
        <v>1502401/16/TG/TT2</v>
      </c>
      <c r="K31" s="231" t="str">
        <f>TEXT(Input!L31,"dd/mm/yyyy")</f>
        <v>23/09/2016</v>
      </c>
      <c r="L31" s="231" t="str">
        <f>TEXT(Input!M31,"dd/mm/yyyy")</f>
        <v>16/09/2016</v>
      </c>
      <c r="M31" s="229" t="str">
        <f t="shared" si="135"/>
        <v>TỔNG CÔNG TY MẠNG LƯỚI VIETTEL</v>
      </c>
      <c r="N31" s="229" t="str">
        <f t="shared" si="136"/>
        <v>HCM2234</v>
      </c>
      <c r="O31" s="229" t="str">
        <f t="shared" si="137"/>
        <v>HUAWEI DBS3900</v>
      </c>
      <c r="P31" s="229" t="str">
        <f t="shared" si="138"/>
        <v>3</v>
      </c>
      <c r="Q31" s="229" t="str">
        <f t="shared" si="139"/>
        <v>2/2/2</v>
      </c>
      <c r="R31" s="229" t="str">
        <f t="shared" si="140"/>
        <v>40W/ 40W/ 40W</v>
      </c>
      <c r="S31" s="229" t="str">
        <f t="shared" si="141"/>
        <v>2100</v>
      </c>
      <c r="T31" s="229" t="str">
        <f t="shared" si="142"/>
        <v>30m/ 30m/ 30m</v>
      </c>
      <c r="U31" s="229">
        <v>1</v>
      </c>
      <c r="V31" s="229"/>
      <c r="W31" s="229" t="b">
        <f t="shared" si="143"/>
        <v>0</v>
      </c>
      <c r="X31" s="229" t="b">
        <f>INDEX(TrueFalseList,_xlfn.IFNA(MATCH(Input!W31,CoKhongList,0),MATCH(Input!W31,YesNoList,0)))</f>
        <v>0</v>
      </c>
      <c r="Y31" s="797">
        <f>Input!FZ31</f>
        <v>0</v>
      </c>
      <c r="Z31" s="229" t="b">
        <v>1</v>
      </c>
      <c r="AA31" s="797">
        <f t="shared" si="144"/>
        <v>30</v>
      </c>
      <c r="AB31" s="229" t="b">
        <v>0</v>
      </c>
      <c r="AC31" s="229" t="b">
        <v>1</v>
      </c>
      <c r="AD31" s="229">
        <f>Input!DR31</f>
        <v>0</v>
      </c>
      <c r="AE31" s="229"/>
      <c r="AF31" s="229" t="str">
        <f>Options!$D$6</f>
        <v>VCC2</v>
      </c>
      <c r="AG31" s="229">
        <f t="shared" si="145"/>
        <v>0</v>
      </c>
      <c r="AH31" s="230"/>
      <c r="AI31" s="553" t="str">
        <f>Input!E31</f>
        <v>TỔNG CÔNG TY MẠNG LƯỚI VIETTEL</v>
      </c>
      <c r="AJ31" s="553" t="str">
        <f>Input!F31</f>
        <v>TỔNG CÔNG TY MẠNG LƯỚI VIETTEL</v>
      </c>
      <c r="AK31" s="229">
        <f t="shared" si="146"/>
        <v>4</v>
      </c>
      <c r="AL31" s="465" t="str">
        <f t="shared" si="147"/>
        <v>thành phố Hồ Chí Minh.</v>
      </c>
      <c r="AM31" s="465" t="str">
        <f t="shared" si="148"/>
        <v>huyện Nhà Bè</v>
      </c>
      <c r="AN31" s="465" t="str">
        <f t="shared" si="149"/>
        <v>xã Phước Kiểng</v>
      </c>
      <c r="AO31" s="229" t="str">
        <f>INDEX(CityIDList,MATCH(F31,CityNameList,0))</f>
        <v>HCM</v>
      </c>
      <c r="AP31" s="230" t="str">
        <f>Input!X31</f>
        <v>TỔNG CÔNG TY MẠNG LƯỚI VIETTEL</v>
      </c>
      <c r="AQ31" s="230">
        <f>Input!AN31</f>
        <v>0</v>
      </c>
      <c r="AR31" s="230">
        <f>Input!BD31</f>
        <v>0</v>
      </c>
      <c r="AS31" s="230" t="str">
        <f>Input!BT31</f>
      </c>
      <c r="AT31" s="230" t="str">
        <f>Input!CH31</f>
      </c>
      <c r="AU31" s="230" t="str">
        <f>Input!CV31</f>
      </c>
      <c r="AV31" s="230" t="str">
        <f>IF(I31&gt;=1,INDEX(OperatorIDList,MATCH(AP31,OperatorNameList,0)),"")</f>
        <v>VIETTEL-2016</v>
      </c>
      <c r="AW31" s="230" t="str">
        <f>IF(I31&gt;=2,INDEX(OperatorIDList,MATCH(AQ31,OperatorNameList,0)),"")</f>
      </c>
      <c r="AX31" s="230" t="str">
        <f>IF(I31&gt;=3,INDEX(OperatorIDList,MATCH(AR31,OperatorNameList,0)),"")</f>
      </c>
      <c r="AY31" s="230" t="str">
        <f>IF(I31&gt;=4,INDEX(OperatorIDList,MATCH(AS31,OperatorNameList,0)),"")</f>
      </c>
      <c r="AZ31" s="230" t="str">
        <f>IF(I31&gt;=5,INDEX(OperatorIDList,MATCH(AT31,OperatorNameList,0)),"")</f>
      </c>
      <c r="BA31" s="230" t="str">
        <f>IF(I31&gt;=6,INDEX(OperatorIDList,MATCH(AU31,OperatorNameList,0)),"")</f>
      </c>
      <c r="BB31" s="230" t="str">
        <f t="shared" si="150"/>
        <v>VIETTEL-2016</v>
      </c>
      <c r="BC31" s="230" t="str">
        <f>Input!Y31</f>
        <v>HCM2234</v>
      </c>
      <c r="BD31" s="230">
        <f>Input!AO31</f>
        <v>0</v>
      </c>
      <c r="BE31" s="230">
        <f>Input!BE31</f>
        <v>0</v>
      </c>
      <c r="BF31" s="230" t="str">
        <f>Input!BU31</f>
      </c>
      <c r="BG31" s="230" t="str">
        <f>Input!CI31</f>
      </c>
      <c r="BH31" s="230" t="str">
        <f>Input!CW31</f>
      </c>
      <c r="BI31" s="230" t="str">
        <f>Input!Z31</f>
        <v>HUAWEI DBS3900</v>
      </c>
      <c r="BJ31" s="230">
        <f>Input!AP31</f>
        <v>0</v>
      </c>
      <c r="BK31" s="230">
        <f>Input!BF31</f>
        <v>0</v>
      </c>
      <c r="BL31" s="230" t="str">
        <f>Input!BV31</f>
      </c>
      <c r="BM31" s="230" t="str">
        <f>Input!CJ31</f>
      </c>
      <c r="BN31" s="230" t="str">
        <f>Input!CX31</f>
      </c>
      <c r="BO31" s="553">
        <f>IF(ISNUMBER(Input!AA31),Input!AA31,0)</f>
        <v>3</v>
      </c>
      <c r="BP31" s="553">
        <f>IF(ISNUMBER(Input!AQ31),Input!AQ31,0)</f>
        <v>0</v>
      </c>
      <c r="BQ31" s="553">
        <f>IF(ISNUMBER(Input!BG31),Input!BG31,0)</f>
        <v>0</v>
      </c>
      <c r="BR31" s="553">
        <f>IF(ISNUMBER(Input!BW31),Input!BW31,0)</f>
        <v>0</v>
      </c>
      <c r="BS31" s="553">
        <f>IF(ISNUMBER(Input!CK31),Input!CK31,0)</f>
        <v>0</v>
      </c>
      <c r="BT31" s="554">
        <f>IF(ISNUMBER(Input!CY31),Input!CY31,0)</f>
        <v>0</v>
      </c>
      <c r="BU31" s="230" t="str">
        <f>Input!AF31</f>
        <v>2/2/2</v>
      </c>
      <c r="BV31" s="230" t="str">
        <f>Input!AV31</f>
      </c>
      <c r="BW31" s="230" t="str">
        <f>Input!BL31</f>
      </c>
      <c r="BX31" s="230" t="str">
        <f>Input!CA31</f>
      </c>
      <c r="BY31" s="230" t="str">
        <f>Input!CO31</f>
      </c>
      <c r="BZ31" s="230" t="str">
        <f>Input!DC31</f>
      </c>
      <c r="CA31" s="230">
        <f t="shared" si="151"/>
        <v>2</v>
      </c>
      <c r="CB31" s="230">
        <f t="shared" si="152"/>
        <v>2</v>
      </c>
      <c r="CC31" s="230">
        <f t="shared" si="153"/>
        <v>2</v>
      </c>
      <c r="CD31" s="230">
        <f t="shared" si="154"/>
        <v>0</v>
      </c>
      <c r="CE31" s="230">
        <f t="shared" si="155"/>
        <v>0</v>
      </c>
      <c r="CF31" s="230">
        <f t="shared" si="156"/>
        <v>0</v>
      </c>
      <c r="CG31" s="230">
        <f t="shared" si="157"/>
        <v>0</v>
      </c>
      <c r="CH31" s="230">
        <f t="shared" si="158"/>
        <v>0</v>
      </c>
      <c r="CI31" s="230">
        <f t="shared" si="159"/>
        <v>0</v>
      </c>
      <c r="CJ31" s="230">
        <f t="shared" si="160"/>
        <v>0</v>
      </c>
      <c r="CK31" s="230">
        <f t="shared" si="161"/>
        <v>0</v>
      </c>
      <c r="CL31" s="230">
        <f t="shared" si="162"/>
        <v>0</v>
      </c>
      <c r="CM31" s="230">
        <f t="shared" si="163"/>
        <v>0</v>
      </c>
      <c r="CN31" s="230">
        <f t="shared" si="164"/>
        <v>0</v>
      </c>
      <c r="CO31" s="230">
        <f t="shared" si="165"/>
        <v>0</v>
      </c>
      <c r="CP31" s="230">
        <f t="shared" si="166"/>
        <v>0</v>
      </c>
      <c r="CQ31" s="230">
        <f t="shared" si="167"/>
        <v>0</v>
      </c>
      <c r="CR31" s="230">
        <f t="shared" si="168"/>
        <v>0</v>
      </c>
      <c r="CS31" s="230">
        <f t="shared" si="169"/>
        <v>0</v>
      </c>
      <c r="CT31" s="230">
        <f t="shared" si="170"/>
        <v>0</v>
      </c>
      <c r="CU31" s="230">
        <f t="shared" si="171"/>
        <v>0</v>
      </c>
      <c r="CV31" s="230">
        <f t="shared" si="172"/>
        <v>0</v>
      </c>
      <c r="CW31" s="230">
        <f t="shared" si="173"/>
        <v>0</v>
      </c>
      <c r="CX31" s="230">
        <f t="shared" si="174"/>
        <v>0</v>
      </c>
      <c r="CY31" s="230">
        <f t="shared" si="175"/>
        <v>0</v>
      </c>
      <c r="CZ31" s="230">
        <f t="shared" si="176"/>
        <v>0</v>
      </c>
      <c r="DA31" s="230">
        <f t="shared" si="177"/>
        <v>0</v>
      </c>
      <c r="DB31" s="230">
        <f t="shared" si="178"/>
        <v>0</v>
      </c>
      <c r="DC31" s="230">
        <f t="shared" si="179"/>
        <v>0</v>
      </c>
      <c r="DD31" s="230">
        <f t="shared" si="180"/>
        <v>0</v>
      </c>
      <c r="DE31" s="230">
        <f t="shared" si="181"/>
        <v>0</v>
      </c>
      <c r="DF31" s="230">
        <f t="shared" si="182"/>
        <v>0</v>
      </c>
      <c r="DG31" s="230">
        <f t="shared" si="183"/>
        <v>0</v>
      </c>
      <c r="DH31" s="230">
        <f t="shared" si="184"/>
        <v>0</v>
      </c>
      <c r="DI31" s="230">
        <f t="shared" si="185"/>
        <v>0</v>
      </c>
      <c r="DJ31" s="230">
        <f t="shared" si="186"/>
        <v>0</v>
      </c>
      <c r="DK31" s="230" t="str">
        <f>Input!AK31</f>
        <v>40,00W/40,00W/40,00W</v>
      </c>
      <c r="DL31" s="230" t="str">
        <f>Input!BA31</f>
      </c>
      <c r="DM31" s="230" t="str">
        <f>Input!BQ31</f>
      </c>
      <c r="DN31" s="230" t="str">
        <f>Input!CE31</f>
      </c>
      <c r="DO31" s="230" t="str">
        <f>Input!CS31</f>
      </c>
      <c r="DP31" s="230" t="str">
        <f>Input!DG31</f>
      </c>
      <c r="DQ31" s="230" t="str">
        <f t="shared" si="187"/>
        <v>40W/ 40W/ 40W</v>
      </c>
      <c r="DR31" s="230" t="str">
        <f t="shared" si="188"/>
      </c>
      <c r="DS31" s="230" t="str">
        <f t="shared" si="189"/>
      </c>
      <c r="DT31" s="230" t="str">
        <f t="shared" si="190"/>
      </c>
      <c r="DU31" s="230" t="str">
        <f t="shared" si="191"/>
      </c>
      <c r="DV31" s="230" t="str">
        <f t="shared" si="192"/>
      </c>
      <c r="DW31" s="230">
        <f t="shared" si="193"/>
        <v>40</v>
      </c>
      <c r="DX31" s="230">
        <f t="shared" si="194"/>
        <v>40</v>
      </c>
      <c r="DY31" s="230">
        <f t="shared" si="195"/>
        <v>40</v>
      </c>
      <c r="DZ31" s="230">
        <f t="shared" si="196"/>
        <v>0</v>
      </c>
      <c r="EA31" s="230">
        <f t="shared" si="197"/>
        <v>0</v>
      </c>
      <c r="EB31" s="230">
        <f t="shared" si="198"/>
        <v>0</v>
      </c>
      <c r="EC31" s="230">
        <f t="shared" si="199"/>
        <v>40</v>
      </c>
      <c r="ED31" s="230">
        <f t="shared" si="200"/>
        <v>0</v>
      </c>
      <c r="EE31" s="230">
        <f t="shared" si="201"/>
        <v>0</v>
      </c>
      <c r="EF31" s="230">
        <f t="shared" si="202"/>
        <v>0</v>
      </c>
      <c r="EG31" s="230">
        <f t="shared" si="203"/>
        <v>0</v>
      </c>
      <c r="EH31" s="230">
        <f t="shared" si="204"/>
        <v>0</v>
      </c>
      <c r="EI31" s="230">
        <f t="shared" si="205"/>
        <v>0</v>
      </c>
      <c r="EJ31" s="230">
        <f t="shared" si="206"/>
        <v>0</v>
      </c>
      <c r="EK31" s="230">
        <f t="shared" si="207"/>
        <v>0</v>
      </c>
      <c r="EL31" s="230">
        <f t="shared" si="208"/>
        <v>0</v>
      </c>
      <c r="EM31" s="230">
        <f t="shared" si="209"/>
        <v>0</v>
      </c>
      <c r="EN31" s="230">
        <f t="shared" si="210"/>
        <v>0</v>
      </c>
      <c r="EO31" s="230">
        <f t="shared" si="211"/>
        <v>0</v>
      </c>
      <c r="EP31" s="230">
        <f t="shared" si="212"/>
        <v>0</v>
      </c>
      <c r="EQ31" s="230">
        <f t="shared" si="213"/>
        <v>0</v>
      </c>
      <c r="ER31" s="230">
        <f t="shared" si="214"/>
        <v>0</v>
      </c>
      <c r="ES31" s="230">
        <f t="shared" si="215"/>
        <v>0</v>
      </c>
      <c r="ET31" s="230">
        <f t="shared" si="216"/>
        <v>0</v>
      </c>
      <c r="EU31" s="230">
        <f t="shared" si="217"/>
        <v>0</v>
      </c>
      <c r="EV31" s="230">
        <f t="shared" si="218"/>
        <v>0</v>
      </c>
      <c r="EW31" s="230">
        <f t="shared" si="219"/>
        <v>0</v>
      </c>
      <c r="EX31" s="230">
        <f t="shared" si="220"/>
        <v>0</v>
      </c>
      <c r="EY31" s="230">
        <f t="shared" si="221"/>
        <v>0</v>
      </c>
      <c r="EZ31" s="230">
        <f t="shared" si="222"/>
        <v>0</v>
      </c>
      <c r="FA31" s="230">
        <f t="shared" si="223"/>
        <v>0</v>
      </c>
      <c r="FB31" s="230">
        <f t="shared" si="224"/>
        <v>0</v>
      </c>
      <c r="FC31" s="230">
        <f t="shared" si="225"/>
        <v>0</v>
      </c>
      <c r="FD31" s="230">
        <f t="shared" si="226"/>
        <v>0</v>
      </c>
      <c r="FE31" s="230">
        <f t="shared" si="227"/>
        <v>0</v>
      </c>
      <c r="FF31" s="230">
        <f t="shared" si="228"/>
        <v>0</v>
      </c>
      <c r="FG31" s="230">
        <f t="shared" si="229"/>
        <v>0</v>
      </c>
      <c r="FH31" s="230">
        <f t="shared" si="230"/>
        <v>0</v>
      </c>
      <c r="FI31" s="230">
        <f t="shared" si="231"/>
        <v>0</v>
      </c>
      <c r="FJ31" s="230">
        <f t="shared" si="232"/>
        <v>0</v>
      </c>
      <c r="FK31" s="230">
        <f t="shared" si="233"/>
        <v>0</v>
      </c>
      <c r="FL31" s="230">
        <f t="shared" si="234"/>
        <v>0</v>
      </c>
      <c r="FM31" s="230">
        <f t="shared" si="235"/>
        <v>40</v>
      </c>
      <c r="FN31" s="230">
        <f>Input!AL31</f>
        <v>2100</v>
      </c>
      <c r="FO31" s="230">
        <f>Input!BB31</f>
        <v>0</v>
      </c>
      <c r="FP31" s="230">
        <f>Input!BR31</f>
        <v>0</v>
      </c>
      <c r="FQ31" s="230" t="str">
        <f>Input!CF31</f>
      </c>
      <c r="FR31" s="230" t="str">
        <f>Input!CT31</f>
      </c>
      <c r="FS31" s="230" t="str">
        <f>Input!DH31</f>
      </c>
      <c r="FT31" s="230" t="str">
        <f>Input!AM31</f>
        <v>30m/ 30m/ 30m</v>
      </c>
      <c r="FU31" s="230">
        <f>Input!BC31</f>
        <v>0</v>
      </c>
      <c r="FV31" s="230">
        <f>Input!BS31</f>
        <v>0</v>
      </c>
      <c r="FW31" s="230" t="str">
        <f>Input!CG31</f>
      </c>
      <c r="FX31" s="230" t="str">
        <f>Input!CU31</f>
      </c>
      <c r="FY31" s="230" t="str">
        <f>Input!DI31</f>
      </c>
      <c r="FZ31" s="230" t="str">
        <f t="shared" si="236"/>
        <v>30m/ 30m/ 30m</v>
      </c>
      <c r="GA31" s="230" t="str">
        <f t="shared" si="237"/>
      </c>
      <c r="GB31" s="230" t="str">
        <f t="shared" si="238"/>
      </c>
      <c r="GC31" s="230" t="str">
        <f t="shared" si="239"/>
      </c>
      <c r="GD31" s="230" t="str">
        <f t="shared" si="240"/>
      </c>
      <c r="GE31" s="230" t="str">
        <f t="shared" si="241"/>
      </c>
      <c r="GF31" s="230">
        <f t="shared" si="242"/>
        <v>30</v>
      </c>
      <c r="GG31" s="230">
        <f t="shared" si="243"/>
        <v>30</v>
      </c>
      <c r="GH31" s="230">
        <f t="shared" si="244"/>
        <v>30</v>
      </c>
      <c r="GI31" s="230">
        <f t="shared" si="245"/>
        <v>0</v>
      </c>
      <c r="GJ31" s="230">
        <f t="shared" si="246"/>
        <v>0</v>
      </c>
      <c r="GK31" s="230">
        <f t="shared" si="247"/>
        <v>0</v>
      </c>
      <c r="GL31" s="230">
        <f t="shared" si="248"/>
        <v>0</v>
      </c>
      <c r="GM31" s="230">
        <f t="shared" si="249"/>
        <v>0</v>
      </c>
      <c r="GN31" s="230">
        <f t="shared" si="250"/>
        <v>0</v>
      </c>
      <c r="GO31" s="230">
        <f t="shared" si="251"/>
        <v>0</v>
      </c>
      <c r="GP31" s="230">
        <f t="shared" si="252"/>
        <v>0</v>
      </c>
      <c r="GQ31" s="230">
        <f t="shared" si="253"/>
        <v>0</v>
      </c>
      <c r="GR31" s="230">
        <f t="shared" si="254"/>
        <v>0</v>
      </c>
      <c r="GS31" s="230">
        <f t="shared" si="255"/>
        <v>0</v>
      </c>
      <c r="GT31" s="230">
        <f t="shared" si="256"/>
        <v>0</v>
      </c>
      <c r="GU31" s="230">
        <f t="shared" si="257"/>
        <v>0</v>
      </c>
      <c r="GV31" s="230">
        <f t="shared" si="258"/>
        <v>0</v>
      </c>
      <c r="GW31" s="230">
        <f t="shared" si="259"/>
        <v>0</v>
      </c>
      <c r="GX31" s="230">
        <f t="shared" si="260"/>
        <v>0</v>
      </c>
      <c r="GY31" s="230">
        <f t="shared" si="261"/>
        <v>0</v>
      </c>
      <c r="GZ31" s="230">
        <f t="shared" si="262"/>
        <v>0</v>
      </c>
      <c r="HA31" s="230">
        <f t="shared" si="263"/>
        <v>0</v>
      </c>
      <c r="HB31" s="230">
        <f t="shared" si="264"/>
        <v>0</v>
      </c>
      <c r="HC31" s="230">
        <f t="shared" si="265"/>
        <v>0</v>
      </c>
      <c r="HD31" s="230">
        <f t="shared" si="266"/>
        <v>0</v>
      </c>
      <c r="HE31" s="230">
        <f t="shared" si="267"/>
        <v>0</v>
      </c>
      <c r="HF31" s="230">
        <f t="shared" si="268"/>
        <v>0</v>
      </c>
      <c r="HG31" s="230">
        <f t="shared" si="269"/>
        <v>0</v>
      </c>
      <c r="HH31" s="230">
        <f t="shared" si="270"/>
        <v>0</v>
      </c>
      <c r="HI31" s="230">
        <f t="shared" si="271"/>
        <v>0</v>
      </c>
      <c r="HJ31" s="230">
        <f t="shared" si="272"/>
        <v>0</v>
      </c>
      <c r="HK31" s="230">
        <f t="shared" si="273"/>
        <v>0</v>
      </c>
      <c r="HL31" s="230">
        <f t="shared" si="274"/>
        <v>0</v>
      </c>
      <c r="HM31" s="230">
        <f t="shared" si="275"/>
        <v>0</v>
      </c>
      <c r="HN31" s="230">
        <f t="shared" si="276"/>
        <v>0</v>
      </c>
      <c r="HO31" s="230">
        <f t="shared" si="277"/>
        <v>0</v>
      </c>
      <c r="HP31" s="230" t="str">
        <f>INDEX(LabNameList,MATCH(LabId,LabIDList,0))</f>
        <v>Trung tâm Kiểm định và Chứng nhận 2</v>
      </c>
      <c r="HQ31" s="230">
        <f t="shared" si="278"/>
        <v>30</v>
      </c>
      <c r="HR31" s="230">
        <f t="shared" si="279"/>
        <v>0</v>
      </c>
      <c r="HS31" s="230">
        <f t="shared" si="280"/>
        <v>0</v>
      </c>
      <c r="HT31" s="230">
        <f t="shared" si="281"/>
        <v>0</v>
      </c>
      <c r="HU31" s="230">
        <f t="shared" si="282"/>
        <v>0</v>
      </c>
      <c r="HV31" s="230">
        <f t="shared" si="283"/>
        <v>0</v>
      </c>
      <c r="HW31" s="797">
        <f t="shared" si="284"/>
        <v>30</v>
      </c>
      <c r="HX31" s="797">
        <f>Input!EB31</f>
        <v>0</v>
      </c>
      <c r="HY31" s="230">
        <v>68</v>
      </c>
      <c r="HZ31" s="230"/>
      <c r="IA31" s="230"/>
      <c r="IB31" s="230"/>
      <c r="IC31" s="232" t="str">
        <f t="shared" si="285"/>
        <v>B01982230916TG05</v>
      </c>
      <c r="ID31" s="233" t="str">
        <f>Input!O31</f>
        <v>01982</v>
      </c>
      <c r="IE31" s="467" t="str">
        <f t="shared" si="286"/>
        <v>230916</v>
      </c>
      <c r="IF31" s="232" t="s">
        <v>364</v>
      </c>
      <c r="IG31" s="467" t="str">
        <f t="shared" si="287"/>
        <v>23/09/2016</v>
      </c>
      <c r="IH31" s="467" t="str">
        <f t="shared" si="288"/>
        <v>23/09/2021</v>
      </c>
      <c r="II31" s="546" t="str">
        <f> Input!R31</f>
        <v>23/09/2016</v>
      </c>
      <c r="IJ31" s="467">
        <f t="shared" si="289"/>
        <v>44462</v>
      </c>
      <c r="IK31" s="468">
        <f t="shared" si="290"/>
        <v>3</v>
      </c>
      <c r="IL31" s="469" t="str">
        <f t="shared" si="291"/>
        <v>3-1</v>
      </c>
      <c r="IM31" s="469" t="str">
        <f t="shared" si="292"/>
        <v>KHAC</v>
      </c>
      <c r="IN31" s="469" t="str">
        <f t="shared" si="293"/>
        <v>KHAC</v>
      </c>
      <c r="IO31" s="469" t="str">
        <f t="shared" si="294"/>
      </c>
      <c r="IP31" s="469" t="str">
        <f t="shared" si="295"/>
      </c>
      <c r="IQ31" s="469" t="str">
        <f t="shared" si="296"/>
      </c>
      <c r="IR31" s="469">
        <f t="shared" si="297"/>
        <v>1</v>
      </c>
      <c r="IS31" s="469">
        <f t="shared" si="298"/>
        <v>2</v>
      </c>
      <c r="IT31" s="469" t="str">
        <f t="shared" si="299"/>
        <v>Yes</v>
      </c>
      <c r="IU31" s="469" t="str">
        <f t="shared" si="300"/>
        <v>Yes</v>
      </c>
    </row>
    <row r="32" ht="63.75">
      <c r="A32" s="601">
        <f>Input!A32</f>
        <v>31</v>
      </c>
      <c r="B32" s="229" t="str">
        <f>INDEX(ApplicantIDList,MATCH(AI32,ApplicantNameList,0))</f>
        <v>VIETTEL-2016</v>
      </c>
      <c r="C32" s="229" t="str">
        <f>INDEX(OperatorIDList,MATCH(AJ32,OperatorNameList,0))</f>
        <v>VIETTEL-2016</v>
      </c>
      <c r="D32" s="797" t="str">
        <f>Input!Y32</f>
        <v>HCM4362</v>
      </c>
      <c r="E32" s="229" t="str">
        <f>Input!G32</f>
        <v>Số 107/5B, ấp 1, xã Hiệp Phước, huyện Nhà Bè, thành phố Hồ Chí Minh.</v>
      </c>
      <c r="F32" s="229" t="str">
        <f>TRIM(SUBSTITUTE(SUBSTITUTE(Input!H32,"Thành phố ",""),"Tỉnh ",""))</f>
        <v>Hồ Chí Minh</v>
      </c>
      <c r="G32" s="797" t="str">
        <f>Input!I32</f>
        <v>106,73674</v>
      </c>
      <c r="H32" s="797" t="str">
        <f>Input!J32</f>
        <v>10,63179</v>
      </c>
      <c r="I32" s="229">
        <f>Input!V32</f>
        <v>1</v>
      </c>
      <c r="J32" s="229" t="str">
        <f>Input!K32</f>
        <v>1502402/16/TG/TT2</v>
      </c>
      <c r="K32" s="231" t="str">
        <f>TEXT(Input!L32,"dd/mm/yyyy")</f>
        <v>23/09/2016</v>
      </c>
      <c r="L32" s="231" t="str">
        <f>TEXT(Input!M32,"dd/mm/yyyy")</f>
        <v>16/09/2016</v>
      </c>
      <c r="M32" s="229" t="str">
        <f t="shared" si="135"/>
        <v>TỔNG CÔNG TY MẠNG LƯỚI VIETTEL</v>
      </c>
      <c r="N32" s="229" t="str">
        <f t="shared" si="136"/>
        <v>HCM4362</v>
      </c>
      <c r="O32" s="229" t="str">
        <f t="shared" si="137"/>
        <v>HUAWEI DBS3900</v>
      </c>
      <c r="P32" s="229" t="str">
        <f t="shared" si="138"/>
        <v>3</v>
      </c>
      <c r="Q32" s="229" t="str">
        <f t="shared" si="139"/>
        <v>2/2/2</v>
      </c>
      <c r="R32" s="229" t="str">
        <f t="shared" si="140"/>
        <v>40W/ 40W/ 40W</v>
      </c>
      <c r="S32" s="229" t="str">
        <f t="shared" si="141"/>
        <v>2100</v>
      </c>
      <c r="T32" s="229" t="str">
        <f t="shared" si="142"/>
        <v>40m/ 40m/ 40m</v>
      </c>
      <c r="U32" s="229">
        <v>1</v>
      </c>
      <c r="V32" s="229"/>
      <c r="W32" s="229" t="b">
        <f t="shared" si="143"/>
        <v>1</v>
      </c>
      <c r="X32" s="229" t="b">
        <f>INDEX(TrueFalseList,_xlfn.IFNA(MATCH(Input!W32,CoKhongList,0),MATCH(Input!W32,YesNoList,0)))</f>
        <v>1</v>
      </c>
      <c r="Y32" s="797">
        <f>Input!FZ32</f>
        <v>1</v>
      </c>
      <c r="Z32" s="229" t="b">
        <v>1</v>
      </c>
      <c r="AA32" s="797">
        <f t="shared" si="144"/>
        <v>40</v>
      </c>
      <c r="AB32" s="229" t="b">
        <v>0</v>
      </c>
      <c r="AC32" s="229" t="b">
        <v>1</v>
      </c>
      <c r="AD32" s="229">
        <f>Input!DR32</f>
        <v>0</v>
      </c>
      <c r="AE32" s="229"/>
      <c r="AF32" s="229" t="str">
        <f>Options!$D$6</f>
        <v>VCC2</v>
      </c>
      <c r="AG32" s="229">
        <f t="shared" si="145"/>
        <v>0</v>
      </c>
      <c r="AH32" s="230"/>
      <c r="AI32" s="553" t="str">
        <f>Input!E32</f>
        <v>TỔNG CÔNG TY MẠNG LƯỚI VIETTEL</v>
      </c>
      <c r="AJ32" s="553" t="str">
        <f>Input!F32</f>
        <v>TỔNG CÔNG TY MẠNG LƯỚI VIETTEL</v>
      </c>
      <c r="AK32" s="229">
        <f t="shared" si="146"/>
        <v>4</v>
      </c>
      <c r="AL32" s="465" t="str">
        <f t="shared" si="147"/>
        <v>thành phố Hồ Chí Minh.</v>
      </c>
      <c r="AM32" s="465" t="str">
        <f t="shared" si="148"/>
        <v>huyện Nhà Bè</v>
      </c>
      <c r="AN32" s="465" t="str">
        <f t="shared" si="149"/>
        <v>xã Hiệp Phước</v>
      </c>
      <c r="AO32" s="229" t="str">
        <f>INDEX(CityIDList,MATCH(F32,CityNameList,0))</f>
        <v>HCM</v>
      </c>
      <c r="AP32" s="230" t="str">
        <f>Input!X32</f>
        <v>TỔNG CÔNG TY MẠNG LƯỚI VIETTEL</v>
      </c>
      <c r="AQ32" s="230">
        <f>Input!AN32</f>
        <v>0</v>
      </c>
      <c r="AR32" s="230">
        <f>Input!BD32</f>
        <v>0</v>
      </c>
      <c r="AS32" s="230" t="str">
        <f>Input!BT32</f>
      </c>
      <c r="AT32" s="230" t="str">
        <f>Input!CH32</f>
      </c>
      <c r="AU32" s="230" t="str">
        <f>Input!CV32</f>
      </c>
      <c r="AV32" s="230" t="str">
        <f>IF(I32&gt;=1,INDEX(OperatorIDList,MATCH(AP32,OperatorNameList,0)),"")</f>
        <v>VIETTEL-2016</v>
      </c>
      <c r="AW32" s="230" t="str">
        <f>IF(I32&gt;=2,INDEX(OperatorIDList,MATCH(AQ32,OperatorNameList,0)),"")</f>
      </c>
      <c r="AX32" s="230" t="str">
        <f>IF(I32&gt;=3,INDEX(OperatorIDList,MATCH(AR32,OperatorNameList,0)),"")</f>
      </c>
      <c r="AY32" s="230" t="str">
        <f>IF(I32&gt;=4,INDEX(OperatorIDList,MATCH(AS32,OperatorNameList,0)),"")</f>
      </c>
      <c r="AZ32" s="230" t="str">
        <f>IF(I32&gt;=5,INDEX(OperatorIDList,MATCH(AT32,OperatorNameList,0)),"")</f>
      </c>
      <c r="BA32" s="230" t="str">
        <f>IF(I32&gt;=6,INDEX(OperatorIDList,MATCH(AU32,OperatorNameList,0)),"")</f>
      </c>
      <c r="BB32" s="230" t="str">
        <f t="shared" si="150"/>
        <v>VIETTEL-2016</v>
      </c>
      <c r="BC32" s="230" t="str">
        <f>Input!Y32</f>
        <v>HCM4362</v>
      </c>
      <c r="BD32" s="230">
        <f>Input!AO32</f>
        <v>0</v>
      </c>
      <c r="BE32" s="230">
        <f>Input!BE32</f>
        <v>0</v>
      </c>
      <c r="BF32" s="230" t="str">
        <f>Input!BU32</f>
      </c>
      <c r="BG32" s="230" t="str">
        <f>Input!CI32</f>
      </c>
      <c r="BH32" s="230" t="str">
        <f>Input!CW32</f>
      </c>
      <c r="BI32" s="230" t="str">
        <f>Input!Z32</f>
        <v>HUAWEI DBS3900</v>
      </c>
      <c r="BJ32" s="230">
        <f>Input!AP32</f>
        <v>0</v>
      </c>
      <c r="BK32" s="230">
        <f>Input!BF32</f>
        <v>0</v>
      </c>
      <c r="BL32" s="230" t="str">
        <f>Input!BV32</f>
      </c>
      <c r="BM32" s="230" t="str">
        <f>Input!CJ32</f>
      </c>
      <c r="BN32" s="230" t="str">
        <f>Input!CX32</f>
      </c>
      <c r="BO32" s="553">
        <f>IF(ISNUMBER(Input!AA32),Input!AA32,0)</f>
        <v>3</v>
      </c>
      <c r="BP32" s="553">
        <f>IF(ISNUMBER(Input!AQ32),Input!AQ32,0)</f>
        <v>0</v>
      </c>
      <c r="BQ32" s="553">
        <f>IF(ISNUMBER(Input!BG32),Input!BG32,0)</f>
        <v>0</v>
      </c>
      <c r="BR32" s="553">
        <f>IF(ISNUMBER(Input!BW32),Input!BW32,0)</f>
        <v>0</v>
      </c>
      <c r="BS32" s="553">
        <f>IF(ISNUMBER(Input!CK32),Input!CK32,0)</f>
        <v>0</v>
      </c>
      <c r="BT32" s="554">
        <f>IF(ISNUMBER(Input!CY32),Input!CY32,0)</f>
        <v>0</v>
      </c>
      <c r="BU32" s="230" t="str">
        <f>Input!AF32</f>
        <v>2/2/2</v>
      </c>
      <c r="BV32" s="230" t="str">
        <f>Input!AV32</f>
      </c>
      <c r="BW32" s="230" t="str">
        <f>Input!BL32</f>
      </c>
      <c r="BX32" s="230" t="str">
        <f>Input!CA32</f>
      </c>
      <c r="BY32" s="230" t="str">
        <f>Input!CO32</f>
      </c>
      <c r="BZ32" s="230" t="str">
        <f>Input!DC32</f>
      </c>
      <c r="CA32" s="230">
        <f t="shared" si="151"/>
        <v>2</v>
      </c>
      <c r="CB32" s="230">
        <f t="shared" si="152"/>
        <v>2</v>
      </c>
      <c r="CC32" s="230">
        <f t="shared" si="153"/>
        <v>2</v>
      </c>
      <c r="CD32" s="230">
        <f t="shared" si="154"/>
        <v>0</v>
      </c>
      <c r="CE32" s="230">
        <f t="shared" si="155"/>
        <v>0</v>
      </c>
      <c r="CF32" s="230">
        <f t="shared" si="156"/>
        <v>0</v>
      </c>
      <c r="CG32" s="230">
        <f t="shared" si="157"/>
        <v>0</v>
      </c>
      <c r="CH32" s="230">
        <f t="shared" si="158"/>
        <v>0</v>
      </c>
      <c r="CI32" s="230">
        <f t="shared" si="159"/>
        <v>0</v>
      </c>
      <c r="CJ32" s="230">
        <f t="shared" si="160"/>
        <v>0</v>
      </c>
      <c r="CK32" s="230">
        <f t="shared" si="161"/>
        <v>0</v>
      </c>
      <c r="CL32" s="230">
        <f t="shared" si="162"/>
        <v>0</v>
      </c>
      <c r="CM32" s="230">
        <f t="shared" si="163"/>
        <v>0</v>
      </c>
      <c r="CN32" s="230">
        <f t="shared" si="164"/>
        <v>0</v>
      </c>
      <c r="CO32" s="230">
        <f t="shared" si="165"/>
        <v>0</v>
      </c>
      <c r="CP32" s="230">
        <f t="shared" si="166"/>
        <v>0</v>
      </c>
      <c r="CQ32" s="230">
        <f t="shared" si="167"/>
        <v>0</v>
      </c>
      <c r="CR32" s="230">
        <f t="shared" si="168"/>
        <v>0</v>
      </c>
      <c r="CS32" s="230">
        <f t="shared" si="169"/>
        <v>0</v>
      </c>
      <c r="CT32" s="230">
        <f t="shared" si="170"/>
        <v>0</v>
      </c>
      <c r="CU32" s="230">
        <f t="shared" si="171"/>
        <v>0</v>
      </c>
      <c r="CV32" s="230">
        <f t="shared" si="172"/>
        <v>0</v>
      </c>
      <c r="CW32" s="230">
        <f t="shared" si="173"/>
        <v>0</v>
      </c>
      <c r="CX32" s="230">
        <f t="shared" si="174"/>
        <v>0</v>
      </c>
      <c r="CY32" s="230">
        <f t="shared" si="175"/>
        <v>0</v>
      </c>
      <c r="CZ32" s="230">
        <f t="shared" si="176"/>
        <v>0</v>
      </c>
      <c r="DA32" s="230">
        <f t="shared" si="177"/>
        <v>0</v>
      </c>
      <c r="DB32" s="230">
        <f t="shared" si="178"/>
        <v>0</v>
      </c>
      <c r="DC32" s="230">
        <f t="shared" si="179"/>
        <v>0</v>
      </c>
      <c r="DD32" s="230">
        <f t="shared" si="180"/>
        <v>0</v>
      </c>
      <c r="DE32" s="230">
        <f t="shared" si="181"/>
        <v>0</v>
      </c>
      <c r="DF32" s="230">
        <f t="shared" si="182"/>
        <v>0</v>
      </c>
      <c r="DG32" s="230">
        <f t="shared" si="183"/>
        <v>0</v>
      </c>
      <c r="DH32" s="230">
        <f t="shared" si="184"/>
        <v>0</v>
      </c>
      <c r="DI32" s="230">
        <f t="shared" si="185"/>
        <v>0</v>
      </c>
      <c r="DJ32" s="230">
        <f t="shared" si="186"/>
        <v>0</v>
      </c>
      <c r="DK32" s="230" t="str">
        <f>Input!AK32</f>
        <v>40,00W/40,00W/40,00W</v>
      </c>
      <c r="DL32" s="230" t="str">
        <f>Input!BA32</f>
      </c>
      <c r="DM32" s="230" t="str">
        <f>Input!BQ32</f>
      </c>
      <c r="DN32" s="230" t="str">
        <f>Input!CE32</f>
      </c>
      <c r="DO32" s="230" t="str">
        <f>Input!CS32</f>
      </c>
      <c r="DP32" s="230" t="str">
        <f>Input!DG32</f>
      </c>
      <c r="DQ32" s="230" t="str">
        <f t="shared" si="187"/>
        <v>40W/ 40W/ 40W</v>
      </c>
      <c r="DR32" s="230" t="str">
        <f t="shared" si="188"/>
      </c>
      <c r="DS32" s="230" t="str">
        <f t="shared" si="189"/>
      </c>
      <c r="DT32" s="230" t="str">
        <f t="shared" si="190"/>
      </c>
      <c r="DU32" s="230" t="str">
        <f t="shared" si="191"/>
      </c>
      <c r="DV32" s="230" t="str">
        <f t="shared" si="192"/>
      </c>
      <c r="DW32" s="230">
        <f t="shared" si="193"/>
        <v>40</v>
      </c>
      <c r="DX32" s="230">
        <f t="shared" si="194"/>
        <v>40</v>
      </c>
      <c r="DY32" s="230">
        <f t="shared" si="195"/>
        <v>40</v>
      </c>
      <c r="DZ32" s="230">
        <f t="shared" si="196"/>
        <v>0</v>
      </c>
      <c r="EA32" s="230">
        <f t="shared" si="197"/>
        <v>0</v>
      </c>
      <c r="EB32" s="230">
        <f t="shared" si="198"/>
        <v>0</v>
      </c>
      <c r="EC32" s="230">
        <f t="shared" si="199"/>
        <v>40</v>
      </c>
      <c r="ED32" s="230">
        <f t="shared" si="200"/>
        <v>0</v>
      </c>
      <c r="EE32" s="230">
        <f t="shared" si="201"/>
        <v>0</v>
      </c>
      <c r="EF32" s="230">
        <f t="shared" si="202"/>
        <v>0</v>
      </c>
      <c r="EG32" s="230">
        <f t="shared" si="203"/>
        <v>0</v>
      </c>
      <c r="EH32" s="230">
        <f t="shared" si="204"/>
        <v>0</v>
      </c>
      <c r="EI32" s="230">
        <f t="shared" si="205"/>
        <v>0</v>
      </c>
      <c r="EJ32" s="230">
        <f t="shared" si="206"/>
        <v>0</v>
      </c>
      <c r="EK32" s="230">
        <f t="shared" si="207"/>
        <v>0</v>
      </c>
      <c r="EL32" s="230">
        <f t="shared" si="208"/>
        <v>0</v>
      </c>
      <c r="EM32" s="230">
        <f t="shared" si="209"/>
        <v>0</v>
      </c>
      <c r="EN32" s="230">
        <f t="shared" si="210"/>
        <v>0</v>
      </c>
      <c r="EO32" s="230">
        <f t="shared" si="211"/>
        <v>0</v>
      </c>
      <c r="EP32" s="230">
        <f t="shared" si="212"/>
        <v>0</v>
      </c>
      <c r="EQ32" s="230">
        <f t="shared" si="213"/>
        <v>0</v>
      </c>
      <c r="ER32" s="230">
        <f t="shared" si="214"/>
        <v>0</v>
      </c>
      <c r="ES32" s="230">
        <f t="shared" si="215"/>
        <v>0</v>
      </c>
      <c r="ET32" s="230">
        <f t="shared" si="216"/>
        <v>0</v>
      </c>
      <c r="EU32" s="230">
        <f t="shared" si="217"/>
        <v>0</v>
      </c>
      <c r="EV32" s="230">
        <f t="shared" si="218"/>
        <v>0</v>
      </c>
      <c r="EW32" s="230">
        <f t="shared" si="219"/>
        <v>0</v>
      </c>
      <c r="EX32" s="230">
        <f t="shared" si="220"/>
        <v>0</v>
      </c>
      <c r="EY32" s="230">
        <f t="shared" si="221"/>
        <v>0</v>
      </c>
      <c r="EZ32" s="230">
        <f t="shared" si="222"/>
        <v>0</v>
      </c>
      <c r="FA32" s="230">
        <f t="shared" si="223"/>
        <v>0</v>
      </c>
      <c r="FB32" s="230">
        <f t="shared" si="224"/>
        <v>0</v>
      </c>
      <c r="FC32" s="230">
        <f t="shared" si="225"/>
        <v>0</v>
      </c>
      <c r="FD32" s="230">
        <f t="shared" si="226"/>
        <v>0</v>
      </c>
      <c r="FE32" s="230">
        <f t="shared" si="227"/>
        <v>0</v>
      </c>
      <c r="FF32" s="230">
        <f t="shared" si="228"/>
        <v>0</v>
      </c>
      <c r="FG32" s="230">
        <f t="shared" si="229"/>
        <v>0</v>
      </c>
      <c r="FH32" s="230">
        <f t="shared" si="230"/>
        <v>0</v>
      </c>
      <c r="FI32" s="230">
        <f t="shared" si="231"/>
        <v>0</v>
      </c>
      <c r="FJ32" s="230">
        <f t="shared" si="232"/>
        <v>0</v>
      </c>
      <c r="FK32" s="230">
        <f t="shared" si="233"/>
        <v>0</v>
      </c>
      <c r="FL32" s="230">
        <f t="shared" si="234"/>
        <v>0</v>
      </c>
      <c r="FM32" s="230">
        <f t="shared" si="235"/>
        <v>40</v>
      </c>
      <c r="FN32" s="230">
        <f>Input!AL32</f>
        <v>2100</v>
      </c>
      <c r="FO32" s="230">
        <f>Input!BB32</f>
        <v>0</v>
      </c>
      <c r="FP32" s="230">
        <f>Input!BR32</f>
        <v>0</v>
      </c>
      <c r="FQ32" s="230" t="str">
        <f>Input!CF32</f>
      </c>
      <c r="FR32" s="230" t="str">
        <f>Input!CT32</f>
      </c>
      <c r="FS32" s="230" t="str">
        <f>Input!DH32</f>
      </c>
      <c r="FT32" s="230" t="str">
        <f>Input!AM32</f>
        <v>40m/ 40m/ 40m</v>
      </c>
      <c r="FU32" s="230">
        <f>Input!BC32</f>
        <v>0</v>
      </c>
      <c r="FV32" s="230">
        <f>Input!BS32</f>
        <v>0</v>
      </c>
      <c r="FW32" s="230" t="str">
        <f>Input!CG32</f>
      </c>
      <c r="FX32" s="230" t="str">
        <f>Input!CU32</f>
      </c>
      <c r="FY32" s="230" t="str">
        <f>Input!DI32</f>
      </c>
      <c r="FZ32" s="230" t="str">
        <f t="shared" si="236"/>
        <v>40m/ 40m/ 40m</v>
      </c>
      <c r="GA32" s="230" t="str">
        <f t="shared" si="237"/>
      </c>
      <c r="GB32" s="230" t="str">
        <f t="shared" si="238"/>
      </c>
      <c r="GC32" s="230" t="str">
        <f t="shared" si="239"/>
      </c>
      <c r="GD32" s="230" t="str">
        <f t="shared" si="240"/>
      </c>
      <c r="GE32" s="230" t="str">
        <f t="shared" si="241"/>
      </c>
      <c r="GF32" s="230">
        <f t="shared" si="242"/>
        <v>40</v>
      </c>
      <c r="GG32" s="230">
        <f t="shared" si="243"/>
        <v>40</v>
      </c>
      <c r="GH32" s="230">
        <f t="shared" si="244"/>
        <v>40</v>
      </c>
      <c r="GI32" s="230">
        <f t="shared" si="245"/>
        <v>0</v>
      </c>
      <c r="GJ32" s="230">
        <f t="shared" si="246"/>
        <v>0</v>
      </c>
      <c r="GK32" s="230">
        <f t="shared" si="247"/>
        <v>0</v>
      </c>
      <c r="GL32" s="230">
        <f t="shared" si="248"/>
        <v>0</v>
      </c>
      <c r="GM32" s="230">
        <f t="shared" si="249"/>
        <v>0</v>
      </c>
      <c r="GN32" s="230">
        <f t="shared" si="250"/>
        <v>0</v>
      </c>
      <c r="GO32" s="230">
        <f t="shared" si="251"/>
        <v>0</v>
      </c>
      <c r="GP32" s="230">
        <f t="shared" si="252"/>
        <v>0</v>
      </c>
      <c r="GQ32" s="230">
        <f t="shared" si="253"/>
        <v>0</v>
      </c>
      <c r="GR32" s="230">
        <f t="shared" si="254"/>
        <v>0</v>
      </c>
      <c r="GS32" s="230">
        <f t="shared" si="255"/>
        <v>0</v>
      </c>
      <c r="GT32" s="230">
        <f t="shared" si="256"/>
        <v>0</v>
      </c>
      <c r="GU32" s="230">
        <f t="shared" si="257"/>
        <v>0</v>
      </c>
      <c r="GV32" s="230">
        <f t="shared" si="258"/>
        <v>0</v>
      </c>
      <c r="GW32" s="230">
        <f t="shared" si="259"/>
        <v>0</v>
      </c>
      <c r="GX32" s="230">
        <f t="shared" si="260"/>
        <v>0</v>
      </c>
      <c r="GY32" s="230">
        <f t="shared" si="261"/>
        <v>0</v>
      </c>
      <c r="GZ32" s="230">
        <f t="shared" si="262"/>
        <v>0</v>
      </c>
      <c r="HA32" s="230">
        <f t="shared" si="263"/>
        <v>0</v>
      </c>
      <c r="HB32" s="230">
        <f t="shared" si="264"/>
        <v>0</v>
      </c>
      <c r="HC32" s="230">
        <f t="shared" si="265"/>
        <v>0</v>
      </c>
      <c r="HD32" s="230">
        <f t="shared" si="266"/>
        <v>0</v>
      </c>
      <c r="HE32" s="230">
        <f t="shared" si="267"/>
        <v>0</v>
      </c>
      <c r="HF32" s="230">
        <f t="shared" si="268"/>
        <v>0</v>
      </c>
      <c r="HG32" s="230">
        <f t="shared" si="269"/>
        <v>0</v>
      </c>
      <c r="HH32" s="230">
        <f t="shared" si="270"/>
        <v>0</v>
      </c>
      <c r="HI32" s="230">
        <f t="shared" si="271"/>
        <v>0</v>
      </c>
      <c r="HJ32" s="230">
        <f t="shared" si="272"/>
        <v>0</v>
      </c>
      <c r="HK32" s="230">
        <f t="shared" si="273"/>
        <v>0</v>
      </c>
      <c r="HL32" s="230">
        <f t="shared" si="274"/>
        <v>0</v>
      </c>
      <c r="HM32" s="230">
        <f t="shared" si="275"/>
        <v>0</v>
      </c>
      <c r="HN32" s="230">
        <f t="shared" si="276"/>
        <v>0</v>
      </c>
      <c r="HO32" s="230">
        <f t="shared" si="277"/>
        <v>0</v>
      </c>
      <c r="HP32" s="230" t="str">
        <f>INDEX(LabNameList,MATCH(LabId,LabIDList,0))</f>
        <v>Trung tâm Kiểm định và Chứng nhận 2</v>
      </c>
      <c r="HQ32" s="230">
        <f t="shared" si="278"/>
        <v>40</v>
      </c>
      <c r="HR32" s="230">
        <f t="shared" si="279"/>
        <v>0</v>
      </c>
      <c r="HS32" s="230">
        <f t="shared" si="280"/>
        <v>0</v>
      </c>
      <c r="HT32" s="230">
        <f t="shared" si="281"/>
        <v>0</v>
      </c>
      <c r="HU32" s="230">
        <f t="shared" si="282"/>
        <v>0</v>
      </c>
      <c r="HV32" s="230">
        <f t="shared" si="283"/>
        <v>0</v>
      </c>
      <c r="HW32" s="797">
        <f t="shared" si="284"/>
        <v>40</v>
      </c>
      <c r="HX32" s="797">
        <f>Input!EB32</f>
        <v>0</v>
      </c>
      <c r="HY32" s="230">
        <v>68</v>
      </c>
      <c r="HZ32" s="230"/>
      <c r="IA32" s="230"/>
      <c r="IB32" s="230"/>
      <c r="IC32" s="232" t="str">
        <f t="shared" si="285"/>
        <v>B01983230916TG05</v>
      </c>
      <c r="ID32" s="233" t="str">
        <f>Input!O32</f>
        <v>01983</v>
      </c>
      <c r="IE32" s="467" t="str">
        <f t="shared" si="286"/>
        <v>230916</v>
      </c>
      <c r="IF32" s="232" t="s">
        <v>364</v>
      </c>
      <c r="IG32" s="467" t="str">
        <f t="shared" si="287"/>
        <v>23/09/2016</v>
      </c>
      <c r="IH32" s="467" t="str">
        <f t="shared" si="288"/>
        <v>23/09/2021</v>
      </c>
      <c r="II32" s="546" t="str">
        <f> Input!R32</f>
        <v>23/09/2016</v>
      </c>
      <c r="IJ32" s="467">
        <f t="shared" si="289"/>
        <v>44462</v>
      </c>
      <c r="IK32" s="468">
        <f t="shared" si="290"/>
        <v>3</v>
      </c>
      <c r="IL32" s="469" t="str">
        <f t="shared" si="291"/>
        <v>3-1</v>
      </c>
      <c r="IM32" s="469" t="str">
        <f t="shared" si="292"/>
        <v>KHAC</v>
      </c>
      <c r="IN32" s="469" t="str">
        <f t="shared" si="293"/>
        <v>KHAC</v>
      </c>
      <c r="IO32" s="469" t="str">
        <f t="shared" si="294"/>
      </c>
      <c r="IP32" s="469" t="str">
        <f t="shared" si="295"/>
      </c>
      <c r="IQ32" s="469" t="str">
        <f t="shared" si="296"/>
      </c>
      <c r="IR32" s="469">
        <f t="shared" si="297"/>
        <v>1</v>
      </c>
      <c r="IS32" s="469">
        <f t="shared" si="298"/>
        <v>2</v>
      </c>
      <c r="IT32" s="469" t="str">
        <f t="shared" si="299"/>
        <v>Yes</v>
      </c>
      <c r="IU32" s="469" t="str">
        <f t="shared" si="300"/>
        <v>Yes</v>
      </c>
    </row>
    <row r="33" ht="63.75">
      <c r="A33" s="601">
        <f>Input!A33</f>
        <v>32</v>
      </c>
      <c r="B33" s="229" t="str">
        <f>INDEX(ApplicantIDList,MATCH(AI33,ApplicantNameList,0))</f>
        <v>VIETTEL-2016</v>
      </c>
      <c r="C33" s="229" t="str">
        <f>INDEX(OperatorIDList,MATCH(AJ33,OperatorNameList,0))</f>
        <v>VIETTEL-2016</v>
      </c>
      <c r="D33" s="797" t="str">
        <f>Input!Y33</f>
        <v>HCM4495</v>
      </c>
      <c r="E33" s="229" t="str">
        <f>Input!G33</f>
        <v>Số 91A, đường Nguyễn Văn Tạo, ấp Long Thới, xã Long Thới, huyện Nhà Bè, thành phố Hồ Chí Minh.</v>
      </c>
      <c r="F33" s="229" t="str">
        <f>TRIM(SUBSTITUTE(SUBSTITUTE(Input!H33,"Thành phố ",""),"Tỉnh ",""))</f>
        <v>Hồ Chí Minh</v>
      </c>
      <c r="G33" s="797" t="str">
        <f>Input!I33</f>
        <v>106,731596</v>
      </c>
      <c r="H33" s="797" t="str">
        <f>Input!J33</f>
        <v>10,649405</v>
      </c>
      <c r="I33" s="229">
        <f>Input!V33</f>
        <v>2</v>
      </c>
      <c r="J33" s="229" t="str">
        <f>Input!K33</f>
        <v>1502403/16/TG/TT2</v>
      </c>
      <c r="K33" s="231" t="str">
        <f>TEXT(Input!L33,"dd/mm/yyyy")</f>
        <v>23/09/2016</v>
      </c>
      <c r="L33" s="231" t="str">
        <f>TEXT(Input!M33,"dd/mm/yyyy")</f>
        <v>16/09/2016</v>
      </c>
      <c r="M33" s="229" t="str">
        <f t="shared" si="135"/>
        <v>TỔNG CÔNG TY MẠNG LƯỚI VIETTEL;TỔNG CÔNG TY MẠNG LƯỚI VIETTEL</v>
      </c>
      <c r="N33" s="229" t="str">
        <f t="shared" si="136"/>
        <v>HCM4495;HCM4495</v>
      </c>
      <c r="O33" s="229" t="str">
        <f t="shared" si="137"/>
        <v>HUAWEI DBS3900;HUAWEI DBS3900</v>
      </c>
      <c r="P33" s="229" t="str">
        <f t="shared" si="138"/>
        <v>3;3</v>
      </c>
      <c r="Q33" s="229" t="str">
        <f t="shared" si="139"/>
        <v>2/2/2;2/2/2</v>
      </c>
      <c r="R33" s="229" t="str">
        <f t="shared" si="140"/>
        <v>40W/ 40W/ 40W;40W/ 40W/ 40W</v>
      </c>
      <c r="S33" s="229" t="str">
        <f t="shared" si="141"/>
        <v>900;2100</v>
      </c>
      <c r="T33" s="229" t="str">
        <f t="shared" si="142"/>
        <v>28m/ 28m/ 28m;34m/ 34m/ 34m</v>
      </c>
      <c r="U33" s="229">
        <v>1</v>
      </c>
      <c r="V33" s="229"/>
      <c r="W33" s="229" t="b">
        <f t="shared" si="143"/>
        <v>0</v>
      </c>
      <c r="X33" s="229" t="b">
        <f>INDEX(TrueFalseList,_xlfn.IFNA(MATCH(Input!W33,CoKhongList,0),MATCH(Input!W33,YesNoList,0)))</f>
        <v>0</v>
      </c>
      <c r="Y33" s="797">
        <f>Input!FZ33</f>
        <v>0</v>
      </c>
      <c r="Z33" s="229" t="b">
        <v>1</v>
      </c>
      <c r="AA33" s="797">
        <f t="shared" si="144"/>
        <v>28</v>
      </c>
      <c r="AB33" s="229" t="b">
        <v>0</v>
      </c>
      <c r="AC33" s="229" t="b">
        <v>1</v>
      </c>
      <c r="AD33" s="229">
        <f>Input!DR33</f>
        <v>0</v>
      </c>
      <c r="AE33" s="229"/>
      <c r="AF33" s="229" t="str">
        <f>Options!$D$6</f>
        <v>VCC2</v>
      </c>
      <c r="AG33" s="229">
        <f t="shared" si="145"/>
        <v>0</v>
      </c>
      <c r="AH33" s="230"/>
      <c r="AI33" s="553" t="str">
        <f>Input!E33</f>
        <v>TỔNG CÔNG TY MẠNG LƯỚI VIETTEL</v>
      </c>
      <c r="AJ33" s="553" t="str">
        <f>Input!F33</f>
        <v>TỔNG CÔNG TY MẠNG LƯỚI VIETTEL</v>
      </c>
      <c r="AK33" s="229">
        <f t="shared" si="146"/>
        <v>5</v>
      </c>
      <c r="AL33" s="465" t="str">
        <f t="shared" si="147"/>
        <v>thành phố Hồ Chí Minh.</v>
      </c>
      <c r="AM33" s="465" t="str">
        <f t="shared" si="148"/>
        <v>huyện Nhà Bè</v>
      </c>
      <c r="AN33" s="465" t="str">
        <f t="shared" si="149"/>
        <v>xã Long Thới</v>
      </c>
      <c r="AO33" s="229" t="str">
        <f>INDEX(CityIDList,MATCH(F33,CityNameList,0))</f>
        <v>HCM</v>
      </c>
      <c r="AP33" s="230" t="str">
        <f>Input!X33</f>
        <v>TỔNG CÔNG TY MẠNG LƯỚI VIETTEL</v>
      </c>
      <c r="AQ33" s="230" t="str">
        <f>Input!AN33</f>
        <v>TỔNG CÔNG TY MẠNG LƯỚI VIETTEL</v>
      </c>
      <c r="AR33" s="230">
        <f>Input!BD33</f>
        <v>0</v>
      </c>
      <c r="AS33" s="230" t="str">
        <f>Input!BT33</f>
      </c>
      <c r="AT33" s="230" t="str">
        <f>Input!CH33</f>
      </c>
      <c r="AU33" s="230" t="str">
        <f>Input!CV33</f>
      </c>
      <c r="AV33" s="230" t="str">
        <f>IF(I33&gt;=1,INDEX(OperatorIDList,MATCH(AP33,OperatorNameList,0)),"")</f>
        <v>VIETTEL-2016</v>
      </c>
      <c r="AW33" s="230" t="str">
        <f>IF(I33&gt;=2,INDEX(OperatorIDList,MATCH(AQ33,OperatorNameList,0)),"")</f>
        <v>VIETTEL-2016</v>
      </c>
      <c r="AX33" s="230" t="str">
        <f>IF(I33&gt;=3,INDEX(OperatorIDList,MATCH(AR33,OperatorNameList,0)),"")</f>
      </c>
      <c r="AY33" s="230" t="str">
        <f>IF(I33&gt;=4,INDEX(OperatorIDList,MATCH(AS33,OperatorNameList,0)),"")</f>
      </c>
      <c r="AZ33" s="230" t="str">
        <f>IF(I33&gt;=5,INDEX(OperatorIDList,MATCH(AT33,OperatorNameList,0)),"")</f>
      </c>
      <c r="BA33" s="230" t="str">
        <f>IF(I33&gt;=6,INDEX(OperatorIDList,MATCH(AU33,OperatorNameList,0)),"")</f>
      </c>
      <c r="BB33" s="230" t="str">
        <f t="shared" si="150"/>
        <v>VIETTEL-2016;VIETTEL-2016</v>
      </c>
      <c r="BC33" s="230" t="str">
        <f>Input!Y33</f>
        <v>HCM4495</v>
      </c>
      <c r="BD33" s="230" t="str">
        <f>Input!AO33</f>
        <v>HCM4495</v>
      </c>
      <c r="BE33" s="230">
        <f>Input!BE33</f>
        <v>0</v>
      </c>
      <c r="BF33" s="230" t="str">
        <f>Input!BU33</f>
      </c>
      <c r="BG33" s="230" t="str">
        <f>Input!CI33</f>
      </c>
      <c r="BH33" s="230" t="str">
        <f>Input!CW33</f>
      </c>
      <c r="BI33" s="230" t="str">
        <f>Input!Z33</f>
        <v>HUAWEI DBS3900</v>
      </c>
      <c r="BJ33" s="230" t="str">
        <f>Input!AP33</f>
        <v>HUAWEI DBS3900</v>
      </c>
      <c r="BK33" s="230">
        <f>Input!BF33</f>
        <v>0</v>
      </c>
      <c r="BL33" s="230" t="str">
        <f>Input!BV33</f>
      </c>
      <c r="BM33" s="230" t="str">
        <f>Input!CJ33</f>
      </c>
      <c r="BN33" s="230" t="str">
        <f>Input!CX33</f>
      </c>
      <c r="BO33" s="553">
        <f>IF(ISNUMBER(Input!AA33),Input!AA33,0)</f>
        <v>3</v>
      </c>
      <c r="BP33" s="553">
        <f>IF(ISNUMBER(Input!AQ33),Input!AQ33,0)</f>
        <v>3</v>
      </c>
      <c r="BQ33" s="553">
        <f>IF(ISNUMBER(Input!BG33),Input!BG33,0)</f>
        <v>0</v>
      </c>
      <c r="BR33" s="553">
        <f>IF(ISNUMBER(Input!BW33),Input!BW33,0)</f>
        <v>0</v>
      </c>
      <c r="BS33" s="553">
        <f>IF(ISNUMBER(Input!CK33),Input!CK33,0)</f>
        <v>0</v>
      </c>
      <c r="BT33" s="554">
        <f>IF(ISNUMBER(Input!CY33),Input!CY33,0)</f>
        <v>0</v>
      </c>
      <c r="BU33" s="230" t="str">
        <f>Input!AF33</f>
        <v>2/2/2</v>
      </c>
      <c r="BV33" s="230" t="str">
        <f>Input!AV33</f>
        <v>2/2/2</v>
      </c>
      <c r="BW33" s="230" t="str">
        <f>Input!BL33</f>
      </c>
      <c r="BX33" s="230" t="str">
        <f>Input!CA33</f>
      </c>
      <c r="BY33" s="230" t="str">
        <f>Input!CO33</f>
      </c>
      <c r="BZ33" s="230" t="str">
        <f>Input!DC33</f>
      </c>
      <c r="CA33" s="230">
        <f t="shared" si="151"/>
        <v>2</v>
      </c>
      <c r="CB33" s="230">
        <f t="shared" si="152"/>
        <v>2</v>
      </c>
      <c r="CC33" s="230">
        <f t="shared" si="153"/>
        <v>2</v>
      </c>
      <c r="CD33" s="230">
        <f t="shared" si="154"/>
        <v>0</v>
      </c>
      <c r="CE33" s="230">
        <f t="shared" si="155"/>
        <v>0</v>
      </c>
      <c r="CF33" s="230">
        <f t="shared" si="156"/>
        <v>0</v>
      </c>
      <c r="CG33" s="230">
        <f t="shared" si="157"/>
        <v>2</v>
      </c>
      <c r="CH33" s="230">
        <f t="shared" si="158"/>
        <v>2</v>
      </c>
      <c r="CI33" s="230">
        <f t="shared" si="159"/>
        <v>2</v>
      </c>
      <c r="CJ33" s="230">
        <f t="shared" si="160"/>
        <v>0</v>
      </c>
      <c r="CK33" s="230">
        <f t="shared" si="161"/>
        <v>0</v>
      </c>
      <c r="CL33" s="230">
        <f t="shared" si="162"/>
        <v>0</v>
      </c>
      <c r="CM33" s="230">
        <f t="shared" si="163"/>
        <v>0</v>
      </c>
      <c r="CN33" s="230">
        <f t="shared" si="164"/>
        <v>0</v>
      </c>
      <c r="CO33" s="230">
        <f t="shared" si="165"/>
        <v>0</v>
      </c>
      <c r="CP33" s="230">
        <f t="shared" si="166"/>
        <v>0</v>
      </c>
      <c r="CQ33" s="230">
        <f t="shared" si="167"/>
        <v>0</v>
      </c>
      <c r="CR33" s="230">
        <f t="shared" si="168"/>
        <v>0</v>
      </c>
      <c r="CS33" s="230">
        <f t="shared" si="169"/>
        <v>0</v>
      </c>
      <c r="CT33" s="230">
        <f t="shared" si="170"/>
        <v>0</v>
      </c>
      <c r="CU33" s="230">
        <f t="shared" si="171"/>
        <v>0</v>
      </c>
      <c r="CV33" s="230">
        <f t="shared" si="172"/>
        <v>0</v>
      </c>
      <c r="CW33" s="230">
        <f t="shared" si="173"/>
        <v>0</v>
      </c>
      <c r="CX33" s="230">
        <f t="shared" si="174"/>
        <v>0</v>
      </c>
      <c r="CY33" s="230">
        <f t="shared" si="175"/>
        <v>0</v>
      </c>
      <c r="CZ33" s="230">
        <f t="shared" si="176"/>
        <v>0</v>
      </c>
      <c r="DA33" s="230">
        <f t="shared" si="177"/>
        <v>0</v>
      </c>
      <c r="DB33" s="230">
        <f t="shared" si="178"/>
        <v>0</v>
      </c>
      <c r="DC33" s="230">
        <f t="shared" si="179"/>
        <v>0</v>
      </c>
      <c r="DD33" s="230">
        <f t="shared" si="180"/>
        <v>0</v>
      </c>
      <c r="DE33" s="230">
        <f t="shared" si="181"/>
        <v>0</v>
      </c>
      <c r="DF33" s="230">
        <f t="shared" si="182"/>
        <v>0</v>
      </c>
      <c r="DG33" s="230">
        <f t="shared" si="183"/>
        <v>0</v>
      </c>
      <c r="DH33" s="230">
        <f t="shared" si="184"/>
        <v>0</v>
      </c>
      <c r="DI33" s="230">
        <f t="shared" si="185"/>
        <v>0</v>
      </c>
      <c r="DJ33" s="230">
        <f t="shared" si="186"/>
        <v>0</v>
      </c>
      <c r="DK33" s="230" t="str">
        <f>Input!AK33</f>
        <v>40,00W/40,00W/40,00W</v>
      </c>
      <c r="DL33" s="230" t="str">
        <f>Input!BA33</f>
        <v>40,00W/40,00W/40,00W</v>
      </c>
      <c r="DM33" s="230" t="str">
        <f>Input!BQ33</f>
      </c>
      <c r="DN33" s="230" t="str">
        <f>Input!CE33</f>
      </c>
      <c r="DO33" s="230" t="str">
        <f>Input!CS33</f>
      </c>
      <c r="DP33" s="230" t="str">
        <f>Input!DG33</f>
      </c>
      <c r="DQ33" s="230" t="str">
        <f t="shared" si="187"/>
        <v>40W/ 40W/ 40W</v>
      </c>
      <c r="DR33" s="230" t="str">
        <f t="shared" si="188"/>
        <v>40W/ 40W/ 40W</v>
      </c>
      <c r="DS33" s="230" t="str">
        <f t="shared" si="189"/>
      </c>
      <c r="DT33" s="230" t="str">
        <f t="shared" si="190"/>
      </c>
      <c r="DU33" s="230" t="str">
        <f t="shared" si="191"/>
      </c>
      <c r="DV33" s="230" t="str">
        <f t="shared" si="192"/>
      </c>
      <c r="DW33" s="230">
        <f t="shared" si="193"/>
        <v>40</v>
      </c>
      <c r="DX33" s="230">
        <f t="shared" si="194"/>
        <v>40</v>
      </c>
      <c r="DY33" s="230">
        <f t="shared" si="195"/>
        <v>40</v>
      </c>
      <c r="DZ33" s="230">
        <f t="shared" si="196"/>
        <v>0</v>
      </c>
      <c r="EA33" s="230">
        <f t="shared" si="197"/>
        <v>0</v>
      </c>
      <c r="EB33" s="230">
        <f t="shared" si="198"/>
        <v>0</v>
      </c>
      <c r="EC33" s="230">
        <f t="shared" si="199"/>
        <v>40</v>
      </c>
      <c r="ED33" s="230">
        <f t="shared" si="200"/>
        <v>40</v>
      </c>
      <c r="EE33" s="230">
        <f t="shared" si="201"/>
        <v>40</v>
      </c>
      <c r="EF33" s="230">
        <f t="shared" si="202"/>
        <v>40</v>
      </c>
      <c r="EG33" s="230">
        <f t="shared" si="203"/>
        <v>0</v>
      </c>
      <c r="EH33" s="230">
        <f t="shared" si="204"/>
        <v>0</v>
      </c>
      <c r="EI33" s="230">
        <f t="shared" si="205"/>
        <v>0</v>
      </c>
      <c r="EJ33" s="230">
        <f t="shared" si="206"/>
        <v>40</v>
      </c>
      <c r="EK33" s="230">
        <f t="shared" si="207"/>
        <v>0</v>
      </c>
      <c r="EL33" s="230">
        <f t="shared" si="208"/>
        <v>0</v>
      </c>
      <c r="EM33" s="230">
        <f t="shared" si="209"/>
        <v>0</v>
      </c>
      <c r="EN33" s="230">
        <f t="shared" si="210"/>
        <v>0</v>
      </c>
      <c r="EO33" s="230">
        <f t="shared" si="211"/>
        <v>0</v>
      </c>
      <c r="EP33" s="230">
        <f t="shared" si="212"/>
        <v>0</v>
      </c>
      <c r="EQ33" s="230">
        <f t="shared" si="213"/>
        <v>0</v>
      </c>
      <c r="ER33" s="230">
        <f t="shared" si="214"/>
        <v>0</v>
      </c>
      <c r="ES33" s="230">
        <f t="shared" si="215"/>
        <v>0</v>
      </c>
      <c r="ET33" s="230">
        <f t="shared" si="216"/>
        <v>0</v>
      </c>
      <c r="EU33" s="230">
        <f t="shared" si="217"/>
        <v>0</v>
      </c>
      <c r="EV33" s="230">
        <f t="shared" si="218"/>
        <v>0</v>
      </c>
      <c r="EW33" s="230">
        <f t="shared" si="219"/>
        <v>0</v>
      </c>
      <c r="EX33" s="230">
        <f t="shared" si="220"/>
        <v>0</v>
      </c>
      <c r="EY33" s="230">
        <f t="shared" si="221"/>
        <v>0</v>
      </c>
      <c r="EZ33" s="230">
        <f t="shared" si="222"/>
        <v>0</v>
      </c>
      <c r="FA33" s="230">
        <f t="shared" si="223"/>
        <v>0</v>
      </c>
      <c r="FB33" s="230">
        <f t="shared" si="224"/>
        <v>0</v>
      </c>
      <c r="FC33" s="230">
        <f t="shared" si="225"/>
        <v>0</v>
      </c>
      <c r="FD33" s="230">
        <f t="shared" si="226"/>
        <v>0</v>
      </c>
      <c r="FE33" s="230">
        <f t="shared" si="227"/>
        <v>0</v>
      </c>
      <c r="FF33" s="230">
        <f t="shared" si="228"/>
        <v>0</v>
      </c>
      <c r="FG33" s="230">
        <f t="shared" si="229"/>
        <v>0</v>
      </c>
      <c r="FH33" s="230">
        <f t="shared" si="230"/>
        <v>0</v>
      </c>
      <c r="FI33" s="230">
        <f t="shared" si="231"/>
        <v>0</v>
      </c>
      <c r="FJ33" s="230">
        <f t="shared" si="232"/>
        <v>0</v>
      </c>
      <c r="FK33" s="230">
        <f t="shared" si="233"/>
        <v>0</v>
      </c>
      <c r="FL33" s="230">
        <f t="shared" si="234"/>
        <v>0</v>
      </c>
      <c r="FM33" s="230">
        <f t="shared" si="235"/>
        <v>40</v>
      </c>
      <c r="FN33" s="230" t="str">
        <f>Input!AL33</f>
        <v>900</v>
      </c>
      <c r="FO33" s="230" t="str">
        <f>Input!BB33</f>
        <v>2100</v>
      </c>
      <c r="FP33" s="230">
        <f>Input!BR33</f>
        <v>0</v>
      </c>
      <c r="FQ33" s="230" t="str">
        <f>Input!CF33</f>
      </c>
      <c r="FR33" s="230" t="str">
        <f>Input!CT33</f>
      </c>
      <c r="FS33" s="230" t="str">
        <f>Input!DH33</f>
      </c>
      <c r="FT33" s="230" t="str">
        <f>Input!AM33</f>
        <v>28m/ 28m/ 28m</v>
      </c>
      <c r="FU33" s="230" t="str">
        <f>Input!BC33</f>
        <v>34m/ 34m/ 34m</v>
      </c>
      <c r="FV33" s="230">
        <f>Input!BS33</f>
        <v>0</v>
      </c>
      <c r="FW33" s="230" t="str">
        <f>Input!CG33</f>
      </c>
      <c r="FX33" s="230" t="str">
        <f>Input!CU33</f>
      </c>
      <c r="FY33" s="230" t="str">
        <f>Input!DI33</f>
      </c>
      <c r="FZ33" s="230" t="str">
        <f t="shared" si="236"/>
        <v>28m/ 28m/ 28m</v>
      </c>
      <c r="GA33" s="230" t="str">
        <f t="shared" si="237"/>
        <v>34m/ 34m/ 34m</v>
      </c>
      <c r="GB33" s="230" t="str">
        <f t="shared" si="238"/>
      </c>
      <c r="GC33" s="230" t="str">
        <f t="shared" si="239"/>
      </c>
      <c r="GD33" s="230" t="str">
        <f t="shared" si="240"/>
      </c>
      <c r="GE33" s="230" t="str">
        <f t="shared" si="241"/>
      </c>
      <c r="GF33" s="230">
        <f t="shared" si="242"/>
        <v>28</v>
      </c>
      <c r="GG33" s="230">
        <f t="shared" si="243"/>
        <v>28</v>
      </c>
      <c r="GH33" s="230">
        <f t="shared" si="244"/>
        <v>28</v>
      </c>
      <c r="GI33" s="230">
        <f t="shared" si="245"/>
        <v>0</v>
      </c>
      <c r="GJ33" s="230">
        <f t="shared" si="246"/>
        <v>0</v>
      </c>
      <c r="GK33" s="230">
        <f t="shared" si="247"/>
        <v>0</v>
      </c>
      <c r="GL33" s="230">
        <f t="shared" si="248"/>
        <v>34</v>
      </c>
      <c r="GM33" s="230">
        <f t="shared" si="249"/>
        <v>34</v>
      </c>
      <c r="GN33" s="230">
        <f t="shared" si="250"/>
        <v>34</v>
      </c>
      <c r="GO33" s="230">
        <f t="shared" si="251"/>
        <v>0</v>
      </c>
      <c r="GP33" s="230">
        <f t="shared" si="252"/>
        <v>0</v>
      </c>
      <c r="GQ33" s="230">
        <f t="shared" si="253"/>
        <v>0</v>
      </c>
      <c r="GR33" s="230">
        <f t="shared" si="254"/>
        <v>0</v>
      </c>
      <c r="GS33" s="230">
        <f t="shared" si="255"/>
        <v>0</v>
      </c>
      <c r="GT33" s="230">
        <f t="shared" si="256"/>
        <v>0</v>
      </c>
      <c r="GU33" s="230">
        <f t="shared" si="257"/>
        <v>0</v>
      </c>
      <c r="GV33" s="230">
        <f t="shared" si="258"/>
        <v>0</v>
      </c>
      <c r="GW33" s="230">
        <f t="shared" si="259"/>
        <v>0</v>
      </c>
      <c r="GX33" s="230">
        <f t="shared" si="260"/>
        <v>0</v>
      </c>
      <c r="GY33" s="230">
        <f t="shared" si="261"/>
        <v>0</v>
      </c>
      <c r="GZ33" s="230">
        <f t="shared" si="262"/>
        <v>0</v>
      </c>
      <c r="HA33" s="230">
        <f t="shared" si="263"/>
        <v>0</v>
      </c>
      <c r="HB33" s="230">
        <f t="shared" si="264"/>
        <v>0</v>
      </c>
      <c r="HC33" s="230">
        <f t="shared" si="265"/>
        <v>0</v>
      </c>
      <c r="HD33" s="230">
        <f t="shared" si="266"/>
        <v>0</v>
      </c>
      <c r="HE33" s="230">
        <f t="shared" si="267"/>
        <v>0</v>
      </c>
      <c r="HF33" s="230">
        <f t="shared" si="268"/>
        <v>0</v>
      </c>
      <c r="HG33" s="230">
        <f t="shared" si="269"/>
        <v>0</v>
      </c>
      <c r="HH33" s="230">
        <f t="shared" si="270"/>
        <v>0</v>
      </c>
      <c r="HI33" s="230">
        <f t="shared" si="271"/>
        <v>0</v>
      </c>
      <c r="HJ33" s="230">
        <f t="shared" si="272"/>
        <v>0</v>
      </c>
      <c r="HK33" s="230">
        <f t="shared" si="273"/>
        <v>0</v>
      </c>
      <c r="HL33" s="230">
        <f t="shared" si="274"/>
        <v>0</v>
      </c>
      <c r="HM33" s="230">
        <f t="shared" si="275"/>
        <v>0</v>
      </c>
      <c r="HN33" s="230">
        <f t="shared" si="276"/>
        <v>0</v>
      </c>
      <c r="HO33" s="230">
        <f t="shared" si="277"/>
        <v>0</v>
      </c>
      <c r="HP33" s="230" t="str">
        <f>INDEX(LabNameList,MATCH(LabId,LabIDList,0))</f>
        <v>Trung tâm Kiểm định và Chứng nhận 2</v>
      </c>
      <c r="HQ33" s="230">
        <f t="shared" si="278"/>
        <v>28</v>
      </c>
      <c r="HR33" s="230">
        <f t="shared" si="279"/>
        <v>34</v>
      </c>
      <c r="HS33" s="230">
        <f t="shared" si="280"/>
        <v>0</v>
      </c>
      <c r="HT33" s="230">
        <f t="shared" si="281"/>
        <v>0</v>
      </c>
      <c r="HU33" s="230">
        <f t="shared" si="282"/>
        <v>0</v>
      </c>
      <c r="HV33" s="230">
        <f t="shared" si="283"/>
        <v>0</v>
      </c>
      <c r="HW33" s="797">
        <f t="shared" si="284"/>
        <v>28</v>
      </c>
      <c r="HX33" s="797">
        <f>Input!EB33</f>
        <v>0</v>
      </c>
      <c r="HY33" s="230">
        <v>68</v>
      </c>
      <c r="HZ33" s="230"/>
      <c r="IA33" s="230"/>
      <c r="IB33" s="230"/>
      <c r="IC33" s="232" t="str">
        <f t="shared" si="285"/>
        <v>B01984230916TG05</v>
      </c>
      <c r="ID33" s="233" t="str">
        <f>Input!O33</f>
        <v>01984</v>
      </c>
      <c r="IE33" s="467" t="str">
        <f t="shared" si="286"/>
        <v>230916</v>
      </c>
      <c r="IF33" s="232" t="s">
        <v>364</v>
      </c>
      <c r="IG33" s="467" t="str">
        <f t="shared" si="287"/>
        <v>23/09/2016</v>
      </c>
      <c r="IH33" s="467" t="str">
        <f t="shared" si="288"/>
        <v>23/09/2021</v>
      </c>
      <c r="II33" s="546" t="str">
        <f> Input!R33</f>
        <v>23/09/2016</v>
      </c>
      <c r="IJ33" s="467">
        <f t="shared" si="289"/>
        <v>44462</v>
      </c>
      <c r="IK33" s="468">
        <f t="shared" si="290"/>
        <v>3</v>
      </c>
      <c r="IL33" s="469" t="str">
        <f t="shared" si="291"/>
        <v>3-2</v>
      </c>
      <c r="IM33" s="469" t="str">
        <f t="shared" si="292"/>
        <v>CHUNG</v>
      </c>
      <c r="IN33" s="469" t="str">
        <f t="shared" si="293"/>
        <v>KHAC</v>
      </c>
      <c r="IO33" s="469" t="str">
        <f t="shared" si="294"/>
      </c>
      <c r="IP33" s="469" t="str">
        <f t="shared" si="295"/>
      </c>
      <c r="IQ33" s="469" t="str">
        <f t="shared" si="296"/>
      </c>
      <c r="IR33" s="469">
        <f t="shared" si="297"/>
        <v>2</v>
      </c>
      <c r="IS33" s="469">
        <f t="shared" si="298"/>
        <v>1</v>
      </c>
      <c r="IT33" s="469" t="str">
        <f t="shared" si="299"/>
        <v>Yes</v>
      </c>
      <c r="IU33" s="469" t="str">
        <f t="shared" si="300"/>
        <v>Yes</v>
      </c>
    </row>
    <row r="34" ht="63.75">
      <c r="A34" s="601">
        <f>Input!A34</f>
        <v>33</v>
      </c>
      <c r="B34" s="229" t="str">
        <f>INDEX(ApplicantIDList,MATCH(AI34,ApplicantNameList,0))</f>
        <v>VIETTEL-2016</v>
      </c>
      <c r="C34" s="229" t="str">
        <f>INDEX(OperatorIDList,MATCH(AJ34,OperatorNameList,0))</f>
        <v>VIETTEL-2016</v>
      </c>
      <c r="D34" s="797" t="str">
        <f>Input!Y34</f>
        <v>HCM2260</v>
      </c>
      <c r="E34" s="229" t="str">
        <f>Input!G34</f>
        <v>Số 115/02, khu phố Phong Thạnh, thị trấn Cần Thạnh, huyện Cần Giờ, thành phố Hồ Chí Minh.</v>
      </c>
      <c r="F34" s="229" t="str">
        <f>TRIM(SUBSTITUTE(SUBSTITUTE(Input!H34,"Thành phố ",""),"Tỉnh ",""))</f>
        <v>Hồ Chí Minh</v>
      </c>
      <c r="G34" s="797" t="str">
        <f>Input!I34</f>
        <v>106,97017</v>
      </c>
      <c r="H34" s="797" t="str">
        <f>Input!J34</f>
        <v>10,41597</v>
      </c>
      <c r="I34" s="229">
        <f>Input!V34</f>
        <v>1</v>
      </c>
      <c r="J34" s="229" t="str">
        <f>Input!K34</f>
        <v>1502404/16/TG/TT2</v>
      </c>
      <c r="K34" s="231" t="str">
        <f>TEXT(Input!L34,"dd/mm/yyyy")</f>
        <v>23/09/2016</v>
      </c>
      <c r="L34" s="231" t="str">
        <f>TEXT(Input!M34,"dd/mm/yyyy")</f>
        <v>16/09/2016</v>
      </c>
      <c r="M34" s="229" t="str">
        <f t="shared" si="135"/>
        <v>TỔNG CÔNG TY MẠNG LƯỚI VIETTEL</v>
      </c>
      <c r="N34" s="229" t="str">
        <f t="shared" si="136"/>
        <v>HCM2260</v>
      </c>
      <c r="O34" s="229" t="str">
        <f t="shared" si="137"/>
        <v>HUAWEI DBS3900</v>
      </c>
      <c r="P34" s="229" t="str">
        <f t="shared" si="138"/>
        <v>3</v>
      </c>
      <c r="Q34" s="229" t="str">
        <f t="shared" si="139"/>
        <v>2/2/2</v>
      </c>
      <c r="R34" s="229" t="str">
        <f t="shared" si="140"/>
        <v>40W/ 40W/ 40W</v>
      </c>
      <c r="S34" s="229" t="str">
        <f t="shared" si="141"/>
        <v>2100</v>
      </c>
      <c r="T34" s="229" t="str">
        <f t="shared" si="142"/>
        <v>24m/ 24m/ 24m</v>
      </c>
      <c r="U34" s="229">
        <v>1</v>
      </c>
      <c r="V34" s="229"/>
      <c r="W34" s="229" t="b">
        <f t="shared" si="143"/>
        <v>0</v>
      </c>
      <c r="X34" s="229" t="b">
        <f>INDEX(TrueFalseList,_xlfn.IFNA(MATCH(Input!W34,CoKhongList,0),MATCH(Input!W34,YesNoList,0)))</f>
        <v>0</v>
      </c>
      <c r="Y34" s="797">
        <f>Input!FZ34</f>
        <v>0</v>
      </c>
      <c r="Z34" s="229" t="b">
        <v>1</v>
      </c>
      <c r="AA34" s="797">
        <f t="shared" si="144"/>
        <v>24</v>
      </c>
      <c r="AB34" s="229" t="b">
        <v>0</v>
      </c>
      <c r="AC34" s="229" t="b">
        <v>1</v>
      </c>
      <c r="AD34" s="229">
        <f>Input!DR34</f>
        <v>0</v>
      </c>
      <c r="AE34" s="229"/>
      <c r="AF34" s="229" t="str">
        <f>Options!$D$6</f>
        <v>VCC2</v>
      </c>
      <c r="AG34" s="229">
        <f t="shared" si="145"/>
        <v>0</v>
      </c>
      <c r="AH34" s="230"/>
      <c r="AI34" s="553" t="str">
        <f>Input!E34</f>
        <v>TỔNG CÔNG TY MẠNG LƯỚI VIETTEL</v>
      </c>
      <c r="AJ34" s="553" t="str">
        <f>Input!F34</f>
        <v>TỔNG CÔNG TY MẠNG LƯỚI VIETTEL</v>
      </c>
      <c r="AK34" s="229">
        <f t="shared" si="146"/>
        <v>4</v>
      </c>
      <c r="AL34" s="465" t="str">
        <f t="shared" si="147"/>
        <v>thành phố Hồ Chí Minh.</v>
      </c>
      <c r="AM34" s="465" t="str">
        <f t="shared" si="148"/>
        <v>huyện Cần Giờ</v>
      </c>
      <c r="AN34" s="465" t="str">
        <f t="shared" si="149"/>
        <v>thị trấn Cần Thạnh</v>
      </c>
      <c r="AO34" s="229" t="str">
        <f>INDEX(CityIDList,MATCH(F34,CityNameList,0))</f>
        <v>HCM</v>
      </c>
      <c r="AP34" s="230" t="str">
        <f>Input!X34</f>
        <v>TỔNG CÔNG TY MẠNG LƯỚI VIETTEL</v>
      </c>
      <c r="AQ34" s="230">
        <f>Input!AN34</f>
        <v>0</v>
      </c>
      <c r="AR34" s="230">
        <f>Input!BD34</f>
        <v>0</v>
      </c>
      <c r="AS34" s="230" t="str">
        <f>Input!BT34</f>
      </c>
      <c r="AT34" s="230" t="str">
        <f>Input!CH34</f>
      </c>
      <c r="AU34" s="230" t="str">
        <f>Input!CV34</f>
      </c>
      <c r="AV34" s="230" t="str">
        <f>IF(I34&gt;=1,INDEX(OperatorIDList,MATCH(AP34,OperatorNameList,0)),"")</f>
        <v>VIETTEL-2016</v>
      </c>
      <c r="AW34" s="230" t="str">
        <f>IF(I34&gt;=2,INDEX(OperatorIDList,MATCH(AQ34,OperatorNameList,0)),"")</f>
      </c>
      <c r="AX34" s="230" t="str">
        <f>IF(I34&gt;=3,INDEX(OperatorIDList,MATCH(AR34,OperatorNameList,0)),"")</f>
      </c>
      <c r="AY34" s="230" t="str">
        <f>IF(I34&gt;=4,INDEX(OperatorIDList,MATCH(AS34,OperatorNameList,0)),"")</f>
      </c>
      <c r="AZ34" s="230" t="str">
        <f>IF(I34&gt;=5,INDEX(OperatorIDList,MATCH(AT34,OperatorNameList,0)),"")</f>
      </c>
      <c r="BA34" s="230" t="str">
        <f>IF(I34&gt;=6,INDEX(OperatorIDList,MATCH(AU34,OperatorNameList,0)),"")</f>
      </c>
      <c r="BB34" s="230" t="str">
        <f t="shared" si="150"/>
        <v>VIETTEL-2016</v>
      </c>
      <c r="BC34" s="230" t="str">
        <f>Input!Y34</f>
        <v>HCM2260</v>
      </c>
      <c r="BD34" s="230">
        <f>Input!AO34</f>
        <v>0</v>
      </c>
      <c r="BE34" s="230">
        <f>Input!BE34</f>
        <v>0</v>
      </c>
      <c r="BF34" s="230" t="str">
        <f>Input!BU34</f>
      </c>
      <c r="BG34" s="230" t="str">
        <f>Input!CI34</f>
      </c>
      <c r="BH34" s="230" t="str">
        <f>Input!CW34</f>
      </c>
      <c r="BI34" s="230" t="str">
        <f>Input!Z34</f>
        <v>HUAWEI DBS3900</v>
      </c>
      <c r="BJ34" s="230">
        <f>Input!AP34</f>
        <v>0</v>
      </c>
      <c r="BK34" s="230">
        <f>Input!BF34</f>
        <v>0</v>
      </c>
      <c r="BL34" s="230" t="str">
        <f>Input!BV34</f>
      </c>
      <c r="BM34" s="230" t="str">
        <f>Input!CJ34</f>
      </c>
      <c r="BN34" s="230" t="str">
        <f>Input!CX34</f>
      </c>
      <c r="BO34" s="553">
        <f>IF(ISNUMBER(Input!AA34),Input!AA34,0)</f>
        <v>3</v>
      </c>
      <c r="BP34" s="553">
        <f>IF(ISNUMBER(Input!AQ34),Input!AQ34,0)</f>
        <v>0</v>
      </c>
      <c r="BQ34" s="553">
        <f>IF(ISNUMBER(Input!BG34),Input!BG34,0)</f>
        <v>0</v>
      </c>
      <c r="BR34" s="553">
        <f>IF(ISNUMBER(Input!BW34),Input!BW34,0)</f>
        <v>0</v>
      </c>
      <c r="BS34" s="553">
        <f>IF(ISNUMBER(Input!CK34),Input!CK34,0)</f>
        <v>0</v>
      </c>
      <c r="BT34" s="554">
        <f>IF(ISNUMBER(Input!CY34),Input!CY34,0)</f>
        <v>0</v>
      </c>
      <c r="BU34" s="230" t="str">
        <f>Input!AF34</f>
        <v>2/2/2</v>
      </c>
      <c r="BV34" s="230" t="str">
        <f>Input!AV34</f>
      </c>
      <c r="BW34" s="230" t="str">
        <f>Input!BL34</f>
      </c>
      <c r="BX34" s="230" t="str">
        <f>Input!CA34</f>
      </c>
      <c r="BY34" s="230" t="str">
        <f>Input!CO34</f>
      </c>
      <c r="BZ34" s="230" t="str">
        <f>Input!DC34</f>
      </c>
      <c r="CA34" s="230">
        <f t="shared" si="151"/>
        <v>2</v>
      </c>
      <c r="CB34" s="230">
        <f t="shared" si="152"/>
        <v>2</v>
      </c>
      <c r="CC34" s="230">
        <f t="shared" si="153"/>
        <v>2</v>
      </c>
      <c r="CD34" s="230">
        <f t="shared" si="154"/>
        <v>0</v>
      </c>
      <c r="CE34" s="230">
        <f t="shared" si="155"/>
        <v>0</v>
      </c>
      <c r="CF34" s="230">
        <f t="shared" si="156"/>
        <v>0</v>
      </c>
      <c r="CG34" s="230">
        <f t="shared" si="157"/>
        <v>0</v>
      </c>
      <c r="CH34" s="230">
        <f t="shared" si="158"/>
        <v>0</v>
      </c>
      <c r="CI34" s="230">
        <f t="shared" si="159"/>
        <v>0</v>
      </c>
      <c r="CJ34" s="230">
        <f t="shared" si="160"/>
        <v>0</v>
      </c>
      <c r="CK34" s="230">
        <f t="shared" si="161"/>
        <v>0</v>
      </c>
      <c r="CL34" s="230">
        <f t="shared" si="162"/>
        <v>0</v>
      </c>
      <c r="CM34" s="230">
        <f t="shared" si="163"/>
        <v>0</v>
      </c>
      <c r="CN34" s="230">
        <f t="shared" si="164"/>
        <v>0</v>
      </c>
      <c r="CO34" s="230">
        <f t="shared" si="165"/>
        <v>0</v>
      </c>
      <c r="CP34" s="230">
        <f t="shared" si="166"/>
        <v>0</v>
      </c>
      <c r="CQ34" s="230">
        <f t="shared" si="167"/>
        <v>0</v>
      </c>
      <c r="CR34" s="230">
        <f t="shared" si="168"/>
        <v>0</v>
      </c>
      <c r="CS34" s="230">
        <f t="shared" si="169"/>
        <v>0</v>
      </c>
      <c r="CT34" s="230">
        <f t="shared" si="170"/>
        <v>0</v>
      </c>
      <c r="CU34" s="230">
        <f t="shared" si="171"/>
        <v>0</v>
      </c>
      <c r="CV34" s="230">
        <f t="shared" si="172"/>
        <v>0</v>
      </c>
      <c r="CW34" s="230">
        <f t="shared" si="173"/>
        <v>0</v>
      </c>
      <c r="CX34" s="230">
        <f t="shared" si="174"/>
        <v>0</v>
      </c>
      <c r="CY34" s="230">
        <f t="shared" si="175"/>
        <v>0</v>
      </c>
      <c r="CZ34" s="230">
        <f t="shared" si="176"/>
        <v>0</v>
      </c>
      <c r="DA34" s="230">
        <f t="shared" si="177"/>
        <v>0</v>
      </c>
      <c r="DB34" s="230">
        <f t="shared" si="178"/>
        <v>0</v>
      </c>
      <c r="DC34" s="230">
        <f t="shared" si="179"/>
        <v>0</v>
      </c>
      <c r="DD34" s="230">
        <f t="shared" si="180"/>
        <v>0</v>
      </c>
      <c r="DE34" s="230">
        <f t="shared" si="181"/>
        <v>0</v>
      </c>
      <c r="DF34" s="230">
        <f t="shared" si="182"/>
        <v>0</v>
      </c>
      <c r="DG34" s="230">
        <f t="shared" si="183"/>
        <v>0</v>
      </c>
      <c r="DH34" s="230">
        <f t="shared" si="184"/>
        <v>0</v>
      </c>
      <c r="DI34" s="230">
        <f t="shared" si="185"/>
        <v>0</v>
      </c>
      <c r="DJ34" s="230">
        <f t="shared" si="186"/>
        <v>0</v>
      </c>
      <c r="DK34" s="230" t="str">
        <f>Input!AK34</f>
        <v>40,00W/40,00W/40,00W</v>
      </c>
      <c r="DL34" s="230" t="str">
        <f>Input!BA34</f>
      </c>
      <c r="DM34" s="230" t="str">
        <f>Input!BQ34</f>
      </c>
      <c r="DN34" s="230" t="str">
        <f>Input!CE34</f>
      </c>
      <c r="DO34" s="230" t="str">
        <f>Input!CS34</f>
      </c>
      <c r="DP34" s="230" t="str">
        <f>Input!DG34</f>
      </c>
      <c r="DQ34" s="230" t="str">
        <f t="shared" si="187"/>
        <v>40W/ 40W/ 40W</v>
      </c>
      <c r="DR34" s="230" t="str">
        <f t="shared" si="188"/>
      </c>
      <c r="DS34" s="230" t="str">
        <f t="shared" si="189"/>
      </c>
      <c r="DT34" s="230" t="str">
        <f t="shared" si="190"/>
      </c>
      <c r="DU34" s="230" t="str">
        <f t="shared" si="191"/>
      </c>
      <c r="DV34" s="230" t="str">
        <f t="shared" si="192"/>
      </c>
      <c r="DW34" s="230">
        <f t="shared" si="193"/>
        <v>40</v>
      </c>
      <c r="DX34" s="230">
        <f t="shared" si="194"/>
        <v>40</v>
      </c>
      <c r="DY34" s="230">
        <f t="shared" si="195"/>
        <v>40</v>
      </c>
      <c r="DZ34" s="230">
        <f t="shared" si="196"/>
        <v>0</v>
      </c>
      <c r="EA34" s="230">
        <f t="shared" si="197"/>
        <v>0</v>
      </c>
      <c r="EB34" s="230">
        <f t="shared" si="198"/>
        <v>0</v>
      </c>
      <c r="EC34" s="230">
        <f t="shared" si="199"/>
        <v>40</v>
      </c>
      <c r="ED34" s="230">
        <f t="shared" si="200"/>
        <v>0</v>
      </c>
      <c r="EE34" s="230">
        <f t="shared" si="201"/>
        <v>0</v>
      </c>
      <c r="EF34" s="230">
        <f t="shared" si="202"/>
        <v>0</v>
      </c>
      <c r="EG34" s="230">
        <f t="shared" si="203"/>
        <v>0</v>
      </c>
      <c r="EH34" s="230">
        <f t="shared" si="204"/>
        <v>0</v>
      </c>
      <c r="EI34" s="230">
        <f t="shared" si="205"/>
        <v>0</v>
      </c>
      <c r="EJ34" s="230">
        <f t="shared" si="206"/>
        <v>0</v>
      </c>
      <c r="EK34" s="230">
        <f t="shared" si="207"/>
        <v>0</v>
      </c>
      <c r="EL34" s="230">
        <f t="shared" si="208"/>
        <v>0</v>
      </c>
      <c r="EM34" s="230">
        <f t="shared" si="209"/>
        <v>0</v>
      </c>
      <c r="EN34" s="230">
        <f t="shared" si="210"/>
        <v>0</v>
      </c>
      <c r="EO34" s="230">
        <f t="shared" si="211"/>
        <v>0</v>
      </c>
      <c r="EP34" s="230">
        <f t="shared" si="212"/>
        <v>0</v>
      </c>
      <c r="EQ34" s="230">
        <f t="shared" si="213"/>
        <v>0</v>
      </c>
      <c r="ER34" s="230">
        <f t="shared" si="214"/>
        <v>0</v>
      </c>
      <c r="ES34" s="230">
        <f t="shared" si="215"/>
        <v>0</v>
      </c>
      <c r="ET34" s="230">
        <f t="shared" si="216"/>
        <v>0</v>
      </c>
      <c r="EU34" s="230">
        <f t="shared" si="217"/>
        <v>0</v>
      </c>
      <c r="EV34" s="230">
        <f t="shared" si="218"/>
        <v>0</v>
      </c>
      <c r="EW34" s="230">
        <f t="shared" si="219"/>
        <v>0</v>
      </c>
      <c r="EX34" s="230">
        <f t="shared" si="220"/>
        <v>0</v>
      </c>
      <c r="EY34" s="230">
        <f t="shared" si="221"/>
        <v>0</v>
      </c>
      <c r="EZ34" s="230">
        <f t="shared" si="222"/>
        <v>0</v>
      </c>
      <c r="FA34" s="230">
        <f t="shared" si="223"/>
        <v>0</v>
      </c>
      <c r="FB34" s="230">
        <f t="shared" si="224"/>
        <v>0</v>
      </c>
      <c r="FC34" s="230">
        <f t="shared" si="225"/>
        <v>0</v>
      </c>
      <c r="FD34" s="230">
        <f t="shared" si="226"/>
        <v>0</v>
      </c>
      <c r="FE34" s="230">
        <f t="shared" si="227"/>
        <v>0</v>
      </c>
      <c r="FF34" s="230">
        <f t="shared" si="228"/>
        <v>0</v>
      </c>
      <c r="FG34" s="230">
        <f t="shared" si="229"/>
        <v>0</v>
      </c>
      <c r="FH34" s="230">
        <f t="shared" si="230"/>
        <v>0</v>
      </c>
      <c r="FI34" s="230">
        <f t="shared" si="231"/>
        <v>0</v>
      </c>
      <c r="FJ34" s="230">
        <f t="shared" si="232"/>
        <v>0</v>
      </c>
      <c r="FK34" s="230">
        <f t="shared" si="233"/>
        <v>0</v>
      </c>
      <c r="FL34" s="230">
        <f t="shared" si="234"/>
        <v>0</v>
      </c>
      <c r="FM34" s="230">
        <f t="shared" si="235"/>
        <v>40</v>
      </c>
      <c r="FN34" s="230">
        <f>Input!AL34</f>
        <v>2100</v>
      </c>
      <c r="FO34" s="230">
        <f>Input!BB34</f>
        <v>0</v>
      </c>
      <c r="FP34" s="230">
        <f>Input!BR34</f>
        <v>0</v>
      </c>
      <c r="FQ34" s="230" t="str">
        <f>Input!CF34</f>
      </c>
      <c r="FR34" s="230" t="str">
        <f>Input!CT34</f>
      </c>
      <c r="FS34" s="230" t="str">
        <f>Input!DH34</f>
      </c>
      <c r="FT34" s="230" t="str">
        <f>Input!AM34</f>
        <v>24m/ 24m/ 24m</v>
      </c>
      <c r="FU34" s="230">
        <f>Input!BC34</f>
        <v>0</v>
      </c>
      <c r="FV34" s="230">
        <f>Input!BS34</f>
        <v>0</v>
      </c>
      <c r="FW34" s="230" t="str">
        <f>Input!CG34</f>
      </c>
      <c r="FX34" s="230" t="str">
        <f>Input!CU34</f>
      </c>
      <c r="FY34" s="230" t="str">
        <f>Input!DI34</f>
      </c>
      <c r="FZ34" s="230" t="str">
        <f t="shared" si="236"/>
        <v>24m/ 24m/ 24m</v>
      </c>
      <c r="GA34" s="230" t="str">
        <f t="shared" si="237"/>
      </c>
      <c r="GB34" s="230" t="str">
        <f t="shared" si="238"/>
      </c>
      <c r="GC34" s="230" t="str">
        <f t="shared" si="239"/>
      </c>
      <c r="GD34" s="230" t="str">
        <f t="shared" si="240"/>
      </c>
      <c r="GE34" s="230" t="str">
        <f t="shared" si="241"/>
      </c>
      <c r="GF34" s="230">
        <f t="shared" si="242"/>
        <v>24</v>
      </c>
      <c r="GG34" s="230">
        <f t="shared" si="243"/>
        <v>24</v>
      </c>
      <c r="GH34" s="230">
        <f t="shared" si="244"/>
        <v>24</v>
      </c>
      <c r="GI34" s="230">
        <f t="shared" si="245"/>
        <v>0</v>
      </c>
      <c r="GJ34" s="230">
        <f t="shared" si="246"/>
        <v>0</v>
      </c>
      <c r="GK34" s="230">
        <f t="shared" si="247"/>
        <v>0</v>
      </c>
      <c r="GL34" s="230">
        <f t="shared" si="248"/>
        <v>0</v>
      </c>
      <c r="GM34" s="230">
        <f t="shared" si="249"/>
        <v>0</v>
      </c>
      <c r="GN34" s="230">
        <f t="shared" si="250"/>
        <v>0</v>
      </c>
      <c r="GO34" s="230">
        <f t="shared" si="251"/>
        <v>0</v>
      </c>
      <c r="GP34" s="230">
        <f t="shared" si="252"/>
        <v>0</v>
      </c>
      <c r="GQ34" s="230">
        <f t="shared" si="253"/>
        <v>0</v>
      </c>
      <c r="GR34" s="230">
        <f t="shared" si="254"/>
        <v>0</v>
      </c>
      <c r="GS34" s="230">
        <f t="shared" si="255"/>
        <v>0</v>
      </c>
      <c r="GT34" s="230">
        <f t="shared" si="256"/>
        <v>0</v>
      </c>
      <c r="GU34" s="230">
        <f t="shared" si="257"/>
        <v>0</v>
      </c>
      <c r="GV34" s="230">
        <f t="shared" si="258"/>
        <v>0</v>
      </c>
      <c r="GW34" s="230">
        <f t="shared" si="259"/>
        <v>0</v>
      </c>
      <c r="GX34" s="230">
        <f t="shared" si="260"/>
        <v>0</v>
      </c>
      <c r="GY34" s="230">
        <f t="shared" si="261"/>
        <v>0</v>
      </c>
      <c r="GZ34" s="230">
        <f t="shared" si="262"/>
        <v>0</v>
      </c>
      <c r="HA34" s="230">
        <f t="shared" si="263"/>
        <v>0</v>
      </c>
      <c r="HB34" s="230">
        <f t="shared" si="264"/>
        <v>0</v>
      </c>
      <c r="HC34" s="230">
        <f t="shared" si="265"/>
        <v>0</v>
      </c>
      <c r="HD34" s="230">
        <f t="shared" si="266"/>
        <v>0</v>
      </c>
      <c r="HE34" s="230">
        <f t="shared" si="267"/>
        <v>0</v>
      </c>
      <c r="HF34" s="230">
        <f t="shared" si="268"/>
        <v>0</v>
      </c>
      <c r="HG34" s="230">
        <f t="shared" si="269"/>
        <v>0</v>
      </c>
      <c r="HH34" s="230">
        <f t="shared" si="270"/>
        <v>0</v>
      </c>
      <c r="HI34" s="230">
        <f t="shared" si="271"/>
        <v>0</v>
      </c>
      <c r="HJ34" s="230">
        <f t="shared" si="272"/>
        <v>0</v>
      </c>
      <c r="HK34" s="230">
        <f t="shared" si="273"/>
        <v>0</v>
      </c>
      <c r="HL34" s="230">
        <f t="shared" si="274"/>
        <v>0</v>
      </c>
      <c r="HM34" s="230">
        <f t="shared" si="275"/>
        <v>0</v>
      </c>
      <c r="HN34" s="230">
        <f t="shared" si="276"/>
        <v>0</v>
      </c>
      <c r="HO34" s="230">
        <f t="shared" si="277"/>
        <v>0</v>
      </c>
      <c r="HP34" s="230" t="str">
        <f>INDEX(LabNameList,MATCH(LabId,LabIDList,0))</f>
        <v>Trung tâm Kiểm định và Chứng nhận 2</v>
      </c>
      <c r="HQ34" s="230">
        <f t="shared" si="278"/>
        <v>24</v>
      </c>
      <c r="HR34" s="230">
        <f t="shared" si="279"/>
        <v>0</v>
      </c>
      <c r="HS34" s="230">
        <f t="shared" si="280"/>
        <v>0</v>
      </c>
      <c r="HT34" s="230">
        <f t="shared" si="281"/>
        <v>0</v>
      </c>
      <c r="HU34" s="230">
        <f t="shared" si="282"/>
        <v>0</v>
      </c>
      <c r="HV34" s="230">
        <f t="shared" si="283"/>
        <v>0</v>
      </c>
      <c r="HW34" s="797">
        <f t="shared" si="284"/>
        <v>24</v>
      </c>
      <c r="HX34" s="797">
        <f>Input!EB34</f>
        <v>0</v>
      </c>
      <c r="HY34" s="230">
        <v>68</v>
      </c>
      <c r="HZ34" s="230"/>
      <c r="IA34" s="230"/>
      <c r="IB34" s="230"/>
      <c r="IC34" s="232" t="str">
        <f t="shared" si="285"/>
        <v>B01985230916TG05</v>
      </c>
      <c r="ID34" s="233" t="str">
        <f>Input!O34</f>
        <v>01985</v>
      </c>
      <c r="IE34" s="467" t="str">
        <f t="shared" si="286"/>
        <v>230916</v>
      </c>
      <c r="IF34" s="232" t="s">
        <v>364</v>
      </c>
      <c r="IG34" s="467" t="str">
        <f t="shared" si="287"/>
        <v>23/09/2016</v>
      </c>
      <c r="IH34" s="467" t="str">
        <f t="shared" si="288"/>
        <v>23/09/2021</v>
      </c>
      <c r="II34" s="546" t="str">
        <f> Input!R34</f>
        <v>23/09/2016</v>
      </c>
      <c r="IJ34" s="467">
        <f t="shared" si="289"/>
        <v>44462</v>
      </c>
      <c r="IK34" s="468">
        <f t="shared" si="290"/>
        <v>3</v>
      </c>
      <c r="IL34" s="469" t="str">
        <f t="shared" si="291"/>
        <v>3-1</v>
      </c>
      <c r="IM34" s="469" t="str">
        <f t="shared" si="292"/>
        <v>KHAC</v>
      </c>
      <c r="IN34" s="469" t="str">
        <f t="shared" si="293"/>
        <v>KHAC</v>
      </c>
      <c r="IO34" s="469" t="str">
        <f t="shared" si="294"/>
      </c>
      <c r="IP34" s="469" t="str">
        <f t="shared" si="295"/>
      </c>
      <c r="IQ34" s="469" t="str">
        <f t="shared" si="296"/>
      </c>
      <c r="IR34" s="469">
        <f t="shared" si="297"/>
        <v>1</v>
      </c>
      <c r="IS34" s="469">
        <f t="shared" si="298"/>
        <v>2</v>
      </c>
      <c r="IT34" s="469" t="str">
        <f t="shared" si="299"/>
        <v>Yes</v>
      </c>
      <c r="IU34" s="469" t="str">
        <f t="shared" si="300"/>
        <v>Yes</v>
      </c>
    </row>
    <row r="35" ht="63.75">
      <c r="A35" s="601">
        <f>Input!A35</f>
        <v>34</v>
      </c>
      <c r="B35" s="229" t="str">
        <f>INDEX(ApplicantIDList,MATCH(AI35,ApplicantNameList,0))</f>
        <v>VIETTEL-2016</v>
      </c>
      <c r="C35" s="229" t="str">
        <f>INDEX(OperatorIDList,MATCH(AJ35,OperatorNameList,0))</f>
        <v>VIETTEL-2016</v>
      </c>
      <c r="D35" s="797" t="str">
        <f>Input!Y35</f>
        <v>HCM2262</v>
      </c>
      <c r="E35" s="229" t="str">
        <f>Input!G35</f>
        <v>Số 11A, ấp Hòa Hiệp, xã Long Hòa, huyện Cần Giờ, thành phố Hồ Chí Minh.</v>
      </c>
      <c r="F35" s="229" t="str">
        <f>TRIM(SUBSTITUTE(SUBSTITUTE(Input!H35,"Thành phố ",""),"Tỉnh ",""))</f>
        <v>Hồ Chí Minh</v>
      </c>
      <c r="G35" s="797" t="str">
        <f>Input!I35</f>
        <v>106,92063</v>
      </c>
      <c r="H35" s="797" t="str">
        <f>Input!J35</f>
        <v>10,40291</v>
      </c>
      <c r="I35" s="229">
        <f>Input!V35</f>
        <v>1</v>
      </c>
      <c r="J35" s="229" t="str">
        <f>Input!K35</f>
        <v>1502405/16/TG/TT2</v>
      </c>
      <c r="K35" s="231" t="str">
        <f>TEXT(Input!L35,"dd/mm/yyyy")</f>
        <v>23/09/2016</v>
      </c>
      <c r="L35" s="231" t="str">
        <f>TEXT(Input!M35,"dd/mm/yyyy")</f>
        <v>17/09/2016</v>
      </c>
      <c r="M35" s="229" t="str">
        <f t="shared" si="135"/>
        <v>TỔNG CÔNG TY MẠNG LƯỚI VIETTEL</v>
      </c>
      <c r="N35" s="229" t="str">
        <f t="shared" si="136"/>
        <v>HCM2262</v>
      </c>
      <c r="O35" s="229" t="str">
        <f t="shared" si="137"/>
        <v>HUAWEI DBS3900</v>
      </c>
      <c r="P35" s="229" t="str">
        <f t="shared" si="138"/>
        <v>3</v>
      </c>
      <c r="Q35" s="229" t="str">
        <f t="shared" si="139"/>
        <v>2/2/2</v>
      </c>
      <c r="R35" s="229" t="str">
        <f t="shared" si="140"/>
        <v>40W/ 40W/ 40W</v>
      </c>
      <c r="S35" s="229" t="str">
        <f t="shared" si="141"/>
        <v>2100</v>
      </c>
      <c r="T35" s="229" t="str">
        <f t="shared" si="142"/>
        <v>34m/ 34m/ 34m</v>
      </c>
      <c r="U35" s="229">
        <v>1</v>
      </c>
      <c r="V35" s="229"/>
      <c r="W35" s="229" t="b">
        <f t="shared" si="143"/>
        <v>1</v>
      </c>
      <c r="X35" s="229" t="b">
        <f>INDEX(TrueFalseList,_xlfn.IFNA(MATCH(Input!W35,CoKhongList,0),MATCH(Input!W35,YesNoList,0)))</f>
        <v>1</v>
      </c>
      <c r="Y35" s="797">
        <f>Input!FZ35</f>
        <v>1</v>
      </c>
      <c r="Z35" s="229" t="b">
        <v>1</v>
      </c>
      <c r="AA35" s="797">
        <f t="shared" si="144"/>
        <v>34</v>
      </c>
      <c r="AB35" s="229" t="b">
        <v>0</v>
      </c>
      <c r="AC35" s="229" t="b">
        <v>1</v>
      </c>
      <c r="AD35" s="229">
        <f>Input!DR35</f>
        <v>0</v>
      </c>
      <c r="AE35" s="229"/>
      <c r="AF35" s="229" t="str">
        <f>Options!$D$6</f>
        <v>VCC2</v>
      </c>
      <c r="AG35" s="229">
        <f t="shared" si="145"/>
        <v>0</v>
      </c>
      <c r="AH35" s="230"/>
      <c r="AI35" s="553" t="str">
        <f>Input!E35</f>
        <v>TỔNG CÔNG TY MẠNG LƯỚI VIETTEL</v>
      </c>
      <c r="AJ35" s="553" t="str">
        <f>Input!F35</f>
        <v>TỔNG CÔNG TY MẠNG LƯỚI VIETTEL</v>
      </c>
      <c r="AK35" s="229">
        <f t="shared" si="146"/>
        <v>4</v>
      </c>
      <c r="AL35" s="465" t="str">
        <f t="shared" si="147"/>
        <v>thành phố Hồ Chí Minh.</v>
      </c>
      <c r="AM35" s="465" t="str">
        <f t="shared" si="148"/>
        <v>huyện Cần Giờ</v>
      </c>
      <c r="AN35" s="465" t="str">
        <f t="shared" si="149"/>
        <v>xã Long Hòa</v>
      </c>
      <c r="AO35" s="229" t="str">
        <f>INDEX(CityIDList,MATCH(F35,CityNameList,0))</f>
        <v>HCM</v>
      </c>
      <c r="AP35" s="230" t="str">
        <f>Input!X35</f>
        <v>TỔNG CÔNG TY MẠNG LƯỚI VIETTEL</v>
      </c>
      <c r="AQ35" s="230">
        <f>Input!AN35</f>
        <v>0</v>
      </c>
      <c r="AR35" s="230">
        <f>Input!BD35</f>
        <v>0</v>
      </c>
      <c r="AS35" s="230" t="str">
        <f>Input!BT35</f>
      </c>
      <c r="AT35" s="230" t="str">
        <f>Input!CH35</f>
      </c>
      <c r="AU35" s="230" t="str">
        <f>Input!CV35</f>
      </c>
      <c r="AV35" s="230" t="str">
        <f>IF(I35&gt;=1,INDEX(OperatorIDList,MATCH(AP35,OperatorNameList,0)),"")</f>
        <v>VIETTEL-2016</v>
      </c>
      <c r="AW35" s="230" t="str">
        <f>IF(I35&gt;=2,INDEX(OperatorIDList,MATCH(AQ35,OperatorNameList,0)),"")</f>
      </c>
      <c r="AX35" s="230" t="str">
        <f>IF(I35&gt;=3,INDEX(OperatorIDList,MATCH(AR35,OperatorNameList,0)),"")</f>
      </c>
      <c r="AY35" s="230" t="str">
        <f>IF(I35&gt;=4,INDEX(OperatorIDList,MATCH(AS35,OperatorNameList,0)),"")</f>
      </c>
      <c r="AZ35" s="230" t="str">
        <f>IF(I35&gt;=5,INDEX(OperatorIDList,MATCH(AT35,OperatorNameList,0)),"")</f>
      </c>
      <c r="BA35" s="230" t="str">
        <f>IF(I35&gt;=6,INDEX(OperatorIDList,MATCH(AU35,OperatorNameList,0)),"")</f>
      </c>
      <c r="BB35" s="230" t="str">
        <f t="shared" si="150"/>
        <v>VIETTEL-2016</v>
      </c>
      <c r="BC35" s="230" t="str">
        <f>Input!Y35</f>
        <v>HCM2262</v>
      </c>
      <c r="BD35" s="230">
        <f>Input!AO35</f>
        <v>0</v>
      </c>
      <c r="BE35" s="230">
        <f>Input!BE35</f>
        <v>0</v>
      </c>
      <c r="BF35" s="230" t="str">
        <f>Input!BU35</f>
      </c>
      <c r="BG35" s="230" t="str">
        <f>Input!CI35</f>
      </c>
      <c r="BH35" s="230" t="str">
        <f>Input!CW35</f>
      </c>
      <c r="BI35" s="230" t="str">
        <f>Input!Z35</f>
        <v>HUAWEI DBS3900</v>
      </c>
      <c r="BJ35" s="230">
        <f>Input!AP35</f>
        <v>0</v>
      </c>
      <c r="BK35" s="230">
        <f>Input!BF35</f>
        <v>0</v>
      </c>
      <c r="BL35" s="230" t="str">
        <f>Input!BV35</f>
      </c>
      <c r="BM35" s="230" t="str">
        <f>Input!CJ35</f>
      </c>
      <c r="BN35" s="230" t="str">
        <f>Input!CX35</f>
      </c>
      <c r="BO35" s="553">
        <f>IF(ISNUMBER(Input!AA35),Input!AA35,0)</f>
        <v>3</v>
      </c>
      <c r="BP35" s="553">
        <f>IF(ISNUMBER(Input!AQ35),Input!AQ35,0)</f>
        <v>0</v>
      </c>
      <c r="BQ35" s="553">
        <f>IF(ISNUMBER(Input!BG35),Input!BG35,0)</f>
        <v>0</v>
      </c>
      <c r="BR35" s="553">
        <f>IF(ISNUMBER(Input!BW35),Input!BW35,0)</f>
        <v>0</v>
      </c>
      <c r="BS35" s="553">
        <f>IF(ISNUMBER(Input!CK35),Input!CK35,0)</f>
        <v>0</v>
      </c>
      <c r="BT35" s="554">
        <f>IF(ISNUMBER(Input!CY35),Input!CY35,0)</f>
        <v>0</v>
      </c>
      <c r="BU35" s="230" t="str">
        <f>Input!AF35</f>
        <v>2/2/2</v>
      </c>
      <c r="BV35" s="230" t="str">
        <f>Input!AV35</f>
      </c>
      <c r="BW35" s="230" t="str">
        <f>Input!BL35</f>
      </c>
      <c r="BX35" s="230" t="str">
        <f>Input!CA35</f>
      </c>
      <c r="BY35" s="230" t="str">
        <f>Input!CO35</f>
      </c>
      <c r="BZ35" s="230" t="str">
        <f>Input!DC35</f>
      </c>
      <c r="CA35" s="230">
        <f t="shared" si="151"/>
        <v>2</v>
      </c>
      <c r="CB35" s="230">
        <f t="shared" si="152"/>
        <v>2</v>
      </c>
      <c r="CC35" s="230">
        <f t="shared" si="153"/>
        <v>2</v>
      </c>
      <c r="CD35" s="230">
        <f t="shared" si="154"/>
        <v>0</v>
      </c>
      <c r="CE35" s="230">
        <f t="shared" si="155"/>
        <v>0</v>
      </c>
      <c r="CF35" s="230">
        <f t="shared" si="156"/>
        <v>0</v>
      </c>
      <c r="CG35" s="230">
        <f t="shared" si="157"/>
        <v>0</v>
      </c>
      <c r="CH35" s="230">
        <f t="shared" si="158"/>
        <v>0</v>
      </c>
      <c r="CI35" s="230">
        <f t="shared" si="159"/>
        <v>0</v>
      </c>
      <c r="CJ35" s="230">
        <f t="shared" si="160"/>
        <v>0</v>
      </c>
      <c r="CK35" s="230">
        <f t="shared" si="161"/>
        <v>0</v>
      </c>
      <c r="CL35" s="230">
        <f t="shared" si="162"/>
        <v>0</v>
      </c>
      <c r="CM35" s="230">
        <f t="shared" si="163"/>
        <v>0</v>
      </c>
      <c r="CN35" s="230">
        <f t="shared" si="164"/>
        <v>0</v>
      </c>
      <c r="CO35" s="230">
        <f t="shared" si="165"/>
        <v>0</v>
      </c>
      <c r="CP35" s="230">
        <f t="shared" si="166"/>
        <v>0</v>
      </c>
      <c r="CQ35" s="230">
        <f t="shared" si="167"/>
        <v>0</v>
      </c>
      <c r="CR35" s="230">
        <f t="shared" si="168"/>
        <v>0</v>
      </c>
      <c r="CS35" s="230">
        <f t="shared" si="169"/>
        <v>0</v>
      </c>
      <c r="CT35" s="230">
        <f t="shared" si="170"/>
        <v>0</v>
      </c>
      <c r="CU35" s="230">
        <f t="shared" si="171"/>
        <v>0</v>
      </c>
      <c r="CV35" s="230">
        <f t="shared" si="172"/>
        <v>0</v>
      </c>
      <c r="CW35" s="230">
        <f t="shared" si="173"/>
        <v>0</v>
      </c>
      <c r="CX35" s="230">
        <f t="shared" si="174"/>
        <v>0</v>
      </c>
      <c r="CY35" s="230">
        <f t="shared" si="175"/>
        <v>0</v>
      </c>
      <c r="CZ35" s="230">
        <f t="shared" si="176"/>
        <v>0</v>
      </c>
      <c r="DA35" s="230">
        <f t="shared" si="177"/>
        <v>0</v>
      </c>
      <c r="DB35" s="230">
        <f t="shared" si="178"/>
        <v>0</v>
      </c>
      <c r="DC35" s="230">
        <f t="shared" si="179"/>
        <v>0</v>
      </c>
      <c r="DD35" s="230">
        <f t="shared" si="180"/>
        <v>0</v>
      </c>
      <c r="DE35" s="230">
        <f t="shared" si="181"/>
        <v>0</v>
      </c>
      <c r="DF35" s="230">
        <f t="shared" si="182"/>
        <v>0</v>
      </c>
      <c r="DG35" s="230">
        <f t="shared" si="183"/>
        <v>0</v>
      </c>
      <c r="DH35" s="230">
        <f t="shared" si="184"/>
        <v>0</v>
      </c>
      <c r="DI35" s="230">
        <f t="shared" si="185"/>
        <v>0</v>
      </c>
      <c r="DJ35" s="230">
        <f t="shared" si="186"/>
        <v>0</v>
      </c>
      <c r="DK35" s="230" t="str">
        <f>Input!AK35</f>
        <v>40,00W/40,00W/40,00W</v>
      </c>
      <c r="DL35" s="230" t="str">
        <f>Input!BA35</f>
      </c>
      <c r="DM35" s="230" t="str">
        <f>Input!BQ35</f>
      </c>
      <c r="DN35" s="230" t="str">
        <f>Input!CE35</f>
      </c>
      <c r="DO35" s="230" t="str">
        <f>Input!CS35</f>
      </c>
      <c r="DP35" s="230" t="str">
        <f>Input!DG35</f>
      </c>
      <c r="DQ35" s="230" t="str">
        <f t="shared" si="187"/>
        <v>40W/ 40W/ 40W</v>
      </c>
      <c r="DR35" s="230" t="str">
        <f t="shared" si="188"/>
      </c>
      <c r="DS35" s="230" t="str">
        <f t="shared" si="189"/>
      </c>
      <c r="DT35" s="230" t="str">
        <f t="shared" si="190"/>
      </c>
      <c r="DU35" s="230" t="str">
        <f t="shared" si="191"/>
      </c>
      <c r="DV35" s="230" t="str">
        <f t="shared" si="192"/>
      </c>
      <c r="DW35" s="230">
        <f t="shared" si="193"/>
        <v>40</v>
      </c>
      <c r="DX35" s="230">
        <f t="shared" si="194"/>
        <v>40</v>
      </c>
      <c r="DY35" s="230">
        <f t="shared" si="195"/>
        <v>40</v>
      </c>
      <c r="DZ35" s="230">
        <f t="shared" si="196"/>
        <v>0</v>
      </c>
      <c r="EA35" s="230">
        <f t="shared" si="197"/>
        <v>0</v>
      </c>
      <c r="EB35" s="230">
        <f t="shared" si="198"/>
        <v>0</v>
      </c>
      <c r="EC35" s="230">
        <f t="shared" si="199"/>
        <v>40</v>
      </c>
      <c r="ED35" s="230">
        <f t="shared" si="200"/>
        <v>0</v>
      </c>
      <c r="EE35" s="230">
        <f t="shared" si="201"/>
        <v>0</v>
      </c>
      <c r="EF35" s="230">
        <f t="shared" si="202"/>
        <v>0</v>
      </c>
      <c r="EG35" s="230">
        <f t="shared" si="203"/>
        <v>0</v>
      </c>
      <c r="EH35" s="230">
        <f t="shared" si="204"/>
        <v>0</v>
      </c>
      <c r="EI35" s="230">
        <f t="shared" si="205"/>
        <v>0</v>
      </c>
      <c r="EJ35" s="230">
        <f t="shared" si="206"/>
        <v>0</v>
      </c>
      <c r="EK35" s="230">
        <f t="shared" si="207"/>
        <v>0</v>
      </c>
      <c r="EL35" s="230">
        <f t="shared" si="208"/>
        <v>0</v>
      </c>
      <c r="EM35" s="230">
        <f t="shared" si="209"/>
        <v>0</v>
      </c>
      <c r="EN35" s="230">
        <f t="shared" si="210"/>
        <v>0</v>
      </c>
      <c r="EO35" s="230">
        <f t="shared" si="211"/>
        <v>0</v>
      </c>
      <c r="EP35" s="230">
        <f t="shared" si="212"/>
        <v>0</v>
      </c>
      <c r="EQ35" s="230">
        <f t="shared" si="213"/>
        <v>0</v>
      </c>
      <c r="ER35" s="230">
        <f t="shared" si="214"/>
        <v>0</v>
      </c>
      <c r="ES35" s="230">
        <f t="shared" si="215"/>
        <v>0</v>
      </c>
      <c r="ET35" s="230">
        <f t="shared" si="216"/>
        <v>0</v>
      </c>
      <c r="EU35" s="230">
        <f t="shared" si="217"/>
        <v>0</v>
      </c>
      <c r="EV35" s="230">
        <f t="shared" si="218"/>
        <v>0</v>
      </c>
      <c r="EW35" s="230">
        <f t="shared" si="219"/>
        <v>0</v>
      </c>
      <c r="EX35" s="230">
        <f t="shared" si="220"/>
        <v>0</v>
      </c>
      <c r="EY35" s="230">
        <f t="shared" si="221"/>
        <v>0</v>
      </c>
      <c r="EZ35" s="230">
        <f t="shared" si="222"/>
        <v>0</v>
      </c>
      <c r="FA35" s="230">
        <f t="shared" si="223"/>
        <v>0</v>
      </c>
      <c r="FB35" s="230">
        <f t="shared" si="224"/>
        <v>0</v>
      </c>
      <c r="FC35" s="230">
        <f t="shared" si="225"/>
        <v>0</v>
      </c>
      <c r="FD35" s="230">
        <f t="shared" si="226"/>
        <v>0</v>
      </c>
      <c r="FE35" s="230">
        <f t="shared" si="227"/>
        <v>0</v>
      </c>
      <c r="FF35" s="230">
        <f t="shared" si="228"/>
        <v>0</v>
      </c>
      <c r="FG35" s="230">
        <f t="shared" si="229"/>
        <v>0</v>
      </c>
      <c r="FH35" s="230">
        <f t="shared" si="230"/>
        <v>0</v>
      </c>
      <c r="FI35" s="230">
        <f t="shared" si="231"/>
        <v>0</v>
      </c>
      <c r="FJ35" s="230">
        <f t="shared" si="232"/>
        <v>0</v>
      </c>
      <c r="FK35" s="230">
        <f t="shared" si="233"/>
        <v>0</v>
      </c>
      <c r="FL35" s="230">
        <f t="shared" si="234"/>
        <v>0</v>
      </c>
      <c r="FM35" s="230">
        <f t="shared" si="235"/>
        <v>40</v>
      </c>
      <c r="FN35" s="230">
        <f>Input!AL35</f>
        <v>2100</v>
      </c>
      <c r="FO35" s="230">
        <f>Input!BB35</f>
        <v>0</v>
      </c>
      <c r="FP35" s="230">
        <f>Input!BR35</f>
        <v>0</v>
      </c>
      <c r="FQ35" s="230" t="str">
        <f>Input!CF35</f>
      </c>
      <c r="FR35" s="230" t="str">
        <f>Input!CT35</f>
      </c>
      <c r="FS35" s="230" t="str">
        <f>Input!DH35</f>
      </c>
      <c r="FT35" s="230" t="str">
        <f>Input!AM35</f>
        <v>34m/ 34m/ 34m</v>
      </c>
      <c r="FU35" s="230">
        <f>Input!BC35</f>
        <v>0</v>
      </c>
      <c r="FV35" s="230">
        <f>Input!BS35</f>
        <v>0</v>
      </c>
      <c r="FW35" s="230" t="str">
        <f>Input!CG35</f>
      </c>
      <c r="FX35" s="230" t="str">
        <f>Input!CU35</f>
      </c>
      <c r="FY35" s="230" t="str">
        <f>Input!DI35</f>
      </c>
      <c r="FZ35" s="230" t="str">
        <f t="shared" si="236"/>
        <v>34m/ 34m/ 34m</v>
      </c>
      <c r="GA35" s="230" t="str">
        <f t="shared" si="237"/>
      </c>
      <c r="GB35" s="230" t="str">
        <f t="shared" si="238"/>
      </c>
      <c r="GC35" s="230" t="str">
        <f t="shared" si="239"/>
      </c>
      <c r="GD35" s="230" t="str">
        <f t="shared" si="240"/>
      </c>
      <c r="GE35" s="230" t="str">
        <f t="shared" si="241"/>
      </c>
      <c r="GF35" s="230">
        <f t="shared" si="242"/>
        <v>34</v>
      </c>
      <c r="GG35" s="230">
        <f t="shared" si="243"/>
        <v>34</v>
      </c>
      <c r="GH35" s="230">
        <f t="shared" si="244"/>
        <v>34</v>
      </c>
      <c r="GI35" s="230">
        <f t="shared" si="245"/>
        <v>0</v>
      </c>
      <c r="GJ35" s="230">
        <f t="shared" si="246"/>
        <v>0</v>
      </c>
      <c r="GK35" s="230">
        <f t="shared" si="247"/>
        <v>0</v>
      </c>
      <c r="GL35" s="230">
        <f t="shared" si="248"/>
        <v>0</v>
      </c>
      <c r="GM35" s="230">
        <f t="shared" si="249"/>
        <v>0</v>
      </c>
      <c r="GN35" s="230">
        <f t="shared" si="250"/>
        <v>0</v>
      </c>
      <c r="GO35" s="230">
        <f t="shared" si="251"/>
        <v>0</v>
      </c>
      <c r="GP35" s="230">
        <f t="shared" si="252"/>
        <v>0</v>
      </c>
      <c r="GQ35" s="230">
        <f t="shared" si="253"/>
        <v>0</v>
      </c>
      <c r="GR35" s="230">
        <f t="shared" si="254"/>
        <v>0</v>
      </c>
      <c r="GS35" s="230">
        <f t="shared" si="255"/>
        <v>0</v>
      </c>
      <c r="GT35" s="230">
        <f t="shared" si="256"/>
        <v>0</v>
      </c>
      <c r="GU35" s="230">
        <f t="shared" si="257"/>
        <v>0</v>
      </c>
      <c r="GV35" s="230">
        <f t="shared" si="258"/>
        <v>0</v>
      </c>
      <c r="GW35" s="230">
        <f t="shared" si="259"/>
        <v>0</v>
      </c>
      <c r="GX35" s="230">
        <f t="shared" si="260"/>
        <v>0</v>
      </c>
      <c r="GY35" s="230">
        <f t="shared" si="261"/>
        <v>0</v>
      </c>
      <c r="GZ35" s="230">
        <f t="shared" si="262"/>
        <v>0</v>
      </c>
      <c r="HA35" s="230">
        <f t="shared" si="263"/>
        <v>0</v>
      </c>
      <c r="HB35" s="230">
        <f t="shared" si="264"/>
        <v>0</v>
      </c>
      <c r="HC35" s="230">
        <f t="shared" si="265"/>
        <v>0</v>
      </c>
      <c r="HD35" s="230">
        <f t="shared" si="266"/>
        <v>0</v>
      </c>
      <c r="HE35" s="230">
        <f t="shared" si="267"/>
        <v>0</v>
      </c>
      <c r="HF35" s="230">
        <f t="shared" si="268"/>
        <v>0</v>
      </c>
      <c r="HG35" s="230">
        <f t="shared" si="269"/>
        <v>0</v>
      </c>
      <c r="HH35" s="230">
        <f t="shared" si="270"/>
        <v>0</v>
      </c>
      <c r="HI35" s="230">
        <f t="shared" si="271"/>
        <v>0</v>
      </c>
      <c r="HJ35" s="230">
        <f t="shared" si="272"/>
        <v>0</v>
      </c>
      <c r="HK35" s="230">
        <f t="shared" si="273"/>
        <v>0</v>
      </c>
      <c r="HL35" s="230">
        <f t="shared" si="274"/>
        <v>0</v>
      </c>
      <c r="HM35" s="230">
        <f t="shared" si="275"/>
        <v>0</v>
      </c>
      <c r="HN35" s="230">
        <f t="shared" si="276"/>
        <v>0</v>
      </c>
      <c r="HO35" s="230">
        <f t="shared" si="277"/>
        <v>0</v>
      </c>
      <c r="HP35" s="230" t="str">
        <f>INDEX(LabNameList,MATCH(LabId,LabIDList,0))</f>
        <v>Trung tâm Kiểm định và Chứng nhận 2</v>
      </c>
      <c r="HQ35" s="230">
        <f t="shared" si="278"/>
        <v>34</v>
      </c>
      <c r="HR35" s="230">
        <f t="shared" si="279"/>
        <v>0</v>
      </c>
      <c r="HS35" s="230">
        <f t="shared" si="280"/>
        <v>0</v>
      </c>
      <c r="HT35" s="230">
        <f t="shared" si="281"/>
        <v>0</v>
      </c>
      <c r="HU35" s="230">
        <f t="shared" si="282"/>
        <v>0</v>
      </c>
      <c r="HV35" s="230">
        <f t="shared" si="283"/>
        <v>0</v>
      </c>
      <c r="HW35" s="797">
        <f t="shared" si="284"/>
        <v>34</v>
      </c>
      <c r="HX35" s="797">
        <f>Input!EB35</f>
        <v>0</v>
      </c>
      <c r="HY35" s="230">
        <v>68</v>
      </c>
      <c r="HZ35" s="230"/>
      <c r="IA35" s="230"/>
      <c r="IB35" s="230"/>
      <c r="IC35" s="232" t="str">
        <f t="shared" si="285"/>
        <v>B01986230916TG05</v>
      </c>
      <c r="ID35" s="233" t="str">
        <f>Input!O35</f>
        <v>01986</v>
      </c>
      <c r="IE35" s="467" t="str">
        <f t="shared" si="286"/>
        <v>230916</v>
      </c>
      <c r="IF35" s="232" t="s">
        <v>364</v>
      </c>
      <c r="IG35" s="467" t="str">
        <f t="shared" si="287"/>
        <v>23/09/2016</v>
      </c>
      <c r="IH35" s="467" t="str">
        <f t="shared" si="288"/>
        <v>23/09/2021</v>
      </c>
      <c r="II35" s="546" t="str">
        <f> Input!R35</f>
        <v>23/09/2016</v>
      </c>
      <c r="IJ35" s="467">
        <f t="shared" si="289"/>
        <v>44462</v>
      </c>
      <c r="IK35" s="468">
        <f t="shared" si="290"/>
        <v>3</v>
      </c>
      <c r="IL35" s="469" t="str">
        <f t="shared" si="291"/>
        <v>3-1</v>
      </c>
      <c r="IM35" s="469" t="str">
        <f t="shared" si="292"/>
        <v>KHAC</v>
      </c>
      <c r="IN35" s="469" t="str">
        <f t="shared" si="293"/>
        <v>KHAC</v>
      </c>
      <c r="IO35" s="469" t="str">
        <f t="shared" si="294"/>
      </c>
      <c r="IP35" s="469" t="str">
        <f t="shared" si="295"/>
      </c>
      <c r="IQ35" s="469" t="str">
        <f t="shared" si="296"/>
      </c>
      <c r="IR35" s="469">
        <f t="shared" si="297"/>
        <v>1</v>
      </c>
      <c r="IS35" s="469">
        <f t="shared" si="298"/>
        <v>2</v>
      </c>
      <c r="IT35" s="469" t="str">
        <f t="shared" si="299"/>
        <v>Yes</v>
      </c>
      <c r="IU35" s="469" t="str">
        <f t="shared" si="300"/>
        <v>Yes</v>
      </c>
    </row>
    <row r="36" ht="63.75">
      <c r="A36" s="601">
        <f>Input!A36</f>
        <v>35</v>
      </c>
      <c r="B36" s="229" t="str">
        <f>INDEX(ApplicantIDList,MATCH(AI36,ApplicantNameList,0))</f>
        <v>VIETTEL-2016</v>
      </c>
      <c r="C36" s="229" t="str">
        <f>INDEX(OperatorIDList,MATCH(AJ36,OperatorNameList,0))</f>
        <v>VIETTEL-2016</v>
      </c>
      <c r="D36" s="797" t="str">
        <f>Input!Y36</f>
        <v>HCM2263</v>
      </c>
      <c r="E36" s="229" t="str">
        <f>Input!G36</f>
        <v>Số 1, đường Lương Văn Nho, thị trấn Cần Thạnh, huyện Cần Giờ, thành phố Hồ Chí Minh.</v>
      </c>
      <c r="F36" s="229" t="str">
        <f>TRIM(SUBSTITUTE(SUBSTITUTE(Input!H36,"Thành phố ",""),"Tỉnh ",""))</f>
        <v>Hồ Chí Minh</v>
      </c>
      <c r="G36" s="797" t="str">
        <f>Input!I36</f>
        <v>106,96166</v>
      </c>
      <c r="H36" s="797" t="str">
        <f>Input!J36</f>
        <v>10,41312</v>
      </c>
      <c r="I36" s="229">
        <f>Input!V36</f>
        <v>1</v>
      </c>
      <c r="J36" s="229" t="str">
        <f>Input!K36</f>
        <v>1502406/16/TG/TT2</v>
      </c>
      <c r="K36" s="231" t="str">
        <f>TEXT(Input!L36,"dd/mm/yyyy")</f>
        <v>23/09/2016</v>
      </c>
      <c r="L36" s="231" t="str">
        <f>TEXT(Input!M36,"dd/mm/yyyy")</f>
        <v>17/09/2016</v>
      </c>
      <c r="M36" s="229" t="str">
        <f t="shared" si="135"/>
        <v>TỔNG CÔNG TY MẠNG LƯỚI VIETTEL</v>
      </c>
      <c r="N36" s="229" t="str">
        <f t="shared" si="136"/>
        <v>HCM2263</v>
      </c>
      <c r="O36" s="229" t="str">
        <f t="shared" si="137"/>
        <v>HUAWEI DBS3900</v>
      </c>
      <c r="P36" s="229" t="str">
        <f t="shared" si="138"/>
        <v>3</v>
      </c>
      <c r="Q36" s="229" t="str">
        <f t="shared" si="139"/>
        <v>2/2/2</v>
      </c>
      <c r="R36" s="229" t="str">
        <f t="shared" si="140"/>
        <v>40W/ 40W/ 40W</v>
      </c>
      <c r="S36" s="229" t="str">
        <f t="shared" si="141"/>
        <v>2100</v>
      </c>
      <c r="T36" s="229" t="str">
        <f t="shared" si="142"/>
        <v>66m/ 66m/ 66m</v>
      </c>
      <c r="U36" s="229">
        <v>1</v>
      </c>
      <c r="V36" s="229"/>
      <c r="W36" s="229" t="b">
        <f t="shared" si="143"/>
        <v>1</v>
      </c>
      <c r="X36" s="229" t="b">
        <f>INDEX(TrueFalseList,_xlfn.IFNA(MATCH(Input!W36,CoKhongList,0),MATCH(Input!W36,YesNoList,0)))</f>
        <v>1</v>
      </c>
      <c r="Y36" s="797">
        <f>Input!FZ36</f>
        <v>1</v>
      </c>
      <c r="Z36" s="229" t="b">
        <v>1</v>
      </c>
      <c r="AA36" s="797">
        <f t="shared" si="144"/>
        <v>66</v>
      </c>
      <c r="AB36" s="229" t="b">
        <v>0</v>
      </c>
      <c r="AC36" s="229" t="b">
        <v>1</v>
      </c>
      <c r="AD36" s="229">
        <f>Input!DR36</f>
        <v>0</v>
      </c>
      <c r="AE36" s="229"/>
      <c r="AF36" s="229" t="str">
        <f>Options!$D$6</f>
        <v>VCC2</v>
      </c>
      <c r="AG36" s="229">
        <f t="shared" si="145"/>
        <v>0</v>
      </c>
      <c r="AH36" s="230"/>
      <c r="AI36" s="553" t="str">
        <f>Input!E36</f>
        <v>TỔNG CÔNG TY MẠNG LƯỚI VIETTEL</v>
      </c>
      <c r="AJ36" s="553" t="str">
        <f>Input!F36</f>
        <v>TỔNG CÔNG TY MẠNG LƯỚI VIETTEL</v>
      </c>
      <c r="AK36" s="229">
        <f t="shared" si="146"/>
        <v>4</v>
      </c>
      <c r="AL36" s="465" t="str">
        <f t="shared" si="147"/>
        <v>thành phố Hồ Chí Minh.</v>
      </c>
      <c r="AM36" s="465" t="str">
        <f t="shared" si="148"/>
        <v>huyện Cần Giờ</v>
      </c>
      <c r="AN36" s="465" t="str">
        <f t="shared" si="149"/>
        <v>thị trấn Cần Thạnh</v>
      </c>
      <c r="AO36" s="229" t="str">
        <f>INDEX(CityIDList,MATCH(F36,CityNameList,0))</f>
        <v>HCM</v>
      </c>
      <c r="AP36" s="230" t="str">
        <f>Input!X36</f>
        <v>TỔNG CÔNG TY MẠNG LƯỚI VIETTEL</v>
      </c>
      <c r="AQ36" s="230">
        <f>Input!AN36</f>
        <v>0</v>
      </c>
      <c r="AR36" s="230">
        <f>Input!BD36</f>
        <v>0</v>
      </c>
      <c r="AS36" s="230" t="str">
        <f>Input!BT36</f>
      </c>
      <c r="AT36" s="230" t="str">
        <f>Input!CH36</f>
      </c>
      <c r="AU36" s="230" t="str">
        <f>Input!CV36</f>
      </c>
      <c r="AV36" s="230" t="str">
        <f>IF(I36&gt;=1,INDEX(OperatorIDList,MATCH(AP36,OperatorNameList,0)),"")</f>
        <v>VIETTEL-2016</v>
      </c>
      <c r="AW36" s="230" t="str">
        <f>IF(I36&gt;=2,INDEX(OperatorIDList,MATCH(AQ36,OperatorNameList,0)),"")</f>
      </c>
      <c r="AX36" s="230" t="str">
        <f>IF(I36&gt;=3,INDEX(OperatorIDList,MATCH(AR36,OperatorNameList,0)),"")</f>
      </c>
      <c r="AY36" s="230" t="str">
        <f>IF(I36&gt;=4,INDEX(OperatorIDList,MATCH(AS36,OperatorNameList,0)),"")</f>
      </c>
      <c r="AZ36" s="230" t="str">
        <f>IF(I36&gt;=5,INDEX(OperatorIDList,MATCH(AT36,OperatorNameList,0)),"")</f>
      </c>
      <c r="BA36" s="230" t="str">
        <f>IF(I36&gt;=6,INDEX(OperatorIDList,MATCH(AU36,OperatorNameList,0)),"")</f>
      </c>
      <c r="BB36" s="230" t="str">
        <f t="shared" si="150"/>
        <v>VIETTEL-2016</v>
      </c>
      <c r="BC36" s="230" t="str">
        <f>Input!Y36</f>
        <v>HCM2263</v>
      </c>
      <c r="BD36" s="230">
        <f>Input!AO36</f>
        <v>0</v>
      </c>
      <c r="BE36" s="230">
        <f>Input!BE36</f>
        <v>0</v>
      </c>
      <c r="BF36" s="230" t="str">
        <f>Input!BU36</f>
      </c>
      <c r="BG36" s="230" t="str">
        <f>Input!CI36</f>
      </c>
      <c r="BH36" s="230" t="str">
        <f>Input!CW36</f>
      </c>
      <c r="BI36" s="230" t="str">
        <f>Input!Z36</f>
        <v>HUAWEI DBS3900</v>
      </c>
      <c r="BJ36" s="230">
        <f>Input!AP36</f>
        <v>0</v>
      </c>
      <c r="BK36" s="230">
        <f>Input!BF36</f>
        <v>0</v>
      </c>
      <c r="BL36" s="230" t="str">
        <f>Input!BV36</f>
      </c>
      <c r="BM36" s="230" t="str">
        <f>Input!CJ36</f>
      </c>
      <c r="BN36" s="230" t="str">
        <f>Input!CX36</f>
      </c>
      <c r="BO36" s="553">
        <f>IF(ISNUMBER(Input!AA36),Input!AA36,0)</f>
        <v>3</v>
      </c>
      <c r="BP36" s="553">
        <f>IF(ISNUMBER(Input!AQ36),Input!AQ36,0)</f>
        <v>0</v>
      </c>
      <c r="BQ36" s="553">
        <f>IF(ISNUMBER(Input!BG36),Input!BG36,0)</f>
        <v>0</v>
      </c>
      <c r="BR36" s="553">
        <f>IF(ISNUMBER(Input!BW36),Input!BW36,0)</f>
        <v>0</v>
      </c>
      <c r="BS36" s="553">
        <f>IF(ISNUMBER(Input!CK36),Input!CK36,0)</f>
        <v>0</v>
      </c>
      <c r="BT36" s="554">
        <f>IF(ISNUMBER(Input!CY36),Input!CY36,0)</f>
        <v>0</v>
      </c>
      <c r="BU36" s="230" t="str">
        <f>Input!AF36</f>
        <v>2/2/2</v>
      </c>
      <c r="BV36" s="230" t="str">
        <f>Input!AV36</f>
      </c>
      <c r="BW36" s="230" t="str">
        <f>Input!BL36</f>
      </c>
      <c r="BX36" s="230" t="str">
        <f>Input!CA36</f>
      </c>
      <c r="BY36" s="230" t="str">
        <f>Input!CO36</f>
      </c>
      <c r="BZ36" s="230" t="str">
        <f>Input!DC36</f>
      </c>
      <c r="CA36" s="230">
        <f t="shared" si="151"/>
        <v>2</v>
      </c>
      <c r="CB36" s="230">
        <f t="shared" si="152"/>
        <v>2</v>
      </c>
      <c r="CC36" s="230">
        <f t="shared" si="153"/>
        <v>2</v>
      </c>
      <c r="CD36" s="230">
        <f t="shared" si="154"/>
        <v>0</v>
      </c>
      <c r="CE36" s="230">
        <f t="shared" si="155"/>
        <v>0</v>
      </c>
      <c r="CF36" s="230">
        <f t="shared" si="156"/>
        <v>0</v>
      </c>
      <c r="CG36" s="230">
        <f t="shared" si="157"/>
        <v>0</v>
      </c>
      <c r="CH36" s="230">
        <f t="shared" si="158"/>
        <v>0</v>
      </c>
      <c r="CI36" s="230">
        <f t="shared" si="159"/>
        <v>0</v>
      </c>
      <c r="CJ36" s="230">
        <f t="shared" si="160"/>
        <v>0</v>
      </c>
      <c r="CK36" s="230">
        <f t="shared" si="161"/>
        <v>0</v>
      </c>
      <c r="CL36" s="230">
        <f t="shared" si="162"/>
        <v>0</v>
      </c>
      <c r="CM36" s="230">
        <f t="shared" si="163"/>
        <v>0</v>
      </c>
      <c r="CN36" s="230">
        <f t="shared" si="164"/>
        <v>0</v>
      </c>
      <c r="CO36" s="230">
        <f t="shared" si="165"/>
        <v>0</v>
      </c>
      <c r="CP36" s="230">
        <f t="shared" si="166"/>
        <v>0</v>
      </c>
      <c r="CQ36" s="230">
        <f t="shared" si="167"/>
        <v>0</v>
      </c>
      <c r="CR36" s="230">
        <f t="shared" si="168"/>
        <v>0</v>
      </c>
      <c r="CS36" s="230">
        <f t="shared" si="169"/>
        <v>0</v>
      </c>
      <c r="CT36" s="230">
        <f t="shared" si="170"/>
        <v>0</v>
      </c>
      <c r="CU36" s="230">
        <f t="shared" si="171"/>
        <v>0</v>
      </c>
      <c r="CV36" s="230">
        <f t="shared" si="172"/>
        <v>0</v>
      </c>
      <c r="CW36" s="230">
        <f t="shared" si="173"/>
        <v>0</v>
      </c>
      <c r="CX36" s="230">
        <f t="shared" si="174"/>
        <v>0</v>
      </c>
      <c r="CY36" s="230">
        <f t="shared" si="175"/>
        <v>0</v>
      </c>
      <c r="CZ36" s="230">
        <f t="shared" si="176"/>
        <v>0</v>
      </c>
      <c r="DA36" s="230">
        <f t="shared" si="177"/>
        <v>0</v>
      </c>
      <c r="DB36" s="230">
        <f t="shared" si="178"/>
        <v>0</v>
      </c>
      <c r="DC36" s="230">
        <f t="shared" si="179"/>
        <v>0</v>
      </c>
      <c r="DD36" s="230">
        <f t="shared" si="180"/>
        <v>0</v>
      </c>
      <c r="DE36" s="230">
        <f t="shared" si="181"/>
        <v>0</v>
      </c>
      <c r="DF36" s="230">
        <f t="shared" si="182"/>
        <v>0</v>
      </c>
      <c r="DG36" s="230">
        <f t="shared" si="183"/>
        <v>0</v>
      </c>
      <c r="DH36" s="230">
        <f t="shared" si="184"/>
        <v>0</v>
      </c>
      <c r="DI36" s="230">
        <f t="shared" si="185"/>
        <v>0</v>
      </c>
      <c r="DJ36" s="230">
        <f t="shared" si="186"/>
        <v>0</v>
      </c>
      <c r="DK36" s="230" t="str">
        <f>Input!AK36</f>
        <v>40,00W/40,00W/40,00W</v>
      </c>
      <c r="DL36" s="230" t="str">
        <f>Input!BA36</f>
      </c>
      <c r="DM36" s="230" t="str">
        <f>Input!BQ36</f>
      </c>
      <c r="DN36" s="230" t="str">
        <f>Input!CE36</f>
      </c>
      <c r="DO36" s="230" t="str">
        <f>Input!CS36</f>
      </c>
      <c r="DP36" s="230" t="str">
        <f>Input!DG36</f>
      </c>
      <c r="DQ36" s="230" t="str">
        <f t="shared" si="187"/>
        <v>40W/ 40W/ 40W</v>
      </c>
      <c r="DR36" s="230" t="str">
        <f t="shared" si="188"/>
      </c>
      <c r="DS36" s="230" t="str">
        <f t="shared" si="189"/>
      </c>
      <c r="DT36" s="230" t="str">
        <f t="shared" si="190"/>
      </c>
      <c r="DU36" s="230" t="str">
        <f t="shared" si="191"/>
      </c>
      <c r="DV36" s="230" t="str">
        <f t="shared" si="192"/>
      </c>
      <c r="DW36" s="230">
        <f t="shared" si="193"/>
        <v>40</v>
      </c>
      <c r="DX36" s="230">
        <f t="shared" si="194"/>
        <v>40</v>
      </c>
      <c r="DY36" s="230">
        <f t="shared" si="195"/>
        <v>40</v>
      </c>
      <c r="DZ36" s="230">
        <f t="shared" si="196"/>
        <v>0</v>
      </c>
      <c r="EA36" s="230">
        <f t="shared" si="197"/>
        <v>0</v>
      </c>
      <c r="EB36" s="230">
        <f t="shared" si="198"/>
        <v>0</v>
      </c>
      <c r="EC36" s="230">
        <f t="shared" si="199"/>
        <v>40</v>
      </c>
      <c r="ED36" s="230">
        <f t="shared" si="200"/>
        <v>0</v>
      </c>
      <c r="EE36" s="230">
        <f t="shared" si="201"/>
        <v>0</v>
      </c>
      <c r="EF36" s="230">
        <f t="shared" si="202"/>
        <v>0</v>
      </c>
      <c r="EG36" s="230">
        <f t="shared" si="203"/>
        <v>0</v>
      </c>
      <c r="EH36" s="230">
        <f t="shared" si="204"/>
        <v>0</v>
      </c>
      <c r="EI36" s="230">
        <f t="shared" si="205"/>
        <v>0</v>
      </c>
      <c r="EJ36" s="230">
        <f t="shared" si="206"/>
        <v>0</v>
      </c>
      <c r="EK36" s="230">
        <f t="shared" si="207"/>
        <v>0</v>
      </c>
      <c r="EL36" s="230">
        <f t="shared" si="208"/>
        <v>0</v>
      </c>
      <c r="EM36" s="230">
        <f t="shared" si="209"/>
        <v>0</v>
      </c>
      <c r="EN36" s="230">
        <f t="shared" si="210"/>
        <v>0</v>
      </c>
      <c r="EO36" s="230">
        <f t="shared" si="211"/>
        <v>0</v>
      </c>
      <c r="EP36" s="230">
        <f t="shared" si="212"/>
        <v>0</v>
      </c>
      <c r="EQ36" s="230">
        <f t="shared" si="213"/>
        <v>0</v>
      </c>
      <c r="ER36" s="230">
        <f t="shared" si="214"/>
        <v>0</v>
      </c>
      <c r="ES36" s="230">
        <f t="shared" si="215"/>
        <v>0</v>
      </c>
      <c r="ET36" s="230">
        <f t="shared" si="216"/>
        <v>0</v>
      </c>
      <c r="EU36" s="230">
        <f t="shared" si="217"/>
        <v>0</v>
      </c>
      <c r="EV36" s="230">
        <f t="shared" si="218"/>
        <v>0</v>
      </c>
      <c r="EW36" s="230">
        <f t="shared" si="219"/>
        <v>0</v>
      </c>
      <c r="EX36" s="230">
        <f t="shared" si="220"/>
        <v>0</v>
      </c>
      <c r="EY36" s="230">
        <f t="shared" si="221"/>
        <v>0</v>
      </c>
      <c r="EZ36" s="230">
        <f t="shared" si="222"/>
        <v>0</v>
      </c>
      <c r="FA36" s="230">
        <f t="shared" si="223"/>
        <v>0</v>
      </c>
      <c r="FB36" s="230">
        <f t="shared" si="224"/>
        <v>0</v>
      </c>
      <c r="FC36" s="230">
        <f t="shared" si="225"/>
        <v>0</v>
      </c>
      <c r="FD36" s="230">
        <f t="shared" si="226"/>
        <v>0</v>
      </c>
      <c r="FE36" s="230">
        <f t="shared" si="227"/>
        <v>0</v>
      </c>
      <c r="FF36" s="230">
        <f t="shared" si="228"/>
        <v>0</v>
      </c>
      <c r="FG36" s="230">
        <f t="shared" si="229"/>
        <v>0</v>
      </c>
      <c r="FH36" s="230">
        <f t="shared" si="230"/>
        <v>0</v>
      </c>
      <c r="FI36" s="230">
        <f t="shared" si="231"/>
        <v>0</v>
      </c>
      <c r="FJ36" s="230">
        <f t="shared" si="232"/>
        <v>0</v>
      </c>
      <c r="FK36" s="230">
        <f t="shared" si="233"/>
        <v>0</v>
      </c>
      <c r="FL36" s="230">
        <f t="shared" si="234"/>
        <v>0</v>
      </c>
      <c r="FM36" s="230">
        <f t="shared" si="235"/>
        <v>40</v>
      </c>
      <c r="FN36" s="230">
        <f>Input!AL36</f>
        <v>2100</v>
      </c>
      <c r="FO36" s="230">
        <f>Input!BB36</f>
        <v>0</v>
      </c>
      <c r="FP36" s="230">
        <f>Input!BR36</f>
        <v>0</v>
      </c>
      <c r="FQ36" s="230" t="str">
        <f>Input!CF36</f>
      </c>
      <c r="FR36" s="230" t="str">
        <f>Input!CT36</f>
      </c>
      <c r="FS36" s="230" t="str">
        <f>Input!DH36</f>
      </c>
      <c r="FT36" s="230" t="str">
        <f>Input!AM36</f>
        <v>66m/ 66m/ 66m</v>
      </c>
      <c r="FU36" s="230">
        <f>Input!BC36</f>
        <v>0</v>
      </c>
      <c r="FV36" s="230">
        <f>Input!BS36</f>
        <v>0</v>
      </c>
      <c r="FW36" s="230" t="str">
        <f>Input!CG36</f>
      </c>
      <c r="FX36" s="230" t="str">
        <f>Input!CU36</f>
      </c>
      <c r="FY36" s="230" t="str">
        <f>Input!DI36</f>
      </c>
      <c r="FZ36" s="230" t="str">
        <f t="shared" si="236"/>
        <v>66m/ 66m/ 66m</v>
      </c>
      <c r="GA36" s="230" t="str">
        <f t="shared" si="237"/>
      </c>
      <c r="GB36" s="230" t="str">
        <f t="shared" si="238"/>
      </c>
      <c r="GC36" s="230" t="str">
        <f t="shared" si="239"/>
      </c>
      <c r="GD36" s="230" t="str">
        <f t="shared" si="240"/>
      </c>
      <c r="GE36" s="230" t="str">
        <f t="shared" si="241"/>
      </c>
      <c r="GF36" s="230">
        <f t="shared" si="242"/>
        <v>66</v>
      </c>
      <c r="GG36" s="230">
        <f t="shared" si="243"/>
        <v>66</v>
      </c>
      <c r="GH36" s="230">
        <f t="shared" si="244"/>
        <v>66</v>
      </c>
      <c r="GI36" s="230">
        <f t="shared" si="245"/>
        <v>0</v>
      </c>
      <c r="GJ36" s="230">
        <f t="shared" si="246"/>
        <v>0</v>
      </c>
      <c r="GK36" s="230">
        <f t="shared" si="247"/>
        <v>0</v>
      </c>
      <c r="GL36" s="230">
        <f t="shared" si="248"/>
        <v>0</v>
      </c>
      <c r="GM36" s="230">
        <f t="shared" si="249"/>
        <v>0</v>
      </c>
      <c r="GN36" s="230">
        <f t="shared" si="250"/>
        <v>0</v>
      </c>
      <c r="GO36" s="230">
        <f t="shared" si="251"/>
        <v>0</v>
      </c>
      <c r="GP36" s="230">
        <f t="shared" si="252"/>
        <v>0</v>
      </c>
      <c r="GQ36" s="230">
        <f t="shared" si="253"/>
        <v>0</v>
      </c>
      <c r="GR36" s="230">
        <f t="shared" si="254"/>
        <v>0</v>
      </c>
      <c r="GS36" s="230">
        <f t="shared" si="255"/>
        <v>0</v>
      </c>
      <c r="GT36" s="230">
        <f t="shared" si="256"/>
        <v>0</v>
      </c>
      <c r="GU36" s="230">
        <f t="shared" si="257"/>
        <v>0</v>
      </c>
      <c r="GV36" s="230">
        <f t="shared" si="258"/>
        <v>0</v>
      </c>
      <c r="GW36" s="230">
        <f t="shared" si="259"/>
        <v>0</v>
      </c>
      <c r="GX36" s="230">
        <f t="shared" si="260"/>
        <v>0</v>
      </c>
      <c r="GY36" s="230">
        <f t="shared" si="261"/>
        <v>0</v>
      </c>
      <c r="GZ36" s="230">
        <f t="shared" si="262"/>
        <v>0</v>
      </c>
      <c r="HA36" s="230">
        <f t="shared" si="263"/>
        <v>0</v>
      </c>
      <c r="HB36" s="230">
        <f t="shared" si="264"/>
        <v>0</v>
      </c>
      <c r="HC36" s="230">
        <f t="shared" si="265"/>
        <v>0</v>
      </c>
      <c r="HD36" s="230">
        <f t="shared" si="266"/>
        <v>0</v>
      </c>
      <c r="HE36" s="230">
        <f t="shared" si="267"/>
        <v>0</v>
      </c>
      <c r="HF36" s="230">
        <f t="shared" si="268"/>
        <v>0</v>
      </c>
      <c r="HG36" s="230">
        <f t="shared" si="269"/>
        <v>0</v>
      </c>
      <c r="HH36" s="230">
        <f t="shared" si="270"/>
        <v>0</v>
      </c>
      <c r="HI36" s="230">
        <f t="shared" si="271"/>
        <v>0</v>
      </c>
      <c r="HJ36" s="230">
        <f t="shared" si="272"/>
        <v>0</v>
      </c>
      <c r="HK36" s="230">
        <f t="shared" si="273"/>
        <v>0</v>
      </c>
      <c r="HL36" s="230">
        <f t="shared" si="274"/>
        <v>0</v>
      </c>
      <c r="HM36" s="230">
        <f t="shared" si="275"/>
        <v>0</v>
      </c>
      <c r="HN36" s="230">
        <f t="shared" si="276"/>
        <v>0</v>
      </c>
      <c r="HO36" s="230">
        <f t="shared" si="277"/>
        <v>0</v>
      </c>
      <c r="HP36" s="230" t="str">
        <f>INDEX(LabNameList,MATCH(LabId,LabIDList,0))</f>
        <v>Trung tâm Kiểm định và Chứng nhận 2</v>
      </c>
      <c r="HQ36" s="230">
        <f t="shared" si="278"/>
        <v>66</v>
      </c>
      <c r="HR36" s="230">
        <f t="shared" si="279"/>
        <v>0</v>
      </c>
      <c r="HS36" s="230">
        <f t="shared" si="280"/>
        <v>0</v>
      </c>
      <c r="HT36" s="230">
        <f t="shared" si="281"/>
        <v>0</v>
      </c>
      <c r="HU36" s="230">
        <f t="shared" si="282"/>
        <v>0</v>
      </c>
      <c r="HV36" s="230">
        <f t="shared" si="283"/>
        <v>0</v>
      </c>
      <c r="HW36" s="797">
        <f t="shared" si="284"/>
        <v>66</v>
      </c>
      <c r="HX36" s="797">
        <f>Input!EB36</f>
        <v>0</v>
      </c>
      <c r="HY36" s="230">
        <v>68</v>
      </c>
      <c r="HZ36" s="230"/>
      <c r="IA36" s="230"/>
      <c r="IB36" s="230"/>
      <c r="IC36" s="232" t="str">
        <f t="shared" si="285"/>
        <v>B01987230916TG05</v>
      </c>
      <c r="ID36" s="233" t="str">
        <f>Input!O36</f>
        <v>01987</v>
      </c>
      <c r="IE36" s="467" t="str">
        <f t="shared" si="286"/>
        <v>230916</v>
      </c>
      <c r="IF36" s="232" t="s">
        <v>364</v>
      </c>
      <c r="IG36" s="467" t="str">
        <f t="shared" si="287"/>
        <v>23/09/2016</v>
      </c>
      <c r="IH36" s="467" t="str">
        <f t="shared" si="288"/>
        <v>23/09/2021</v>
      </c>
      <c r="II36" s="546" t="str">
        <f> Input!R36</f>
        <v>23/09/2016</v>
      </c>
      <c r="IJ36" s="467">
        <f t="shared" si="289"/>
        <v>44462</v>
      </c>
      <c r="IK36" s="468">
        <f t="shared" si="290"/>
        <v>3</v>
      </c>
      <c r="IL36" s="469" t="str">
        <f t="shared" si="291"/>
        <v>3-1</v>
      </c>
      <c r="IM36" s="469" t="str">
        <f t="shared" si="292"/>
        <v>KHAC</v>
      </c>
      <c r="IN36" s="469" t="str">
        <f t="shared" si="293"/>
        <v>KHAC</v>
      </c>
      <c r="IO36" s="469" t="str">
        <f t="shared" si="294"/>
      </c>
      <c r="IP36" s="469" t="str">
        <f t="shared" si="295"/>
      </c>
      <c r="IQ36" s="469" t="str">
        <f t="shared" si="296"/>
      </c>
      <c r="IR36" s="469">
        <f t="shared" si="297"/>
        <v>1</v>
      </c>
      <c r="IS36" s="469">
        <f t="shared" si="298"/>
        <v>2</v>
      </c>
      <c r="IT36" s="469" t="str">
        <f t="shared" si="299"/>
        <v>Yes</v>
      </c>
      <c r="IU36" s="469" t="str">
        <f t="shared" si="300"/>
        <v>Yes</v>
      </c>
    </row>
    <row r="37" ht="63.75">
      <c r="A37" s="601">
        <f>Input!A37</f>
        <v>36</v>
      </c>
      <c r="B37" s="229" t="str">
        <f>INDEX(ApplicantIDList,MATCH(AI37,ApplicantNameList,0))</f>
        <v>VIETTEL-2016</v>
      </c>
      <c r="C37" s="229" t="str">
        <f>INDEX(OperatorIDList,MATCH(AJ37,OperatorNameList,0))</f>
        <v>VIETTEL-2016</v>
      </c>
      <c r="D37" s="797" t="str">
        <f>Input!Y37</f>
        <v>HCM1674</v>
      </c>
      <c r="E37" s="229" t="str">
        <f>Input!G37</f>
        <v>Số 5-7, đường số 10, phường Tân Hưng, quận 7, thành phố Hồ Chí Minh.</v>
      </c>
      <c r="F37" s="229" t="str">
        <f>TRIM(SUBSTITUTE(SUBSTITUTE(Input!H37,"Thành phố ",""),"Tỉnh ",""))</f>
        <v>Hồ Chí Minh</v>
      </c>
      <c r="G37" s="797" t="str">
        <f>Input!I37</f>
        <v>106,699458</v>
      </c>
      <c r="H37" s="797" t="str">
        <f>Input!J37</f>
        <v>10,741527</v>
      </c>
      <c r="I37" s="229">
        <f>Input!V37</f>
        <v>1</v>
      </c>
      <c r="J37" s="229" t="str">
        <f>Input!K37</f>
        <v>1502408/16/TG/TT2</v>
      </c>
      <c r="K37" s="231" t="str">
        <f>TEXT(Input!L37,"dd/mm/yyyy")</f>
        <v>23/09/2016</v>
      </c>
      <c r="L37" s="231" t="str">
        <f>TEXT(Input!M37,"dd/mm/yyyy")</f>
        <v>17/09/2016</v>
      </c>
      <c r="M37" s="229" t="str">
        <f t="shared" si="135"/>
        <v>TỔNG CÔNG TY MẠNG LƯỚI VIETTEL</v>
      </c>
      <c r="N37" s="229" t="str">
        <f t="shared" si="136"/>
        <v>HCM1674</v>
      </c>
      <c r="O37" s="229" t="str">
        <f t="shared" si="137"/>
        <v>HUAWEI DBS3900</v>
      </c>
      <c r="P37" s="229" t="str">
        <f t="shared" si="138"/>
        <v>3</v>
      </c>
      <c r="Q37" s="229" t="str">
        <f t="shared" si="139"/>
        <v>2/2/2</v>
      </c>
      <c r="R37" s="229" t="str">
        <f t="shared" si="140"/>
        <v>40W/ 40W/ 40W</v>
      </c>
      <c r="S37" s="229" t="str">
        <f t="shared" si="141"/>
        <v>2100</v>
      </c>
      <c r="T37" s="229" t="str">
        <f t="shared" si="142"/>
        <v>24m/ 24m/ 24m</v>
      </c>
      <c r="U37" s="229">
        <v>1</v>
      </c>
      <c r="V37" s="229"/>
      <c r="W37" s="229" t="b">
        <f t="shared" si="143"/>
        <v>0</v>
      </c>
      <c r="X37" s="229" t="b">
        <f>INDEX(TrueFalseList,_xlfn.IFNA(MATCH(Input!W37,CoKhongList,0),MATCH(Input!W37,YesNoList,0)))</f>
        <v>0</v>
      </c>
      <c r="Y37" s="797">
        <f>Input!FZ37</f>
        <v>0</v>
      </c>
      <c r="Z37" s="229" t="b">
        <v>1</v>
      </c>
      <c r="AA37" s="797">
        <f t="shared" si="144"/>
        <v>24</v>
      </c>
      <c r="AB37" s="229" t="b">
        <v>0</v>
      </c>
      <c r="AC37" s="229" t="b">
        <v>1</v>
      </c>
      <c r="AD37" s="229">
        <f>Input!DR37</f>
        <v>0</v>
      </c>
      <c r="AE37" s="229"/>
      <c r="AF37" s="229" t="str">
        <f>Options!$D$6</f>
        <v>VCC2</v>
      </c>
      <c r="AG37" s="229">
        <f t="shared" si="145"/>
        <v>0</v>
      </c>
      <c r="AH37" s="230"/>
      <c r="AI37" s="553" t="str">
        <f>Input!E37</f>
        <v>TỔNG CÔNG TY MẠNG LƯỚI VIETTEL</v>
      </c>
      <c r="AJ37" s="553" t="str">
        <f>Input!F37</f>
        <v>TỔNG CÔNG TY MẠNG LƯỚI VIETTEL</v>
      </c>
      <c r="AK37" s="229">
        <f t="shared" si="146"/>
        <v>4</v>
      </c>
      <c r="AL37" s="465" t="str">
        <f t="shared" si="147"/>
        <v>thành phố Hồ Chí Minh.</v>
      </c>
      <c r="AM37" s="465" t="str">
        <f t="shared" si="148"/>
        <v>quận 7</v>
      </c>
      <c r="AN37" s="465" t="str">
        <f t="shared" si="149"/>
        <v>phường Tân Hưng</v>
      </c>
      <c r="AO37" s="229" t="str">
        <f>INDEX(CityIDList,MATCH(F37,CityNameList,0))</f>
        <v>HCM</v>
      </c>
      <c r="AP37" s="230" t="str">
        <f>Input!X37</f>
        <v>TỔNG CÔNG TY MẠNG LƯỚI VIETTEL</v>
      </c>
      <c r="AQ37" s="230">
        <f>Input!AN37</f>
        <v>0</v>
      </c>
      <c r="AR37" s="230">
        <f>Input!BD37</f>
        <v>0</v>
      </c>
      <c r="AS37" s="230" t="str">
        <f>Input!BT37</f>
      </c>
      <c r="AT37" s="230" t="str">
        <f>Input!CH37</f>
      </c>
      <c r="AU37" s="230" t="str">
        <f>Input!CV37</f>
      </c>
      <c r="AV37" s="230" t="str">
        <f>IF(I37&gt;=1,INDEX(OperatorIDList,MATCH(AP37,OperatorNameList,0)),"")</f>
        <v>VIETTEL-2016</v>
      </c>
      <c r="AW37" s="230" t="str">
        <f>IF(I37&gt;=2,INDEX(OperatorIDList,MATCH(AQ37,OperatorNameList,0)),"")</f>
      </c>
      <c r="AX37" s="230" t="str">
        <f>IF(I37&gt;=3,INDEX(OperatorIDList,MATCH(AR37,OperatorNameList,0)),"")</f>
      </c>
      <c r="AY37" s="230" t="str">
        <f>IF(I37&gt;=4,INDEX(OperatorIDList,MATCH(AS37,OperatorNameList,0)),"")</f>
      </c>
      <c r="AZ37" s="230" t="str">
        <f>IF(I37&gt;=5,INDEX(OperatorIDList,MATCH(AT37,OperatorNameList,0)),"")</f>
      </c>
      <c r="BA37" s="230" t="str">
        <f>IF(I37&gt;=6,INDEX(OperatorIDList,MATCH(AU37,OperatorNameList,0)),"")</f>
      </c>
      <c r="BB37" s="230" t="str">
        <f t="shared" si="150"/>
        <v>VIETTEL-2016</v>
      </c>
      <c r="BC37" s="230" t="str">
        <f>Input!Y37</f>
        <v>HCM1674</v>
      </c>
      <c r="BD37" s="230">
        <f>Input!AO37</f>
        <v>0</v>
      </c>
      <c r="BE37" s="230">
        <f>Input!BE37</f>
        <v>0</v>
      </c>
      <c r="BF37" s="230" t="str">
        <f>Input!BU37</f>
      </c>
      <c r="BG37" s="230" t="str">
        <f>Input!CI37</f>
      </c>
      <c r="BH37" s="230" t="str">
        <f>Input!CW37</f>
      </c>
      <c r="BI37" s="230" t="str">
        <f>Input!Z37</f>
        <v>HUAWEI DBS3900</v>
      </c>
      <c r="BJ37" s="230">
        <f>Input!AP37</f>
        <v>0</v>
      </c>
      <c r="BK37" s="230">
        <f>Input!BF37</f>
        <v>0</v>
      </c>
      <c r="BL37" s="230" t="str">
        <f>Input!BV37</f>
      </c>
      <c r="BM37" s="230" t="str">
        <f>Input!CJ37</f>
      </c>
      <c r="BN37" s="230" t="str">
        <f>Input!CX37</f>
      </c>
      <c r="BO37" s="553">
        <f>IF(ISNUMBER(Input!AA37),Input!AA37,0)</f>
        <v>3</v>
      </c>
      <c r="BP37" s="553">
        <f>IF(ISNUMBER(Input!AQ37),Input!AQ37,0)</f>
        <v>0</v>
      </c>
      <c r="BQ37" s="553">
        <f>IF(ISNUMBER(Input!BG37),Input!BG37,0)</f>
        <v>0</v>
      </c>
      <c r="BR37" s="553">
        <f>IF(ISNUMBER(Input!BW37),Input!BW37,0)</f>
        <v>0</v>
      </c>
      <c r="BS37" s="553">
        <f>IF(ISNUMBER(Input!CK37),Input!CK37,0)</f>
        <v>0</v>
      </c>
      <c r="BT37" s="554">
        <f>IF(ISNUMBER(Input!CY37),Input!CY37,0)</f>
        <v>0</v>
      </c>
      <c r="BU37" s="230" t="str">
        <f>Input!AF37</f>
        <v>2/2/2</v>
      </c>
      <c r="BV37" s="230" t="str">
        <f>Input!AV37</f>
      </c>
      <c r="BW37" s="230" t="str">
        <f>Input!BL37</f>
      </c>
      <c r="BX37" s="230" t="str">
        <f>Input!CA37</f>
      </c>
      <c r="BY37" s="230" t="str">
        <f>Input!CO37</f>
      </c>
      <c r="BZ37" s="230" t="str">
        <f>Input!DC37</f>
      </c>
      <c r="CA37" s="230">
        <f t="shared" si="151"/>
        <v>2</v>
      </c>
      <c r="CB37" s="230">
        <f t="shared" si="152"/>
        <v>2</v>
      </c>
      <c r="CC37" s="230">
        <f t="shared" si="153"/>
        <v>2</v>
      </c>
      <c r="CD37" s="230">
        <f t="shared" si="154"/>
        <v>0</v>
      </c>
      <c r="CE37" s="230">
        <f t="shared" si="155"/>
        <v>0</v>
      </c>
      <c r="CF37" s="230">
        <f t="shared" si="156"/>
        <v>0</v>
      </c>
      <c r="CG37" s="230">
        <f t="shared" si="157"/>
        <v>0</v>
      </c>
      <c r="CH37" s="230">
        <f t="shared" si="158"/>
        <v>0</v>
      </c>
      <c r="CI37" s="230">
        <f t="shared" si="159"/>
        <v>0</v>
      </c>
      <c r="CJ37" s="230">
        <f t="shared" si="160"/>
        <v>0</v>
      </c>
      <c r="CK37" s="230">
        <f t="shared" si="161"/>
        <v>0</v>
      </c>
      <c r="CL37" s="230">
        <f t="shared" si="162"/>
        <v>0</v>
      </c>
      <c r="CM37" s="230">
        <f t="shared" si="163"/>
        <v>0</v>
      </c>
      <c r="CN37" s="230">
        <f t="shared" si="164"/>
        <v>0</v>
      </c>
      <c r="CO37" s="230">
        <f t="shared" si="165"/>
        <v>0</v>
      </c>
      <c r="CP37" s="230">
        <f t="shared" si="166"/>
        <v>0</v>
      </c>
      <c r="CQ37" s="230">
        <f t="shared" si="167"/>
        <v>0</v>
      </c>
      <c r="CR37" s="230">
        <f t="shared" si="168"/>
        <v>0</v>
      </c>
      <c r="CS37" s="230">
        <f t="shared" si="169"/>
        <v>0</v>
      </c>
      <c r="CT37" s="230">
        <f t="shared" si="170"/>
        <v>0</v>
      </c>
      <c r="CU37" s="230">
        <f t="shared" si="171"/>
        <v>0</v>
      </c>
      <c r="CV37" s="230">
        <f t="shared" si="172"/>
        <v>0</v>
      </c>
      <c r="CW37" s="230">
        <f t="shared" si="173"/>
        <v>0</v>
      </c>
      <c r="CX37" s="230">
        <f t="shared" si="174"/>
        <v>0</v>
      </c>
      <c r="CY37" s="230">
        <f t="shared" si="175"/>
        <v>0</v>
      </c>
      <c r="CZ37" s="230">
        <f t="shared" si="176"/>
        <v>0</v>
      </c>
      <c r="DA37" s="230">
        <f t="shared" si="177"/>
        <v>0</v>
      </c>
      <c r="DB37" s="230">
        <f t="shared" si="178"/>
        <v>0</v>
      </c>
      <c r="DC37" s="230">
        <f t="shared" si="179"/>
        <v>0</v>
      </c>
      <c r="DD37" s="230">
        <f t="shared" si="180"/>
        <v>0</v>
      </c>
      <c r="DE37" s="230">
        <f t="shared" si="181"/>
        <v>0</v>
      </c>
      <c r="DF37" s="230">
        <f t="shared" si="182"/>
        <v>0</v>
      </c>
      <c r="DG37" s="230">
        <f t="shared" si="183"/>
        <v>0</v>
      </c>
      <c r="DH37" s="230">
        <f t="shared" si="184"/>
        <v>0</v>
      </c>
      <c r="DI37" s="230">
        <f t="shared" si="185"/>
        <v>0</v>
      </c>
      <c r="DJ37" s="230">
        <f t="shared" si="186"/>
        <v>0</v>
      </c>
      <c r="DK37" s="230" t="str">
        <f>Input!AK37</f>
        <v>40,00W/40,00W/40,00W</v>
      </c>
      <c r="DL37" s="230" t="str">
        <f>Input!BA37</f>
      </c>
      <c r="DM37" s="230" t="str">
        <f>Input!BQ37</f>
      </c>
      <c r="DN37" s="230" t="str">
        <f>Input!CE37</f>
      </c>
      <c r="DO37" s="230" t="str">
        <f>Input!CS37</f>
      </c>
      <c r="DP37" s="230" t="str">
        <f>Input!DG37</f>
      </c>
      <c r="DQ37" s="230" t="str">
        <f t="shared" si="187"/>
        <v>40W/ 40W/ 40W</v>
      </c>
      <c r="DR37" s="230" t="str">
        <f t="shared" si="188"/>
      </c>
      <c r="DS37" s="230" t="str">
        <f t="shared" si="189"/>
      </c>
      <c r="DT37" s="230" t="str">
        <f t="shared" si="190"/>
      </c>
      <c r="DU37" s="230" t="str">
        <f t="shared" si="191"/>
      </c>
      <c r="DV37" s="230" t="str">
        <f t="shared" si="192"/>
      </c>
      <c r="DW37" s="230">
        <f t="shared" si="193"/>
        <v>40</v>
      </c>
      <c r="DX37" s="230">
        <f t="shared" si="194"/>
        <v>40</v>
      </c>
      <c r="DY37" s="230">
        <f t="shared" si="195"/>
        <v>40</v>
      </c>
      <c r="DZ37" s="230">
        <f t="shared" si="196"/>
        <v>0</v>
      </c>
      <c r="EA37" s="230">
        <f t="shared" si="197"/>
        <v>0</v>
      </c>
      <c r="EB37" s="230">
        <f t="shared" si="198"/>
        <v>0</v>
      </c>
      <c r="EC37" s="230">
        <f t="shared" si="199"/>
        <v>40</v>
      </c>
      <c r="ED37" s="230">
        <f t="shared" si="200"/>
        <v>0</v>
      </c>
      <c r="EE37" s="230">
        <f t="shared" si="201"/>
        <v>0</v>
      </c>
      <c r="EF37" s="230">
        <f t="shared" si="202"/>
        <v>0</v>
      </c>
      <c r="EG37" s="230">
        <f t="shared" si="203"/>
        <v>0</v>
      </c>
      <c r="EH37" s="230">
        <f t="shared" si="204"/>
        <v>0</v>
      </c>
      <c r="EI37" s="230">
        <f t="shared" si="205"/>
        <v>0</v>
      </c>
      <c r="EJ37" s="230">
        <f t="shared" si="206"/>
        <v>0</v>
      </c>
      <c r="EK37" s="230">
        <f t="shared" si="207"/>
        <v>0</v>
      </c>
      <c r="EL37" s="230">
        <f t="shared" si="208"/>
        <v>0</v>
      </c>
      <c r="EM37" s="230">
        <f t="shared" si="209"/>
        <v>0</v>
      </c>
      <c r="EN37" s="230">
        <f t="shared" si="210"/>
        <v>0</v>
      </c>
      <c r="EO37" s="230">
        <f t="shared" si="211"/>
        <v>0</v>
      </c>
      <c r="EP37" s="230">
        <f t="shared" si="212"/>
        <v>0</v>
      </c>
      <c r="EQ37" s="230">
        <f t="shared" si="213"/>
        <v>0</v>
      </c>
      <c r="ER37" s="230">
        <f t="shared" si="214"/>
        <v>0</v>
      </c>
      <c r="ES37" s="230">
        <f t="shared" si="215"/>
        <v>0</v>
      </c>
      <c r="ET37" s="230">
        <f t="shared" si="216"/>
        <v>0</v>
      </c>
      <c r="EU37" s="230">
        <f t="shared" si="217"/>
        <v>0</v>
      </c>
      <c r="EV37" s="230">
        <f t="shared" si="218"/>
        <v>0</v>
      </c>
      <c r="EW37" s="230">
        <f t="shared" si="219"/>
        <v>0</v>
      </c>
      <c r="EX37" s="230">
        <f t="shared" si="220"/>
        <v>0</v>
      </c>
      <c r="EY37" s="230">
        <f t="shared" si="221"/>
        <v>0</v>
      </c>
      <c r="EZ37" s="230">
        <f t="shared" si="222"/>
        <v>0</v>
      </c>
      <c r="FA37" s="230">
        <f t="shared" si="223"/>
        <v>0</v>
      </c>
      <c r="FB37" s="230">
        <f t="shared" si="224"/>
        <v>0</v>
      </c>
      <c r="FC37" s="230">
        <f t="shared" si="225"/>
        <v>0</v>
      </c>
      <c r="FD37" s="230">
        <f t="shared" si="226"/>
        <v>0</v>
      </c>
      <c r="FE37" s="230">
        <f t="shared" si="227"/>
        <v>0</v>
      </c>
      <c r="FF37" s="230">
        <f t="shared" si="228"/>
        <v>0</v>
      </c>
      <c r="FG37" s="230">
        <f t="shared" si="229"/>
        <v>0</v>
      </c>
      <c r="FH37" s="230">
        <f t="shared" si="230"/>
        <v>0</v>
      </c>
      <c r="FI37" s="230">
        <f t="shared" si="231"/>
        <v>0</v>
      </c>
      <c r="FJ37" s="230">
        <f t="shared" si="232"/>
        <v>0</v>
      </c>
      <c r="FK37" s="230">
        <f t="shared" si="233"/>
        <v>0</v>
      </c>
      <c r="FL37" s="230">
        <f t="shared" si="234"/>
        <v>0</v>
      </c>
      <c r="FM37" s="230">
        <f t="shared" si="235"/>
        <v>40</v>
      </c>
      <c r="FN37" s="230">
        <f>Input!AL37</f>
        <v>2100</v>
      </c>
      <c r="FO37" s="230">
        <f>Input!BB37</f>
        <v>0</v>
      </c>
      <c r="FP37" s="230">
        <f>Input!BR37</f>
        <v>0</v>
      </c>
      <c r="FQ37" s="230" t="str">
        <f>Input!CF37</f>
      </c>
      <c r="FR37" s="230" t="str">
        <f>Input!CT37</f>
      </c>
      <c r="FS37" s="230" t="str">
        <f>Input!DH37</f>
      </c>
      <c r="FT37" s="230" t="str">
        <f>Input!AM37</f>
        <v>24m/ 24m/ 24m</v>
      </c>
      <c r="FU37" s="230">
        <f>Input!BC37</f>
        <v>0</v>
      </c>
      <c r="FV37" s="230">
        <f>Input!BS37</f>
        <v>0</v>
      </c>
      <c r="FW37" s="230" t="str">
        <f>Input!CG37</f>
      </c>
      <c r="FX37" s="230" t="str">
        <f>Input!CU37</f>
      </c>
      <c r="FY37" s="230" t="str">
        <f>Input!DI37</f>
      </c>
      <c r="FZ37" s="230" t="str">
        <f t="shared" si="236"/>
        <v>24m/ 24m/ 24m</v>
      </c>
      <c r="GA37" s="230" t="str">
        <f t="shared" si="237"/>
      </c>
      <c r="GB37" s="230" t="str">
        <f t="shared" si="238"/>
      </c>
      <c r="GC37" s="230" t="str">
        <f t="shared" si="239"/>
      </c>
      <c r="GD37" s="230" t="str">
        <f t="shared" si="240"/>
      </c>
      <c r="GE37" s="230" t="str">
        <f t="shared" si="241"/>
      </c>
      <c r="GF37" s="230">
        <f t="shared" si="242"/>
        <v>24</v>
      </c>
      <c r="GG37" s="230">
        <f t="shared" si="243"/>
        <v>24</v>
      </c>
      <c r="GH37" s="230">
        <f t="shared" si="244"/>
        <v>24</v>
      </c>
      <c r="GI37" s="230">
        <f t="shared" si="245"/>
        <v>0</v>
      </c>
      <c r="GJ37" s="230">
        <f t="shared" si="246"/>
        <v>0</v>
      </c>
      <c r="GK37" s="230">
        <f t="shared" si="247"/>
        <v>0</v>
      </c>
      <c r="GL37" s="230">
        <f t="shared" si="248"/>
        <v>0</v>
      </c>
      <c r="GM37" s="230">
        <f t="shared" si="249"/>
        <v>0</v>
      </c>
      <c r="GN37" s="230">
        <f t="shared" si="250"/>
        <v>0</v>
      </c>
      <c r="GO37" s="230">
        <f t="shared" si="251"/>
        <v>0</v>
      </c>
      <c r="GP37" s="230">
        <f t="shared" si="252"/>
        <v>0</v>
      </c>
      <c r="GQ37" s="230">
        <f t="shared" si="253"/>
        <v>0</v>
      </c>
      <c r="GR37" s="230">
        <f t="shared" si="254"/>
        <v>0</v>
      </c>
      <c r="GS37" s="230">
        <f t="shared" si="255"/>
        <v>0</v>
      </c>
      <c r="GT37" s="230">
        <f t="shared" si="256"/>
        <v>0</v>
      </c>
      <c r="GU37" s="230">
        <f t="shared" si="257"/>
        <v>0</v>
      </c>
      <c r="GV37" s="230">
        <f t="shared" si="258"/>
        <v>0</v>
      </c>
      <c r="GW37" s="230">
        <f t="shared" si="259"/>
        <v>0</v>
      </c>
      <c r="GX37" s="230">
        <f t="shared" si="260"/>
        <v>0</v>
      </c>
      <c r="GY37" s="230">
        <f t="shared" si="261"/>
        <v>0</v>
      </c>
      <c r="GZ37" s="230">
        <f t="shared" si="262"/>
        <v>0</v>
      </c>
      <c r="HA37" s="230">
        <f t="shared" si="263"/>
        <v>0</v>
      </c>
      <c r="HB37" s="230">
        <f t="shared" si="264"/>
        <v>0</v>
      </c>
      <c r="HC37" s="230">
        <f t="shared" si="265"/>
        <v>0</v>
      </c>
      <c r="HD37" s="230">
        <f t="shared" si="266"/>
        <v>0</v>
      </c>
      <c r="HE37" s="230">
        <f t="shared" si="267"/>
        <v>0</v>
      </c>
      <c r="HF37" s="230">
        <f t="shared" si="268"/>
        <v>0</v>
      </c>
      <c r="HG37" s="230">
        <f t="shared" si="269"/>
        <v>0</v>
      </c>
      <c r="HH37" s="230">
        <f t="shared" si="270"/>
        <v>0</v>
      </c>
      <c r="HI37" s="230">
        <f t="shared" si="271"/>
        <v>0</v>
      </c>
      <c r="HJ37" s="230">
        <f t="shared" si="272"/>
        <v>0</v>
      </c>
      <c r="HK37" s="230">
        <f t="shared" si="273"/>
        <v>0</v>
      </c>
      <c r="HL37" s="230">
        <f t="shared" si="274"/>
        <v>0</v>
      </c>
      <c r="HM37" s="230">
        <f t="shared" si="275"/>
        <v>0</v>
      </c>
      <c r="HN37" s="230">
        <f t="shared" si="276"/>
        <v>0</v>
      </c>
      <c r="HO37" s="230">
        <f t="shared" si="277"/>
        <v>0</v>
      </c>
      <c r="HP37" s="230" t="str">
        <f>INDEX(LabNameList,MATCH(LabId,LabIDList,0))</f>
        <v>Trung tâm Kiểm định và Chứng nhận 2</v>
      </c>
      <c r="HQ37" s="230">
        <f t="shared" si="278"/>
        <v>24</v>
      </c>
      <c r="HR37" s="230">
        <f t="shared" si="279"/>
        <v>0</v>
      </c>
      <c r="HS37" s="230">
        <f t="shared" si="280"/>
        <v>0</v>
      </c>
      <c r="HT37" s="230">
        <f t="shared" si="281"/>
        <v>0</v>
      </c>
      <c r="HU37" s="230">
        <f t="shared" si="282"/>
        <v>0</v>
      </c>
      <c r="HV37" s="230">
        <f t="shared" si="283"/>
        <v>0</v>
      </c>
      <c r="HW37" s="797">
        <f t="shared" si="284"/>
        <v>24</v>
      </c>
      <c r="HX37" s="797">
        <f>Input!EB37</f>
        <v>0</v>
      </c>
      <c r="HY37" s="230">
        <v>68</v>
      </c>
      <c r="HZ37" s="230"/>
      <c r="IA37" s="230"/>
      <c r="IB37" s="230"/>
      <c r="IC37" s="232" t="str">
        <f t="shared" si="285"/>
        <v>B01988230916TG05</v>
      </c>
      <c r="ID37" s="233" t="str">
        <f>Input!O37</f>
        <v>01988</v>
      </c>
      <c r="IE37" s="467" t="str">
        <f t="shared" si="286"/>
        <v>230916</v>
      </c>
      <c r="IF37" s="232" t="s">
        <v>364</v>
      </c>
      <c r="IG37" s="467" t="str">
        <f t="shared" si="287"/>
        <v>23/09/2016</v>
      </c>
      <c r="IH37" s="467" t="str">
        <f t="shared" si="288"/>
        <v>23/09/2021</v>
      </c>
      <c r="II37" s="546" t="str">
        <f> Input!R37</f>
        <v>23/09/2016</v>
      </c>
      <c r="IJ37" s="467">
        <f t="shared" si="289"/>
        <v>44462</v>
      </c>
      <c r="IK37" s="468">
        <f t="shared" si="290"/>
        <v>3</v>
      </c>
      <c r="IL37" s="469" t="str">
        <f t="shared" si="291"/>
        <v>3-1</v>
      </c>
      <c r="IM37" s="469" t="str">
        <f t="shared" si="292"/>
        <v>KHAC</v>
      </c>
      <c r="IN37" s="469" t="str">
        <f t="shared" si="293"/>
        <v>KHAC</v>
      </c>
      <c r="IO37" s="469" t="str">
        <f t="shared" si="294"/>
      </c>
      <c r="IP37" s="469" t="str">
        <f t="shared" si="295"/>
      </c>
      <c r="IQ37" s="469" t="str">
        <f t="shared" si="296"/>
      </c>
      <c r="IR37" s="469">
        <f t="shared" si="297"/>
        <v>1</v>
      </c>
      <c r="IS37" s="469">
        <f t="shared" si="298"/>
        <v>2</v>
      </c>
      <c r="IT37" s="469" t="str">
        <f t="shared" si="299"/>
        <v>Yes</v>
      </c>
      <c r="IU37" s="469" t="str">
        <f t="shared" si="300"/>
        <v>Yes</v>
      </c>
    </row>
    <row r="38" ht="63.75">
      <c r="A38" s="601">
        <f>Input!A38</f>
        <v>37</v>
      </c>
      <c r="B38" s="229" t="str">
        <f>INDEX(ApplicantIDList,MATCH(AI38,ApplicantNameList,0))</f>
        <v>VIETTEL-2016</v>
      </c>
      <c r="C38" s="229" t="str">
        <f>INDEX(OperatorIDList,MATCH(AJ38,OperatorNameList,0))</f>
        <v>VIETTEL-2016</v>
      </c>
      <c r="D38" s="797" t="str">
        <f>Input!Y38</f>
        <v>HCM1679</v>
      </c>
      <c r="E38" s="229" t="str">
        <f>Input!G38</f>
        <v>Số 36, đường 81, phường Tân Quy, quận 7, thành phố Hồ Chí Minh.</v>
      </c>
      <c r="F38" s="229" t="str">
        <f>TRIM(SUBSTITUTE(SUBSTITUTE(Input!H38,"Thành phố ",""),"Tỉnh ",""))</f>
        <v>Hồ Chí Minh</v>
      </c>
      <c r="G38" s="797" t="str">
        <f>Input!I38</f>
        <v>106,706373</v>
      </c>
      <c r="H38" s="797" t="str">
        <f>Input!J38</f>
        <v>10,740214</v>
      </c>
      <c r="I38" s="229">
        <f>Input!V38</f>
        <v>1</v>
      </c>
      <c r="J38" s="229" t="str">
        <f>Input!K38</f>
        <v>1502409/16/TG/TT2</v>
      </c>
      <c r="K38" s="231" t="str">
        <f>TEXT(Input!L38,"dd/mm/yyyy")</f>
        <v>23/09/2016</v>
      </c>
      <c r="L38" s="231" t="str">
        <f>TEXT(Input!M38,"dd/mm/yyyy")</f>
        <v>17/09/2016</v>
      </c>
      <c r="M38" s="229" t="str">
        <f t="shared" si="135"/>
        <v>TỔNG CÔNG TY MẠNG LƯỚI VIETTEL</v>
      </c>
      <c r="N38" s="229" t="str">
        <f t="shared" si="136"/>
        <v>HCM1679</v>
      </c>
      <c r="O38" s="229" t="str">
        <f t="shared" si="137"/>
        <v>HUAWEI DBS3900</v>
      </c>
      <c r="P38" s="229" t="str">
        <f t="shared" si="138"/>
        <v>3</v>
      </c>
      <c r="Q38" s="229" t="str">
        <f t="shared" si="139"/>
        <v>2/2/2</v>
      </c>
      <c r="R38" s="229" t="str">
        <f t="shared" si="140"/>
        <v>40W/ 40W/ 40W</v>
      </c>
      <c r="S38" s="229" t="str">
        <f t="shared" si="141"/>
        <v>2100</v>
      </c>
      <c r="T38" s="229" t="str">
        <f t="shared" si="142"/>
        <v>27m/ 27m/ 27m</v>
      </c>
      <c r="U38" s="229">
        <v>1</v>
      </c>
      <c r="V38" s="229"/>
      <c r="W38" s="229" t="b">
        <f t="shared" si="143"/>
        <v>0</v>
      </c>
      <c r="X38" s="229" t="b">
        <f>INDEX(TrueFalseList,_xlfn.IFNA(MATCH(Input!W38,CoKhongList,0),MATCH(Input!W38,YesNoList,0)))</f>
        <v>0</v>
      </c>
      <c r="Y38" s="797">
        <f>Input!FZ38</f>
        <v>0</v>
      </c>
      <c r="Z38" s="229" t="b">
        <v>1</v>
      </c>
      <c r="AA38" s="797">
        <f t="shared" si="144"/>
        <v>27</v>
      </c>
      <c r="AB38" s="229" t="b">
        <v>0</v>
      </c>
      <c r="AC38" s="229" t="b">
        <v>1</v>
      </c>
      <c r="AD38" s="229">
        <f>Input!DR38</f>
        <v>0</v>
      </c>
      <c r="AE38" s="229"/>
      <c r="AF38" s="229" t="str">
        <f>Options!$D$6</f>
        <v>VCC2</v>
      </c>
      <c r="AG38" s="229">
        <f t="shared" si="145"/>
        <v>0</v>
      </c>
      <c r="AH38" s="230"/>
      <c r="AI38" s="553" t="str">
        <f>Input!E38</f>
        <v>TỔNG CÔNG TY MẠNG LƯỚI VIETTEL</v>
      </c>
      <c r="AJ38" s="553" t="str">
        <f>Input!F38</f>
        <v>TỔNG CÔNG TY MẠNG LƯỚI VIETTEL</v>
      </c>
      <c r="AK38" s="229">
        <f t="shared" si="146"/>
        <v>4</v>
      </c>
      <c r="AL38" s="465" t="str">
        <f t="shared" si="147"/>
        <v>thành phố Hồ Chí Minh.</v>
      </c>
      <c r="AM38" s="465" t="str">
        <f t="shared" si="148"/>
        <v>quận 7</v>
      </c>
      <c r="AN38" s="465" t="str">
        <f t="shared" si="149"/>
        <v>phường Tân Quy</v>
      </c>
      <c r="AO38" s="229" t="str">
        <f>INDEX(CityIDList,MATCH(F38,CityNameList,0))</f>
        <v>HCM</v>
      </c>
      <c r="AP38" s="230" t="str">
        <f>Input!X38</f>
        <v>TỔNG CÔNG TY MẠNG LƯỚI VIETTEL</v>
      </c>
      <c r="AQ38" s="230">
        <f>Input!AN38</f>
        <v>0</v>
      </c>
      <c r="AR38" s="230">
        <f>Input!BD38</f>
        <v>0</v>
      </c>
      <c r="AS38" s="230" t="str">
        <f>Input!BT38</f>
      </c>
      <c r="AT38" s="230" t="str">
        <f>Input!CH38</f>
      </c>
      <c r="AU38" s="230" t="str">
        <f>Input!CV38</f>
      </c>
      <c r="AV38" s="230" t="str">
        <f>IF(I38&gt;=1,INDEX(OperatorIDList,MATCH(AP38,OperatorNameList,0)),"")</f>
        <v>VIETTEL-2016</v>
      </c>
      <c r="AW38" s="230" t="str">
        <f>IF(I38&gt;=2,INDEX(OperatorIDList,MATCH(AQ38,OperatorNameList,0)),"")</f>
      </c>
      <c r="AX38" s="230" t="str">
        <f>IF(I38&gt;=3,INDEX(OperatorIDList,MATCH(AR38,OperatorNameList,0)),"")</f>
      </c>
      <c r="AY38" s="230" t="str">
        <f>IF(I38&gt;=4,INDEX(OperatorIDList,MATCH(AS38,OperatorNameList,0)),"")</f>
      </c>
      <c r="AZ38" s="230" t="str">
        <f>IF(I38&gt;=5,INDEX(OperatorIDList,MATCH(AT38,OperatorNameList,0)),"")</f>
      </c>
      <c r="BA38" s="230" t="str">
        <f>IF(I38&gt;=6,INDEX(OperatorIDList,MATCH(AU38,OperatorNameList,0)),"")</f>
      </c>
      <c r="BB38" s="230" t="str">
        <f t="shared" si="150"/>
        <v>VIETTEL-2016</v>
      </c>
      <c r="BC38" s="230" t="str">
        <f>Input!Y38</f>
        <v>HCM1679</v>
      </c>
      <c r="BD38" s="230">
        <f>Input!AO38</f>
        <v>0</v>
      </c>
      <c r="BE38" s="230">
        <f>Input!BE38</f>
        <v>0</v>
      </c>
      <c r="BF38" s="230" t="str">
        <f>Input!BU38</f>
      </c>
      <c r="BG38" s="230" t="str">
        <f>Input!CI38</f>
      </c>
      <c r="BH38" s="230" t="str">
        <f>Input!CW38</f>
      </c>
      <c r="BI38" s="230" t="str">
        <f>Input!Z38</f>
        <v>HUAWEI DBS3900</v>
      </c>
      <c r="BJ38" s="230">
        <f>Input!AP38</f>
        <v>0</v>
      </c>
      <c r="BK38" s="230">
        <f>Input!BF38</f>
        <v>0</v>
      </c>
      <c r="BL38" s="230" t="str">
        <f>Input!BV38</f>
      </c>
      <c r="BM38" s="230" t="str">
        <f>Input!CJ38</f>
      </c>
      <c r="BN38" s="230" t="str">
        <f>Input!CX38</f>
      </c>
      <c r="BO38" s="553">
        <f>IF(ISNUMBER(Input!AA38),Input!AA38,0)</f>
        <v>3</v>
      </c>
      <c r="BP38" s="553">
        <f>IF(ISNUMBER(Input!AQ38),Input!AQ38,0)</f>
        <v>0</v>
      </c>
      <c r="BQ38" s="553">
        <f>IF(ISNUMBER(Input!BG38),Input!BG38,0)</f>
        <v>0</v>
      </c>
      <c r="BR38" s="553">
        <f>IF(ISNUMBER(Input!BW38),Input!BW38,0)</f>
        <v>0</v>
      </c>
      <c r="BS38" s="553">
        <f>IF(ISNUMBER(Input!CK38),Input!CK38,0)</f>
        <v>0</v>
      </c>
      <c r="BT38" s="554">
        <f>IF(ISNUMBER(Input!CY38),Input!CY38,0)</f>
        <v>0</v>
      </c>
      <c r="BU38" s="230" t="str">
        <f>Input!AF38</f>
        <v>2/2/2</v>
      </c>
      <c r="BV38" s="230" t="str">
        <f>Input!AV38</f>
      </c>
      <c r="BW38" s="230" t="str">
        <f>Input!BL38</f>
      </c>
      <c r="BX38" s="230" t="str">
        <f>Input!CA38</f>
      </c>
      <c r="BY38" s="230" t="str">
        <f>Input!CO38</f>
      </c>
      <c r="BZ38" s="230" t="str">
        <f>Input!DC38</f>
      </c>
      <c r="CA38" s="230">
        <f t="shared" si="151"/>
        <v>2</v>
      </c>
      <c r="CB38" s="230">
        <f t="shared" si="152"/>
        <v>2</v>
      </c>
      <c r="CC38" s="230">
        <f t="shared" si="153"/>
        <v>2</v>
      </c>
      <c r="CD38" s="230">
        <f t="shared" si="154"/>
        <v>0</v>
      </c>
      <c r="CE38" s="230">
        <f t="shared" si="155"/>
        <v>0</v>
      </c>
      <c r="CF38" s="230">
        <f t="shared" si="156"/>
        <v>0</v>
      </c>
      <c r="CG38" s="230">
        <f t="shared" si="157"/>
        <v>0</v>
      </c>
      <c r="CH38" s="230">
        <f t="shared" si="158"/>
        <v>0</v>
      </c>
      <c r="CI38" s="230">
        <f t="shared" si="159"/>
        <v>0</v>
      </c>
      <c r="CJ38" s="230">
        <f t="shared" si="160"/>
        <v>0</v>
      </c>
      <c r="CK38" s="230">
        <f t="shared" si="161"/>
        <v>0</v>
      </c>
      <c r="CL38" s="230">
        <f t="shared" si="162"/>
        <v>0</v>
      </c>
      <c r="CM38" s="230">
        <f t="shared" si="163"/>
        <v>0</v>
      </c>
      <c r="CN38" s="230">
        <f t="shared" si="164"/>
        <v>0</v>
      </c>
      <c r="CO38" s="230">
        <f t="shared" si="165"/>
        <v>0</v>
      </c>
      <c r="CP38" s="230">
        <f t="shared" si="166"/>
        <v>0</v>
      </c>
      <c r="CQ38" s="230">
        <f t="shared" si="167"/>
        <v>0</v>
      </c>
      <c r="CR38" s="230">
        <f t="shared" si="168"/>
        <v>0</v>
      </c>
      <c r="CS38" s="230">
        <f t="shared" si="169"/>
        <v>0</v>
      </c>
      <c r="CT38" s="230">
        <f t="shared" si="170"/>
        <v>0</v>
      </c>
      <c r="CU38" s="230">
        <f t="shared" si="171"/>
        <v>0</v>
      </c>
      <c r="CV38" s="230">
        <f t="shared" si="172"/>
        <v>0</v>
      </c>
      <c r="CW38" s="230">
        <f t="shared" si="173"/>
        <v>0</v>
      </c>
      <c r="CX38" s="230">
        <f t="shared" si="174"/>
        <v>0</v>
      </c>
      <c r="CY38" s="230">
        <f t="shared" si="175"/>
        <v>0</v>
      </c>
      <c r="CZ38" s="230">
        <f t="shared" si="176"/>
        <v>0</v>
      </c>
      <c r="DA38" s="230">
        <f t="shared" si="177"/>
        <v>0</v>
      </c>
      <c r="DB38" s="230">
        <f t="shared" si="178"/>
        <v>0</v>
      </c>
      <c r="DC38" s="230">
        <f t="shared" si="179"/>
        <v>0</v>
      </c>
      <c r="DD38" s="230">
        <f t="shared" si="180"/>
        <v>0</v>
      </c>
      <c r="DE38" s="230">
        <f t="shared" si="181"/>
        <v>0</v>
      </c>
      <c r="DF38" s="230">
        <f t="shared" si="182"/>
        <v>0</v>
      </c>
      <c r="DG38" s="230">
        <f t="shared" si="183"/>
        <v>0</v>
      </c>
      <c r="DH38" s="230">
        <f t="shared" si="184"/>
        <v>0</v>
      </c>
      <c r="DI38" s="230">
        <f t="shared" si="185"/>
        <v>0</v>
      </c>
      <c r="DJ38" s="230">
        <f t="shared" si="186"/>
        <v>0</v>
      </c>
      <c r="DK38" s="230" t="str">
        <f>Input!AK38</f>
        <v>40,00W/40,00W/40,00W</v>
      </c>
      <c r="DL38" s="230" t="str">
        <f>Input!BA38</f>
      </c>
      <c r="DM38" s="230" t="str">
        <f>Input!BQ38</f>
      </c>
      <c r="DN38" s="230" t="str">
        <f>Input!CE38</f>
      </c>
      <c r="DO38" s="230" t="str">
        <f>Input!CS38</f>
      </c>
      <c r="DP38" s="230" t="str">
        <f>Input!DG38</f>
      </c>
      <c r="DQ38" s="230" t="str">
        <f t="shared" si="187"/>
        <v>40W/ 40W/ 40W</v>
      </c>
      <c r="DR38" s="230" t="str">
        <f t="shared" si="188"/>
      </c>
      <c r="DS38" s="230" t="str">
        <f t="shared" si="189"/>
      </c>
      <c r="DT38" s="230" t="str">
        <f t="shared" si="190"/>
      </c>
      <c r="DU38" s="230" t="str">
        <f t="shared" si="191"/>
      </c>
      <c r="DV38" s="230" t="str">
        <f t="shared" si="192"/>
      </c>
      <c r="DW38" s="230">
        <f t="shared" si="193"/>
        <v>40</v>
      </c>
      <c r="DX38" s="230">
        <f t="shared" si="194"/>
        <v>40</v>
      </c>
      <c r="DY38" s="230">
        <f t="shared" si="195"/>
        <v>40</v>
      </c>
      <c r="DZ38" s="230">
        <f t="shared" si="196"/>
        <v>0</v>
      </c>
      <c r="EA38" s="230">
        <f t="shared" si="197"/>
        <v>0</v>
      </c>
      <c r="EB38" s="230">
        <f t="shared" si="198"/>
        <v>0</v>
      </c>
      <c r="EC38" s="230">
        <f t="shared" si="199"/>
        <v>40</v>
      </c>
      <c r="ED38" s="230">
        <f t="shared" si="200"/>
        <v>0</v>
      </c>
      <c r="EE38" s="230">
        <f t="shared" si="201"/>
        <v>0</v>
      </c>
      <c r="EF38" s="230">
        <f t="shared" si="202"/>
        <v>0</v>
      </c>
      <c r="EG38" s="230">
        <f t="shared" si="203"/>
        <v>0</v>
      </c>
      <c r="EH38" s="230">
        <f t="shared" si="204"/>
        <v>0</v>
      </c>
      <c r="EI38" s="230">
        <f t="shared" si="205"/>
        <v>0</v>
      </c>
      <c r="EJ38" s="230">
        <f t="shared" si="206"/>
        <v>0</v>
      </c>
      <c r="EK38" s="230">
        <f t="shared" si="207"/>
        <v>0</v>
      </c>
      <c r="EL38" s="230">
        <f t="shared" si="208"/>
        <v>0</v>
      </c>
      <c r="EM38" s="230">
        <f t="shared" si="209"/>
        <v>0</v>
      </c>
      <c r="EN38" s="230">
        <f t="shared" si="210"/>
        <v>0</v>
      </c>
      <c r="EO38" s="230">
        <f t="shared" si="211"/>
        <v>0</v>
      </c>
      <c r="EP38" s="230">
        <f t="shared" si="212"/>
        <v>0</v>
      </c>
      <c r="EQ38" s="230">
        <f t="shared" si="213"/>
        <v>0</v>
      </c>
      <c r="ER38" s="230">
        <f t="shared" si="214"/>
        <v>0</v>
      </c>
      <c r="ES38" s="230">
        <f t="shared" si="215"/>
        <v>0</v>
      </c>
      <c r="ET38" s="230">
        <f t="shared" si="216"/>
        <v>0</v>
      </c>
      <c r="EU38" s="230">
        <f t="shared" si="217"/>
        <v>0</v>
      </c>
      <c r="EV38" s="230">
        <f t="shared" si="218"/>
        <v>0</v>
      </c>
      <c r="EW38" s="230">
        <f t="shared" si="219"/>
        <v>0</v>
      </c>
      <c r="EX38" s="230">
        <f t="shared" si="220"/>
        <v>0</v>
      </c>
      <c r="EY38" s="230">
        <f t="shared" si="221"/>
        <v>0</v>
      </c>
      <c r="EZ38" s="230">
        <f t="shared" si="222"/>
        <v>0</v>
      </c>
      <c r="FA38" s="230">
        <f t="shared" si="223"/>
        <v>0</v>
      </c>
      <c r="FB38" s="230">
        <f t="shared" si="224"/>
        <v>0</v>
      </c>
      <c r="FC38" s="230">
        <f t="shared" si="225"/>
        <v>0</v>
      </c>
      <c r="FD38" s="230">
        <f t="shared" si="226"/>
        <v>0</v>
      </c>
      <c r="FE38" s="230">
        <f t="shared" si="227"/>
        <v>0</v>
      </c>
      <c r="FF38" s="230">
        <f t="shared" si="228"/>
        <v>0</v>
      </c>
      <c r="FG38" s="230">
        <f t="shared" si="229"/>
        <v>0</v>
      </c>
      <c r="FH38" s="230">
        <f t="shared" si="230"/>
        <v>0</v>
      </c>
      <c r="FI38" s="230">
        <f t="shared" si="231"/>
        <v>0</v>
      </c>
      <c r="FJ38" s="230">
        <f t="shared" si="232"/>
        <v>0</v>
      </c>
      <c r="FK38" s="230">
        <f t="shared" si="233"/>
        <v>0</v>
      </c>
      <c r="FL38" s="230">
        <f t="shared" si="234"/>
        <v>0</v>
      </c>
      <c r="FM38" s="230">
        <f t="shared" si="235"/>
        <v>40</v>
      </c>
      <c r="FN38" s="230">
        <f>Input!AL38</f>
        <v>2100</v>
      </c>
      <c r="FO38" s="230">
        <f>Input!BB38</f>
        <v>0</v>
      </c>
      <c r="FP38" s="230">
        <f>Input!BR38</f>
        <v>0</v>
      </c>
      <c r="FQ38" s="230" t="str">
        <f>Input!CF38</f>
      </c>
      <c r="FR38" s="230" t="str">
        <f>Input!CT38</f>
      </c>
      <c r="FS38" s="230" t="str">
        <f>Input!DH38</f>
      </c>
      <c r="FT38" s="230" t="str">
        <f>Input!AM38</f>
        <v>27m/ 27m/ 27m</v>
      </c>
      <c r="FU38" s="230">
        <f>Input!BC38</f>
        <v>0</v>
      </c>
      <c r="FV38" s="230">
        <f>Input!BS38</f>
        <v>0</v>
      </c>
      <c r="FW38" s="230" t="str">
        <f>Input!CG38</f>
      </c>
      <c r="FX38" s="230" t="str">
        <f>Input!CU38</f>
      </c>
      <c r="FY38" s="230" t="str">
        <f>Input!DI38</f>
      </c>
      <c r="FZ38" s="230" t="str">
        <f t="shared" si="236"/>
        <v>27m/ 27m/ 27m</v>
      </c>
      <c r="GA38" s="230" t="str">
        <f t="shared" si="237"/>
      </c>
      <c r="GB38" s="230" t="str">
        <f t="shared" si="238"/>
      </c>
      <c r="GC38" s="230" t="str">
        <f t="shared" si="239"/>
      </c>
      <c r="GD38" s="230" t="str">
        <f t="shared" si="240"/>
      </c>
      <c r="GE38" s="230" t="str">
        <f t="shared" si="241"/>
      </c>
      <c r="GF38" s="230">
        <f t="shared" si="242"/>
        <v>27</v>
      </c>
      <c r="GG38" s="230">
        <f t="shared" si="243"/>
        <v>27</v>
      </c>
      <c r="GH38" s="230">
        <f t="shared" si="244"/>
        <v>27</v>
      </c>
      <c r="GI38" s="230">
        <f t="shared" si="245"/>
        <v>0</v>
      </c>
      <c r="GJ38" s="230">
        <f t="shared" si="246"/>
        <v>0</v>
      </c>
      <c r="GK38" s="230">
        <f t="shared" si="247"/>
        <v>0</v>
      </c>
      <c r="GL38" s="230">
        <f t="shared" si="248"/>
        <v>0</v>
      </c>
      <c r="GM38" s="230">
        <f t="shared" si="249"/>
        <v>0</v>
      </c>
      <c r="GN38" s="230">
        <f t="shared" si="250"/>
        <v>0</v>
      </c>
      <c r="GO38" s="230">
        <f t="shared" si="251"/>
        <v>0</v>
      </c>
      <c r="GP38" s="230">
        <f t="shared" si="252"/>
        <v>0</v>
      </c>
      <c r="GQ38" s="230">
        <f t="shared" si="253"/>
        <v>0</v>
      </c>
      <c r="GR38" s="230">
        <f t="shared" si="254"/>
        <v>0</v>
      </c>
      <c r="GS38" s="230">
        <f t="shared" si="255"/>
        <v>0</v>
      </c>
      <c r="GT38" s="230">
        <f t="shared" si="256"/>
        <v>0</v>
      </c>
      <c r="GU38" s="230">
        <f t="shared" si="257"/>
        <v>0</v>
      </c>
      <c r="GV38" s="230">
        <f t="shared" si="258"/>
        <v>0</v>
      </c>
      <c r="GW38" s="230">
        <f t="shared" si="259"/>
        <v>0</v>
      </c>
      <c r="GX38" s="230">
        <f t="shared" si="260"/>
        <v>0</v>
      </c>
      <c r="GY38" s="230">
        <f t="shared" si="261"/>
        <v>0</v>
      </c>
      <c r="GZ38" s="230">
        <f t="shared" si="262"/>
        <v>0</v>
      </c>
      <c r="HA38" s="230">
        <f t="shared" si="263"/>
        <v>0</v>
      </c>
      <c r="HB38" s="230">
        <f t="shared" si="264"/>
        <v>0</v>
      </c>
      <c r="HC38" s="230">
        <f t="shared" si="265"/>
        <v>0</v>
      </c>
      <c r="HD38" s="230">
        <f t="shared" si="266"/>
        <v>0</v>
      </c>
      <c r="HE38" s="230">
        <f t="shared" si="267"/>
        <v>0</v>
      </c>
      <c r="HF38" s="230">
        <f t="shared" si="268"/>
        <v>0</v>
      </c>
      <c r="HG38" s="230">
        <f t="shared" si="269"/>
        <v>0</v>
      </c>
      <c r="HH38" s="230">
        <f t="shared" si="270"/>
        <v>0</v>
      </c>
      <c r="HI38" s="230">
        <f t="shared" si="271"/>
        <v>0</v>
      </c>
      <c r="HJ38" s="230">
        <f t="shared" si="272"/>
        <v>0</v>
      </c>
      <c r="HK38" s="230">
        <f t="shared" si="273"/>
        <v>0</v>
      </c>
      <c r="HL38" s="230">
        <f t="shared" si="274"/>
        <v>0</v>
      </c>
      <c r="HM38" s="230">
        <f t="shared" si="275"/>
        <v>0</v>
      </c>
      <c r="HN38" s="230">
        <f t="shared" si="276"/>
        <v>0</v>
      </c>
      <c r="HO38" s="230">
        <f t="shared" si="277"/>
        <v>0</v>
      </c>
      <c r="HP38" s="230" t="str">
        <f>INDEX(LabNameList,MATCH(LabId,LabIDList,0))</f>
        <v>Trung tâm Kiểm định và Chứng nhận 2</v>
      </c>
      <c r="HQ38" s="230">
        <f t="shared" si="278"/>
        <v>27</v>
      </c>
      <c r="HR38" s="230">
        <f t="shared" si="279"/>
        <v>0</v>
      </c>
      <c r="HS38" s="230">
        <f t="shared" si="280"/>
        <v>0</v>
      </c>
      <c r="HT38" s="230">
        <f t="shared" si="281"/>
        <v>0</v>
      </c>
      <c r="HU38" s="230">
        <f t="shared" si="282"/>
        <v>0</v>
      </c>
      <c r="HV38" s="230">
        <f t="shared" si="283"/>
        <v>0</v>
      </c>
      <c r="HW38" s="797">
        <f t="shared" si="284"/>
        <v>27</v>
      </c>
      <c r="HX38" s="797">
        <f>Input!EB38</f>
        <v>0</v>
      </c>
      <c r="HY38" s="230">
        <v>68</v>
      </c>
      <c r="HZ38" s="230"/>
      <c r="IA38" s="230"/>
      <c r="IB38" s="230"/>
      <c r="IC38" s="232" t="str">
        <f t="shared" si="285"/>
        <v>B01989230916TG05</v>
      </c>
      <c r="ID38" s="233" t="str">
        <f>Input!O38</f>
        <v>01989</v>
      </c>
      <c r="IE38" s="467" t="str">
        <f t="shared" si="286"/>
        <v>230916</v>
      </c>
      <c r="IF38" s="232" t="s">
        <v>364</v>
      </c>
      <c r="IG38" s="467" t="str">
        <f t="shared" si="287"/>
        <v>23/09/2016</v>
      </c>
      <c r="IH38" s="467" t="str">
        <f t="shared" si="288"/>
        <v>23/09/2021</v>
      </c>
      <c r="II38" s="546" t="str">
        <f> Input!R38</f>
        <v>23/09/2016</v>
      </c>
      <c r="IJ38" s="467">
        <f t="shared" si="289"/>
        <v>44462</v>
      </c>
      <c r="IK38" s="468">
        <f t="shared" si="290"/>
        <v>3</v>
      </c>
      <c r="IL38" s="469" t="str">
        <f t="shared" si="291"/>
        <v>3-1</v>
      </c>
      <c r="IM38" s="469" t="str">
        <f t="shared" si="292"/>
        <v>KHAC</v>
      </c>
      <c r="IN38" s="469" t="str">
        <f t="shared" si="293"/>
        <v>KHAC</v>
      </c>
      <c r="IO38" s="469" t="str">
        <f t="shared" si="294"/>
      </c>
      <c r="IP38" s="469" t="str">
        <f t="shared" si="295"/>
      </c>
      <c r="IQ38" s="469" t="str">
        <f t="shared" si="296"/>
      </c>
      <c r="IR38" s="469">
        <f t="shared" si="297"/>
        <v>1</v>
      </c>
      <c r="IS38" s="469">
        <f t="shared" si="298"/>
        <v>2</v>
      </c>
      <c r="IT38" s="469" t="str">
        <f t="shared" si="299"/>
        <v>Yes</v>
      </c>
      <c r="IU38" s="469" t="str">
        <f t="shared" si="300"/>
        <v>Yes</v>
      </c>
    </row>
    <row r="39" ht="63.75">
      <c r="A39" s="601">
        <f>Input!A39</f>
        <v>38</v>
      </c>
      <c r="B39" s="229" t="str">
        <f>INDEX(ApplicantIDList,MATCH(AI39,ApplicantNameList,0))</f>
        <v>VIETTEL-2016</v>
      </c>
      <c r="C39" s="229" t="str">
        <f>INDEX(OperatorIDList,MATCH(AJ39,OperatorNameList,0))</f>
        <v>VIETTEL-2016</v>
      </c>
      <c r="D39" s="797" t="str">
        <f>Input!Y39</f>
        <v>HCM1688</v>
      </c>
      <c r="E39" s="229" t="str">
        <f>Input!G39</f>
        <v>Số 65, đường số 49, phường Bình Thuận, quận 7, thành phố Hồ Chí Minh.</v>
      </c>
      <c r="F39" s="229" t="str">
        <f>TRIM(SUBSTITUTE(SUBSTITUTE(Input!H39,"Thành phố ",""),"Tỉnh ",""))</f>
        <v>Hồ Chí Minh</v>
      </c>
      <c r="G39" s="797" t="str">
        <f>Input!I39</f>
        <v>106,71614</v>
      </c>
      <c r="H39" s="797" t="str">
        <f>Input!J39</f>
        <v>10,741459</v>
      </c>
      <c r="I39" s="229">
        <f>Input!V39</f>
        <v>1</v>
      </c>
      <c r="J39" s="229" t="str">
        <f>Input!K39</f>
        <v>1502410/16/TG/TT2</v>
      </c>
      <c r="K39" s="231" t="str">
        <f>TEXT(Input!L39,"dd/mm/yyyy")</f>
        <v>23/09/2016</v>
      </c>
      <c r="L39" s="231" t="str">
        <f>TEXT(Input!M39,"dd/mm/yyyy")</f>
        <v>17/09/2016</v>
      </c>
      <c r="M39" s="229" t="str">
        <f t="shared" si="135"/>
        <v>TỔNG CÔNG TY MẠNG LƯỚI VIETTEL</v>
      </c>
      <c r="N39" s="229" t="str">
        <f t="shared" si="136"/>
        <v>HCM1688</v>
      </c>
      <c r="O39" s="229" t="str">
        <f t="shared" si="137"/>
        <v>HUAWEI DBS3900</v>
      </c>
      <c r="P39" s="229" t="str">
        <f t="shared" si="138"/>
        <v>3</v>
      </c>
      <c r="Q39" s="229" t="str">
        <f t="shared" si="139"/>
        <v>1/1/1</v>
      </c>
      <c r="R39" s="229" t="str">
        <f t="shared" si="140"/>
        <v>20W/ 20W/ 20W</v>
      </c>
      <c r="S39" s="229" t="str">
        <f t="shared" si="141"/>
        <v>2100</v>
      </c>
      <c r="T39" s="229" t="str">
        <f t="shared" si="142"/>
        <v>27m/ 27m/ 27m</v>
      </c>
      <c r="U39" s="229">
        <v>1</v>
      </c>
      <c r="V39" s="229"/>
      <c r="W39" s="229" t="b">
        <f t="shared" si="143"/>
        <v>0</v>
      </c>
      <c r="X39" s="229" t="b">
        <f>INDEX(TrueFalseList,_xlfn.IFNA(MATCH(Input!W39,CoKhongList,0),MATCH(Input!W39,YesNoList,0)))</f>
        <v>0</v>
      </c>
      <c r="Y39" s="797">
        <f>Input!FZ39</f>
        <v>0</v>
      </c>
      <c r="Z39" s="229" t="b">
        <v>1</v>
      </c>
      <c r="AA39" s="797">
        <f t="shared" si="144"/>
        <v>27</v>
      </c>
      <c r="AB39" s="229" t="b">
        <v>0</v>
      </c>
      <c r="AC39" s="229" t="b">
        <v>1</v>
      </c>
      <c r="AD39" s="229">
        <f>Input!DR39</f>
        <v>0</v>
      </c>
      <c r="AE39" s="229"/>
      <c r="AF39" s="229" t="str">
        <f>Options!$D$6</f>
        <v>VCC2</v>
      </c>
      <c r="AG39" s="229">
        <f t="shared" si="145"/>
        <v>0</v>
      </c>
      <c r="AH39" s="230"/>
      <c r="AI39" s="553" t="str">
        <f>Input!E39</f>
        <v>TỔNG CÔNG TY MẠNG LƯỚI VIETTEL</v>
      </c>
      <c r="AJ39" s="553" t="str">
        <f>Input!F39</f>
        <v>TỔNG CÔNG TY MẠNG LƯỚI VIETTEL</v>
      </c>
      <c r="AK39" s="229">
        <f t="shared" si="146"/>
        <v>4</v>
      </c>
      <c r="AL39" s="465" t="str">
        <f t="shared" si="147"/>
        <v>thành phố Hồ Chí Minh.</v>
      </c>
      <c r="AM39" s="465" t="str">
        <f t="shared" si="148"/>
        <v>quận 7</v>
      </c>
      <c r="AN39" s="465" t="str">
        <f t="shared" si="149"/>
        <v>phường Bình Thuận</v>
      </c>
      <c r="AO39" s="229" t="str">
        <f>INDEX(CityIDList,MATCH(F39,CityNameList,0))</f>
        <v>HCM</v>
      </c>
      <c r="AP39" s="230" t="str">
        <f>Input!X39</f>
        <v>TỔNG CÔNG TY MẠNG LƯỚI VIETTEL</v>
      </c>
      <c r="AQ39" s="230">
        <f>Input!AN39</f>
        <v>0</v>
      </c>
      <c r="AR39" s="230">
        <f>Input!BD39</f>
        <v>0</v>
      </c>
      <c r="AS39" s="230" t="str">
        <f>Input!BT39</f>
      </c>
      <c r="AT39" s="230" t="str">
        <f>Input!CH39</f>
      </c>
      <c r="AU39" s="230" t="str">
        <f>Input!CV39</f>
      </c>
      <c r="AV39" s="230" t="str">
        <f>IF(I39&gt;=1,INDEX(OperatorIDList,MATCH(AP39,OperatorNameList,0)),"")</f>
        <v>VIETTEL-2016</v>
      </c>
      <c r="AW39" s="230" t="str">
        <f>IF(I39&gt;=2,INDEX(OperatorIDList,MATCH(AQ39,OperatorNameList,0)),"")</f>
      </c>
      <c r="AX39" s="230" t="str">
        <f>IF(I39&gt;=3,INDEX(OperatorIDList,MATCH(AR39,OperatorNameList,0)),"")</f>
      </c>
      <c r="AY39" s="230" t="str">
        <f>IF(I39&gt;=4,INDEX(OperatorIDList,MATCH(AS39,OperatorNameList,0)),"")</f>
      </c>
      <c r="AZ39" s="230" t="str">
        <f>IF(I39&gt;=5,INDEX(OperatorIDList,MATCH(AT39,OperatorNameList,0)),"")</f>
      </c>
      <c r="BA39" s="230" t="str">
        <f>IF(I39&gt;=6,INDEX(OperatorIDList,MATCH(AU39,OperatorNameList,0)),"")</f>
      </c>
      <c r="BB39" s="230" t="str">
        <f t="shared" si="150"/>
        <v>VIETTEL-2016</v>
      </c>
      <c r="BC39" s="230" t="str">
        <f>Input!Y39</f>
        <v>HCM1688</v>
      </c>
      <c r="BD39" s="230">
        <f>Input!AO39</f>
        <v>0</v>
      </c>
      <c r="BE39" s="230">
        <f>Input!BE39</f>
        <v>0</v>
      </c>
      <c r="BF39" s="230" t="str">
        <f>Input!BU39</f>
      </c>
      <c r="BG39" s="230" t="str">
        <f>Input!CI39</f>
      </c>
      <c r="BH39" s="230" t="str">
        <f>Input!CW39</f>
      </c>
      <c r="BI39" s="230" t="str">
        <f>Input!Z39</f>
        <v>HUAWEI DBS3900</v>
      </c>
      <c r="BJ39" s="230">
        <f>Input!AP39</f>
        <v>0</v>
      </c>
      <c r="BK39" s="230">
        <f>Input!BF39</f>
        <v>0</v>
      </c>
      <c r="BL39" s="230" t="str">
        <f>Input!BV39</f>
      </c>
      <c r="BM39" s="230" t="str">
        <f>Input!CJ39</f>
      </c>
      <c r="BN39" s="230" t="str">
        <f>Input!CX39</f>
      </c>
      <c r="BO39" s="553">
        <f>IF(ISNUMBER(Input!AA39),Input!AA39,0)</f>
        <v>3</v>
      </c>
      <c r="BP39" s="553">
        <f>IF(ISNUMBER(Input!AQ39),Input!AQ39,0)</f>
        <v>0</v>
      </c>
      <c r="BQ39" s="553">
        <f>IF(ISNUMBER(Input!BG39),Input!BG39,0)</f>
        <v>0</v>
      </c>
      <c r="BR39" s="553">
        <f>IF(ISNUMBER(Input!BW39),Input!BW39,0)</f>
        <v>0</v>
      </c>
      <c r="BS39" s="553">
        <f>IF(ISNUMBER(Input!CK39),Input!CK39,0)</f>
        <v>0</v>
      </c>
      <c r="BT39" s="554">
        <f>IF(ISNUMBER(Input!CY39),Input!CY39,0)</f>
        <v>0</v>
      </c>
      <c r="BU39" s="230" t="str">
        <f>Input!AF39</f>
        <v>1/1/1</v>
      </c>
      <c r="BV39" s="230" t="str">
        <f>Input!AV39</f>
      </c>
      <c r="BW39" s="230" t="str">
        <f>Input!BL39</f>
      </c>
      <c r="BX39" s="230" t="str">
        <f>Input!CA39</f>
      </c>
      <c r="BY39" s="230" t="str">
        <f>Input!CO39</f>
      </c>
      <c r="BZ39" s="230" t="str">
        <f>Input!DC39</f>
      </c>
      <c r="CA39" s="230">
        <f t="shared" si="151"/>
        <v>1</v>
      </c>
      <c r="CB39" s="230">
        <f t="shared" si="152"/>
        <v>1</v>
      </c>
      <c r="CC39" s="230">
        <f t="shared" si="153"/>
        <v>1</v>
      </c>
      <c r="CD39" s="230">
        <f t="shared" si="154"/>
        <v>0</v>
      </c>
      <c r="CE39" s="230">
        <f t="shared" si="155"/>
        <v>0</v>
      </c>
      <c r="CF39" s="230">
        <f t="shared" si="156"/>
        <v>0</v>
      </c>
      <c r="CG39" s="230">
        <f t="shared" si="157"/>
        <v>0</v>
      </c>
      <c r="CH39" s="230">
        <f t="shared" si="158"/>
        <v>0</v>
      </c>
      <c r="CI39" s="230">
        <f t="shared" si="159"/>
        <v>0</v>
      </c>
      <c r="CJ39" s="230">
        <f t="shared" si="160"/>
        <v>0</v>
      </c>
      <c r="CK39" s="230">
        <f t="shared" si="161"/>
        <v>0</v>
      </c>
      <c r="CL39" s="230">
        <f t="shared" si="162"/>
        <v>0</v>
      </c>
      <c r="CM39" s="230">
        <f t="shared" si="163"/>
        <v>0</v>
      </c>
      <c r="CN39" s="230">
        <f t="shared" si="164"/>
        <v>0</v>
      </c>
      <c r="CO39" s="230">
        <f t="shared" si="165"/>
        <v>0</v>
      </c>
      <c r="CP39" s="230">
        <f t="shared" si="166"/>
        <v>0</v>
      </c>
      <c r="CQ39" s="230">
        <f t="shared" si="167"/>
        <v>0</v>
      </c>
      <c r="CR39" s="230">
        <f t="shared" si="168"/>
        <v>0</v>
      </c>
      <c r="CS39" s="230">
        <f t="shared" si="169"/>
        <v>0</v>
      </c>
      <c r="CT39" s="230">
        <f t="shared" si="170"/>
        <v>0</v>
      </c>
      <c r="CU39" s="230">
        <f t="shared" si="171"/>
        <v>0</v>
      </c>
      <c r="CV39" s="230">
        <f t="shared" si="172"/>
        <v>0</v>
      </c>
      <c r="CW39" s="230">
        <f t="shared" si="173"/>
        <v>0</v>
      </c>
      <c r="CX39" s="230">
        <f t="shared" si="174"/>
        <v>0</v>
      </c>
      <c r="CY39" s="230">
        <f t="shared" si="175"/>
        <v>0</v>
      </c>
      <c r="CZ39" s="230">
        <f t="shared" si="176"/>
        <v>0</v>
      </c>
      <c r="DA39" s="230">
        <f t="shared" si="177"/>
        <v>0</v>
      </c>
      <c r="DB39" s="230">
        <f t="shared" si="178"/>
        <v>0</v>
      </c>
      <c r="DC39" s="230">
        <f t="shared" si="179"/>
        <v>0</v>
      </c>
      <c r="DD39" s="230">
        <f t="shared" si="180"/>
        <v>0</v>
      </c>
      <c r="DE39" s="230">
        <f t="shared" si="181"/>
        <v>0</v>
      </c>
      <c r="DF39" s="230">
        <f t="shared" si="182"/>
        <v>0</v>
      </c>
      <c r="DG39" s="230">
        <f t="shared" si="183"/>
        <v>0</v>
      </c>
      <c r="DH39" s="230">
        <f t="shared" si="184"/>
        <v>0</v>
      </c>
      <c r="DI39" s="230">
        <f t="shared" si="185"/>
        <v>0</v>
      </c>
      <c r="DJ39" s="230">
        <f t="shared" si="186"/>
        <v>0</v>
      </c>
      <c r="DK39" s="230" t="str">
        <f>Input!AK39</f>
        <v>20,00W/20,00W/20,00W</v>
      </c>
      <c r="DL39" s="230" t="str">
        <f>Input!BA39</f>
      </c>
      <c r="DM39" s="230" t="str">
        <f>Input!BQ39</f>
      </c>
      <c r="DN39" s="230" t="str">
        <f>Input!CE39</f>
      </c>
      <c r="DO39" s="230" t="str">
        <f>Input!CS39</f>
      </c>
      <c r="DP39" s="230" t="str">
        <f>Input!DG39</f>
      </c>
      <c r="DQ39" s="230" t="str">
        <f t="shared" si="187"/>
        <v>20W/ 20W/ 20W</v>
      </c>
      <c r="DR39" s="230" t="str">
        <f t="shared" si="188"/>
      </c>
      <c r="DS39" s="230" t="str">
        <f t="shared" si="189"/>
      </c>
      <c r="DT39" s="230" t="str">
        <f t="shared" si="190"/>
      </c>
      <c r="DU39" s="230" t="str">
        <f t="shared" si="191"/>
      </c>
      <c r="DV39" s="230" t="str">
        <f t="shared" si="192"/>
      </c>
      <c r="DW39" s="230">
        <f t="shared" si="193"/>
        <v>20</v>
      </c>
      <c r="DX39" s="230">
        <f t="shared" si="194"/>
        <v>20</v>
      </c>
      <c r="DY39" s="230">
        <f t="shared" si="195"/>
        <v>20</v>
      </c>
      <c r="DZ39" s="230">
        <f t="shared" si="196"/>
        <v>0</v>
      </c>
      <c r="EA39" s="230">
        <f t="shared" si="197"/>
        <v>0</v>
      </c>
      <c r="EB39" s="230">
        <f t="shared" si="198"/>
        <v>0</v>
      </c>
      <c r="EC39" s="230">
        <f t="shared" si="199"/>
        <v>20</v>
      </c>
      <c r="ED39" s="230">
        <f t="shared" si="200"/>
        <v>0</v>
      </c>
      <c r="EE39" s="230">
        <f t="shared" si="201"/>
        <v>0</v>
      </c>
      <c r="EF39" s="230">
        <f t="shared" si="202"/>
        <v>0</v>
      </c>
      <c r="EG39" s="230">
        <f t="shared" si="203"/>
        <v>0</v>
      </c>
      <c r="EH39" s="230">
        <f t="shared" si="204"/>
        <v>0</v>
      </c>
      <c r="EI39" s="230">
        <f t="shared" si="205"/>
        <v>0</v>
      </c>
      <c r="EJ39" s="230">
        <f t="shared" si="206"/>
        <v>0</v>
      </c>
      <c r="EK39" s="230">
        <f t="shared" si="207"/>
        <v>0</v>
      </c>
      <c r="EL39" s="230">
        <f t="shared" si="208"/>
        <v>0</v>
      </c>
      <c r="EM39" s="230">
        <f t="shared" si="209"/>
        <v>0</v>
      </c>
      <c r="EN39" s="230">
        <f t="shared" si="210"/>
        <v>0</v>
      </c>
      <c r="EO39" s="230">
        <f t="shared" si="211"/>
        <v>0</v>
      </c>
      <c r="EP39" s="230">
        <f t="shared" si="212"/>
        <v>0</v>
      </c>
      <c r="EQ39" s="230">
        <f t="shared" si="213"/>
        <v>0</v>
      </c>
      <c r="ER39" s="230">
        <f t="shared" si="214"/>
        <v>0</v>
      </c>
      <c r="ES39" s="230">
        <f t="shared" si="215"/>
        <v>0</v>
      </c>
      <c r="ET39" s="230">
        <f t="shared" si="216"/>
        <v>0</v>
      </c>
      <c r="EU39" s="230">
        <f t="shared" si="217"/>
        <v>0</v>
      </c>
      <c r="EV39" s="230">
        <f t="shared" si="218"/>
        <v>0</v>
      </c>
      <c r="EW39" s="230">
        <f t="shared" si="219"/>
        <v>0</v>
      </c>
      <c r="EX39" s="230">
        <f t="shared" si="220"/>
        <v>0</v>
      </c>
      <c r="EY39" s="230">
        <f t="shared" si="221"/>
        <v>0</v>
      </c>
      <c r="EZ39" s="230">
        <f t="shared" si="222"/>
        <v>0</v>
      </c>
      <c r="FA39" s="230">
        <f t="shared" si="223"/>
        <v>0</v>
      </c>
      <c r="FB39" s="230">
        <f t="shared" si="224"/>
        <v>0</v>
      </c>
      <c r="FC39" s="230">
        <f t="shared" si="225"/>
        <v>0</v>
      </c>
      <c r="FD39" s="230">
        <f t="shared" si="226"/>
        <v>0</v>
      </c>
      <c r="FE39" s="230">
        <f t="shared" si="227"/>
        <v>0</v>
      </c>
      <c r="FF39" s="230">
        <f t="shared" si="228"/>
        <v>0</v>
      </c>
      <c r="FG39" s="230">
        <f t="shared" si="229"/>
        <v>0</v>
      </c>
      <c r="FH39" s="230">
        <f t="shared" si="230"/>
        <v>0</v>
      </c>
      <c r="FI39" s="230">
        <f t="shared" si="231"/>
        <v>0</v>
      </c>
      <c r="FJ39" s="230">
        <f t="shared" si="232"/>
        <v>0</v>
      </c>
      <c r="FK39" s="230">
        <f t="shared" si="233"/>
        <v>0</v>
      </c>
      <c r="FL39" s="230">
        <f t="shared" si="234"/>
        <v>0</v>
      </c>
      <c r="FM39" s="230">
        <f t="shared" si="235"/>
        <v>20</v>
      </c>
      <c r="FN39" s="230">
        <f>Input!AL39</f>
        <v>2100</v>
      </c>
      <c r="FO39" s="230">
        <f>Input!BB39</f>
        <v>0</v>
      </c>
      <c r="FP39" s="230">
        <f>Input!BR39</f>
        <v>0</v>
      </c>
      <c r="FQ39" s="230" t="str">
        <f>Input!CF39</f>
      </c>
      <c r="FR39" s="230" t="str">
        <f>Input!CT39</f>
      </c>
      <c r="FS39" s="230" t="str">
        <f>Input!DH39</f>
      </c>
      <c r="FT39" s="230" t="str">
        <f>Input!AM39</f>
        <v>27m/ 27m/ 27m</v>
      </c>
      <c r="FU39" s="230">
        <f>Input!BC39</f>
        <v>0</v>
      </c>
      <c r="FV39" s="230">
        <f>Input!BS39</f>
        <v>0</v>
      </c>
      <c r="FW39" s="230" t="str">
        <f>Input!CG39</f>
      </c>
      <c r="FX39" s="230" t="str">
        <f>Input!CU39</f>
      </c>
      <c r="FY39" s="230" t="str">
        <f>Input!DI39</f>
      </c>
      <c r="FZ39" s="230" t="str">
        <f t="shared" si="236"/>
        <v>27m/ 27m/ 27m</v>
      </c>
      <c r="GA39" s="230" t="str">
        <f t="shared" si="237"/>
      </c>
      <c r="GB39" s="230" t="str">
        <f t="shared" si="238"/>
      </c>
      <c r="GC39" s="230" t="str">
        <f t="shared" si="239"/>
      </c>
      <c r="GD39" s="230" t="str">
        <f t="shared" si="240"/>
      </c>
      <c r="GE39" s="230" t="str">
        <f t="shared" si="241"/>
      </c>
      <c r="GF39" s="230">
        <f t="shared" si="242"/>
        <v>27</v>
      </c>
      <c r="GG39" s="230">
        <f t="shared" si="243"/>
        <v>27</v>
      </c>
      <c r="GH39" s="230">
        <f t="shared" si="244"/>
        <v>27</v>
      </c>
      <c r="GI39" s="230">
        <f t="shared" si="245"/>
        <v>0</v>
      </c>
      <c r="GJ39" s="230">
        <f t="shared" si="246"/>
        <v>0</v>
      </c>
      <c r="GK39" s="230">
        <f t="shared" si="247"/>
        <v>0</v>
      </c>
      <c r="GL39" s="230">
        <f t="shared" si="248"/>
        <v>0</v>
      </c>
      <c r="GM39" s="230">
        <f t="shared" si="249"/>
        <v>0</v>
      </c>
      <c r="GN39" s="230">
        <f t="shared" si="250"/>
        <v>0</v>
      </c>
      <c r="GO39" s="230">
        <f t="shared" si="251"/>
        <v>0</v>
      </c>
      <c r="GP39" s="230">
        <f t="shared" si="252"/>
        <v>0</v>
      </c>
      <c r="GQ39" s="230">
        <f t="shared" si="253"/>
        <v>0</v>
      </c>
      <c r="GR39" s="230">
        <f t="shared" si="254"/>
        <v>0</v>
      </c>
      <c r="GS39" s="230">
        <f t="shared" si="255"/>
        <v>0</v>
      </c>
      <c r="GT39" s="230">
        <f t="shared" si="256"/>
        <v>0</v>
      </c>
      <c r="GU39" s="230">
        <f t="shared" si="257"/>
        <v>0</v>
      </c>
      <c r="GV39" s="230">
        <f t="shared" si="258"/>
        <v>0</v>
      </c>
      <c r="GW39" s="230">
        <f t="shared" si="259"/>
        <v>0</v>
      </c>
      <c r="GX39" s="230">
        <f t="shared" si="260"/>
        <v>0</v>
      </c>
      <c r="GY39" s="230">
        <f t="shared" si="261"/>
        <v>0</v>
      </c>
      <c r="GZ39" s="230">
        <f t="shared" si="262"/>
        <v>0</v>
      </c>
      <c r="HA39" s="230">
        <f t="shared" si="263"/>
        <v>0</v>
      </c>
      <c r="HB39" s="230">
        <f t="shared" si="264"/>
        <v>0</v>
      </c>
      <c r="HC39" s="230">
        <f t="shared" si="265"/>
        <v>0</v>
      </c>
      <c r="HD39" s="230">
        <f t="shared" si="266"/>
        <v>0</v>
      </c>
      <c r="HE39" s="230">
        <f t="shared" si="267"/>
        <v>0</v>
      </c>
      <c r="HF39" s="230">
        <f t="shared" si="268"/>
        <v>0</v>
      </c>
      <c r="HG39" s="230">
        <f t="shared" si="269"/>
        <v>0</v>
      </c>
      <c r="HH39" s="230">
        <f t="shared" si="270"/>
        <v>0</v>
      </c>
      <c r="HI39" s="230">
        <f t="shared" si="271"/>
        <v>0</v>
      </c>
      <c r="HJ39" s="230">
        <f t="shared" si="272"/>
        <v>0</v>
      </c>
      <c r="HK39" s="230">
        <f t="shared" si="273"/>
        <v>0</v>
      </c>
      <c r="HL39" s="230">
        <f t="shared" si="274"/>
        <v>0</v>
      </c>
      <c r="HM39" s="230">
        <f t="shared" si="275"/>
        <v>0</v>
      </c>
      <c r="HN39" s="230">
        <f t="shared" si="276"/>
        <v>0</v>
      </c>
      <c r="HO39" s="230">
        <f t="shared" si="277"/>
        <v>0</v>
      </c>
      <c r="HP39" s="230" t="str">
        <f>INDEX(LabNameList,MATCH(LabId,LabIDList,0))</f>
        <v>Trung tâm Kiểm định và Chứng nhận 2</v>
      </c>
      <c r="HQ39" s="230">
        <f t="shared" si="278"/>
        <v>27</v>
      </c>
      <c r="HR39" s="230">
        <f t="shared" si="279"/>
        <v>0</v>
      </c>
      <c r="HS39" s="230">
        <f t="shared" si="280"/>
        <v>0</v>
      </c>
      <c r="HT39" s="230">
        <f t="shared" si="281"/>
        <v>0</v>
      </c>
      <c r="HU39" s="230">
        <f t="shared" si="282"/>
        <v>0</v>
      </c>
      <c r="HV39" s="230">
        <f t="shared" si="283"/>
        <v>0</v>
      </c>
      <c r="HW39" s="797">
        <f t="shared" si="284"/>
        <v>27</v>
      </c>
      <c r="HX39" s="797">
        <f>Input!EB39</f>
        <v>0</v>
      </c>
      <c r="HY39" s="230">
        <v>68</v>
      </c>
      <c r="HZ39" s="230"/>
      <c r="IA39" s="230"/>
      <c r="IB39" s="230"/>
      <c r="IC39" s="232" t="str">
        <f t="shared" si="285"/>
        <v>B01990230916TG05</v>
      </c>
      <c r="ID39" s="233" t="str">
        <f>Input!O39</f>
        <v>01990</v>
      </c>
      <c r="IE39" s="467" t="str">
        <f t="shared" si="286"/>
        <v>230916</v>
      </c>
      <c r="IF39" s="232" t="s">
        <v>364</v>
      </c>
      <c r="IG39" s="467" t="str">
        <f t="shared" si="287"/>
        <v>23/09/2016</v>
      </c>
      <c r="IH39" s="467" t="str">
        <f t="shared" si="288"/>
        <v>23/09/2021</v>
      </c>
      <c r="II39" s="546" t="str">
        <f> Input!R39</f>
        <v>23/09/2016</v>
      </c>
      <c r="IJ39" s="467">
        <f t="shared" si="289"/>
        <v>44462</v>
      </c>
      <c r="IK39" s="468">
        <f t="shared" si="290"/>
        <v>3</v>
      </c>
      <c r="IL39" s="469" t="str">
        <f t="shared" si="291"/>
        <v>3-1</v>
      </c>
      <c r="IM39" s="469" t="str">
        <f t="shared" si="292"/>
        <v>KHAC</v>
      </c>
      <c r="IN39" s="469" t="str">
        <f t="shared" si="293"/>
        <v>KHAC</v>
      </c>
      <c r="IO39" s="469" t="str">
        <f t="shared" si="294"/>
      </c>
      <c r="IP39" s="469" t="str">
        <f t="shared" si="295"/>
      </c>
      <c r="IQ39" s="469" t="str">
        <f t="shared" si="296"/>
      </c>
      <c r="IR39" s="469">
        <f t="shared" si="297"/>
        <v>1</v>
      </c>
      <c r="IS39" s="469">
        <f t="shared" si="298"/>
        <v>2</v>
      </c>
      <c r="IT39" s="469" t="str">
        <f t="shared" si="299"/>
        <v>Yes</v>
      </c>
      <c r="IU39" s="469" t="str">
        <f t="shared" si="300"/>
        <v>Yes</v>
      </c>
    </row>
    <row r="40" ht="63.75">
      <c r="A40" s="601">
        <f>Input!A40</f>
        <v>39</v>
      </c>
      <c r="B40" s="229" t="str">
        <f>INDEX(ApplicantIDList,MATCH(AI40,ApplicantNameList,0))</f>
        <v>VIETTEL-2016</v>
      </c>
      <c r="C40" s="229" t="str">
        <f>INDEX(OperatorIDList,MATCH(AJ40,OperatorNameList,0))</f>
        <v>VIETTEL-2016</v>
      </c>
      <c r="D40" s="797" t="str">
        <f>Input!Y40</f>
        <v>HCM2071</v>
      </c>
      <c r="E40" s="229" t="str">
        <f>Input!G40</f>
        <v>Số 6/5K, đường Tân Thuận Đông, phường Tân Thuận Đông, quận 7, thành phố Hồ Chí Minh.</v>
      </c>
      <c r="F40" s="229" t="str">
        <f>TRIM(SUBSTITUTE(SUBSTITUTE(Input!H40,"Thành phố ",""),"Tỉnh ",""))</f>
        <v>Hồ Chí Minh</v>
      </c>
      <c r="G40" s="797" t="str">
        <f>Input!I40</f>
        <v>106,730798</v>
      </c>
      <c r="H40" s="797" t="str">
        <f>Input!J40</f>
        <v>10,739055</v>
      </c>
      <c r="I40" s="229">
        <f>Input!V40</f>
        <v>1</v>
      </c>
      <c r="J40" s="229" t="str">
        <f>Input!K40</f>
        <v>1502411/16/TG/TT2</v>
      </c>
      <c r="K40" s="231" t="str">
        <f>TEXT(Input!L40,"dd/mm/yyyy")</f>
        <v>23/09/2016</v>
      </c>
      <c r="L40" s="231" t="str">
        <f>TEXT(Input!M40,"dd/mm/yyyy")</f>
        <v>18/09/2016</v>
      </c>
      <c r="M40" s="229" t="str">
        <f t="shared" si="135"/>
        <v>TỔNG CÔNG TY MẠNG LƯỚI VIETTEL</v>
      </c>
      <c r="N40" s="229" t="str">
        <f t="shared" si="136"/>
        <v>HCM2071</v>
      </c>
      <c r="O40" s="229" t="str">
        <f t="shared" si="137"/>
        <v>HUAWEI DBS3900</v>
      </c>
      <c r="P40" s="229" t="str">
        <f t="shared" si="138"/>
        <v>3</v>
      </c>
      <c r="Q40" s="229" t="str">
        <f t="shared" si="139"/>
        <v>2/2/2</v>
      </c>
      <c r="R40" s="229" t="str">
        <f t="shared" si="140"/>
        <v>40W/ 40W/ 40W</v>
      </c>
      <c r="S40" s="229" t="str">
        <f t="shared" si="141"/>
        <v>2100</v>
      </c>
      <c r="T40" s="229" t="str">
        <f t="shared" si="142"/>
        <v>27m/ 27m/ 27m</v>
      </c>
      <c r="U40" s="229">
        <v>1</v>
      </c>
      <c r="V40" s="229"/>
      <c r="W40" s="229" t="b">
        <f t="shared" si="143"/>
        <v>0</v>
      </c>
      <c r="X40" s="229" t="b">
        <f>INDEX(TrueFalseList,_xlfn.IFNA(MATCH(Input!W40,CoKhongList,0),MATCH(Input!W40,YesNoList,0)))</f>
        <v>0</v>
      </c>
      <c r="Y40" s="797">
        <f>Input!FZ40</f>
        <v>0</v>
      </c>
      <c r="Z40" s="229" t="b">
        <v>1</v>
      </c>
      <c r="AA40" s="797">
        <f t="shared" si="144"/>
        <v>27</v>
      </c>
      <c r="AB40" s="229" t="b">
        <v>0</v>
      </c>
      <c r="AC40" s="229" t="b">
        <v>1</v>
      </c>
      <c r="AD40" s="229">
        <f>Input!DR40</f>
        <v>0</v>
      </c>
      <c r="AE40" s="229"/>
      <c r="AF40" s="229" t="str">
        <f>Options!$D$6</f>
        <v>VCC2</v>
      </c>
      <c r="AG40" s="229">
        <f t="shared" si="145"/>
        <v>0</v>
      </c>
      <c r="AH40" s="230"/>
      <c r="AI40" s="553" t="str">
        <f>Input!E40</f>
        <v>TỔNG CÔNG TY MẠNG LƯỚI VIETTEL</v>
      </c>
      <c r="AJ40" s="553" t="str">
        <f>Input!F40</f>
        <v>TỔNG CÔNG TY MẠNG LƯỚI VIETTEL</v>
      </c>
      <c r="AK40" s="229">
        <f t="shared" si="146"/>
        <v>4</v>
      </c>
      <c r="AL40" s="465" t="str">
        <f t="shared" si="147"/>
        <v>thành phố Hồ Chí Minh.</v>
      </c>
      <c r="AM40" s="465" t="str">
        <f t="shared" si="148"/>
        <v>quận 7</v>
      </c>
      <c r="AN40" s="465" t="str">
        <f t="shared" si="149"/>
        <v>phường Tân Thuận Đông</v>
      </c>
      <c r="AO40" s="229" t="str">
        <f>INDEX(CityIDList,MATCH(F40,CityNameList,0))</f>
        <v>HCM</v>
      </c>
      <c r="AP40" s="230" t="str">
        <f>Input!X40</f>
        <v>TỔNG CÔNG TY MẠNG LƯỚI VIETTEL</v>
      </c>
      <c r="AQ40" s="230">
        <f>Input!AN40</f>
        <v>0</v>
      </c>
      <c r="AR40" s="230">
        <f>Input!BD40</f>
        <v>0</v>
      </c>
      <c r="AS40" s="230" t="str">
        <f>Input!BT40</f>
      </c>
      <c r="AT40" s="230" t="str">
        <f>Input!CH40</f>
      </c>
      <c r="AU40" s="230" t="str">
        <f>Input!CV40</f>
      </c>
      <c r="AV40" s="230" t="str">
        <f>IF(I40&gt;=1,INDEX(OperatorIDList,MATCH(AP40,OperatorNameList,0)),"")</f>
        <v>VIETTEL-2016</v>
      </c>
      <c r="AW40" s="230" t="str">
        <f>IF(I40&gt;=2,INDEX(OperatorIDList,MATCH(AQ40,OperatorNameList,0)),"")</f>
      </c>
      <c r="AX40" s="230" t="str">
        <f>IF(I40&gt;=3,INDEX(OperatorIDList,MATCH(AR40,OperatorNameList,0)),"")</f>
      </c>
      <c r="AY40" s="230" t="str">
        <f>IF(I40&gt;=4,INDEX(OperatorIDList,MATCH(AS40,OperatorNameList,0)),"")</f>
      </c>
      <c r="AZ40" s="230" t="str">
        <f>IF(I40&gt;=5,INDEX(OperatorIDList,MATCH(AT40,OperatorNameList,0)),"")</f>
      </c>
      <c r="BA40" s="230" t="str">
        <f>IF(I40&gt;=6,INDEX(OperatorIDList,MATCH(AU40,OperatorNameList,0)),"")</f>
      </c>
      <c r="BB40" s="230" t="str">
        <f t="shared" si="150"/>
        <v>VIETTEL-2016</v>
      </c>
      <c r="BC40" s="230" t="str">
        <f>Input!Y40</f>
        <v>HCM2071</v>
      </c>
      <c r="BD40" s="230">
        <f>Input!AO40</f>
        <v>0</v>
      </c>
      <c r="BE40" s="230">
        <f>Input!BE40</f>
        <v>0</v>
      </c>
      <c r="BF40" s="230" t="str">
        <f>Input!BU40</f>
      </c>
      <c r="BG40" s="230" t="str">
        <f>Input!CI40</f>
      </c>
      <c r="BH40" s="230" t="str">
        <f>Input!CW40</f>
      </c>
      <c r="BI40" s="230" t="str">
        <f>Input!Z40</f>
        <v>HUAWEI DBS3900</v>
      </c>
      <c r="BJ40" s="230">
        <f>Input!AP40</f>
        <v>0</v>
      </c>
      <c r="BK40" s="230">
        <f>Input!BF40</f>
        <v>0</v>
      </c>
      <c r="BL40" s="230" t="str">
        <f>Input!BV40</f>
      </c>
      <c r="BM40" s="230" t="str">
        <f>Input!CJ40</f>
      </c>
      <c r="BN40" s="230" t="str">
        <f>Input!CX40</f>
      </c>
      <c r="BO40" s="553">
        <f>IF(ISNUMBER(Input!AA40),Input!AA40,0)</f>
        <v>3</v>
      </c>
      <c r="BP40" s="553">
        <f>IF(ISNUMBER(Input!AQ40),Input!AQ40,0)</f>
        <v>0</v>
      </c>
      <c r="BQ40" s="553">
        <f>IF(ISNUMBER(Input!BG40),Input!BG40,0)</f>
        <v>0</v>
      </c>
      <c r="BR40" s="553">
        <f>IF(ISNUMBER(Input!BW40),Input!BW40,0)</f>
        <v>0</v>
      </c>
      <c r="BS40" s="553">
        <f>IF(ISNUMBER(Input!CK40),Input!CK40,0)</f>
        <v>0</v>
      </c>
      <c r="BT40" s="554">
        <f>IF(ISNUMBER(Input!CY40),Input!CY40,0)</f>
        <v>0</v>
      </c>
      <c r="BU40" s="230" t="str">
        <f>Input!AF40</f>
        <v>2/2/2</v>
      </c>
      <c r="BV40" s="230" t="str">
        <f>Input!AV40</f>
      </c>
      <c r="BW40" s="230" t="str">
        <f>Input!BL40</f>
      </c>
      <c r="BX40" s="230" t="str">
        <f>Input!CA40</f>
      </c>
      <c r="BY40" s="230" t="str">
        <f>Input!CO40</f>
      </c>
      <c r="BZ40" s="230" t="str">
        <f>Input!DC40</f>
      </c>
      <c r="CA40" s="230">
        <f t="shared" si="151"/>
        <v>2</v>
      </c>
      <c r="CB40" s="230">
        <f t="shared" si="152"/>
        <v>2</v>
      </c>
      <c r="CC40" s="230">
        <f t="shared" si="153"/>
        <v>2</v>
      </c>
      <c r="CD40" s="230">
        <f t="shared" si="154"/>
        <v>0</v>
      </c>
      <c r="CE40" s="230">
        <f t="shared" si="155"/>
        <v>0</v>
      </c>
      <c r="CF40" s="230">
        <f t="shared" si="156"/>
        <v>0</v>
      </c>
      <c r="CG40" s="230">
        <f t="shared" si="157"/>
        <v>0</v>
      </c>
      <c r="CH40" s="230">
        <f t="shared" si="158"/>
        <v>0</v>
      </c>
      <c r="CI40" s="230">
        <f t="shared" si="159"/>
        <v>0</v>
      </c>
      <c r="CJ40" s="230">
        <f t="shared" si="160"/>
        <v>0</v>
      </c>
      <c r="CK40" s="230">
        <f t="shared" si="161"/>
        <v>0</v>
      </c>
      <c r="CL40" s="230">
        <f t="shared" si="162"/>
        <v>0</v>
      </c>
      <c r="CM40" s="230">
        <f t="shared" si="163"/>
        <v>0</v>
      </c>
      <c r="CN40" s="230">
        <f t="shared" si="164"/>
        <v>0</v>
      </c>
      <c r="CO40" s="230">
        <f t="shared" si="165"/>
        <v>0</v>
      </c>
      <c r="CP40" s="230">
        <f t="shared" si="166"/>
        <v>0</v>
      </c>
      <c r="CQ40" s="230">
        <f t="shared" si="167"/>
        <v>0</v>
      </c>
      <c r="CR40" s="230">
        <f t="shared" si="168"/>
        <v>0</v>
      </c>
      <c r="CS40" s="230">
        <f t="shared" si="169"/>
        <v>0</v>
      </c>
      <c r="CT40" s="230">
        <f t="shared" si="170"/>
        <v>0</v>
      </c>
      <c r="CU40" s="230">
        <f t="shared" si="171"/>
        <v>0</v>
      </c>
      <c r="CV40" s="230">
        <f t="shared" si="172"/>
        <v>0</v>
      </c>
      <c r="CW40" s="230">
        <f t="shared" si="173"/>
        <v>0</v>
      </c>
      <c r="CX40" s="230">
        <f t="shared" si="174"/>
        <v>0</v>
      </c>
      <c r="CY40" s="230">
        <f t="shared" si="175"/>
        <v>0</v>
      </c>
      <c r="CZ40" s="230">
        <f t="shared" si="176"/>
        <v>0</v>
      </c>
      <c r="DA40" s="230">
        <f t="shared" si="177"/>
        <v>0</v>
      </c>
      <c r="DB40" s="230">
        <f t="shared" si="178"/>
        <v>0</v>
      </c>
      <c r="DC40" s="230">
        <f t="shared" si="179"/>
        <v>0</v>
      </c>
      <c r="DD40" s="230">
        <f t="shared" si="180"/>
        <v>0</v>
      </c>
      <c r="DE40" s="230">
        <f t="shared" si="181"/>
        <v>0</v>
      </c>
      <c r="DF40" s="230">
        <f t="shared" si="182"/>
        <v>0</v>
      </c>
      <c r="DG40" s="230">
        <f t="shared" si="183"/>
        <v>0</v>
      </c>
      <c r="DH40" s="230">
        <f t="shared" si="184"/>
        <v>0</v>
      </c>
      <c r="DI40" s="230">
        <f t="shared" si="185"/>
        <v>0</v>
      </c>
      <c r="DJ40" s="230">
        <f t="shared" si="186"/>
        <v>0</v>
      </c>
      <c r="DK40" s="230" t="str">
        <f>Input!AK40</f>
        <v>40,00W/40,00W/40,00W</v>
      </c>
      <c r="DL40" s="230" t="str">
        <f>Input!BA40</f>
      </c>
      <c r="DM40" s="230" t="str">
        <f>Input!BQ40</f>
      </c>
      <c r="DN40" s="230" t="str">
        <f>Input!CE40</f>
      </c>
      <c r="DO40" s="230" t="str">
        <f>Input!CS40</f>
      </c>
      <c r="DP40" s="230" t="str">
        <f>Input!DG40</f>
      </c>
      <c r="DQ40" s="230" t="str">
        <f t="shared" si="187"/>
        <v>40W/ 40W/ 40W</v>
      </c>
      <c r="DR40" s="230" t="str">
        <f t="shared" si="188"/>
      </c>
      <c r="DS40" s="230" t="str">
        <f t="shared" si="189"/>
      </c>
      <c r="DT40" s="230" t="str">
        <f t="shared" si="190"/>
      </c>
      <c r="DU40" s="230" t="str">
        <f t="shared" si="191"/>
      </c>
      <c r="DV40" s="230" t="str">
        <f t="shared" si="192"/>
      </c>
      <c r="DW40" s="230">
        <f t="shared" si="193"/>
        <v>40</v>
      </c>
      <c r="DX40" s="230">
        <f t="shared" si="194"/>
        <v>40</v>
      </c>
      <c r="DY40" s="230">
        <f t="shared" si="195"/>
        <v>40</v>
      </c>
      <c r="DZ40" s="230">
        <f t="shared" si="196"/>
        <v>0</v>
      </c>
      <c r="EA40" s="230">
        <f t="shared" si="197"/>
        <v>0</v>
      </c>
      <c r="EB40" s="230">
        <f t="shared" si="198"/>
        <v>0</v>
      </c>
      <c r="EC40" s="230">
        <f t="shared" si="199"/>
        <v>40</v>
      </c>
      <c r="ED40" s="230">
        <f t="shared" si="200"/>
        <v>0</v>
      </c>
      <c r="EE40" s="230">
        <f t="shared" si="201"/>
        <v>0</v>
      </c>
      <c r="EF40" s="230">
        <f t="shared" si="202"/>
        <v>0</v>
      </c>
      <c r="EG40" s="230">
        <f t="shared" si="203"/>
        <v>0</v>
      </c>
      <c r="EH40" s="230">
        <f t="shared" si="204"/>
        <v>0</v>
      </c>
      <c r="EI40" s="230">
        <f t="shared" si="205"/>
        <v>0</v>
      </c>
      <c r="EJ40" s="230">
        <f t="shared" si="206"/>
        <v>0</v>
      </c>
      <c r="EK40" s="230">
        <f t="shared" si="207"/>
        <v>0</v>
      </c>
      <c r="EL40" s="230">
        <f t="shared" si="208"/>
        <v>0</v>
      </c>
      <c r="EM40" s="230">
        <f t="shared" si="209"/>
        <v>0</v>
      </c>
      <c r="EN40" s="230">
        <f t="shared" si="210"/>
        <v>0</v>
      </c>
      <c r="EO40" s="230">
        <f t="shared" si="211"/>
        <v>0</v>
      </c>
      <c r="EP40" s="230">
        <f t="shared" si="212"/>
        <v>0</v>
      </c>
      <c r="EQ40" s="230">
        <f t="shared" si="213"/>
        <v>0</v>
      </c>
      <c r="ER40" s="230">
        <f t="shared" si="214"/>
        <v>0</v>
      </c>
      <c r="ES40" s="230">
        <f t="shared" si="215"/>
        <v>0</v>
      </c>
      <c r="ET40" s="230">
        <f t="shared" si="216"/>
        <v>0</v>
      </c>
      <c r="EU40" s="230">
        <f t="shared" si="217"/>
        <v>0</v>
      </c>
      <c r="EV40" s="230">
        <f t="shared" si="218"/>
        <v>0</v>
      </c>
      <c r="EW40" s="230">
        <f t="shared" si="219"/>
        <v>0</v>
      </c>
      <c r="EX40" s="230">
        <f t="shared" si="220"/>
        <v>0</v>
      </c>
      <c r="EY40" s="230">
        <f t="shared" si="221"/>
        <v>0</v>
      </c>
      <c r="EZ40" s="230">
        <f t="shared" si="222"/>
        <v>0</v>
      </c>
      <c r="FA40" s="230">
        <f t="shared" si="223"/>
        <v>0</v>
      </c>
      <c r="FB40" s="230">
        <f t="shared" si="224"/>
        <v>0</v>
      </c>
      <c r="FC40" s="230">
        <f t="shared" si="225"/>
        <v>0</v>
      </c>
      <c r="FD40" s="230">
        <f t="shared" si="226"/>
        <v>0</v>
      </c>
      <c r="FE40" s="230">
        <f t="shared" si="227"/>
        <v>0</v>
      </c>
      <c r="FF40" s="230">
        <f t="shared" si="228"/>
        <v>0</v>
      </c>
      <c r="FG40" s="230">
        <f t="shared" si="229"/>
        <v>0</v>
      </c>
      <c r="FH40" s="230">
        <f t="shared" si="230"/>
        <v>0</v>
      </c>
      <c r="FI40" s="230">
        <f t="shared" si="231"/>
        <v>0</v>
      </c>
      <c r="FJ40" s="230">
        <f t="shared" si="232"/>
        <v>0</v>
      </c>
      <c r="FK40" s="230">
        <f t="shared" si="233"/>
        <v>0</v>
      </c>
      <c r="FL40" s="230">
        <f t="shared" si="234"/>
        <v>0</v>
      </c>
      <c r="FM40" s="230">
        <f t="shared" si="235"/>
        <v>40</v>
      </c>
      <c r="FN40" s="230">
        <f>Input!AL40</f>
        <v>2100</v>
      </c>
      <c r="FO40" s="230">
        <f>Input!BB40</f>
        <v>0</v>
      </c>
      <c r="FP40" s="230">
        <f>Input!BR40</f>
        <v>0</v>
      </c>
      <c r="FQ40" s="230" t="str">
        <f>Input!CF40</f>
      </c>
      <c r="FR40" s="230" t="str">
        <f>Input!CT40</f>
      </c>
      <c r="FS40" s="230" t="str">
        <f>Input!DH40</f>
      </c>
      <c r="FT40" s="230" t="str">
        <f>Input!AM40</f>
        <v>27m/ 27m/ 27m</v>
      </c>
      <c r="FU40" s="230">
        <f>Input!BC40</f>
        <v>0</v>
      </c>
      <c r="FV40" s="230">
        <f>Input!BS40</f>
        <v>0</v>
      </c>
      <c r="FW40" s="230" t="str">
        <f>Input!CG40</f>
      </c>
      <c r="FX40" s="230" t="str">
        <f>Input!CU40</f>
      </c>
      <c r="FY40" s="230" t="str">
        <f>Input!DI40</f>
      </c>
      <c r="FZ40" s="230" t="str">
        <f t="shared" si="236"/>
        <v>27m/ 27m/ 27m</v>
      </c>
      <c r="GA40" s="230" t="str">
        <f t="shared" si="237"/>
      </c>
      <c r="GB40" s="230" t="str">
        <f t="shared" si="238"/>
      </c>
      <c r="GC40" s="230" t="str">
        <f t="shared" si="239"/>
      </c>
      <c r="GD40" s="230" t="str">
        <f t="shared" si="240"/>
      </c>
      <c r="GE40" s="230" t="str">
        <f t="shared" si="241"/>
      </c>
      <c r="GF40" s="230">
        <f t="shared" si="242"/>
        <v>27</v>
      </c>
      <c r="GG40" s="230">
        <f t="shared" si="243"/>
        <v>27</v>
      </c>
      <c r="GH40" s="230">
        <f t="shared" si="244"/>
        <v>27</v>
      </c>
      <c r="GI40" s="230">
        <f t="shared" si="245"/>
        <v>0</v>
      </c>
      <c r="GJ40" s="230">
        <f t="shared" si="246"/>
        <v>0</v>
      </c>
      <c r="GK40" s="230">
        <f t="shared" si="247"/>
        <v>0</v>
      </c>
      <c r="GL40" s="230">
        <f t="shared" si="248"/>
        <v>0</v>
      </c>
      <c r="GM40" s="230">
        <f t="shared" si="249"/>
        <v>0</v>
      </c>
      <c r="GN40" s="230">
        <f t="shared" si="250"/>
        <v>0</v>
      </c>
      <c r="GO40" s="230">
        <f t="shared" si="251"/>
        <v>0</v>
      </c>
      <c r="GP40" s="230">
        <f t="shared" si="252"/>
        <v>0</v>
      </c>
      <c r="GQ40" s="230">
        <f t="shared" si="253"/>
        <v>0</v>
      </c>
      <c r="GR40" s="230">
        <f t="shared" si="254"/>
        <v>0</v>
      </c>
      <c r="GS40" s="230">
        <f t="shared" si="255"/>
        <v>0</v>
      </c>
      <c r="GT40" s="230">
        <f t="shared" si="256"/>
        <v>0</v>
      </c>
      <c r="GU40" s="230">
        <f t="shared" si="257"/>
        <v>0</v>
      </c>
      <c r="GV40" s="230">
        <f t="shared" si="258"/>
        <v>0</v>
      </c>
      <c r="GW40" s="230">
        <f t="shared" si="259"/>
        <v>0</v>
      </c>
      <c r="GX40" s="230">
        <f t="shared" si="260"/>
        <v>0</v>
      </c>
      <c r="GY40" s="230">
        <f t="shared" si="261"/>
        <v>0</v>
      </c>
      <c r="GZ40" s="230">
        <f t="shared" si="262"/>
        <v>0</v>
      </c>
      <c r="HA40" s="230">
        <f t="shared" si="263"/>
        <v>0</v>
      </c>
      <c r="HB40" s="230">
        <f t="shared" si="264"/>
        <v>0</v>
      </c>
      <c r="HC40" s="230">
        <f t="shared" si="265"/>
        <v>0</v>
      </c>
      <c r="HD40" s="230">
        <f t="shared" si="266"/>
        <v>0</v>
      </c>
      <c r="HE40" s="230">
        <f t="shared" si="267"/>
        <v>0</v>
      </c>
      <c r="HF40" s="230">
        <f t="shared" si="268"/>
        <v>0</v>
      </c>
      <c r="HG40" s="230">
        <f t="shared" si="269"/>
        <v>0</v>
      </c>
      <c r="HH40" s="230">
        <f t="shared" si="270"/>
        <v>0</v>
      </c>
      <c r="HI40" s="230">
        <f t="shared" si="271"/>
        <v>0</v>
      </c>
      <c r="HJ40" s="230">
        <f t="shared" si="272"/>
        <v>0</v>
      </c>
      <c r="HK40" s="230">
        <f t="shared" si="273"/>
        <v>0</v>
      </c>
      <c r="HL40" s="230">
        <f t="shared" si="274"/>
        <v>0</v>
      </c>
      <c r="HM40" s="230">
        <f t="shared" si="275"/>
        <v>0</v>
      </c>
      <c r="HN40" s="230">
        <f t="shared" si="276"/>
        <v>0</v>
      </c>
      <c r="HO40" s="230">
        <f t="shared" si="277"/>
        <v>0</v>
      </c>
      <c r="HP40" s="230" t="str">
        <f>INDEX(LabNameList,MATCH(LabId,LabIDList,0))</f>
        <v>Trung tâm Kiểm định và Chứng nhận 2</v>
      </c>
      <c r="HQ40" s="230">
        <f t="shared" si="278"/>
        <v>27</v>
      </c>
      <c r="HR40" s="230">
        <f t="shared" si="279"/>
        <v>0</v>
      </c>
      <c r="HS40" s="230">
        <f t="shared" si="280"/>
        <v>0</v>
      </c>
      <c r="HT40" s="230">
        <f t="shared" si="281"/>
        <v>0</v>
      </c>
      <c r="HU40" s="230">
        <f t="shared" si="282"/>
        <v>0</v>
      </c>
      <c r="HV40" s="230">
        <f t="shared" si="283"/>
        <v>0</v>
      </c>
      <c r="HW40" s="797">
        <f t="shared" si="284"/>
        <v>27</v>
      </c>
      <c r="HX40" s="797">
        <f>Input!EB40</f>
        <v>0</v>
      </c>
      <c r="HY40" s="230">
        <v>68</v>
      </c>
      <c r="HZ40" s="230"/>
      <c r="IA40" s="230"/>
      <c r="IB40" s="230"/>
      <c r="IC40" s="232" t="str">
        <f t="shared" si="285"/>
        <v>B01991230916TG05</v>
      </c>
      <c r="ID40" s="233" t="str">
        <f>Input!O40</f>
        <v>01991</v>
      </c>
      <c r="IE40" s="467" t="str">
        <f t="shared" si="286"/>
        <v>230916</v>
      </c>
      <c r="IF40" s="232" t="s">
        <v>364</v>
      </c>
      <c r="IG40" s="467" t="str">
        <f t="shared" si="287"/>
        <v>23/09/2016</v>
      </c>
      <c r="IH40" s="467" t="str">
        <f t="shared" si="288"/>
        <v>23/09/2021</v>
      </c>
      <c r="II40" s="546" t="str">
        <f> Input!R40</f>
        <v>23/09/2016</v>
      </c>
      <c r="IJ40" s="467">
        <f t="shared" si="289"/>
        <v>44462</v>
      </c>
      <c r="IK40" s="468">
        <f t="shared" si="290"/>
        <v>3</v>
      </c>
      <c r="IL40" s="469" t="str">
        <f t="shared" si="291"/>
        <v>3-1</v>
      </c>
      <c r="IM40" s="469" t="str">
        <f t="shared" si="292"/>
        <v>KHAC</v>
      </c>
      <c r="IN40" s="469" t="str">
        <f t="shared" si="293"/>
        <v>KHAC</v>
      </c>
      <c r="IO40" s="469" t="str">
        <f t="shared" si="294"/>
      </c>
      <c r="IP40" s="469" t="str">
        <f t="shared" si="295"/>
      </c>
      <c r="IQ40" s="469" t="str">
        <f t="shared" si="296"/>
      </c>
      <c r="IR40" s="469">
        <f t="shared" si="297"/>
        <v>1</v>
      </c>
      <c r="IS40" s="469">
        <f t="shared" si="298"/>
        <v>2</v>
      </c>
      <c r="IT40" s="469" t="str">
        <f t="shared" si="299"/>
        <v>Yes</v>
      </c>
      <c r="IU40" s="469" t="str">
        <f t="shared" si="300"/>
        <v>Yes</v>
      </c>
    </row>
    <row r="41" ht="63.75">
      <c r="A41" s="601">
        <f>Input!A41</f>
        <v>40</v>
      </c>
      <c r="B41" s="229" t="str">
        <f>INDEX(ApplicantIDList,MATCH(AI41,ApplicantNameList,0))</f>
        <v>VIETTEL-2016</v>
      </c>
      <c r="C41" s="229" t="str">
        <f>INDEX(OperatorIDList,MATCH(AJ41,OperatorNameList,0))</f>
        <v>VIETTEL-2016</v>
      </c>
      <c r="D41" s="797" t="str">
        <f>Input!Y41</f>
        <v>HCM2072</v>
      </c>
      <c r="E41" s="229" t="str">
        <f>Input!G41</f>
        <v>Số 803, đường Huỳnh Tấn Phát, phường Phú Thuận, quận 7, thành phố Hồ Chí Minh.</v>
      </c>
      <c r="F41" s="229" t="str">
        <f>TRIM(SUBSTITUTE(SUBSTITUTE(Input!H41,"Thành phố ",""),"Tỉnh ",""))</f>
        <v>Hồ Chí Minh</v>
      </c>
      <c r="G41" s="797" t="str">
        <f>Input!I41</f>
        <v>106,73281</v>
      </c>
      <c r="H41" s="797" t="str">
        <f>Input!J41</f>
        <v>10,73077</v>
      </c>
      <c r="I41" s="229">
        <f>Input!V41</f>
        <v>1</v>
      </c>
      <c r="J41" s="229" t="str">
        <f>Input!K41</f>
        <v>1502412/16/TG/TT2</v>
      </c>
      <c r="K41" s="231" t="str">
        <f>TEXT(Input!L41,"dd/mm/yyyy")</f>
        <v>23/09/2016</v>
      </c>
      <c r="L41" s="231" t="str">
        <f>TEXT(Input!M41,"dd/mm/yyyy")</f>
        <v>18/09/2016</v>
      </c>
      <c r="M41" s="229" t="str">
        <f t="shared" si="135"/>
        <v>TỔNG CÔNG TY MẠNG LƯỚI VIETTEL</v>
      </c>
      <c r="N41" s="229" t="str">
        <f t="shared" si="136"/>
        <v>HCM2072</v>
      </c>
      <c r="O41" s="229" t="str">
        <f t="shared" si="137"/>
        <v>HUAWEI DBS3900</v>
      </c>
      <c r="P41" s="229" t="str">
        <f t="shared" si="138"/>
        <v>3</v>
      </c>
      <c r="Q41" s="229" t="str">
        <f t="shared" si="139"/>
        <v>2/2/2</v>
      </c>
      <c r="R41" s="229" t="str">
        <f t="shared" si="140"/>
        <v>40W/ 40W/ 40W</v>
      </c>
      <c r="S41" s="229" t="str">
        <f t="shared" si="141"/>
        <v>2100</v>
      </c>
      <c r="T41" s="229" t="str">
        <f t="shared" si="142"/>
        <v>27m/ 27m/ 27m</v>
      </c>
      <c r="U41" s="229">
        <v>1</v>
      </c>
      <c r="V41" s="229"/>
      <c r="W41" s="229" t="b">
        <f t="shared" si="143"/>
        <v>0</v>
      </c>
      <c r="X41" s="229" t="b">
        <f>INDEX(TrueFalseList,_xlfn.IFNA(MATCH(Input!W41,CoKhongList,0),MATCH(Input!W41,YesNoList,0)))</f>
        <v>0</v>
      </c>
      <c r="Y41" s="797">
        <f>Input!FZ41</f>
        <v>0</v>
      </c>
      <c r="Z41" s="229" t="b">
        <v>1</v>
      </c>
      <c r="AA41" s="797">
        <f t="shared" si="144"/>
        <v>27</v>
      </c>
      <c r="AB41" s="229" t="b">
        <v>0</v>
      </c>
      <c r="AC41" s="229" t="b">
        <v>1</v>
      </c>
      <c r="AD41" s="229">
        <f>Input!DR41</f>
        <v>0</v>
      </c>
      <c r="AE41" s="229"/>
      <c r="AF41" s="229" t="str">
        <f>Options!$D$6</f>
        <v>VCC2</v>
      </c>
      <c r="AG41" s="229">
        <f t="shared" si="145"/>
        <v>0</v>
      </c>
      <c r="AH41" s="230"/>
      <c r="AI41" s="553" t="str">
        <f>Input!E41</f>
        <v>TỔNG CÔNG TY MẠNG LƯỚI VIETTEL</v>
      </c>
      <c r="AJ41" s="553" t="str">
        <f>Input!F41</f>
        <v>TỔNG CÔNG TY MẠNG LƯỚI VIETTEL</v>
      </c>
      <c r="AK41" s="229">
        <f t="shared" si="146"/>
        <v>4</v>
      </c>
      <c r="AL41" s="465" t="str">
        <f t="shared" si="147"/>
        <v>thành phố Hồ Chí Minh.</v>
      </c>
      <c r="AM41" s="465" t="str">
        <f t="shared" si="148"/>
        <v>quận 7</v>
      </c>
      <c r="AN41" s="465" t="str">
        <f t="shared" si="149"/>
        <v>phường Phú Thuận</v>
      </c>
      <c r="AO41" s="229" t="str">
        <f>INDEX(CityIDList,MATCH(F41,CityNameList,0))</f>
        <v>HCM</v>
      </c>
      <c r="AP41" s="230" t="str">
        <f>Input!X41</f>
        <v>TỔNG CÔNG TY MẠNG LƯỚI VIETTEL</v>
      </c>
      <c r="AQ41" s="230">
        <f>Input!AN41</f>
        <v>0</v>
      </c>
      <c r="AR41" s="230">
        <f>Input!BD41</f>
        <v>0</v>
      </c>
      <c r="AS41" s="230" t="str">
        <f>Input!BT41</f>
      </c>
      <c r="AT41" s="230" t="str">
        <f>Input!CH41</f>
      </c>
      <c r="AU41" s="230" t="str">
        <f>Input!CV41</f>
      </c>
      <c r="AV41" s="230" t="str">
        <f>IF(I41&gt;=1,INDEX(OperatorIDList,MATCH(AP41,OperatorNameList,0)),"")</f>
        <v>VIETTEL-2016</v>
      </c>
      <c r="AW41" s="230" t="str">
        <f>IF(I41&gt;=2,INDEX(OperatorIDList,MATCH(AQ41,OperatorNameList,0)),"")</f>
      </c>
      <c r="AX41" s="230" t="str">
        <f>IF(I41&gt;=3,INDEX(OperatorIDList,MATCH(AR41,OperatorNameList,0)),"")</f>
      </c>
      <c r="AY41" s="230" t="str">
        <f>IF(I41&gt;=4,INDEX(OperatorIDList,MATCH(AS41,OperatorNameList,0)),"")</f>
      </c>
      <c r="AZ41" s="230" t="str">
        <f>IF(I41&gt;=5,INDEX(OperatorIDList,MATCH(AT41,OperatorNameList,0)),"")</f>
      </c>
      <c r="BA41" s="230" t="str">
        <f>IF(I41&gt;=6,INDEX(OperatorIDList,MATCH(AU41,OperatorNameList,0)),"")</f>
      </c>
      <c r="BB41" s="230" t="str">
        <f t="shared" si="150"/>
        <v>VIETTEL-2016</v>
      </c>
      <c r="BC41" s="230" t="str">
        <f>Input!Y41</f>
        <v>HCM2072</v>
      </c>
      <c r="BD41" s="230">
        <f>Input!AO41</f>
        <v>0</v>
      </c>
      <c r="BE41" s="230">
        <f>Input!BE41</f>
        <v>0</v>
      </c>
      <c r="BF41" s="230" t="str">
        <f>Input!BU41</f>
      </c>
      <c r="BG41" s="230" t="str">
        <f>Input!CI41</f>
      </c>
      <c r="BH41" s="230" t="str">
        <f>Input!CW41</f>
      </c>
      <c r="BI41" s="230" t="str">
        <f>Input!Z41</f>
        <v>HUAWEI DBS3900</v>
      </c>
      <c r="BJ41" s="230">
        <f>Input!AP41</f>
        <v>0</v>
      </c>
      <c r="BK41" s="230">
        <f>Input!BF41</f>
        <v>0</v>
      </c>
      <c r="BL41" s="230" t="str">
        <f>Input!BV41</f>
      </c>
      <c r="BM41" s="230" t="str">
        <f>Input!CJ41</f>
      </c>
      <c r="BN41" s="230" t="str">
        <f>Input!CX41</f>
      </c>
      <c r="BO41" s="553">
        <f>IF(ISNUMBER(Input!AA41),Input!AA41,0)</f>
        <v>3</v>
      </c>
      <c r="BP41" s="553">
        <f>IF(ISNUMBER(Input!AQ41),Input!AQ41,0)</f>
        <v>0</v>
      </c>
      <c r="BQ41" s="553">
        <f>IF(ISNUMBER(Input!BG41),Input!BG41,0)</f>
        <v>0</v>
      </c>
      <c r="BR41" s="553">
        <f>IF(ISNUMBER(Input!BW41),Input!BW41,0)</f>
        <v>0</v>
      </c>
      <c r="BS41" s="553">
        <f>IF(ISNUMBER(Input!CK41),Input!CK41,0)</f>
        <v>0</v>
      </c>
      <c r="BT41" s="554">
        <f>IF(ISNUMBER(Input!CY41),Input!CY41,0)</f>
        <v>0</v>
      </c>
      <c r="BU41" s="230" t="str">
        <f>Input!AF41</f>
        <v>2/2/2</v>
      </c>
      <c r="BV41" s="230" t="str">
        <f>Input!AV41</f>
      </c>
      <c r="BW41" s="230" t="str">
        <f>Input!BL41</f>
      </c>
      <c r="BX41" s="230" t="str">
        <f>Input!CA41</f>
      </c>
      <c r="BY41" s="230" t="str">
        <f>Input!CO41</f>
      </c>
      <c r="BZ41" s="230" t="str">
        <f>Input!DC41</f>
      </c>
      <c r="CA41" s="230">
        <f t="shared" si="151"/>
        <v>2</v>
      </c>
      <c r="CB41" s="230">
        <f t="shared" si="152"/>
        <v>2</v>
      </c>
      <c r="CC41" s="230">
        <f t="shared" si="153"/>
        <v>2</v>
      </c>
      <c r="CD41" s="230">
        <f t="shared" si="154"/>
        <v>0</v>
      </c>
      <c r="CE41" s="230">
        <f t="shared" si="155"/>
        <v>0</v>
      </c>
      <c r="CF41" s="230">
        <f t="shared" si="156"/>
        <v>0</v>
      </c>
      <c r="CG41" s="230">
        <f t="shared" si="157"/>
        <v>0</v>
      </c>
      <c r="CH41" s="230">
        <f t="shared" si="158"/>
        <v>0</v>
      </c>
      <c r="CI41" s="230">
        <f t="shared" si="159"/>
        <v>0</v>
      </c>
      <c r="CJ41" s="230">
        <f t="shared" si="160"/>
        <v>0</v>
      </c>
      <c r="CK41" s="230">
        <f t="shared" si="161"/>
        <v>0</v>
      </c>
      <c r="CL41" s="230">
        <f t="shared" si="162"/>
        <v>0</v>
      </c>
      <c r="CM41" s="230">
        <f t="shared" si="163"/>
        <v>0</v>
      </c>
      <c r="CN41" s="230">
        <f t="shared" si="164"/>
        <v>0</v>
      </c>
      <c r="CO41" s="230">
        <f t="shared" si="165"/>
        <v>0</v>
      </c>
      <c r="CP41" s="230">
        <f t="shared" si="166"/>
        <v>0</v>
      </c>
      <c r="CQ41" s="230">
        <f t="shared" si="167"/>
        <v>0</v>
      </c>
      <c r="CR41" s="230">
        <f t="shared" si="168"/>
        <v>0</v>
      </c>
      <c r="CS41" s="230">
        <f t="shared" si="169"/>
        <v>0</v>
      </c>
      <c r="CT41" s="230">
        <f t="shared" si="170"/>
        <v>0</v>
      </c>
      <c r="CU41" s="230">
        <f t="shared" si="171"/>
        <v>0</v>
      </c>
      <c r="CV41" s="230">
        <f t="shared" si="172"/>
        <v>0</v>
      </c>
      <c r="CW41" s="230">
        <f t="shared" si="173"/>
        <v>0</v>
      </c>
      <c r="CX41" s="230">
        <f t="shared" si="174"/>
        <v>0</v>
      </c>
      <c r="CY41" s="230">
        <f t="shared" si="175"/>
        <v>0</v>
      </c>
      <c r="CZ41" s="230">
        <f t="shared" si="176"/>
        <v>0</v>
      </c>
      <c r="DA41" s="230">
        <f t="shared" si="177"/>
        <v>0</v>
      </c>
      <c r="DB41" s="230">
        <f t="shared" si="178"/>
        <v>0</v>
      </c>
      <c r="DC41" s="230">
        <f t="shared" si="179"/>
        <v>0</v>
      </c>
      <c r="DD41" s="230">
        <f t="shared" si="180"/>
        <v>0</v>
      </c>
      <c r="DE41" s="230">
        <f t="shared" si="181"/>
        <v>0</v>
      </c>
      <c r="DF41" s="230">
        <f t="shared" si="182"/>
        <v>0</v>
      </c>
      <c r="DG41" s="230">
        <f t="shared" si="183"/>
        <v>0</v>
      </c>
      <c r="DH41" s="230">
        <f t="shared" si="184"/>
        <v>0</v>
      </c>
      <c r="DI41" s="230">
        <f t="shared" si="185"/>
        <v>0</v>
      </c>
      <c r="DJ41" s="230">
        <f t="shared" si="186"/>
        <v>0</v>
      </c>
      <c r="DK41" s="230" t="str">
        <f>Input!AK41</f>
        <v>40,00W/40,00W/40,00W</v>
      </c>
      <c r="DL41" s="230" t="str">
        <f>Input!BA41</f>
      </c>
      <c r="DM41" s="230" t="str">
        <f>Input!BQ41</f>
      </c>
      <c r="DN41" s="230" t="str">
        <f>Input!CE41</f>
      </c>
      <c r="DO41" s="230" t="str">
        <f>Input!CS41</f>
      </c>
      <c r="DP41" s="230" t="str">
        <f>Input!DG41</f>
      </c>
      <c r="DQ41" s="230" t="str">
        <f t="shared" si="187"/>
        <v>40W/ 40W/ 40W</v>
      </c>
      <c r="DR41" s="230" t="str">
        <f t="shared" si="188"/>
      </c>
      <c r="DS41" s="230" t="str">
        <f t="shared" si="189"/>
      </c>
      <c r="DT41" s="230" t="str">
        <f t="shared" si="190"/>
      </c>
      <c r="DU41" s="230" t="str">
        <f t="shared" si="191"/>
      </c>
      <c r="DV41" s="230" t="str">
        <f t="shared" si="192"/>
      </c>
      <c r="DW41" s="230">
        <f t="shared" si="193"/>
        <v>40</v>
      </c>
      <c r="DX41" s="230">
        <f t="shared" si="194"/>
        <v>40</v>
      </c>
      <c r="DY41" s="230">
        <f t="shared" si="195"/>
        <v>40</v>
      </c>
      <c r="DZ41" s="230">
        <f t="shared" si="196"/>
        <v>0</v>
      </c>
      <c r="EA41" s="230">
        <f t="shared" si="197"/>
        <v>0</v>
      </c>
      <c r="EB41" s="230">
        <f t="shared" si="198"/>
        <v>0</v>
      </c>
      <c r="EC41" s="230">
        <f t="shared" si="199"/>
        <v>40</v>
      </c>
      <c r="ED41" s="230">
        <f t="shared" si="200"/>
        <v>0</v>
      </c>
      <c r="EE41" s="230">
        <f t="shared" si="201"/>
        <v>0</v>
      </c>
      <c r="EF41" s="230">
        <f t="shared" si="202"/>
        <v>0</v>
      </c>
      <c r="EG41" s="230">
        <f t="shared" si="203"/>
        <v>0</v>
      </c>
      <c r="EH41" s="230">
        <f t="shared" si="204"/>
        <v>0</v>
      </c>
      <c r="EI41" s="230">
        <f t="shared" si="205"/>
        <v>0</v>
      </c>
      <c r="EJ41" s="230">
        <f t="shared" si="206"/>
        <v>0</v>
      </c>
      <c r="EK41" s="230">
        <f t="shared" si="207"/>
        <v>0</v>
      </c>
      <c r="EL41" s="230">
        <f t="shared" si="208"/>
        <v>0</v>
      </c>
      <c r="EM41" s="230">
        <f t="shared" si="209"/>
        <v>0</v>
      </c>
      <c r="EN41" s="230">
        <f t="shared" si="210"/>
        <v>0</v>
      </c>
      <c r="EO41" s="230">
        <f t="shared" si="211"/>
        <v>0</v>
      </c>
      <c r="EP41" s="230">
        <f t="shared" si="212"/>
        <v>0</v>
      </c>
      <c r="EQ41" s="230">
        <f t="shared" si="213"/>
        <v>0</v>
      </c>
      <c r="ER41" s="230">
        <f t="shared" si="214"/>
        <v>0</v>
      </c>
      <c r="ES41" s="230">
        <f t="shared" si="215"/>
        <v>0</v>
      </c>
      <c r="ET41" s="230">
        <f t="shared" si="216"/>
        <v>0</v>
      </c>
      <c r="EU41" s="230">
        <f t="shared" si="217"/>
        <v>0</v>
      </c>
      <c r="EV41" s="230">
        <f t="shared" si="218"/>
        <v>0</v>
      </c>
      <c r="EW41" s="230">
        <f t="shared" si="219"/>
        <v>0</v>
      </c>
      <c r="EX41" s="230">
        <f t="shared" si="220"/>
        <v>0</v>
      </c>
      <c r="EY41" s="230">
        <f t="shared" si="221"/>
        <v>0</v>
      </c>
      <c r="EZ41" s="230">
        <f t="shared" si="222"/>
        <v>0</v>
      </c>
      <c r="FA41" s="230">
        <f t="shared" si="223"/>
        <v>0</v>
      </c>
      <c r="FB41" s="230">
        <f t="shared" si="224"/>
        <v>0</v>
      </c>
      <c r="FC41" s="230">
        <f t="shared" si="225"/>
        <v>0</v>
      </c>
      <c r="FD41" s="230">
        <f t="shared" si="226"/>
        <v>0</v>
      </c>
      <c r="FE41" s="230">
        <f t="shared" si="227"/>
        <v>0</v>
      </c>
      <c r="FF41" s="230">
        <f t="shared" si="228"/>
        <v>0</v>
      </c>
      <c r="FG41" s="230">
        <f t="shared" si="229"/>
        <v>0</v>
      </c>
      <c r="FH41" s="230">
        <f t="shared" si="230"/>
        <v>0</v>
      </c>
      <c r="FI41" s="230">
        <f t="shared" si="231"/>
        <v>0</v>
      </c>
      <c r="FJ41" s="230">
        <f t="shared" si="232"/>
        <v>0</v>
      </c>
      <c r="FK41" s="230">
        <f t="shared" si="233"/>
        <v>0</v>
      </c>
      <c r="FL41" s="230">
        <f t="shared" si="234"/>
        <v>0</v>
      </c>
      <c r="FM41" s="230">
        <f t="shared" si="235"/>
        <v>40</v>
      </c>
      <c r="FN41" s="230">
        <f>Input!AL41</f>
        <v>2100</v>
      </c>
      <c r="FO41" s="230">
        <f>Input!BB41</f>
        <v>0</v>
      </c>
      <c r="FP41" s="230">
        <f>Input!BR41</f>
        <v>0</v>
      </c>
      <c r="FQ41" s="230" t="str">
        <f>Input!CF41</f>
      </c>
      <c r="FR41" s="230" t="str">
        <f>Input!CT41</f>
      </c>
      <c r="FS41" s="230" t="str">
        <f>Input!DH41</f>
      </c>
      <c r="FT41" s="230" t="str">
        <f>Input!AM41</f>
        <v>27m/ 27m/ 27m</v>
      </c>
      <c r="FU41" s="230">
        <f>Input!BC41</f>
        <v>0</v>
      </c>
      <c r="FV41" s="230">
        <f>Input!BS41</f>
        <v>0</v>
      </c>
      <c r="FW41" s="230" t="str">
        <f>Input!CG41</f>
      </c>
      <c r="FX41" s="230" t="str">
        <f>Input!CU41</f>
      </c>
      <c r="FY41" s="230" t="str">
        <f>Input!DI41</f>
      </c>
      <c r="FZ41" s="230" t="str">
        <f t="shared" si="236"/>
        <v>27m/ 27m/ 27m</v>
      </c>
      <c r="GA41" s="230" t="str">
        <f t="shared" si="237"/>
      </c>
      <c r="GB41" s="230" t="str">
        <f t="shared" si="238"/>
      </c>
      <c r="GC41" s="230" t="str">
        <f t="shared" si="239"/>
      </c>
      <c r="GD41" s="230" t="str">
        <f t="shared" si="240"/>
      </c>
      <c r="GE41" s="230" t="str">
        <f t="shared" si="241"/>
      </c>
      <c r="GF41" s="230">
        <f t="shared" si="242"/>
        <v>27</v>
      </c>
      <c r="GG41" s="230">
        <f t="shared" si="243"/>
        <v>27</v>
      </c>
      <c r="GH41" s="230">
        <f t="shared" si="244"/>
        <v>27</v>
      </c>
      <c r="GI41" s="230">
        <f t="shared" si="245"/>
        <v>0</v>
      </c>
      <c r="GJ41" s="230">
        <f t="shared" si="246"/>
        <v>0</v>
      </c>
      <c r="GK41" s="230">
        <f t="shared" si="247"/>
        <v>0</v>
      </c>
      <c r="GL41" s="230">
        <f t="shared" si="248"/>
        <v>0</v>
      </c>
      <c r="GM41" s="230">
        <f t="shared" si="249"/>
        <v>0</v>
      </c>
      <c r="GN41" s="230">
        <f t="shared" si="250"/>
        <v>0</v>
      </c>
      <c r="GO41" s="230">
        <f t="shared" si="251"/>
        <v>0</v>
      </c>
      <c r="GP41" s="230">
        <f t="shared" si="252"/>
        <v>0</v>
      </c>
      <c r="GQ41" s="230">
        <f t="shared" si="253"/>
        <v>0</v>
      </c>
      <c r="GR41" s="230">
        <f t="shared" si="254"/>
        <v>0</v>
      </c>
      <c r="GS41" s="230">
        <f t="shared" si="255"/>
        <v>0</v>
      </c>
      <c r="GT41" s="230">
        <f t="shared" si="256"/>
        <v>0</v>
      </c>
      <c r="GU41" s="230">
        <f t="shared" si="257"/>
        <v>0</v>
      </c>
      <c r="GV41" s="230">
        <f t="shared" si="258"/>
        <v>0</v>
      </c>
      <c r="GW41" s="230">
        <f t="shared" si="259"/>
        <v>0</v>
      </c>
      <c r="GX41" s="230">
        <f t="shared" si="260"/>
        <v>0</v>
      </c>
      <c r="GY41" s="230">
        <f t="shared" si="261"/>
        <v>0</v>
      </c>
      <c r="GZ41" s="230">
        <f t="shared" si="262"/>
        <v>0</v>
      </c>
      <c r="HA41" s="230">
        <f t="shared" si="263"/>
        <v>0</v>
      </c>
      <c r="HB41" s="230">
        <f t="shared" si="264"/>
        <v>0</v>
      </c>
      <c r="HC41" s="230">
        <f t="shared" si="265"/>
        <v>0</v>
      </c>
      <c r="HD41" s="230">
        <f t="shared" si="266"/>
        <v>0</v>
      </c>
      <c r="HE41" s="230">
        <f t="shared" si="267"/>
        <v>0</v>
      </c>
      <c r="HF41" s="230">
        <f t="shared" si="268"/>
        <v>0</v>
      </c>
      <c r="HG41" s="230">
        <f t="shared" si="269"/>
        <v>0</v>
      </c>
      <c r="HH41" s="230">
        <f t="shared" si="270"/>
        <v>0</v>
      </c>
      <c r="HI41" s="230">
        <f t="shared" si="271"/>
        <v>0</v>
      </c>
      <c r="HJ41" s="230">
        <f t="shared" si="272"/>
        <v>0</v>
      </c>
      <c r="HK41" s="230">
        <f t="shared" si="273"/>
        <v>0</v>
      </c>
      <c r="HL41" s="230">
        <f t="shared" si="274"/>
        <v>0</v>
      </c>
      <c r="HM41" s="230">
        <f t="shared" si="275"/>
        <v>0</v>
      </c>
      <c r="HN41" s="230">
        <f t="shared" si="276"/>
        <v>0</v>
      </c>
      <c r="HO41" s="230">
        <f t="shared" si="277"/>
        <v>0</v>
      </c>
      <c r="HP41" s="230" t="str">
        <f>INDEX(LabNameList,MATCH(LabId,LabIDList,0))</f>
        <v>Trung tâm Kiểm định và Chứng nhận 2</v>
      </c>
      <c r="HQ41" s="230">
        <f t="shared" si="278"/>
        <v>27</v>
      </c>
      <c r="HR41" s="230">
        <f t="shared" si="279"/>
        <v>0</v>
      </c>
      <c r="HS41" s="230">
        <f t="shared" si="280"/>
        <v>0</v>
      </c>
      <c r="HT41" s="230">
        <f t="shared" si="281"/>
        <v>0</v>
      </c>
      <c r="HU41" s="230">
        <f t="shared" si="282"/>
        <v>0</v>
      </c>
      <c r="HV41" s="230">
        <f t="shared" si="283"/>
        <v>0</v>
      </c>
      <c r="HW41" s="797">
        <f t="shared" si="284"/>
        <v>27</v>
      </c>
      <c r="HX41" s="797">
        <f>Input!EB41</f>
        <v>0</v>
      </c>
      <c r="HY41" s="230">
        <v>68</v>
      </c>
      <c r="HZ41" s="230"/>
      <c r="IA41" s="230"/>
      <c r="IB41" s="230"/>
      <c r="IC41" s="232" t="str">
        <f t="shared" si="285"/>
        <v>B01992230916TG05</v>
      </c>
      <c r="ID41" s="233" t="str">
        <f>Input!O41</f>
        <v>01992</v>
      </c>
      <c r="IE41" s="467" t="str">
        <f t="shared" si="286"/>
        <v>230916</v>
      </c>
      <c r="IF41" s="232" t="s">
        <v>364</v>
      </c>
      <c r="IG41" s="467" t="str">
        <f t="shared" si="287"/>
        <v>23/09/2016</v>
      </c>
      <c r="IH41" s="467" t="str">
        <f t="shared" si="288"/>
        <v>23/09/2021</v>
      </c>
      <c r="II41" s="546" t="str">
        <f> Input!R41</f>
        <v>23/09/2016</v>
      </c>
      <c r="IJ41" s="467">
        <f t="shared" si="289"/>
        <v>44462</v>
      </c>
      <c r="IK41" s="468">
        <f t="shared" si="290"/>
        <v>3</v>
      </c>
      <c r="IL41" s="469" t="str">
        <f t="shared" si="291"/>
        <v>3-1</v>
      </c>
      <c r="IM41" s="469" t="str">
        <f t="shared" si="292"/>
        <v>KHAC</v>
      </c>
      <c r="IN41" s="469" t="str">
        <f t="shared" si="293"/>
        <v>KHAC</v>
      </c>
      <c r="IO41" s="469" t="str">
        <f t="shared" si="294"/>
      </c>
      <c r="IP41" s="469" t="str">
        <f t="shared" si="295"/>
      </c>
      <c r="IQ41" s="469" t="str">
        <f t="shared" si="296"/>
      </c>
      <c r="IR41" s="469">
        <f t="shared" si="297"/>
        <v>1</v>
      </c>
      <c r="IS41" s="469">
        <f t="shared" si="298"/>
        <v>2</v>
      </c>
      <c r="IT41" s="469" t="str">
        <f t="shared" si="299"/>
        <v>Yes</v>
      </c>
      <c r="IU41" s="469" t="str">
        <f t="shared" si="300"/>
        <v>Yes</v>
      </c>
    </row>
    <row r="42" ht="63.75">
      <c r="A42" s="601">
        <f>Input!A42</f>
        <v>41</v>
      </c>
      <c r="B42" s="229" t="str">
        <f>INDEX(ApplicantIDList,MATCH(AI42,ApplicantNameList,0))</f>
        <v>VIETTEL-2016</v>
      </c>
      <c r="C42" s="229" t="str">
        <f>INDEX(OperatorIDList,MATCH(AJ42,OperatorNameList,0))</f>
        <v>VIETTEL-2016</v>
      </c>
      <c r="D42" s="797" t="str">
        <f>Input!Y42</f>
        <v>HCM2073</v>
      </c>
      <c r="E42" s="229" t="str">
        <f>Input!G42</f>
        <v>Số 1536A, đường Huỳnh Tấn Phát, phường Phú Mỹ, quận 7, thành phố Hồ Chí Minh.</v>
      </c>
      <c r="F42" s="229" t="str">
        <f>TRIM(SUBSTITUTE(SUBSTITUTE(Input!H42,"Thành phố ",""),"Tỉnh ",""))</f>
        <v>Hồ Chí Minh</v>
      </c>
      <c r="G42" s="797" t="str">
        <f>Input!I42</f>
        <v>106,73729</v>
      </c>
      <c r="H42" s="797" t="str">
        <f>Input!J42</f>
        <v>10,70572</v>
      </c>
      <c r="I42" s="229">
        <f>Input!V42</f>
        <v>1</v>
      </c>
      <c r="J42" s="229" t="str">
        <f>Input!K42</f>
        <v>1502413/16/TG/TT2</v>
      </c>
      <c r="K42" s="231" t="str">
        <f>TEXT(Input!L42,"dd/mm/yyyy")</f>
        <v>23/09/2016</v>
      </c>
      <c r="L42" s="231" t="str">
        <f>TEXT(Input!M42,"dd/mm/yyyy")</f>
        <v>18/09/2016</v>
      </c>
      <c r="M42" s="229" t="str">
        <f t="shared" si="135"/>
        <v>TỔNG CÔNG TY MẠNG LƯỚI VIETTEL</v>
      </c>
      <c r="N42" s="229" t="str">
        <f t="shared" si="136"/>
        <v>HCM2073</v>
      </c>
      <c r="O42" s="229" t="str">
        <f t="shared" si="137"/>
        <v>HUAWEI DBS3900</v>
      </c>
      <c r="P42" s="229" t="str">
        <f t="shared" si="138"/>
        <v>3</v>
      </c>
      <c r="Q42" s="229" t="str">
        <f t="shared" si="139"/>
        <v>2/2/2</v>
      </c>
      <c r="R42" s="229" t="str">
        <f t="shared" si="140"/>
        <v>40W/ 40W/ 40W</v>
      </c>
      <c r="S42" s="229" t="str">
        <f t="shared" si="141"/>
        <v>2100</v>
      </c>
      <c r="T42" s="229" t="str">
        <f t="shared" si="142"/>
        <v>27m/ 27m/ 27m</v>
      </c>
      <c r="U42" s="229">
        <v>1</v>
      </c>
      <c r="V42" s="229"/>
      <c r="W42" s="229" t="b">
        <f t="shared" si="143"/>
        <v>0</v>
      </c>
      <c r="X42" s="229" t="b">
        <f>INDEX(TrueFalseList,_xlfn.IFNA(MATCH(Input!W42,CoKhongList,0),MATCH(Input!W42,YesNoList,0)))</f>
        <v>0</v>
      </c>
      <c r="Y42" s="797">
        <f>Input!FZ42</f>
        <v>0</v>
      </c>
      <c r="Z42" s="229" t="b">
        <v>1</v>
      </c>
      <c r="AA42" s="797">
        <f t="shared" si="144"/>
        <v>27</v>
      </c>
      <c r="AB42" s="229" t="b">
        <v>0</v>
      </c>
      <c r="AC42" s="229" t="b">
        <v>1</v>
      </c>
      <c r="AD42" s="229">
        <f>Input!DR42</f>
        <v>0</v>
      </c>
      <c r="AE42" s="229"/>
      <c r="AF42" s="229" t="str">
        <f>Options!$D$6</f>
        <v>VCC2</v>
      </c>
      <c r="AG42" s="229">
        <f t="shared" si="145"/>
        <v>0</v>
      </c>
      <c r="AH42" s="230"/>
      <c r="AI42" s="553" t="str">
        <f>Input!E42</f>
        <v>TỔNG CÔNG TY MẠNG LƯỚI VIETTEL</v>
      </c>
      <c r="AJ42" s="553" t="str">
        <f>Input!F42</f>
        <v>TỔNG CÔNG TY MẠNG LƯỚI VIETTEL</v>
      </c>
      <c r="AK42" s="229">
        <f t="shared" si="146"/>
        <v>4</v>
      </c>
      <c r="AL42" s="465" t="str">
        <f t="shared" si="147"/>
        <v>thành phố Hồ Chí Minh.</v>
      </c>
      <c r="AM42" s="465" t="str">
        <f t="shared" si="148"/>
        <v>quận 7</v>
      </c>
      <c r="AN42" s="465" t="str">
        <f t="shared" si="149"/>
        <v>phường Phú Mỹ</v>
      </c>
      <c r="AO42" s="229" t="str">
        <f>INDEX(CityIDList,MATCH(F42,CityNameList,0))</f>
        <v>HCM</v>
      </c>
      <c r="AP42" s="230" t="str">
        <f>Input!X42</f>
        <v>TỔNG CÔNG TY MẠNG LƯỚI VIETTEL</v>
      </c>
      <c r="AQ42" s="230">
        <f>Input!AN42</f>
        <v>0</v>
      </c>
      <c r="AR42" s="230">
        <f>Input!BD42</f>
        <v>0</v>
      </c>
      <c r="AS42" s="230" t="str">
        <f>Input!BT42</f>
      </c>
      <c r="AT42" s="230" t="str">
        <f>Input!CH42</f>
      </c>
      <c r="AU42" s="230" t="str">
        <f>Input!CV42</f>
      </c>
      <c r="AV42" s="230" t="str">
        <f>IF(I42&gt;=1,INDEX(OperatorIDList,MATCH(AP42,OperatorNameList,0)),"")</f>
        <v>VIETTEL-2016</v>
      </c>
      <c r="AW42" s="230" t="str">
        <f>IF(I42&gt;=2,INDEX(OperatorIDList,MATCH(AQ42,OperatorNameList,0)),"")</f>
      </c>
      <c r="AX42" s="230" t="str">
        <f>IF(I42&gt;=3,INDEX(OperatorIDList,MATCH(AR42,OperatorNameList,0)),"")</f>
      </c>
      <c r="AY42" s="230" t="str">
        <f>IF(I42&gt;=4,INDEX(OperatorIDList,MATCH(AS42,OperatorNameList,0)),"")</f>
      </c>
      <c r="AZ42" s="230" t="str">
        <f>IF(I42&gt;=5,INDEX(OperatorIDList,MATCH(AT42,OperatorNameList,0)),"")</f>
      </c>
      <c r="BA42" s="230" t="str">
        <f>IF(I42&gt;=6,INDEX(OperatorIDList,MATCH(AU42,OperatorNameList,0)),"")</f>
      </c>
      <c r="BB42" s="230" t="str">
        <f t="shared" si="150"/>
        <v>VIETTEL-2016</v>
      </c>
      <c r="BC42" s="230" t="str">
        <f>Input!Y42</f>
        <v>HCM2073</v>
      </c>
      <c r="BD42" s="230">
        <f>Input!AO42</f>
        <v>0</v>
      </c>
      <c r="BE42" s="230">
        <f>Input!BE42</f>
        <v>0</v>
      </c>
      <c r="BF42" s="230" t="str">
        <f>Input!BU42</f>
      </c>
      <c r="BG42" s="230" t="str">
        <f>Input!CI42</f>
      </c>
      <c r="BH42" s="230" t="str">
        <f>Input!CW42</f>
      </c>
      <c r="BI42" s="230" t="str">
        <f>Input!Z42</f>
        <v>HUAWEI DBS3900</v>
      </c>
      <c r="BJ42" s="230">
        <f>Input!AP42</f>
        <v>0</v>
      </c>
      <c r="BK42" s="230">
        <f>Input!BF42</f>
        <v>0</v>
      </c>
      <c r="BL42" s="230" t="str">
        <f>Input!BV42</f>
      </c>
      <c r="BM42" s="230" t="str">
        <f>Input!CJ42</f>
      </c>
      <c r="BN42" s="230" t="str">
        <f>Input!CX42</f>
      </c>
      <c r="BO42" s="553">
        <f>IF(ISNUMBER(Input!AA42),Input!AA42,0)</f>
        <v>3</v>
      </c>
      <c r="BP42" s="553">
        <f>IF(ISNUMBER(Input!AQ42),Input!AQ42,0)</f>
        <v>0</v>
      </c>
      <c r="BQ42" s="553">
        <f>IF(ISNUMBER(Input!BG42),Input!BG42,0)</f>
        <v>0</v>
      </c>
      <c r="BR42" s="553">
        <f>IF(ISNUMBER(Input!BW42),Input!BW42,0)</f>
        <v>0</v>
      </c>
      <c r="BS42" s="553">
        <f>IF(ISNUMBER(Input!CK42),Input!CK42,0)</f>
        <v>0</v>
      </c>
      <c r="BT42" s="554">
        <f>IF(ISNUMBER(Input!CY42),Input!CY42,0)</f>
        <v>0</v>
      </c>
      <c r="BU42" s="230" t="str">
        <f>Input!AF42</f>
        <v>2/2/2</v>
      </c>
      <c r="BV42" s="230" t="str">
        <f>Input!AV42</f>
      </c>
      <c r="BW42" s="230" t="str">
        <f>Input!BL42</f>
      </c>
      <c r="BX42" s="230" t="str">
        <f>Input!CA42</f>
      </c>
      <c r="BY42" s="230" t="str">
        <f>Input!CO42</f>
      </c>
      <c r="BZ42" s="230" t="str">
        <f>Input!DC42</f>
      </c>
      <c r="CA42" s="230">
        <f t="shared" si="151"/>
        <v>2</v>
      </c>
      <c r="CB42" s="230">
        <f t="shared" si="152"/>
        <v>2</v>
      </c>
      <c r="CC42" s="230">
        <f t="shared" si="153"/>
        <v>2</v>
      </c>
      <c r="CD42" s="230">
        <f t="shared" si="154"/>
        <v>0</v>
      </c>
      <c r="CE42" s="230">
        <f t="shared" si="155"/>
        <v>0</v>
      </c>
      <c r="CF42" s="230">
        <f t="shared" si="156"/>
        <v>0</v>
      </c>
      <c r="CG42" s="230">
        <f t="shared" si="157"/>
        <v>0</v>
      </c>
      <c r="CH42" s="230">
        <f t="shared" si="158"/>
        <v>0</v>
      </c>
      <c r="CI42" s="230">
        <f t="shared" si="159"/>
        <v>0</v>
      </c>
      <c r="CJ42" s="230">
        <f t="shared" si="160"/>
        <v>0</v>
      </c>
      <c r="CK42" s="230">
        <f t="shared" si="161"/>
        <v>0</v>
      </c>
      <c r="CL42" s="230">
        <f t="shared" si="162"/>
        <v>0</v>
      </c>
      <c r="CM42" s="230">
        <f t="shared" si="163"/>
        <v>0</v>
      </c>
      <c r="CN42" s="230">
        <f t="shared" si="164"/>
        <v>0</v>
      </c>
      <c r="CO42" s="230">
        <f t="shared" si="165"/>
        <v>0</v>
      </c>
      <c r="CP42" s="230">
        <f t="shared" si="166"/>
        <v>0</v>
      </c>
      <c r="CQ42" s="230">
        <f t="shared" si="167"/>
        <v>0</v>
      </c>
      <c r="CR42" s="230">
        <f t="shared" si="168"/>
        <v>0</v>
      </c>
      <c r="CS42" s="230">
        <f t="shared" si="169"/>
        <v>0</v>
      </c>
      <c r="CT42" s="230">
        <f t="shared" si="170"/>
        <v>0</v>
      </c>
      <c r="CU42" s="230">
        <f t="shared" si="171"/>
        <v>0</v>
      </c>
      <c r="CV42" s="230">
        <f t="shared" si="172"/>
        <v>0</v>
      </c>
      <c r="CW42" s="230">
        <f t="shared" si="173"/>
        <v>0</v>
      </c>
      <c r="CX42" s="230">
        <f t="shared" si="174"/>
        <v>0</v>
      </c>
      <c r="CY42" s="230">
        <f t="shared" si="175"/>
        <v>0</v>
      </c>
      <c r="CZ42" s="230">
        <f t="shared" si="176"/>
        <v>0</v>
      </c>
      <c r="DA42" s="230">
        <f t="shared" si="177"/>
        <v>0</v>
      </c>
      <c r="DB42" s="230">
        <f t="shared" si="178"/>
        <v>0</v>
      </c>
      <c r="DC42" s="230">
        <f t="shared" si="179"/>
        <v>0</v>
      </c>
      <c r="DD42" s="230">
        <f t="shared" si="180"/>
        <v>0</v>
      </c>
      <c r="DE42" s="230">
        <f t="shared" si="181"/>
        <v>0</v>
      </c>
      <c r="DF42" s="230">
        <f t="shared" si="182"/>
        <v>0</v>
      </c>
      <c r="DG42" s="230">
        <f t="shared" si="183"/>
        <v>0</v>
      </c>
      <c r="DH42" s="230">
        <f t="shared" si="184"/>
        <v>0</v>
      </c>
      <c r="DI42" s="230">
        <f t="shared" si="185"/>
        <v>0</v>
      </c>
      <c r="DJ42" s="230">
        <f t="shared" si="186"/>
        <v>0</v>
      </c>
      <c r="DK42" s="230" t="str">
        <f>Input!AK42</f>
        <v>40,00W/40,00W/40,00W</v>
      </c>
      <c r="DL42" s="230" t="str">
        <f>Input!BA42</f>
      </c>
      <c r="DM42" s="230" t="str">
        <f>Input!BQ42</f>
      </c>
      <c r="DN42" s="230" t="str">
        <f>Input!CE42</f>
      </c>
      <c r="DO42" s="230" t="str">
        <f>Input!CS42</f>
      </c>
      <c r="DP42" s="230" t="str">
        <f>Input!DG42</f>
      </c>
      <c r="DQ42" s="230" t="str">
        <f t="shared" si="187"/>
        <v>40W/ 40W/ 40W</v>
      </c>
      <c r="DR42" s="230" t="str">
        <f t="shared" si="188"/>
      </c>
      <c r="DS42" s="230" t="str">
        <f t="shared" si="189"/>
      </c>
      <c r="DT42" s="230" t="str">
        <f t="shared" si="190"/>
      </c>
      <c r="DU42" s="230" t="str">
        <f t="shared" si="191"/>
      </c>
      <c r="DV42" s="230" t="str">
        <f t="shared" si="192"/>
      </c>
      <c r="DW42" s="230">
        <f t="shared" si="193"/>
        <v>40</v>
      </c>
      <c r="DX42" s="230">
        <f t="shared" si="194"/>
        <v>40</v>
      </c>
      <c r="DY42" s="230">
        <f t="shared" si="195"/>
        <v>40</v>
      </c>
      <c r="DZ42" s="230">
        <f t="shared" si="196"/>
        <v>0</v>
      </c>
      <c r="EA42" s="230">
        <f t="shared" si="197"/>
        <v>0</v>
      </c>
      <c r="EB42" s="230">
        <f t="shared" si="198"/>
        <v>0</v>
      </c>
      <c r="EC42" s="230">
        <f t="shared" si="199"/>
        <v>40</v>
      </c>
      <c r="ED42" s="230">
        <f t="shared" si="200"/>
        <v>0</v>
      </c>
      <c r="EE42" s="230">
        <f t="shared" si="201"/>
        <v>0</v>
      </c>
      <c r="EF42" s="230">
        <f t="shared" si="202"/>
        <v>0</v>
      </c>
      <c r="EG42" s="230">
        <f t="shared" si="203"/>
        <v>0</v>
      </c>
      <c r="EH42" s="230">
        <f t="shared" si="204"/>
        <v>0</v>
      </c>
      <c r="EI42" s="230">
        <f t="shared" si="205"/>
        <v>0</v>
      </c>
      <c r="EJ42" s="230">
        <f t="shared" si="206"/>
        <v>0</v>
      </c>
      <c r="EK42" s="230">
        <f t="shared" si="207"/>
        <v>0</v>
      </c>
      <c r="EL42" s="230">
        <f t="shared" si="208"/>
        <v>0</v>
      </c>
      <c r="EM42" s="230">
        <f t="shared" si="209"/>
        <v>0</v>
      </c>
      <c r="EN42" s="230">
        <f t="shared" si="210"/>
        <v>0</v>
      </c>
      <c r="EO42" s="230">
        <f t="shared" si="211"/>
        <v>0</v>
      </c>
      <c r="EP42" s="230">
        <f t="shared" si="212"/>
        <v>0</v>
      </c>
      <c r="EQ42" s="230">
        <f t="shared" si="213"/>
        <v>0</v>
      </c>
      <c r="ER42" s="230">
        <f t="shared" si="214"/>
        <v>0</v>
      </c>
      <c r="ES42" s="230">
        <f t="shared" si="215"/>
        <v>0</v>
      </c>
      <c r="ET42" s="230">
        <f t="shared" si="216"/>
        <v>0</v>
      </c>
      <c r="EU42" s="230">
        <f t="shared" si="217"/>
        <v>0</v>
      </c>
      <c r="EV42" s="230">
        <f t="shared" si="218"/>
        <v>0</v>
      </c>
      <c r="EW42" s="230">
        <f t="shared" si="219"/>
        <v>0</v>
      </c>
      <c r="EX42" s="230">
        <f t="shared" si="220"/>
        <v>0</v>
      </c>
      <c r="EY42" s="230">
        <f t="shared" si="221"/>
        <v>0</v>
      </c>
      <c r="EZ42" s="230">
        <f t="shared" si="222"/>
        <v>0</v>
      </c>
      <c r="FA42" s="230">
        <f t="shared" si="223"/>
        <v>0</v>
      </c>
      <c r="FB42" s="230">
        <f t="shared" si="224"/>
        <v>0</v>
      </c>
      <c r="FC42" s="230">
        <f t="shared" si="225"/>
        <v>0</v>
      </c>
      <c r="FD42" s="230">
        <f t="shared" si="226"/>
        <v>0</v>
      </c>
      <c r="FE42" s="230">
        <f t="shared" si="227"/>
        <v>0</v>
      </c>
      <c r="FF42" s="230">
        <f t="shared" si="228"/>
        <v>0</v>
      </c>
      <c r="FG42" s="230">
        <f t="shared" si="229"/>
        <v>0</v>
      </c>
      <c r="FH42" s="230">
        <f t="shared" si="230"/>
        <v>0</v>
      </c>
      <c r="FI42" s="230">
        <f t="shared" si="231"/>
        <v>0</v>
      </c>
      <c r="FJ42" s="230">
        <f t="shared" si="232"/>
        <v>0</v>
      </c>
      <c r="FK42" s="230">
        <f t="shared" si="233"/>
        <v>0</v>
      </c>
      <c r="FL42" s="230">
        <f t="shared" si="234"/>
        <v>0</v>
      </c>
      <c r="FM42" s="230">
        <f t="shared" si="235"/>
        <v>40</v>
      </c>
      <c r="FN42" s="230">
        <f>Input!AL42</f>
        <v>2100</v>
      </c>
      <c r="FO42" s="230">
        <f>Input!BB42</f>
        <v>0</v>
      </c>
      <c r="FP42" s="230">
        <f>Input!BR42</f>
        <v>0</v>
      </c>
      <c r="FQ42" s="230" t="str">
        <f>Input!CF42</f>
      </c>
      <c r="FR42" s="230" t="str">
        <f>Input!CT42</f>
      </c>
      <c r="FS42" s="230" t="str">
        <f>Input!DH42</f>
      </c>
      <c r="FT42" s="230" t="str">
        <f>Input!AM42</f>
        <v>27m/ 27m/ 27m</v>
      </c>
      <c r="FU42" s="230">
        <f>Input!BC42</f>
        <v>0</v>
      </c>
      <c r="FV42" s="230">
        <f>Input!BS42</f>
        <v>0</v>
      </c>
      <c r="FW42" s="230" t="str">
        <f>Input!CG42</f>
      </c>
      <c r="FX42" s="230" t="str">
        <f>Input!CU42</f>
      </c>
      <c r="FY42" s="230" t="str">
        <f>Input!DI42</f>
      </c>
      <c r="FZ42" s="230" t="str">
        <f t="shared" si="236"/>
        <v>27m/ 27m/ 27m</v>
      </c>
      <c r="GA42" s="230" t="str">
        <f t="shared" si="237"/>
      </c>
      <c r="GB42" s="230" t="str">
        <f t="shared" si="238"/>
      </c>
      <c r="GC42" s="230" t="str">
        <f t="shared" si="239"/>
      </c>
      <c r="GD42" s="230" t="str">
        <f t="shared" si="240"/>
      </c>
      <c r="GE42" s="230" t="str">
        <f t="shared" si="241"/>
      </c>
      <c r="GF42" s="230">
        <f t="shared" si="242"/>
        <v>27</v>
      </c>
      <c r="GG42" s="230">
        <f t="shared" si="243"/>
        <v>27</v>
      </c>
      <c r="GH42" s="230">
        <f t="shared" si="244"/>
        <v>27</v>
      </c>
      <c r="GI42" s="230">
        <f t="shared" si="245"/>
        <v>0</v>
      </c>
      <c r="GJ42" s="230">
        <f t="shared" si="246"/>
        <v>0</v>
      </c>
      <c r="GK42" s="230">
        <f t="shared" si="247"/>
        <v>0</v>
      </c>
      <c r="GL42" s="230">
        <f t="shared" si="248"/>
        <v>0</v>
      </c>
      <c r="GM42" s="230">
        <f t="shared" si="249"/>
        <v>0</v>
      </c>
      <c r="GN42" s="230">
        <f t="shared" si="250"/>
        <v>0</v>
      </c>
      <c r="GO42" s="230">
        <f t="shared" si="251"/>
        <v>0</v>
      </c>
      <c r="GP42" s="230">
        <f t="shared" si="252"/>
        <v>0</v>
      </c>
      <c r="GQ42" s="230">
        <f t="shared" si="253"/>
        <v>0</v>
      </c>
      <c r="GR42" s="230">
        <f t="shared" si="254"/>
        <v>0</v>
      </c>
      <c r="GS42" s="230">
        <f t="shared" si="255"/>
        <v>0</v>
      </c>
      <c r="GT42" s="230">
        <f t="shared" si="256"/>
        <v>0</v>
      </c>
      <c r="GU42" s="230">
        <f t="shared" si="257"/>
        <v>0</v>
      </c>
      <c r="GV42" s="230">
        <f t="shared" si="258"/>
        <v>0</v>
      </c>
      <c r="GW42" s="230">
        <f t="shared" si="259"/>
        <v>0</v>
      </c>
      <c r="GX42" s="230">
        <f t="shared" si="260"/>
        <v>0</v>
      </c>
      <c r="GY42" s="230">
        <f t="shared" si="261"/>
        <v>0</v>
      </c>
      <c r="GZ42" s="230">
        <f t="shared" si="262"/>
        <v>0</v>
      </c>
      <c r="HA42" s="230">
        <f t="shared" si="263"/>
        <v>0</v>
      </c>
      <c r="HB42" s="230">
        <f t="shared" si="264"/>
        <v>0</v>
      </c>
      <c r="HC42" s="230">
        <f t="shared" si="265"/>
        <v>0</v>
      </c>
      <c r="HD42" s="230">
        <f t="shared" si="266"/>
        <v>0</v>
      </c>
      <c r="HE42" s="230">
        <f t="shared" si="267"/>
        <v>0</v>
      </c>
      <c r="HF42" s="230">
        <f t="shared" si="268"/>
        <v>0</v>
      </c>
      <c r="HG42" s="230">
        <f t="shared" si="269"/>
        <v>0</v>
      </c>
      <c r="HH42" s="230">
        <f t="shared" si="270"/>
        <v>0</v>
      </c>
      <c r="HI42" s="230">
        <f t="shared" si="271"/>
        <v>0</v>
      </c>
      <c r="HJ42" s="230">
        <f t="shared" si="272"/>
        <v>0</v>
      </c>
      <c r="HK42" s="230">
        <f t="shared" si="273"/>
        <v>0</v>
      </c>
      <c r="HL42" s="230">
        <f t="shared" si="274"/>
        <v>0</v>
      </c>
      <c r="HM42" s="230">
        <f t="shared" si="275"/>
        <v>0</v>
      </c>
      <c r="HN42" s="230">
        <f t="shared" si="276"/>
        <v>0</v>
      </c>
      <c r="HO42" s="230">
        <f t="shared" si="277"/>
        <v>0</v>
      </c>
      <c r="HP42" s="230" t="str">
        <f>INDEX(LabNameList,MATCH(LabId,LabIDList,0))</f>
        <v>Trung tâm Kiểm định và Chứng nhận 2</v>
      </c>
      <c r="HQ42" s="230">
        <f t="shared" si="278"/>
        <v>27</v>
      </c>
      <c r="HR42" s="230">
        <f t="shared" si="279"/>
        <v>0</v>
      </c>
      <c r="HS42" s="230">
        <f t="shared" si="280"/>
        <v>0</v>
      </c>
      <c r="HT42" s="230">
        <f t="shared" si="281"/>
        <v>0</v>
      </c>
      <c r="HU42" s="230">
        <f t="shared" si="282"/>
        <v>0</v>
      </c>
      <c r="HV42" s="230">
        <f t="shared" si="283"/>
        <v>0</v>
      </c>
      <c r="HW42" s="797">
        <f t="shared" si="284"/>
        <v>27</v>
      </c>
      <c r="HX42" s="797">
        <f>Input!EB42</f>
        <v>0</v>
      </c>
      <c r="HY42" s="230">
        <v>68</v>
      </c>
      <c r="HZ42" s="230"/>
      <c r="IA42" s="230"/>
      <c r="IB42" s="230"/>
      <c r="IC42" s="232" t="str">
        <f t="shared" si="285"/>
        <v>B01993230916TG05</v>
      </c>
      <c r="ID42" s="233" t="str">
        <f>Input!O42</f>
        <v>01993</v>
      </c>
      <c r="IE42" s="467" t="str">
        <f t="shared" si="286"/>
        <v>230916</v>
      </c>
      <c r="IF42" s="232" t="s">
        <v>364</v>
      </c>
      <c r="IG42" s="467" t="str">
        <f t="shared" si="287"/>
        <v>23/09/2016</v>
      </c>
      <c r="IH42" s="467" t="str">
        <f t="shared" si="288"/>
        <v>23/09/2021</v>
      </c>
      <c r="II42" s="546" t="str">
        <f> Input!R42</f>
        <v>23/09/2016</v>
      </c>
      <c r="IJ42" s="467">
        <f t="shared" si="289"/>
        <v>44462</v>
      </c>
      <c r="IK42" s="468">
        <f t="shared" si="290"/>
        <v>3</v>
      </c>
      <c r="IL42" s="469" t="str">
        <f t="shared" si="291"/>
        <v>3-1</v>
      </c>
      <c r="IM42" s="469" t="str">
        <f t="shared" si="292"/>
        <v>KHAC</v>
      </c>
      <c r="IN42" s="469" t="str">
        <f t="shared" si="293"/>
        <v>KHAC</v>
      </c>
      <c r="IO42" s="469" t="str">
        <f t="shared" si="294"/>
      </c>
      <c r="IP42" s="469" t="str">
        <f t="shared" si="295"/>
      </c>
      <c r="IQ42" s="469" t="str">
        <f t="shared" si="296"/>
      </c>
      <c r="IR42" s="469">
        <f t="shared" si="297"/>
        <v>1</v>
      </c>
      <c r="IS42" s="469">
        <f t="shared" si="298"/>
        <v>2</v>
      </c>
      <c r="IT42" s="469" t="str">
        <f t="shared" si="299"/>
        <v>Yes</v>
      </c>
      <c r="IU42" s="469" t="str">
        <f t="shared" si="300"/>
        <v>Yes</v>
      </c>
    </row>
    <row r="43" ht="63.75">
      <c r="A43" s="601">
        <f>Input!A43</f>
        <v>42</v>
      </c>
      <c r="B43" s="229" t="str">
        <f>INDEX(ApplicantIDList,MATCH(AI43,ApplicantNameList,0))</f>
        <v>VIETTEL-2016</v>
      </c>
      <c r="C43" s="229" t="str">
        <f>INDEX(OperatorIDList,MATCH(AJ43,OperatorNameList,0))</f>
        <v>VIETTEL-2016</v>
      </c>
      <c r="D43" s="797" t="str">
        <f>Input!Y43</f>
        <v>HCM4450</v>
      </c>
      <c r="E43" s="229" t="str">
        <f>Input!G43</f>
        <v>Số 2, đường số 15, khu chế xuất Tân Thuận, phường Tân Thuận Đông, quận 7, thành phố Hồ Chí Minh.</v>
      </c>
      <c r="F43" s="229" t="str">
        <f>TRIM(SUBSTITUTE(SUBSTITUTE(Input!H43,"Thành phố ",""),"Tỉnh ",""))</f>
        <v>Hồ Chí Minh</v>
      </c>
      <c r="G43" s="797" t="str">
        <f>Input!I43</f>
        <v>106,73964</v>
      </c>
      <c r="H43" s="797" t="str">
        <f>Input!J43</f>
        <v>10,77074</v>
      </c>
      <c r="I43" s="229">
        <f>Input!V43</f>
        <v>1</v>
      </c>
      <c r="J43" s="229" t="str">
        <f>Input!K43</f>
        <v>1502414/16/TG/TT2</v>
      </c>
      <c r="K43" s="231" t="str">
        <f>TEXT(Input!L43,"dd/mm/yyyy")</f>
        <v>23/09/2016</v>
      </c>
      <c r="L43" s="231" t="str">
        <f>TEXT(Input!M43,"dd/mm/yyyy")</f>
        <v>18/09/2016</v>
      </c>
      <c r="M43" s="229" t="str">
        <f t="shared" si="135"/>
        <v>TỔNG CÔNG TY MẠNG LƯỚI VIETTEL</v>
      </c>
      <c r="N43" s="229" t="str">
        <f t="shared" si="136"/>
        <v>HCM4450</v>
      </c>
      <c r="O43" s="229" t="str">
        <f t="shared" si="137"/>
        <v>HUAWEI DBS3900</v>
      </c>
      <c r="P43" s="229" t="str">
        <f t="shared" si="138"/>
        <v>3</v>
      </c>
      <c r="Q43" s="229" t="str">
        <f t="shared" si="139"/>
        <v>2/2/2</v>
      </c>
      <c r="R43" s="229" t="str">
        <f t="shared" si="140"/>
        <v>40W/ 40W/ 40W</v>
      </c>
      <c r="S43" s="229" t="str">
        <f t="shared" si="141"/>
        <v>2100</v>
      </c>
      <c r="T43" s="229" t="str">
        <f t="shared" si="142"/>
        <v>20m/ 20m/ 20m</v>
      </c>
      <c r="U43" s="229">
        <v>1</v>
      </c>
      <c r="V43" s="229"/>
      <c r="W43" s="229" t="b">
        <f t="shared" si="143"/>
        <v>0</v>
      </c>
      <c r="X43" s="229" t="b">
        <f>INDEX(TrueFalseList,_xlfn.IFNA(MATCH(Input!W43,CoKhongList,0),MATCH(Input!W43,YesNoList,0)))</f>
        <v>0</v>
      </c>
      <c r="Y43" s="797">
        <f>Input!FZ43</f>
        <v>0</v>
      </c>
      <c r="Z43" s="229" t="b">
        <v>1</v>
      </c>
      <c r="AA43" s="797">
        <f t="shared" si="144"/>
        <v>20</v>
      </c>
      <c r="AB43" s="229" t="b">
        <v>0</v>
      </c>
      <c r="AC43" s="229" t="b">
        <v>1</v>
      </c>
      <c r="AD43" s="229">
        <f>Input!DR43</f>
        <v>0</v>
      </c>
      <c r="AE43" s="229"/>
      <c r="AF43" s="229" t="str">
        <f>Options!$D$6</f>
        <v>VCC2</v>
      </c>
      <c r="AG43" s="229">
        <f t="shared" si="145"/>
        <v>0</v>
      </c>
      <c r="AH43" s="230"/>
      <c r="AI43" s="553" t="str">
        <f>Input!E43</f>
        <v>TỔNG CÔNG TY MẠNG LƯỚI VIETTEL</v>
      </c>
      <c r="AJ43" s="553" t="str">
        <f>Input!F43</f>
        <v>TỔNG CÔNG TY MẠNG LƯỚI VIETTEL</v>
      </c>
      <c r="AK43" s="229">
        <f t="shared" si="146"/>
        <v>5</v>
      </c>
      <c r="AL43" s="465" t="str">
        <f t="shared" si="147"/>
        <v>thành phố Hồ Chí Minh.</v>
      </c>
      <c r="AM43" s="465" t="str">
        <f t="shared" si="148"/>
        <v>quận 7</v>
      </c>
      <c r="AN43" s="465" t="str">
        <f t="shared" si="149"/>
        <v>phường Tân Thuận Đông</v>
      </c>
      <c r="AO43" s="229" t="str">
        <f>INDEX(CityIDList,MATCH(F43,CityNameList,0))</f>
        <v>HCM</v>
      </c>
      <c r="AP43" s="230" t="str">
        <f>Input!X43</f>
        <v>TỔNG CÔNG TY MẠNG LƯỚI VIETTEL</v>
      </c>
      <c r="AQ43" s="230">
        <f>Input!AN43</f>
        <v>0</v>
      </c>
      <c r="AR43" s="230">
        <f>Input!BD43</f>
        <v>0</v>
      </c>
      <c r="AS43" s="230" t="str">
        <f>Input!BT43</f>
      </c>
      <c r="AT43" s="230" t="str">
        <f>Input!CH43</f>
      </c>
      <c r="AU43" s="230" t="str">
        <f>Input!CV43</f>
      </c>
      <c r="AV43" s="230" t="str">
        <f>IF(I43&gt;=1,INDEX(OperatorIDList,MATCH(AP43,OperatorNameList,0)),"")</f>
        <v>VIETTEL-2016</v>
      </c>
      <c r="AW43" s="230" t="str">
        <f>IF(I43&gt;=2,INDEX(OperatorIDList,MATCH(AQ43,OperatorNameList,0)),"")</f>
      </c>
      <c r="AX43" s="230" t="str">
        <f>IF(I43&gt;=3,INDEX(OperatorIDList,MATCH(AR43,OperatorNameList,0)),"")</f>
      </c>
      <c r="AY43" s="230" t="str">
        <f>IF(I43&gt;=4,INDEX(OperatorIDList,MATCH(AS43,OperatorNameList,0)),"")</f>
      </c>
      <c r="AZ43" s="230" t="str">
        <f>IF(I43&gt;=5,INDEX(OperatorIDList,MATCH(AT43,OperatorNameList,0)),"")</f>
      </c>
      <c r="BA43" s="230" t="str">
        <f>IF(I43&gt;=6,INDEX(OperatorIDList,MATCH(AU43,OperatorNameList,0)),"")</f>
      </c>
      <c r="BB43" s="230" t="str">
        <f t="shared" si="150"/>
        <v>VIETTEL-2016</v>
      </c>
      <c r="BC43" s="230" t="str">
        <f>Input!Y43</f>
        <v>HCM4450</v>
      </c>
      <c r="BD43" s="230">
        <f>Input!AO43</f>
        <v>0</v>
      </c>
      <c r="BE43" s="230">
        <f>Input!BE43</f>
        <v>0</v>
      </c>
      <c r="BF43" s="230" t="str">
        <f>Input!BU43</f>
      </c>
      <c r="BG43" s="230" t="str">
        <f>Input!CI43</f>
      </c>
      <c r="BH43" s="230" t="str">
        <f>Input!CW43</f>
      </c>
      <c r="BI43" s="230" t="str">
        <f>Input!Z43</f>
        <v>HUAWEI DBS3900</v>
      </c>
      <c r="BJ43" s="230">
        <f>Input!AP43</f>
        <v>0</v>
      </c>
      <c r="BK43" s="230">
        <f>Input!BF43</f>
        <v>0</v>
      </c>
      <c r="BL43" s="230" t="str">
        <f>Input!BV43</f>
      </c>
      <c r="BM43" s="230" t="str">
        <f>Input!CJ43</f>
      </c>
      <c r="BN43" s="230" t="str">
        <f>Input!CX43</f>
      </c>
      <c r="BO43" s="553">
        <f>IF(ISNUMBER(Input!AA43),Input!AA43,0)</f>
        <v>3</v>
      </c>
      <c r="BP43" s="553">
        <f>IF(ISNUMBER(Input!AQ43),Input!AQ43,0)</f>
        <v>0</v>
      </c>
      <c r="BQ43" s="553">
        <f>IF(ISNUMBER(Input!BG43),Input!BG43,0)</f>
        <v>0</v>
      </c>
      <c r="BR43" s="553">
        <f>IF(ISNUMBER(Input!BW43),Input!BW43,0)</f>
        <v>0</v>
      </c>
      <c r="BS43" s="553">
        <f>IF(ISNUMBER(Input!CK43),Input!CK43,0)</f>
        <v>0</v>
      </c>
      <c r="BT43" s="554">
        <f>IF(ISNUMBER(Input!CY43),Input!CY43,0)</f>
        <v>0</v>
      </c>
      <c r="BU43" s="230" t="str">
        <f>Input!AF43</f>
        <v>2/2/2</v>
      </c>
      <c r="BV43" s="230" t="str">
        <f>Input!AV43</f>
      </c>
      <c r="BW43" s="230" t="str">
        <f>Input!BL43</f>
      </c>
      <c r="BX43" s="230" t="str">
        <f>Input!CA43</f>
      </c>
      <c r="BY43" s="230" t="str">
        <f>Input!CO43</f>
      </c>
      <c r="BZ43" s="230" t="str">
        <f>Input!DC43</f>
      </c>
      <c r="CA43" s="230">
        <f t="shared" si="151"/>
        <v>2</v>
      </c>
      <c r="CB43" s="230">
        <f t="shared" si="152"/>
        <v>2</v>
      </c>
      <c r="CC43" s="230">
        <f t="shared" si="153"/>
        <v>2</v>
      </c>
      <c r="CD43" s="230">
        <f t="shared" si="154"/>
        <v>0</v>
      </c>
      <c r="CE43" s="230">
        <f t="shared" si="155"/>
        <v>0</v>
      </c>
      <c r="CF43" s="230">
        <f t="shared" si="156"/>
        <v>0</v>
      </c>
      <c r="CG43" s="230">
        <f t="shared" si="157"/>
        <v>0</v>
      </c>
      <c r="CH43" s="230">
        <f t="shared" si="158"/>
        <v>0</v>
      </c>
      <c r="CI43" s="230">
        <f t="shared" si="159"/>
        <v>0</v>
      </c>
      <c r="CJ43" s="230">
        <f t="shared" si="160"/>
        <v>0</v>
      </c>
      <c r="CK43" s="230">
        <f t="shared" si="161"/>
        <v>0</v>
      </c>
      <c r="CL43" s="230">
        <f t="shared" si="162"/>
        <v>0</v>
      </c>
      <c r="CM43" s="230">
        <f t="shared" si="163"/>
        <v>0</v>
      </c>
      <c r="CN43" s="230">
        <f t="shared" si="164"/>
        <v>0</v>
      </c>
      <c r="CO43" s="230">
        <f t="shared" si="165"/>
        <v>0</v>
      </c>
      <c r="CP43" s="230">
        <f t="shared" si="166"/>
        <v>0</v>
      </c>
      <c r="CQ43" s="230">
        <f t="shared" si="167"/>
        <v>0</v>
      </c>
      <c r="CR43" s="230">
        <f t="shared" si="168"/>
        <v>0</v>
      </c>
      <c r="CS43" s="230">
        <f t="shared" si="169"/>
        <v>0</v>
      </c>
      <c r="CT43" s="230">
        <f t="shared" si="170"/>
        <v>0</v>
      </c>
      <c r="CU43" s="230">
        <f t="shared" si="171"/>
        <v>0</v>
      </c>
      <c r="CV43" s="230">
        <f t="shared" si="172"/>
        <v>0</v>
      </c>
      <c r="CW43" s="230">
        <f t="shared" si="173"/>
        <v>0</v>
      </c>
      <c r="CX43" s="230">
        <f t="shared" si="174"/>
        <v>0</v>
      </c>
      <c r="CY43" s="230">
        <f t="shared" si="175"/>
        <v>0</v>
      </c>
      <c r="CZ43" s="230">
        <f t="shared" si="176"/>
        <v>0</v>
      </c>
      <c r="DA43" s="230">
        <f t="shared" si="177"/>
        <v>0</v>
      </c>
      <c r="DB43" s="230">
        <f t="shared" si="178"/>
        <v>0</v>
      </c>
      <c r="DC43" s="230">
        <f t="shared" si="179"/>
        <v>0</v>
      </c>
      <c r="DD43" s="230">
        <f t="shared" si="180"/>
        <v>0</v>
      </c>
      <c r="DE43" s="230">
        <f t="shared" si="181"/>
        <v>0</v>
      </c>
      <c r="DF43" s="230">
        <f t="shared" si="182"/>
        <v>0</v>
      </c>
      <c r="DG43" s="230">
        <f t="shared" si="183"/>
        <v>0</v>
      </c>
      <c r="DH43" s="230">
        <f t="shared" si="184"/>
        <v>0</v>
      </c>
      <c r="DI43" s="230">
        <f t="shared" si="185"/>
        <v>0</v>
      </c>
      <c r="DJ43" s="230">
        <f t="shared" si="186"/>
        <v>0</v>
      </c>
      <c r="DK43" s="230" t="str">
        <f>Input!AK43</f>
        <v>40,00W/40,00W/40,00W</v>
      </c>
      <c r="DL43" s="230" t="str">
        <f>Input!BA43</f>
      </c>
      <c r="DM43" s="230" t="str">
        <f>Input!BQ43</f>
      </c>
      <c r="DN43" s="230" t="str">
        <f>Input!CE43</f>
      </c>
      <c r="DO43" s="230" t="str">
        <f>Input!CS43</f>
      </c>
      <c r="DP43" s="230" t="str">
        <f>Input!DG43</f>
      </c>
      <c r="DQ43" s="230" t="str">
        <f t="shared" si="187"/>
        <v>40W/ 40W/ 40W</v>
      </c>
      <c r="DR43" s="230" t="str">
        <f t="shared" si="188"/>
      </c>
      <c r="DS43" s="230" t="str">
        <f t="shared" si="189"/>
      </c>
      <c r="DT43" s="230" t="str">
        <f t="shared" si="190"/>
      </c>
      <c r="DU43" s="230" t="str">
        <f t="shared" si="191"/>
      </c>
      <c r="DV43" s="230" t="str">
        <f t="shared" si="192"/>
      </c>
      <c r="DW43" s="230">
        <f t="shared" si="193"/>
        <v>40</v>
      </c>
      <c r="DX43" s="230">
        <f t="shared" si="194"/>
        <v>40</v>
      </c>
      <c r="DY43" s="230">
        <f t="shared" si="195"/>
        <v>40</v>
      </c>
      <c r="DZ43" s="230">
        <f t="shared" si="196"/>
        <v>0</v>
      </c>
      <c r="EA43" s="230">
        <f t="shared" si="197"/>
        <v>0</v>
      </c>
      <c r="EB43" s="230">
        <f t="shared" si="198"/>
        <v>0</v>
      </c>
      <c r="EC43" s="230">
        <f t="shared" si="199"/>
        <v>40</v>
      </c>
      <c r="ED43" s="230">
        <f t="shared" si="200"/>
        <v>0</v>
      </c>
      <c r="EE43" s="230">
        <f t="shared" si="201"/>
        <v>0</v>
      </c>
      <c r="EF43" s="230">
        <f t="shared" si="202"/>
        <v>0</v>
      </c>
      <c r="EG43" s="230">
        <f t="shared" si="203"/>
        <v>0</v>
      </c>
      <c r="EH43" s="230">
        <f t="shared" si="204"/>
        <v>0</v>
      </c>
      <c r="EI43" s="230">
        <f t="shared" si="205"/>
        <v>0</v>
      </c>
      <c r="EJ43" s="230">
        <f t="shared" si="206"/>
        <v>0</v>
      </c>
      <c r="EK43" s="230">
        <f t="shared" si="207"/>
        <v>0</v>
      </c>
      <c r="EL43" s="230">
        <f t="shared" si="208"/>
        <v>0</v>
      </c>
      <c r="EM43" s="230">
        <f t="shared" si="209"/>
        <v>0</v>
      </c>
      <c r="EN43" s="230">
        <f t="shared" si="210"/>
        <v>0</v>
      </c>
      <c r="EO43" s="230">
        <f t="shared" si="211"/>
        <v>0</v>
      </c>
      <c r="EP43" s="230">
        <f t="shared" si="212"/>
        <v>0</v>
      </c>
      <c r="EQ43" s="230">
        <f t="shared" si="213"/>
        <v>0</v>
      </c>
      <c r="ER43" s="230">
        <f t="shared" si="214"/>
        <v>0</v>
      </c>
      <c r="ES43" s="230">
        <f t="shared" si="215"/>
        <v>0</v>
      </c>
      <c r="ET43" s="230">
        <f t="shared" si="216"/>
        <v>0</v>
      </c>
      <c r="EU43" s="230">
        <f t="shared" si="217"/>
        <v>0</v>
      </c>
      <c r="EV43" s="230">
        <f t="shared" si="218"/>
        <v>0</v>
      </c>
      <c r="EW43" s="230">
        <f t="shared" si="219"/>
        <v>0</v>
      </c>
      <c r="EX43" s="230">
        <f t="shared" si="220"/>
        <v>0</v>
      </c>
      <c r="EY43" s="230">
        <f t="shared" si="221"/>
        <v>0</v>
      </c>
      <c r="EZ43" s="230">
        <f t="shared" si="222"/>
        <v>0</v>
      </c>
      <c r="FA43" s="230">
        <f t="shared" si="223"/>
        <v>0</v>
      </c>
      <c r="FB43" s="230">
        <f t="shared" si="224"/>
        <v>0</v>
      </c>
      <c r="FC43" s="230">
        <f t="shared" si="225"/>
        <v>0</v>
      </c>
      <c r="FD43" s="230">
        <f t="shared" si="226"/>
        <v>0</v>
      </c>
      <c r="FE43" s="230">
        <f t="shared" si="227"/>
        <v>0</v>
      </c>
      <c r="FF43" s="230">
        <f t="shared" si="228"/>
        <v>0</v>
      </c>
      <c r="FG43" s="230">
        <f t="shared" si="229"/>
        <v>0</v>
      </c>
      <c r="FH43" s="230">
        <f t="shared" si="230"/>
        <v>0</v>
      </c>
      <c r="FI43" s="230">
        <f t="shared" si="231"/>
        <v>0</v>
      </c>
      <c r="FJ43" s="230">
        <f t="shared" si="232"/>
        <v>0</v>
      </c>
      <c r="FK43" s="230">
        <f t="shared" si="233"/>
        <v>0</v>
      </c>
      <c r="FL43" s="230">
        <f t="shared" si="234"/>
        <v>0</v>
      </c>
      <c r="FM43" s="230">
        <f t="shared" si="235"/>
        <v>40</v>
      </c>
      <c r="FN43" s="230">
        <f>Input!AL43</f>
        <v>2100</v>
      </c>
      <c r="FO43" s="230">
        <f>Input!BB43</f>
        <v>0</v>
      </c>
      <c r="FP43" s="230">
        <f>Input!BR43</f>
        <v>0</v>
      </c>
      <c r="FQ43" s="230" t="str">
        <f>Input!CF43</f>
      </c>
      <c r="FR43" s="230" t="str">
        <f>Input!CT43</f>
      </c>
      <c r="FS43" s="230" t="str">
        <f>Input!DH43</f>
      </c>
      <c r="FT43" s="230" t="str">
        <f>Input!AM43</f>
        <v>20m/ 20m/ 20m</v>
      </c>
      <c r="FU43" s="230">
        <f>Input!BC43</f>
        <v>0</v>
      </c>
      <c r="FV43" s="230">
        <f>Input!BS43</f>
        <v>0</v>
      </c>
      <c r="FW43" s="230" t="str">
        <f>Input!CG43</f>
      </c>
      <c r="FX43" s="230" t="str">
        <f>Input!CU43</f>
      </c>
      <c r="FY43" s="230" t="str">
        <f>Input!DI43</f>
      </c>
      <c r="FZ43" s="230" t="str">
        <f t="shared" si="236"/>
        <v>20m/ 20m/ 20m</v>
      </c>
      <c r="GA43" s="230" t="str">
        <f t="shared" si="237"/>
      </c>
      <c r="GB43" s="230" t="str">
        <f t="shared" si="238"/>
      </c>
      <c r="GC43" s="230" t="str">
        <f t="shared" si="239"/>
      </c>
      <c r="GD43" s="230" t="str">
        <f t="shared" si="240"/>
      </c>
      <c r="GE43" s="230" t="str">
        <f t="shared" si="241"/>
      </c>
      <c r="GF43" s="230">
        <f t="shared" si="242"/>
        <v>20</v>
      </c>
      <c r="GG43" s="230">
        <f t="shared" si="243"/>
        <v>20</v>
      </c>
      <c r="GH43" s="230">
        <f t="shared" si="244"/>
        <v>20</v>
      </c>
      <c r="GI43" s="230">
        <f t="shared" si="245"/>
        <v>0</v>
      </c>
      <c r="GJ43" s="230">
        <f t="shared" si="246"/>
        <v>0</v>
      </c>
      <c r="GK43" s="230">
        <f t="shared" si="247"/>
        <v>0</v>
      </c>
      <c r="GL43" s="230">
        <f t="shared" si="248"/>
        <v>0</v>
      </c>
      <c r="GM43" s="230">
        <f t="shared" si="249"/>
        <v>0</v>
      </c>
      <c r="GN43" s="230">
        <f t="shared" si="250"/>
        <v>0</v>
      </c>
      <c r="GO43" s="230">
        <f t="shared" si="251"/>
        <v>0</v>
      </c>
      <c r="GP43" s="230">
        <f t="shared" si="252"/>
        <v>0</v>
      </c>
      <c r="GQ43" s="230">
        <f t="shared" si="253"/>
        <v>0</v>
      </c>
      <c r="GR43" s="230">
        <f t="shared" si="254"/>
        <v>0</v>
      </c>
      <c r="GS43" s="230">
        <f t="shared" si="255"/>
        <v>0</v>
      </c>
      <c r="GT43" s="230">
        <f t="shared" si="256"/>
        <v>0</v>
      </c>
      <c r="GU43" s="230">
        <f t="shared" si="257"/>
        <v>0</v>
      </c>
      <c r="GV43" s="230">
        <f t="shared" si="258"/>
        <v>0</v>
      </c>
      <c r="GW43" s="230">
        <f t="shared" si="259"/>
        <v>0</v>
      </c>
      <c r="GX43" s="230">
        <f t="shared" si="260"/>
        <v>0</v>
      </c>
      <c r="GY43" s="230">
        <f t="shared" si="261"/>
        <v>0</v>
      </c>
      <c r="GZ43" s="230">
        <f t="shared" si="262"/>
        <v>0</v>
      </c>
      <c r="HA43" s="230">
        <f t="shared" si="263"/>
        <v>0</v>
      </c>
      <c r="HB43" s="230">
        <f t="shared" si="264"/>
        <v>0</v>
      </c>
      <c r="HC43" s="230">
        <f t="shared" si="265"/>
        <v>0</v>
      </c>
      <c r="HD43" s="230">
        <f t="shared" si="266"/>
        <v>0</v>
      </c>
      <c r="HE43" s="230">
        <f t="shared" si="267"/>
        <v>0</v>
      </c>
      <c r="HF43" s="230">
        <f t="shared" si="268"/>
        <v>0</v>
      </c>
      <c r="HG43" s="230">
        <f t="shared" si="269"/>
        <v>0</v>
      </c>
      <c r="HH43" s="230">
        <f t="shared" si="270"/>
        <v>0</v>
      </c>
      <c r="HI43" s="230">
        <f t="shared" si="271"/>
        <v>0</v>
      </c>
      <c r="HJ43" s="230">
        <f t="shared" si="272"/>
        <v>0</v>
      </c>
      <c r="HK43" s="230">
        <f t="shared" si="273"/>
        <v>0</v>
      </c>
      <c r="HL43" s="230">
        <f t="shared" si="274"/>
        <v>0</v>
      </c>
      <c r="HM43" s="230">
        <f t="shared" si="275"/>
        <v>0</v>
      </c>
      <c r="HN43" s="230">
        <f t="shared" si="276"/>
        <v>0</v>
      </c>
      <c r="HO43" s="230">
        <f t="shared" si="277"/>
        <v>0</v>
      </c>
      <c r="HP43" s="230" t="str">
        <f>INDEX(LabNameList,MATCH(LabId,LabIDList,0))</f>
        <v>Trung tâm Kiểm định và Chứng nhận 2</v>
      </c>
      <c r="HQ43" s="230">
        <f t="shared" si="278"/>
        <v>20</v>
      </c>
      <c r="HR43" s="230">
        <f t="shared" si="279"/>
        <v>0</v>
      </c>
      <c r="HS43" s="230">
        <f t="shared" si="280"/>
        <v>0</v>
      </c>
      <c r="HT43" s="230">
        <f t="shared" si="281"/>
        <v>0</v>
      </c>
      <c r="HU43" s="230">
        <f t="shared" si="282"/>
        <v>0</v>
      </c>
      <c r="HV43" s="230">
        <f t="shared" si="283"/>
        <v>0</v>
      </c>
      <c r="HW43" s="797">
        <f t="shared" si="284"/>
        <v>20</v>
      </c>
      <c r="HX43" s="797">
        <f>Input!EB43</f>
        <v>0</v>
      </c>
      <c r="HY43" s="230">
        <v>68</v>
      </c>
      <c r="HZ43" s="230"/>
      <c r="IA43" s="230"/>
      <c r="IB43" s="230"/>
      <c r="IC43" s="232" t="str">
        <f t="shared" si="285"/>
        <v>B01994230916TG05</v>
      </c>
      <c r="ID43" s="233" t="str">
        <f>Input!O43</f>
        <v>01994</v>
      </c>
      <c r="IE43" s="467" t="str">
        <f t="shared" si="286"/>
        <v>230916</v>
      </c>
      <c r="IF43" s="232" t="s">
        <v>364</v>
      </c>
      <c r="IG43" s="467" t="str">
        <f t="shared" si="287"/>
        <v>23/09/2016</v>
      </c>
      <c r="IH43" s="467" t="str">
        <f t="shared" si="288"/>
        <v>23/09/2021</v>
      </c>
      <c r="II43" s="546" t="str">
        <f> Input!R43</f>
        <v>23/09/2016</v>
      </c>
      <c r="IJ43" s="467">
        <f t="shared" si="289"/>
        <v>44462</v>
      </c>
      <c r="IK43" s="468">
        <f t="shared" si="290"/>
        <v>3</v>
      </c>
      <c r="IL43" s="469" t="str">
        <f t="shared" si="291"/>
        <v>3-1</v>
      </c>
      <c r="IM43" s="469" t="str">
        <f t="shared" si="292"/>
        <v>KHAC</v>
      </c>
      <c r="IN43" s="469" t="str">
        <f t="shared" si="293"/>
        <v>KHAC</v>
      </c>
      <c r="IO43" s="469" t="str">
        <f t="shared" si="294"/>
      </c>
      <c r="IP43" s="469" t="str">
        <f t="shared" si="295"/>
      </c>
      <c r="IQ43" s="469" t="str">
        <f t="shared" si="296"/>
      </c>
      <c r="IR43" s="469">
        <f t="shared" si="297"/>
        <v>1</v>
      </c>
      <c r="IS43" s="469">
        <f t="shared" si="298"/>
        <v>2</v>
      </c>
      <c r="IT43" s="469" t="str">
        <f t="shared" si="299"/>
        <v>Yes</v>
      </c>
      <c r="IU43" s="469" t="str">
        <f t="shared" si="300"/>
        <v>Yes</v>
      </c>
    </row>
    <row r="44" ht="63.75">
      <c r="A44" s="601">
        <f>Input!A44</f>
        <v>43</v>
      </c>
      <c r="B44" s="229" t="str">
        <f>INDEX(ApplicantIDList,MATCH(AI44,ApplicantNameList,0))</f>
        <v>VIETTEL-2016</v>
      </c>
      <c r="C44" s="229" t="str">
        <f>INDEX(OperatorIDList,MATCH(AJ44,OperatorNameList,0))</f>
        <v>VIETTEL-2016</v>
      </c>
      <c r="D44" s="797" t="str">
        <f>Input!Y44</f>
        <v>HCM4419</v>
      </c>
      <c r="E44" s="229" t="str">
        <f>Input!G44</f>
        <v>Số 115/14, khu phố 2, đường Phạm Hữu Lầu, phường Phú Mỹ, quận 7, thành phố Hồ Chí Minh.</v>
      </c>
      <c r="F44" s="229" t="str">
        <f>TRIM(SUBSTITUTE(SUBSTITUTE(Input!H44,"Thành phố ",""),"Tỉnh ",""))</f>
        <v>Hồ Chí Minh</v>
      </c>
      <c r="G44" s="797" t="str">
        <f>Input!I44</f>
        <v>106,733652</v>
      </c>
      <c r="H44" s="797" t="str">
        <f>Input!J44</f>
        <v>10,703778</v>
      </c>
      <c r="I44" s="229">
        <f>Input!V44</f>
        <v>2</v>
      </c>
      <c r="J44" s="229" t="str">
        <f>Input!K44</f>
        <v>1502417/16/TG/TT2</v>
      </c>
      <c r="K44" s="231" t="str">
        <f>TEXT(Input!L44,"dd/mm/yyyy")</f>
        <v>23/09/2016</v>
      </c>
      <c r="L44" s="231" t="str">
        <f>TEXT(Input!M44,"dd/mm/yyyy")</f>
        <v>19/09/2016</v>
      </c>
      <c r="M44" s="229" t="str">
        <f t="shared" si="135"/>
        <v>TỔNG CÔNG TY MẠNG LƯỚI VIETTEL;TỔNG CÔNG TY MẠNG LƯỚI VIETTEL</v>
      </c>
      <c r="N44" s="229" t="str">
        <f t="shared" si="136"/>
        <v>HCM4419;HCM4419</v>
      </c>
      <c r="O44" s="229" t="str">
        <f t="shared" si="137"/>
        <v>HUAWEI DBS3900;HUAWEI DBS3900</v>
      </c>
      <c r="P44" s="229" t="str">
        <f t="shared" si="138"/>
        <v>3;3</v>
      </c>
      <c r="Q44" s="229" t="str">
        <f t="shared" si="139"/>
        <v>2/2/2;2/2/2</v>
      </c>
      <c r="R44" s="229" t="str">
        <f t="shared" si="140"/>
        <v>40W/ 40W/ 40W;40W/ 40W/ 40W</v>
      </c>
      <c r="S44" s="229" t="str">
        <f t="shared" si="141"/>
        <v>900;2100</v>
      </c>
      <c r="T44" s="229" t="str">
        <f t="shared" si="142"/>
        <v>18m/ 18m/ 18m;19m/ 19m/ 19m</v>
      </c>
      <c r="U44" s="229">
        <v>1</v>
      </c>
      <c r="V44" s="229"/>
      <c r="W44" s="229" t="b">
        <f t="shared" si="143"/>
        <v>0</v>
      </c>
      <c r="X44" s="229" t="b">
        <f>INDEX(TrueFalseList,_xlfn.IFNA(MATCH(Input!W44,CoKhongList,0),MATCH(Input!W44,YesNoList,0)))</f>
        <v>0</v>
      </c>
      <c r="Y44" s="797">
        <f>Input!FZ44</f>
        <v>0</v>
      </c>
      <c r="Z44" s="229" t="b">
        <v>1</v>
      </c>
      <c r="AA44" s="797">
        <f t="shared" si="144"/>
        <v>18</v>
      </c>
      <c r="AB44" s="229" t="b">
        <v>0</v>
      </c>
      <c r="AC44" s="229" t="b">
        <v>1</v>
      </c>
      <c r="AD44" s="229">
        <f>Input!DR44</f>
        <v>0</v>
      </c>
      <c r="AE44" s="229"/>
      <c r="AF44" s="229" t="str">
        <f>Options!$D$6</f>
        <v>VCC2</v>
      </c>
      <c r="AG44" s="229">
        <f t="shared" si="145"/>
        <v>0</v>
      </c>
      <c r="AH44" s="230"/>
      <c r="AI44" s="553" t="str">
        <f>Input!E44</f>
        <v>TỔNG CÔNG TY MẠNG LƯỚI VIETTEL</v>
      </c>
      <c r="AJ44" s="553" t="str">
        <f>Input!F44</f>
        <v>TỔNG CÔNG TY MẠNG LƯỚI VIETTEL</v>
      </c>
      <c r="AK44" s="229">
        <f t="shared" si="146"/>
        <v>5</v>
      </c>
      <c r="AL44" s="465" t="str">
        <f t="shared" si="147"/>
        <v>thành phố Hồ Chí Minh.</v>
      </c>
      <c r="AM44" s="465" t="str">
        <f t="shared" si="148"/>
        <v>quận 7</v>
      </c>
      <c r="AN44" s="465" t="str">
        <f t="shared" si="149"/>
        <v>phường Phú Mỹ</v>
      </c>
      <c r="AO44" s="229" t="str">
        <f>INDEX(CityIDList,MATCH(F44,CityNameList,0))</f>
        <v>HCM</v>
      </c>
      <c r="AP44" s="230" t="str">
        <f>Input!X44</f>
        <v>TỔNG CÔNG TY MẠNG LƯỚI VIETTEL</v>
      </c>
      <c r="AQ44" s="230" t="str">
        <f>Input!AN44</f>
        <v>TỔNG CÔNG TY MẠNG LƯỚI VIETTEL</v>
      </c>
      <c r="AR44" s="230">
        <f>Input!BD44</f>
        <v>0</v>
      </c>
      <c r="AS44" s="230" t="str">
        <f>Input!BT44</f>
      </c>
      <c r="AT44" s="230" t="str">
        <f>Input!CH44</f>
      </c>
      <c r="AU44" s="230" t="str">
        <f>Input!CV44</f>
      </c>
      <c r="AV44" s="230" t="str">
        <f>IF(I44&gt;=1,INDEX(OperatorIDList,MATCH(AP44,OperatorNameList,0)),"")</f>
        <v>VIETTEL-2016</v>
      </c>
      <c r="AW44" s="230" t="str">
        <f>IF(I44&gt;=2,INDEX(OperatorIDList,MATCH(AQ44,OperatorNameList,0)),"")</f>
        <v>VIETTEL-2016</v>
      </c>
      <c r="AX44" s="230" t="str">
        <f>IF(I44&gt;=3,INDEX(OperatorIDList,MATCH(AR44,OperatorNameList,0)),"")</f>
      </c>
      <c r="AY44" s="230" t="str">
        <f>IF(I44&gt;=4,INDEX(OperatorIDList,MATCH(AS44,OperatorNameList,0)),"")</f>
      </c>
      <c r="AZ44" s="230" t="str">
        <f>IF(I44&gt;=5,INDEX(OperatorIDList,MATCH(AT44,OperatorNameList,0)),"")</f>
      </c>
      <c r="BA44" s="230" t="str">
        <f>IF(I44&gt;=6,INDEX(OperatorIDList,MATCH(AU44,OperatorNameList,0)),"")</f>
      </c>
      <c r="BB44" s="230" t="str">
        <f t="shared" si="150"/>
        <v>VIETTEL-2016;VIETTEL-2016</v>
      </c>
      <c r="BC44" s="230" t="str">
        <f>Input!Y44</f>
        <v>HCM4419</v>
      </c>
      <c r="BD44" s="230" t="str">
        <f>Input!AO44</f>
        <v>HCM4419</v>
      </c>
      <c r="BE44" s="230">
        <f>Input!BE44</f>
        <v>0</v>
      </c>
      <c r="BF44" s="230" t="str">
        <f>Input!BU44</f>
      </c>
      <c r="BG44" s="230" t="str">
        <f>Input!CI44</f>
      </c>
      <c r="BH44" s="230" t="str">
        <f>Input!CW44</f>
      </c>
      <c r="BI44" s="230" t="str">
        <f>Input!Z44</f>
        <v>HUAWEI DBS3900</v>
      </c>
      <c r="BJ44" s="230" t="str">
        <f>Input!AP44</f>
        <v>HUAWEI DBS3900</v>
      </c>
      <c r="BK44" s="230">
        <f>Input!BF44</f>
        <v>0</v>
      </c>
      <c r="BL44" s="230" t="str">
        <f>Input!BV44</f>
      </c>
      <c r="BM44" s="230" t="str">
        <f>Input!CJ44</f>
      </c>
      <c r="BN44" s="230" t="str">
        <f>Input!CX44</f>
      </c>
      <c r="BO44" s="553">
        <f>IF(ISNUMBER(Input!AA44),Input!AA44,0)</f>
        <v>3</v>
      </c>
      <c r="BP44" s="553">
        <f>IF(ISNUMBER(Input!AQ44),Input!AQ44,0)</f>
        <v>3</v>
      </c>
      <c r="BQ44" s="553">
        <f>IF(ISNUMBER(Input!BG44),Input!BG44,0)</f>
        <v>0</v>
      </c>
      <c r="BR44" s="553">
        <f>IF(ISNUMBER(Input!BW44),Input!BW44,0)</f>
        <v>0</v>
      </c>
      <c r="BS44" s="553">
        <f>IF(ISNUMBER(Input!CK44),Input!CK44,0)</f>
        <v>0</v>
      </c>
      <c r="BT44" s="554">
        <f>IF(ISNUMBER(Input!CY44),Input!CY44,0)</f>
        <v>0</v>
      </c>
      <c r="BU44" s="230" t="str">
        <f>Input!AF44</f>
        <v>2/2/2</v>
      </c>
      <c r="BV44" s="230" t="str">
        <f>Input!AV44</f>
        <v>2/2/2</v>
      </c>
      <c r="BW44" s="230" t="str">
        <f>Input!BL44</f>
      </c>
      <c r="BX44" s="230" t="str">
        <f>Input!CA44</f>
      </c>
      <c r="BY44" s="230" t="str">
        <f>Input!CO44</f>
      </c>
      <c r="BZ44" s="230" t="str">
        <f>Input!DC44</f>
      </c>
      <c r="CA44" s="230">
        <f t="shared" si="151"/>
        <v>2</v>
      </c>
      <c r="CB44" s="230">
        <f t="shared" si="152"/>
        <v>2</v>
      </c>
      <c r="CC44" s="230">
        <f t="shared" si="153"/>
        <v>2</v>
      </c>
      <c r="CD44" s="230">
        <f t="shared" si="154"/>
        <v>0</v>
      </c>
      <c r="CE44" s="230">
        <f t="shared" si="155"/>
        <v>0</v>
      </c>
      <c r="CF44" s="230">
        <f t="shared" si="156"/>
        <v>0</v>
      </c>
      <c r="CG44" s="230">
        <f t="shared" si="157"/>
        <v>2</v>
      </c>
      <c r="CH44" s="230">
        <f t="shared" si="158"/>
        <v>2</v>
      </c>
      <c r="CI44" s="230">
        <f t="shared" si="159"/>
        <v>2</v>
      </c>
      <c r="CJ44" s="230">
        <f t="shared" si="160"/>
        <v>0</v>
      </c>
      <c r="CK44" s="230">
        <f t="shared" si="161"/>
        <v>0</v>
      </c>
      <c r="CL44" s="230">
        <f t="shared" si="162"/>
        <v>0</v>
      </c>
      <c r="CM44" s="230">
        <f t="shared" si="163"/>
        <v>0</v>
      </c>
      <c r="CN44" s="230">
        <f t="shared" si="164"/>
        <v>0</v>
      </c>
      <c r="CO44" s="230">
        <f t="shared" si="165"/>
        <v>0</v>
      </c>
      <c r="CP44" s="230">
        <f t="shared" si="166"/>
        <v>0</v>
      </c>
      <c r="CQ44" s="230">
        <f t="shared" si="167"/>
        <v>0</v>
      </c>
      <c r="CR44" s="230">
        <f t="shared" si="168"/>
        <v>0</v>
      </c>
      <c r="CS44" s="230">
        <f t="shared" si="169"/>
        <v>0</v>
      </c>
      <c r="CT44" s="230">
        <f t="shared" si="170"/>
        <v>0</v>
      </c>
      <c r="CU44" s="230">
        <f t="shared" si="171"/>
        <v>0</v>
      </c>
      <c r="CV44" s="230">
        <f t="shared" si="172"/>
        <v>0</v>
      </c>
      <c r="CW44" s="230">
        <f t="shared" si="173"/>
        <v>0</v>
      </c>
      <c r="CX44" s="230">
        <f t="shared" si="174"/>
        <v>0</v>
      </c>
      <c r="CY44" s="230">
        <f t="shared" si="175"/>
        <v>0</v>
      </c>
      <c r="CZ44" s="230">
        <f t="shared" si="176"/>
        <v>0</v>
      </c>
      <c r="DA44" s="230">
        <f t="shared" si="177"/>
        <v>0</v>
      </c>
      <c r="DB44" s="230">
        <f t="shared" si="178"/>
        <v>0</v>
      </c>
      <c r="DC44" s="230">
        <f t="shared" si="179"/>
        <v>0</v>
      </c>
      <c r="DD44" s="230">
        <f t="shared" si="180"/>
        <v>0</v>
      </c>
      <c r="DE44" s="230">
        <f t="shared" si="181"/>
        <v>0</v>
      </c>
      <c r="DF44" s="230">
        <f t="shared" si="182"/>
        <v>0</v>
      </c>
      <c r="DG44" s="230">
        <f t="shared" si="183"/>
        <v>0</v>
      </c>
      <c r="DH44" s="230">
        <f t="shared" si="184"/>
        <v>0</v>
      </c>
      <c r="DI44" s="230">
        <f t="shared" si="185"/>
        <v>0</v>
      </c>
      <c r="DJ44" s="230">
        <f t="shared" si="186"/>
        <v>0</v>
      </c>
      <c r="DK44" s="230" t="str">
        <f>Input!AK44</f>
        <v>40,00W/40,00W/40,00W</v>
      </c>
      <c r="DL44" s="230" t="str">
        <f>Input!BA44</f>
        <v>40,00W/40,00W/40,00W</v>
      </c>
      <c r="DM44" s="230" t="str">
        <f>Input!BQ44</f>
      </c>
      <c r="DN44" s="230" t="str">
        <f>Input!CE44</f>
      </c>
      <c r="DO44" s="230" t="str">
        <f>Input!CS44</f>
      </c>
      <c r="DP44" s="230" t="str">
        <f>Input!DG44</f>
      </c>
      <c r="DQ44" s="230" t="str">
        <f t="shared" si="187"/>
        <v>40W/ 40W/ 40W</v>
      </c>
      <c r="DR44" s="230" t="str">
        <f t="shared" si="188"/>
        <v>40W/ 40W/ 40W</v>
      </c>
      <c r="DS44" s="230" t="str">
        <f t="shared" si="189"/>
      </c>
      <c r="DT44" s="230" t="str">
        <f t="shared" si="190"/>
      </c>
      <c r="DU44" s="230" t="str">
        <f t="shared" si="191"/>
      </c>
      <c r="DV44" s="230" t="str">
        <f t="shared" si="192"/>
      </c>
      <c r="DW44" s="230">
        <f t="shared" si="193"/>
        <v>40</v>
      </c>
      <c r="DX44" s="230">
        <f t="shared" si="194"/>
        <v>40</v>
      </c>
      <c r="DY44" s="230">
        <f t="shared" si="195"/>
        <v>40</v>
      </c>
      <c r="DZ44" s="230">
        <f t="shared" si="196"/>
        <v>0</v>
      </c>
      <c r="EA44" s="230">
        <f t="shared" si="197"/>
        <v>0</v>
      </c>
      <c r="EB44" s="230">
        <f t="shared" si="198"/>
        <v>0</v>
      </c>
      <c r="EC44" s="230">
        <f t="shared" si="199"/>
        <v>40</v>
      </c>
      <c r="ED44" s="230">
        <f t="shared" si="200"/>
        <v>40</v>
      </c>
      <c r="EE44" s="230">
        <f t="shared" si="201"/>
        <v>40</v>
      </c>
      <c r="EF44" s="230">
        <f t="shared" si="202"/>
        <v>40</v>
      </c>
      <c r="EG44" s="230">
        <f t="shared" si="203"/>
        <v>0</v>
      </c>
      <c r="EH44" s="230">
        <f t="shared" si="204"/>
        <v>0</v>
      </c>
      <c r="EI44" s="230">
        <f t="shared" si="205"/>
        <v>0</v>
      </c>
      <c r="EJ44" s="230">
        <f t="shared" si="206"/>
        <v>40</v>
      </c>
      <c r="EK44" s="230">
        <f t="shared" si="207"/>
        <v>0</v>
      </c>
      <c r="EL44" s="230">
        <f t="shared" si="208"/>
        <v>0</v>
      </c>
      <c r="EM44" s="230">
        <f t="shared" si="209"/>
        <v>0</v>
      </c>
      <c r="EN44" s="230">
        <f t="shared" si="210"/>
        <v>0</v>
      </c>
      <c r="EO44" s="230">
        <f t="shared" si="211"/>
        <v>0</v>
      </c>
      <c r="EP44" s="230">
        <f t="shared" si="212"/>
        <v>0</v>
      </c>
      <c r="EQ44" s="230">
        <f t="shared" si="213"/>
        <v>0</v>
      </c>
      <c r="ER44" s="230">
        <f t="shared" si="214"/>
        <v>0</v>
      </c>
      <c r="ES44" s="230">
        <f t="shared" si="215"/>
        <v>0</v>
      </c>
      <c r="ET44" s="230">
        <f t="shared" si="216"/>
        <v>0</v>
      </c>
      <c r="EU44" s="230">
        <f t="shared" si="217"/>
        <v>0</v>
      </c>
      <c r="EV44" s="230">
        <f t="shared" si="218"/>
        <v>0</v>
      </c>
      <c r="EW44" s="230">
        <f t="shared" si="219"/>
        <v>0</v>
      </c>
      <c r="EX44" s="230">
        <f t="shared" si="220"/>
        <v>0</v>
      </c>
      <c r="EY44" s="230">
        <f t="shared" si="221"/>
        <v>0</v>
      </c>
      <c r="EZ44" s="230">
        <f t="shared" si="222"/>
        <v>0</v>
      </c>
      <c r="FA44" s="230">
        <f t="shared" si="223"/>
        <v>0</v>
      </c>
      <c r="FB44" s="230">
        <f t="shared" si="224"/>
        <v>0</v>
      </c>
      <c r="FC44" s="230">
        <f t="shared" si="225"/>
        <v>0</v>
      </c>
      <c r="FD44" s="230">
        <f t="shared" si="226"/>
        <v>0</v>
      </c>
      <c r="FE44" s="230">
        <f t="shared" si="227"/>
        <v>0</v>
      </c>
      <c r="FF44" s="230">
        <f t="shared" si="228"/>
        <v>0</v>
      </c>
      <c r="FG44" s="230">
        <f t="shared" si="229"/>
        <v>0</v>
      </c>
      <c r="FH44" s="230">
        <f t="shared" si="230"/>
        <v>0</v>
      </c>
      <c r="FI44" s="230">
        <f t="shared" si="231"/>
        <v>0</v>
      </c>
      <c r="FJ44" s="230">
        <f t="shared" si="232"/>
        <v>0</v>
      </c>
      <c r="FK44" s="230">
        <f t="shared" si="233"/>
        <v>0</v>
      </c>
      <c r="FL44" s="230">
        <f t="shared" si="234"/>
        <v>0</v>
      </c>
      <c r="FM44" s="230">
        <f t="shared" si="235"/>
        <v>40</v>
      </c>
      <c r="FN44" s="230" t="str">
        <f>Input!AL44</f>
        <v>900</v>
      </c>
      <c r="FO44" s="230" t="str">
        <f>Input!BB44</f>
        <v>2100</v>
      </c>
      <c r="FP44" s="230">
        <f>Input!BR44</f>
        <v>0</v>
      </c>
      <c r="FQ44" s="230" t="str">
        <f>Input!CF44</f>
      </c>
      <c r="FR44" s="230" t="str">
        <f>Input!CT44</f>
      </c>
      <c r="FS44" s="230" t="str">
        <f>Input!DH44</f>
      </c>
      <c r="FT44" s="230" t="str">
        <f>Input!AM44</f>
        <v>18m/ 18m/ 18m</v>
      </c>
      <c r="FU44" s="230" t="str">
        <f>Input!BC44</f>
        <v>19m/ 19m/ 19m</v>
      </c>
      <c r="FV44" s="230">
        <f>Input!BS44</f>
        <v>0</v>
      </c>
      <c r="FW44" s="230" t="str">
        <f>Input!CG44</f>
      </c>
      <c r="FX44" s="230" t="str">
        <f>Input!CU44</f>
      </c>
      <c r="FY44" s="230" t="str">
        <f>Input!DI44</f>
      </c>
      <c r="FZ44" s="230" t="str">
        <f t="shared" si="236"/>
        <v>18m/ 18m/ 18m</v>
      </c>
      <c r="GA44" s="230" t="str">
        <f t="shared" si="237"/>
        <v>19m/ 19m/ 19m</v>
      </c>
      <c r="GB44" s="230" t="str">
        <f t="shared" si="238"/>
      </c>
      <c r="GC44" s="230" t="str">
        <f t="shared" si="239"/>
      </c>
      <c r="GD44" s="230" t="str">
        <f t="shared" si="240"/>
      </c>
      <c r="GE44" s="230" t="str">
        <f t="shared" si="241"/>
      </c>
      <c r="GF44" s="230">
        <f t="shared" si="242"/>
        <v>18</v>
      </c>
      <c r="GG44" s="230">
        <f t="shared" si="243"/>
        <v>18</v>
      </c>
      <c r="GH44" s="230">
        <f t="shared" si="244"/>
        <v>18</v>
      </c>
      <c r="GI44" s="230">
        <f t="shared" si="245"/>
        <v>0</v>
      </c>
      <c r="GJ44" s="230">
        <f t="shared" si="246"/>
        <v>0</v>
      </c>
      <c r="GK44" s="230">
        <f t="shared" si="247"/>
        <v>0</v>
      </c>
      <c r="GL44" s="230">
        <f t="shared" si="248"/>
        <v>19</v>
      </c>
      <c r="GM44" s="230">
        <f t="shared" si="249"/>
        <v>19</v>
      </c>
      <c r="GN44" s="230">
        <f t="shared" si="250"/>
        <v>19</v>
      </c>
      <c r="GO44" s="230">
        <f t="shared" si="251"/>
        <v>0</v>
      </c>
      <c r="GP44" s="230">
        <f t="shared" si="252"/>
        <v>0</v>
      </c>
      <c r="GQ44" s="230">
        <f t="shared" si="253"/>
        <v>0</v>
      </c>
      <c r="GR44" s="230">
        <f t="shared" si="254"/>
        <v>0</v>
      </c>
      <c r="GS44" s="230">
        <f t="shared" si="255"/>
        <v>0</v>
      </c>
      <c r="GT44" s="230">
        <f t="shared" si="256"/>
        <v>0</v>
      </c>
      <c r="GU44" s="230">
        <f t="shared" si="257"/>
        <v>0</v>
      </c>
      <c r="GV44" s="230">
        <f t="shared" si="258"/>
        <v>0</v>
      </c>
      <c r="GW44" s="230">
        <f t="shared" si="259"/>
        <v>0</v>
      </c>
      <c r="GX44" s="230">
        <f t="shared" si="260"/>
        <v>0</v>
      </c>
      <c r="GY44" s="230">
        <f t="shared" si="261"/>
        <v>0</v>
      </c>
      <c r="GZ44" s="230">
        <f t="shared" si="262"/>
        <v>0</v>
      </c>
      <c r="HA44" s="230">
        <f t="shared" si="263"/>
        <v>0</v>
      </c>
      <c r="HB44" s="230">
        <f t="shared" si="264"/>
        <v>0</v>
      </c>
      <c r="HC44" s="230">
        <f t="shared" si="265"/>
        <v>0</v>
      </c>
      <c r="HD44" s="230">
        <f t="shared" si="266"/>
        <v>0</v>
      </c>
      <c r="HE44" s="230">
        <f t="shared" si="267"/>
        <v>0</v>
      </c>
      <c r="HF44" s="230">
        <f t="shared" si="268"/>
        <v>0</v>
      </c>
      <c r="HG44" s="230">
        <f t="shared" si="269"/>
        <v>0</v>
      </c>
      <c r="HH44" s="230">
        <f t="shared" si="270"/>
        <v>0</v>
      </c>
      <c r="HI44" s="230">
        <f t="shared" si="271"/>
        <v>0</v>
      </c>
      <c r="HJ44" s="230">
        <f t="shared" si="272"/>
        <v>0</v>
      </c>
      <c r="HK44" s="230">
        <f t="shared" si="273"/>
        <v>0</v>
      </c>
      <c r="HL44" s="230">
        <f t="shared" si="274"/>
        <v>0</v>
      </c>
      <c r="HM44" s="230">
        <f t="shared" si="275"/>
        <v>0</v>
      </c>
      <c r="HN44" s="230">
        <f t="shared" si="276"/>
        <v>0</v>
      </c>
      <c r="HO44" s="230">
        <f t="shared" si="277"/>
        <v>0</v>
      </c>
      <c r="HP44" s="230" t="str">
        <f>INDEX(LabNameList,MATCH(LabId,LabIDList,0))</f>
        <v>Trung tâm Kiểm định và Chứng nhận 2</v>
      </c>
      <c r="HQ44" s="230">
        <f t="shared" si="278"/>
        <v>18</v>
      </c>
      <c r="HR44" s="230">
        <f t="shared" si="279"/>
        <v>19</v>
      </c>
      <c r="HS44" s="230">
        <f t="shared" si="280"/>
        <v>0</v>
      </c>
      <c r="HT44" s="230">
        <f t="shared" si="281"/>
        <v>0</v>
      </c>
      <c r="HU44" s="230">
        <f t="shared" si="282"/>
        <v>0</v>
      </c>
      <c r="HV44" s="230">
        <f t="shared" si="283"/>
        <v>0</v>
      </c>
      <c r="HW44" s="797">
        <f t="shared" si="284"/>
        <v>18</v>
      </c>
      <c r="HX44" s="797">
        <f>Input!EB44</f>
        <v>0</v>
      </c>
      <c r="HY44" s="230">
        <v>68</v>
      </c>
      <c r="HZ44" s="230"/>
      <c r="IA44" s="230"/>
      <c r="IB44" s="230"/>
      <c r="IC44" s="232" t="str">
        <f t="shared" si="285"/>
        <v>B01995230916TG05</v>
      </c>
      <c r="ID44" s="233" t="str">
        <f>Input!O44</f>
        <v>01995</v>
      </c>
      <c r="IE44" s="467" t="str">
        <f t="shared" si="286"/>
        <v>230916</v>
      </c>
      <c r="IF44" s="232" t="s">
        <v>364</v>
      </c>
      <c r="IG44" s="467" t="str">
        <f t="shared" si="287"/>
        <v>23/09/2016</v>
      </c>
      <c r="IH44" s="467" t="str">
        <f t="shared" si="288"/>
        <v>23/09/2021</v>
      </c>
      <c r="II44" s="546" t="str">
        <f> Input!R44</f>
        <v>23/09/2016</v>
      </c>
      <c r="IJ44" s="467">
        <f t="shared" si="289"/>
        <v>44462</v>
      </c>
      <c r="IK44" s="468">
        <f t="shared" si="290"/>
        <v>3</v>
      </c>
      <c r="IL44" s="469" t="str">
        <f t="shared" si="291"/>
        <v>3-2</v>
      </c>
      <c r="IM44" s="469" t="str">
        <f t="shared" si="292"/>
        <v>CHUNG</v>
      </c>
      <c r="IN44" s="469" t="str">
        <f t="shared" si="293"/>
        <v>KHAC</v>
      </c>
      <c r="IO44" s="469" t="str">
        <f t="shared" si="294"/>
      </c>
      <c r="IP44" s="469" t="str">
        <f t="shared" si="295"/>
      </c>
      <c r="IQ44" s="469" t="str">
        <f t="shared" si="296"/>
      </c>
      <c r="IR44" s="469">
        <f t="shared" si="297"/>
        <v>2</v>
      </c>
      <c r="IS44" s="469">
        <f t="shared" si="298"/>
        <v>1</v>
      </c>
      <c r="IT44" s="469" t="str">
        <f t="shared" si="299"/>
        <v>Yes</v>
      </c>
      <c r="IU44" s="469" t="str">
        <f t="shared" si="300"/>
        <v>Yes</v>
      </c>
    </row>
    <row r="45" ht="63.75">
      <c r="A45" s="601">
        <f>Input!A45</f>
        <v>44</v>
      </c>
      <c r="B45" s="229" t="str">
        <f>INDEX(ApplicantIDList,MATCH(AI45,ApplicantNameList,0))</f>
        <v>VIETTEL-2016</v>
      </c>
      <c r="C45" s="229" t="str">
        <f>INDEX(OperatorIDList,MATCH(AJ45,OperatorNameList,0))</f>
        <v>VIETTEL-2016</v>
      </c>
      <c r="D45" s="797" t="str">
        <f>Input!Y45</f>
        <v>HCM0852-11</v>
      </c>
      <c r="E45" s="229" t="str">
        <f>Input!G45</f>
        <v>Số 96, đường Đoàn Văn Bơ, phường 9, quận 4, thành phố Hồ Chí Minh.</v>
      </c>
      <c r="F45" s="229" t="str">
        <f>TRIM(SUBSTITUTE(SUBSTITUTE(Input!H45,"Thành phố ",""),"Tỉnh ",""))</f>
        <v>Hồ Chí Minh</v>
      </c>
      <c r="G45" s="797" t="str">
        <f>Input!I45</f>
        <v>106,70315</v>
      </c>
      <c r="H45" s="797" t="str">
        <f>Input!J45</f>
        <v>10,76377</v>
      </c>
      <c r="I45" s="229">
        <f>Input!V45</f>
        <v>1</v>
      </c>
      <c r="J45" s="229" t="str">
        <f>Input!K45</f>
        <v>1502418/16/TG/TT2</v>
      </c>
      <c r="K45" s="231" t="str">
        <f>TEXT(Input!L45,"dd/mm/yyyy")</f>
        <v>23/09/2016</v>
      </c>
      <c r="L45" s="231" t="str">
        <f>TEXT(Input!M45,"dd/mm/yyyy")</f>
        <v>19/09/2016</v>
      </c>
      <c r="M45" s="229" t="str">
        <f t="shared" si="135"/>
        <v>TỔNG CÔNG TY MẠNG LƯỚI VIETTEL</v>
      </c>
      <c r="N45" s="229" t="str">
        <f t="shared" si="136"/>
        <v>HCM0852-11</v>
      </c>
      <c r="O45" s="229" t="str">
        <f t="shared" si="137"/>
        <v>HUAWEI DBS3900</v>
      </c>
      <c r="P45" s="229" t="str">
        <f t="shared" si="138"/>
        <v>2</v>
      </c>
      <c r="Q45" s="229" t="str">
        <f t="shared" si="139"/>
        <v>2/2</v>
      </c>
      <c r="R45" s="229" t="str">
        <f t="shared" si="140"/>
        <v>40W/ 40W</v>
      </c>
      <c r="S45" s="229" t="str">
        <f t="shared" si="141"/>
        <v>2100</v>
      </c>
      <c r="T45" s="229" t="str">
        <f t="shared" si="142"/>
        <v>25m/ 25m</v>
      </c>
      <c r="U45" s="229">
        <v>1</v>
      </c>
      <c r="V45" s="229"/>
      <c r="W45" s="229" t="b">
        <f t="shared" si="143"/>
        <v>0</v>
      </c>
      <c r="X45" s="229" t="b">
        <f>INDEX(TrueFalseList,_xlfn.IFNA(MATCH(Input!W45,CoKhongList,0),MATCH(Input!W45,YesNoList,0)))</f>
        <v>0</v>
      </c>
      <c r="Y45" s="797">
        <f>Input!FZ45</f>
        <v>0</v>
      </c>
      <c r="Z45" s="229" t="b">
        <v>1</v>
      </c>
      <c r="AA45" s="797">
        <f t="shared" si="144"/>
        <v>25</v>
      </c>
      <c r="AB45" s="229" t="b">
        <v>0</v>
      </c>
      <c r="AC45" s="229" t="b">
        <v>1</v>
      </c>
      <c r="AD45" s="229">
        <f>Input!DR45</f>
        <v>0</v>
      </c>
      <c r="AE45" s="229"/>
      <c r="AF45" s="229" t="str">
        <f>Options!$D$6</f>
        <v>VCC2</v>
      </c>
      <c r="AG45" s="229">
        <f t="shared" si="145"/>
        <v>0</v>
      </c>
      <c r="AH45" s="230"/>
      <c r="AI45" s="553" t="str">
        <f>Input!E45</f>
        <v>TỔNG CÔNG TY MẠNG LƯỚI VIETTEL</v>
      </c>
      <c r="AJ45" s="553" t="str">
        <f>Input!F45</f>
        <v>TỔNG CÔNG TY MẠNG LƯỚI VIETTEL</v>
      </c>
      <c r="AK45" s="229">
        <f t="shared" si="146"/>
        <v>4</v>
      </c>
      <c r="AL45" s="465" t="str">
        <f t="shared" si="147"/>
        <v>thành phố Hồ Chí Minh.</v>
      </c>
      <c r="AM45" s="465" t="str">
        <f t="shared" si="148"/>
        <v>quận 4</v>
      </c>
      <c r="AN45" s="465" t="str">
        <f t="shared" si="149"/>
        <v>phường 9</v>
      </c>
      <c r="AO45" s="229" t="str">
        <f>INDEX(CityIDList,MATCH(F45,CityNameList,0))</f>
        <v>HCM</v>
      </c>
      <c r="AP45" s="230" t="str">
        <f>Input!X45</f>
        <v>TỔNG CÔNG TY MẠNG LƯỚI VIETTEL</v>
      </c>
      <c r="AQ45" s="230">
        <f>Input!AN45</f>
        <v>0</v>
      </c>
      <c r="AR45" s="230">
        <f>Input!BD45</f>
        <v>0</v>
      </c>
      <c r="AS45" s="230" t="str">
        <f>Input!BT45</f>
      </c>
      <c r="AT45" s="230" t="str">
        <f>Input!CH45</f>
      </c>
      <c r="AU45" s="230" t="str">
        <f>Input!CV45</f>
      </c>
      <c r="AV45" s="230" t="str">
        <f>IF(I45&gt;=1,INDEX(OperatorIDList,MATCH(AP45,OperatorNameList,0)),"")</f>
        <v>VIETTEL-2016</v>
      </c>
      <c r="AW45" s="230" t="str">
        <f>IF(I45&gt;=2,INDEX(OperatorIDList,MATCH(AQ45,OperatorNameList,0)),"")</f>
      </c>
      <c r="AX45" s="230" t="str">
        <f>IF(I45&gt;=3,INDEX(OperatorIDList,MATCH(AR45,OperatorNameList,0)),"")</f>
      </c>
      <c r="AY45" s="230" t="str">
        <f>IF(I45&gt;=4,INDEX(OperatorIDList,MATCH(AS45,OperatorNameList,0)),"")</f>
      </c>
      <c r="AZ45" s="230" t="str">
        <f>IF(I45&gt;=5,INDEX(OperatorIDList,MATCH(AT45,OperatorNameList,0)),"")</f>
      </c>
      <c r="BA45" s="230" t="str">
        <f>IF(I45&gt;=6,INDEX(OperatorIDList,MATCH(AU45,OperatorNameList,0)),"")</f>
      </c>
      <c r="BB45" s="230" t="str">
        <f t="shared" si="150"/>
        <v>VIETTEL-2016</v>
      </c>
      <c r="BC45" s="230" t="str">
        <f>Input!Y45</f>
        <v>HCM0852-11</v>
      </c>
      <c r="BD45" s="230">
        <f>Input!AO45</f>
        <v>0</v>
      </c>
      <c r="BE45" s="230">
        <f>Input!BE45</f>
        <v>0</v>
      </c>
      <c r="BF45" s="230" t="str">
        <f>Input!BU45</f>
      </c>
      <c r="BG45" s="230" t="str">
        <f>Input!CI45</f>
      </c>
      <c r="BH45" s="230" t="str">
        <f>Input!CW45</f>
      </c>
      <c r="BI45" s="230" t="str">
        <f>Input!Z45</f>
        <v>HUAWEI DBS3900</v>
      </c>
      <c r="BJ45" s="230">
        <f>Input!AP45</f>
        <v>0</v>
      </c>
      <c r="BK45" s="230">
        <f>Input!BF45</f>
        <v>0</v>
      </c>
      <c r="BL45" s="230" t="str">
        <f>Input!BV45</f>
      </c>
      <c r="BM45" s="230" t="str">
        <f>Input!CJ45</f>
      </c>
      <c r="BN45" s="230" t="str">
        <f>Input!CX45</f>
      </c>
      <c r="BO45" s="553">
        <f>IF(ISNUMBER(Input!AA45),Input!AA45,0)</f>
        <v>2</v>
      </c>
      <c r="BP45" s="553">
        <f>IF(ISNUMBER(Input!AQ45),Input!AQ45,0)</f>
        <v>0</v>
      </c>
      <c r="BQ45" s="553">
        <f>IF(ISNUMBER(Input!BG45),Input!BG45,0)</f>
        <v>0</v>
      </c>
      <c r="BR45" s="553">
        <f>IF(ISNUMBER(Input!BW45),Input!BW45,0)</f>
        <v>0</v>
      </c>
      <c r="BS45" s="553">
        <f>IF(ISNUMBER(Input!CK45),Input!CK45,0)</f>
        <v>0</v>
      </c>
      <c r="BT45" s="554">
        <f>IF(ISNUMBER(Input!CY45),Input!CY45,0)</f>
        <v>0</v>
      </c>
      <c r="BU45" s="230" t="str">
        <f>Input!AF45</f>
        <v>2/2</v>
      </c>
      <c r="BV45" s="230" t="str">
        <f>Input!AV45</f>
      </c>
      <c r="BW45" s="230" t="str">
        <f>Input!BL45</f>
      </c>
      <c r="BX45" s="230" t="str">
        <f>Input!CA45</f>
      </c>
      <c r="BY45" s="230" t="str">
        <f>Input!CO45</f>
      </c>
      <c r="BZ45" s="230" t="str">
        <f>Input!DC45</f>
      </c>
      <c r="CA45" s="230">
        <f t="shared" si="151"/>
        <v>2</v>
      </c>
      <c r="CB45" s="230">
        <f t="shared" si="152"/>
        <v>2</v>
      </c>
      <c r="CC45" s="230">
        <f t="shared" si="153"/>
        <v>0</v>
      </c>
      <c r="CD45" s="230">
        <f t="shared" si="154"/>
        <v>0</v>
      </c>
      <c r="CE45" s="230">
        <f t="shared" si="155"/>
        <v>0</v>
      </c>
      <c r="CF45" s="230">
        <f t="shared" si="156"/>
        <v>0</v>
      </c>
      <c r="CG45" s="230">
        <f t="shared" si="157"/>
        <v>0</v>
      </c>
      <c r="CH45" s="230">
        <f t="shared" si="158"/>
        <v>0</v>
      </c>
      <c r="CI45" s="230">
        <f t="shared" si="159"/>
        <v>0</v>
      </c>
      <c r="CJ45" s="230">
        <f t="shared" si="160"/>
        <v>0</v>
      </c>
      <c r="CK45" s="230">
        <f t="shared" si="161"/>
        <v>0</v>
      </c>
      <c r="CL45" s="230">
        <f t="shared" si="162"/>
        <v>0</v>
      </c>
      <c r="CM45" s="230">
        <f t="shared" si="163"/>
        <v>0</v>
      </c>
      <c r="CN45" s="230">
        <f t="shared" si="164"/>
        <v>0</v>
      </c>
      <c r="CO45" s="230">
        <f t="shared" si="165"/>
        <v>0</v>
      </c>
      <c r="CP45" s="230">
        <f t="shared" si="166"/>
        <v>0</v>
      </c>
      <c r="CQ45" s="230">
        <f t="shared" si="167"/>
        <v>0</v>
      </c>
      <c r="CR45" s="230">
        <f t="shared" si="168"/>
        <v>0</v>
      </c>
      <c r="CS45" s="230">
        <f t="shared" si="169"/>
        <v>0</v>
      </c>
      <c r="CT45" s="230">
        <f t="shared" si="170"/>
        <v>0</v>
      </c>
      <c r="CU45" s="230">
        <f t="shared" si="171"/>
        <v>0</v>
      </c>
      <c r="CV45" s="230">
        <f t="shared" si="172"/>
        <v>0</v>
      </c>
      <c r="CW45" s="230">
        <f t="shared" si="173"/>
        <v>0</v>
      </c>
      <c r="CX45" s="230">
        <f t="shared" si="174"/>
        <v>0</v>
      </c>
      <c r="CY45" s="230">
        <f t="shared" si="175"/>
        <v>0</v>
      </c>
      <c r="CZ45" s="230">
        <f t="shared" si="176"/>
        <v>0</v>
      </c>
      <c r="DA45" s="230">
        <f t="shared" si="177"/>
        <v>0</v>
      </c>
      <c r="DB45" s="230">
        <f t="shared" si="178"/>
        <v>0</v>
      </c>
      <c r="DC45" s="230">
        <f t="shared" si="179"/>
        <v>0</v>
      </c>
      <c r="DD45" s="230">
        <f t="shared" si="180"/>
        <v>0</v>
      </c>
      <c r="DE45" s="230">
        <f t="shared" si="181"/>
        <v>0</v>
      </c>
      <c r="DF45" s="230">
        <f t="shared" si="182"/>
        <v>0</v>
      </c>
      <c r="DG45" s="230">
        <f t="shared" si="183"/>
        <v>0</v>
      </c>
      <c r="DH45" s="230">
        <f t="shared" si="184"/>
        <v>0</v>
      </c>
      <c r="DI45" s="230">
        <f t="shared" si="185"/>
        <v>0</v>
      </c>
      <c r="DJ45" s="230">
        <f t="shared" si="186"/>
        <v>0</v>
      </c>
      <c r="DK45" s="230" t="str">
        <f>Input!AK45</f>
        <v>40,00W/40,00W</v>
      </c>
      <c r="DL45" s="230" t="str">
        <f>Input!BA45</f>
      </c>
      <c r="DM45" s="230" t="str">
        <f>Input!BQ45</f>
      </c>
      <c r="DN45" s="230" t="str">
        <f>Input!CE45</f>
      </c>
      <c r="DO45" s="230" t="str">
        <f>Input!CS45</f>
      </c>
      <c r="DP45" s="230" t="str">
        <f>Input!DG45</f>
      </c>
      <c r="DQ45" s="230" t="str">
        <f t="shared" si="187"/>
        <v>40W/ 40W</v>
      </c>
      <c r="DR45" s="230" t="str">
        <f t="shared" si="188"/>
      </c>
      <c r="DS45" s="230" t="str">
        <f t="shared" si="189"/>
      </c>
      <c r="DT45" s="230" t="str">
        <f t="shared" si="190"/>
      </c>
      <c r="DU45" s="230" t="str">
        <f t="shared" si="191"/>
      </c>
      <c r="DV45" s="230" t="str">
        <f t="shared" si="192"/>
      </c>
      <c r="DW45" s="230">
        <f t="shared" si="193"/>
        <v>40</v>
      </c>
      <c r="DX45" s="230">
        <f t="shared" si="194"/>
        <v>40</v>
      </c>
      <c r="DY45" s="230">
        <f t="shared" si="195"/>
        <v>0</v>
      </c>
      <c r="DZ45" s="230">
        <f t="shared" si="196"/>
        <v>0</v>
      </c>
      <c r="EA45" s="230">
        <f t="shared" si="197"/>
        <v>0</v>
      </c>
      <c r="EB45" s="230">
        <f t="shared" si="198"/>
        <v>0</v>
      </c>
      <c r="EC45" s="230">
        <f t="shared" si="199"/>
        <v>40</v>
      </c>
      <c r="ED45" s="230">
        <f t="shared" si="200"/>
        <v>0</v>
      </c>
      <c r="EE45" s="230">
        <f t="shared" si="201"/>
        <v>0</v>
      </c>
      <c r="EF45" s="230">
        <f t="shared" si="202"/>
        <v>0</v>
      </c>
      <c r="EG45" s="230">
        <f t="shared" si="203"/>
        <v>0</v>
      </c>
      <c r="EH45" s="230">
        <f t="shared" si="204"/>
        <v>0</v>
      </c>
      <c r="EI45" s="230">
        <f t="shared" si="205"/>
        <v>0</v>
      </c>
      <c r="EJ45" s="230">
        <f t="shared" si="206"/>
        <v>0</v>
      </c>
      <c r="EK45" s="230">
        <f t="shared" si="207"/>
        <v>0</v>
      </c>
      <c r="EL45" s="230">
        <f t="shared" si="208"/>
        <v>0</v>
      </c>
      <c r="EM45" s="230">
        <f t="shared" si="209"/>
        <v>0</v>
      </c>
      <c r="EN45" s="230">
        <f t="shared" si="210"/>
        <v>0</v>
      </c>
      <c r="EO45" s="230">
        <f t="shared" si="211"/>
        <v>0</v>
      </c>
      <c r="EP45" s="230">
        <f t="shared" si="212"/>
        <v>0</v>
      </c>
      <c r="EQ45" s="230">
        <f t="shared" si="213"/>
        <v>0</v>
      </c>
      <c r="ER45" s="230">
        <f t="shared" si="214"/>
        <v>0</v>
      </c>
      <c r="ES45" s="230">
        <f t="shared" si="215"/>
        <v>0</v>
      </c>
      <c r="ET45" s="230">
        <f t="shared" si="216"/>
        <v>0</v>
      </c>
      <c r="EU45" s="230">
        <f t="shared" si="217"/>
        <v>0</v>
      </c>
      <c r="EV45" s="230">
        <f t="shared" si="218"/>
        <v>0</v>
      </c>
      <c r="EW45" s="230">
        <f t="shared" si="219"/>
        <v>0</v>
      </c>
      <c r="EX45" s="230">
        <f t="shared" si="220"/>
        <v>0</v>
      </c>
      <c r="EY45" s="230">
        <f t="shared" si="221"/>
        <v>0</v>
      </c>
      <c r="EZ45" s="230">
        <f t="shared" si="222"/>
        <v>0</v>
      </c>
      <c r="FA45" s="230">
        <f t="shared" si="223"/>
        <v>0</v>
      </c>
      <c r="FB45" s="230">
        <f t="shared" si="224"/>
        <v>0</v>
      </c>
      <c r="FC45" s="230">
        <f t="shared" si="225"/>
        <v>0</v>
      </c>
      <c r="FD45" s="230">
        <f t="shared" si="226"/>
        <v>0</v>
      </c>
      <c r="FE45" s="230">
        <f t="shared" si="227"/>
        <v>0</v>
      </c>
      <c r="FF45" s="230">
        <f t="shared" si="228"/>
        <v>0</v>
      </c>
      <c r="FG45" s="230">
        <f t="shared" si="229"/>
        <v>0</v>
      </c>
      <c r="FH45" s="230">
        <f t="shared" si="230"/>
        <v>0</v>
      </c>
      <c r="FI45" s="230">
        <f t="shared" si="231"/>
        <v>0</v>
      </c>
      <c r="FJ45" s="230">
        <f t="shared" si="232"/>
        <v>0</v>
      </c>
      <c r="FK45" s="230">
        <f t="shared" si="233"/>
        <v>0</v>
      </c>
      <c r="FL45" s="230">
        <f t="shared" si="234"/>
        <v>0</v>
      </c>
      <c r="FM45" s="230">
        <f t="shared" si="235"/>
        <v>40</v>
      </c>
      <c r="FN45" s="230">
        <f>Input!AL45</f>
        <v>2100</v>
      </c>
      <c r="FO45" s="230">
        <f>Input!BB45</f>
        <v>0</v>
      </c>
      <c r="FP45" s="230">
        <f>Input!BR45</f>
        <v>0</v>
      </c>
      <c r="FQ45" s="230" t="str">
        <f>Input!CF45</f>
      </c>
      <c r="FR45" s="230" t="str">
        <f>Input!CT45</f>
      </c>
      <c r="FS45" s="230" t="str">
        <f>Input!DH45</f>
      </c>
      <c r="FT45" s="230" t="str">
        <f>Input!AM45</f>
        <v>25m/ 25m</v>
      </c>
      <c r="FU45" s="230">
        <f>Input!BC45</f>
        <v>0</v>
      </c>
      <c r="FV45" s="230">
        <f>Input!BS45</f>
        <v>0</v>
      </c>
      <c r="FW45" s="230" t="str">
        <f>Input!CG45</f>
      </c>
      <c r="FX45" s="230" t="str">
        <f>Input!CU45</f>
      </c>
      <c r="FY45" s="230" t="str">
        <f>Input!DI45</f>
      </c>
      <c r="FZ45" s="230" t="str">
        <f t="shared" si="236"/>
        <v>25m/ 25m</v>
      </c>
      <c r="GA45" s="230" t="str">
        <f t="shared" si="237"/>
      </c>
      <c r="GB45" s="230" t="str">
        <f t="shared" si="238"/>
      </c>
      <c r="GC45" s="230" t="str">
        <f t="shared" si="239"/>
      </c>
      <c r="GD45" s="230" t="str">
        <f t="shared" si="240"/>
      </c>
      <c r="GE45" s="230" t="str">
        <f t="shared" si="241"/>
      </c>
      <c r="GF45" s="230">
        <f t="shared" si="242"/>
        <v>25</v>
      </c>
      <c r="GG45" s="230">
        <f t="shared" si="243"/>
        <v>25</v>
      </c>
      <c r="GH45" s="230">
        <f t="shared" si="244"/>
        <v>0</v>
      </c>
      <c r="GI45" s="230">
        <f t="shared" si="245"/>
        <v>0</v>
      </c>
      <c r="GJ45" s="230">
        <f t="shared" si="246"/>
        <v>0</v>
      </c>
      <c r="GK45" s="230">
        <f t="shared" si="247"/>
        <v>0</v>
      </c>
      <c r="GL45" s="230">
        <f t="shared" si="248"/>
        <v>0</v>
      </c>
      <c r="GM45" s="230">
        <f t="shared" si="249"/>
        <v>0</v>
      </c>
      <c r="GN45" s="230">
        <f t="shared" si="250"/>
        <v>0</v>
      </c>
      <c r="GO45" s="230">
        <f t="shared" si="251"/>
        <v>0</v>
      </c>
      <c r="GP45" s="230">
        <f t="shared" si="252"/>
        <v>0</v>
      </c>
      <c r="GQ45" s="230">
        <f t="shared" si="253"/>
        <v>0</v>
      </c>
      <c r="GR45" s="230">
        <f t="shared" si="254"/>
        <v>0</v>
      </c>
      <c r="GS45" s="230">
        <f t="shared" si="255"/>
        <v>0</v>
      </c>
      <c r="GT45" s="230">
        <f t="shared" si="256"/>
        <v>0</v>
      </c>
      <c r="GU45" s="230">
        <f t="shared" si="257"/>
        <v>0</v>
      </c>
      <c r="GV45" s="230">
        <f t="shared" si="258"/>
        <v>0</v>
      </c>
      <c r="GW45" s="230">
        <f t="shared" si="259"/>
        <v>0</v>
      </c>
      <c r="GX45" s="230">
        <f t="shared" si="260"/>
        <v>0</v>
      </c>
      <c r="GY45" s="230">
        <f t="shared" si="261"/>
        <v>0</v>
      </c>
      <c r="GZ45" s="230">
        <f t="shared" si="262"/>
        <v>0</v>
      </c>
      <c r="HA45" s="230">
        <f t="shared" si="263"/>
        <v>0</v>
      </c>
      <c r="HB45" s="230">
        <f t="shared" si="264"/>
        <v>0</v>
      </c>
      <c r="HC45" s="230">
        <f t="shared" si="265"/>
        <v>0</v>
      </c>
      <c r="HD45" s="230">
        <f t="shared" si="266"/>
        <v>0</v>
      </c>
      <c r="HE45" s="230">
        <f t="shared" si="267"/>
        <v>0</v>
      </c>
      <c r="HF45" s="230">
        <f t="shared" si="268"/>
        <v>0</v>
      </c>
      <c r="HG45" s="230">
        <f t="shared" si="269"/>
        <v>0</v>
      </c>
      <c r="HH45" s="230">
        <f t="shared" si="270"/>
        <v>0</v>
      </c>
      <c r="HI45" s="230">
        <f t="shared" si="271"/>
        <v>0</v>
      </c>
      <c r="HJ45" s="230">
        <f t="shared" si="272"/>
        <v>0</v>
      </c>
      <c r="HK45" s="230">
        <f t="shared" si="273"/>
        <v>0</v>
      </c>
      <c r="HL45" s="230">
        <f t="shared" si="274"/>
        <v>0</v>
      </c>
      <c r="HM45" s="230">
        <f t="shared" si="275"/>
        <v>0</v>
      </c>
      <c r="HN45" s="230">
        <f t="shared" si="276"/>
        <v>0</v>
      </c>
      <c r="HO45" s="230">
        <f t="shared" si="277"/>
        <v>0</v>
      </c>
      <c r="HP45" s="230" t="str">
        <f>INDEX(LabNameList,MATCH(LabId,LabIDList,0))</f>
        <v>Trung tâm Kiểm định và Chứng nhận 2</v>
      </c>
      <c r="HQ45" s="230">
        <f t="shared" si="278"/>
        <v>25</v>
      </c>
      <c r="HR45" s="230">
        <f t="shared" si="279"/>
        <v>0</v>
      </c>
      <c r="HS45" s="230">
        <f t="shared" si="280"/>
        <v>0</v>
      </c>
      <c r="HT45" s="230">
        <f t="shared" si="281"/>
        <v>0</v>
      </c>
      <c r="HU45" s="230">
        <f t="shared" si="282"/>
        <v>0</v>
      </c>
      <c r="HV45" s="230">
        <f t="shared" si="283"/>
        <v>0</v>
      </c>
      <c r="HW45" s="797">
        <f t="shared" si="284"/>
        <v>25</v>
      </c>
      <c r="HX45" s="797">
        <f>Input!EB45</f>
        <v>0</v>
      </c>
      <c r="HY45" s="230">
        <v>68</v>
      </c>
      <c r="HZ45" s="230"/>
      <c r="IA45" s="230"/>
      <c r="IB45" s="230"/>
      <c r="IC45" s="232" t="str">
        <f t="shared" si="285"/>
        <v>B01996230916TG05</v>
      </c>
      <c r="ID45" s="233" t="str">
        <f>Input!O45</f>
        <v>01996</v>
      </c>
      <c r="IE45" s="467" t="str">
        <f t="shared" si="286"/>
        <v>230916</v>
      </c>
      <c r="IF45" s="232" t="s">
        <v>364</v>
      </c>
      <c r="IG45" s="467" t="str">
        <f t="shared" si="287"/>
        <v>23/09/2016</v>
      </c>
      <c r="IH45" s="467" t="str">
        <f t="shared" si="288"/>
        <v>23/09/2021</v>
      </c>
      <c r="II45" s="546" t="str">
        <f> Input!R45</f>
        <v>23/09/2016</v>
      </c>
      <c r="IJ45" s="467">
        <f t="shared" si="289"/>
        <v>44462</v>
      </c>
      <c r="IK45" s="468">
        <f t="shared" si="290"/>
        <v>3</v>
      </c>
      <c r="IL45" s="469" t="str">
        <f t="shared" si="291"/>
        <v>3-1</v>
      </c>
      <c r="IM45" s="469" t="str">
        <f t="shared" si="292"/>
        <v>KHAC</v>
      </c>
      <c r="IN45" s="469" t="str">
        <f t="shared" si="293"/>
        <v>KHAC</v>
      </c>
      <c r="IO45" s="469" t="str">
        <f t="shared" si="294"/>
      </c>
      <c r="IP45" s="469" t="str">
        <f t="shared" si="295"/>
      </c>
      <c r="IQ45" s="469" t="str">
        <f t="shared" si="296"/>
      </c>
      <c r="IR45" s="469">
        <f t="shared" si="297"/>
        <v>1</v>
      </c>
      <c r="IS45" s="469">
        <f t="shared" si="298"/>
        <v>2</v>
      </c>
      <c r="IT45" s="469" t="str">
        <f t="shared" si="299"/>
        <v>Yes</v>
      </c>
      <c r="IU45" s="469" t="str">
        <f t="shared" si="300"/>
        <v>Yes</v>
      </c>
    </row>
    <row r="46" ht="63.75">
      <c r="A46" s="601">
        <f>Input!A46</f>
        <v>45</v>
      </c>
      <c r="B46" s="229" t="str">
        <f>INDEX(ApplicantIDList,MATCH(AI46,ApplicantNameList,0))</f>
        <v>VIETTEL-2016</v>
      </c>
      <c r="C46" s="229" t="str">
        <f>INDEX(OperatorIDList,MATCH(AJ46,OperatorNameList,0))</f>
        <v>VIETTEL-2016</v>
      </c>
      <c r="D46" s="797" t="str">
        <f>Input!Y46</f>
        <v>HCM0260-11</v>
      </c>
      <c r="E46" s="229" t="str">
        <f>Input!G46</f>
        <v>Số 306-308, đường Nguyễn Thiện Thuật, phường 3, quận 3, thành phố Hồ Chí Minh.</v>
      </c>
      <c r="F46" s="229" t="str">
        <f>TRIM(SUBSTITUTE(SUBSTITUTE(Input!H46,"Thành phố ",""),"Tỉnh ",""))</f>
        <v>Hồ Chí Minh</v>
      </c>
      <c r="G46" s="797" t="str">
        <f>Input!I46</f>
        <v>106,677471</v>
      </c>
      <c r="H46" s="797" t="str">
        <f>Input!J46</f>
        <v>10,770119</v>
      </c>
      <c r="I46" s="229">
        <f>Input!V46</f>
        <v>1</v>
      </c>
      <c r="J46" s="229" t="str">
        <f>Input!K46</f>
        <v>1502420/16/TG/TT2</v>
      </c>
      <c r="K46" s="231" t="str">
        <f>TEXT(Input!L46,"dd/mm/yyyy")</f>
        <v>23/09/2016</v>
      </c>
      <c r="L46" s="231" t="str">
        <f>TEXT(Input!M46,"dd/mm/yyyy")</f>
        <v>19/09/2016</v>
      </c>
      <c r="M46" s="229" t="str">
        <f t="shared" si="135"/>
        <v>TỔNG CÔNG TY MẠNG LƯỚI VIETTEL</v>
      </c>
      <c r="N46" s="229" t="str">
        <f t="shared" si="136"/>
        <v>HCM0260-11</v>
      </c>
      <c r="O46" s="229" t="str">
        <f t="shared" si="137"/>
        <v>HUAWEI DBS3900</v>
      </c>
      <c r="P46" s="229" t="str">
        <f t="shared" si="138"/>
        <v>1</v>
      </c>
      <c r="Q46" s="229" t="str">
        <f t="shared" si="139"/>
        <v>2</v>
      </c>
      <c r="R46" s="229" t="str">
        <f t="shared" si="140"/>
        <v>40W</v>
      </c>
      <c r="S46" s="229" t="str">
        <f t="shared" si="141"/>
        <v>2100</v>
      </c>
      <c r="T46" s="229" t="str">
        <f t="shared" si="142"/>
        <v>32m</v>
      </c>
      <c r="U46" s="229">
        <v>1</v>
      </c>
      <c r="V46" s="229"/>
      <c r="W46" s="229" t="b">
        <f t="shared" si="143"/>
        <v>0</v>
      </c>
      <c r="X46" s="229" t="b">
        <f>INDEX(TrueFalseList,_xlfn.IFNA(MATCH(Input!W46,CoKhongList,0),MATCH(Input!W46,YesNoList,0)))</f>
        <v>0</v>
      </c>
      <c r="Y46" s="797">
        <f>Input!FZ46</f>
        <v>0</v>
      </c>
      <c r="Z46" s="229" t="b">
        <v>1</v>
      </c>
      <c r="AA46" s="797">
        <f t="shared" si="144"/>
        <v>32</v>
      </c>
      <c r="AB46" s="229" t="b">
        <v>0</v>
      </c>
      <c r="AC46" s="229" t="b">
        <v>1</v>
      </c>
      <c r="AD46" s="229">
        <f>Input!DR46</f>
        <v>0</v>
      </c>
      <c r="AE46" s="229"/>
      <c r="AF46" s="229" t="str">
        <f>Options!$D$6</f>
        <v>VCC2</v>
      </c>
      <c r="AG46" s="229">
        <f t="shared" si="145"/>
        <v>0</v>
      </c>
      <c r="AH46" s="230"/>
      <c r="AI46" s="553" t="str">
        <f>Input!E46</f>
        <v>TỔNG CÔNG TY MẠNG LƯỚI VIETTEL</v>
      </c>
      <c r="AJ46" s="553" t="str">
        <f>Input!F46</f>
        <v>TỔNG CÔNG TY MẠNG LƯỚI VIETTEL</v>
      </c>
      <c r="AK46" s="229">
        <f t="shared" si="146"/>
        <v>4</v>
      </c>
      <c r="AL46" s="465" t="str">
        <f t="shared" si="147"/>
        <v>thành phố Hồ Chí Minh.</v>
      </c>
      <c r="AM46" s="465" t="str">
        <f t="shared" si="148"/>
        <v>quận 3</v>
      </c>
      <c r="AN46" s="465" t="str">
        <f t="shared" si="149"/>
        <v>phường 3</v>
      </c>
      <c r="AO46" s="229" t="str">
        <f>INDEX(CityIDList,MATCH(F46,CityNameList,0))</f>
        <v>HCM</v>
      </c>
      <c r="AP46" s="230" t="str">
        <f>Input!X46</f>
        <v>TỔNG CÔNG TY MẠNG LƯỚI VIETTEL</v>
      </c>
      <c r="AQ46" s="230">
        <f>Input!AN46</f>
        <v>0</v>
      </c>
      <c r="AR46" s="230">
        <f>Input!BD46</f>
        <v>0</v>
      </c>
      <c r="AS46" s="230" t="str">
        <f>Input!BT46</f>
      </c>
      <c r="AT46" s="230" t="str">
        <f>Input!CH46</f>
      </c>
      <c r="AU46" s="230" t="str">
        <f>Input!CV46</f>
      </c>
      <c r="AV46" s="230" t="str">
        <f>IF(I46&gt;=1,INDEX(OperatorIDList,MATCH(AP46,OperatorNameList,0)),"")</f>
        <v>VIETTEL-2016</v>
      </c>
      <c r="AW46" s="230" t="str">
        <f>IF(I46&gt;=2,INDEX(OperatorIDList,MATCH(AQ46,OperatorNameList,0)),"")</f>
      </c>
      <c r="AX46" s="230" t="str">
        <f>IF(I46&gt;=3,INDEX(OperatorIDList,MATCH(AR46,OperatorNameList,0)),"")</f>
      </c>
      <c r="AY46" s="230" t="str">
        <f>IF(I46&gt;=4,INDEX(OperatorIDList,MATCH(AS46,OperatorNameList,0)),"")</f>
      </c>
      <c r="AZ46" s="230" t="str">
        <f>IF(I46&gt;=5,INDEX(OperatorIDList,MATCH(AT46,OperatorNameList,0)),"")</f>
      </c>
      <c r="BA46" s="230" t="str">
        <f>IF(I46&gt;=6,INDEX(OperatorIDList,MATCH(AU46,OperatorNameList,0)),"")</f>
      </c>
      <c r="BB46" s="230" t="str">
        <f t="shared" si="150"/>
        <v>VIETTEL-2016</v>
      </c>
      <c r="BC46" s="230" t="str">
        <f>Input!Y46</f>
        <v>HCM0260-11</v>
      </c>
      <c r="BD46" s="230">
        <f>Input!AO46</f>
        <v>0</v>
      </c>
      <c r="BE46" s="230">
        <f>Input!BE46</f>
        <v>0</v>
      </c>
      <c r="BF46" s="230" t="str">
        <f>Input!BU46</f>
      </c>
      <c r="BG46" s="230" t="str">
        <f>Input!CI46</f>
      </c>
      <c r="BH46" s="230" t="str">
        <f>Input!CW46</f>
      </c>
      <c r="BI46" s="230" t="str">
        <f>Input!Z46</f>
        <v>HUAWEI DBS3900</v>
      </c>
      <c r="BJ46" s="230">
        <f>Input!AP46</f>
        <v>0</v>
      </c>
      <c r="BK46" s="230">
        <f>Input!BF46</f>
        <v>0</v>
      </c>
      <c r="BL46" s="230" t="str">
        <f>Input!BV46</f>
      </c>
      <c r="BM46" s="230" t="str">
        <f>Input!CJ46</f>
      </c>
      <c r="BN46" s="230" t="str">
        <f>Input!CX46</f>
      </c>
      <c r="BO46" s="553">
        <f>IF(ISNUMBER(Input!AA46),Input!AA46,0)</f>
        <v>1</v>
      </c>
      <c r="BP46" s="553">
        <f>IF(ISNUMBER(Input!AQ46),Input!AQ46,0)</f>
        <v>0</v>
      </c>
      <c r="BQ46" s="553">
        <f>IF(ISNUMBER(Input!BG46),Input!BG46,0)</f>
        <v>0</v>
      </c>
      <c r="BR46" s="553">
        <f>IF(ISNUMBER(Input!BW46),Input!BW46,0)</f>
        <v>0</v>
      </c>
      <c r="BS46" s="553">
        <f>IF(ISNUMBER(Input!CK46),Input!CK46,0)</f>
        <v>0</v>
      </c>
      <c r="BT46" s="554">
        <f>IF(ISNUMBER(Input!CY46),Input!CY46,0)</f>
        <v>0</v>
      </c>
      <c r="BU46" s="230" t="str">
        <f>Input!AF46</f>
        <v>2</v>
      </c>
      <c r="BV46" s="230" t="str">
        <f>Input!AV46</f>
      </c>
      <c r="BW46" s="230" t="str">
        <f>Input!BL46</f>
      </c>
      <c r="BX46" s="230" t="str">
        <f>Input!CA46</f>
      </c>
      <c r="BY46" s="230" t="str">
        <f>Input!CO46</f>
      </c>
      <c r="BZ46" s="230" t="str">
        <f>Input!DC46</f>
      </c>
      <c r="CA46" s="230">
        <f t="shared" si="151"/>
        <v>2</v>
      </c>
      <c r="CB46" s="230">
        <f t="shared" si="152"/>
        <v>0</v>
      </c>
      <c r="CC46" s="230">
        <f t="shared" si="153"/>
        <v>0</v>
      </c>
      <c r="CD46" s="230">
        <f t="shared" si="154"/>
        <v>0</v>
      </c>
      <c r="CE46" s="230">
        <f t="shared" si="155"/>
        <v>0</v>
      </c>
      <c r="CF46" s="230">
        <f t="shared" si="156"/>
        <v>0</v>
      </c>
      <c r="CG46" s="230">
        <f t="shared" si="157"/>
        <v>0</v>
      </c>
      <c r="CH46" s="230">
        <f t="shared" si="158"/>
        <v>0</v>
      </c>
      <c r="CI46" s="230">
        <f t="shared" si="159"/>
        <v>0</v>
      </c>
      <c r="CJ46" s="230">
        <f t="shared" si="160"/>
        <v>0</v>
      </c>
      <c r="CK46" s="230">
        <f t="shared" si="161"/>
        <v>0</v>
      </c>
      <c r="CL46" s="230">
        <f t="shared" si="162"/>
        <v>0</v>
      </c>
      <c r="CM46" s="230">
        <f t="shared" si="163"/>
        <v>0</v>
      </c>
      <c r="CN46" s="230">
        <f t="shared" si="164"/>
        <v>0</v>
      </c>
      <c r="CO46" s="230">
        <f t="shared" si="165"/>
        <v>0</v>
      </c>
      <c r="CP46" s="230">
        <f t="shared" si="166"/>
        <v>0</v>
      </c>
      <c r="CQ46" s="230">
        <f t="shared" si="167"/>
        <v>0</v>
      </c>
      <c r="CR46" s="230">
        <f t="shared" si="168"/>
        <v>0</v>
      </c>
      <c r="CS46" s="230">
        <f t="shared" si="169"/>
        <v>0</v>
      </c>
      <c r="CT46" s="230">
        <f t="shared" si="170"/>
        <v>0</v>
      </c>
      <c r="CU46" s="230">
        <f t="shared" si="171"/>
        <v>0</v>
      </c>
      <c r="CV46" s="230">
        <f t="shared" si="172"/>
        <v>0</v>
      </c>
      <c r="CW46" s="230">
        <f t="shared" si="173"/>
        <v>0</v>
      </c>
      <c r="CX46" s="230">
        <f t="shared" si="174"/>
        <v>0</v>
      </c>
      <c r="CY46" s="230">
        <f t="shared" si="175"/>
        <v>0</v>
      </c>
      <c r="CZ46" s="230">
        <f t="shared" si="176"/>
        <v>0</v>
      </c>
      <c r="DA46" s="230">
        <f t="shared" si="177"/>
        <v>0</v>
      </c>
      <c r="DB46" s="230">
        <f t="shared" si="178"/>
        <v>0</v>
      </c>
      <c r="DC46" s="230">
        <f t="shared" si="179"/>
        <v>0</v>
      </c>
      <c r="DD46" s="230">
        <f t="shared" si="180"/>
        <v>0</v>
      </c>
      <c r="DE46" s="230">
        <f t="shared" si="181"/>
        <v>0</v>
      </c>
      <c r="DF46" s="230">
        <f t="shared" si="182"/>
        <v>0</v>
      </c>
      <c r="DG46" s="230">
        <f t="shared" si="183"/>
        <v>0</v>
      </c>
      <c r="DH46" s="230">
        <f t="shared" si="184"/>
        <v>0</v>
      </c>
      <c r="DI46" s="230">
        <f t="shared" si="185"/>
        <v>0</v>
      </c>
      <c r="DJ46" s="230">
        <f t="shared" si="186"/>
        <v>0</v>
      </c>
      <c r="DK46" s="230" t="str">
        <f>Input!AK46</f>
        <v>40,00W</v>
      </c>
      <c r="DL46" s="230" t="str">
        <f>Input!BA46</f>
      </c>
      <c r="DM46" s="230" t="str">
        <f>Input!BQ46</f>
      </c>
      <c r="DN46" s="230" t="str">
        <f>Input!CE46</f>
      </c>
      <c r="DO46" s="230" t="str">
        <f>Input!CS46</f>
      </c>
      <c r="DP46" s="230" t="str">
        <f>Input!DG46</f>
      </c>
      <c r="DQ46" s="230" t="str">
        <f t="shared" si="187"/>
        <v>40W</v>
      </c>
      <c r="DR46" s="230" t="str">
        <f t="shared" si="188"/>
      </c>
      <c r="DS46" s="230" t="str">
        <f t="shared" si="189"/>
      </c>
      <c r="DT46" s="230" t="str">
        <f t="shared" si="190"/>
      </c>
      <c r="DU46" s="230" t="str">
        <f t="shared" si="191"/>
      </c>
      <c r="DV46" s="230" t="str">
        <f t="shared" si="192"/>
      </c>
      <c r="DW46" s="230">
        <f t="shared" si="193"/>
        <v>40</v>
      </c>
      <c r="DX46" s="230">
        <f t="shared" si="194"/>
        <v>0</v>
      </c>
      <c r="DY46" s="230">
        <f t="shared" si="195"/>
        <v>0</v>
      </c>
      <c r="DZ46" s="230">
        <f t="shared" si="196"/>
        <v>0</v>
      </c>
      <c r="EA46" s="230">
        <f t="shared" si="197"/>
        <v>0</v>
      </c>
      <c r="EB46" s="230">
        <f t="shared" si="198"/>
        <v>0</v>
      </c>
      <c r="EC46" s="230">
        <f t="shared" si="199"/>
        <v>40</v>
      </c>
      <c r="ED46" s="230">
        <f t="shared" si="200"/>
        <v>0</v>
      </c>
      <c r="EE46" s="230">
        <f t="shared" si="201"/>
        <v>0</v>
      </c>
      <c r="EF46" s="230">
        <f t="shared" si="202"/>
        <v>0</v>
      </c>
      <c r="EG46" s="230">
        <f t="shared" si="203"/>
        <v>0</v>
      </c>
      <c r="EH46" s="230">
        <f t="shared" si="204"/>
        <v>0</v>
      </c>
      <c r="EI46" s="230">
        <f t="shared" si="205"/>
        <v>0</v>
      </c>
      <c r="EJ46" s="230">
        <f t="shared" si="206"/>
        <v>0</v>
      </c>
      <c r="EK46" s="230">
        <f t="shared" si="207"/>
        <v>0</v>
      </c>
      <c r="EL46" s="230">
        <f t="shared" si="208"/>
        <v>0</v>
      </c>
      <c r="EM46" s="230">
        <f t="shared" si="209"/>
        <v>0</v>
      </c>
      <c r="EN46" s="230">
        <f t="shared" si="210"/>
        <v>0</v>
      </c>
      <c r="EO46" s="230">
        <f t="shared" si="211"/>
        <v>0</v>
      </c>
      <c r="EP46" s="230">
        <f t="shared" si="212"/>
        <v>0</v>
      </c>
      <c r="EQ46" s="230">
        <f t="shared" si="213"/>
        <v>0</v>
      </c>
      <c r="ER46" s="230">
        <f t="shared" si="214"/>
        <v>0</v>
      </c>
      <c r="ES46" s="230">
        <f t="shared" si="215"/>
        <v>0</v>
      </c>
      <c r="ET46" s="230">
        <f t="shared" si="216"/>
        <v>0</v>
      </c>
      <c r="EU46" s="230">
        <f t="shared" si="217"/>
        <v>0</v>
      </c>
      <c r="EV46" s="230">
        <f t="shared" si="218"/>
        <v>0</v>
      </c>
      <c r="EW46" s="230">
        <f t="shared" si="219"/>
        <v>0</v>
      </c>
      <c r="EX46" s="230">
        <f t="shared" si="220"/>
        <v>0</v>
      </c>
      <c r="EY46" s="230">
        <f t="shared" si="221"/>
        <v>0</v>
      </c>
      <c r="EZ46" s="230">
        <f t="shared" si="222"/>
        <v>0</v>
      </c>
      <c r="FA46" s="230">
        <f t="shared" si="223"/>
        <v>0</v>
      </c>
      <c r="FB46" s="230">
        <f t="shared" si="224"/>
        <v>0</v>
      </c>
      <c r="FC46" s="230">
        <f t="shared" si="225"/>
        <v>0</v>
      </c>
      <c r="FD46" s="230">
        <f t="shared" si="226"/>
        <v>0</v>
      </c>
      <c r="FE46" s="230">
        <f t="shared" si="227"/>
        <v>0</v>
      </c>
      <c r="FF46" s="230">
        <f t="shared" si="228"/>
        <v>0</v>
      </c>
      <c r="FG46" s="230">
        <f t="shared" si="229"/>
        <v>0</v>
      </c>
      <c r="FH46" s="230">
        <f t="shared" si="230"/>
        <v>0</v>
      </c>
      <c r="FI46" s="230">
        <f t="shared" si="231"/>
        <v>0</v>
      </c>
      <c r="FJ46" s="230">
        <f t="shared" si="232"/>
        <v>0</v>
      </c>
      <c r="FK46" s="230">
        <f t="shared" si="233"/>
        <v>0</v>
      </c>
      <c r="FL46" s="230">
        <f t="shared" si="234"/>
        <v>0</v>
      </c>
      <c r="FM46" s="230">
        <f t="shared" si="235"/>
        <v>40</v>
      </c>
      <c r="FN46" s="230">
        <f>Input!AL46</f>
        <v>2100</v>
      </c>
      <c r="FO46" s="230">
        <f>Input!BB46</f>
        <v>0</v>
      </c>
      <c r="FP46" s="230">
        <f>Input!BR46</f>
        <v>0</v>
      </c>
      <c r="FQ46" s="230" t="str">
        <f>Input!CF46</f>
      </c>
      <c r="FR46" s="230" t="str">
        <f>Input!CT46</f>
      </c>
      <c r="FS46" s="230" t="str">
        <f>Input!DH46</f>
      </c>
      <c r="FT46" s="230" t="str">
        <f>Input!AM46</f>
        <v>32m</v>
      </c>
      <c r="FU46" s="230">
        <f>Input!BC46</f>
        <v>0</v>
      </c>
      <c r="FV46" s="230">
        <f>Input!BS46</f>
        <v>0</v>
      </c>
      <c r="FW46" s="230" t="str">
        <f>Input!CG46</f>
      </c>
      <c r="FX46" s="230" t="str">
        <f>Input!CU46</f>
      </c>
      <c r="FY46" s="230" t="str">
        <f>Input!DI46</f>
      </c>
      <c r="FZ46" s="230" t="str">
        <f t="shared" si="236"/>
        <v>32m</v>
      </c>
      <c r="GA46" s="230" t="str">
        <f t="shared" si="237"/>
      </c>
      <c r="GB46" s="230" t="str">
        <f t="shared" si="238"/>
      </c>
      <c r="GC46" s="230" t="str">
        <f t="shared" si="239"/>
      </c>
      <c r="GD46" s="230" t="str">
        <f t="shared" si="240"/>
      </c>
      <c r="GE46" s="230" t="str">
        <f t="shared" si="241"/>
      </c>
      <c r="GF46" s="230">
        <f t="shared" si="242"/>
        <v>32</v>
      </c>
      <c r="GG46" s="230">
        <f t="shared" si="243"/>
        <v>0</v>
      </c>
      <c r="GH46" s="230">
        <f t="shared" si="244"/>
        <v>0</v>
      </c>
      <c r="GI46" s="230">
        <f t="shared" si="245"/>
        <v>0</v>
      </c>
      <c r="GJ46" s="230">
        <f t="shared" si="246"/>
        <v>0</v>
      </c>
      <c r="GK46" s="230">
        <f t="shared" si="247"/>
        <v>0</v>
      </c>
      <c r="GL46" s="230">
        <f t="shared" si="248"/>
        <v>0</v>
      </c>
      <c r="GM46" s="230">
        <f t="shared" si="249"/>
        <v>0</v>
      </c>
      <c r="GN46" s="230">
        <f t="shared" si="250"/>
        <v>0</v>
      </c>
      <c r="GO46" s="230">
        <f t="shared" si="251"/>
        <v>0</v>
      </c>
      <c r="GP46" s="230">
        <f t="shared" si="252"/>
        <v>0</v>
      </c>
      <c r="GQ46" s="230">
        <f t="shared" si="253"/>
        <v>0</v>
      </c>
      <c r="GR46" s="230">
        <f t="shared" si="254"/>
        <v>0</v>
      </c>
      <c r="GS46" s="230">
        <f t="shared" si="255"/>
        <v>0</v>
      </c>
      <c r="GT46" s="230">
        <f t="shared" si="256"/>
        <v>0</v>
      </c>
      <c r="GU46" s="230">
        <f t="shared" si="257"/>
        <v>0</v>
      </c>
      <c r="GV46" s="230">
        <f t="shared" si="258"/>
        <v>0</v>
      </c>
      <c r="GW46" s="230">
        <f t="shared" si="259"/>
        <v>0</v>
      </c>
      <c r="GX46" s="230">
        <f t="shared" si="260"/>
        <v>0</v>
      </c>
      <c r="GY46" s="230">
        <f t="shared" si="261"/>
        <v>0</v>
      </c>
      <c r="GZ46" s="230">
        <f t="shared" si="262"/>
        <v>0</v>
      </c>
      <c r="HA46" s="230">
        <f t="shared" si="263"/>
        <v>0</v>
      </c>
      <c r="HB46" s="230">
        <f t="shared" si="264"/>
        <v>0</v>
      </c>
      <c r="HC46" s="230">
        <f t="shared" si="265"/>
        <v>0</v>
      </c>
      <c r="HD46" s="230">
        <f t="shared" si="266"/>
        <v>0</v>
      </c>
      <c r="HE46" s="230">
        <f t="shared" si="267"/>
        <v>0</v>
      </c>
      <c r="HF46" s="230">
        <f t="shared" si="268"/>
        <v>0</v>
      </c>
      <c r="HG46" s="230">
        <f t="shared" si="269"/>
        <v>0</v>
      </c>
      <c r="HH46" s="230">
        <f t="shared" si="270"/>
        <v>0</v>
      </c>
      <c r="HI46" s="230">
        <f t="shared" si="271"/>
        <v>0</v>
      </c>
      <c r="HJ46" s="230">
        <f t="shared" si="272"/>
        <v>0</v>
      </c>
      <c r="HK46" s="230">
        <f t="shared" si="273"/>
        <v>0</v>
      </c>
      <c r="HL46" s="230">
        <f t="shared" si="274"/>
        <v>0</v>
      </c>
      <c r="HM46" s="230">
        <f t="shared" si="275"/>
        <v>0</v>
      </c>
      <c r="HN46" s="230">
        <f t="shared" si="276"/>
        <v>0</v>
      </c>
      <c r="HO46" s="230">
        <f t="shared" si="277"/>
        <v>0</v>
      </c>
      <c r="HP46" s="230" t="str">
        <f>INDEX(LabNameList,MATCH(LabId,LabIDList,0))</f>
        <v>Trung tâm Kiểm định và Chứng nhận 2</v>
      </c>
      <c r="HQ46" s="230">
        <f t="shared" si="278"/>
        <v>32</v>
      </c>
      <c r="HR46" s="230">
        <f t="shared" si="279"/>
        <v>0</v>
      </c>
      <c r="HS46" s="230">
        <f t="shared" si="280"/>
        <v>0</v>
      </c>
      <c r="HT46" s="230">
        <f t="shared" si="281"/>
        <v>0</v>
      </c>
      <c r="HU46" s="230">
        <f t="shared" si="282"/>
        <v>0</v>
      </c>
      <c r="HV46" s="230">
        <f t="shared" si="283"/>
        <v>0</v>
      </c>
      <c r="HW46" s="797">
        <f t="shared" si="284"/>
        <v>32</v>
      </c>
      <c r="HX46" s="797">
        <f>Input!EB46</f>
        <v>0</v>
      </c>
      <c r="HY46" s="230">
        <v>68</v>
      </c>
      <c r="HZ46" s="230"/>
      <c r="IA46" s="230"/>
      <c r="IB46" s="230"/>
      <c r="IC46" s="232" t="str">
        <f t="shared" si="285"/>
        <v>B01997230916TG05</v>
      </c>
      <c r="ID46" s="233" t="str">
        <f>Input!O46</f>
        <v>01997</v>
      </c>
      <c r="IE46" s="467" t="str">
        <f t="shared" si="286"/>
        <v>230916</v>
      </c>
      <c r="IF46" s="232" t="s">
        <v>364</v>
      </c>
      <c r="IG46" s="467" t="str">
        <f t="shared" si="287"/>
        <v>23/09/2016</v>
      </c>
      <c r="IH46" s="467" t="str">
        <f t="shared" si="288"/>
        <v>23/09/2021</v>
      </c>
      <c r="II46" s="546" t="str">
        <f> Input!R46</f>
        <v>23/09/2016</v>
      </c>
      <c r="IJ46" s="467">
        <f t="shared" si="289"/>
        <v>44462</v>
      </c>
      <c r="IK46" s="468">
        <f t="shared" si="290"/>
        <v>3</v>
      </c>
      <c r="IL46" s="469" t="str">
        <f t="shared" si="291"/>
        <v>3-1</v>
      </c>
      <c r="IM46" s="469" t="str">
        <f t="shared" si="292"/>
        <v>KHAC</v>
      </c>
      <c r="IN46" s="469" t="str">
        <f t="shared" si="293"/>
        <v>KHAC</v>
      </c>
      <c r="IO46" s="469" t="str">
        <f t="shared" si="294"/>
      </c>
      <c r="IP46" s="469" t="str">
        <f t="shared" si="295"/>
      </c>
      <c r="IQ46" s="469" t="str">
        <f t="shared" si="296"/>
      </c>
      <c r="IR46" s="469">
        <f t="shared" si="297"/>
        <v>1</v>
      </c>
      <c r="IS46" s="469">
        <f t="shared" si="298"/>
        <v>2</v>
      </c>
      <c r="IT46" s="469" t="str">
        <f t="shared" si="299"/>
        <v>Yes</v>
      </c>
      <c r="IU46" s="469" t="str">
        <f t="shared" si="300"/>
        <v>Yes</v>
      </c>
    </row>
    <row r="47" ht="63.75">
      <c r="A47" s="601">
        <f>Input!A47</f>
        <v>46</v>
      </c>
      <c r="B47" s="229" t="str">
        <f>INDEX(ApplicantIDList,MATCH(AI47,ApplicantNameList,0))</f>
        <v>VIETTEL-2016</v>
      </c>
      <c r="C47" s="229" t="str">
        <f>INDEX(OperatorIDList,MATCH(AJ47,OperatorNameList,0))</f>
        <v>VIETTEL-2016</v>
      </c>
      <c r="D47" s="797" t="str">
        <f>Input!Y47</f>
        <v>HCM1026-11</v>
      </c>
      <c r="E47" s="229" t="str">
        <f>Input!G47</f>
        <v>Số 107P, đường Trương Định, phường 10, quận 3, thành phố Hồ Chí Minh.</v>
      </c>
      <c r="F47" s="229" t="str">
        <f>TRIM(SUBSTITUTE(SUBSTITUTE(Input!H47,"Thành phố ",""),"Tỉnh ",""))</f>
        <v>Hồ Chí Minh</v>
      </c>
      <c r="G47" s="797" t="str">
        <f>Input!I47</f>
        <v>106,68825</v>
      </c>
      <c r="H47" s="797" t="str">
        <f>Input!J47</f>
        <v>10,778863</v>
      </c>
      <c r="I47" s="229">
        <f>Input!V47</f>
        <v>1</v>
      </c>
      <c r="J47" s="229" t="str">
        <f>Input!K47</f>
        <v>1502421/16/TG/TT2</v>
      </c>
      <c r="K47" s="231" t="str">
        <f>TEXT(Input!L47,"dd/mm/yyyy")</f>
        <v>23/09/2016</v>
      </c>
      <c r="L47" s="231" t="str">
        <f>TEXT(Input!M47,"dd/mm/yyyy")</f>
        <v>19/09/2016</v>
      </c>
      <c r="M47" s="229" t="str">
        <f t="shared" si="135"/>
        <v>TỔNG CÔNG TY MẠNG LƯỚI VIETTEL</v>
      </c>
      <c r="N47" s="229" t="str">
        <f t="shared" si="136"/>
        <v>HCM1026-11</v>
      </c>
      <c r="O47" s="229" t="str">
        <f t="shared" si="137"/>
        <v>HUAWEI DBS3900</v>
      </c>
      <c r="P47" s="229" t="str">
        <f t="shared" si="138"/>
        <v>1</v>
      </c>
      <c r="Q47" s="229" t="str">
        <f t="shared" si="139"/>
        <v>2</v>
      </c>
      <c r="R47" s="229" t="str">
        <f t="shared" si="140"/>
        <v>40W</v>
      </c>
      <c r="S47" s="229" t="str">
        <f t="shared" si="141"/>
        <v>2100</v>
      </c>
      <c r="T47" s="229" t="str">
        <f t="shared" si="142"/>
        <v>18m</v>
      </c>
      <c r="U47" s="229">
        <v>1</v>
      </c>
      <c r="V47" s="229"/>
      <c r="W47" s="229" t="b">
        <f t="shared" si="143"/>
        <v>0</v>
      </c>
      <c r="X47" s="229" t="b">
        <f>INDEX(TrueFalseList,_xlfn.IFNA(MATCH(Input!W47,CoKhongList,0),MATCH(Input!W47,YesNoList,0)))</f>
        <v>0</v>
      </c>
      <c r="Y47" s="797">
        <f>Input!FZ47</f>
        <v>0</v>
      </c>
      <c r="Z47" s="229" t="b">
        <v>1</v>
      </c>
      <c r="AA47" s="797">
        <f t="shared" si="144"/>
        <v>18</v>
      </c>
      <c r="AB47" s="229" t="b">
        <v>0</v>
      </c>
      <c r="AC47" s="229" t="b">
        <v>1</v>
      </c>
      <c r="AD47" s="229">
        <f>Input!DR47</f>
        <v>0</v>
      </c>
      <c r="AE47" s="229"/>
      <c r="AF47" s="229" t="str">
        <f>Options!$D$6</f>
        <v>VCC2</v>
      </c>
      <c r="AG47" s="229">
        <f t="shared" si="145"/>
        <v>0</v>
      </c>
      <c r="AH47" s="230"/>
      <c r="AI47" s="553" t="str">
        <f>Input!E47</f>
        <v>TỔNG CÔNG TY MẠNG LƯỚI VIETTEL</v>
      </c>
      <c r="AJ47" s="553" t="str">
        <f>Input!F47</f>
        <v>TỔNG CÔNG TY MẠNG LƯỚI VIETTEL</v>
      </c>
      <c r="AK47" s="229">
        <f t="shared" si="146"/>
        <v>4</v>
      </c>
      <c r="AL47" s="465" t="str">
        <f t="shared" si="147"/>
        <v>thành phố Hồ Chí Minh.</v>
      </c>
      <c r="AM47" s="465" t="str">
        <f t="shared" si="148"/>
        <v>quận 3</v>
      </c>
      <c r="AN47" s="465" t="str">
        <f t="shared" si="149"/>
        <v>phường 10</v>
      </c>
      <c r="AO47" s="229" t="str">
        <f>INDEX(CityIDList,MATCH(F47,CityNameList,0))</f>
        <v>HCM</v>
      </c>
      <c r="AP47" s="230" t="str">
        <f>Input!X47</f>
        <v>TỔNG CÔNG TY MẠNG LƯỚI VIETTEL</v>
      </c>
      <c r="AQ47" s="230">
        <f>Input!AN47</f>
        <v>0</v>
      </c>
      <c r="AR47" s="230">
        <f>Input!BD47</f>
        <v>0</v>
      </c>
      <c r="AS47" s="230" t="str">
        <f>Input!BT47</f>
      </c>
      <c r="AT47" s="230" t="str">
        <f>Input!CH47</f>
      </c>
      <c r="AU47" s="230" t="str">
        <f>Input!CV47</f>
      </c>
      <c r="AV47" s="230" t="str">
        <f>IF(I47&gt;=1,INDEX(OperatorIDList,MATCH(AP47,OperatorNameList,0)),"")</f>
        <v>VIETTEL-2016</v>
      </c>
      <c r="AW47" s="230" t="str">
        <f>IF(I47&gt;=2,INDEX(OperatorIDList,MATCH(AQ47,OperatorNameList,0)),"")</f>
      </c>
      <c r="AX47" s="230" t="str">
        <f>IF(I47&gt;=3,INDEX(OperatorIDList,MATCH(AR47,OperatorNameList,0)),"")</f>
      </c>
      <c r="AY47" s="230" t="str">
        <f>IF(I47&gt;=4,INDEX(OperatorIDList,MATCH(AS47,OperatorNameList,0)),"")</f>
      </c>
      <c r="AZ47" s="230" t="str">
        <f>IF(I47&gt;=5,INDEX(OperatorIDList,MATCH(AT47,OperatorNameList,0)),"")</f>
      </c>
      <c r="BA47" s="230" t="str">
        <f>IF(I47&gt;=6,INDEX(OperatorIDList,MATCH(AU47,OperatorNameList,0)),"")</f>
      </c>
      <c r="BB47" s="230" t="str">
        <f t="shared" si="150"/>
        <v>VIETTEL-2016</v>
      </c>
      <c r="BC47" s="230" t="str">
        <f>Input!Y47</f>
        <v>HCM1026-11</v>
      </c>
      <c r="BD47" s="230">
        <f>Input!AO47</f>
        <v>0</v>
      </c>
      <c r="BE47" s="230">
        <f>Input!BE47</f>
        <v>0</v>
      </c>
      <c r="BF47" s="230" t="str">
        <f>Input!BU47</f>
      </c>
      <c r="BG47" s="230" t="str">
        <f>Input!CI47</f>
      </c>
      <c r="BH47" s="230" t="str">
        <f>Input!CW47</f>
      </c>
      <c r="BI47" s="230" t="str">
        <f>Input!Z47</f>
        <v>HUAWEI DBS3900</v>
      </c>
      <c r="BJ47" s="230">
        <f>Input!AP47</f>
        <v>0</v>
      </c>
      <c r="BK47" s="230">
        <f>Input!BF47</f>
        <v>0</v>
      </c>
      <c r="BL47" s="230" t="str">
        <f>Input!BV47</f>
      </c>
      <c r="BM47" s="230" t="str">
        <f>Input!CJ47</f>
      </c>
      <c r="BN47" s="230" t="str">
        <f>Input!CX47</f>
      </c>
      <c r="BO47" s="553">
        <f>IF(ISNUMBER(Input!AA47),Input!AA47,0)</f>
        <v>1</v>
      </c>
      <c r="BP47" s="553">
        <f>IF(ISNUMBER(Input!AQ47),Input!AQ47,0)</f>
        <v>0</v>
      </c>
      <c r="BQ47" s="553">
        <f>IF(ISNUMBER(Input!BG47),Input!BG47,0)</f>
        <v>0</v>
      </c>
      <c r="BR47" s="553">
        <f>IF(ISNUMBER(Input!BW47),Input!BW47,0)</f>
        <v>0</v>
      </c>
      <c r="BS47" s="553">
        <f>IF(ISNUMBER(Input!CK47),Input!CK47,0)</f>
        <v>0</v>
      </c>
      <c r="BT47" s="554">
        <f>IF(ISNUMBER(Input!CY47),Input!CY47,0)</f>
        <v>0</v>
      </c>
      <c r="BU47" s="230" t="str">
        <f>Input!AF47</f>
        <v>2</v>
      </c>
      <c r="BV47" s="230" t="str">
        <f>Input!AV47</f>
      </c>
      <c r="BW47" s="230" t="str">
        <f>Input!BL47</f>
      </c>
      <c r="BX47" s="230" t="str">
        <f>Input!CA47</f>
      </c>
      <c r="BY47" s="230" t="str">
        <f>Input!CO47</f>
      </c>
      <c r="BZ47" s="230" t="str">
        <f>Input!DC47</f>
      </c>
      <c r="CA47" s="230">
        <f t="shared" si="151"/>
        <v>2</v>
      </c>
      <c r="CB47" s="230">
        <f t="shared" si="152"/>
        <v>0</v>
      </c>
      <c r="CC47" s="230">
        <f t="shared" si="153"/>
        <v>0</v>
      </c>
      <c r="CD47" s="230">
        <f t="shared" si="154"/>
        <v>0</v>
      </c>
      <c r="CE47" s="230">
        <f t="shared" si="155"/>
        <v>0</v>
      </c>
      <c r="CF47" s="230">
        <f t="shared" si="156"/>
        <v>0</v>
      </c>
      <c r="CG47" s="230">
        <f t="shared" si="157"/>
        <v>0</v>
      </c>
      <c r="CH47" s="230">
        <f t="shared" si="158"/>
        <v>0</v>
      </c>
      <c r="CI47" s="230">
        <f t="shared" si="159"/>
        <v>0</v>
      </c>
      <c r="CJ47" s="230">
        <f t="shared" si="160"/>
        <v>0</v>
      </c>
      <c r="CK47" s="230">
        <f t="shared" si="161"/>
        <v>0</v>
      </c>
      <c r="CL47" s="230">
        <f t="shared" si="162"/>
        <v>0</v>
      </c>
      <c r="CM47" s="230">
        <f t="shared" si="163"/>
        <v>0</v>
      </c>
      <c r="CN47" s="230">
        <f t="shared" si="164"/>
        <v>0</v>
      </c>
      <c r="CO47" s="230">
        <f t="shared" si="165"/>
        <v>0</v>
      </c>
      <c r="CP47" s="230">
        <f t="shared" si="166"/>
        <v>0</v>
      </c>
      <c r="CQ47" s="230">
        <f t="shared" si="167"/>
        <v>0</v>
      </c>
      <c r="CR47" s="230">
        <f t="shared" si="168"/>
        <v>0</v>
      </c>
      <c r="CS47" s="230">
        <f t="shared" si="169"/>
        <v>0</v>
      </c>
      <c r="CT47" s="230">
        <f t="shared" si="170"/>
        <v>0</v>
      </c>
      <c r="CU47" s="230">
        <f t="shared" si="171"/>
        <v>0</v>
      </c>
      <c r="CV47" s="230">
        <f t="shared" si="172"/>
        <v>0</v>
      </c>
      <c r="CW47" s="230">
        <f t="shared" si="173"/>
        <v>0</v>
      </c>
      <c r="CX47" s="230">
        <f t="shared" si="174"/>
        <v>0</v>
      </c>
      <c r="CY47" s="230">
        <f t="shared" si="175"/>
        <v>0</v>
      </c>
      <c r="CZ47" s="230">
        <f t="shared" si="176"/>
        <v>0</v>
      </c>
      <c r="DA47" s="230">
        <f t="shared" si="177"/>
        <v>0</v>
      </c>
      <c r="DB47" s="230">
        <f t="shared" si="178"/>
        <v>0</v>
      </c>
      <c r="DC47" s="230">
        <f t="shared" si="179"/>
        <v>0</v>
      </c>
      <c r="DD47" s="230">
        <f t="shared" si="180"/>
        <v>0</v>
      </c>
      <c r="DE47" s="230">
        <f t="shared" si="181"/>
        <v>0</v>
      </c>
      <c r="DF47" s="230">
        <f t="shared" si="182"/>
        <v>0</v>
      </c>
      <c r="DG47" s="230">
        <f t="shared" si="183"/>
        <v>0</v>
      </c>
      <c r="DH47" s="230">
        <f t="shared" si="184"/>
        <v>0</v>
      </c>
      <c r="DI47" s="230">
        <f t="shared" si="185"/>
        <v>0</v>
      </c>
      <c r="DJ47" s="230">
        <f t="shared" si="186"/>
        <v>0</v>
      </c>
      <c r="DK47" s="230" t="str">
        <f>Input!AK47</f>
        <v>40,00W</v>
      </c>
      <c r="DL47" s="230" t="str">
        <f>Input!BA47</f>
      </c>
      <c r="DM47" s="230" t="str">
        <f>Input!BQ47</f>
      </c>
      <c r="DN47" s="230" t="str">
        <f>Input!CE47</f>
      </c>
      <c r="DO47" s="230" t="str">
        <f>Input!CS47</f>
      </c>
      <c r="DP47" s="230" t="str">
        <f>Input!DG47</f>
      </c>
      <c r="DQ47" s="230" t="str">
        <f t="shared" si="187"/>
        <v>40W</v>
      </c>
      <c r="DR47" s="230" t="str">
        <f t="shared" si="188"/>
      </c>
      <c r="DS47" s="230" t="str">
        <f t="shared" si="189"/>
      </c>
      <c r="DT47" s="230" t="str">
        <f t="shared" si="190"/>
      </c>
      <c r="DU47" s="230" t="str">
        <f t="shared" si="191"/>
      </c>
      <c r="DV47" s="230" t="str">
        <f t="shared" si="192"/>
      </c>
      <c r="DW47" s="230">
        <f t="shared" si="193"/>
        <v>40</v>
      </c>
      <c r="DX47" s="230">
        <f t="shared" si="194"/>
        <v>0</v>
      </c>
      <c r="DY47" s="230">
        <f t="shared" si="195"/>
        <v>0</v>
      </c>
      <c r="DZ47" s="230">
        <f t="shared" si="196"/>
        <v>0</v>
      </c>
      <c r="EA47" s="230">
        <f t="shared" si="197"/>
        <v>0</v>
      </c>
      <c r="EB47" s="230">
        <f t="shared" si="198"/>
        <v>0</v>
      </c>
      <c r="EC47" s="230">
        <f t="shared" si="199"/>
        <v>40</v>
      </c>
      <c r="ED47" s="230">
        <f t="shared" si="200"/>
        <v>0</v>
      </c>
      <c r="EE47" s="230">
        <f t="shared" si="201"/>
        <v>0</v>
      </c>
      <c r="EF47" s="230">
        <f t="shared" si="202"/>
        <v>0</v>
      </c>
      <c r="EG47" s="230">
        <f t="shared" si="203"/>
        <v>0</v>
      </c>
      <c r="EH47" s="230">
        <f t="shared" si="204"/>
        <v>0</v>
      </c>
      <c r="EI47" s="230">
        <f t="shared" si="205"/>
        <v>0</v>
      </c>
      <c r="EJ47" s="230">
        <f t="shared" si="206"/>
        <v>0</v>
      </c>
      <c r="EK47" s="230">
        <f t="shared" si="207"/>
        <v>0</v>
      </c>
      <c r="EL47" s="230">
        <f t="shared" si="208"/>
        <v>0</v>
      </c>
      <c r="EM47" s="230">
        <f t="shared" si="209"/>
        <v>0</v>
      </c>
      <c r="EN47" s="230">
        <f t="shared" si="210"/>
        <v>0</v>
      </c>
      <c r="EO47" s="230">
        <f t="shared" si="211"/>
        <v>0</v>
      </c>
      <c r="EP47" s="230">
        <f t="shared" si="212"/>
        <v>0</v>
      </c>
      <c r="EQ47" s="230">
        <f t="shared" si="213"/>
        <v>0</v>
      </c>
      <c r="ER47" s="230">
        <f t="shared" si="214"/>
        <v>0</v>
      </c>
      <c r="ES47" s="230">
        <f t="shared" si="215"/>
        <v>0</v>
      </c>
      <c r="ET47" s="230">
        <f t="shared" si="216"/>
        <v>0</v>
      </c>
      <c r="EU47" s="230">
        <f t="shared" si="217"/>
        <v>0</v>
      </c>
      <c r="EV47" s="230">
        <f t="shared" si="218"/>
        <v>0</v>
      </c>
      <c r="EW47" s="230">
        <f t="shared" si="219"/>
        <v>0</v>
      </c>
      <c r="EX47" s="230">
        <f t="shared" si="220"/>
        <v>0</v>
      </c>
      <c r="EY47" s="230">
        <f t="shared" si="221"/>
        <v>0</v>
      </c>
      <c r="EZ47" s="230">
        <f t="shared" si="222"/>
        <v>0</v>
      </c>
      <c r="FA47" s="230">
        <f t="shared" si="223"/>
        <v>0</v>
      </c>
      <c r="FB47" s="230">
        <f t="shared" si="224"/>
        <v>0</v>
      </c>
      <c r="FC47" s="230">
        <f t="shared" si="225"/>
        <v>0</v>
      </c>
      <c r="FD47" s="230">
        <f t="shared" si="226"/>
        <v>0</v>
      </c>
      <c r="FE47" s="230">
        <f t="shared" si="227"/>
        <v>0</v>
      </c>
      <c r="FF47" s="230">
        <f t="shared" si="228"/>
        <v>0</v>
      </c>
      <c r="FG47" s="230">
        <f t="shared" si="229"/>
        <v>0</v>
      </c>
      <c r="FH47" s="230">
        <f t="shared" si="230"/>
        <v>0</v>
      </c>
      <c r="FI47" s="230">
        <f t="shared" si="231"/>
        <v>0</v>
      </c>
      <c r="FJ47" s="230">
        <f t="shared" si="232"/>
        <v>0</v>
      </c>
      <c r="FK47" s="230">
        <f t="shared" si="233"/>
        <v>0</v>
      </c>
      <c r="FL47" s="230">
        <f t="shared" si="234"/>
        <v>0</v>
      </c>
      <c r="FM47" s="230">
        <f t="shared" si="235"/>
        <v>40</v>
      </c>
      <c r="FN47" s="230">
        <f>Input!AL47</f>
        <v>2100</v>
      </c>
      <c r="FO47" s="230">
        <f>Input!BB47</f>
        <v>0</v>
      </c>
      <c r="FP47" s="230">
        <f>Input!BR47</f>
        <v>0</v>
      </c>
      <c r="FQ47" s="230" t="str">
        <f>Input!CF47</f>
      </c>
      <c r="FR47" s="230" t="str">
        <f>Input!CT47</f>
      </c>
      <c r="FS47" s="230" t="str">
        <f>Input!DH47</f>
      </c>
      <c r="FT47" s="230" t="str">
        <f>Input!AM47</f>
        <v>18m</v>
      </c>
      <c r="FU47" s="230">
        <f>Input!BC47</f>
        <v>0</v>
      </c>
      <c r="FV47" s="230">
        <f>Input!BS47</f>
        <v>0</v>
      </c>
      <c r="FW47" s="230" t="str">
        <f>Input!CG47</f>
      </c>
      <c r="FX47" s="230" t="str">
        <f>Input!CU47</f>
      </c>
      <c r="FY47" s="230" t="str">
        <f>Input!DI47</f>
      </c>
      <c r="FZ47" s="230" t="str">
        <f t="shared" si="236"/>
        <v>18m</v>
      </c>
      <c r="GA47" s="230" t="str">
        <f t="shared" si="237"/>
      </c>
      <c r="GB47" s="230" t="str">
        <f t="shared" si="238"/>
      </c>
      <c r="GC47" s="230" t="str">
        <f t="shared" si="239"/>
      </c>
      <c r="GD47" s="230" t="str">
        <f t="shared" si="240"/>
      </c>
      <c r="GE47" s="230" t="str">
        <f t="shared" si="241"/>
      </c>
      <c r="GF47" s="230">
        <f t="shared" si="242"/>
        <v>18</v>
      </c>
      <c r="GG47" s="230">
        <f t="shared" si="243"/>
        <v>0</v>
      </c>
      <c r="GH47" s="230">
        <f t="shared" si="244"/>
        <v>0</v>
      </c>
      <c r="GI47" s="230">
        <f t="shared" si="245"/>
        <v>0</v>
      </c>
      <c r="GJ47" s="230">
        <f t="shared" si="246"/>
        <v>0</v>
      </c>
      <c r="GK47" s="230">
        <f t="shared" si="247"/>
        <v>0</v>
      </c>
      <c r="GL47" s="230">
        <f t="shared" si="248"/>
        <v>0</v>
      </c>
      <c r="GM47" s="230">
        <f t="shared" si="249"/>
        <v>0</v>
      </c>
      <c r="GN47" s="230">
        <f t="shared" si="250"/>
        <v>0</v>
      </c>
      <c r="GO47" s="230">
        <f t="shared" si="251"/>
        <v>0</v>
      </c>
      <c r="GP47" s="230">
        <f t="shared" si="252"/>
        <v>0</v>
      </c>
      <c r="GQ47" s="230">
        <f t="shared" si="253"/>
        <v>0</v>
      </c>
      <c r="GR47" s="230">
        <f t="shared" si="254"/>
        <v>0</v>
      </c>
      <c r="GS47" s="230">
        <f t="shared" si="255"/>
        <v>0</v>
      </c>
      <c r="GT47" s="230">
        <f t="shared" si="256"/>
        <v>0</v>
      </c>
      <c r="GU47" s="230">
        <f t="shared" si="257"/>
        <v>0</v>
      </c>
      <c r="GV47" s="230">
        <f t="shared" si="258"/>
        <v>0</v>
      </c>
      <c r="GW47" s="230">
        <f t="shared" si="259"/>
        <v>0</v>
      </c>
      <c r="GX47" s="230">
        <f t="shared" si="260"/>
        <v>0</v>
      </c>
      <c r="GY47" s="230">
        <f t="shared" si="261"/>
        <v>0</v>
      </c>
      <c r="GZ47" s="230">
        <f t="shared" si="262"/>
        <v>0</v>
      </c>
      <c r="HA47" s="230">
        <f t="shared" si="263"/>
        <v>0</v>
      </c>
      <c r="HB47" s="230">
        <f t="shared" si="264"/>
        <v>0</v>
      </c>
      <c r="HC47" s="230">
        <f t="shared" si="265"/>
        <v>0</v>
      </c>
      <c r="HD47" s="230">
        <f t="shared" si="266"/>
        <v>0</v>
      </c>
      <c r="HE47" s="230">
        <f t="shared" si="267"/>
        <v>0</v>
      </c>
      <c r="HF47" s="230">
        <f t="shared" si="268"/>
        <v>0</v>
      </c>
      <c r="HG47" s="230">
        <f t="shared" si="269"/>
        <v>0</v>
      </c>
      <c r="HH47" s="230">
        <f t="shared" si="270"/>
        <v>0</v>
      </c>
      <c r="HI47" s="230">
        <f t="shared" si="271"/>
        <v>0</v>
      </c>
      <c r="HJ47" s="230">
        <f t="shared" si="272"/>
        <v>0</v>
      </c>
      <c r="HK47" s="230">
        <f t="shared" si="273"/>
        <v>0</v>
      </c>
      <c r="HL47" s="230">
        <f t="shared" si="274"/>
        <v>0</v>
      </c>
      <c r="HM47" s="230">
        <f t="shared" si="275"/>
        <v>0</v>
      </c>
      <c r="HN47" s="230">
        <f t="shared" si="276"/>
        <v>0</v>
      </c>
      <c r="HO47" s="230">
        <f t="shared" si="277"/>
        <v>0</v>
      </c>
      <c r="HP47" s="230" t="str">
        <f>INDEX(LabNameList,MATCH(LabId,LabIDList,0))</f>
        <v>Trung tâm Kiểm định và Chứng nhận 2</v>
      </c>
      <c r="HQ47" s="230">
        <f t="shared" si="278"/>
        <v>18</v>
      </c>
      <c r="HR47" s="230">
        <f t="shared" si="279"/>
        <v>0</v>
      </c>
      <c r="HS47" s="230">
        <f t="shared" si="280"/>
        <v>0</v>
      </c>
      <c r="HT47" s="230">
        <f t="shared" si="281"/>
        <v>0</v>
      </c>
      <c r="HU47" s="230">
        <f t="shared" si="282"/>
        <v>0</v>
      </c>
      <c r="HV47" s="230">
        <f t="shared" si="283"/>
        <v>0</v>
      </c>
      <c r="HW47" s="797">
        <f t="shared" si="284"/>
        <v>18</v>
      </c>
      <c r="HX47" s="797">
        <f>Input!EB47</f>
        <v>0</v>
      </c>
      <c r="HY47" s="230">
        <v>68</v>
      </c>
      <c r="HZ47" s="230"/>
      <c r="IA47" s="230"/>
      <c r="IB47" s="230"/>
      <c r="IC47" s="232" t="str">
        <f t="shared" si="285"/>
        <v>B01998230916TG05</v>
      </c>
      <c r="ID47" s="233" t="str">
        <f>Input!O47</f>
        <v>01998</v>
      </c>
      <c r="IE47" s="467" t="str">
        <f t="shared" si="286"/>
        <v>230916</v>
      </c>
      <c r="IF47" s="232" t="s">
        <v>364</v>
      </c>
      <c r="IG47" s="467" t="str">
        <f t="shared" si="287"/>
        <v>23/09/2016</v>
      </c>
      <c r="IH47" s="467" t="str">
        <f t="shared" si="288"/>
        <v>23/09/2021</v>
      </c>
      <c r="II47" s="546" t="str">
        <f> Input!R47</f>
        <v>23/09/2016</v>
      </c>
      <c r="IJ47" s="467">
        <f t="shared" si="289"/>
        <v>44462</v>
      </c>
      <c r="IK47" s="468">
        <f t="shared" si="290"/>
        <v>3</v>
      </c>
      <c r="IL47" s="469" t="str">
        <f t="shared" si="291"/>
        <v>3-1</v>
      </c>
      <c r="IM47" s="469" t="str">
        <f t="shared" si="292"/>
        <v>KHAC</v>
      </c>
      <c r="IN47" s="469" t="str">
        <f t="shared" si="293"/>
        <v>KHAC</v>
      </c>
      <c r="IO47" s="469" t="str">
        <f t="shared" si="294"/>
      </c>
      <c r="IP47" s="469" t="str">
        <f t="shared" si="295"/>
      </c>
      <c r="IQ47" s="469" t="str">
        <f t="shared" si="296"/>
      </c>
      <c r="IR47" s="469">
        <f t="shared" si="297"/>
        <v>1</v>
      </c>
      <c r="IS47" s="469">
        <f t="shared" si="298"/>
        <v>2</v>
      </c>
      <c r="IT47" s="469" t="str">
        <f t="shared" si="299"/>
        <v>Yes</v>
      </c>
      <c r="IU47" s="469" t="str">
        <f t="shared" si="300"/>
        <v>Yes</v>
      </c>
    </row>
    <row r="48" ht="63.75">
      <c r="A48" s="601">
        <f>Input!A48</f>
        <v>47</v>
      </c>
      <c r="B48" s="229" t="str">
        <f>INDEX(ApplicantIDList,MATCH(AI48,ApplicantNameList,0))</f>
        <v>VIETTEL-2016</v>
      </c>
      <c r="C48" s="229" t="str">
        <f>INDEX(OperatorIDList,MATCH(AJ48,OperatorNameList,0))</f>
        <v>VIETTEL-2016</v>
      </c>
      <c r="D48" s="797" t="str">
        <f>Input!Y48</f>
        <v>HCM2083</v>
      </c>
      <c r="E48" s="229" t="str">
        <f>Input!G48</f>
        <v>Số 47G, đường Trần Văn Đang, phường 9, quận 3, thành phố Hồ Chí Minh.</v>
      </c>
      <c r="F48" s="229" t="str">
        <f>TRIM(SUBSTITUTE(SUBSTITUTE(Input!H48,"Thành phố ",""),"Tỉnh ",""))</f>
        <v>Hồ Chí Minh</v>
      </c>
      <c r="G48" s="797" t="str">
        <f>Input!I48</f>
        <v>106,67828</v>
      </c>
      <c r="H48" s="797" t="str">
        <f>Input!J48</f>
        <v>10,78334</v>
      </c>
      <c r="I48" s="229">
        <f>Input!V48</f>
        <v>1</v>
      </c>
      <c r="J48" s="229" t="str">
        <f>Input!K48</f>
        <v>1502422/16/TG/TT2</v>
      </c>
      <c r="K48" s="231" t="str">
        <f>TEXT(Input!L48,"dd/mm/yyyy")</f>
        <v>23/09/2016</v>
      </c>
      <c r="L48" s="231" t="str">
        <f>TEXT(Input!M48,"dd/mm/yyyy")</f>
        <v>19/09/2016</v>
      </c>
      <c r="M48" s="229" t="str">
        <f t="shared" si="135"/>
        <v>TỔNG CÔNG TY MẠNG LƯỚI VIETTEL</v>
      </c>
      <c r="N48" s="229" t="str">
        <f t="shared" si="136"/>
        <v>HCM2083</v>
      </c>
      <c r="O48" s="229" t="str">
        <f t="shared" si="137"/>
        <v>HUAWEI DBS3900</v>
      </c>
      <c r="P48" s="229" t="str">
        <f t="shared" si="138"/>
        <v>3</v>
      </c>
      <c r="Q48" s="229" t="str">
        <f t="shared" si="139"/>
        <v>2/2/2</v>
      </c>
      <c r="R48" s="229" t="str">
        <f t="shared" si="140"/>
        <v>40W/ 40W/ 40W</v>
      </c>
      <c r="S48" s="229" t="str">
        <f t="shared" si="141"/>
        <v>2100</v>
      </c>
      <c r="T48" s="229" t="str">
        <f t="shared" si="142"/>
        <v>24m/ 24m/ 24m</v>
      </c>
      <c r="U48" s="229">
        <v>1</v>
      </c>
      <c r="V48" s="229"/>
      <c r="W48" s="229" t="b">
        <f t="shared" si="143"/>
        <v>0</v>
      </c>
      <c r="X48" s="229" t="b">
        <f>INDEX(TrueFalseList,_xlfn.IFNA(MATCH(Input!W48,CoKhongList,0),MATCH(Input!W48,YesNoList,0)))</f>
        <v>0</v>
      </c>
      <c r="Y48" s="797">
        <f>Input!FZ48</f>
        <v>0</v>
      </c>
      <c r="Z48" s="229" t="b">
        <v>1</v>
      </c>
      <c r="AA48" s="797">
        <f t="shared" si="144"/>
        <v>24</v>
      </c>
      <c r="AB48" s="229" t="b">
        <v>0</v>
      </c>
      <c r="AC48" s="229" t="b">
        <v>1</v>
      </c>
      <c r="AD48" s="229">
        <f>Input!DR48</f>
        <v>0</v>
      </c>
      <c r="AE48" s="229"/>
      <c r="AF48" s="229" t="str">
        <f>Options!$D$6</f>
        <v>VCC2</v>
      </c>
      <c r="AG48" s="229">
        <f t="shared" si="145"/>
        <v>0</v>
      </c>
      <c r="AH48" s="230"/>
      <c r="AI48" s="553" t="str">
        <f>Input!E48</f>
        <v>TỔNG CÔNG TY MẠNG LƯỚI VIETTEL</v>
      </c>
      <c r="AJ48" s="553" t="str">
        <f>Input!F48</f>
        <v>TỔNG CÔNG TY MẠNG LƯỚI VIETTEL</v>
      </c>
      <c r="AK48" s="229">
        <f t="shared" si="146"/>
        <v>4</v>
      </c>
      <c r="AL48" s="465" t="str">
        <f t="shared" si="147"/>
        <v>thành phố Hồ Chí Minh.</v>
      </c>
      <c r="AM48" s="465" t="str">
        <f t="shared" si="148"/>
        <v>quận 3</v>
      </c>
      <c r="AN48" s="465" t="str">
        <f t="shared" si="149"/>
        <v>phường 9</v>
      </c>
      <c r="AO48" s="229" t="str">
        <f>INDEX(CityIDList,MATCH(F48,CityNameList,0))</f>
        <v>HCM</v>
      </c>
      <c r="AP48" s="230" t="str">
        <f>Input!X48</f>
        <v>TỔNG CÔNG TY MẠNG LƯỚI VIETTEL</v>
      </c>
      <c r="AQ48" s="230">
        <f>Input!AN48</f>
        <v>0</v>
      </c>
      <c r="AR48" s="230">
        <f>Input!BD48</f>
        <v>0</v>
      </c>
      <c r="AS48" s="230" t="str">
        <f>Input!BT48</f>
      </c>
      <c r="AT48" s="230" t="str">
        <f>Input!CH48</f>
      </c>
      <c r="AU48" s="230" t="str">
        <f>Input!CV48</f>
      </c>
      <c r="AV48" s="230" t="str">
        <f>IF(I48&gt;=1,INDEX(OperatorIDList,MATCH(AP48,OperatorNameList,0)),"")</f>
        <v>VIETTEL-2016</v>
      </c>
      <c r="AW48" s="230" t="str">
        <f>IF(I48&gt;=2,INDEX(OperatorIDList,MATCH(AQ48,OperatorNameList,0)),"")</f>
      </c>
      <c r="AX48" s="230" t="str">
        <f>IF(I48&gt;=3,INDEX(OperatorIDList,MATCH(AR48,OperatorNameList,0)),"")</f>
      </c>
      <c r="AY48" s="230" t="str">
        <f>IF(I48&gt;=4,INDEX(OperatorIDList,MATCH(AS48,OperatorNameList,0)),"")</f>
      </c>
      <c r="AZ48" s="230" t="str">
        <f>IF(I48&gt;=5,INDEX(OperatorIDList,MATCH(AT48,OperatorNameList,0)),"")</f>
      </c>
      <c r="BA48" s="230" t="str">
        <f>IF(I48&gt;=6,INDEX(OperatorIDList,MATCH(AU48,OperatorNameList,0)),"")</f>
      </c>
      <c r="BB48" s="230" t="str">
        <f t="shared" si="150"/>
        <v>VIETTEL-2016</v>
      </c>
      <c r="BC48" s="230" t="str">
        <f>Input!Y48</f>
        <v>HCM2083</v>
      </c>
      <c r="BD48" s="230">
        <f>Input!AO48</f>
        <v>0</v>
      </c>
      <c r="BE48" s="230">
        <f>Input!BE48</f>
        <v>0</v>
      </c>
      <c r="BF48" s="230" t="str">
        <f>Input!BU48</f>
      </c>
      <c r="BG48" s="230" t="str">
        <f>Input!CI48</f>
      </c>
      <c r="BH48" s="230" t="str">
        <f>Input!CW48</f>
      </c>
      <c r="BI48" s="230" t="str">
        <f>Input!Z48</f>
        <v>HUAWEI DBS3900</v>
      </c>
      <c r="BJ48" s="230">
        <f>Input!AP48</f>
        <v>0</v>
      </c>
      <c r="BK48" s="230">
        <f>Input!BF48</f>
        <v>0</v>
      </c>
      <c r="BL48" s="230" t="str">
        <f>Input!BV48</f>
      </c>
      <c r="BM48" s="230" t="str">
        <f>Input!CJ48</f>
      </c>
      <c r="BN48" s="230" t="str">
        <f>Input!CX48</f>
      </c>
      <c r="BO48" s="553">
        <f>IF(ISNUMBER(Input!AA48),Input!AA48,0)</f>
        <v>3</v>
      </c>
      <c r="BP48" s="553">
        <f>IF(ISNUMBER(Input!AQ48),Input!AQ48,0)</f>
        <v>0</v>
      </c>
      <c r="BQ48" s="553">
        <f>IF(ISNUMBER(Input!BG48),Input!BG48,0)</f>
        <v>0</v>
      </c>
      <c r="BR48" s="553">
        <f>IF(ISNUMBER(Input!BW48),Input!BW48,0)</f>
        <v>0</v>
      </c>
      <c r="BS48" s="553">
        <f>IF(ISNUMBER(Input!CK48),Input!CK48,0)</f>
        <v>0</v>
      </c>
      <c r="BT48" s="554">
        <f>IF(ISNUMBER(Input!CY48),Input!CY48,0)</f>
        <v>0</v>
      </c>
      <c r="BU48" s="230" t="str">
        <f>Input!AF48</f>
        <v>2/2/2</v>
      </c>
      <c r="BV48" s="230" t="str">
        <f>Input!AV48</f>
      </c>
      <c r="BW48" s="230" t="str">
        <f>Input!BL48</f>
      </c>
      <c r="BX48" s="230" t="str">
        <f>Input!CA48</f>
      </c>
      <c r="BY48" s="230" t="str">
        <f>Input!CO48</f>
      </c>
      <c r="BZ48" s="230" t="str">
        <f>Input!DC48</f>
      </c>
      <c r="CA48" s="230">
        <f t="shared" si="151"/>
        <v>2</v>
      </c>
      <c r="CB48" s="230">
        <f t="shared" si="152"/>
        <v>2</v>
      </c>
      <c r="CC48" s="230">
        <f t="shared" si="153"/>
        <v>2</v>
      </c>
      <c r="CD48" s="230">
        <f t="shared" si="154"/>
        <v>0</v>
      </c>
      <c r="CE48" s="230">
        <f t="shared" si="155"/>
        <v>0</v>
      </c>
      <c r="CF48" s="230">
        <f t="shared" si="156"/>
        <v>0</v>
      </c>
      <c r="CG48" s="230">
        <f t="shared" si="157"/>
        <v>0</v>
      </c>
      <c r="CH48" s="230">
        <f t="shared" si="158"/>
        <v>0</v>
      </c>
      <c r="CI48" s="230">
        <f t="shared" si="159"/>
        <v>0</v>
      </c>
      <c r="CJ48" s="230">
        <f t="shared" si="160"/>
        <v>0</v>
      </c>
      <c r="CK48" s="230">
        <f t="shared" si="161"/>
        <v>0</v>
      </c>
      <c r="CL48" s="230">
        <f t="shared" si="162"/>
        <v>0</v>
      </c>
      <c r="CM48" s="230">
        <f t="shared" si="163"/>
        <v>0</v>
      </c>
      <c r="CN48" s="230">
        <f t="shared" si="164"/>
        <v>0</v>
      </c>
      <c r="CO48" s="230">
        <f t="shared" si="165"/>
        <v>0</v>
      </c>
      <c r="CP48" s="230">
        <f t="shared" si="166"/>
        <v>0</v>
      </c>
      <c r="CQ48" s="230">
        <f t="shared" si="167"/>
        <v>0</v>
      </c>
      <c r="CR48" s="230">
        <f t="shared" si="168"/>
        <v>0</v>
      </c>
      <c r="CS48" s="230">
        <f t="shared" si="169"/>
        <v>0</v>
      </c>
      <c r="CT48" s="230">
        <f t="shared" si="170"/>
        <v>0</v>
      </c>
      <c r="CU48" s="230">
        <f t="shared" si="171"/>
        <v>0</v>
      </c>
      <c r="CV48" s="230">
        <f t="shared" si="172"/>
        <v>0</v>
      </c>
      <c r="CW48" s="230">
        <f t="shared" si="173"/>
        <v>0</v>
      </c>
      <c r="CX48" s="230">
        <f t="shared" si="174"/>
        <v>0</v>
      </c>
      <c r="CY48" s="230">
        <f t="shared" si="175"/>
        <v>0</v>
      </c>
      <c r="CZ48" s="230">
        <f t="shared" si="176"/>
        <v>0</v>
      </c>
      <c r="DA48" s="230">
        <f t="shared" si="177"/>
        <v>0</v>
      </c>
      <c r="DB48" s="230">
        <f t="shared" si="178"/>
        <v>0</v>
      </c>
      <c r="DC48" s="230">
        <f t="shared" si="179"/>
        <v>0</v>
      </c>
      <c r="DD48" s="230">
        <f t="shared" si="180"/>
        <v>0</v>
      </c>
      <c r="DE48" s="230">
        <f t="shared" si="181"/>
        <v>0</v>
      </c>
      <c r="DF48" s="230">
        <f t="shared" si="182"/>
        <v>0</v>
      </c>
      <c r="DG48" s="230">
        <f t="shared" si="183"/>
        <v>0</v>
      </c>
      <c r="DH48" s="230">
        <f t="shared" si="184"/>
        <v>0</v>
      </c>
      <c r="DI48" s="230">
        <f t="shared" si="185"/>
        <v>0</v>
      </c>
      <c r="DJ48" s="230">
        <f t="shared" si="186"/>
        <v>0</v>
      </c>
      <c r="DK48" s="230" t="str">
        <f>Input!AK48</f>
        <v>40,00W/40,00W/40,00W</v>
      </c>
      <c r="DL48" s="230" t="str">
        <f>Input!BA48</f>
      </c>
      <c r="DM48" s="230" t="str">
        <f>Input!BQ48</f>
      </c>
      <c r="DN48" s="230" t="str">
        <f>Input!CE48</f>
      </c>
      <c r="DO48" s="230" t="str">
        <f>Input!CS48</f>
      </c>
      <c r="DP48" s="230" t="str">
        <f>Input!DG48</f>
      </c>
      <c r="DQ48" s="230" t="str">
        <f t="shared" si="187"/>
        <v>40W/ 40W/ 40W</v>
      </c>
      <c r="DR48" s="230" t="str">
        <f t="shared" si="188"/>
      </c>
      <c r="DS48" s="230" t="str">
        <f t="shared" si="189"/>
      </c>
      <c r="DT48" s="230" t="str">
        <f t="shared" si="190"/>
      </c>
      <c r="DU48" s="230" t="str">
        <f t="shared" si="191"/>
      </c>
      <c r="DV48" s="230" t="str">
        <f t="shared" si="192"/>
      </c>
      <c r="DW48" s="230">
        <f t="shared" si="193"/>
        <v>40</v>
      </c>
      <c r="DX48" s="230">
        <f t="shared" si="194"/>
        <v>40</v>
      </c>
      <c r="DY48" s="230">
        <f t="shared" si="195"/>
        <v>40</v>
      </c>
      <c r="DZ48" s="230">
        <f t="shared" si="196"/>
        <v>0</v>
      </c>
      <c r="EA48" s="230">
        <f t="shared" si="197"/>
        <v>0</v>
      </c>
      <c r="EB48" s="230">
        <f t="shared" si="198"/>
        <v>0</v>
      </c>
      <c r="EC48" s="230">
        <f t="shared" si="199"/>
        <v>40</v>
      </c>
      <c r="ED48" s="230">
        <f t="shared" si="200"/>
        <v>0</v>
      </c>
      <c r="EE48" s="230">
        <f t="shared" si="201"/>
        <v>0</v>
      </c>
      <c r="EF48" s="230">
        <f t="shared" si="202"/>
        <v>0</v>
      </c>
      <c r="EG48" s="230">
        <f t="shared" si="203"/>
        <v>0</v>
      </c>
      <c r="EH48" s="230">
        <f t="shared" si="204"/>
        <v>0</v>
      </c>
      <c r="EI48" s="230">
        <f t="shared" si="205"/>
        <v>0</v>
      </c>
      <c r="EJ48" s="230">
        <f t="shared" si="206"/>
        <v>0</v>
      </c>
      <c r="EK48" s="230">
        <f t="shared" si="207"/>
        <v>0</v>
      </c>
      <c r="EL48" s="230">
        <f t="shared" si="208"/>
        <v>0</v>
      </c>
      <c r="EM48" s="230">
        <f t="shared" si="209"/>
        <v>0</v>
      </c>
      <c r="EN48" s="230">
        <f t="shared" si="210"/>
        <v>0</v>
      </c>
      <c r="EO48" s="230">
        <f t="shared" si="211"/>
        <v>0</v>
      </c>
      <c r="EP48" s="230">
        <f t="shared" si="212"/>
        <v>0</v>
      </c>
      <c r="EQ48" s="230">
        <f t="shared" si="213"/>
        <v>0</v>
      </c>
      <c r="ER48" s="230">
        <f t="shared" si="214"/>
        <v>0</v>
      </c>
      <c r="ES48" s="230">
        <f t="shared" si="215"/>
        <v>0</v>
      </c>
      <c r="ET48" s="230">
        <f t="shared" si="216"/>
        <v>0</v>
      </c>
      <c r="EU48" s="230">
        <f t="shared" si="217"/>
        <v>0</v>
      </c>
      <c r="EV48" s="230">
        <f t="shared" si="218"/>
        <v>0</v>
      </c>
      <c r="EW48" s="230">
        <f t="shared" si="219"/>
        <v>0</v>
      </c>
      <c r="EX48" s="230">
        <f t="shared" si="220"/>
        <v>0</v>
      </c>
      <c r="EY48" s="230">
        <f t="shared" si="221"/>
        <v>0</v>
      </c>
      <c r="EZ48" s="230">
        <f t="shared" si="222"/>
        <v>0</v>
      </c>
      <c r="FA48" s="230">
        <f t="shared" si="223"/>
        <v>0</v>
      </c>
      <c r="FB48" s="230">
        <f t="shared" si="224"/>
        <v>0</v>
      </c>
      <c r="FC48" s="230">
        <f t="shared" si="225"/>
        <v>0</v>
      </c>
      <c r="FD48" s="230">
        <f t="shared" si="226"/>
        <v>0</v>
      </c>
      <c r="FE48" s="230">
        <f t="shared" si="227"/>
        <v>0</v>
      </c>
      <c r="FF48" s="230">
        <f t="shared" si="228"/>
        <v>0</v>
      </c>
      <c r="FG48" s="230">
        <f t="shared" si="229"/>
        <v>0</v>
      </c>
      <c r="FH48" s="230">
        <f t="shared" si="230"/>
        <v>0</v>
      </c>
      <c r="FI48" s="230">
        <f t="shared" si="231"/>
        <v>0</v>
      </c>
      <c r="FJ48" s="230">
        <f t="shared" si="232"/>
        <v>0</v>
      </c>
      <c r="FK48" s="230">
        <f t="shared" si="233"/>
        <v>0</v>
      </c>
      <c r="FL48" s="230">
        <f t="shared" si="234"/>
        <v>0</v>
      </c>
      <c r="FM48" s="230">
        <f t="shared" si="235"/>
        <v>40</v>
      </c>
      <c r="FN48" s="230">
        <f>Input!AL48</f>
        <v>2100</v>
      </c>
      <c r="FO48" s="230">
        <f>Input!BB48</f>
        <v>0</v>
      </c>
      <c r="FP48" s="230">
        <f>Input!BR48</f>
        <v>0</v>
      </c>
      <c r="FQ48" s="230" t="str">
        <f>Input!CF48</f>
      </c>
      <c r="FR48" s="230" t="str">
        <f>Input!CT48</f>
      </c>
      <c r="FS48" s="230" t="str">
        <f>Input!DH48</f>
      </c>
      <c r="FT48" s="230" t="str">
        <f>Input!AM48</f>
        <v>24m/ 24m/ 24m</v>
      </c>
      <c r="FU48" s="230">
        <f>Input!BC48</f>
        <v>0</v>
      </c>
      <c r="FV48" s="230">
        <f>Input!BS48</f>
        <v>0</v>
      </c>
      <c r="FW48" s="230" t="str">
        <f>Input!CG48</f>
      </c>
      <c r="FX48" s="230" t="str">
        <f>Input!CU48</f>
      </c>
      <c r="FY48" s="230" t="str">
        <f>Input!DI48</f>
      </c>
      <c r="FZ48" s="230" t="str">
        <f t="shared" si="236"/>
        <v>24m/ 24m/ 24m</v>
      </c>
      <c r="GA48" s="230" t="str">
        <f t="shared" si="237"/>
      </c>
      <c r="GB48" s="230" t="str">
        <f t="shared" si="238"/>
      </c>
      <c r="GC48" s="230" t="str">
        <f t="shared" si="239"/>
      </c>
      <c r="GD48" s="230" t="str">
        <f t="shared" si="240"/>
      </c>
      <c r="GE48" s="230" t="str">
        <f t="shared" si="241"/>
      </c>
      <c r="GF48" s="230">
        <f t="shared" si="242"/>
        <v>24</v>
      </c>
      <c r="GG48" s="230">
        <f t="shared" si="243"/>
        <v>24</v>
      </c>
      <c r="GH48" s="230">
        <f t="shared" si="244"/>
        <v>24</v>
      </c>
      <c r="GI48" s="230">
        <f t="shared" si="245"/>
        <v>0</v>
      </c>
      <c r="GJ48" s="230">
        <f t="shared" si="246"/>
        <v>0</v>
      </c>
      <c r="GK48" s="230">
        <f t="shared" si="247"/>
        <v>0</v>
      </c>
      <c r="GL48" s="230">
        <f t="shared" si="248"/>
        <v>0</v>
      </c>
      <c r="GM48" s="230">
        <f t="shared" si="249"/>
        <v>0</v>
      </c>
      <c r="GN48" s="230">
        <f t="shared" si="250"/>
        <v>0</v>
      </c>
      <c r="GO48" s="230">
        <f t="shared" si="251"/>
        <v>0</v>
      </c>
      <c r="GP48" s="230">
        <f t="shared" si="252"/>
        <v>0</v>
      </c>
      <c r="GQ48" s="230">
        <f t="shared" si="253"/>
        <v>0</v>
      </c>
      <c r="GR48" s="230">
        <f t="shared" si="254"/>
        <v>0</v>
      </c>
      <c r="GS48" s="230">
        <f t="shared" si="255"/>
        <v>0</v>
      </c>
      <c r="GT48" s="230">
        <f t="shared" si="256"/>
        <v>0</v>
      </c>
      <c r="GU48" s="230">
        <f t="shared" si="257"/>
        <v>0</v>
      </c>
      <c r="GV48" s="230">
        <f t="shared" si="258"/>
        <v>0</v>
      </c>
      <c r="GW48" s="230">
        <f t="shared" si="259"/>
        <v>0</v>
      </c>
      <c r="GX48" s="230">
        <f t="shared" si="260"/>
        <v>0</v>
      </c>
      <c r="GY48" s="230">
        <f t="shared" si="261"/>
        <v>0</v>
      </c>
      <c r="GZ48" s="230">
        <f t="shared" si="262"/>
        <v>0</v>
      </c>
      <c r="HA48" s="230">
        <f t="shared" si="263"/>
        <v>0</v>
      </c>
      <c r="HB48" s="230">
        <f t="shared" si="264"/>
        <v>0</v>
      </c>
      <c r="HC48" s="230">
        <f t="shared" si="265"/>
        <v>0</v>
      </c>
      <c r="HD48" s="230">
        <f t="shared" si="266"/>
        <v>0</v>
      </c>
      <c r="HE48" s="230">
        <f t="shared" si="267"/>
        <v>0</v>
      </c>
      <c r="HF48" s="230">
        <f t="shared" si="268"/>
        <v>0</v>
      </c>
      <c r="HG48" s="230">
        <f t="shared" si="269"/>
        <v>0</v>
      </c>
      <c r="HH48" s="230">
        <f t="shared" si="270"/>
        <v>0</v>
      </c>
      <c r="HI48" s="230">
        <f t="shared" si="271"/>
        <v>0</v>
      </c>
      <c r="HJ48" s="230">
        <f t="shared" si="272"/>
        <v>0</v>
      </c>
      <c r="HK48" s="230">
        <f t="shared" si="273"/>
        <v>0</v>
      </c>
      <c r="HL48" s="230">
        <f t="shared" si="274"/>
        <v>0</v>
      </c>
      <c r="HM48" s="230">
        <f t="shared" si="275"/>
        <v>0</v>
      </c>
      <c r="HN48" s="230">
        <f t="shared" si="276"/>
        <v>0</v>
      </c>
      <c r="HO48" s="230">
        <f t="shared" si="277"/>
        <v>0</v>
      </c>
      <c r="HP48" s="230" t="str">
        <f>INDEX(LabNameList,MATCH(LabId,LabIDList,0))</f>
        <v>Trung tâm Kiểm định và Chứng nhận 2</v>
      </c>
      <c r="HQ48" s="230">
        <f t="shared" si="278"/>
        <v>24</v>
      </c>
      <c r="HR48" s="230">
        <f t="shared" si="279"/>
        <v>0</v>
      </c>
      <c r="HS48" s="230">
        <f t="shared" si="280"/>
        <v>0</v>
      </c>
      <c r="HT48" s="230">
        <f t="shared" si="281"/>
        <v>0</v>
      </c>
      <c r="HU48" s="230">
        <f t="shared" si="282"/>
        <v>0</v>
      </c>
      <c r="HV48" s="230">
        <f t="shared" si="283"/>
        <v>0</v>
      </c>
      <c r="HW48" s="797">
        <f t="shared" si="284"/>
        <v>24</v>
      </c>
      <c r="HX48" s="797">
        <f>Input!EB48</f>
        <v>0</v>
      </c>
      <c r="HY48" s="230">
        <v>68</v>
      </c>
      <c r="HZ48" s="230"/>
      <c r="IA48" s="230"/>
      <c r="IB48" s="230"/>
      <c r="IC48" s="232" t="str">
        <f t="shared" si="285"/>
        <v>B01999230916TG05</v>
      </c>
      <c r="ID48" s="233" t="str">
        <f>Input!O48</f>
        <v>01999</v>
      </c>
      <c r="IE48" s="467" t="str">
        <f t="shared" si="286"/>
        <v>230916</v>
      </c>
      <c r="IF48" s="232" t="s">
        <v>364</v>
      </c>
      <c r="IG48" s="467" t="str">
        <f t="shared" si="287"/>
        <v>23/09/2016</v>
      </c>
      <c r="IH48" s="467" t="str">
        <f t="shared" si="288"/>
        <v>23/09/2021</v>
      </c>
      <c r="II48" s="546" t="str">
        <f> Input!R48</f>
        <v>23/09/2016</v>
      </c>
      <c r="IJ48" s="467">
        <f t="shared" si="289"/>
        <v>44462</v>
      </c>
      <c r="IK48" s="468">
        <f t="shared" si="290"/>
        <v>3</v>
      </c>
      <c r="IL48" s="469" t="str">
        <f t="shared" si="291"/>
        <v>3-1</v>
      </c>
      <c r="IM48" s="469" t="str">
        <f t="shared" si="292"/>
        <v>KHAC</v>
      </c>
      <c r="IN48" s="469" t="str">
        <f t="shared" si="293"/>
        <v>KHAC</v>
      </c>
      <c r="IO48" s="469" t="str">
        <f t="shared" si="294"/>
      </c>
      <c r="IP48" s="469" t="str">
        <f t="shared" si="295"/>
      </c>
      <c r="IQ48" s="469" t="str">
        <f t="shared" si="296"/>
      </c>
      <c r="IR48" s="469">
        <f t="shared" si="297"/>
        <v>1</v>
      </c>
      <c r="IS48" s="469">
        <f t="shared" si="298"/>
        <v>2</v>
      </c>
      <c r="IT48" s="469" t="str">
        <f t="shared" si="299"/>
        <v>Yes</v>
      </c>
      <c r="IU48" s="469" t="str">
        <f t="shared" si="300"/>
        <v>Yes</v>
      </c>
    </row>
    <row r="49" ht="63.75">
      <c r="A49" s="601">
        <f>Input!A49</f>
        <v>48</v>
      </c>
      <c r="B49" s="229" t="str">
        <f>INDEX(ApplicantIDList,MATCH(AI49,ApplicantNameList,0))</f>
        <v>VIETTEL-2016</v>
      </c>
      <c r="C49" s="229" t="str">
        <f>INDEX(OperatorIDList,MATCH(AJ49,OperatorNameList,0))</f>
        <v>VIETTEL-2016</v>
      </c>
      <c r="D49" s="797" t="str">
        <f>Input!Y49</f>
        <v>HCM4378</v>
      </c>
      <c r="E49" s="229" t="str">
        <f>Input!G49</f>
        <v>Số 148Bis, đường Nam Kỳ Khởi Nghĩa, phường Bến Thành, quận 1, thành phố Hồ Chí Minh.</v>
      </c>
      <c r="F49" s="229" t="str">
        <f>TRIM(SUBSTITUTE(SUBSTITUTE(Input!H49,"Thành phố ",""),"Tỉnh ",""))</f>
        <v>Hồ Chí Minh</v>
      </c>
      <c r="G49" s="797" t="str">
        <f>Input!I49</f>
        <v>106,69565</v>
      </c>
      <c r="H49" s="797" t="str">
        <f>Input!J49</f>
        <v>10,77923</v>
      </c>
      <c r="I49" s="229">
        <f>Input!V49</f>
        <v>1</v>
      </c>
      <c r="J49" s="229" t="str">
        <f>Input!K49</f>
        <v>1502423/16/TG/TT2</v>
      </c>
      <c r="K49" s="231" t="str">
        <f>TEXT(Input!L49,"dd/mm/yyyy")</f>
        <v>23/09/2016</v>
      </c>
      <c r="L49" s="231" t="str">
        <f>TEXT(Input!M49,"dd/mm/yyyy")</f>
        <v>20/09/2016</v>
      </c>
      <c r="M49" s="229" t="str">
        <f t="shared" si="135"/>
        <v>TỔNG CÔNG TY MẠNG LƯỚI VIETTEL</v>
      </c>
      <c r="N49" s="229" t="str">
        <f t="shared" si="136"/>
        <v>HCM4378</v>
      </c>
      <c r="O49" s="229" t="str">
        <f t="shared" si="137"/>
        <v>HUAWEI DBS3900</v>
      </c>
      <c r="P49" s="229" t="str">
        <f t="shared" si="138"/>
        <v>3</v>
      </c>
      <c r="Q49" s="229" t="str">
        <f t="shared" si="139"/>
        <v>2/2/2</v>
      </c>
      <c r="R49" s="229" t="str">
        <f t="shared" si="140"/>
        <v>40W/ 40W/ 40W</v>
      </c>
      <c r="S49" s="229" t="str">
        <f t="shared" si="141"/>
        <v>2100</v>
      </c>
      <c r="T49" s="229" t="str">
        <f t="shared" si="142"/>
        <v>20m/ 20m/ 20m</v>
      </c>
      <c r="U49" s="229">
        <v>1</v>
      </c>
      <c r="V49" s="229"/>
      <c r="W49" s="229" t="b">
        <f t="shared" si="143"/>
        <v>0</v>
      </c>
      <c r="X49" s="229" t="b">
        <f>INDEX(TrueFalseList,_xlfn.IFNA(MATCH(Input!W49,CoKhongList,0),MATCH(Input!W49,YesNoList,0)))</f>
        <v>0</v>
      </c>
      <c r="Y49" s="797">
        <f>Input!FZ49</f>
        <v>0</v>
      </c>
      <c r="Z49" s="229" t="b">
        <v>1</v>
      </c>
      <c r="AA49" s="797">
        <f t="shared" si="144"/>
        <v>20</v>
      </c>
      <c r="AB49" s="229" t="b">
        <v>0</v>
      </c>
      <c r="AC49" s="229" t="b">
        <v>1</v>
      </c>
      <c r="AD49" s="229">
        <f>Input!DR49</f>
        <v>0</v>
      </c>
      <c r="AE49" s="229"/>
      <c r="AF49" s="229" t="str">
        <f>Options!$D$6</f>
        <v>VCC2</v>
      </c>
      <c r="AG49" s="229">
        <f t="shared" si="145"/>
        <v>0</v>
      </c>
      <c r="AH49" s="230"/>
      <c r="AI49" s="553" t="str">
        <f>Input!E49</f>
        <v>TỔNG CÔNG TY MẠNG LƯỚI VIETTEL</v>
      </c>
      <c r="AJ49" s="553" t="str">
        <f>Input!F49</f>
        <v>TỔNG CÔNG TY MẠNG LƯỚI VIETTEL</v>
      </c>
      <c r="AK49" s="229">
        <f t="shared" si="146"/>
        <v>4</v>
      </c>
      <c r="AL49" s="465" t="str">
        <f t="shared" si="147"/>
        <v>thành phố Hồ Chí Minh.</v>
      </c>
      <c r="AM49" s="465" t="str">
        <f t="shared" si="148"/>
        <v>quận 1</v>
      </c>
      <c r="AN49" s="465" t="str">
        <f t="shared" si="149"/>
        <v>phường Bến Thành</v>
      </c>
      <c r="AO49" s="229" t="str">
        <f>INDEX(CityIDList,MATCH(F49,CityNameList,0))</f>
        <v>HCM</v>
      </c>
      <c r="AP49" s="230" t="str">
        <f>Input!X49</f>
        <v>TỔNG CÔNG TY MẠNG LƯỚI VIETTEL</v>
      </c>
      <c r="AQ49" s="230">
        <f>Input!AN49</f>
        <v>0</v>
      </c>
      <c r="AR49" s="230">
        <f>Input!BD49</f>
        <v>0</v>
      </c>
      <c r="AS49" s="230" t="str">
        <f>Input!BT49</f>
      </c>
      <c r="AT49" s="230" t="str">
        <f>Input!CH49</f>
      </c>
      <c r="AU49" s="230" t="str">
        <f>Input!CV49</f>
      </c>
      <c r="AV49" s="230" t="str">
        <f>IF(I49&gt;=1,INDEX(OperatorIDList,MATCH(AP49,OperatorNameList,0)),"")</f>
        <v>VIETTEL-2016</v>
      </c>
      <c r="AW49" s="230" t="str">
        <f>IF(I49&gt;=2,INDEX(OperatorIDList,MATCH(AQ49,OperatorNameList,0)),"")</f>
      </c>
      <c r="AX49" s="230" t="str">
        <f>IF(I49&gt;=3,INDEX(OperatorIDList,MATCH(AR49,OperatorNameList,0)),"")</f>
      </c>
      <c r="AY49" s="230" t="str">
        <f>IF(I49&gt;=4,INDEX(OperatorIDList,MATCH(AS49,OperatorNameList,0)),"")</f>
      </c>
      <c r="AZ49" s="230" t="str">
        <f>IF(I49&gt;=5,INDEX(OperatorIDList,MATCH(AT49,OperatorNameList,0)),"")</f>
      </c>
      <c r="BA49" s="230" t="str">
        <f>IF(I49&gt;=6,INDEX(OperatorIDList,MATCH(AU49,OperatorNameList,0)),"")</f>
      </c>
      <c r="BB49" s="230" t="str">
        <f t="shared" si="150"/>
        <v>VIETTEL-2016</v>
      </c>
      <c r="BC49" s="230" t="str">
        <f>Input!Y49</f>
        <v>HCM4378</v>
      </c>
      <c r="BD49" s="230">
        <f>Input!AO49</f>
        <v>0</v>
      </c>
      <c r="BE49" s="230">
        <f>Input!BE49</f>
        <v>0</v>
      </c>
      <c r="BF49" s="230" t="str">
        <f>Input!BU49</f>
      </c>
      <c r="BG49" s="230" t="str">
        <f>Input!CI49</f>
      </c>
      <c r="BH49" s="230" t="str">
        <f>Input!CW49</f>
      </c>
      <c r="BI49" s="230" t="str">
        <f>Input!Z49</f>
        <v>HUAWEI DBS3900</v>
      </c>
      <c r="BJ49" s="230">
        <f>Input!AP49</f>
        <v>0</v>
      </c>
      <c r="BK49" s="230">
        <f>Input!BF49</f>
        <v>0</v>
      </c>
      <c r="BL49" s="230" t="str">
        <f>Input!BV49</f>
      </c>
      <c r="BM49" s="230" t="str">
        <f>Input!CJ49</f>
      </c>
      <c r="BN49" s="230" t="str">
        <f>Input!CX49</f>
      </c>
      <c r="BO49" s="553">
        <f>IF(ISNUMBER(Input!AA49),Input!AA49,0)</f>
        <v>3</v>
      </c>
      <c r="BP49" s="553">
        <f>IF(ISNUMBER(Input!AQ49),Input!AQ49,0)</f>
        <v>0</v>
      </c>
      <c r="BQ49" s="553">
        <f>IF(ISNUMBER(Input!BG49),Input!BG49,0)</f>
        <v>0</v>
      </c>
      <c r="BR49" s="553">
        <f>IF(ISNUMBER(Input!BW49),Input!BW49,0)</f>
        <v>0</v>
      </c>
      <c r="BS49" s="553">
        <f>IF(ISNUMBER(Input!CK49),Input!CK49,0)</f>
        <v>0</v>
      </c>
      <c r="BT49" s="554">
        <f>IF(ISNUMBER(Input!CY49),Input!CY49,0)</f>
        <v>0</v>
      </c>
      <c r="BU49" s="230" t="str">
        <f>Input!AF49</f>
        <v>2/2/2</v>
      </c>
      <c r="BV49" s="230" t="str">
        <f>Input!AV49</f>
      </c>
      <c r="BW49" s="230" t="str">
        <f>Input!BL49</f>
      </c>
      <c r="BX49" s="230" t="str">
        <f>Input!CA49</f>
      </c>
      <c r="BY49" s="230" t="str">
        <f>Input!CO49</f>
      </c>
      <c r="BZ49" s="230" t="str">
        <f>Input!DC49</f>
      </c>
      <c r="CA49" s="230">
        <f t="shared" si="151"/>
        <v>2</v>
      </c>
      <c r="CB49" s="230">
        <f t="shared" si="152"/>
        <v>2</v>
      </c>
      <c r="CC49" s="230">
        <f t="shared" si="153"/>
        <v>2</v>
      </c>
      <c r="CD49" s="230">
        <f t="shared" si="154"/>
        <v>0</v>
      </c>
      <c r="CE49" s="230">
        <f t="shared" si="155"/>
        <v>0</v>
      </c>
      <c r="CF49" s="230">
        <f t="shared" si="156"/>
        <v>0</v>
      </c>
      <c r="CG49" s="230">
        <f t="shared" si="157"/>
        <v>0</v>
      </c>
      <c r="CH49" s="230">
        <f t="shared" si="158"/>
        <v>0</v>
      </c>
      <c r="CI49" s="230">
        <f t="shared" si="159"/>
        <v>0</v>
      </c>
      <c r="CJ49" s="230">
        <f t="shared" si="160"/>
        <v>0</v>
      </c>
      <c r="CK49" s="230">
        <f t="shared" si="161"/>
        <v>0</v>
      </c>
      <c r="CL49" s="230">
        <f t="shared" si="162"/>
        <v>0</v>
      </c>
      <c r="CM49" s="230">
        <f t="shared" si="163"/>
        <v>0</v>
      </c>
      <c r="CN49" s="230">
        <f t="shared" si="164"/>
        <v>0</v>
      </c>
      <c r="CO49" s="230">
        <f t="shared" si="165"/>
        <v>0</v>
      </c>
      <c r="CP49" s="230">
        <f t="shared" si="166"/>
        <v>0</v>
      </c>
      <c r="CQ49" s="230">
        <f t="shared" si="167"/>
        <v>0</v>
      </c>
      <c r="CR49" s="230">
        <f t="shared" si="168"/>
        <v>0</v>
      </c>
      <c r="CS49" s="230">
        <f t="shared" si="169"/>
        <v>0</v>
      </c>
      <c r="CT49" s="230">
        <f t="shared" si="170"/>
        <v>0</v>
      </c>
      <c r="CU49" s="230">
        <f t="shared" si="171"/>
        <v>0</v>
      </c>
      <c r="CV49" s="230">
        <f t="shared" si="172"/>
        <v>0</v>
      </c>
      <c r="CW49" s="230">
        <f t="shared" si="173"/>
        <v>0</v>
      </c>
      <c r="CX49" s="230">
        <f t="shared" si="174"/>
        <v>0</v>
      </c>
      <c r="CY49" s="230">
        <f t="shared" si="175"/>
        <v>0</v>
      </c>
      <c r="CZ49" s="230">
        <f t="shared" si="176"/>
        <v>0</v>
      </c>
      <c r="DA49" s="230">
        <f t="shared" si="177"/>
        <v>0</v>
      </c>
      <c r="DB49" s="230">
        <f t="shared" si="178"/>
        <v>0</v>
      </c>
      <c r="DC49" s="230">
        <f t="shared" si="179"/>
        <v>0</v>
      </c>
      <c r="DD49" s="230">
        <f t="shared" si="180"/>
        <v>0</v>
      </c>
      <c r="DE49" s="230">
        <f t="shared" si="181"/>
        <v>0</v>
      </c>
      <c r="DF49" s="230">
        <f t="shared" si="182"/>
        <v>0</v>
      </c>
      <c r="DG49" s="230">
        <f t="shared" si="183"/>
        <v>0</v>
      </c>
      <c r="DH49" s="230">
        <f t="shared" si="184"/>
        <v>0</v>
      </c>
      <c r="DI49" s="230">
        <f t="shared" si="185"/>
        <v>0</v>
      </c>
      <c r="DJ49" s="230">
        <f t="shared" si="186"/>
        <v>0</v>
      </c>
      <c r="DK49" s="230" t="str">
        <f>Input!AK49</f>
        <v>40,00W/40,00W/40,00W</v>
      </c>
      <c r="DL49" s="230" t="str">
        <f>Input!BA49</f>
      </c>
      <c r="DM49" s="230" t="str">
        <f>Input!BQ49</f>
      </c>
      <c r="DN49" s="230" t="str">
        <f>Input!CE49</f>
      </c>
      <c r="DO49" s="230" t="str">
        <f>Input!CS49</f>
      </c>
      <c r="DP49" s="230" t="str">
        <f>Input!DG49</f>
      </c>
      <c r="DQ49" s="230" t="str">
        <f t="shared" si="187"/>
        <v>40W/ 40W/ 40W</v>
      </c>
      <c r="DR49" s="230" t="str">
        <f t="shared" si="188"/>
      </c>
      <c r="DS49" s="230" t="str">
        <f t="shared" si="189"/>
      </c>
      <c r="DT49" s="230" t="str">
        <f t="shared" si="190"/>
      </c>
      <c r="DU49" s="230" t="str">
        <f t="shared" si="191"/>
      </c>
      <c r="DV49" s="230" t="str">
        <f t="shared" si="192"/>
      </c>
      <c r="DW49" s="230">
        <f t="shared" si="193"/>
        <v>40</v>
      </c>
      <c r="DX49" s="230">
        <f t="shared" si="194"/>
        <v>40</v>
      </c>
      <c r="DY49" s="230">
        <f t="shared" si="195"/>
        <v>40</v>
      </c>
      <c r="DZ49" s="230">
        <f t="shared" si="196"/>
        <v>0</v>
      </c>
      <c r="EA49" s="230">
        <f t="shared" si="197"/>
        <v>0</v>
      </c>
      <c r="EB49" s="230">
        <f t="shared" si="198"/>
        <v>0</v>
      </c>
      <c r="EC49" s="230">
        <f t="shared" si="199"/>
        <v>40</v>
      </c>
      <c r="ED49" s="230">
        <f t="shared" si="200"/>
        <v>0</v>
      </c>
      <c r="EE49" s="230">
        <f t="shared" si="201"/>
        <v>0</v>
      </c>
      <c r="EF49" s="230">
        <f t="shared" si="202"/>
        <v>0</v>
      </c>
      <c r="EG49" s="230">
        <f t="shared" si="203"/>
        <v>0</v>
      </c>
      <c r="EH49" s="230">
        <f t="shared" si="204"/>
        <v>0</v>
      </c>
      <c r="EI49" s="230">
        <f t="shared" si="205"/>
        <v>0</v>
      </c>
      <c r="EJ49" s="230">
        <f t="shared" si="206"/>
        <v>0</v>
      </c>
      <c r="EK49" s="230">
        <f t="shared" si="207"/>
        <v>0</v>
      </c>
      <c r="EL49" s="230">
        <f t="shared" si="208"/>
        <v>0</v>
      </c>
      <c r="EM49" s="230">
        <f t="shared" si="209"/>
        <v>0</v>
      </c>
      <c r="EN49" s="230">
        <f t="shared" si="210"/>
        <v>0</v>
      </c>
      <c r="EO49" s="230">
        <f t="shared" si="211"/>
        <v>0</v>
      </c>
      <c r="EP49" s="230">
        <f t="shared" si="212"/>
        <v>0</v>
      </c>
      <c r="EQ49" s="230">
        <f t="shared" si="213"/>
        <v>0</v>
      </c>
      <c r="ER49" s="230">
        <f t="shared" si="214"/>
        <v>0</v>
      </c>
      <c r="ES49" s="230">
        <f t="shared" si="215"/>
        <v>0</v>
      </c>
      <c r="ET49" s="230">
        <f t="shared" si="216"/>
        <v>0</v>
      </c>
      <c r="EU49" s="230">
        <f t="shared" si="217"/>
        <v>0</v>
      </c>
      <c r="EV49" s="230">
        <f t="shared" si="218"/>
        <v>0</v>
      </c>
      <c r="EW49" s="230">
        <f t="shared" si="219"/>
        <v>0</v>
      </c>
      <c r="EX49" s="230">
        <f t="shared" si="220"/>
        <v>0</v>
      </c>
      <c r="EY49" s="230">
        <f t="shared" si="221"/>
        <v>0</v>
      </c>
      <c r="EZ49" s="230">
        <f t="shared" si="222"/>
        <v>0</v>
      </c>
      <c r="FA49" s="230">
        <f t="shared" si="223"/>
        <v>0</v>
      </c>
      <c r="FB49" s="230">
        <f t="shared" si="224"/>
        <v>0</v>
      </c>
      <c r="FC49" s="230">
        <f t="shared" si="225"/>
        <v>0</v>
      </c>
      <c r="FD49" s="230">
        <f t="shared" si="226"/>
        <v>0</v>
      </c>
      <c r="FE49" s="230">
        <f t="shared" si="227"/>
        <v>0</v>
      </c>
      <c r="FF49" s="230">
        <f t="shared" si="228"/>
        <v>0</v>
      </c>
      <c r="FG49" s="230">
        <f t="shared" si="229"/>
        <v>0</v>
      </c>
      <c r="FH49" s="230">
        <f t="shared" si="230"/>
        <v>0</v>
      </c>
      <c r="FI49" s="230">
        <f t="shared" si="231"/>
        <v>0</v>
      </c>
      <c r="FJ49" s="230">
        <f t="shared" si="232"/>
        <v>0</v>
      </c>
      <c r="FK49" s="230">
        <f t="shared" si="233"/>
        <v>0</v>
      </c>
      <c r="FL49" s="230">
        <f t="shared" si="234"/>
        <v>0</v>
      </c>
      <c r="FM49" s="230">
        <f t="shared" si="235"/>
        <v>40</v>
      </c>
      <c r="FN49" s="230">
        <f>Input!AL49</f>
        <v>2100</v>
      </c>
      <c r="FO49" s="230">
        <f>Input!BB49</f>
        <v>0</v>
      </c>
      <c r="FP49" s="230">
        <f>Input!BR49</f>
        <v>0</v>
      </c>
      <c r="FQ49" s="230" t="str">
        <f>Input!CF49</f>
      </c>
      <c r="FR49" s="230" t="str">
        <f>Input!CT49</f>
      </c>
      <c r="FS49" s="230" t="str">
        <f>Input!DH49</f>
      </c>
      <c r="FT49" s="230" t="str">
        <f>Input!AM49</f>
        <v>20m/ 20m/ 20m</v>
      </c>
      <c r="FU49" s="230">
        <f>Input!BC49</f>
        <v>0</v>
      </c>
      <c r="FV49" s="230">
        <f>Input!BS49</f>
        <v>0</v>
      </c>
      <c r="FW49" s="230" t="str">
        <f>Input!CG49</f>
      </c>
      <c r="FX49" s="230" t="str">
        <f>Input!CU49</f>
      </c>
      <c r="FY49" s="230" t="str">
        <f>Input!DI49</f>
      </c>
      <c r="FZ49" s="230" t="str">
        <f t="shared" si="236"/>
        <v>20m/ 20m/ 20m</v>
      </c>
      <c r="GA49" s="230" t="str">
        <f t="shared" si="237"/>
      </c>
      <c r="GB49" s="230" t="str">
        <f t="shared" si="238"/>
      </c>
      <c r="GC49" s="230" t="str">
        <f t="shared" si="239"/>
      </c>
      <c r="GD49" s="230" t="str">
        <f t="shared" si="240"/>
      </c>
      <c r="GE49" s="230" t="str">
        <f t="shared" si="241"/>
      </c>
      <c r="GF49" s="230">
        <f t="shared" si="242"/>
        <v>20</v>
      </c>
      <c r="GG49" s="230">
        <f t="shared" si="243"/>
        <v>20</v>
      </c>
      <c r="GH49" s="230">
        <f t="shared" si="244"/>
        <v>20</v>
      </c>
      <c r="GI49" s="230">
        <f t="shared" si="245"/>
        <v>0</v>
      </c>
      <c r="GJ49" s="230">
        <f t="shared" si="246"/>
        <v>0</v>
      </c>
      <c r="GK49" s="230">
        <f t="shared" si="247"/>
        <v>0</v>
      </c>
      <c r="GL49" s="230">
        <f t="shared" si="248"/>
        <v>0</v>
      </c>
      <c r="GM49" s="230">
        <f t="shared" si="249"/>
        <v>0</v>
      </c>
      <c r="GN49" s="230">
        <f t="shared" si="250"/>
        <v>0</v>
      </c>
      <c r="GO49" s="230">
        <f t="shared" si="251"/>
        <v>0</v>
      </c>
      <c r="GP49" s="230">
        <f t="shared" si="252"/>
        <v>0</v>
      </c>
      <c r="GQ49" s="230">
        <f t="shared" si="253"/>
        <v>0</v>
      </c>
      <c r="GR49" s="230">
        <f t="shared" si="254"/>
        <v>0</v>
      </c>
      <c r="GS49" s="230">
        <f t="shared" si="255"/>
        <v>0</v>
      </c>
      <c r="GT49" s="230">
        <f t="shared" si="256"/>
        <v>0</v>
      </c>
      <c r="GU49" s="230">
        <f t="shared" si="257"/>
        <v>0</v>
      </c>
      <c r="GV49" s="230">
        <f t="shared" si="258"/>
        <v>0</v>
      </c>
      <c r="GW49" s="230">
        <f t="shared" si="259"/>
        <v>0</v>
      </c>
      <c r="GX49" s="230">
        <f t="shared" si="260"/>
        <v>0</v>
      </c>
      <c r="GY49" s="230">
        <f t="shared" si="261"/>
        <v>0</v>
      </c>
      <c r="GZ49" s="230">
        <f t="shared" si="262"/>
        <v>0</v>
      </c>
      <c r="HA49" s="230">
        <f t="shared" si="263"/>
        <v>0</v>
      </c>
      <c r="HB49" s="230">
        <f t="shared" si="264"/>
        <v>0</v>
      </c>
      <c r="HC49" s="230">
        <f t="shared" si="265"/>
        <v>0</v>
      </c>
      <c r="HD49" s="230">
        <f t="shared" si="266"/>
        <v>0</v>
      </c>
      <c r="HE49" s="230">
        <f t="shared" si="267"/>
        <v>0</v>
      </c>
      <c r="HF49" s="230">
        <f t="shared" si="268"/>
        <v>0</v>
      </c>
      <c r="HG49" s="230">
        <f t="shared" si="269"/>
        <v>0</v>
      </c>
      <c r="HH49" s="230">
        <f t="shared" si="270"/>
        <v>0</v>
      </c>
      <c r="HI49" s="230">
        <f t="shared" si="271"/>
        <v>0</v>
      </c>
      <c r="HJ49" s="230">
        <f t="shared" si="272"/>
        <v>0</v>
      </c>
      <c r="HK49" s="230">
        <f t="shared" si="273"/>
        <v>0</v>
      </c>
      <c r="HL49" s="230">
        <f t="shared" si="274"/>
        <v>0</v>
      </c>
      <c r="HM49" s="230">
        <f t="shared" si="275"/>
        <v>0</v>
      </c>
      <c r="HN49" s="230">
        <f t="shared" si="276"/>
        <v>0</v>
      </c>
      <c r="HO49" s="230">
        <f t="shared" si="277"/>
        <v>0</v>
      </c>
      <c r="HP49" s="230" t="str">
        <f>INDEX(LabNameList,MATCH(LabId,LabIDList,0))</f>
        <v>Trung tâm Kiểm định và Chứng nhận 2</v>
      </c>
      <c r="HQ49" s="230">
        <f t="shared" si="278"/>
        <v>20</v>
      </c>
      <c r="HR49" s="230">
        <f t="shared" si="279"/>
        <v>0</v>
      </c>
      <c r="HS49" s="230">
        <f t="shared" si="280"/>
        <v>0</v>
      </c>
      <c r="HT49" s="230">
        <f t="shared" si="281"/>
        <v>0</v>
      </c>
      <c r="HU49" s="230">
        <f t="shared" si="282"/>
        <v>0</v>
      </c>
      <c r="HV49" s="230">
        <f t="shared" si="283"/>
        <v>0</v>
      </c>
      <c r="HW49" s="797">
        <f t="shared" si="284"/>
        <v>20</v>
      </c>
      <c r="HX49" s="797">
        <f>Input!EB49</f>
        <v>0</v>
      </c>
      <c r="HY49" s="230">
        <v>68</v>
      </c>
      <c r="HZ49" s="230"/>
      <c r="IA49" s="230"/>
      <c r="IB49" s="230"/>
      <c r="IC49" s="232" t="str">
        <f t="shared" si="285"/>
        <v>B02000230916TG05</v>
      </c>
      <c r="ID49" s="233" t="str">
        <f>Input!O49</f>
        <v>02000</v>
      </c>
      <c r="IE49" s="467" t="str">
        <f t="shared" si="286"/>
        <v>230916</v>
      </c>
      <c r="IF49" s="232" t="s">
        <v>364</v>
      </c>
      <c r="IG49" s="467" t="str">
        <f t="shared" si="287"/>
        <v>23/09/2016</v>
      </c>
      <c r="IH49" s="467" t="str">
        <f t="shared" si="288"/>
        <v>23/09/2021</v>
      </c>
      <c r="II49" s="546" t="str">
        <f> Input!R49</f>
        <v>23/09/2016</v>
      </c>
      <c r="IJ49" s="467">
        <f t="shared" si="289"/>
        <v>44462</v>
      </c>
      <c r="IK49" s="468">
        <f t="shared" si="290"/>
        <v>3</v>
      </c>
      <c r="IL49" s="469" t="str">
        <f t="shared" si="291"/>
        <v>3-1</v>
      </c>
      <c r="IM49" s="469" t="str">
        <f t="shared" si="292"/>
        <v>KHAC</v>
      </c>
      <c r="IN49" s="469" t="str">
        <f t="shared" si="293"/>
        <v>KHAC</v>
      </c>
      <c r="IO49" s="469" t="str">
        <f t="shared" si="294"/>
      </c>
      <c r="IP49" s="469" t="str">
        <f t="shared" si="295"/>
      </c>
      <c r="IQ49" s="469" t="str">
        <f t="shared" si="296"/>
      </c>
      <c r="IR49" s="469">
        <f t="shared" si="297"/>
        <v>1</v>
      </c>
      <c r="IS49" s="469">
        <f t="shared" si="298"/>
        <v>2</v>
      </c>
      <c r="IT49" s="469" t="str">
        <f t="shared" si="299"/>
        <v>Yes</v>
      </c>
      <c r="IU49" s="469" t="str">
        <f t="shared" si="300"/>
        <v>Yes</v>
      </c>
    </row>
    <row r="50" ht="63.75">
      <c r="A50" s="601">
        <f>Input!A50</f>
        <v>49</v>
      </c>
      <c r="B50" s="229" t="str">
        <f>INDEX(ApplicantIDList,MATCH(AI50,ApplicantNameList,0))</f>
        <v>VIETTEL-2016</v>
      </c>
      <c r="C50" s="229" t="str">
        <f>INDEX(OperatorIDList,MATCH(AJ50,OperatorNameList,0))</f>
        <v>VIETTEL-2016</v>
      </c>
      <c r="D50" s="797" t="str">
        <f>Input!Y50</f>
        <v>HCM0181-12</v>
      </c>
      <c r="E50" s="229" t="str">
        <f>Input!G50</f>
        <v>Số 38, đường Đỗ Quang Đẩu, phường Phạm Ngũ Lão, quận 1, thành phố Hồ Chí Minh.</v>
      </c>
      <c r="F50" s="229" t="str">
        <f>TRIM(SUBSTITUTE(SUBSTITUTE(Input!H50,"Thành phố ",""),"Tỉnh ",""))</f>
        <v>Hồ Chí Minh</v>
      </c>
      <c r="G50" s="797" t="str">
        <f>Input!I50</f>
        <v>106,69071</v>
      </c>
      <c r="H50" s="797" t="str">
        <f>Input!J50</f>
        <v>10,767381</v>
      </c>
      <c r="I50" s="229">
        <f>Input!V50</f>
        <v>1</v>
      </c>
      <c r="J50" s="229" t="str">
        <f>Input!K50</f>
        <v>1502424/16/TG/TT2</v>
      </c>
      <c r="K50" s="231" t="str">
        <f>TEXT(Input!L50,"dd/mm/yyyy")</f>
        <v>23/09/2016</v>
      </c>
      <c r="L50" s="231" t="str">
        <f>TEXT(Input!M50,"dd/mm/yyyy")</f>
        <v>20/09/2016</v>
      </c>
      <c r="M50" s="229" t="str">
        <f t="shared" si="135"/>
        <v>TỔNG CÔNG TY MẠNG LƯỚI VIETTEL</v>
      </c>
      <c r="N50" s="229" t="str">
        <f t="shared" si="136"/>
        <v>HCM0181-12</v>
      </c>
      <c r="O50" s="229" t="str">
        <f t="shared" si="137"/>
        <v>HUAWEI DBS3900</v>
      </c>
      <c r="P50" s="229" t="str">
        <f t="shared" si="138"/>
        <v>2</v>
      </c>
      <c r="Q50" s="229" t="str">
        <f t="shared" si="139"/>
        <v>2/2</v>
      </c>
      <c r="R50" s="229" t="str">
        <f t="shared" si="140"/>
        <v>40W/ 40W</v>
      </c>
      <c r="S50" s="229" t="str">
        <f t="shared" si="141"/>
        <v>2100</v>
      </c>
      <c r="T50" s="229" t="str">
        <f t="shared" si="142"/>
        <v>21m/ 21m</v>
      </c>
      <c r="U50" s="229">
        <v>1</v>
      </c>
      <c r="V50" s="229"/>
      <c r="W50" s="229" t="b">
        <f t="shared" si="143"/>
        <v>0</v>
      </c>
      <c r="X50" s="229" t="b">
        <f>INDEX(TrueFalseList,_xlfn.IFNA(MATCH(Input!W50,CoKhongList,0),MATCH(Input!W50,YesNoList,0)))</f>
        <v>0</v>
      </c>
      <c r="Y50" s="797">
        <f>Input!FZ50</f>
        <v>0</v>
      </c>
      <c r="Z50" s="229" t="b">
        <v>1</v>
      </c>
      <c r="AA50" s="797">
        <f t="shared" si="144"/>
        <v>21</v>
      </c>
      <c r="AB50" s="229" t="b">
        <v>0</v>
      </c>
      <c r="AC50" s="229" t="b">
        <v>1</v>
      </c>
      <c r="AD50" s="229">
        <f>Input!DR50</f>
        <v>0</v>
      </c>
      <c r="AE50" s="229"/>
      <c r="AF50" s="229" t="str">
        <f>Options!$D$6</f>
        <v>VCC2</v>
      </c>
      <c r="AG50" s="229">
        <f t="shared" si="145"/>
        <v>0</v>
      </c>
      <c r="AH50" s="230"/>
      <c r="AI50" s="553" t="str">
        <f>Input!E50</f>
        <v>TỔNG CÔNG TY MẠNG LƯỚI VIETTEL</v>
      </c>
      <c r="AJ50" s="553" t="str">
        <f>Input!F50</f>
        <v>TỔNG CÔNG TY MẠNG LƯỚI VIETTEL</v>
      </c>
      <c r="AK50" s="229">
        <f t="shared" si="146"/>
        <v>4</v>
      </c>
      <c r="AL50" s="465" t="str">
        <f t="shared" si="147"/>
        <v>thành phố Hồ Chí Minh.</v>
      </c>
      <c r="AM50" s="465" t="str">
        <f t="shared" si="148"/>
        <v>quận 1</v>
      </c>
      <c r="AN50" s="465" t="str">
        <f t="shared" si="149"/>
        <v>phường Phạm Ngũ Lão</v>
      </c>
      <c r="AO50" s="229" t="str">
        <f>INDEX(CityIDList,MATCH(F50,CityNameList,0))</f>
        <v>HCM</v>
      </c>
      <c r="AP50" s="230" t="str">
        <f>Input!X50</f>
        <v>TỔNG CÔNG TY MẠNG LƯỚI VIETTEL</v>
      </c>
      <c r="AQ50" s="230">
        <f>Input!AN50</f>
        <v>0</v>
      </c>
      <c r="AR50" s="230">
        <f>Input!BD50</f>
        <v>0</v>
      </c>
      <c r="AS50" s="230" t="str">
        <f>Input!BT50</f>
      </c>
      <c r="AT50" s="230" t="str">
        <f>Input!CH50</f>
      </c>
      <c r="AU50" s="230" t="str">
        <f>Input!CV50</f>
      </c>
      <c r="AV50" s="230" t="str">
        <f>IF(I50&gt;=1,INDEX(OperatorIDList,MATCH(AP50,OperatorNameList,0)),"")</f>
        <v>VIETTEL-2016</v>
      </c>
      <c r="AW50" s="230" t="str">
        <f>IF(I50&gt;=2,INDEX(OperatorIDList,MATCH(AQ50,OperatorNameList,0)),"")</f>
      </c>
      <c r="AX50" s="230" t="str">
        <f>IF(I50&gt;=3,INDEX(OperatorIDList,MATCH(AR50,OperatorNameList,0)),"")</f>
      </c>
      <c r="AY50" s="230" t="str">
        <f>IF(I50&gt;=4,INDEX(OperatorIDList,MATCH(AS50,OperatorNameList,0)),"")</f>
      </c>
      <c r="AZ50" s="230" t="str">
        <f>IF(I50&gt;=5,INDEX(OperatorIDList,MATCH(AT50,OperatorNameList,0)),"")</f>
      </c>
      <c r="BA50" s="230" t="str">
        <f>IF(I50&gt;=6,INDEX(OperatorIDList,MATCH(AU50,OperatorNameList,0)),"")</f>
      </c>
      <c r="BB50" s="230" t="str">
        <f t="shared" si="150"/>
        <v>VIETTEL-2016</v>
      </c>
      <c r="BC50" s="230" t="str">
        <f>Input!Y50</f>
        <v>HCM0181-12</v>
      </c>
      <c r="BD50" s="230">
        <f>Input!AO50</f>
        <v>0</v>
      </c>
      <c r="BE50" s="230">
        <f>Input!BE50</f>
        <v>0</v>
      </c>
      <c r="BF50" s="230" t="str">
        <f>Input!BU50</f>
      </c>
      <c r="BG50" s="230" t="str">
        <f>Input!CI50</f>
      </c>
      <c r="BH50" s="230" t="str">
        <f>Input!CW50</f>
      </c>
      <c r="BI50" s="230" t="str">
        <f>Input!Z50</f>
        <v>HUAWEI DBS3900</v>
      </c>
      <c r="BJ50" s="230">
        <f>Input!AP50</f>
        <v>0</v>
      </c>
      <c r="BK50" s="230">
        <f>Input!BF50</f>
        <v>0</v>
      </c>
      <c r="BL50" s="230" t="str">
        <f>Input!BV50</f>
      </c>
      <c r="BM50" s="230" t="str">
        <f>Input!CJ50</f>
      </c>
      <c r="BN50" s="230" t="str">
        <f>Input!CX50</f>
      </c>
      <c r="BO50" s="553">
        <f>IF(ISNUMBER(Input!AA50),Input!AA50,0)</f>
        <v>2</v>
      </c>
      <c r="BP50" s="553">
        <f>IF(ISNUMBER(Input!AQ50),Input!AQ50,0)</f>
        <v>0</v>
      </c>
      <c r="BQ50" s="553">
        <f>IF(ISNUMBER(Input!BG50),Input!BG50,0)</f>
        <v>0</v>
      </c>
      <c r="BR50" s="553">
        <f>IF(ISNUMBER(Input!BW50),Input!BW50,0)</f>
        <v>0</v>
      </c>
      <c r="BS50" s="553">
        <f>IF(ISNUMBER(Input!CK50),Input!CK50,0)</f>
        <v>0</v>
      </c>
      <c r="BT50" s="554">
        <f>IF(ISNUMBER(Input!CY50),Input!CY50,0)</f>
        <v>0</v>
      </c>
      <c r="BU50" s="230" t="str">
        <f>Input!AF50</f>
        <v>2/2</v>
      </c>
      <c r="BV50" s="230" t="str">
        <f>Input!AV50</f>
      </c>
      <c r="BW50" s="230" t="str">
        <f>Input!BL50</f>
      </c>
      <c r="BX50" s="230" t="str">
        <f>Input!CA50</f>
      </c>
      <c r="BY50" s="230" t="str">
        <f>Input!CO50</f>
      </c>
      <c r="BZ50" s="230" t="str">
        <f>Input!DC50</f>
      </c>
      <c r="CA50" s="230">
        <f t="shared" si="151"/>
        <v>2</v>
      </c>
      <c r="CB50" s="230">
        <f t="shared" si="152"/>
        <v>2</v>
      </c>
      <c r="CC50" s="230">
        <f t="shared" si="153"/>
        <v>0</v>
      </c>
      <c r="CD50" s="230">
        <f t="shared" si="154"/>
        <v>0</v>
      </c>
      <c r="CE50" s="230">
        <f t="shared" si="155"/>
        <v>0</v>
      </c>
      <c r="CF50" s="230">
        <f t="shared" si="156"/>
        <v>0</v>
      </c>
      <c r="CG50" s="230">
        <f t="shared" si="157"/>
        <v>0</v>
      </c>
      <c r="CH50" s="230">
        <f t="shared" si="158"/>
        <v>0</v>
      </c>
      <c r="CI50" s="230">
        <f t="shared" si="159"/>
        <v>0</v>
      </c>
      <c r="CJ50" s="230">
        <f t="shared" si="160"/>
        <v>0</v>
      </c>
      <c r="CK50" s="230">
        <f t="shared" si="161"/>
        <v>0</v>
      </c>
      <c r="CL50" s="230">
        <f t="shared" si="162"/>
        <v>0</v>
      </c>
      <c r="CM50" s="230">
        <f t="shared" si="163"/>
        <v>0</v>
      </c>
      <c r="CN50" s="230">
        <f t="shared" si="164"/>
        <v>0</v>
      </c>
      <c r="CO50" s="230">
        <f t="shared" si="165"/>
        <v>0</v>
      </c>
      <c r="CP50" s="230">
        <f t="shared" si="166"/>
        <v>0</v>
      </c>
      <c r="CQ50" s="230">
        <f t="shared" si="167"/>
        <v>0</v>
      </c>
      <c r="CR50" s="230">
        <f t="shared" si="168"/>
        <v>0</v>
      </c>
      <c r="CS50" s="230">
        <f t="shared" si="169"/>
        <v>0</v>
      </c>
      <c r="CT50" s="230">
        <f t="shared" si="170"/>
        <v>0</v>
      </c>
      <c r="CU50" s="230">
        <f t="shared" si="171"/>
        <v>0</v>
      </c>
      <c r="CV50" s="230">
        <f t="shared" si="172"/>
        <v>0</v>
      </c>
      <c r="CW50" s="230">
        <f t="shared" si="173"/>
        <v>0</v>
      </c>
      <c r="CX50" s="230">
        <f t="shared" si="174"/>
        <v>0</v>
      </c>
      <c r="CY50" s="230">
        <f t="shared" si="175"/>
        <v>0</v>
      </c>
      <c r="CZ50" s="230">
        <f t="shared" si="176"/>
        <v>0</v>
      </c>
      <c r="DA50" s="230">
        <f t="shared" si="177"/>
        <v>0</v>
      </c>
      <c r="DB50" s="230">
        <f t="shared" si="178"/>
        <v>0</v>
      </c>
      <c r="DC50" s="230">
        <f t="shared" si="179"/>
        <v>0</v>
      </c>
      <c r="DD50" s="230">
        <f t="shared" si="180"/>
        <v>0</v>
      </c>
      <c r="DE50" s="230">
        <f t="shared" si="181"/>
        <v>0</v>
      </c>
      <c r="DF50" s="230">
        <f t="shared" si="182"/>
        <v>0</v>
      </c>
      <c r="DG50" s="230">
        <f t="shared" si="183"/>
        <v>0</v>
      </c>
      <c r="DH50" s="230">
        <f t="shared" si="184"/>
        <v>0</v>
      </c>
      <c r="DI50" s="230">
        <f t="shared" si="185"/>
        <v>0</v>
      </c>
      <c r="DJ50" s="230">
        <f t="shared" si="186"/>
        <v>0</v>
      </c>
      <c r="DK50" s="230" t="str">
        <f>Input!AK50</f>
        <v>40,00W/40,00W</v>
      </c>
      <c r="DL50" s="230" t="str">
        <f>Input!BA50</f>
      </c>
      <c r="DM50" s="230" t="str">
        <f>Input!BQ50</f>
      </c>
      <c r="DN50" s="230" t="str">
        <f>Input!CE50</f>
      </c>
      <c r="DO50" s="230" t="str">
        <f>Input!CS50</f>
      </c>
      <c r="DP50" s="230" t="str">
        <f>Input!DG50</f>
      </c>
      <c r="DQ50" s="230" t="str">
        <f t="shared" si="187"/>
        <v>40W/ 40W</v>
      </c>
      <c r="DR50" s="230" t="str">
        <f t="shared" si="188"/>
      </c>
      <c r="DS50" s="230" t="str">
        <f t="shared" si="189"/>
      </c>
      <c r="DT50" s="230" t="str">
        <f t="shared" si="190"/>
      </c>
      <c r="DU50" s="230" t="str">
        <f t="shared" si="191"/>
      </c>
      <c r="DV50" s="230" t="str">
        <f t="shared" si="192"/>
      </c>
      <c r="DW50" s="230">
        <f t="shared" si="193"/>
        <v>40</v>
      </c>
      <c r="DX50" s="230">
        <f t="shared" si="194"/>
        <v>40</v>
      </c>
      <c r="DY50" s="230">
        <f t="shared" si="195"/>
        <v>0</v>
      </c>
      <c r="DZ50" s="230">
        <f t="shared" si="196"/>
        <v>0</v>
      </c>
      <c r="EA50" s="230">
        <f t="shared" si="197"/>
        <v>0</v>
      </c>
      <c r="EB50" s="230">
        <f t="shared" si="198"/>
        <v>0</v>
      </c>
      <c r="EC50" s="230">
        <f t="shared" si="199"/>
        <v>40</v>
      </c>
      <c r="ED50" s="230">
        <f t="shared" si="200"/>
        <v>0</v>
      </c>
      <c r="EE50" s="230">
        <f t="shared" si="201"/>
        <v>0</v>
      </c>
      <c r="EF50" s="230">
        <f t="shared" si="202"/>
        <v>0</v>
      </c>
      <c r="EG50" s="230">
        <f t="shared" si="203"/>
        <v>0</v>
      </c>
      <c r="EH50" s="230">
        <f t="shared" si="204"/>
        <v>0</v>
      </c>
      <c r="EI50" s="230">
        <f t="shared" si="205"/>
        <v>0</v>
      </c>
      <c r="EJ50" s="230">
        <f t="shared" si="206"/>
        <v>0</v>
      </c>
      <c r="EK50" s="230">
        <f t="shared" si="207"/>
        <v>0</v>
      </c>
      <c r="EL50" s="230">
        <f t="shared" si="208"/>
        <v>0</v>
      </c>
      <c r="EM50" s="230">
        <f t="shared" si="209"/>
        <v>0</v>
      </c>
      <c r="EN50" s="230">
        <f t="shared" si="210"/>
        <v>0</v>
      </c>
      <c r="EO50" s="230">
        <f t="shared" si="211"/>
        <v>0</v>
      </c>
      <c r="EP50" s="230">
        <f t="shared" si="212"/>
        <v>0</v>
      </c>
      <c r="EQ50" s="230">
        <f t="shared" si="213"/>
        <v>0</v>
      </c>
      <c r="ER50" s="230">
        <f t="shared" si="214"/>
        <v>0</v>
      </c>
      <c r="ES50" s="230">
        <f t="shared" si="215"/>
        <v>0</v>
      </c>
      <c r="ET50" s="230">
        <f t="shared" si="216"/>
        <v>0</v>
      </c>
      <c r="EU50" s="230">
        <f t="shared" si="217"/>
        <v>0</v>
      </c>
      <c r="EV50" s="230">
        <f t="shared" si="218"/>
        <v>0</v>
      </c>
      <c r="EW50" s="230">
        <f t="shared" si="219"/>
        <v>0</v>
      </c>
      <c r="EX50" s="230">
        <f t="shared" si="220"/>
        <v>0</v>
      </c>
      <c r="EY50" s="230">
        <f t="shared" si="221"/>
        <v>0</v>
      </c>
      <c r="EZ50" s="230">
        <f t="shared" si="222"/>
        <v>0</v>
      </c>
      <c r="FA50" s="230">
        <f t="shared" si="223"/>
        <v>0</v>
      </c>
      <c r="FB50" s="230">
        <f t="shared" si="224"/>
        <v>0</v>
      </c>
      <c r="FC50" s="230">
        <f t="shared" si="225"/>
        <v>0</v>
      </c>
      <c r="FD50" s="230">
        <f t="shared" si="226"/>
        <v>0</v>
      </c>
      <c r="FE50" s="230">
        <f t="shared" si="227"/>
        <v>0</v>
      </c>
      <c r="FF50" s="230">
        <f t="shared" si="228"/>
        <v>0</v>
      </c>
      <c r="FG50" s="230">
        <f t="shared" si="229"/>
        <v>0</v>
      </c>
      <c r="FH50" s="230">
        <f t="shared" si="230"/>
        <v>0</v>
      </c>
      <c r="FI50" s="230">
        <f t="shared" si="231"/>
        <v>0</v>
      </c>
      <c r="FJ50" s="230">
        <f t="shared" si="232"/>
        <v>0</v>
      </c>
      <c r="FK50" s="230">
        <f t="shared" si="233"/>
        <v>0</v>
      </c>
      <c r="FL50" s="230">
        <f t="shared" si="234"/>
        <v>0</v>
      </c>
      <c r="FM50" s="230">
        <f t="shared" si="235"/>
        <v>40</v>
      </c>
      <c r="FN50" s="230">
        <f>Input!AL50</f>
        <v>2100</v>
      </c>
      <c r="FO50" s="230">
        <f>Input!BB50</f>
        <v>0</v>
      </c>
      <c r="FP50" s="230">
        <f>Input!BR50</f>
        <v>0</v>
      </c>
      <c r="FQ50" s="230" t="str">
        <f>Input!CF50</f>
      </c>
      <c r="FR50" s="230" t="str">
        <f>Input!CT50</f>
      </c>
      <c r="FS50" s="230" t="str">
        <f>Input!DH50</f>
      </c>
      <c r="FT50" s="230" t="str">
        <f>Input!AM50</f>
        <v>21m/ 21m</v>
      </c>
      <c r="FU50" s="230">
        <f>Input!BC50</f>
        <v>0</v>
      </c>
      <c r="FV50" s="230">
        <f>Input!BS50</f>
        <v>0</v>
      </c>
      <c r="FW50" s="230" t="str">
        <f>Input!CG50</f>
      </c>
      <c r="FX50" s="230" t="str">
        <f>Input!CU50</f>
      </c>
      <c r="FY50" s="230" t="str">
        <f>Input!DI50</f>
      </c>
      <c r="FZ50" s="230" t="str">
        <f t="shared" si="236"/>
        <v>21m/ 21m</v>
      </c>
      <c r="GA50" s="230" t="str">
        <f t="shared" si="237"/>
      </c>
      <c r="GB50" s="230" t="str">
        <f t="shared" si="238"/>
      </c>
      <c r="GC50" s="230" t="str">
        <f t="shared" si="239"/>
      </c>
      <c r="GD50" s="230" t="str">
        <f t="shared" si="240"/>
      </c>
      <c r="GE50" s="230" t="str">
        <f t="shared" si="241"/>
      </c>
      <c r="GF50" s="230">
        <f t="shared" si="242"/>
        <v>21</v>
      </c>
      <c r="GG50" s="230">
        <f t="shared" si="243"/>
        <v>21</v>
      </c>
      <c r="GH50" s="230">
        <f t="shared" si="244"/>
        <v>0</v>
      </c>
      <c r="GI50" s="230">
        <f t="shared" si="245"/>
        <v>0</v>
      </c>
      <c r="GJ50" s="230">
        <f t="shared" si="246"/>
        <v>0</v>
      </c>
      <c r="GK50" s="230">
        <f t="shared" si="247"/>
        <v>0</v>
      </c>
      <c r="GL50" s="230">
        <f t="shared" si="248"/>
        <v>0</v>
      </c>
      <c r="GM50" s="230">
        <f t="shared" si="249"/>
        <v>0</v>
      </c>
      <c r="GN50" s="230">
        <f t="shared" si="250"/>
        <v>0</v>
      </c>
      <c r="GO50" s="230">
        <f t="shared" si="251"/>
        <v>0</v>
      </c>
      <c r="GP50" s="230">
        <f t="shared" si="252"/>
        <v>0</v>
      </c>
      <c r="GQ50" s="230">
        <f t="shared" si="253"/>
        <v>0</v>
      </c>
      <c r="GR50" s="230">
        <f t="shared" si="254"/>
        <v>0</v>
      </c>
      <c r="GS50" s="230">
        <f t="shared" si="255"/>
        <v>0</v>
      </c>
      <c r="GT50" s="230">
        <f t="shared" si="256"/>
        <v>0</v>
      </c>
      <c r="GU50" s="230">
        <f t="shared" si="257"/>
        <v>0</v>
      </c>
      <c r="GV50" s="230">
        <f t="shared" si="258"/>
        <v>0</v>
      </c>
      <c r="GW50" s="230">
        <f t="shared" si="259"/>
        <v>0</v>
      </c>
      <c r="GX50" s="230">
        <f t="shared" si="260"/>
        <v>0</v>
      </c>
      <c r="GY50" s="230">
        <f t="shared" si="261"/>
        <v>0</v>
      </c>
      <c r="GZ50" s="230">
        <f t="shared" si="262"/>
        <v>0</v>
      </c>
      <c r="HA50" s="230">
        <f t="shared" si="263"/>
        <v>0</v>
      </c>
      <c r="HB50" s="230">
        <f t="shared" si="264"/>
        <v>0</v>
      </c>
      <c r="HC50" s="230">
        <f t="shared" si="265"/>
        <v>0</v>
      </c>
      <c r="HD50" s="230">
        <f t="shared" si="266"/>
        <v>0</v>
      </c>
      <c r="HE50" s="230">
        <f t="shared" si="267"/>
        <v>0</v>
      </c>
      <c r="HF50" s="230">
        <f t="shared" si="268"/>
        <v>0</v>
      </c>
      <c r="HG50" s="230">
        <f t="shared" si="269"/>
        <v>0</v>
      </c>
      <c r="HH50" s="230">
        <f t="shared" si="270"/>
        <v>0</v>
      </c>
      <c r="HI50" s="230">
        <f t="shared" si="271"/>
        <v>0</v>
      </c>
      <c r="HJ50" s="230">
        <f t="shared" si="272"/>
        <v>0</v>
      </c>
      <c r="HK50" s="230">
        <f t="shared" si="273"/>
        <v>0</v>
      </c>
      <c r="HL50" s="230">
        <f t="shared" si="274"/>
        <v>0</v>
      </c>
      <c r="HM50" s="230">
        <f t="shared" si="275"/>
        <v>0</v>
      </c>
      <c r="HN50" s="230">
        <f t="shared" si="276"/>
        <v>0</v>
      </c>
      <c r="HO50" s="230">
        <f t="shared" si="277"/>
        <v>0</v>
      </c>
      <c r="HP50" s="230" t="str">
        <f>INDEX(LabNameList,MATCH(LabId,LabIDList,0))</f>
        <v>Trung tâm Kiểm định và Chứng nhận 2</v>
      </c>
      <c r="HQ50" s="230">
        <f t="shared" si="278"/>
        <v>21</v>
      </c>
      <c r="HR50" s="230">
        <f t="shared" si="279"/>
        <v>0</v>
      </c>
      <c r="HS50" s="230">
        <f t="shared" si="280"/>
        <v>0</v>
      </c>
      <c r="HT50" s="230">
        <f t="shared" si="281"/>
        <v>0</v>
      </c>
      <c r="HU50" s="230">
        <f t="shared" si="282"/>
        <v>0</v>
      </c>
      <c r="HV50" s="230">
        <f t="shared" si="283"/>
        <v>0</v>
      </c>
      <c r="HW50" s="797">
        <f t="shared" si="284"/>
        <v>21</v>
      </c>
      <c r="HX50" s="797">
        <f>Input!EB50</f>
        <v>0</v>
      </c>
      <c r="HY50" s="230">
        <v>68</v>
      </c>
      <c r="HZ50" s="230"/>
      <c r="IA50" s="230"/>
      <c r="IB50" s="230"/>
      <c r="IC50" s="232" t="str">
        <f t="shared" si="285"/>
        <v>B02001230916TG05</v>
      </c>
      <c r="ID50" s="233" t="str">
        <f>Input!O50</f>
        <v>02001</v>
      </c>
      <c r="IE50" s="467" t="str">
        <f t="shared" si="286"/>
        <v>230916</v>
      </c>
      <c r="IF50" s="232" t="s">
        <v>364</v>
      </c>
      <c r="IG50" s="467" t="str">
        <f t="shared" si="287"/>
        <v>23/09/2016</v>
      </c>
      <c r="IH50" s="467" t="str">
        <f t="shared" si="288"/>
        <v>23/09/2021</v>
      </c>
      <c r="II50" s="546" t="str">
        <f> Input!R50</f>
        <v>23/09/2016</v>
      </c>
      <c r="IJ50" s="467">
        <f t="shared" si="289"/>
        <v>44462</v>
      </c>
      <c r="IK50" s="468">
        <f t="shared" si="290"/>
        <v>3</v>
      </c>
      <c r="IL50" s="469" t="str">
        <f t="shared" si="291"/>
        <v>3-1</v>
      </c>
      <c r="IM50" s="469" t="str">
        <f t="shared" si="292"/>
        <v>KHAC</v>
      </c>
      <c r="IN50" s="469" t="str">
        <f t="shared" si="293"/>
        <v>KHAC</v>
      </c>
      <c r="IO50" s="469" t="str">
        <f t="shared" si="294"/>
      </c>
      <c r="IP50" s="469" t="str">
        <f t="shared" si="295"/>
      </c>
      <c r="IQ50" s="469" t="str">
        <f t="shared" si="296"/>
      </c>
      <c r="IR50" s="469">
        <f t="shared" si="297"/>
        <v>1</v>
      </c>
      <c r="IS50" s="469">
        <f t="shared" si="298"/>
        <v>2</v>
      </c>
      <c r="IT50" s="469" t="str">
        <f t="shared" si="299"/>
        <v>Yes</v>
      </c>
      <c r="IU50" s="469" t="str">
        <f t="shared" si="300"/>
        <v>Yes</v>
      </c>
    </row>
    <row r="51" ht="63.75">
      <c r="A51" s="601">
        <f>Input!A51</f>
        <v>50</v>
      </c>
      <c r="B51" s="229" t="str">
        <f>INDEX(ApplicantIDList,MATCH(AI51,ApplicantNameList,0))</f>
        <v>VIETTEL-2016</v>
      </c>
      <c r="C51" s="229" t="str">
        <f>INDEX(OperatorIDList,MATCH(AJ51,OperatorNameList,0))</f>
        <v>VIETTEL-2016</v>
      </c>
      <c r="D51" s="797" t="str">
        <f>Input!Y51</f>
        <v>HCM2053</v>
      </c>
      <c r="E51" s="229" t="str">
        <f>Input!G51</f>
        <v>Số 490/23, đường Lý Thái Tổ, phường 10, quận 10, thành phố Hồ Chí Minh.</v>
      </c>
      <c r="F51" s="229" t="str">
        <f>TRIM(SUBSTITUTE(SUBSTITUTE(Input!H51,"Thành phố ",""),"Tỉnh ",""))</f>
        <v>Hồ Chí Minh</v>
      </c>
      <c r="G51" s="797" t="str">
        <f>Input!I51</f>
        <v>106,67204</v>
      </c>
      <c r="H51" s="797" t="str">
        <f>Input!J51</f>
        <v>10,76839</v>
      </c>
      <c r="I51" s="229">
        <f>Input!V51</f>
        <v>1</v>
      </c>
      <c r="J51" s="229" t="str">
        <f>Input!K51</f>
        <v>1502427/16/TG/TT2</v>
      </c>
      <c r="K51" s="231" t="str">
        <f>TEXT(Input!L51,"dd/mm/yyyy")</f>
        <v>23/09/2016</v>
      </c>
      <c r="L51" s="231" t="str">
        <f>TEXT(Input!M51,"dd/mm/yyyy")</f>
        <v>20/09/2016</v>
      </c>
      <c r="M51" s="229" t="str">
        <f t="shared" si="135"/>
        <v>TỔNG CÔNG TY MẠNG LƯỚI VIETTEL</v>
      </c>
      <c r="N51" s="229" t="str">
        <f t="shared" si="136"/>
        <v>HCM2053</v>
      </c>
      <c r="O51" s="229" t="str">
        <f t="shared" si="137"/>
        <v>HUAWEI DBS3900</v>
      </c>
      <c r="P51" s="229" t="str">
        <f t="shared" si="138"/>
        <v>3</v>
      </c>
      <c r="Q51" s="229" t="str">
        <f t="shared" si="139"/>
        <v>2/2/2</v>
      </c>
      <c r="R51" s="229" t="str">
        <f t="shared" si="140"/>
        <v>40W/ 40W/ 40W</v>
      </c>
      <c r="S51" s="229" t="str">
        <f t="shared" si="141"/>
        <v>2100</v>
      </c>
      <c r="T51" s="229" t="str">
        <f t="shared" si="142"/>
        <v>27m/ 27m/ 27m</v>
      </c>
      <c r="U51" s="229">
        <v>1</v>
      </c>
      <c r="V51" s="229"/>
      <c r="W51" s="229" t="b">
        <f t="shared" si="143"/>
        <v>0</v>
      </c>
      <c r="X51" s="229" t="b">
        <f>INDEX(TrueFalseList,_xlfn.IFNA(MATCH(Input!W51,CoKhongList,0),MATCH(Input!W51,YesNoList,0)))</f>
        <v>0</v>
      </c>
      <c r="Y51" s="797">
        <f>Input!FZ51</f>
        <v>0</v>
      </c>
      <c r="Z51" s="229" t="b">
        <v>1</v>
      </c>
      <c r="AA51" s="797">
        <f t="shared" si="144"/>
        <v>27</v>
      </c>
      <c r="AB51" s="229" t="b">
        <v>0</v>
      </c>
      <c r="AC51" s="229" t="b">
        <v>1</v>
      </c>
      <c r="AD51" s="229">
        <f>Input!DR51</f>
        <v>0</v>
      </c>
      <c r="AE51" s="229"/>
      <c r="AF51" s="229" t="str">
        <f>Options!$D$6</f>
        <v>VCC2</v>
      </c>
      <c r="AG51" s="229">
        <f t="shared" si="145"/>
        <v>0</v>
      </c>
      <c r="AH51" s="230"/>
      <c r="AI51" s="553" t="str">
        <f>Input!E51</f>
        <v>TỔNG CÔNG TY MẠNG LƯỚI VIETTEL</v>
      </c>
      <c r="AJ51" s="553" t="str">
        <f>Input!F51</f>
        <v>TỔNG CÔNG TY MẠNG LƯỚI VIETTEL</v>
      </c>
      <c r="AK51" s="229">
        <f t="shared" si="146"/>
        <v>4</v>
      </c>
      <c r="AL51" s="465" t="str">
        <f t="shared" si="147"/>
        <v>thành phố Hồ Chí Minh.</v>
      </c>
      <c r="AM51" s="465" t="str">
        <f t="shared" si="148"/>
        <v>quận 10</v>
      </c>
      <c r="AN51" s="465" t="str">
        <f t="shared" si="149"/>
        <v>phường 10</v>
      </c>
      <c r="AO51" s="229" t="str">
        <f>INDEX(CityIDList,MATCH(F51,CityNameList,0))</f>
        <v>HCM</v>
      </c>
      <c r="AP51" s="230" t="str">
        <f>Input!X51</f>
        <v>TỔNG CÔNG TY MẠNG LƯỚI VIETTEL</v>
      </c>
      <c r="AQ51" s="230">
        <f>Input!AN51</f>
        <v>0</v>
      </c>
      <c r="AR51" s="230">
        <f>Input!BD51</f>
        <v>0</v>
      </c>
      <c r="AS51" s="230" t="str">
        <f>Input!BT51</f>
      </c>
      <c r="AT51" s="230" t="str">
        <f>Input!CH51</f>
      </c>
      <c r="AU51" s="230" t="str">
        <f>Input!CV51</f>
      </c>
      <c r="AV51" s="230" t="str">
        <f>IF(I51&gt;=1,INDEX(OperatorIDList,MATCH(AP51,OperatorNameList,0)),"")</f>
        <v>VIETTEL-2016</v>
      </c>
      <c r="AW51" s="230" t="str">
        <f>IF(I51&gt;=2,INDEX(OperatorIDList,MATCH(AQ51,OperatorNameList,0)),"")</f>
      </c>
      <c r="AX51" s="230" t="str">
        <f>IF(I51&gt;=3,INDEX(OperatorIDList,MATCH(AR51,OperatorNameList,0)),"")</f>
      </c>
      <c r="AY51" s="230" t="str">
        <f>IF(I51&gt;=4,INDEX(OperatorIDList,MATCH(AS51,OperatorNameList,0)),"")</f>
      </c>
      <c r="AZ51" s="230" t="str">
        <f>IF(I51&gt;=5,INDEX(OperatorIDList,MATCH(AT51,OperatorNameList,0)),"")</f>
      </c>
      <c r="BA51" s="230" t="str">
        <f>IF(I51&gt;=6,INDEX(OperatorIDList,MATCH(AU51,OperatorNameList,0)),"")</f>
      </c>
      <c r="BB51" s="230" t="str">
        <f t="shared" si="150"/>
        <v>VIETTEL-2016</v>
      </c>
      <c r="BC51" s="230" t="str">
        <f>Input!Y51</f>
        <v>HCM2053</v>
      </c>
      <c r="BD51" s="230">
        <f>Input!AO51</f>
        <v>0</v>
      </c>
      <c r="BE51" s="230">
        <f>Input!BE51</f>
        <v>0</v>
      </c>
      <c r="BF51" s="230" t="str">
        <f>Input!BU51</f>
      </c>
      <c r="BG51" s="230" t="str">
        <f>Input!CI51</f>
      </c>
      <c r="BH51" s="230" t="str">
        <f>Input!CW51</f>
      </c>
      <c r="BI51" s="230" t="str">
        <f>Input!Z51</f>
        <v>HUAWEI DBS3900</v>
      </c>
      <c r="BJ51" s="230">
        <f>Input!AP51</f>
        <v>0</v>
      </c>
      <c r="BK51" s="230">
        <f>Input!BF51</f>
        <v>0</v>
      </c>
      <c r="BL51" s="230" t="str">
        <f>Input!BV51</f>
      </c>
      <c r="BM51" s="230" t="str">
        <f>Input!CJ51</f>
      </c>
      <c r="BN51" s="230" t="str">
        <f>Input!CX51</f>
      </c>
      <c r="BO51" s="553">
        <f>IF(ISNUMBER(Input!AA51),Input!AA51,0)</f>
        <v>3</v>
      </c>
      <c r="BP51" s="553">
        <f>IF(ISNUMBER(Input!AQ51),Input!AQ51,0)</f>
        <v>0</v>
      </c>
      <c r="BQ51" s="553">
        <f>IF(ISNUMBER(Input!BG51),Input!BG51,0)</f>
        <v>0</v>
      </c>
      <c r="BR51" s="553">
        <f>IF(ISNUMBER(Input!BW51),Input!BW51,0)</f>
        <v>0</v>
      </c>
      <c r="BS51" s="553">
        <f>IF(ISNUMBER(Input!CK51),Input!CK51,0)</f>
        <v>0</v>
      </c>
      <c r="BT51" s="554">
        <f>IF(ISNUMBER(Input!CY51),Input!CY51,0)</f>
        <v>0</v>
      </c>
      <c r="BU51" s="230" t="str">
        <f>Input!AF51</f>
        <v>2/2/2</v>
      </c>
      <c r="BV51" s="230" t="str">
        <f>Input!AV51</f>
      </c>
      <c r="BW51" s="230" t="str">
        <f>Input!BL51</f>
      </c>
      <c r="BX51" s="230" t="str">
        <f>Input!CA51</f>
      </c>
      <c r="BY51" s="230" t="str">
        <f>Input!CO51</f>
      </c>
      <c r="BZ51" s="230" t="str">
        <f>Input!DC51</f>
      </c>
      <c r="CA51" s="230">
        <f t="shared" si="151"/>
        <v>2</v>
      </c>
      <c r="CB51" s="230">
        <f t="shared" si="152"/>
        <v>2</v>
      </c>
      <c r="CC51" s="230">
        <f t="shared" si="153"/>
        <v>2</v>
      </c>
      <c r="CD51" s="230">
        <f t="shared" si="154"/>
        <v>0</v>
      </c>
      <c r="CE51" s="230">
        <f t="shared" si="155"/>
        <v>0</v>
      </c>
      <c r="CF51" s="230">
        <f t="shared" si="156"/>
        <v>0</v>
      </c>
      <c r="CG51" s="230">
        <f t="shared" si="157"/>
        <v>0</v>
      </c>
      <c r="CH51" s="230">
        <f t="shared" si="158"/>
        <v>0</v>
      </c>
      <c r="CI51" s="230">
        <f t="shared" si="159"/>
        <v>0</v>
      </c>
      <c r="CJ51" s="230">
        <f t="shared" si="160"/>
        <v>0</v>
      </c>
      <c r="CK51" s="230">
        <f t="shared" si="161"/>
        <v>0</v>
      </c>
      <c r="CL51" s="230">
        <f t="shared" si="162"/>
        <v>0</v>
      </c>
      <c r="CM51" s="230">
        <f t="shared" si="163"/>
        <v>0</v>
      </c>
      <c r="CN51" s="230">
        <f t="shared" si="164"/>
        <v>0</v>
      </c>
      <c r="CO51" s="230">
        <f t="shared" si="165"/>
        <v>0</v>
      </c>
      <c r="CP51" s="230">
        <f t="shared" si="166"/>
        <v>0</v>
      </c>
      <c r="CQ51" s="230">
        <f t="shared" si="167"/>
        <v>0</v>
      </c>
      <c r="CR51" s="230">
        <f t="shared" si="168"/>
        <v>0</v>
      </c>
      <c r="CS51" s="230">
        <f t="shared" si="169"/>
        <v>0</v>
      </c>
      <c r="CT51" s="230">
        <f t="shared" si="170"/>
        <v>0</v>
      </c>
      <c r="CU51" s="230">
        <f t="shared" si="171"/>
        <v>0</v>
      </c>
      <c r="CV51" s="230">
        <f t="shared" si="172"/>
        <v>0</v>
      </c>
      <c r="CW51" s="230">
        <f t="shared" si="173"/>
        <v>0</v>
      </c>
      <c r="CX51" s="230">
        <f t="shared" si="174"/>
        <v>0</v>
      </c>
      <c r="CY51" s="230">
        <f t="shared" si="175"/>
        <v>0</v>
      </c>
      <c r="CZ51" s="230">
        <f t="shared" si="176"/>
        <v>0</v>
      </c>
      <c r="DA51" s="230">
        <f t="shared" si="177"/>
        <v>0</v>
      </c>
      <c r="DB51" s="230">
        <f t="shared" si="178"/>
        <v>0</v>
      </c>
      <c r="DC51" s="230">
        <f t="shared" si="179"/>
        <v>0</v>
      </c>
      <c r="DD51" s="230">
        <f t="shared" si="180"/>
        <v>0</v>
      </c>
      <c r="DE51" s="230">
        <f t="shared" si="181"/>
        <v>0</v>
      </c>
      <c r="DF51" s="230">
        <f t="shared" si="182"/>
        <v>0</v>
      </c>
      <c r="DG51" s="230">
        <f t="shared" si="183"/>
        <v>0</v>
      </c>
      <c r="DH51" s="230">
        <f t="shared" si="184"/>
        <v>0</v>
      </c>
      <c r="DI51" s="230">
        <f t="shared" si="185"/>
        <v>0</v>
      </c>
      <c r="DJ51" s="230">
        <f t="shared" si="186"/>
        <v>0</v>
      </c>
      <c r="DK51" s="230" t="str">
        <f>Input!AK51</f>
        <v>40,00W/40,00W/40,00W</v>
      </c>
      <c r="DL51" s="230" t="str">
        <f>Input!BA51</f>
      </c>
      <c r="DM51" s="230" t="str">
        <f>Input!BQ51</f>
      </c>
      <c r="DN51" s="230" t="str">
        <f>Input!CE51</f>
      </c>
      <c r="DO51" s="230" t="str">
        <f>Input!CS51</f>
      </c>
      <c r="DP51" s="230" t="str">
        <f>Input!DG51</f>
      </c>
      <c r="DQ51" s="230" t="str">
        <f t="shared" si="187"/>
        <v>40W/ 40W/ 40W</v>
      </c>
      <c r="DR51" s="230" t="str">
        <f t="shared" si="188"/>
      </c>
      <c r="DS51" s="230" t="str">
        <f t="shared" si="189"/>
      </c>
      <c r="DT51" s="230" t="str">
        <f t="shared" si="190"/>
      </c>
      <c r="DU51" s="230" t="str">
        <f t="shared" si="191"/>
      </c>
      <c r="DV51" s="230" t="str">
        <f t="shared" si="192"/>
      </c>
      <c r="DW51" s="230">
        <f t="shared" si="193"/>
        <v>40</v>
      </c>
      <c r="DX51" s="230">
        <f t="shared" si="194"/>
        <v>40</v>
      </c>
      <c r="DY51" s="230">
        <f t="shared" si="195"/>
        <v>40</v>
      </c>
      <c r="DZ51" s="230">
        <f t="shared" si="196"/>
        <v>0</v>
      </c>
      <c r="EA51" s="230">
        <f t="shared" si="197"/>
        <v>0</v>
      </c>
      <c r="EB51" s="230">
        <f t="shared" si="198"/>
        <v>0</v>
      </c>
      <c r="EC51" s="230">
        <f t="shared" si="199"/>
        <v>40</v>
      </c>
      <c r="ED51" s="230">
        <f t="shared" si="200"/>
        <v>0</v>
      </c>
      <c r="EE51" s="230">
        <f t="shared" si="201"/>
        <v>0</v>
      </c>
      <c r="EF51" s="230">
        <f t="shared" si="202"/>
        <v>0</v>
      </c>
      <c r="EG51" s="230">
        <f t="shared" si="203"/>
        <v>0</v>
      </c>
      <c r="EH51" s="230">
        <f t="shared" si="204"/>
        <v>0</v>
      </c>
      <c r="EI51" s="230">
        <f t="shared" si="205"/>
        <v>0</v>
      </c>
      <c r="EJ51" s="230">
        <f t="shared" si="206"/>
        <v>0</v>
      </c>
      <c r="EK51" s="230">
        <f t="shared" si="207"/>
        <v>0</v>
      </c>
      <c r="EL51" s="230">
        <f t="shared" si="208"/>
        <v>0</v>
      </c>
      <c r="EM51" s="230">
        <f t="shared" si="209"/>
        <v>0</v>
      </c>
      <c r="EN51" s="230">
        <f t="shared" si="210"/>
        <v>0</v>
      </c>
      <c r="EO51" s="230">
        <f t="shared" si="211"/>
        <v>0</v>
      </c>
      <c r="EP51" s="230">
        <f t="shared" si="212"/>
        <v>0</v>
      </c>
      <c r="EQ51" s="230">
        <f t="shared" si="213"/>
        <v>0</v>
      </c>
      <c r="ER51" s="230">
        <f t="shared" si="214"/>
        <v>0</v>
      </c>
      <c r="ES51" s="230">
        <f t="shared" si="215"/>
        <v>0</v>
      </c>
      <c r="ET51" s="230">
        <f t="shared" si="216"/>
        <v>0</v>
      </c>
      <c r="EU51" s="230">
        <f t="shared" si="217"/>
        <v>0</v>
      </c>
      <c r="EV51" s="230">
        <f t="shared" si="218"/>
        <v>0</v>
      </c>
      <c r="EW51" s="230">
        <f t="shared" si="219"/>
        <v>0</v>
      </c>
      <c r="EX51" s="230">
        <f t="shared" si="220"/>
        <v>0</v>
      </c>
      <c r="EY51" s="230">
        <f t="shared" si="221"/>
        <v>0</v>
      </c>
      <c r="EZ51" s="230">
        <f t="shared" si="222"/>
        <v>0</v>
      </c>
      <c r="FA51" s="230">
        <f t="shared" si="223"/>
        <v>0</v>
      </c>
      <c r="FB51" s="230">
        <f t="shared" si="224"/>
        <v>0</v>
      </c>
      <c r="FC51" s="230">
        <f t="shared" si="225"/>
        <v>0</v>
      </c>
      <c r="FD51" s="230">
        <f t="shared" si="226"/>
        <v>0</v>
      </c>
      <c r="FE51" s="230">
        <f t="shared" si="227"/>
        <v>0</v>
      </c>
      <c r="FF51" s="230">
        <f t="shared" si="228"/>
        <v>0</v>
      </c>
      <c r="FG51" s="230">
        <f t="shared" si="229"/>
        <v>0</v>
      </c>
      <c r="FH51" s="230">
        <f t="shared" si="230"/>
        <v>0</v>
      </c>
      <c r="FI51" s="230">
        <f t="shared" si="231"/>
        <v>0</v>
      </c>
      <c r="FJ51" s="230">
        <f t="shared" si="232"/>
        <v>0</v>
      </c>
      <c r="FK51" s="230">
        <f t="shared" si="233"/>
        <v>0</v>
      </c>
      <c r="FL51" s="230">
        <f t="shared" si="234"/>
        <v>0</v>
      </c>
      <c r="FM51" s="230">
        <f t="shared" si="235"/>
        <v>40</v>
      </c>
      <c r="FN51" s="230">
        <f>Input!AL51</f>
        <v>2100</v>
      </c>
      <c r="FO51" s="230">
        <f>Input!BB51</f>
        <v>0</v>
      </c>
      <c r="FP51" s="230">
        <f>Input!BR51</f>
        <v>0</v>
      </c>
      <c r="FQ51" s="230" t="str">
        <f>Input!CF51</f>
      </c>
      <c r="FR51" s="230" t="str">
        <f>Input!CT51</f>
      </c>
      <c r="FS51" s="230" t="str">
        <f>Input!DH51</f>
      </c>
      <c r="FT51" s="230" t="str">
        <f>Input!AM51</f>
        <v>27m/ 27m/ 27m</v>
      </c>
      <c r="FU51" s="230">
        <f>Input!BC51</f>
        <v>0</v>
      </c>
      <c r="FV51" s="230">
        <f>Input!BS51</f>
        <v>0</v>
      </c>
      <c r="FW51" s="230" t="str">
        <f>Input!CG51</f>
      </c>
      <c r="FX51" s="230" t="str">
        <f>Input!CU51</f>
      </c>
      <c r="FY51" s="230" t="str">
        <f>Input!DI51</f>
      </c>
      <c r="FZ51" s="230" t="str">
        <f t="shared" si="236"/>
        <v>27m/ 27m/ 27m</v>
      </c>
      <c r="GA51" s="230" t="str">
        <f t="shared" si="237"/>
      </c>
      <c r="GB51" s="230" t="str">
        <f t="shared" si="238"/>
      </c>
      <c r="GC51" s="230" t="str">
        <f t="shared" si="239"/>
      </c>
      <c r="GD51" s="230" t="str">
        <f t="shared" si="240"/>
      </c>
      <c r="GE51" s="230" t="str">
        <f t="shared" si="241"/>
      </c>
      <c r="GF51" s="230">
        <f t="shared" si="242"/>
        <v>27</v>
      </c>
      <c r="GG51" s="230">
        <f t="shared" si="243"/>
        <v>27</v>
      </c>
      <c r="GH51" s="230">
        <f t="shared" si="244"/>
        <v>27</v>
      </c>
      <c r="GI51" s="230">
        <f t="shared" si="245"/>
        <v>0</v>
      </c>
      <c r="GJ51" s="230">
        <f t="shared" si="246"/>
        <v>0</v>
      </c>
      <c r="GK51" s="230">
        <f t="shared" si="247"/>
        <v>0</v>
      </c>
      <c r="GL51" s="230">
        <f t="shared" si="248"/>
        <v>0</v>
      </c>
      <c r="GM51" s="230">
        <f t="shared" si="249"/>
        <v>0</v>
      </c>
      <c r="GN51" s="230">
        <f t="shared" si="250"/>
        <v>0</v>
      </c>
      <c r="GO51" s="230">
        <f t="shared" si="251"/>
        <v>0</v>
      </c>
      <c r="GP51" s="230">
        <f t="shared" si="252"/>
        <v>0</v>
      </c>
      <c r="GQ51" s="230">
        <f t="shared" si="253"/>
        <v>0</v>
      </c>
      <c r="GR51" s="230">
        <f t="shared" si="254"/>
        <v>0</v>
      </c>
      <c r="GS51" s="230">
        <f t="shared" si="255"/>
        <v>0</v>
      </c>
      <c r="GT51" s="230">
        <f t="shared" si="256"/>
        <v>0</v>
      </c>
      <c r="GU51" s="230">
        <f t="shared" si="257"/>
        <v>0</v>
      </c>
      <c r="GV51" s="230">
        <f t="shared" si="258"/>
        <v>0</v>
      </c>
      <c r="GW51" s="230">
        <f t="shared" si="259"/>
        <v>0</v>
      </c>
      <c r="GX51" s="230">
        <f t="shared" si="260"/>
        <v>0</v>
      </c>
      <c r="GY51" s="230">
        <f t="shared" si="261"/>
        <v>0</v>
      </c>
      <c r="GZ51" s="230">
        <f t="shared" si="262"/>
        <v>0</v>
      </c>
      <c r="HA51" s="230">
        <f t="shared" si="263"/>
        <v>0</v>
      </c>
      <c r="HB51" s="230">
        <f t="shared" si="264"/>
        <v>0</v>
      </c>
      <c r="HC51" s="230">
        <f t="shared" si="265"/>
        <v>0</v>
      </c>
      <c r="HD51" s="230">
        <f t="shared" si="266"/>
        <v>0</v>
      </c>
      <c r="HE51" s="230">
        <f t="shared" si="267"/>
        <v>0</v>
      </c>
      <c r="HF51" s="230">
        <f t="shared" si="268"/>
        <v>0</v>
      </c>
      <c r="HG51" s="230">
        <f t="shared" si="269"/>
        <v>0</v>
      </c>
      <c r="HH51" s="230">
        <f t="shared" si="270"/>
        <v>0</v>
      </c>
      <c r="HI51" s="230">
        <f t="shared" si="271"/>
        <v>0</v>
      </c>
      <c r="HJ51" s="230">
        <f t="shared" si="272"/>
        <v>0</v>
      </c>
      <c r="HK51" s="230">
        <f t="shared" si="273"/>
        <v>0</v>
      </c>
      <c r="HL51" s="230">
        <f t="shared" si="274"/>
        <v>0</v>
      </c>
      <c r="HM51" s="230">
        <f t="shared" si="275"/>
        <v>0</v>
      </c>
      <c r="HN51" s="230">
        <f t="shared" si="276"/>
        <v>0</v>
      </c>
      <c r="HO51" s="230">
        <f t="shared" si="277"/>
        <v>0</v>
      </c>
      <c r="HP51" s="230" t="str">
        <f>INDEX(LabNameList,MATCH(LabId,LabIDList,0))</f>
        <v>Trung tâm Kiểm định và Chứng nhận 2</v>
      </c>
      <c r="HQ51" s="230">
        <f t="shared" si="278"/>
        <v>27</v>
      </c>
      <c r="HR51" s="230">
        <f t="shared" si="279"/>
        <v>0</v>
      </c>
      <c r="HS51" s="230">
        <f t="shared" si="280"/>
        <v>0</v>
      </c>
      <c r="HT51" s="230">
        <f t="shared" si="281"/>
        <v>0</v>
      </c>
      <c r="HU51" s="230">
        <f t="shared" si="282"/>
        <v>0</v>
      </c>
      <c r="HV51" s="230">
        <f t="shared" si="283"/>
        <v>0</v>
      </c>
      <c r="HW51" s="797">
        <f t="shared" si="284"/>
        <v>27</v>
      </c>
      <c r="HX51" s="797">
        <f>Input!EB51</f>
        <v>0</v>
      </c>
      <c r="HY51" s="230">
        <v>68</v>
      </c>
      <c r="HZ51" s="230"/>
      <c r="IA51" s="230"/>
      <c r="IB51" s="230"/>
      <c r="IC51" s="232" t="str">
        <f t="shared" si="285"/>
        <v>B02002230916TG05</v>
      </c>
      <c r="ID51" s="233" t="str">
        <f>Input!O51</f>
        <v>02002</v>
      </c>
      <c r="IE51" s="467" t="str">
        <f t="shared" si="286"/>
        <v>230916</v>
      </c>
      <c r="IF51" s="232" t="s">
        <v>364</v>
      </c>
      <c r="IG51" s="467" t="str">
        <f t="shared" si="287"/>
        <v>23/09/2016</v>
      </c>
      <c r="IH51" s="467" t="str">
        <f t="shared" si="288"/>
        <v>23/09/2021</v>
      </c>
      <c r="II51" s="546" t="str">
        <f> Input!R51</f>
        <v>23/09/2016</v>
      </c>
      <c r="IJ51" s="467">
        <f t="shared" si="289"/>
        <v>44462</v>
      </c>
      <c r="IK51" s="468">
        <f t="shared" si="290"/>
        <v>3</v>
      </c>
      <c r="IL51" s="469" t="str">
        <f t="shared" si="291"/>
        <v>3-1</v>
      </c>
      <c r="IM51" s="469" t="str">
        <f t="shared" si="292"/>
        <v>KHAC</v>
      </c>
      <c r="IN51" s="469" t="str">
        <f t="shared" si="293"/>
        <v>KHAC</v>
      </c>
      <c r="IO51" s="469" t="str">
        <f t="shared" si="294"/>
      </c>
      <c r="IP51" s="469" t="str">
        <f t="shared" si="295"/>
      </c>
      <c r="IQ51" s="469" t="str">
        <f t="shared" si="296"/>
      </c>
      <c r="IR51" s="469">
        <f t="shared" si="297"/>
        <v>1</v>
      </c>
      <c r="IS51" s="469">
        <f t="shared" si="298"/>
        <v>2</v>
      </c>
      <c r="IT51" s="469" t="str">
        <f t="shared" si="299"/>
        <v>Yes</v>
      </c>
      <c r="IU51" s="469" t="str">
        <f t="shared" si="300"/>
        <v>Yes</v>
      </c>
    </row>
    <row r="52" ht="63.75">
      <c r="A52" s="601">
        <f>Input!A52</f>
        <v>51</v>
      </c>
      <c r="B52" s="229" t="str">
        <f>INDEX(ApplicantIDList,MATCH(AI52,ApplicantNameList,0))</f>
        <v>VIETTEL-2016</v>
      </c>
      <c r="C52" s="229" t="str">
        <f>INDEX(OperatorIDList,MATCH(AJ52,OperatorNameList,0))</f>
        <v>VIETTEL-2016</v>
      </c>
      <c r="D52" s="797" t="str">
        <f>Input!Y52</f>
        <v>HCM1673</v>
      </c>
      <c r="E52" s="229" t="str">
        <f>Input!G52</f>
        <v>Số 365/18, đường Hậu Giang, phường 11, quận 6, thành phố Hồ Chí Minh.</v>
      </c>
      <c r="F52" s="229" t="str">
        <f>TRIM(SUBSTITUTE(SUBSTITUTE(Input!H52,"Thành phố ",""),"Tỉnh ",""))</f>
        <v>Hồ Chí Minh</v>
      </c>
      <c r="G52" s="797" t="str">
        <f>Input!I52</f>
        <v>106,639398</v>
      </c>
      <c r="H52" s="797" t="str">
        <f>Input!J52</f>
        <v>10,748184</v>
      </c>
      <c r="I52" s="229">
        <f>Input!V52</f>
        <v>1</v>
      </c>
      <c r="J52" s="229" t="str">
        <f>Input!K52</f>
        <v>1502431/16/TG/TT2</v>
      </c>
      <c r="K52" s="231" t="str">
        <f>TEXT(Input!L52,"dd/mm/yyyy")</f>
        <v>23/09/2016</v>
      </c>
      <c r="L52" s="231" t="str">
        <f>TEXT(Input!M52,"dd/mm/yyyy")</f>
        <v>21/09/2016</v>
      </c>
      <c r="M52" s="229" t="str">
        <f t="shared" si="135"/>
        <v>TỔNG CÔNG TY MẠNG LƯỚI VIETTEL</v>
      </c>
      <c r="N52" s="229" t="str">
        <f t="shared" si="136"/>
        <v>HCM1673</v>
      </c>
      <c r="O52" s="229" t="str">
        <f t="shared" si="137"/>
        <v>HUAWEI DBS3900</v>
      </c>
      <c r="P52" s="229" t="str">
        <f t="shared" si="138"/>
        <v>3</v>
      </c>
      <c r="Q52" s="229" t="str">
        <f t="shared" si="139"/>
        <v>2/2/2</v>
      </c>
      <c r="R52" s="229" t="str">
        <f t="shared" si="140"/>
        <v>40W/ 40W/ 40W</v>
      </c>
      <c r="S52" s="229" t="str">
        <f t="shared" si="141"/>
        <v>2100</v>
      </c>
      <c r="T52" s="229" t="str">
        <f t="shared" si="142"/>
        <v>27m/ 27m/ 27m</v>
      </c>
      <c r="U52" s="229">
        <v>1</v>
      </c>
      <c r="V52" s="229"/>
      <c r="W52" s="229" t="b">
        <f t="shared" si="143"/>
        <v>0</v>
      </c>
      <c r="X52" s="229" t="b">
        <f>INDEX(TrueFalseList,_xlfn.IFNA(MATCH(Input!W52,CoKhongList,0),MATCH(Input!W52,YesNoList,0)))</f>
        <v>0</v>
      </c>
      <c r="Y52" s="797">
        <f>Input!FZ52</f>
        <v>0</v>
      </c>
      <c r="Z52" s="229" t="b">
        <v>1</v>
      </c>
      <c r="AA52" s="797">
        <f t="shared" si="144"/>
        <v>27</v>
      </c>
      <c r="AB52" s="229" t="b">
        <v>0</v>
      </c>
      <c r="AC52" s="229" t="b">
        <v>1</v>
      </c>
      <c r="AD52" s="229">
        <f>Input!DR52</f>
        <v>0</v>
      </c>
      <c r="AE52" s="229"/>
      <c r="AF52" s="229" t="str">
        <f>Options!$D$6</f>
        <v>VCC2</v>
      </c>
      <c r="AG52" s="229">
        <f t="shared" si="145"/>
        <v>0</v>
      </c>
      <c r="AH52" s="230"/>
      <c r="AI52" s="553" t="str">
        <f>Input!E52</f>
        <v>TỔNG CÔNG TY MẠNG LƯỚI VIETTEL</v>
      </c>
      <c r="AJ52" s="553" t="str">
        <f>Input!F52</f>
        <v>TỔNG CÔNG TY MẠNG LƯỚI VIETTEL</v>
      </c>
      <c r="AK52" s="229">
        <f t="shared" si="146"/>
        <v>4</v>
      </c>
      <c r="AL52" s="465" t="str">
        <f t="shared" si="147"/>
        <v>thành phố Hồ Chí Minh.</v>
      </c>
      <c r="AM52" s="465" t="str">
        <f t="shared" si="148"/>
        <v>quận 6</v>
      </c>
      <c r="AN52" s="465" t="str">
        <f t="shared" si="149"/>
        <v>phường 11</v>
      </c>
      <c r="AO52" s="229" t="str">
        <f>INDEX(CityIDList,MATCH(F52,CityNameList,0))</f>
        <v>HCM</v>
      </c>
      <c r="AP52" s="230" t="str">
        <f>Input!X52</f>
        <v>TỔNG CÔNG TY MẠNG LƯỚI VIETTEL</v>
      </c>
      <c r="AQ52" s="230">
        <f>Input!AN52</f>
        <v>0</v>
      </c>
      <c r="AR52" s="230">
        <f>Input!BD52</f>
        <v>0</v>
      </c>
      <c r="AS52" s="230" t="str">
        <f>Input!BT52</f>
      </c>
      <c r="AT52" s="230" t="str">
        <f>Input!CH52</f>
      </c>
      <c r="AU52" s="230" t="str">
        <f>Input!CV52</f>
      </c>
      <c r="AV52" s="230" t="str">
        <f>IF(I52&gt;=1,INDEX(OperatorIDList,MATCH(AP52,OperatorNameList,0)),"")</f>
        <v>VIETTEL-2016</v>
      </c>
      <c r="AW52" s="230" t="str">
        <f>IF(I52&gt;=2,INDEX(OperatorIDList,MATCH(AQ52,OperatorNameList,0)),"")</f>
      </c>
      <c r="AX52" s="230" t="str">
        <f>IF(I52&gt;=3,INDEX(OperatorIDList,MATCH(AR52,OperatorNameList,0)),"")</f>
      </c>
      <c r="AY52" s="230" t="str">
        <f>IF(I52&gt;=4,INDEX(OperatorIDList,MATCH(AS52,OperatorNameList,0)),"")</f>
      </c>
      <c r="AZ52" s="230" t="str">
        <f>IF(I52&gt;=5,INDEX(OperatorIDList,MATCH(AT52,OperatorNameList,0)),"")</f>
      </c>
      <c r="BA52" s="230" t="str">
        <f>IF(I52&gt;=6,INDEX(OperatorIDList,MATCH(AU52,OperatorNameList,0)),"")</f>
      </c>
      <c r="BB52" s="230" t="str">
        <f t="shared" si="150"/>
        <v>VIETTEL-2016</v>
      </c>
      <c r="BC52" s="230" t="str">
        <f>Input!Y52</f>
        <v>HCM1673</v>
      </c>
      <c r="BD52" s="230">
        <f>Input!AO52</f>
        <v>0</v>
      </c>
      <c r="BE52" s="230">
        <f>Input!BE52</f>
        <v>0</v>
      </c>
      <c r="BF52" s="230" t="str">
        <f>Input!BU52</f>
      </c>
      <c r="BG52" s="230" t="str">
        <f>Input!CI52</f>
      </c>
      <c r="BH52" s="230" t="str">
        <f>Input!CW52</f>
      </c>
      <c r="BI52" s="230" t="str">
        <f>Input!Z52</f>
        <v>HUAWEI DBS3900</v>
      </c>
      <c r="BJ52" s="230">
        <f>Input!AP52</f>
        <v>0</v>
      </c>
      <c r="BK52" s="230">
        <f>Input!BF52</f>
        <v>0</v>
      </c>
      <c r="BL52" s="230" t="str">
        <f>Input!BV52</f>
      </c>
      <c r="BM52" s="230" t="str">
        <f>Input!CJ52</f>
      </c>
      <c r="BN52" s="230" t="str">
        <f>Input!CX52</f>
      </c>
      <c r="BO52" s="553">
        <f>IF(ISNUMBER(Input!AA52),Input!AA52,0)</f>
        <v>3</v>
      </c>
      <c r="BP52" s="553">
        <f>IF(ISNUMBER(Input!AQ52),Input!AQ52,0)</f>
        <v>0</v>
      </c>
      <c r="BQ52" s="553">
        <f>IF(ISNUMBER(Input!BG52),Input!BG52,0)</f>
        <v>0</v>
      </c>
      <c r="BR52" s="553">
        <f>IF(ISNUMBER(Input!BW52),Input!BW52,0)</f>
        <v>0</v>
      </c>
      <c r="BS52" s="553">
        <f>IF(ISNUMBER(Input!CK52),Input!CK52,0)</f>
        <v>0</v>
      </c>
      <c r="BT52" s="554">
        <f>IF(ISNUMBER(Input!CY52),Input!CY52,0)</f>
        <v>0</v>
      </c>
      <c r="BU52" s="230" t="str">
        <f>Input!AF52</f>
        <v>2/2/2</v>
      </c>
      <c r="BV52" s="230" t="str">
        <f>Input!AV52</f>
      </c>
      <c r="BW52" s="230" t="str">
        <f>Input!BL52</f>
      </c>
      <c r="BX52" s="230" t="str">
        <f>Input!CA52</f>
      </c>
      <c r="BY52" s="230" t="str">
        <f>Input!CO52</f>
      </c>
      <c r="BZ52" s="230" t="str">
        <f>Input!DC52</f>
      </c>
      <c r="CA52" s="230">
        <f t="shared" si="151"/>
        <v>2</v>
      </c>
      <c r="CB52" s="230">
        <f t="shared" si="152"/>
        <v>2</v>
      </c>
      <c r="CC52" s="230">
        <f t="shared" si="153"/>
        <v>2</v>
      </c>
      <c r="CD52" s="230">
        <f t="shared" si="154"/>
        <v>0</v>
      </c>
      <c r="CE52" s="230">
        <f t="shared" si="155"/>
        <v>0</v>
      </c>
      <c r="CF52" s="230">
        <f t="shared" si="156"/>
        <v>0</v>
      </c>
      <c r="CG52" s="230">
        <f t="shared" si="157"/>
        <v>0</v>
      </c>
      <c r="CH52" s="230">
        <f t="shared" si="158"/>
        <v>0</v>
      </c>
      <c r="CI52" s="230">
        <f t="shared" si="159"/>
        <v>0</v>
      </c>
      <c r="CJ52" s="230">
        <f t="shared" si="160"/>
        <v>0</v>
      </c>
      <c r="CK52" s="230">
        <f t="shared" si="161"/>
        <v>0</v>
      </c>
      <c r="CL52" s="230">
        <f t="shared" si="162"/>
        <v>0</v>
      </c>
      <c r="CM52" s="230">
        <f t="shared" si="163"/>
        <v>0</v>
      </c>
      <c r="CN52" s="230">
        <f t="shared" si="164"/>
        <v>0</v>
      </c>
      <c r="CO52" s="230">
        <f t="shared" si="165"/>
        <v>0</v>
      </c>
      <c r="CP52" s="230">
        <f t="shared" si="166"/>
        <v>0</v>
      </c>
      <c r="CQ52" s="230">
        <f t="shared" si="167"/>
        <v>0</v>
      </c>
      <c r="CR52" s="230">
        <f t="shared" si="168"/>
        <v>0</v>
      </c>
      <c r="CS52" s="230">
        <f t="shared" si="169"/>
        <v>0</v>
      </c>
      <c r="CT52" s="230">
        <f t="shared" si="170"/>
        <v>0</v>
      </c>
      <c r="CU52" s="230">
        <f t="shared" si="171"/>
        <v>0</v>
      </c>
      <c r="CV52" s="230">
        <f t="shared" si="172"/>
        <v>0</v>
      </c>
      <c r="CW52" s="230">
        <f t="shared" si="173"/>
        <v>0</v>
      </c>
      <c r="CX52" s="230">
        <f t="shared" si="174"/>
        <v>0</v>
      </c>
      <c r="CY52" s="230">
        <f t="shared" si="175"/>
        <v>0</v>
      </c>
      <c r="CZ52" s="230">
        <f t="shared" si="176"/>
        <v>0</v>
      </c>
      <c r="DA52" s="230">
        <f t="shared" si="177"/>
        <v>0</v>
      </c>
      <c r="DB52" s="230">
        <f t="shared" si="178"/>
        <v>0</v>
      </c>
      <c r="DC52" s="230">
        <f t="shared" si="179"/>
        <v>0</v>
      </c>
      <c r="DD52" s="230">
        <f t="shared" si="180"/>
        <v>0</v>
      </c>
      <c r="DE52" s="230">
        <f t="shared" si="181"/>
        <v>0</v>
      </c>
      <c r="DF52" s="230">
        <f t="shared" si="182"/>
        <v>0</v>
      </c>
      <c r="DG52" s="230">
        <f t="shared" si="183"/>
        <v>0</v>
      </c>
      <c r="DH52" s="230">
        <f t="shared" si="184"/>
        <v>0</v>
      </c>
      <c r="DI52" s="230">
        <f t="shared" si="185"/>
        <v>0</v>
      </c>
      <c r="DJ52" s="230">
        <f t="shared" si="186"/>
        <v>0</v>
      </c>
      <c r="DK52" s="230" t="str">
        <f>Input!AK52</f>
        <v>40,00W/40,00W/40,00W</v>
      </c>
      <c r="DL52" s="230" t="str">
        <f>Input!BA52</f>
      </c>
      <c r="DM52" s="230" t="str">
        <f>Input!BQ52</f>
      </c>
      <c r="DN52" s="230" t="str">
        <f>Input!CE52</f>
      </c>
      <c r="DO52" s="230" t="str">
        <f>Input!CS52</f>
      </c>
      <c r="DP52" s="230" t="str">
        <f>Input!DG52</f>
      </c>
      <c r="DQ52" s="230" t="str">
        <f t="shared" si="187"/>
        <v>40W/ 40W/ 40W</v>
      </c>
      <c r="DR52" s="230" t="str">
        <f t="shared" si="188"/>
      </c>
      <c r="DS52" s="230" t="str">
        <f t="shared" si="189"/>
      </c>
      <c r="DT52" s="230" t="str">
        <f t="shared" si="190"/>
      </c>
      <c r="DU52" s="230" t="str">
        <f t="shared" si="191"/>
      </c>
      <c r="DV52" s="230" t="str">
        <f t="shared" si="192"/>
      </c>
      <c r="DW52" s="230">
        <f t="shared" si="193"/>
        <v>40</v>
      </c>
      <c r="DX52" s="230">
        <f t="shared" si="194"/>
        <v>40</v>
      </c>
      <c r="DY52" s="230">
        <f t="shared" si="195"/>
        <v>40</v>
      </c>
      <c r="DZ52" s="230">
        <f t="shared" si="196"/>
        <v>0</v>
      </c>
      <c r="EA52" s="230">
        <f t="shared" si="197"/>
        <v>0</v>
      </c>
      <c r="EB52" s="230">
        <f t="shared" si="198"/>
        <v>0</v>
      </c>
      <c r="EC52" s="230">
        <f t="shared" si="199"/>
        <v>40</v>
      </c>
      <c r="ED52" s="230">
        <f t="shared" si="200"/>
        <v>0</v>
      </c>
      <c r="EE52" s="230">
        <f t="shared" si="201"/>
        <v>0</v>
      </c>
      <c r="EF52" s="230">
        <f t="shared" si="202"/>
        <v>0</v>
      </c>
      <c r="EG52" s="230">
        <f t="shared" si="203"/>
        <v>0</v>
      </c>
      <c r="EH52" s="230">
        <f t="shared" si="204"/>
        <v>0</v>
      </c>
      <c r="EI52" s="230">
        <f t="shared" si="205"/>
        <v>0</v>
      </c>
      <c r="EJ52" s="230">
        <f t="shared" si="206"/>
        <v>0</v>
      </c>
      <c r="EK52" s="230">
        <f t="shared" si="207"/>
        <v>0</v>
      </c>
      <c r="EL52" s="230">
        <f t="shared" si="208"/>
        <v>0</v>
      </c>
      <c r="EM52" s="230">
        <f t="shared" si="209"/>
        <v>0</v>
      </c>
      <c r="EN52" s="230">
        <f t="shared" si="210"/>
        <v>0</v>
      </c>
      <c r="EO52" s="230">
        <f t="shared" si="211"/>
        <v>0</v>
      </c>
      <c r="EP52" s="230">
        <f t="shared" si="212"/>
        <v>0</v>
      </c>
      <c r="EQ52" s="230">
        <f t="shared" si="213"/>
        <v>0</v>
      </c>
      <c r="ER52" s="230">
        <f t="shared" si="214"/>
        <v>0</v>
      </c>
      <c r="ES52" s="230">
        <f t="shared" si="215"/>
        <v>0</v>
      </c>
      <c r="ET52" s="230">
        <f t="shared" si="216"/>
        <v>0</v>
      </c>
      <c r="EU52" s="230">
        <f t="shared" si="217"/>
        <v>0</v>
      </c>
      <c r="EV52" s="230">
        <f t="shared" si="218"/>
        <v>0</v>
      </c>
      <c r="EW52" s="230">
        <f t="shared" si="219"/>
        <v>0</v>
      </c>
      <c r="EX52" s="230">
        <f t="shared" si="220"/>
        <v>0</v>
      </c>
      <c r="EY52" s="230">
        <f t="shared" si="221"/>
        <v>0</v>
      </c>
      <c r="EZ52" s="230">
        <f t="shared" si="222"/>
        <v>0</v>
      </c>
      <c r="FA52" s="230">
        <f t="shared" si="223"/>
        <v>0</v>
      </c>
      <c r="FB52" s="230">
        <f t="shared" si="224"/>
        <v>0</v>
      </c>
      <c r="FC52" s="230">
        <f t="shared" si="225"/>
        <v>0</v>
      </c>
      <c r="FD52" s="230">
        <f t="shared" si="226"/>
        <v>0</v>
      </c>
      <c r="FE52" s="230">
        <f t="shared" si="227"/>
        <v>0</v>
      </c>
      <c r="FF52" s="230">
        <f t="shared" si="228"/>
        <v>0</v>
      </c>
      <c r="FG52" s="230">
        <f t="shared" si="229"/>
        <v>0</v>
      </c>
      <c r="FH52" s="230">
        <f t="shared" si="230"/>
        <v>0</v>
      </c>
      <c r="FI52" s="230">
        <f t="shared" si="231"/>
        <v>0</v>
      </c>
      <c r="FJ52" s="230">
        <f t="shared" si="232"/>
        <v>0</v>
      </c>
      <c r="FK52" s="230">
        <f t="shared" si="233"/>
        <v>0</v>
      </c>
      <c r="FL52" s="230">
        <f t="shared" si="234"/>
        <v>0</v>
      </c>
      <c r="FM52" s="230">
        <f t="shared" si="235"/>
        <v>40</v>
      </c>
      <c r="FN52" s="230">
        <f>Input!AL52</f>
        <v>2100</v>
      </c>
      <c r="FO52" s="230">
        <f>Input!BB52</f>
        <v>0</v>
      </c>
      <c r="FP52" s="230">
        <f>Input!BR52</f>
        <v>0</v>
      </c>
      <c r="FQ52" s="230" t="str">
        <f>Input!CF52</f>
      </c>
      <c r="FR52" s="230" t="str">
        <f>Input!CT52</f>
      </c>
      <c r="FS52" s="230" t="str">
        <f>Input!DH52</f>
      </c>
      <c r="FT52" s="230" t="str">
        <f>Input!AM52</f>
        <v>27m/ 27m/ 27m</v>
      </c>
      <c r="FU52" s="230">
        <f>Input!BC52</f>
        <v>0</v>
      </c>
      <c r="FV52" s="230">
        <f>Input!BS52</f>
        <v>0</v>
      </c>
      <c r="FW52" s="230" t="str">
        <f>Input!CG52</f>
      </c>
      <c r="FX52" s="230" t="str">
        <f>Input!CU52</f>
      </c>
      <c r="FY52" s="230" t="str">
        <f>Input!DI52</f>
      </c>
      <c r="FZ52" s="230" t="str">
        <f t="shared" si="236"/>
        <v>27m/ 27m/ 27m</v>
      </c>
      <c r="GA52" s="230" t="str">
        <f t="shared" si="237"/>
      </c>
      <c r="GB52" s="230" t="str">
        <f t="shared" si="238"/>
      </c>
      <c r="GC52" s="230" t="str">
        <f t="shared" si="239"/>
      </c>
      <c r="GD52" s="230" t="str">
        <f t="shared" si="240"/>
      </c>
      <c r="GE52" s="230" t="str">
        <f t="shared" si="241"/>
      </c>
      <c r="GF52" s="230">
        <f t="shared" si="242"/>
        <v>27</v>
      </c>
      <c r="GG52" s="230">
        <f t="shared" si="243"/>
        <v>27</v>
      </c>
      <c r="GH52" s="230">
        <f t="shared" si="244"/>
        <v>27</v>
      </c>
      <c r="GI52" s="230">
        <f t="shared" si="245"/>
        <v>0</v>
      </c>
      <c r="GJ52" s="230">
        <f t="shared" si="246"/>
        <v>0</v>
      </c>
      <c r="GK52" s="230">
        <f t="shared" si="247"/>
        <v>0</v>
      </c>
      <c r="GL52" s="230">
        <f t="shared" si="248"/>
        <v>0</v>
      </c>
      <c r="GM52" s="230">
        <f t="shared" si="249"/>
        <v>0</v>
      </c>
      <c r="GN52" s="230">
        <f t="shared" si="250"/>
        <v>0</v>
      </c>
      <c r="GO52" s="230">
        <f t="shared" si="251"/>
        <v>0</v>
      </c>
      <c r="GP52" s="230">
        <f t="shared" si="252"/>
        <v>0</v>
      </c>
      <c r="GQ52" s="230">
        <f t="shared" si="253"/>
        <v>0</v>
      </c>
      <c r="GR52" s="230">
        <f t="shared" si="254"/>
        <v>0</v>
      </c>
      <c r="GS52" s="230">
        <f t="shared" si="255"/>
        <v>0</v>
      </c>
      <c r="GT52" s="230">
        <f t="shared" si="256"/>
        <v>0</v>
      </c>
      <c r="GU52" s="230">
        <f t="shared" si="257"/>
        <v>0</v>
      </c>
      <c r="GV52" s="230">
        <f t="shared" si="258"/>
        <v>0</v>
      </c>
      <c r="GW52" s="230">
        <f t="shared" si="259"/>
        <v>0</v>
      </c>
      <c r="GX52" s="230">
        <f t="shared" si="260"/>
        <v>0</v>
      </c>
      <c r="GY52" s="230">
        <f t="shared" si="261"/>
        <v>0</v>
      </c>
      <c r="GZ52" s="230">
        <f t="shared" si="262"/>
        <v>0</v>
      </c>
      <c r="HA52" s="230">
        <f t="shared" si="263"/>
        <v>0</v>
      </c>
      <c r="HB52" s="230">
        <f t="shared" si="264"/>
        <v>0</v>
      </c>
      <c r="HC52" s="230">
        <f t="shared" si="265"/>
        <v>0</v>
      </c>
      <c r="HD52" s="230">
        <f t="shared" si="266"/>
        <v>0</v>
      </c>
      <c r="HE52" s="230">
        <f t="shared" si="267"/>
        <v>0</v>
      </c>
      <c r="HF52" s="230">
        <f t="shared" si="268"/>
        <v>0</v>
      </c>
      <c r="HG52" s="230">
        <f t="shared" si="269"/>
        <v>0</v>
      </c>
      <c r="HH52" s="230">
        <f t="shared" si="270"/>
        <v>0</v>
      </c>
      <c r="HI52" s="230">
        <f t="shared" si="271"/>
        <v>0</v>
      </c>
      <c r="HJ52" s="230">
        <f t="shared" si="272"/>
        <v>0</v>
      </c>
      <c r="HK52" s="230">
        <f t="shared" si="273"/>
        <v>0</v>
      </c>
      <c r="HL52" s="230">
        <f t="shared" si="274"/>
        <v>0</v>
      </c>
      <c r="HM52" s="230">
        <f t="shared" si="275"/>
        <v>0</v>
      </c>
      <c r="HN52" s="230">
        <f t="shared" si="276"/>
        <v>0</v>
      </c>
      <c r="HO52" s="230">
        <f t="shared" si="277"/>
        <v>0</v>
      </c>
      <c r="HP52" s="230" t="str">
        <f>INDEX(LabNameList,MATCH(LabId,LabIDList,0))</f>
        <v>Trung tâm Kiểm định và Chứng nhận 2</v>
      </c>
      <c r="HQ52" s="230">
        <f t="shared" si="278"/>
        <v>27</v>
      </c>
      <c r="HR52" s="230">
        <f t="shared" si="279"/>
        <v>0</v>
      </c>
      <c r="HS52" s="230">
        <f t="shared" si="280"/>
        <v>0</v>
      </c>
      <c r="HT52" s="230">
        <f t="shared" si="281"/>
        <v>0</v>
      </c>
      <c r="HU52" s="230">
        <f t="shared" si="282"/>
        <v>0</v>
      </c>
      <c r="HV52" s="230">
        <f t="shared" si="283"/>
        <v>0</v>
      </c>
      <c r="HW52" s="797">
        <f t="shared" si="284"/>
        <v>27</v>
      </c>
      <c r="HX52" s="797">
        <f>Input!EB52</f>
        <v>0</v>
      </c>
      <c r="HY52" s="230">
        <v>68</v>
      </c>
      <c r="HZ52" s="230"/>
      <c r="IA52" s="230"/>
      <c r="IB52" s="230"/>
      <c r="IC52" s="232" t="str">
        <f t="shared" si="285"/>
        <v>B02003230916TG05</v>
      </c>
      <c r="ID52" s="233" t="str">
        <f>Input!O52</f>
        <v>02003</v>
      </c>
      <c r="IE52" s="467" t="str">
        <f t="shared" si="286"/>
        <v>230916</v>
      </c>
      <c r="IF52" s="232" t="s">
        <v>364</v>
      </c>
      <c r="IG52" s="467" t="str">
        <f t="shared" si="287"/>
        <v>23/09/2016</v>
      </c>
      <c r="IH52" s="467" t="str">
        <f t="shared" si="288"/>
        <v>23/09/2021</v>
      </c>
      <c r="II52" s="546" t="str">
        <f> Input!R52</f>
        <v>23/09/2016</v>
      </c>
      <c r="IJ52" s="467">
        <f t="shared" si="289"/>
        <v>44462</v>
      </c>
      <c r="IK52" s="468">
        <f t="shared" si="290"/>
        <v>3</v>
      </c>
      <c r="IL52" s="469" t="str">
        <f t="shared" si="291"/>
        <v>3-1</v>
      </c>
      <c r="IM52" s="469" t="str">
        <f t="shared" si="292"/>
        <v>KHAC</v>
      </c>
      <c r="IN52" s="469" t="str">
        <f t="shared" si="293"/>
        <v>KHAC</v>
      </c>
      <c r="IO52" s="469" t="str">
        <f t="shared" si="294"/>
      </c>
      <c r="IP52" s="469" t="str">
        <f t="shared" si="295"/>
      </c>
      <c r="IQ52" s="469" t="str">
        <f t="shared" si="296"/>
      </c>
      <c r="IR52" s="469">
        <f t="shared" si="297"/>
        <v>1</v>
      </c>
      <c r="IS52" s="469">
        <f t="shared" si="298"/>
        <v>2</v>
      </c>
      <c r="IT52" s="469" t="str">
        <f t="shared" si="299"/>
        <v>Yes</v>
      </c>
      <c r="IU52" s="469" t="str">
        <f t="shared" si="300"/>
        <v>Yes</v>
      </c>
    </row>
    <row r="53" ht="63.75">
      <c r="A53" s="601">
        <f>Input!A53</f>
        <v>52</v>
      </c>
      <c r="B53" s="229" t="str">
        <f>INDEX(ApplicantIDList,MATCH(AI53,ApplicantNameList,0))</f>
        <v>VIETTEL-2016</v>
      </c>
      <c r="C53" s="229" t="str">
        <f>INDEX(OperatorIDList,MATCH(AJ53,OperatorNameList,0))</f>
        <v>VIETTEL-2016</v>
      </c>
      <c r="D53" s="797" t="str">
        <f>Input!Y53</f>
        <v>HCM1783</v>
      </c>
      <c r="E53" s="229" t="str">
        <f>Input!G53</f>
        <v>Số 615, đường Phạm Văn Chí, phường 8, quận 6, thành phố Hồ Chí Minh.</v>
      </c>
      <c r="F53" s="229" t="str">
        <f>TRIM(SUBSTITUTE(SUBSTITUTE(Input!H53,"Thành phố ",""),"Tỉnh ",""))</f>
        <v>Hồ Chí Minh</v>
      </c>
      <c r="G53" s="797" t="str">
        <f>Input!I53</f>
        <v>106,63966</v>
      </c>
      <c r="H53" s="797" t="str">
        <f>Input!J53</f>
        <v>10,74069</v>
      </c>
      <c r="I53" s="229">
        <f>Input!V53</f>
        <v>1</v>
      </c>
      <c r="J53" s="229" t="str">
        <f>Input!K53</f>
        <v>1502432/16/TG/TT2</v>
      </c>
      <c r="K53" s="231" t="str">
        <f>TEXT(Input!L53,"dd/mm/yyyy")</f>
        <v>23/09/2016</v>
      </c>
      <c r="L53" s="231" t="str">
        <f>TEXT(Input!M53,"dd/mm/yyyy")</f>
        <v>21/09/2016</v>
      </c>
      <c r="M53" s="229" t="str">
        <f t="shared" si="135"/>
        <v>TỔNG CÔNG TY MẠNG LƯỚI VIETTEL</v>
      </c>
      <c r="N53" s="229" t="str">
        <f t="shared" si="136"/>
        <v>HCM1783</v>
      </c>
      <c r="O53" s="229" t="str">
        <f t="shared" si="137"/>
        <v>HUAWEI DBS3900</v>
      </c>
      <c r="P53" s="229" t="str">
        <f t="shared" si="138"/>
        <v>3</v>
      </c>
      <c r="Q53" s="229" t="str">
        <f t="shared" si="139"/>
        <v>2/2/2</v>
      </c>
      <c r="R53" s="229" t="str">
        <f t="shared" si="140"/>
        <v>40W/ 40W/ 40W</v>
      </c>
      <c r="S53" s="229" t="str">
        <f t="shared" si="141"/>
        <v>2100</v>
      </c>
      <c r="T53" s="229" t="str">
        <f t="shared" si="142"/>
        <v>27m/ 27m/ 27m</v>
      </c>
      <c r="U53" s="229">
        <v>1</v>
      </c>
      <c r="V53" s="229"/>
      <c r="W53" s="229" t="b">
        <f t="shared" si="143"/>
        <v>0</v>
      </c>
      <c r="X53" s="229" t="b">
        <f>INDEX(TrueFalseList,_xlfn.IFNA(MATCH(Input!W53,CoKhongList,0),MATCH(Input!W53,YesNoList,0)))</f>
        <v>0</v>
      </c>
      <c r="Y53" s="797">
        <f>Input!FZ53</f>
        <v>0</v>
      </c>
      <c r="Z53" s="229" t="b">
        <v>1</v>
      </c>
      <c r="AA53" s="797">
        <f t="shared" si="144"/>
        <v>27</v>
      </c>
      <c r="AB53" s="229" t="b">
        <v>0</v>
      </c>
      <c r="AC53" s="229" t="b">
        <v>1</v>
      </c>
      <c r="AD53" s="229">
        <f>Input!DR53</f>
        <v>0</v>
      </c>
      <c r="AE53" s="229"/>
      <c r="AF53" s="229" t="str">
        <f>Options!$D$6</f>
        <v>VCC2</v>
      </c>
      <c r="AG53" s="229">
        <f t="shared" si="145"/>
        <v>0</v>
      </c>
      <c r="AH53" s="230"/>
      <c r="AI53" s="553" t="str">
        <f>Input!E53</f>
        <v>TỔNG CÔNG TY MẠNG LƯỚI VIETTEL</v>
      </c>
      <c r="AJ53" s="553" t="str">
        <f>Input!F53</f>
        <v>TỔNG CÔNG TY MẠNG LƯỚI VIETTEL</v>
      </c>
      <c r="AK53" s="229">
        <f t="shared" si="146"/>
        <v>4</v>
      </c>
      <c r="AL53" s="465" t="str">
        <f t="shared" si="147"/>
        <v>thành phố Hồ Chí Minh.</v>
      </c>
      <c r="AM53" s="465" t="str">
        <f t="shared" si="148"/>
        <v>quận 6</v>
      </c>
      <c r="AN53" s="465" t="str">
        <f t="shared" si="149"/>
        <v>phường 8</v>
      </c>
      <c r="AO53" s="229" t="str">
        <f>INDEX(CityIDList,MATCH(F53,CityNameList,0))</f>
        <v>HCM</v>
      </c>
      <c r="AP53" s="230" t="str">
        <f>Input!X53</f>
        <v>TỔNG CÔNG TY MẠNG LƯỚI VIETTEL</v>
      </c>
      <c r="AQ53" s="230">
        <f>Input!AN53</f>
        <v>0</v>
      </c>
      <c r="AR53" s="230">
        <f>Input!BD53</f>
        <v>0</v>
      </c>
      <c r="AS53" s="230" t="str">
        <f>Input!BT53</f>
      </c>
      <c r="AT53" s="230" t="str">
        <f>Input!CH53</f>
      </c>
      <c r="AU53" s="230" t="str">
        <f>Input!CV53</f>
      </c>
      <c r="AV53" s="230" t="str">
        <f>IF(I53&gt;=1,INDEX(OperatorIDList,MATCH(AP53,OperatorNameList,0)),"")</f>
        <v>VIETTEL-2016</v>
      </c>
      <c r="AW53" s="230" t="str">
        <f>IF(I53&gt;=2,INDEX(OperatorIDList,MATCH(AQ53,OperatorNameList,0)),"")</f>
      </c>
      <c r="AX53" s="230" t="str">
        <f>IF(I53&gt;=3,INDEX(OperatorIDList,MATCH(AR53,OperatorNameList,0)),"")</f>
      </c>
      <c r="AY53" s="230" t="str">
        <f>IF(I53&gt;=4,INDEX(OperatorIDList,MATCH(AS53,OperatorNameList,0)),"")</f>
      </c>
      <c r="AZ53" s="230" t="str">
        <f>IF(I53&gt;=5,INDEX(OperatorIDList,MATCH(AT53,OperatorNameList,0)),"")</f>
      </c>
      <c r="BA53" s="230" t="str">
        <f>IF(I53&gt;=6,INDEX(OperatorIDList,MATCH(AU53,OperatorNameList,0)),"")</f>
      </c>
      <c r="BB53" s="230" t="str">
        <f t="shared" si="150"/>
        <v>VIETTEL-2016</v>
      </c>
      <c r="BC53" s="230" t="str">
        <f>Input!Y53</f>
        <v>HCM1783</v>
      </c>
      <c r="BD53" s="230">
        <f>Input!AO53</f>
        <v>0</v>
      </c>
      <c r="BE53" s="230">
        <f>Input!BE53</f>
        <v>0</v>
      </c>
      <c r="BF53" s="230" t="str">
        <f>Input!BU53</f>
      </c>
      <c r="BG53" s="230" t="str">
        <f>Input!CI53</f>
      </c>
      <c r="BH53" s="230" t="str">
        <f>Input!CW53</f>
      </c>
      <c r="BI53" s="230" t="str">
        <f>Input!Z53</f>
        <v>HUAWEI DBS3900</v>
      </c>
      <c r="BJ53" s="230">
        <f>Input!AP53</f>
        <v>0</v>
      </c>
      <c r="BK53" s="230">
        <f>Input!BF53</f>
        <v>0</v>
      </c>
      <c r="BL53" s="230" t="str">
        <f>Input!BV53</f>
      </c>
      <c r="BM53" s="230" t="str">
        <f>Input!CJ53</f>
      </c>
      <c r="BN53" s="230" t="str">
        <f>Input!CX53</f>
      </c>
      <c r="BO53" s="553">
        <f>IF(ISNUMBER(Input!AA53),Input!AA53,0)</f>
        <v>3</v>
      </c>
      <c r="BP53" s="553">
        <f>IF(ISNUMBER(Input!AQ53),Input!AQ53,0)</f>
        <v>0</v>
      </c>
      <c r="BQ53" s="553">
        <f>IF(ISNUMBER(Input!BG53),Input!BG53,0)</f>
        <v>0</v>
      </c>
      <c r="BR53" s="553">
        <f>IF(ISNUMBER(Input!BW53),Input!BW53,0)</f>
        <v>0</v>
      </c>
      <c r="BS53" s="553">
        <f>IF(ISNUMBER(Input!CK53),Input!CK53,0)</f>
        <v>0</v>
      </c>
      <c r="BT53" s="554">
        <f>IF(ISNUMBER(Input!CY53),Input!CY53,0)</f>
        <v>0</v>
      </c>
      <c r="BU53" s="230" t="str">
        <f>Input!AF53</f>
        <v>2/2/2</v>
      </c>
      <c r="BV53" s="230" t="str">
        <f>Input!AV53</f>
      </c>
      <c r="BW53" s="230" t="str">
        <f>Input!BL53</f>
      </c>
      <c r="BX53" s="230" t="str">
        <f>Input!CA53</f>
      </c>
      <c r="BY53" s="230" t="str">
        <f>Input!CO53</f>
      </c>
      <c r="BZ53" s="230" t="str">
        <f>Input!DC53</f>
      </c>
      <c r="CA53" s="230">
        <f t="shared" si="151"/>
        <v>2</v>
      </c>
      <c r="CB53" s="230">
        <f t="shared" si="152"/>
        <v>2</v>
      </c>
      <c r="CC53" s="230">
        <f t="shared" si="153"/>
        <v>2</v>
      </c>
      <c r="CD53" s="230">
        <f t="shared" si="154"/>
        <v>0</v>
      </c>
      <c r="CE53" s="230">
        <f t="shared" si="155"/>
        <v>0</v>
      </c>
      <c r="CF53" s="230">
        <f t="shared" si="156"/>
        <v>0</v>
      </c>
      <c r="CG53" s="230">
        <f t="shared" si="157"/>
        <v>0</v>
      </c>
      <c r="CH53" s="230">
        <f t="shared" si="158"/>
        <v>0</v>
      </c>
      <c r="CI53" s="230">
        <f t="shared" si="159"/>
        <v>0</v>
      </c>
      <c r="CJ53" s="230">
        <f t="shared" si="160"/>
        <v>0</v>
      </c>
      <c r="CK53" s="230">
        <f t="shared" si="161"/>
        <v>0</v>
      </c>
      <c r="CL53" s="230">
        <f t="shared" si="162"/>
        <v>0</v>
      </c>
      <c r="CM53" s="230">
        <f t="shared" si="163"/>
        <v>0</v>
      </c>
      <c r="CN53" s="230">
        <f t="shared" si="164"/>
        <v>0</v>
      </c>
      <c r="CO53" s="230">
        <f t="shared" si="165"/>
        <v>0</v>
      </c>
      <c r="CP53" s="230">
        <f t="shared" si="166"/>
        <v>0</v>
      </c>
      <c r="CQ53" s="230">
        <f t="shared" si="167"/>
        <v>0</v>
      </c>
      <c r="CR53" s="230">
        <f t="shared" si="168"/>
        <v>0</v>
      </c>
      <c r="CS53" s="230">
        <f t="shared" si="169"/>
        <v>0</v>
      </c>
      <c r="CT53" s="230">
        <f t="shared" si="170"/>
        <v>0</v>
      </c>
      <c r="CU53" s="230">
        <f t="shared" si="171"/>
        <v>0</v>
      </c>
      <c r="CV53" s="230">
        <f t="shared" si="172"/>
        <v>0</v>
      </c>
      <c r="CW53" s="230">
        <f t="shared" si="173"/>
        <v>0</v>
      </c>
      <c r="CX53" s="230">
        <f t="shared" si="174"/>
        <v>0</v>
      </c>
      <c r="CY53" s="230">
        <f t="shared" si="175"/>
        <v>0</v>
      </c>
      <c r="CZ53" s="230">
        <f t="shared" si="176"/>
        <v>0</v>
      </c>
      <c r="DA53" s="230">
        <f t="shared" si="177"/>
        <v>0</v>
      </c>
      <c r="DB53" s="230">
        <f t="shared" si="178"/>
        <v>0</v>
      </c>
      <c r="DC53" s="230">
        <f t="shared" si="179"/>
        <v>0</v>
      </c>
      <c r="DD53" s="230">
        <f t="shared" si="180"/>
        <v>0</v>
      </c>
      <c r="DE53" s="230">
        <f t="shared" si="181"/>
        <v>0</v>
      </c>
      <c r="DF53" s="230">
        <f t="shared" si="182"/>
        <v>0</v>
      </c>
      <c r="DG53" s="230">
        <f t="shared" si="183"/>
        <v>0</v>
      </c>
      <c r="DH53" s="230">
        <f t="shared" si="184"/>
        <v>0</v>
      </c>
      <c r="DI53" s="230">
        <f t="shared" si="185"/>
        <v>0</v>
      </c>
      <c r="DJ53" s="230">
        <f t="shared" si="186"/>
        <v>0</v>
      </c>
      <c r="DK53" s="230" t="str">
        <f>Input!AK53</f>
        <v>40,00W/40,00W/40,00W</v>
      </c>
      <c r="DL53" s="230" t="str">
        <f>Input!BA53</f>
      </c>
      <c r="DM53" s="230" t="str">
        <f>Input!BQ53</f>
      </c>
      <c r="DN53" s="230" t="str">
        <f>Input!CE53</f>
      </c>
      <c r="DO53" s="230" t="str">
        <f>Input!CS53</f>
      </c>
      <c r="DP53" s="230" t="str">
        <f>Input!DG53</f>
      </c>
      <c r="DQ53" s="230" t="str">
        <f t="shared" si="187"/>
        <v>40W/ 40W/ 40W</v>
      </c>
      <c r="DR53" s="230" t="str">
        <f t="shared" si="188"/>
      </c>
      <c r="DS53" s="230" t="str">
        <f t="shared" si="189"/>
      </c>
      <c r="DT53" s="230" t="str">
        <f t="shared" si="190"/>
      </c>
      <c r="DU53" s="230" t="str">
        <f t="shared" si="191"/>
      </c>
      <c r="DV53" s="230" t="str">
        <f t="shared" si="192"/>
      </c>
      <c r="DW53" s="230">
        <f t="shared" si="193"/>
        <v>40</v>
      </c>
      <c r="DX53" s="230">
        <f t="shared" si="194"/>
        <v>40</v>
      </c>
      <c r="DY53" s="230">
        <f t="shared" si="195"/>
        <v>40</v>
      </c>
      <c r="DZ53" s="230">
        <f t="shared" si="196"/>
        <v>0</v>
      </c>
      <c r="EA53" s="230">
        <f t="shared" si="197"/>
        <v>0</v>
      </c>
      <c r="EB53" s="230">
        <f t="shared" si="198"/>
        <v>0</v>
      </c>
      <c r="EC53" s="230">
        <f t="shared" si="199"/>
        <v>40</v>
      </c>
      <c r="ED53" s="230">
        <f t="shared" si="200"/>
        <v>0</v>
      </c>
      <c r="EE53" s="230">
        <f t="shared" si="201"/>
        <v>0</v>
      </c>
      <c r="EF53" s="230">
        <f t="shared" si="202"/>
        <v>0</v>
      </c>
      <c r="EG53" s="230">
        <f t="shared" si="203"/>
        <v>0</v>
      </c>
      <c r="EH53" s="230">
        <f t="shared" si="204"/>
        <v>0</v>
      </c>
      <c r="EI53" s="230">
        <f t="shared" si="205"/>
        <v>0</v>
      </c>
      <c r="EJ53" s="230">
        <f t="shared" si="206"/>
        <v>0</v>
      </c>
      <c r="EK53" s="230">
        <f t="shared" si="207"/>
        <v>0</v>
      </c>
      <c r="EL53" s="230">
        <f t="shared" si="208"/>
        <v>0</v>
      </c>
      <c r="EM53" s="230">
        <f t="shared" si="209"/>
        <v>0</v>
      </c>
      <c r="EN53" s="230">
        <f t="shared" si="210"/>
        <v>0</v>
      </c>
      <c r="EO53" s="230">
        <f t="shared" si="211"/>
        <v>0</v>
      </c>
      <c r="EP53" s="230">
        <f t="shared" si="212"/>
        <v>0</v>
      </c>
      <c r="EQ53" s="230">
        <f t="shared" si="213"/>
        <v>0</v>
      </c>
      <c r="ER53" s="230">
        <f t="shared" si="214"/>
        <v>0</v>
      </c>
      <c r="ES53" s="230">
        <f t="shared" si="215"/>
        <v>0</v>
      </c>
      <c r="ET53" s="230">
        <f t="shared" si="216"/>
        <v>0</v>
      </c>
      <c r="EU53" s="230">
        <f t="shared" si="217"/>
        <v>0</v>
      </c>
      <c r="EV53" s="230">
        <f t="shared" si="218"/>
        <v>0</v>
      </c>
      <c r="EW53" s="230">
        <f t="shared" si="219"/>
        <v>0</v>
      </c>
      <c r="EX53" s="230">
        <f t="shared" si="220"/>
        <v>0</v>
      </c>
      <c r="EY53" s="230">
        <f t="shared" si="221"/>
        <v>0</v>
      </c>
      <c r="EZ53" s="230">
        <f t="shared" si="222"/>
        <v>0</v>
      </c>
      <c r="FA53" s="230">
        <f t="shared" si="223"/>
        <v>0</v>
      </c>
      <c r="FB53" s="230">
        <f t="shared" si="224"/>
        <v>0</v>
      </c>
      <c r="FC53" s="230">
        <f t="shared" si="225"/>
        <v>0</v>
      </c>
      <c r="FD53" s="230">
        <f t="shared" si="226"/>
        <v>0</v>
      </c>
      <c r="FE53" s="230">
        <f t="shared" si="227"/>
        <v>0</v>
      </c>
      <c r="FF53" s="230">
        <f t="shared" si="228"/>
        <v>0</v>
      </c>
      <c r="FG53" s="230">
        <f t="shared" si="229"/>
        <v>0</v>
      </c>
      <c r="FH53" s="230">
        <f t="shared" si="230"/>
        <v>0</v>
      </c>
      <c r="FI53" s="230">
        <f t="shared" si="231"/>
        <v>0</v>
      </c>
      <c r="FJ53" s="230">
        <f t="shared" si="232"/>
        <v>0</v>
      </c>
      <c r="FK53" s="230">
        <f t="shared" si="233"/>
        <v>0</v>
      </c>
      <c r="FL53" s="230">
        <f t="shared" si="234"/>
        <v>0</v>
      </c>
      <c r="FM53" s="230">
        <f t="shared" si="235"/>
        <v>40</v>
      </c>
      <c r="FN53" s="230">
        <f>Input!AL53</f>
        <v>2100</v>
      </c>
      <c r="FO53" s="230">
        <f>Input!BB53</f>
        <v>0</v>
      </c>
      <c r="FP53" s="230">
        <f>Input!BR53</f>
        <v>0</v>
      </c>
      <c r="FQ53" s="230" t="str">
        <f>Input!CF53</f>
      </c>
      <c r="FR53" s="230" t="str">
        <f>Input!CT53</f>
      </c>
      <c r="FS53" s="230" t="str">
        <f>Input!DH53</f>
      </c>
      <c r="FT53" s="230" t="str">
        <f>Input!AM53</f>
        <v>27m/ 27m/ 27m</v>
      </c>
      <c r="FU53" s="230">
        <f>Input!BC53</f>
        <v>0</v>
      </c>
      <c r="FV53" s="230">
        <f>Input!BS53</f>
        <v>0</v>
      </c>
      <c r="FW53" s="230" t="str">
        <f>Input!CG53</f>
      </c>
      <c r="FX53" s="230" t="str">
        <f>Input!CU53</f>
      </c>
      <c r="FY53" s="230" t="str">
        <f>Input!DI53</f>
      </c>
      <c r="FZ53" s="230" t="str">
        <f t="shared" si="236"/>
        <v>27m/ 27m/ 27m</v>
      </c>
      <c r="GA53" s="230" t="str">
        <f t="shared" si="237"/>
      </c>
      <c r="GB53" s="230" t="str">
        <f t="shared" si="238"/>
      </c>
      <c r="GC53" s="230" t="str">
        <f t="shared" si="239"/>
      </c>
      <c r="GD53" s="230" t="str">
        <f t="shared" si="240"/>
      </c>
      <c r="GE53" s="230" t="str">
        <f t="shared" si="241"/>
      </c>
      <c r="GF53" s="230">
        <f t="shared" si="242"/>
        <v>27</v>
      </c>
      <c r="GG53" s="230">
        <f t="shared" si="243"/>
        <v>27</v>
      </c>
      <c r="GH53" s="230">
        <f t="shared" si="244"/>
        <v>27</v>
      </c>
      <c r="GI53" s="230">
        <f t="shared" si="245"/>
        <v>0</v>
      </c>
      <c r="GJ53" s="230">
        <f t="shared" si="246"/>
        <v>0</v>
      </c>
      <c r="GK53" s="230">
        <f t="shared" si="247"/>
        <v>0</v>
      </c>
      <c r="GL53" s="230">
        <f t="shared" si="248"/>
        <v>0</v>
      </c>
      <c r="GM53" s="230">
        <f t="shared" si="249"/>
        <v>0</v>
      </c>
      <c r="GN53" s="230">
        <f t="shared" si="250"/>
        <v>0</v>
      </c>
      <c r="GO53" s="230">
        <f t="shared" si="251"/>
        <v>0</v>
      </c>
      <c r="GP53" s="230">
        <f t="shared" si="252"/>
        <v>0</v>
      </c>
      <c r="GQ53" s="230">
        <f t="shared" si="253"/>
        <v>0</v>
      </c>
      <c r="GR53" s="230">
        <f t="shared" si="254"/>
        <v>0</v>
      </c>
      <c r="GS53" s="230">
        <f t="shared" si="255"/>
        <v>0</v>
      </c>
      <c r="GT53" s="230">
        <f t="shared" si="256"/>
        <v>0</v>
      </c>
      <c r="GU53" s="230">
        <f t="shared" si="257"/>
        <v>0</v>
      </c>
      <c r="GV53" s="230">
        <f t="shared" si="258"/>
        <v>0</v>
      </c>
      <c r="GW53" s="230">
        <f t="shared" si="259"/>
        <v>0</v>
      </c>
      <c r="GX53" s="230">
        <f t="shared" si="260"/>
        <v>0</v>
      </c>
      <c r="GY53" s="230">
        <f t="shared" si="261"/>
        <v>0</v>
      </c>
      <c r="GZ53" s="230">
        <f t="shared" si="262"/>
        <v>0</v>
      </c>
      <c r="HA53" s="230">
        <f t="shared" si="263"/>
        <v>0</v>
      </c>
      <c r="HB53" s="230">
        <f t="shared" si="264"/>
        <v>0</v>
      </c>
      <c r="HC53" s="230">
        <f t="shared" si="265"/>
        <v>0</v>
      </c>
      <c r="HD53" s="230">
        <f t="shared" si="266"/>
        <v>0</v>
      </c>
      <c r="HE53" s="230">
        <f t="shared" si="267"/>
        <v>0</v>
      </c>
      <c r="HF53" s="230">
        <f t="shared" si="268"/>
        <v>0</v>
      </c>
      <c r="HG53" s="230">
        <f t="shared" si="269"/>
        <v>0</v>
      </c>
      <c r="HH53" s="230">
        <f t="shared" si="270"/>
        <v>0</v>
      </c>
      <c r="HI53" s="230">
        <f t="shared" si="271"/>
        <v>0</v>
      </c>
      <c r="HJ53" s="230">
        <f t="shared" si="272"/>
        <v>0</v>
      </c>
      <c r="HK53" s="230">
        <f t="shared" si="273"/>
        <v>0</v>
      </c>
      <c r="HL53" s="230">
        <f t="shared" si="274"/>
        <v>0</v>
      </c>
      <c r="HM53" s="230">
        <f t="shared" si="275"/>
        <v>0</v>
      </c>
      <c r="HN53" s="230">
        <f t="shared" si="276"/>
        <v>0</v>
      </c>
      <c r="HO53" s="230">
        <f t="shared" si="277"/>
        <v>0</v>
      </c>
      <c r="HP53" s="230" t="str">
        <f>INDEX(LabNameList,MATCH(LabId,LabIDList,0))</f>
        <v>Trung tâm Kiểm định và Chứng nhận 2</v>
      </c>
      <c r="HQ53" s="230">
        <f t="shared" si="278"/>
        <v>27</v>
      </c>
      <c r="HR53" s="230">
        <f t="shared" si="279"/>
        <v>0</v>
      </c>
      <c r="HS53" s="230">
        <f t="shared" si="280"/>
        <v>0</v>
      </c>
      <c r="HT53" s="230">
        <f t="shared" si="281"/>
        <v>0</v>
      </c>
      <c r="HU53" s="230">
        <f t="shared" si="282"/>
        <v>0</v>
      </c>
      <c r="HV53" s="230">
        <f t="shared" si="283"/>
        <v>0</v>
      </c>
      <c r="HW53" s="797">
        <f t="shared" si="284"/>
        <v>27</v>
      </c>
      <c r="HX53" s="797">
        <f>Input!EB53</f>
        <v>0</v>
      </c>
      <c r="HY53" s="230">
        <v>68</v>
      </c>
      <c r="HZ53" s="230"/>
      <c r="IA53" s="230"/>
      <c r="IB53" s="230"/>
      <c r="IC53" s="232" t="str">
        <f t="shared" si="285"/>
        <v>B02004230916TG05</v>
      </c>
      <c r="ID53" s="233" t="str">
        <f>Input!O53</f>
        <v>02004</v>
      </c>
      <c r="IE53" s="467" t="str">
        <f t="shared" si="286"/>
        <v>230916</v>
      </c>
      <c r="IF53" s="232" t="s">
        <v>364</v>
      </c>
      <c r="IG53" s="467" t="str">
        <f t="shared" si="287"/>
        <v>23/09/2016</v>
      </c>
      <c r="IH53" s="467" t="str">
        <f t="shared" si="288"/>
        <v>23/09/2021</v>
      </c>
      <c r="II53" s="546" t="str">
        <f> Input!R53</f>
        <v>23/09/2016</v>
      </c>
      <c r="IJ53" s="467">
        <f t="shared" si="289"/>
        <v>44462</v>
      </c>
      <c r="IK53" s="468">
        <f t="shared" si="290"/>
        <v>3</v>
      </c>
      <c r="IL53" s="469" t="str">
        <f t="shared" si="291"/>
        <v>3-1</v>
      </c>
      <c r="IM53" s="469" t="str">
        <f t="shared" si="292"/>
        <v>KHAC</v>
      </c>
      <c r="IN53" s="469" t="str">
        <f t="shared" si="293"/>
        <v>KHAC</v>
      </c>
      <c r="IO53" s="469" t="str">
        <f t="shared" si="294"/>
      </c>
      <c r="IP53" s="469" t="str">
        <f t="shared" si="295"/>
      </c>
      <c r="IQ53" s="469" t="str">
        <f t="shared" si="296"/>
      </c>
      <c r="IR53" s="469">
        <f t="shared" si="297"/>
        <v>1</v>
      </c>
      <c r="IS53" s="469">
        <f t="shared" si="298"/>
        <v>2</v>
      </c>
      <c r="IT53" s="469" t="str">
        <f t="shared" si="299"/>
        <v>Yes</v>
      </c>
      <c r="IU53" s="469" t="str">
        <f t="shared" si="300"/>
        <v>Yes</v>
      </c>
    </row>
    <row r="54" ht="63.75">
      <c r="A54" s="601">
        <f>Input!A54</f>
        <v>53</v>
      </c>
      <c r="B54" s="229" t="str">
        <f>INDEX(ApplicantIDList,MATCH(AI54,ApplicantNameList,0))</f>
        <v>VIETTEL-2016</v>
      </c>
      <c r="C54" s="229" t="str">
        <f>INDEX(OperatorIDList,MATCH(AJ54,OperatorNameList,0))</f>
        <v>VIETTEL-2016</v>
      </c>
      <c r="D54" s="797" t="str">
        <f>Input!Y54</f>
        <v>HCM2145</v>
      </c>
      <c r="E54" s="229" t="str">
        <f>Input!G54</f>
        <v>Số 294, đường Hưng Phú, phường 8, quận 8, thành phố Hồ Chí Minh.</v>
      </c>
      <c r="F54" s="229" t="str">
        <f>TRIM(SUBSTITUTE(SUBSTITUTE(Input!H54,"Thành phố ",""),"Tỉnh ",""))</f>
        <v>Hồ Chí Minh</v>
      </c>
      <c r="G54" s="797" t="str">
        <f>Input!I54</f>
        <v>106,67705</v>
      </c>
      <c r="H54" s="797" t="str">
        <f>Input!J54</f>
        <v>10,74941</v>
      </c>
      <c r="I54" s="229">
        <f>Input!V54</f>
        <v>1</v>
      </c>
      <c r="J54" s="229" t="str">
        <f>Input!K54</f>
        <v>1502433/16/TG/TT2</v>
      </c>
      <c r="K54" s="231" t="str">
        <f>TEXT(Input!L54,"dd/mm/yyyy")</f>
        <v>23/09/2016</v>
      </c>
      <c r="L54" s="231" t="str">
        <f>TEXT(Input!M54,"dd/mm/yyyy")</f>
        <v>21/09/2016</v>
      </c>
      <c r="M54" s="229" t="str">
        <f t="shared" si="135"/>
        <v>TỔNG CÔNG TY MẠNG LƯỚI VIETTEL</v>
      </c>
      <c r="N54" s="229" t="str">
        <f t="shared" si="136"/>
        <v>HCM2145</v>
      </c>
      <c r="O54" s="229" t="str">
        <f t="shared" si="137"/>
        <v>HUAWEI DBS3900</v>
      </c>
      <c r="P54" s="229" t="str">
        <f t="shared" si="138"/>
        <v>3</v>
      </c>
      <c r="Q54" s="229" t="str">
        <f t="shared" si="139"/>
        <v>2/2/2</v>
      </c>
      <c r="R54" s="229" t="str">
        <f t="shared" si="140"/>
        <v>40W/ 40W/ 40W</v>
      </c>
      <c r="S54" s="229" t="str">
        <f t="shared" si="141"/>
        <v>2100</v>
      </c>
      <c r="T54" s="229" t="str">
        <f t="shared" si="142"/>
        <v>27m/ 27m/ 27m</v>
      </c>
      <c r="U54" s="229">
        <v>1</v>
      </c>
      <c r="V54" s="229"/>
      <c r="W54" s="229" t="b">
        <f t="shared" si="143"/>
        <v>0</v>
      </c>
      <c r="X54" s="229" t="b">
        <f>INDEX(TrueFalseList,_xlfn.IFNA(MATCH(Input!W54,CoKhongList,0),MATCH(Input!W54,YesNoList,0)))</f>
        <v>0</v>
      </c>
      <c r="Y54" s="797">
        <f>Input!FZ54</f>
        <v>0</v>
      </c>
      <c r="Z54" s="229" t="b">
        <v>1</v>
      </c>
      <c r="AA54" s="797">
        <f t="shared" si="144"/>
        <v>27</v>
      </c>
      <c r="AB54" s="229" t="b">
        <v>0</v>
      </c>
      <c r="AC54" s="229" t="b">
        <v>1</v>
      </c>
      <c r="AD54" s="229">
        <f>Input!DR54</f>
        <v>0</v>
      </c>
      <c r="AE54" s="229"/>
      <c r="AF54" s="229" t="str">
        <f>Options!$D$6</f>
        <v>VCC2</v>
      </c>
      <c r="AG54" s="229">
        <f t="shared" si="145"/>
        <v>0</v>
      </c>
      <c r="AH54" s="230"/>
      <c r="AI54" s="553" t="str">
        <f>Input!E54</f>
        <v>TỔNG CÔNG TY MẠNG LƯỚI VIETTEL</v>
      </c>
      <c r="AJ54" s="553" t="str">
        <f>Input!F54</f>
        <v>TỔNG CÔNG TY MẠNG LƯỚI VIETTEL</v>
      </c>
      <c r="AK54" s="229">
        <f t="shared" si="146"/>
        <v>4</v>
      </c>
      <c r="AL54" s="465" t="str">
        <f t="shared" si="147"/>
        <v>thành phố Hồ Chí Minh.</v>
      </c>
      <c r="AM54" s="465" t="str">
        <f t="shared" si="148"/>
        <v>quận 8</v>
      </c>
      <c r="AN54" s="465" t="str">
        <f t="shared" si="149"/>
        <v>phường 8</v>
      </c>
      <c r="AO54" s="229" t="str">
        <f>INDEX(CityIDList,MATCH(F54,CityNameList,0))</f>
        <v>HCM</v>
      </c>
      <c r="AP54" s="230" t="str">
        <f>Input!X54</f>
        <v>TỔNG CÔNG TY MẠNG LƯỚI VIETTEL</v>
      </c>
      <c r="AQ54" s="230">
        <f>Input!AN54</f>
        <v>0</v>
      </c>
      <c r="AR54" s="230">
        <f>Input!BD54</f>
        <v>0</v>
      </c>
      <c r="AS54" s="230" t="str">
        <f>Input!BT54</f>
      </c>
      <c r="AT54" s="230" t="str">
        <f>Input!CH54</f>
      </c>
      <c r="AU54" s="230" t="str">
        <f>Input!CV54</f>
      </c>
      <c r="AV54" s="230" t="str">
        <f>IF(I54&gt;=1,INDEX(OperatorIDList,MATCH(AP54,OperatorNameList,0)),"")</f>
        <v>VIETTEL-2016</v>
      </c>
      <c r="AW54" s="230" t="str">
        <f>IF(I54&gt;=2,INDEX(OperatorIDList,MATCH(AQ54,OperatorNameList,0)),"")</f>
      </c>
      <c r="AX54" s="230" t="str">
        <f>IF(I54&gt;=3,INDEX(OperatorIDList,MATCH(AR54,OperatorNameList,0)),"")</f>
      </c>
      <c r="AY54" s="230" t="str">
        <f>IF(I54&gt;=4,INDEX(OperatorIDList,MATCH(AS54,OperatorNameList,0)),"")</f>
      </c>
      <c r="AZ54" s="230" t="str">
        <f>IF(I54&gt;=5,INDEX(OperatorIDList,MATCH(AT54,OperatorNameList,0)),"")</f>
      </c>
      <c r="BA54" s="230" t="str">
        <f>IF(I54&gt;=6,INDEX(OperatorIDList,MATCH(AU54,OperatorNameList,0)),"")</f>
      </c>
      <c r="BB54" s="230" t="str">
        <f t="shared" si="150"/>
        <v>VIETTEL-2016</v>
      </c>
      <c r="BC54" s="230" t="str">
        <f>Input!Y54</f>
        <v>HCM2145</v>
      </c>
      <c r="BD54" s="230">
        <f>Input!AO54</f>
        <v>0</v>
      </c>
      <c r="BE54" s="230">
        <f>Input!BE54</f>
        <v>0</v>
      </c>
      <c r="BF54" s="230" t="str">
        <f>Input!BU54</f>
      </c>
      <c r="BG54" s="230" t="str">
        <f>Input!CI54</f>
      </c>
      <c r="BH54" s="230" t="str">
        <f>Input!CW54</f>
      </c>
      <c r="BI54" s="230" t="str">
        <f>Input!Z54</f>
        <v>HUAWEI DBS3900</v>
      </c>
      <c r="BJ54" s="230">
        <f>Input!AP54</f>
        <v>0</v>
      </c>
      <c r="BK54" s="230">
        <f>Input!BF54</f>
        <v>0</v>
      </c>
      <c r="BL54" s="230" t="str">
        <f>Input!BV54</f>
      </c>
      <c r="BM54" s="230" t="str">
        <f>Input!CJ54</f>
      </c>
      <c r="BN54" s="230" t="str">
        <f>Input!CX54</f>
      </c>
      <c r="BO54" s="553">
        <f>IF(ISNUMBER(Input!AA54),Input!AA54,0)</f>
        <v>3</v>
      </c>
      <c r="BP54" s="553">
        <f>IF(ISNUMBER(Input!AQ54),Input!AQ54,0)</f>
        <v>0</v>
      </c>
      <c r="BQ54" s="553">
        <f>IF(ISNUMBER(Input!BG54),Input!BG54,0)</f>
        <v>0</v>
      </c>
      <c r="BR54" s="553">
        <f>IF(ISNUMBER(Input!BW54),Input!BW54,0)</f>
        <v>0</v>
      </c>
      <c r="BS54" s="553">
        <f>IF(ISNUMBER(Input!CK54),Input!CK54,0)</f>
        <v>0</v>
      </c>
      <c r="BT54" s="554">
        <f>IF(ISNUMBER(Input!CY54),Input!CY54,0)</f>
        <v>0</v>
      </c>
      <c r="BU54" s="230" t="str">
        <f>Input!AF54</f>
        <v>2/2/2</v>
      </c>
      <c r="BV54" s="230" t="str">
        <f>Input!AV54</f>
      </c>
      <c r="BW54" s="230" t="str">
        <f>Input!BL54</f>
      </c>
      <c r="BX54" s="230" t="str">
        <f>Input!CA54</f>
      </c>
      <c r="BY54" s="230" t="str">
        <f>Input!CO54</f>
      </c>
      <c r="BZ54" s="230" t="str">
        <f>Input!DC54</f>
      </c>
      <c r="CA54" s="230">
        <f t="shared" si="151"/>
        <v>2</v>
      </c>
      <c r="CB54" s="230">
        <f t="shared" si="152"/>
        <v>2</v>
      </c>
      <c r="CC54" s="230">
        <f t="shared" si="153"/>
        <v>2</v>
      </c>
      <c r="CD54" s="230">
        <f t="shared" si="154"/>
        <v>0</v>
      </c>
      <c r="CE54" s="230">
        <f t="shared" si="155"/>
        <v>0</v>
      </c>
      <c r="CF54" s="230">
        <f t="shared" si="156"/>
        <v>0</v>
      </c>
      <c r="CG54" s="230">
        <f t="shared" si="157"/>
        <v>0</v>
      </c>
      <c r="CH54" s="230">
        <f t="shared" si="158"/>
        <v>0</v>
      </c>
      <c r="CI54" s="230">
        <f t="shared" si="159"/>
        <v>0</v>
      </c>
      <c r="CJ54" s="230">
        <f t="shared" si="160"/>
        <v>0</v>
      </c>
      <c r="CK54" s="230">
        <f t="shared" si="161"/>
        <v>0</v>
      </c>
      <c r="CL54" s="230">
        <f t="shared" si="162"/>
        <v>0</v>
      </c>
      <c r="CM54" s="230">
        <f t="shared" si="163"/>
        <v>0</v>
      </c>
      <c r="CN54" s="230">
        <f t="shared" si="164"/>
        <v>0</v>
      </c>
      <c r="CO54" s="230">
        <f t="shared" si="165"/>
        <v>0</v>
      </c>
      <c r="CP54" s="230">
        <f t="shared" si="166"/>
        <v>0</v>
      </c>
      <c r="CQ54" s="230">
        <f t="shared" si="167"/>
        <v>0</v>
      </c>
      <c r="CR54" s="230">
        <f t="shared" si="168"/>
        <v>0</v>
      </c>
      <c r="CS54" s="230">
        <f t="shared" si="169"/>
        <v>0</v>
      </c>
      <c r="CT54" s="230">
        <f t="shared" si="170"/>
        <v>0</v>
      </c>
      <c r="CU54" s="230">
        <f t="shared" si="171"/>
        <v>0</v>
      </c>
      <c r="CV54" s="230">
        <f t="shared" si="172"/>
        <v>0</v>
      </c>
      <c r="CW54" s="230">
        <f t="shared" si="173"/>
        <v>0</v>
      </c>
      <c r="CX54" s="230">
        <f t="shared" si="174"/>
        <v>0</v>
      </c>
      <c r="CY54" s="230">
        <f t="shared" si="175"/>
        <v>0</v>
      </c>
      <c r="CZ54" s="230">
        <f t="shared" si="176"/>
        <v>0</v>
      </c>
      <c r="DA54" s="230">
        <f t="shared" si="177"/>
        <v>0</v>
      </c>
      <c r="DB54" s="230">
        <f t="shared" si="178"/>
        <v>0</v>
      </c>
      <c r="DC54" s="230">
        <f t="shared" si="179"/>
        <v>0</v>
      </c>
      <c r="DD54" s="230">
        <f t="shared" si="180"/>
        <v>0</v>
      </c>
      <c r="DE54" s="230">
        <f t="shared" si="181"/>
        <v>0</v>
      </c>
      <c r="DF54" s="230">
        <f t="shared" si="182"/>
        <v>0</v>
      </c>
      <c r="DG54" s="230">
        <f t="shared" si="183"/>
        <v>0</v>
      </c>
      <c r="DH54" s="230">
        <f t="shared" si="184"/>
        <v>0</v>
      </c>
      <c r="DI54" s="230">
        <f t="shared" si="185"/>
        <v>0</v>
      </c>
      <c r="DJ54" s="230">
        <f t="shared" si="186"/>
        <v>0</v>
      </c>
      <c r="DK54" s="230" t="str">
        <f>Input!AK54</f>
        <v>40,00W/40,00W/40,00W</v>
      </c>
      <c r="DL54" s="230" t="str">
        <f>Input!BA54</f>
      </c>
      <c r="DM54" s="230" t="str">
        <f>Input!BQ54</f>
      </c>
      <c r="DN54" s="230" t="str">
        <f>Input!CE54</f>
      </c>
      <c r="DO54" s="230" t="str">
        <f>Input!CS54</f>
      </c>
      <c r="DP54" s="230" t="str">
        <f>Input!DG54</f>
      </c>
      <c r="DQ54" s="230" t="str">
        <f t="shared" si="187"/>
        <v>40W/ 40W/ 40W</v>
      </c>
      <c r="DR54" s="230" t="str">
        <f t="shared" si="188"/>
      </c>
      <c r="DS54" s="230" t="str">
        <f t="shared" si="189"/>
      </c>
      <c r="DT54" s="230" t="str">
        <f t="shared" si="190"/>
      </c>
      <c r="DU54" s="230" t="str">
        <f t="shared" si="191"/>
      </c>
      <c r="DV54" s="230" t="str">
        <f t="shared" si="192"/>
      </c>
      <c r="DW54" s="230">
        <f t="shared" si="193"/>
        <v>40</v>
      </c>
      <c r="DX54" s="230">
        <f t="shared" si="194"/>
        <v>40</v>
      </c>
      <c r="DY54" s="230">
        <f t="shared" si="195"/>
        <v>40</v>
      </c>
      <c r="DZ54" s="230">
        <f t="shared" si="196"/>
        <v>0</v>
      </c>
      <c r="EA54" s="230">
        <f t="shared" si="197"/>
        <v>0</v>
      </c>
      <c r="EB54" s="230">
        <f t="shared" si="198"/>
        <v>0</v>
      </c>
      <c r="EC54" s="230">
        <f t="shared" si="199"/>
        <v>40</v>
      </c>
      <c r="ED54" s="230">
        <f t="shared" si="200"/>
        <v>0</v>
      </c>
      <c r="EE54" s="230">
        <f t="shared" si="201"/>
        <v>0</v>
      </c>
      <c r="EF54" s="230">
        <f t="shared" si="202"/>
        <v>0</v>
      </c>
      <c r="EG54" s="230">
        <f t="shared" si="203"/>
        <v>0</v>
      </c>
      <c r="EH54" s="230">
        <f t="shared" si="204"/>
        <v>0</v>
      </c>
      <c r="EI54" s="230">
        <f t="shared" si="205"/>
        <v>0</v>
      </c>
      <c r="EJ54" s="230">
        <f t="shared" si="206"/>
        <v>0</v>
      </c>
      <c r="EK54" s="230">
        <f t="shared" si="207"/>
        <v>0</v>
      </c>
      <c r="EL54" s="230">
        <f t="shared" si="208"/>
        <v>0</v>
      </c>
      <c r="EM54" s="230">
        <f t="shared" si="209"/>
        <v>0</v>
      </c>
      <c r="EN54" s="230">
        <f t="shared" si="210"/>
        <v>0</v>
      </c>
      <c r="EO54" s="230">
        <f t="shared" si="211"/>
        <v>0</v>
      </c>
      <c r="EP54" s="230">
        <f t="shared" si="212"/>
        <v>0</v>
      </c>
      <c r="EQ54" s="230">
        <f t="shared" si="213"/>
        <v>0</v>
      </c>
      <c r="ER54" s="230">
        <f t="shared" si="214"/>
        <v>0</v>
      </c>
      <c r="ES54" s="230">
        <f t="shared" si="215"/>
        <v>0</v>
      </c>
      <c r="ET54" s="230">
        <f t="shared" si="216"/>
        <v>0</v>
      </c>
      <c r="EU54" s="230">
        <f t="shared" si="217"/>
        <v>0</v>
      </c>
      <c r="EV54" s="230">
        <f t="shared" si="218"/>
        <v>0</v>
      </c>
      <c r="EW54" s="230">
        <f t="shared" si="219"/>
        <v>0</v>
      </c>
      <c r="EX54" s="230">
        <f t="shared" si="220"/>
        <v>0</v>
      </c>
      <c r="EY54" s="230">
        <f t="shared" si="221"/>
        <v>0</v>
      </c>
      <c r="EZ54" s="230">
        <f t="shared" si="222"/>
        <v>0</v>
      </c>
      <c r="FA54" s="230">
        <f t="shared" si="223"/>
        <v>0</v>
      </c>
      <c r="FB54" s="230">
        <f t="shared" si="224"/>
        <v>0</v>
      </c>
      <c r="FC54" s="230">
        <f t="shared" si="225"/>
        <v>0</v>
      </c>
      <c r="FD54" s="230">
        <f t="shared" si="226"/>
        <v>0</v>
      </c>
      <c r="FE54" s="230">
        <f t="shared" si="227"/>
        <v>0</v>
      </c>
      <c r="FF54" s="230">
        <f t="shared" si="228"/>
        <v>0</v>
      </c>
      <c r="FG54" s="230">
        <f t="shared" si="229"/>
        <v>0</v>
      </c>
      <c r="FH54" s="230">
        <f t="shared" si="230"/>
        <v>0</v>
      </c>
      <c r="FI54" s="230">
        <f t="shared" si="231"/>
        <v>0</v>
      </c>
      <c r="FJ54" s="230">
        <f t="shared" si="232"/>
        <v>0</v>
      </c>
      <c r="FK54" s="230">
        <f t="shared" si="233"/>
        <v>0</v>
      </c>
      <c r="FL54" s="230">
        <f t="shared" si="234"/>
        <v>0</v>
      </c>
      <c r="FM54" s="230">
        <f t="shared" si="235"/>
        <v>40</v>
      </c>
      <c r="FN54" s="230">
        <f>Input!AL54</f>
        <v>2100</v>
      </c>
      <c r="FO54" s="230">
        <f>Input!BB54</f>
        <v>0</v>
      </c>
      <c r="FP54" s="230">
        <f>Input!BR54</f>
        <v>0</v>
      </c>
      <c r="FQ54" s="230" t="str">
        <f>Input!CF54</f>
      </c>
      <c r="FR54" s="230" t="str">
        <f>Input!CT54</f>
      </c>
      <c r="FS54" s="230" t="str">
        <f>Input!DH54</f>
      </c>
      <c r="FT54" s="230" t="str">
        <f>Input!AM54</f>
        <v>27m/ 27m/ 27m</v>
      </c>
      <c r="FU54" s="230">
        <f>Input!BC54</f>
        <v>0</v>
      </c>
      <c r="FV54" s="230">
        <f>Input!BS54</f>
        <v>0</v>
      </c>
      <c r="FW54" s="230" t="str">
        <f>Input!CG54</f>
      </c>
      <c r="FX54" s="230" t="str">
        <f>Input!CU54</f>
      </c>
      <c r="FY54" s="230" t="str">
        <f>Input!DI54</f>
      </c>
      <c r="FZ54" s="230" t="str">
        <f t="shared" si="236"/>
        <v>27m/ 27m/ 27m</v>
      </c>
      <c r="GA54" s="230" t="str">
        <f t="shared" si="237"/>
      </c>
      <c r="GB54" s="230" t="str">
        <f t="shared" si="238"/>
      </c>
      <c r="GC54" s="230" t="str">
        <f t="shared" si="239"/>
      </c>
      <c r="GD54" s="230" t="str">
        <f t="shared" si="240"/>
      </c>
      <c r="GE54" s="230" t="str">
        <f t="shared" si="241"/>
      </c>
      <c r="GF54" s="230">
        <f t="shared" si="242"/>
        <v>27</v>
      </c>
      <c r="GG54" s="230">
        <f t="shared" si="243"/>
        <v>27</v>
      </c>
      <c r="GH54" s="230">
        <f t="shared" si="244"/>
        <v>27</v>
      </c>
      <c r="GI54" s="230">
        <f t="shared" si="245"/>
        <v>0</v>
      </c>
      <c r="GJ54" s="230">
        <f t="shared" si="246"/>
        <v>0</v>
      </c>
      <c r="GK54" s="230">
        <f t="shared" si="247"/>
        <v>0</v>
      </c>
      <c r="GL54" s="230">
        <f t="shared" si="248"/>
        <v>0</v>
      </c>
      <c r="GM54" s="230">
        <f t="shared" si="249"/>
        <v>0</v>
      </c>
      <c r="GN54" s="230">
        <f t="shared" si="250"/>
        <v>0</v>
      </c>
      <c r="GO54" s="230">
        <f t="shared" si="251"/>
        <v>0</v>
      </c>
      <c r="GP54" s="230">
        <f t="shared" si="252"/>
        <v>0</v>
      </c>
      <c r="GQ54" s="230">
        <f t="shared" si="253"/>
        <v>0</v>
      </c>
      <c r="GR54" s="230">
        <f t="shared" si="254"/>
        <v>0</v>
      </c>
      <c r="GS54" s="230">
        <f t="shared" si="255"/>
        <v>0</v>
      </c>
      <c r="GT54" s="230">
        <f t="shared" si="256"/>
        <v>0</v>
      </c>
      <c r="GU54" s="230">
        <f t="shared" si="257"/>
        <v>0</v>
      </c>
      <c r="GV54" s="230">
        <f t="shared" si="258"/>
        <v>0</v>
      </c>
      <c r="GW54" s="230">
        <f t="shared" si="259"/>
        <v>0</v>
      </c>
      <c r="GX54" s="230">
        <f t="shared" si="260"/>
        <v>0</v>
      </c>
      <c r="GY54" s="230">
        <f t="shared" si="261"/>
        <v>0</v>
      </c>
      <c r="GZ54" s="230">
        <f t="shared" si="262"/>
        <v>0</v>
      </c>
      <c r="HA54" s="230">
        <f t="shared" si="263"/>
        <v>0</v>
      </c>
      <c r="HB54" s="230">
        <f t="shared" si="264"/>
        <v>0</v>
      </c>
      <c r="HC54" s="230">
        <f t="shared" si="265"/>
        <v>0</v>
      </c>
      <c r="HD54" s="230">
        <f t="shared" si="266"/>
        <v>0</v>
      </c>
      <c r="HE54" s="230">
        <f t="shared" si="267"/>
        <v>0</v>
      </c>
      <c r="HF54" s="230">
        <f t="shared" si="268"/>
        <v>0</v>
      </c>
      <c r="HG54" s="230">
        <f t="shared" si="269"/>
        <v>0</v>
      </c>
      <c r="HH54" s="230">
        <f t="shared" si="270"/>
        <v>0</v>
      </c>
      <c r="HI54" s="230">
        <f t="shared" si="271"/>
        <v>0</v>
      </c>
      <c r="HJ54" s="230">
        <f t="shared" si="272"/>
        <v>0</v>
      </c>
      <c r="HK54" s="230">
        <f t="shared" si="273"/>
        <v>0</v>
      </c>
      <c r="HL54" s="230">
        <f t="shared" si="274"/>
        <v>0</v>
      </c>
      <c r="HM54" s="230">
        <f t="shared" si="275"/>
        <v>0</v>
      </c>
      <c r="HN54" s="230">
        <f t="shared" si="276"/>
        <v>0</v>
      </c>
      <c r="HO54" s="230">
        <f t="shared" si="277"/>
        <v>0</v>
      </c>
      <c r="HP54" s="230" t="str">
        <f>INDEX(LabNameList,MATCH(LabId,LabIDList,0))</f>
        <v>Trung tâm Kiểm định và Chứng nhận 2</v>
      </c>
      <c r="HQ54" s="230">
        <f t="shared" si="278"/>
        <v>27</v>
      </c>
      <c r="HR54" s="230">
        <f t="shared" si="279"/>
        <v>0</v>
      </c>
      <c r="HS54" s="230">
        <f t="shared" si="280"/>
        <v>0</v>
      </c>
      <c r="HT54" s="230">
        <f t="shared" si="281"/>
        <v>0</v>
      </c>
      <c r="HU54" s="230">
        <f t="shared" si="282"/>
        <v>0</v>
      </c>
      <c r="HV54" s="230">
        <f t="shared" si="283"/>
        <v>0</v>
      </c>
      <c r="HW54" s="797">
        <f t="shared" si="284"/>
        <v>27</v>
      </c>
      <c r="HX54" s="797">
        <f>Input!EB54</f>
        <v>0</v>
      </c>
      <c r="HY54" s="230">
        <v>68</v>
      </c>
      <c r="HZ54" s="230"/>
      <c r="IA54" s="230"/>
      <c r="IB54" s="230"/>
      <c r="IC54" s="232" t="str">
        <f t="shared" si="285"/>
        <v>B02005230916TG05</v>
      </c>
      <c r="ID54" s="233" t="str">
        <f>Input!O54</f>
        <v>02005</v>
      </c>
      <c r="IE54" s="467" t="str">
        <f t="shared" si="286"/>
        <v>230916</v>
      </c>
      <c r="IF54" s="232" t="s">
        <v>364</v>
      </c>
      <c r="IG54" s="467" t="str">
        <f t="shared" si="287"/>
        <v>23/09/2016</v>
      </c>
      <c r="IH54" s="467" t="str">
        <f t="shared" si="288"/>
        <v>23/09/2021</v>
      </c>
      <c r="II54" s="546" t="str">
        <f> Input!R54</f>
        <v>23/09/2016</v>
      </c>
      <c r="IJ54" s="467">
        <f t="shared" si="289"/>
        <v>44462</v>
      </c>
      <c r="IK54" s="468">
        <f t="shared" si="290"/>
        <v>3</v>
      </c>
      <c r="IL54" s="469" t="str">
        <f t="shared" si="291"/>
        <v>3-1</v>
      </c>
      <c r="IM54" s="469" t="str">
        <f t="shared" si="292"/>
        <v>KHAC</v>
      </c>
      <c r="IN54" s="469" t="str">
        <f t="shared" si="293"/>
        <v>KHAC</v>
      </c>
      <c r="IO54" s="469" t="str">
        <f t="shared" si="294"/>
      </c>
      <c r="IP54" s="469" t="str">
        <f t="shared" si="295"/>
      </c>
      <c r="IQ54" s="469" t="str">
        <f t="shared" si="296"/>
      </c>
      <c r="IR54" s="469">
        <f t="shared" si="297"/>
        <v>1</v>
      </c>
      <c r="IS54" s="469">
        <f t="shared" si="298"/>
        <v>2</v>
      </c>
      <c r="IT54" s="469" t="str">
        <f t="shared" si="299"/>
        <v>Yes</v>
      </c>
      <c r="IU54" s="469" t="str">
        <f t="shared" si="300"/>
        <v>Yes</v>
      </c>
    </row>
    <row r="55" ht="63.75">
      <c r="A55" s="601">
        <f>Input!A55</f>
        <v>54</v>
      </c>
      <c r="B55" s="229" t="str">
        <f>INDEX(ApplicantIDList,MATCH(AI55,ApplicantNameList,0))</f>
        <v>VIETTEL-2016</v>
      </c>
      <c r="C55" s="229" t="str">
        <f>INDEX(OperatorIDList,MATCH(AJ55,OperatorNameList,0))</f>
        <v>VIETTEL-2016</v>
      </c>
      <c r="D55" s="797" t="str">
        <f>Input!Y55</f>
        <v>HCM2147</v>
      </c>
      <c r="E55" s="229" t="str">
        <f>Input!G55</f>
        <v>Số 2385/40, đường Phạm Thế Hiển, phường 7, quận 8, thành phố Hồ Chí Minh.</v>
      </c>
      <c r="F55" s="229" t="str">
        <f>TRIM(SUBSTITUTE(SUBSTITUTE(Input!H55,"Thành phố ",""),"Tỉnh ",""))</f>
        <v>Hồ Chí Minh</v>
      </c>
      <c r="G55" s="797" t="str">
        <f>Input!I55</f>
        <v>106,64163</v>
      </c>
      <c r="H55" s="797" t="str">
        <f>Input!J55</f>
        <v>10,72935</v>
      </c>
      <c r="I55" s="229">
        <f>Input!V55</f>
        <v>1</v>
      </c>
      <c r="J55" s="229" t="str">
        <f>Input!K55</f>
        <v>1502434/16/TG/TT2</v>
      </c>
      <c r="K55" s="231" t="str">
        <f>TEXT(Input!L55,"dd/mm/yyyy")</f>
        <v>23/09/2016</v>
      </c>
      <c r="L55" s="231" t="str">
        <f>TEXT(Input!M55,"dd/mm/yyyy")</f>
        <v>21/09/2016</v>
      </c>
      <c r="M55" s="229" t="str">
        <f t="shared" si="135"/>
        <v>TỔNG CÔNG TY MẠNG LƯỚI VIETTEL</v>
      </c>
      <c r="N55" s="229" t="str">
        <f t="shared" si="136"/>
        <v>HCM2147</v>
      </c>
      <c r="O55" s="229" t="str">
        <f t="shared" si="137"/>
        <v>HUAWEI DBS3900</v>
      </c>
      <c r="P55" s="229" t="str">
        <f t="shared" si="138"/>
        <v>3</v>
      </c>
      <c r="Q55" s="229" t="str">
        <f t="shared" si="139"/>
        <v>2/2/2</v>
      </c>
      <c r="R55" s="229" t="str">
        <f t="shared" si="140"/>
        <v>40W/ 40W/ 40W</v>
      </c>
      <c r="S55" s="229" t="str">
        <f t="shared" si="141"/>
        <v>2100</v>
      </c>
      <c r="T55" s="229" t="str">
        <f t="shared" si="142"/>
        <v>24m/ 24m/ 24m</v>
      </c>
      <c r="U55" s="229">
        <v>1</v>
      </c>
      <c r="V55" s="229"/>
      <c r="W55" s="229" t="b">
        <f t="shared" si="143"/>
        <v>0</v>
      </c>
      <c r="X55" s="229" t="b">
        <f>INDEX(TrueFalseList,_xlfn.IFNA(MATCH(Input!W55,CoKhongList,0),MATCH(Input!W55,YesNoList,0)))</f>
        <v>0</v>
      </c>
      <c r="Y55" s="797">
        <f>Input!FZ55</f>
        <v>0</v>
      </c>
      <c r="Z55" s="229" t="b">
        <v>1</v>
      </c>
      <c r="AA55" s="797">
        <f t="shared" si="144"/>
        <v>24</v>
      </c>
      <c r="AB55" s="229" t="b">
        <v>0</v>
      </c>
      <c r="AC55" s="229" t="b">
        <v>1</v>
      </c>
      <c r="AD55" s="229">
        <f>Input!DR55</f>
        <v>0</v>
      </c>
      <c r="AE55" s="229"/>
      <c r="AF55" s="229" t="str">
        <f>Options!$D$6</f>
        <v>VCC2</v>
      </c>
      <c r="AG55" s="229">
        <f t="shared" si="145"/>
        <v>0</v>
      </c>
      <c r="AH55" s="230"/>
      <c r="AI55" s="553" t="str">
        <f>Input!E55</f>
        <v>TỔNG CÔNG TY MẠNG LƯỚI VIETTEL</v>
      </c>
      <c r="AJ55" s="553" t="str">
        <f>Input!F55</f>
        <v>TỔNG CÔNG TY MẠNG LƯỚI VIETTEL</v>
      </c>
      <c r="AK55" s="229">
        <f t="shared" si="146"/>
        <v>4</v>
      </c>
      <c r="AL55" s="465" t="str">
        <f t="shared" si="147"/>
        <v>thành phố Hồ Chí Minh.</v>
      </c>
      <c r="AM55" s="465" t="str">
        <f t="shared" si="148"/>
        <v>quận 8</v>
      </c>
      <c r="AN55" s="465" t="str">
        <f t="shared" si="149"/>
        <v>phường 7</v>
      </c>
      <c r="AO55" s="229" t="str">
        <f>INDEX(CityIDList,MATCH(F55,CityNameList,0))</f>
        <v>HCM</v>
      </c>
      <c r="AP55" s="230" t="str">
        <f>Input!X55</f>
        <v>TỔNG CÔNG TY MẠNG LƯỚI VIETTEL</v>
      </c>
      <c r="AQ55" s="230">
        <f>Input!AN55</f>
        <v>0</v>
      </c>
      <c r="AR55" s="230">
        <f>Input!BD55</f>
        <v>0</v>
      </c>
      <c r="AS55" s="230" t="str">
        <f>Input!BT55</f>
      </c>
      <c r="AT55" s="230" t="str">
        <f>Input!CH55</f>
      </c>
      <c r="AU55" s="230" t="str">
        <f>Input!CV55</f>
      </c>
      <c r="AV55" s="230" t="str">
        <f>IF(I55&gt;=1,INDEX(OperatorIDList,MATCH(AP55,OperatorNameList,0)),"")</f>
        <v>VIETTEL-2016</v>
      </c>
      <c r="AW55" s="230" t="str">
        <f>IF(I55&gt;=2,INDEX(OperatorIDList,MATCH(AQ55,OperatorNameList,0)),"")</f>
      </c>
      <c r="AX55" s="230" t="str">
        <f>IF(I55&gt;=3,INDEX(OperatorIDList,MATCH(AR55,OperatorNameList,0)),"")</f>
      </c>
      <c r="AY55" s="230" t="str">
        <f>IF(I55&gt;=4,INDEX(OperatorIDList,MATCH(AS55,OperatorNameList,0)),"")</f>
      </c>
      <c r="AZ55" s="230" t="str">
        <f>IF(I55&gt;=5,INDEX(OperatorIDList,MATCH(AT55,OperatorNameList,0)),"")</f>
      </c>
      <c r="BA55" s="230" t="str">
        <f>IF(I55&gt;=6,INDEX(OperatorIDList,MATCH(AU55,OperatorNameList,0)),"")</f>
      </c>
      <c r="BB55" s="230" t="str">
        <f t="shared" si="150"/>
        <v>VIETTEL-2016</v>
      </c>
      <c r="BC55" s="230" t="str">
        <f>Input!Y55</f>
        <v>HCM2147</v>
      </c>
      <c r="BD55" s="230">
        <f>Input!AO55</f>
        <v>0</v>
      </c>
      <c r="BE55" s="230">
        <f>Input!BE55</f>
        <v>0</v>
      </c>
      <c r="BF55" s="230" t="str">
        <f>Input!BU55</f>
      </c>
      <c r="BG55" s="230" t="str">
        <f>Input!CI55</f>
      </c>
      <c r="BH55" s="230" t="str">
        <f>Input!CW55</f>
      </c>
      <c r="BI55" s="230" t="str">
        <f>Input!Z55</f>
        <v>HUAWEI DBS3900</v>
      </c>
      <c r="BJ55" s="230">
        <f>Input!AP55</f>
        <v>0</v>
      </c>
      <c r="BK55" s="230">
        <f>Input!BF55</f>
        <v>0</v>
      </c>
      <c r="BL55" s="230" t="str">
        <f>Input!BV55</f>
      </c>
      <c r="BM55" s="230" t="str">
        <f>Input!CJ55</f>
      </c>
      <c r="BN55" s="230" t="str">
        <f>Input!CX55</f>
      </c>
      <c r="BO55" s="553">
        <f>IF(ISNUMBER(Input!AA55),Input!AA55,0)</f>
        <v>3</v>
      </c>
      <c r="BP55" s="553">
        <f>IF(ISNUMBER(Input!AQ55),Input!AQ55,0)</f>
        <v>0</v>
      </c>
      <c r="BQ55" s="553">
        <f>IF(ISNUMBER(Input!BG55),Input!BG55,0)</f>
        <v>0</v>
      </c>
      <c r="BR55" s="553">
        <f>IF(ISNUMBER(Input!BW55),Input!BW55,0)</f>
        <v>0</v>
      </c>
      <c r="BS55" s="553">
        <f>IF(ISNUMBER(Input!CK55),Input!CK55,0)</f>
        <v>0</v>
      </c>
      <c r="BT55" s="554">
        <f>IF(ISNUMBER(Input!CY55),Input!CY55,0)</f>
        <v>0</v>
      </c>
      <c r="BU55" s="230" t="str">
        <f>Input!AF55</f>
        <v>2/2/2</v>
      </c>
      <c r="BV55" s="230" t="str">
        <f>Input!AV55</f>
      </c>
      <c r="BW55" s="230" t="str">
        <f>Input!BL55</f>
      </c>
      <c r="BX55" s="230" t="str">
        <f>Input!CA55</f>
      </c>
      <c r="BY55" s="230" t="str">
        <f>Input!CO55</f>
      </c>
      <c r="BZ55" s="230" t="str">
        <f>Input!DC55</f>
      </c>
      <c r="CA55" s="230">
        <f t="shared" si="151"/>
        <v>2</v>
      </c>
      <c r="CB55" s="230">
        <f t="shared" si="152"/>
        <v>2</v>
      </c>
      <c r="CC55" s="230">
        <f t="shared" si="153"/>
        <v>2</v>
      </c>
      <c r="CD55" s="230">
        <f t="shared" si="154"/>
        <v>0</v>
      </c>
      <c r="CE55" s="230">
        <f t="shared" si="155"/>
        <v>0</v>
      </c>
      <c r="CF55" s="230">
        <f t="shared" si="156"/>
        <v>0</v>
      </c>
      <c r="CG55" s="230">
        <f t="shared" si="157"/>
        <v>0</v>
      </c>
      <c r="CH55" s="230">
        <f t="shared" si="158"/>
        <v>0</v>
      </c>
      <c r="CI55" s="230">
        <f t="shared" si="159"/>
        <v>0</v>
      </c>
      <c r="CJ55" s="230">
        <f t="shared" si="160"/>
        <v>0</v>
      </c>
      <c r="CK55" s="230">
        <f t="shared" si="161"/>
        <v>0</v>
      </c>
      <c r="CL55" s="230">
        <f t="shared" si="162"/>
        <v>0</v>
      </c>
      <c r="CM55" s="230">
        <f t="shared" si="163"/>
        <v>0</v>
      </c>
      <c r="CN55" s="230">
        <f t="shared" si="164"/>
        <v>0</v>
      </c>
      <c r="CO55" s="230">
        <f t="shared" si="165"/>
        <v>0</v>
      </c>
      <c r="CP55" s="230">
        <f t="shared" si="166"/>
        <v>0</v>
      </c>
      <c r="CQ55" s="230">
        <f t="shared" si="167"/>
        <v>0</v>
      </c>
      <c r="CR55" s="230">
        <f t="shared" si="168"/>
        <v>0</v>
      </c>
      <c r="CS55" s="230">
        <f t="shared" si="169"/>
        <v>0</v>
      </c>
      <c r="CT55" s="230">
        <f t="shared" si="170"/>
        <v>0</v>
      </c>
      <c r="CU55" s="230">
        <f t="shared" si="171"/>
        <v>0</v>
      </c>
      <c r="CV55" s="230">
        <f t="shared" si="172"/>
        <v>0</v>
      </c>
      <c r="CW55" s="230">
        <f t="shared" si="173"/>
        <v>0</v>
      </c>
      <c r="CX55" s="230">
        <f t="shared" si="174"/>
        <v>0</v>
      </c>
      <c r="CY55" s="230">
        <f t="shared" si="175"/>
        <v>0</v>
      </c>
      <c r="CZ55" s="230">
        <f t="shared" si="176"/>
        <v>0</v>
      </c>
      <c r="DA55" s="230">
        <f t="shared" si="177"/>
        <v>0</v>
      </c>
      <c r="DB55" s="230">
        <f t="shared" si="178"/>
        <v>0</v>
      </c>
      <c r="DC55" s="230">
        <f t="shared" si="179"/>
        <v>0</v>
      </c>
      <c r="DD55" s="230">
        <f t="shared" si="180"/>
        <v>0</v>
      </c>
      <c r="DE55" s="230">
        <f t="shared" si="181"/>
        <v>0</v>
      </c>
      <c r="DF55" s="230">
        <f t="shared" si="182"/>
        <v>0</v>
      </c>
      <c r="DG55" s="230">
        <f t="shared" si="183"/>
        <v>0</v>
      </c>
      <c r="DH55" s="230">
        <f t="shared" si="184"/>
        <v>0</v>
      </c>
      <c r="DI55" s="230">
        <f t="shared" si="185"/>
        <v>0</v>
      </c>
      <c r="DJ55" s="230">
        <f t="shared" si="186"/>
        <v>0</v>
      </c>
      <c r="DK55" s="230" t="str">
        <f>Input!AK55</f>
        <v>40,00W/40,00W/40,00W</v>
      </c>
      <c r="DL55" s="230" t="str">
        <f>Input!BA55</f>
      </c>
      <c r="DM55" s="230" t="str">
        <f>Input!BQ55</f>
      </c>
      <c r="DN55" s="230" t="str">
        <f>Input!CE55</f>
      </c>
      <c r="DO55" s="230" t="str">
        <f>Input!CS55</f>
      </c>
      <c r="DP55" s="230" t="str">
        <f>Input!DG55</f>
      </c>
      <c r="DQ55" s="230" t="str">
        <f t="shared" si="187"/>
        <v>40W/ 40W/ 40W</v>
      </c>
      <c r="DR55" s="230" t="str">
        <f t="shared" si="188"/>
      </c>
      <c r="DS55" s="230" t="str">
        <f t="shared" si="189"/>
      </c>
      <c r="DT55" s="230" t="str">
        <f t="shared" si="190"/>
      </c>
      <c r="DU55" s="230" t="str">
        <f t="shared" si="191"/>
      </c>
      <c r="DV55" s="230" t="str">
        <f t="shared" si="192"/>
      </c>
      <c r="DW55" s="230">
        <f t="shared" si="193"/>
        <v>40</v>
      </c>
      <c r="DX55" s="230">
        <f t="shared" si="194"/>
        <v>40</v>
      </c>
      <c r="DY55" s="230">
        <f t="shared" si="195"/>
        <v>40</v>
      </c>
      <c r="DZ55" s="230">
        <f t="shared" si="196"/>
        <v>0</v>
      </c>
      <c r="EA55" s="230">
        <f t="shared" si="197"/>
        <v>0</v>
      </c>
      <c r="EB55" s="230">
        <f t="shared" si="198"/>
        <v>0</v>
      </c>
      <c r="EC55" s="230">
        <f t="shared" si="199"/>
        <v>40</v>
      </c>
      <c r="ED55" s="230">
        <f t="shared" si="200"/>
        <v>0</v>
      </c>
      <c r="EE55" s="230">
        <f t="shared" si="201"/>
        <v>0</v>
      </c>
      <c r="EF55" s="230">
        <f t="shared" si="202"/>
        <v>0</v>
      </c>
      <c r="EG55" s="230">
        <f t="shared" si="203"/>
        <v>0</v>
      </c>
      <c r="EH55" s="230">
        <f t="shared" si="204"/>
        <v>0</v>
      </c>
      <c r="EI55" s="230">
        <f t="shared" si="205"/>
        <v>0</v>
      </c>
      <c r="EJ55" s="230">
        <f t="shared" si="206"/>
        <v>0</v>
      </c>
      <c r="EK55" s="230">
        <f t="shared" si="207"/>
        <v>0</v>
      </c>
      <c r="EL55" s="230">
        <f t="shared" si="208"/>
        <v>0</v>
      </c>
      <c r="EM55" s="230">
        <f t="shared" si="209"/>
        <v>0</v>
      </c>
      <c r="EN55" s="230">
        <f t="shared" si="210"/>
        <v>0</v>
      </c>
      <c r="EO55" s="230">
        <f t="shared" si="211"/>
        <v>0</v>
      </c>
      <c r="EP55" s="230">
        <f t="shared" si="212"/>
        <v>0</v>
      </c>
      <c r="EQ55" s="230">
        <f t="shared" si="213"/>
        <v>0</v>
      </c>
      <c r="ER55" s="230">
        <f t="shared" si="214"/>
        <v>0</v>
      </c>
      <c r="ES55" s="230">
        <f t="shared" si="215"/>
        <v>0</v>
      </c>
      <c r="ET55" s="230">
        <f t="shared" si="216"/>
        <v>0</v>
      </c>
      <c r="EU55" s="230">
        <f t="shared" si="217"/>
        <v>0</v>
      </c>
      <c r="EV55" s="230">
        <f t="shared" si="218"/>
        <v>0</v>
      </c>
      <c r="EW55" s="230">
        <f t="shared" si="219"/>
        <v>0</v>
      </c>
      <c r="EX55" s="230">
        <f t="shared" si="220"/>
        <v>0</v>
      </c>
      <c r="EY55" s="230">
        <f t="shared" si="221"/>
        <v>0</v>
      </c>
      <c r="EZ55" s="230">
        <f t="shared" si="222"/>
        <v>0</v>
      </c>
      <c r="FA55" s="230">
        <f t="shared" si="223"/>
        <v>0</v>
      </c>
      <c r="FB55" s="230">
        <f t="shared" si="224"/>
        <v>0</v>
      </c>
      <c r="FC55" s="230">
        <f t="shared" si="225"/>
        <v>0</v>
      </c>
      <c r="FD55" s="230">
        <f t="shared" si="226"/>
        <v>0</v>
      </c>
      <c r="FE55" s="230">
        <f t="shared" si="227"/>
        <v>0</v>
      </c>
      <c r="FF55" s="230">
        <f t="shared" si="228"/>
        <v>0</v>
      </c>
      <c r="FG55" s="230">
        <f t="shared" si="229"/>
        <v>0</v>
      </c>
      <c r="FH55" s="230">
        <f t="shared" si="230"/>
        <v>0</v>
      </c>
      <c r="FI55" s="230">
        <f t="shared" si="231"/>
        <v>0</v>
      </c>
      <c r="FJ55" s="230">
        <f t="shared" si="232"/>
        <v>0</v>
      </c>
      <c r="FK55" s="230">
        <f t="shared" si="233"/>
        <v>0</v>
      </c>
      <c r="FL55" s="230">
        <f t="shared" si="234"/>
        <v>0</v>
      </c>
      <c r="FM55" s="230">
        <f t="shared" si="235"/>
        <v>40</v>
      </c>
      <c r="FN55" s="230">
        <f>Input!AL55</f>
        <v>2100</v>
      </c>
      <c r="FO55" s="230">
        <f>Input!BB55</f>
        <v>0</v>
      </c>
      <c r="FP55" s="230">
        <f>Input!BR55</f>
        <v>0</v>
      </c>
      <c r="FQ55" s="230" t="str">
        <f>Input!CF55</f>
      </c>
      <c r="FR55" s="230" t="str">
        <f>Input!CT55</f>
      </c>
      <c r="FS55" s="230" t="str">
        <f>Input!DH55</f>
      </c>
      <c r="FT55" s="230" t="str">
        <f>Input!AM55</f>
        <v>24m/ 24m/ 24m</v>
      </c>
      <c r="FU55" s="230">
        <f>Input!BC55</f>
        <v>0</v>
      </c>
      <c r="FV55" s="230">
        <f>Input!BS55</f>
        <v>0</v>
      </c>
      <c r="FW55" s="230" t="str">
        <f>Input!CG55</f>
      </c>
      <c r="FX55" s="230" t="str">
        <f>Input!CU55</f>
      </c>
      <c r="FY55" s="230" t="str">
        <f>Input!DI55</f>
      </c>
      <c r="FZ55" s="230" t="str">
        <f t="shared" si="236"/>
        <v>24m/ 24m/ 24m</v>
      </c>
      <c r="GA55" s="230" t="str">
        <f t="shared" si="237"/>
      </c>
      <c r="GB55" s="230" t="str">
        <f t="shared" si="238"/>
      </c>
      <c r="GC55" s="230" t="str">
        <f t="shared" si="239"/>
      </c>
      <c r="GD55" s="230" t="str">
        <f t="shared" si="240"/>
      </c>
      <c r="GE55" s="230" t="str">
        <f t="shared" si="241"/>
      </c>
      <c r="GF55" s="230">
        <f t="shared" si="242"/>
        <v>24</v>
      </c>
      <c r="GG55" s="230">
        <f t="shared" si="243"/>
        <v>24</v>
      </c>
      <c r="GH55" s="230">
        <f t="shared" si="244"/>
        <v>24</v>
      </c>
      <c r="GI55" s="230">
        <f t="shared" si="245"/>
        <v>0</v>
      </c>
      <c r="GJ55" s="230">
        <f t="shared" si="246"/>
        <v>0</v>
      </c>
      <c r="GK55" s="230">
        <f t="shared" si="247"/>
        <v>0</v>
      </c>
      <c r="GL55" s="230">
        <f t="shared" si="248"/>
        <v>0</v>
      </c>
      <c r="GM55" s="230">
        <f t="shared" si="249"/>
        <v>0</v>
      </c>
      <c r="GN55" s="230">
        <f t="shared" si="250"/>
        <v>0</v>
      </c>
      <c r="GO55" s="230">
        <f t="shared" si="251"/>
        <v>0</v>
      </c>
      <c r="GP55" s="230">
        <f t="shared" si="252"/>
        <v>0</v>
      </c>
      <c r="GQ55" s="230">
        <f t="shared" si="253"/>
        <v>0</v>
      </c>
      <c r="GR55" s="230">
        <f t="shared" si="254"/>
        <v>0</v>
      </c>
      <c r="GS55" s="230">
        <f t="shared" si="255"/>
        <v>0</v>
      </c>
      <c r="GT55" s="230">
        <f t="shared" si="256"/>
        <v>0</v>
      </c>
      <c r="GU55" s="230">
        <f t="shared" si="257"/>
        <v>0</v>
      </c>
      <c r="GV55" s="230">
        <f t="shared" si="258"/>
        <v>0</v>
      </c>
      <c r="GW55" s="230">
        <f t="shared" si="259"/>
        <v>0</v>
      </c>
      <c r="GX55" s="230">
        <f t="shared" si="260"/>
        <v>0</v>
      </c>
      <c r="GY55" s="230">
        <f t="shared" si="261"/>
        <v>0</v>
      </c>
      <c r="GZ55" s="230">
        <f t="shared" si="262"/>
        <v>0</v>
      </c>
      <c r="HA55" s="230">
        <f t="shared" si="263"/>
        <v>0</v>
      </c>
      <c r="HB55" s="230">
        <f t="shared" si="264"/>
        <v>0</v>
      </c>
      <c r="HC55" s="230">
        <f t="shared" si="265"/>
        <v>0</v>
      </c>
      <c r="HD55" s="230">
        <f t="shared" si="266"/>
        <v>0</v>
      </c>
      <c r="HE55" s="230">
        <f t="shared" si="267"/>
        <v>0</v>
      </c>
      <c r="HF55" s="230">
        <f t="shared" si="268"/>
        <v>0</v>
      </c>
      <c r="HG55" s="230">
        <f t="shared" si="269"/>
        <v>0</v>
      </c>
      <c r="HH55" s="230">
        <f t="shared" si="270"/>
        <v>0</v>
      </c>
      <c r="HI55" s="230">
        <f t="shared" si="271"/>
        <v>0</v>
      </c>
      <c r="HJ55" s="230">
        <f t="shared" si="272"/>
        <v>0</v>
      </c>
      <c r="HK55" s="230">
        <f t="shared" si="273"/>
        <v>0</v>
      </c>
      <c r="HL55" s="230">
        <f t="shared" si="274"/>
        <v>0</v>
      </c>
      <c r="HM55" s="230">
        <f t="shared" si="275"/>
        <v>0</v>
      </c>
      <c r="HN55" s="230">
        <f t="shared" si="276"/>
        <v>0</v>
      </c>
      <c r="HO55" s="230">
        <f t="shared" si="277"/>
        <v>0</v>
      </c>
      <c r="HP55" s="230" t="str">
        <f>INDEX(LabNameList,MATCH(LabId,LabIDList,0))</f>
        <v>Trung tâm Kiểm định và Chứng nhận 2</v>
      </c>
      <c r="HQ55" s="230">
        <f t="shared" si="278"/>
        <v>24</v>
      </c>
      <c r="HR55" s="230">
        <f t="shared" si="279"/>
        <v>0</v>
      </c>
      <c r="HS55" s="230">
        <f t="shared" si="280"/>
        <v>0</v>
      </c>
      <c r="HT55" s="230">
        <f t="shared" si="281"/>
        <v>0</v>
      </c>
      <c r="HU55" s="230">
        <f t="shared" si="282"/>
        <v>0</v>
      </c>
      <c r="HV55" s="230">
        <f t="shared" si="283"/>
        <v>0</v>
      </c>
      <c r="HW55" s="797">
        <f t="shared" si="284"/>
        <v>24</v>
      </c>
      <c r="HX55" s="797">
        <f>Input!EB55</f>
        <v>0</v>
      </c>
      <c r="HY55" s="230">
        <v>68</v>
      </c>
      <c r="HZ55" s="230"/>
      <c r="IA55" s="230"/>
      <c r="IB55" s="230"/>
      <c r="IC55" s="232" t="str">
        <f t="shared" si="285"/>
        <v>B02006230916TG05</v>
      </c>
      <c r="ID55" s="233" t="str">
        <f>Input!O55</f>
        <v>02006</v>
      </c>
      <c r="IE55" s="467" t="str">
        <f t="shared" si="286"/>
        <v>230916</v>
      </c>
      <c r="IF55" s="232" t="s">
        <v>364</v>
      </c>
      <c r="IG55" s="467" t="str">
        <f t="shared" si="287"/>
        <v>23/09/2016</v>
      </c>
      <c r="IH55" s="467" t="str">
        <f t="shared" si="288"/>
        <v>23/09/2021</v>
      </c>
      <c r="II55" s="546" t="str">
        <f> Input!R55</f>
        <v>23/09/2016</v>
      </c>
      <c r="IJ55" s="467">
        <f t="shared" si="289"/>
        <v>44462</v>
      </c>
      <c r="IK55" s="468">
        <f t="shared" si="290"/>
        <v>3</v>
      </c>
      <c r="IL55" s="469" t="str">
        <f t="shared" si="291"/>
        <v>3-1</v>
      </c>
      <c r="IM55" s="469" t="str">
        <f t="shared" si="292"/>
        <v>KHAC</v>
      </c>
      <c r="IN55" s="469" t="str">
        <f t="shared" si="293"/>
        <v>KHAC</v>
      </c>
      <c r="IO55" s="469" t="str">
        <f t="shared" si="294"/>
      </c>
      <c r="IP55" s="469" t="str">
        <f t="shared" si="295"/>
      </c>
      <c r="IQ55" s="469" t="str">
        <f t="shared" si="296"/>
      </c>
      <c r="IR55" s="469">
        <f t="shared" si="297"/>
        <v>1</v>
      </c>
      <c r="IS55" s="469">
        <f t="shared" si="298"/>
        <v>2</v>
      </c>
      <c r="IT55" s="469" t="str">
        <f t="shared" si="299"/>
        <v>Yes</v>
      </c>
      <c r="IU55" s="469" t="str">
        <f t="shared" si="300"/>
        <v>Yes</v>
      </c>
    </row>
    <row r="56" ht="63.75">
      <c r="A56" s="601">
        <f>Input!A56</f>
        <v>55</v>
      </c>
      <c r="B56" s="229" t="str">
        <f>INDEX(ApplicantIDList,MATCH(AI56,ApplicantNameList,0))</f>
        <v>VIETTEL-2016</v>
      </c>
      <c r="C56" s="229" t="str">
        <f>INDEX(OperatorIDList,MATCH(AJ56,OperatorNameList,0))</f>
        <v>VIETTEL-2016</v>
      </c>
      <c r="D56" s="797" t="str">
        <f>Input!Y56</f>
        <v>HCM2150</v>
      </c>
      <c r="E56" s="229" t="str">
        <f>Input!G56</f>
        <v>Số 769/33, đường Phạm Thế Hiển, phường 4, quận 8, thành phố Hồ Chí Minh.</v>
      </c>
      <c r="F56" s="229" t="str">
        <f>TRIM(SUBSTITUTE(SUBSTITUTE(Input!H56,"Thành phố ",""),"Tỉnh ",""))</f>
        <v>Hồ Chí Minh</v>
      </c>
      <c r="G56" s="797" t="str">
        <f>Input!I56</f>
        <v>106,67521</v>
      </c>
      <c r="H56" s="797" t="str">
        <f>Input!J56</f>
        <v>10,74232</v>
      </c>
      <c r="I56" s="229">
        <f>Input!V56</f>
        <v>1</v>
      </c>
      <c r="J56" s="229" t="str">
        <f>Input!K56</f>
        <v>1502435/16/TG/TT2</v>
      </c>
      <c r="K56" s="231" t="str">
        <f>TEXT(Input!L56,"dd/mm/yyyy")</f>
        <v>23/09/2016</v>
      </c>
      <c r="L56" s="231" t="str">
        <f>TEXT(Input!M56,"dd/mm/yyyy")</f>
        <v>21/09/2016</v>
      </c>
      <c r="M56" s="229" t="str">
        <f t="shared" si="135"/>
        <v>TỔNG CÔNG TY MẠNG LƯỚI VIETTEL</v>
      </c>
      <c r="N56" s="229" t="str">
        <f t="shared" si="136"/>
        <v>HCM2150</v>
      </c>
      <c r="O56" s="229" t="str">
        <f t="shared" si="137"/>
        <v>HUAWEI DBS3900</v>
      </c>
      <c r="P56" s="229" t="str">
        <f t="shared" si="138"/>
        <v>3</v>
      </c>
      <c r="Q56" s="229" t="str">
        <f t="shared" si="139"/>
        <v>2/2/2</v>
      </c>
      <c r="R56" s="229" t="str">
        <f t="shared" si="140"/>
        <v>40W/ 40W/ 40W</v>
      </c>
      <c r="S56" s="229" t="str">
        <f t="shared" si="141"/>
        <v>2100</v>
      </c>
      <c r="T56" s="229" t="str">
        <f t="shared" si="142"/>
        <v>27m/ 27m/ 27m</v>
      </c>
      <c r="U56" s="229">
        <v>1</v>
      </c>
      <c r="V56" s="229"/>
      <c r="W56" s="229" t="b">
        <f t="shared" si="143"/>
        <v>0</v>
      </c>
      <c r="X56" s="229" t="b">
        <f>INDEX(TrueFalseList,_xlfn.IFNA(MATCH(Input!W56,CoKhongList,0),MATCH(Input!W56,YesNoList,0)))</f>
        <v>0</v>
      </c>
      <c r="Y56" s="797">
        <f>Input!FZ56</f>
        <v>0</v>
      </c>
      <c r="Z56" s="229" t="b">
        <v>1</v>
      </c>
      <c r="AA56" s="797">
        <f t="shared" si="144"/>
        <v>27</v>
      </c>
      <c r="AB56" s="229" t="b">
        <v>0</v>
      </c>
      <c r="AC56" s="229" t="b">
        <v>1</v>
      </c>
      <c r="AD56" s="229">
        <f>Input!DR56</f>
        <v>0</v>
      </c>
      <c r="AE56" s="229"/>
      <c r="AF56" s="229" t="str">
        <f>Options!$D$6</f>
        <v>VCC2</v>
      </c>
      <c r="AG56" s="229">
        <f t="shared" si="145"/>
        <v>0</v>
      </c>
      <c r="AH56" s="230"/>
      <c r="AI56" s="553" t="str">
        <f>Input!E56</f>
        <v>TỔNG CÔNG TY MẠNG LƯỚI VIETTEL</v>
      </c>
      <c r="AJ56" s="553" t="str">
        <f>Input!F56</f>
        <v>TỔNG CÔNG TY MẠNG LƯỚI VIETTEL</v>
      </c>
      <c r="AK56" s="229">
        <f t="shared" si="146"/>
        <v>4</v>
      </c>
      <c r="AL56" s="465" t="str">
        <f t="shared" si="147"/>
        <v>thành phố Hồ Chí Minh.</v>
      </c>
      <c r="AM56" s="465" t="str">
        <f t="shared" si="148"/>
        <v>quận 8</v>
      </c>
      <c r="AN56" s="465" t="str">
        <f t="shared" si="149"/>
        <v>phường 4</v>
      </c>
      <c r="AO56" s="229" t="str">
        <f>INDEX(CityIDList,MATCH(F56,CityNameList,0))</f>
        <v>HCM</v>
      </c>
      <c r="AP56" s="230" t="str">
        <f>Input!X56</f>
        <v>TỔNG CÔNG TY MẠNG LƯỚI VIETTEL</v>
      </c>
      <c r="AQ56" s="230">
        <f>Input!AN56</f>
        <v>0</v>
      </c>
      <c r="AR56" s="230">
        <f>Input!BD56</f>
        <v>0</v>
      </c>
      <c r="AS56" s="230" t="str">
        <f>Input!BT56</f>
      </c>
      <c r="AT56" s="230" t="str">
        <f>Input!CH56</f>
      </c>
      <c r="AU56" s="230" t="str">
        <f>Input!CV56</f>
      </c>
      <c r="AV56" s="230" t="str">
        <f>IF(I56&gt;=1,INDEX(OperatorIDList,MATCH(AP56,OperatorNameList,0)),"")</f>
        <v>VIETTEL-2016</v>
      </c>
      <c r="AW56" s="230" t="str">
        <f>IF(I56&gt;=2,INDEX(OperatorIDList,MATCH(AQ56,OperatorNameList,0)),"")</f>
      </c>
      <c r="AX56" s="230" t="str">
        <f>IF(I56&gt;=3,INDEX(OperatorIDList,MATCH(AR56,OperatorNameList,0)),"")</f>
      </c>
      <c r="AY56" s="230" t="str">
        <f>IF(I56&gt;=4,INDEX(OperatorIDList,MATCH(AS56,OperatorNameList,0)),"")</f>
      </c>
      <c r="AZ56" s="230" t="str">
        <f>IF(I56&gt;=5,INDEX(OperatorIDList,MATCH(AT56,OperatorNameList,0)),"")</f>
      </c>
      <c r="BA56" s="230" t="str">
        <f>IF(I56&gt;=6,INDEX(OperatorIDList,MATCH(AU56,OperatorNameList,0)),"")</f>
      </c>
      <c r="BB56" s="230" t="str">
        <f t="shared" si="150"/>
        <v>VIETTEL-2016</v>
      </c>
      <c r="BC56" s="230" t="str">
        <f>Input!Y56</f>
        <v>HCM2150</v>
      </c>
      <c r="BD56" s="230">
        <f>Input!AO56</f>
        <v>0</v>
      </c>
      <c r="BE56" s="230">
        <f>Input!BE56</f>
        <v>0</v>
      </c>
      <c r="BF56" s="230" t="str">
        <f>Input!BU56</f>
      </c>
      <c r="BG56" s="230" t="str">
        <f>Input!CI56</f>
      </c>
      <c r="BH56" s="230" t="str">
        <f>Input!CW56</f>
      </c>
      <c r="BI56" s="230" t="str">
        <f>Input!Z56</f>
        <v>HUAWEI DBS3900</v>
      </c>
      <c r="BJ56" s="230">
        <f>Input!AP56</f>
        <v>0</v>
      </c>
      <c r="BK56" s="230">
        <f>Input!BF56</f>
        <v>0</v>
      </c>
      <c r="BL56" s="230" t="str">
        <f>Input!BV56</f>
      </c>
      <c r="BM56" s="230" t="str">
        <f>Input!CJ56</f>
      </c>
      <c r="BN56" s="230" t="str">
        <f>Input!CX56</f>
      </c>
      <c r="BO56" s="553">
        <f>IF(ISNUMBER(Input!AA56),Input!AA56,0)</f>
        <v>3</v>
      </c>
      <c r="BP56" s="553">
        <f>IF(ISNUMBER(Input!AQ56),Input!AQ56,0)</f>
        <v>0</v>
      </c>
      <c r="BQ56" s="553">
        <f>IF(ISNUMBER(Input!BG56),Input!BG56,0)</f>
        <v>0</v>
      </c>
      <c r="BR56" s="553">
        <f>IF(ISNUMBER(Input!BW56),Input!BW56,0)</f>
        <v>0</v>
      </c>
      <c r="BS56" s="553">
        <f>IF(ISNUMBER(Input!CK56),Input!CK56,0)</f>
        <v>0</v>
      </c>
      <c r="BT56" s="554">
        <f>IF(ISNUMBER(Input!CY56),Input!CY56,0)</f>
        <v>0</v>
      </c>
      <c r="BU56" s="230" t="str">
        <f>Input!AF56</f>
        <v>2/2/2</v>
      </c>
      <c r="BV56" s="230" t="str">
        <f>Input!AV56</f>
      </c>
      <c r="BW56" s="230" t="str">
        <f>Input!BL56</f>
      </c>
      <c r="BX56" s="230" t="str">
        <f>Input!CA56</f>
      </c>
      <c r="BY56" s="230" t="str">
        <f>Input!CO56</f>
      </c>
      <c r="BZ56" s="230" t="str">
        <f>Input!DC56</f>
      </c>
      <c r="CA56" s="230">
        <f t="shared" si="151"/>
        <v>2</v>
      </c>
      <c r="CB56" s="230">
        <f t="shared" si="152"/>
        <v>2</v>
      </c>
      <c r="CC56" s="230">
        <f t="shared" si="153"/>
        <v>2</v>
      </c>
      <c r="CD56" s="230">
        <f t="shared" si="154"/>
        <v>0</v>
      </c>
      <c r="CE56" s="230">
        <f t="shared" si="155"/>
        <v>0</v>
      </c>
      <c r="CF56" s="230">
        <f t="shared" si="156"/>
        <v>0</v>
      </c>
      <c r="CG56" s="230">
        <f t="shared" si="157"/>
        <v>0</v>
      </c>
      <c r="CH56" s="230">
        <f t="shared" si="158"/>
        <v>0</v>
      </c>
      <c r="CI56" s="230">
        <f t="shared" si="159"/>
        <v>0</v>
      </c>
      <c r="CJ56" s="230">
        <f t="shared" si="160"/>
        <v>0</v>
      </c>
      <c r="CK56" s="230">
        <f t="shared" si="161"/>
        <v>0</v>
      </c>
      <c r="CL56" s="230">
        <f t="shared" si="162"/>
        <v>0</v>
      </c>
      <c r="CM56" s="230">
        <f t="shared" si="163"/>
        <v>0</v>
      </c>
      <c r="CN56" s="230">
        <f t="shared" si="164"/>
        <v>0</v>
      </c>
      <c r="CO56" s="230">
        <f t="shared" si="165"/>
        <v>0</v>
      </c>
      <c r="CP56" s="230">
        <f t="shared" si="166"/>
        <v>0</v>
      </c>
      <c r="CQ56" s="230">
        <f t="shared" si="167"/>
        <v>0</v>
      </c>
      <c r="CR56" s="230">
        <f t="shared" si="168"/>
        <v>0</v>
      </c>
      <c r="CS56" s="230">
        <f t="shared" si="169"/>
        <v>0</v>
      </c>
      <c r="CT56" s="230">
        <f t="shared" si="170"/>
        <v>0</v>
      </c>
      <c r="CU56" s="230">
        <f t="shared" si="171"/>
        <v>0</v>
      </c>
      <c r="CV56" s="230">
        <f t="shared" si="172"/>
        <v>0</v>
      </c>
      <c r="CW56" s="230">
        <f t="shared" si="173"/>
        <v>0</v>
      </c>
      <c r="CX56" s="230">
        <f t="shared" si="174"/>
        <v>0</v>
      </c>
      <c r="CY56" s="230">
        <f t="shared" si="175"/>
        <v>0</v>
      </c>
      <c r="CZ56" s="230">
        <f t="shared" si="176"/>
        <v>0</v>
      </c>
      <c r="DA56" s="230">
        <f t="shared" si="177"/>
        <v>0</v>
      </c>
      <c r="DB56" s="230">
        <f t="shared" si="178"/>
        <v>0</v>
      </c>
      <c r="DC56" s="230">
        <f t="shared" si="179"/>
        <v>0</v>
      </c>
      <c r="DD56" s="230">
        <f t="shared" si="180"/>
        <v>0</v>
      </c>
      <c r="DE56" s="230">
        <f t="shared" si="181"/>
        <v>0</v>
      </c>
      <c r="DF56" s="230">
        <f t="shared" si="182"/>
        <v>0</v>
      </c>
      <c r="DG56" s="230">
        <f t="shared" si="183"/>
        <v>0</v>
      </c>
      <c r="DH56" s="230">
        <f t="shared" si="184"/>
        <v>0</v>
      </c>
      <c r="DI56" s="230">
        <f t="shared" si="185"/>
        <v>0</v>
      </c>
      <c r="DJ56" s="230">
        <f t="shared" si="186"/>
        <v>0</v>
      </c>
      <c r="DK56" s="230" t="str">
        <f>Input!AK56</f>
        <v>40,00W/40,00W/40,00W</v>
      </c>
      <c r="DL56" s="230" t="str">
        <f>Input!BA56</f>
      </c>
      <c r="DM56" s="230" t="str">
        <f>Input!BQ56</f>
      </c>
      <c r="DN56" s="230" t="str">
        <f>Input!CE56</f>
      </c>
      <c r="DO56" s="230" t="str">
        <f>Input!CS56</f>
      </c>
      <c r="DP56" s="230" t="str">
        <f>Input!DG56</f>
      </c>
      <c r="DQ56" s="230" t="str">
        <f t="shared" si="187"/>
        <v>40W/ 40W/ 40W</v>
      </c>
      <c r="DR56" s="230" t="str">
        <f t="shared" si="188"/>
      </c>
      <c r="DS56" s="230" t="str">
        <f t="shared" si="189"/>
      </c>
      <c r="DT56" s="230" t="str">
        <f t="shared" si="190"/>
      </c>
      <c r="DU56" s="230" t="str">
        <f t="shared" si="191"/>
      </c>
      <c r="DV56" s="230" t="str">
        <f t="shared" si="192"/>
      </c>
      <c r="DW56" s="230">
        <f t="shared" si="193"/>
        <v>40</v>
      </c>
      <c r="DX56" s="230">
        <f t="shared" si="194"/>
        <v>40</v>
      </c>
      <c r="DY56" s="230">
        <f t="shared" si="195"/>
        <v>40</v>
      </c>
      <c r="DZ56" s="230">
        <f t="shared" si="196"/>
        <v>0</v>
      </c>
      <c r="EA56" s="230">
        <f t="shared" si="197"/>
        <v>0</v>
      </c>
      <c r="EB56" s="230">
        <f t="shared" si="198"/>
        <v>0</v>
      </c>
      <c r="EC56" s="230">
        <f t="shared" si="199"/>
        <v>40</v>
      </c>
      <c r="ED56" s="230">
        <f t="shared" si="200"/>
        <v>0</v>
      </c>
      <c r="EE56" s="230">
        <f t="shared" si="201"/>
        <v>0</v>
      </c>
      <c r="EF56" s="230">
        <f t="shared" si="202"/>
        <v>0</v>
      </c>
      <c r="EG56" s="230">
        <f t="shared" si="203"/>
        <v>0</v>
      </c>
      <c r="EH56" s="230">
        <f t="shared" si="204"/>
        <v>0</v>
      </c>
      <c r="EI56" s="230">
        <f t="shared" si="205"/>
        <v>0</v>
      </c>
      <c r="EJ56" s="230">
        <f t="shared" si="206"/>
        <v>0</v>
      </c>
      <c r="EK56" s="230">
        <f t="shared" si="207"/>
        <v>0</v>
      </c>
      <c r="EL56" s="230">
        <f t="shared" si="208"/>
        <v>0</v>
      </c>
      <c r="EM56" s="230">
        <f t="shared" si="209"/>
        <v>0</v>
      </c>
      <c r="EN56" s="230">
        <f t="shared" si="210"/>
        <v>0</v>
      </c>
      <c r="EO56" s="230">
        <f t="shared" si="211"/>
        <v>0</v>
      </c>
      <c r="EP56" s="230">
        <f t="shared" si="212"/>
        <v>0</v>
      </c>
      <c r="EQ56" s="230">
        <f t="shared" si="213"/>
        <v>0</v>
      </c>
      <c r="ER56" s="230">
        <f t="shared" si="214"/>
        <v>0</v>
      </c>
      <c r="ES56" s="230">
        <f t="shared" si="215"/>
        <v>0</v>
      </c>
      <c r="ET56" s="230">
        <f t="shared" si="216"/>
        <v>0</v>
      </c>
      <c r="EU56" s="230">
        <f t="shared" si="217"/>
        <v>0</v>
      </c>
      <c r="EV56" s="230">
        <f t="shared" si="218"/>
        <v>0</v>
      </c>
      <c r="EW56" s="230">
        <f t="shared" si="219"/>
        <v>0</v>
      </c>
      <c r="EX56" s="230">
        <f t="shared" si="220"/>
        <v>0</v>
      </c>
      <c r="EY56" s="230">
        <f t="shared" si="221"/>
        <v>0</v>
      </c>
      <c r="EZ56" s="230">
        <f t="shared" si="222"/>
        <v>0</v>
      </c>
      <c r="FA56" s="230">
        <f t="shared" si="223"/>
        <v>0</v>
      </c>
      <c r="FB56" s="230">
        <f t="shared" si="224"/>
        <v>0</v>
      </c>
      <c r="FC56" s="230">
        <f t="shared" si="225"/>
        <v>0</v>
      </c>
      <c r="FD56" s="230">
        <f t="shared" si="226"/>
        <v>0</v>
      </c>
      <c r="FE56" s="230">
        <f t="shared" si="227"/>
        <v>0</v>
      </c>
      <c r="FF56" s="230">
        <f t="shared" si="228"/>
        <v>0</v>
      </c>
      <c r="FG56" s="230">
        <f t="shared" si="229"/>
        <v>0</v>
      </c>
      <c r="FH56" s="230">
        <f t="shared" si="230"/>
        <v>0</v>
      </c>
      <c r="FI56" s="230">
        <f t="shared" si="231"/>
        <v>0</v>
      </c>
      <c r="FJ56" s="230">
        <f t="shared" si="232"/>
        <v>0</v>
      </c>
      <c r="FK56" s="230">
        <f t="shared" si="233"/>
        <v>0</v>
      </c>
      <c r="FL56" s="230">
        <f t="shared" si="234"/>
        <v>0</v>
      </c>
      <c r="FM56" s="230">
        <f t="shared" si="235"/>
        <v>40</v>
      </c>
      <c r="FN56" s="230">
        <f>Input!AL56</f>
        <v>2100</v>
      </c>
      <c r="FO56" s="230">
        <f>Input!BB56</f>
        <v>0</v>
      </c>
      <c r="FP56" s="230">
        <f>Input!BR56</f>
        <v>0</v>
      </c>
      <c r="FQ56" s="230" t="str">
        <f>Input!CF56</f>
      </c>
      <c r="FR56" s="230" t="str">
        <f>Input!CT56</f>
      </c>
      <c r="FS56" s="230" t="str">
        <f>Input!DH56</f>
      </c>
      <c r="FT56" s="230" t="str">
        <f>Input!AM56</f>
        <v>27m/ 27m/ 27m</v>
      </c>
      <c r="FU56" s="230">
        <f>Input!BC56</f>
        <v>0</v>
      </c>
      <c r="FV56" s="230">
        <f>Input!BS56</f>
        <v>0</v>
      </c>
      <c r="FW56" s="230" t="str">
        <f>Input!CG56</f>
      </c>
      <c r="FX56" s="230" t="str">
        <f>Input!CU56</f>
      </c>
      <c r="FY56" s="230" t="str">
        <f>Input!DI56</f>
      </c>
      <c r="FZ56" s="230" t="str">
        <f t="shared" si="236"/>
        <v>27m/ 27m/ 27m</v>
      </c>
      <c r="GA56" s="230" t="str">
        <f t="shared" si="237"/>
      </c>
      <c r="GB56" s="230" t="str">
        <f t="shared" si="238"/>
      </c>
      <c r="GC56" s="230" t="str">
        <f t="shared" si="239"/>
      </c>
      <c r="GD56" s="230" t="str">
        <f t="shared" si="240"/>
      </c>
      <c r="GE56" s="230" t="str">
        <f t="shared" si="241"/>
      </c>
      <c r="GF56" s="230">
        <f t="shared" si="242"/>
        <v>27</v>
      </c>
      <c r="GG56" s="230">
        <f t="shared" si="243"/>
        <v>27</v>
      </c>
      <c r="GH56" s="230">
        <f t="shared" si="244"/>
        <v>27</v>
      </c>
      <c r="GI56" s="230">
        <f t="shared" si="245"/>
        <v>0</v>
      </c>
      <c r="GJ56" s="230">
        <f t="shared" si="246"/>
        <v>0</v>
      </c>
      <c r="GK56" s="230">
        <f t="shared" si="247"/>
        <v>0</v>
      </c>
      <c r="GL56" s="230">
        <f t="shared" si="248"/>
        <v>0</v>
      </c>
      <c r="GM56" s="230">
        <f t="shared" si="249"/>
        <v>0</v>
      </c>
      <c r="GN56" s="230">
        <f t="shared" si="250"/>
        <v>0</v>
      </c>
      <c r="GO56" s="230">
        <f t="shared" si="251"/>
        <v>0</v>
      </c>
      <c r="GP56" s="230">
        <f t="shared" si="252"/>
        <v>0</v>
      </c>
      <c r="GQ56" s="230">
        <f t="shared" si="253"/>
        <v>0</v>
      </c>
      <c r="GR56" s="230">
        <f t="shared" si="254"/>
        <v>0</v>
      </c>
      <c r="GS56" s="230">
        <f t="shared" si="255"/>
        <v>0</v>
      </c>
      <c r="GT56" s="230">
        <f t="shared" si="256"/>
        <v>0</v>
      </c>
      <c r="GU56" s="230">
        <f t="shared" si="257"/>
        <v>0</v>
      </c>
      <c r="GV56" s="230">
        <f t="shared" si="258"/>
        <v>0</v>
      </c>
      <c r="GW56" s="230">
        <f t="shared" si="259"/>
        <v>0</v>
      </c>
      <c r="GX56" s="230">
        <f t="shared" si="260"/>
        <v>0</v>
      </c>
      <c r="GY56" s="230">
        <f t="shared" si="261"/>
        <v>0</v>
      </c>
      <c r="GZ56" s="230">
        <f t="shared" si="262"/>
        <v>0</v>
      </c>
      <c r="HA56" s="230">
        <f t="shared" si="263"/>
        <v>0</v>
      </c>
      <c r="HB56" s="230">
        <f t="shared" si="264"/>
        <v>0</v>
      </c>
      <c r="HC56" s="230">
        <f t="shared" si="265"/>
        <v>0</v>
      </c>
      <c r="HD56" s="230">
        <f t="shared" si="266"/>
        <v>0</v>
      </c>
      <c r="HE56" s="230">
        <f t="shared" si="267"/>
        <v>0</v>
      </c>
      <c r="HF56" s="230">
        <f t="shared" si="268"/>
        <v>0</v>
      </c>
      <c r="HG56" s="230">
        <f t="shared" si="269"/>
        <v>0</v>
      </c>
      <c r="HH56" s="230">
        <f t="shared" si="270"/>
        <v>0</v>
      </c>
      <c r="HI56" s="230">
        <f t="shared" si="271"/>
        <v>0</v>
      </c>
      <c r="HJ56" s="230">
        <f t="shared" si="272"/>
        <v>0</v>
      </c>
      <c r="HK56" s="230">
        <f t="shared" si="273"/>
        <v>0</v>
      </c>
      <c r="HL56" s="230">
        <f t="shared" si="274"/>
        <v>0</v>
      </c>
      <c r="HM56" s="230">
        <f t="shared" si="275"/>
        <v>0</v>
      </c>
      <c r="HN56" s="230">
        <f t="shared" si="276"/>
        <v>0</v>
      </c>
      <c r="HO56" s="230">
        <f t="shared" si="277"/>
        <v>0</v>
      </c>
      <c r="HP56" s="230" t="str">
        <f>INDEX(LabNameList,MATCH(LabId,LabIDList,0))</f>
        <v>Trung tâm Kiểm định và Chứng nhận 2</v>
      </c>
      <c r="HQ56" s="230">
        <f t="shared" si="278"/>
        <v>27</v>
      </c>
      <c r="HR56" s="230">
        <f t="shared" si="279"/>
        <v>0</v>
      </c>
      <c r="HS56" s="230">
        <f t="shared" si="280"/>
        <v>0</v>
      </c>
      <c r="HT56" s="230">
        <f t="shared" si="281"/>
        <v>0</v>
      </c>
      <c r="HU56" s="230">
        <f t="shared" si="282"/>
        <v>0</v>
      </c>
      <c r="HV56" s="230">
        <f t="shared" si="283"/>
        <v>0</v>
      </c>
      <c r="HW56" s="797">
        <f t="shared" si="284"/>
        <v>27</v>
      </c>
      <c r="HX56" s="797">
        <f>Input!EB56</f>
        <v>0</v>
      </c>
      <c r="HY56" s="230">
        <v>68</v>
      </c>
      <c r="HZ56" s="230"/>
      <c r="IA56" s="230"/>
      <c r="IB56" s="230"/>
      <c r="IC56" s="232" t="str">
        <f t="shared" si="285"/>
        <v>B02007230916TG05</v>
      </c>
      <c r="ID56" s="233" t="str">
        <f>Input!O56</f>
        <v>02007</v>
      </c>
      <c r="IE56" s="467" t="str">
        <f t="shared" si="286"/>
        <v>230916</v>
      </c>
      <c r="IF56" s="232" t="s">
        <v>364</v>
      </c>
      <c r="IG56" s="467" t="str">
        <f t="shared" si="287"/>
        <v>23/09/2016</v>
      </c>
      <c r="IH56" s="467" t="str">
        <f t="shared" si="288"/>
        <v>23/09/2021</v>
      </c>
      <c r="II56" s="546" t="str">
        <f> Input!R56</f>
        <v>23/09/2016</v>
      </c>
      <c r="IJ56" s="467">
        <f t="shared" si="289"/>
        <v>44462</v>
      </c>
      <c r="IK56" s="468">
        <f t="shared" si="290"/>
        <v>3</v>
      </c>
      <c r="IL56" s="469" t="str">
        <f t="shared" si="291"/>
        <v>3-1</v>
      </c>
      <c r="IM56" s="469" t="str">
        <f t="shared" si="292"/>
        <v>KHAC</v>
      </c>
      <c r="IN56" s="469" t="str">
        <f t="shared" si="293"/>
        <v>KHAC</v>
      </c>
      <c r="IO56" s="469" t="str">
        <f t="shared" si="294"/>
      </c>
      <c r="IP56" s="469" t="str">
        <f t="shared" si="295"/>
      </c>
      <c r="IQ56" s="469" t="str">
        <f t="shared" si="296"/>
      </c>
      <c r="IR56" s="469">
        <f t="shared" si="297"/>
        <v>1</v>
      </c>
      <c r="IS56" s="469">
        <f t="shared" si="298"/>
        <v>2</v>
      </c>
      <c r="IT56" s="469" t="str">
        <f t="shared" si="299"/>
        <v>Yes</v>
      </c>
      <c r="IU56" s="469" t="str">
        <f t="shared" si="300"/>
        <v>Yes</v>
      </c>
    </row>
    <row r="57" ht="63.75">
      <c r="A57" s="601">
        <f>Input!A57</f>
        <v>56</v>
      </c>
      <c r="B57" s="229" t="str">
        <f>INDEX(ApplicantIDList,MATCH(AI57,ApplicantNameList,0))</f>
        <v>VIETTEL-2016</v>
      </c>
      <c r="C57" s="229" t="str">
        <f>INDEX(OperatorIDList,MATCH(AJ57,OperatorNameList,0))</f>
        <v>VIETTEL-2016</v>
      </c>
      <c r="D57" s="797" t="str">
        <f>Input!Y57</f>
        <v>HCM2154</v>
      </c>
      <c r="E57" s="229" t="str">
        <f>Input!G57</f>
        <v>Số 35, đường Bình Đức, phường 15, quận 8, thành phố Hồ Chí Minh.</v>
      </c>
      <c r="F57" s="229" t="str">
        <f>TRIM(SUBSTITUTE(SUBSTITUTE(Input!H57,"Thành phố ",""),"Tỉnh ",""))</f>
        <v>Hồ Chí Minh</v>
      </c>
      <c r="G57" s="797" t="str">
        <f>Input!I57</f>
        <v>106,63324</v>
      </c>
      <c r="H57" s="797" t="str">
        <f>Input!J57</f>
        <v>10,72328</v>
      </c>
      <c r="I57" s="229">
        <f>Input!V57</f>
        <v>1</v>
      </c>
      <c r="J57" s="229" t="str">
        <f>Input!K57</f>
        <v>1502437/16/TG/TT2</v>
      </c>
      <c r="K57" s="231" t="str">
        <f>TEXT(Input!L57,"dd/mm/yyyy")</f>
        <v>23/09/2016</v>
      </c>
      <c r="L57" s="231" t="str">
        <f>TEXT(Input!M57,"dd/mm/yyyy")</f>
        <v>22/09/2016</v>
      </c>
      <c r="M57" s="229" t="str">
        <f t="shared" si="135"/>
        <v>TỔNG CÔNG TY MẠNG LƯỚI VIETTEL</v>
      </c>
      <c r="N57" s="229" t="str">
        <f t="shared" si="136"/>
        <v>HCM2154</v>
      </c>
      <c r="O57" s="229" t="str">
        <f t="shared" si="137"/>
        <v>HUAWEI DBS3900</v>
      </c>
      <c r="P57" s="229" t="str">
        <f t="shared" si="138"/>
        <v>3</v>
      </c>
      <c r="Q57" s="229" t="str">
        <f t="shared" si="139"/>
        <v>2/2/2</v>
      </c>
      <c r="R57" s="229" t="str">
        <f t="shared" si="140"/>
        <v>40W/ 40W/ 40W</v>
      </c>
      <c r="S57" s="229" t="str">
        <f t="shared" si="141"/>
        <v>2100</v>
      </c>
      <c r="T57" s="229" t="str">
        <f t="shared" si="142"/>
        <v>28m/ 28m/ 28m</v>
      </c>
      <c r="U57" s="229">
        <v>1</v>
      </c>
      <c r="V57" s="229"/>
      <c r="W57" s="229" t="b">
        <f t="shared" si="143"/>
        <v>0</v>
      </c>
      <c r="X57" s="229" t="b">
        <f>INDEX(TrueFalseList,_xlfn.IFNA(MATCH(Input!W57,CoKhongList,0),MATCH(Input!W57,YesNoList,0)))</f>
        <v>0</v>
      </c>
      <c r="Y57" s="797">
        <f>Input!FZ57</f>
        <v>0</v>
      </c>
      <c r="Z57" s="229" t="b">
        <v>1</v>
      </c>
      <c r="AA57" s="797">
        <f t="shared" si="144"/>
        <v>28</v>
      </c>
      <c r="AB57" s="229" t="b">
        <v>0</v>
      </c>
      <c r="AC57" s="229" t="b">
        <v>1</v>
      </c>
      <c r="AD57" s="229">
        <f>Input!DR57</f>
        <v>0</v>
      </c>
      <c r="AE57" s="229"/>
      <c r="AF57" s="229" t="str">
        <f>Options!$D$6</f>
        <v>VCC2</v>
      </c>
      <c r="AG57" s="229">
        <f t="shared" si="145"/>
        <v>0</v>
      </c>
      <c r="AH57" s="230"/>
      <c r="AI57" s="553" t="str">
        <f>Input!E57</f>
        <v>TỔNG CÔNG TY MẠNG LƯỚI VIETTEL</v>
      </c>
      <c r="AJ57" s="553" t="str">
        <f>Input!F57</f>
        <v>TỔNG CÔNG TY MẠNG LƯỚI VIETTEL</v>
      </c>
      <c r="AK57" s="229">
        <f t="shared" si="146"/>
        <v>4</v>
      </c>
      <c r="AL57" s="465" t="str">
        <f t="shared" si="147"/>
        <v>thành phố Hồ Chí Minh.</v>
      </c>
      <c r="AM57" s="465" t="str">
        <f t="shared" si="148"/>
        <v>quận 8</v>
      </c>
      <c r="AN57" s="465" t="str">
        <f t="shared" si="149"/>
        <v>phường 15</v>
      </c>
      <c r="AO57" s="229" t="str">
        <f>INDEX(CityIDList,MATCH(F57,CityNameList,0))</f>
        <v>HCM</v>
      </c>
      <c r="AP57" s="230" t="str">
        <f>Input!X57</f>
        <v>TỔNG CÔNG TY MẠNG LƯỚI VIETTEL</v>
      </c>
      <c r="AQ57" s="230">
        <f>Input!AN57</f>
        <v>0</v>
      </c>
      <c r="AR57" s="230">
        <f>Input!BD57</f>
        <v>0</v>
      </c>
      <c r="AS57" s="230" t="str">
        <f>Input!BT57</f>
      </c>
      <c r="AT57" s="230" t="str">
        <f>Input!CH57</f>
      </c>
      <c r="AU57" s="230" t="str">
        <f>Input!CV57</f>
      </c>
      <c r="AV57" s="230" t="str">
        <f>IF(I57&gt;=1,INDEX(OperatorIDList,MATCH(AP57,OperatorNameList,0)),"")</f>
        <v>VIETTEL-2016</v>
      </c>
      <c r="AW57" s="230" t="str">
        <f>IF(I57&gt;=2,INDEX(OperatorIDList,MATCH(AQ57,OperatorNameList,0)),"")</f>
      </c>
      <c r="AX57" s="230" t="str">
        <f>IF(I57&gt;=3,INDEX(OperatorIDList,MATCH(AR57,OperatorNameList,0)),"")</f>
      </c>
      <c r="AY57" s="230" t="str">
        <f>IF(I57&gt;=4,INDEX(OperatorIDList,MATCH(AS57,OperatorNameList,0)),"")</f>
      </c>
      <c r="AZ57" s="230" t="str">
        <f>IF(I57&gt;=5,INDEX(OperatorIDList,MATCH(AT57,OperatorNameList,0)),"")</f>
      </c>
      <c r="BA57" s="230" t="str">
        <f>IF(I57&gt;=6,INDEX(OperatorIDList,MATCH(AU57,OperatorNameList,0)),"")</f>
      </c>
      <c r="BB57" s="230" t="str">
        <f t="shared" si="150"/>
        <v>VIETTEL-2016</v>
      </c>
      <c r="BC57" s="230" t="str">
        <f>Input!Y57</f>
        <v>HCM2154</v>
      </c>
      <c r="BD57" s="230">
        <f>Input!AO57</f>
        <v>0</v>
      </c>
      <c r="BE57" s="230">
        <f>Input!BE57</f>
        <v>0</v>
      </c>
      <c r="BF57" s="230" t="str">
        <f>Input!BU57</f>
      </c>
      <c r="BG57" s="230" t="str">
        <f>Input!CI57</f>
      </c>
      <c r="BH57" s="230" t="str">
        <f>Input!CW57</f>
      </c>
      <c r="BI57" s="230" t="str">
        <f>Input!Z57</f>
        <v>HUAWEI DBS3900</v>
      </c>
      <c r="BJ57" s="230">
        <f>Input!AP57</f>
        <v>0</v>
      </c>
      <c r="BK57" s="230">
        <f>Input!BF57</f>
        <v>0</v>
      </c>
      <c r="BL57" s="230" t="str">
        <f>Input!BV57</f>
      </c>
      <c r="BM57" s="230" t="str">
        <f>Input!CJ57</f>
      </c>
      <c r="BN57" s="230" t="str">
        <f>Input!CX57</f>
      </c>
      <c r="BO57" s="553">
        <f>IF(ISNUMBER(Input!AA57),Input!AA57,0)</f>
        <v>3</v>
      </c>
      <c r="BP57" s="553">
        <f>IF(ISNUMBER(Input!AQ57),Input!AQ57,0)</f>
        <v>0</v>
      </c>
      <c r="BQ57" s="553">
        <f>IF(ISNUMBER(Input!BG57),Input!BG57,0)</f>
        <v>0</v>
      </c>
      <c r="BR57" s="553">
        <f>IF(ISNUMBER(Input!BW57),Input!BW57,0)</f>
        <v>0</v>
      </c>
      <c r="BS57" s="553">
        <f>IF(ISNUMBER(Input!CK57),Input!CK57,0)</f>
        <v>0</v>
      </c>
      <c r="BT57" s="554">
        <f>IF(ISNUMBER(Input!CY57),Input!CY57,0)</f>
        <v>0</v>
      </c>
      <c r="BU57" s="230" t="str">
        <f>Input!AF57</f>
        <v>2/2/2</v>
      </c>
      <c r="BV57" s="230" t="str">
        <f>Input!AV57</f>
      </c>
      <c r="BW57" s="230" t="str">
        <f>Input!BL57</f>
      </c>
      <c r="BX57" s="230" t="str">
        <f>Input!CA57</f>
      </c>
      <c r="BY57" s="230" t="str">
        <f>Input!CO57</f>
      </c>
      <c r="BZ57" s="230" t="str">
        <f>Input!DC57</f>
      </c>
      <c r="CA57" s="230">
        <f t="shared" si="151"/>
        <v>2</v>
      </c>
      <c r="CB57" s="230">
        <f t="shared" si="152"/>
        <v>2</v>
      </c>
      <c r="CC57" s="230">
        <f t="shared" si="153"/>
        <v>2</v>
      </c>
      <c r="CD57" s="230">
        <f t="shared" si="154"/>
        <v>0</v>
      </c>
      <c r="CE57" s="230">
        <f t="shared" si="155"/>
        <v>0</v>
      </c>
      <c r="CF57" s="230">
        <f t="shared" si="156"/>
        <v>0</v>
      </c>
      <c r="CG57" s="230">
        <f t="shared" si="157"/>
        <v>0</v>
      </c>
      <c r="CH57" s="230">
        <f t="shared" si="158"/>
        <v>0</v>
      </c>
      <c r="CI57" s="230">
        <f t="shared" si="159"/>
        <v>0</v>
      </c>
      <c r="CJ57" s="230">
        <f t="shared" si="160"/>
        <v>0</v>
      </c>
      <c r="CK57" s="230">
        <f t="shared" si="161"/>
        <v>0</v>
      </c>
      <c r="CL57" s="230">
        <f t="shared" si="162"/>
        <v>0</v>
      </c>
      <c r="CM57" s="230">
        <f t="shared" si="163"/>
        <v>0</v>
      </c>
      <c r="CN57" s="230">
        <f t="shared" si="164"/>
        <v>0</v>
      </c>
      <c r="CO57" s="230">
        <f t="shared" si="165"/>
        <v>0</v>
      </c>
      <c r="CP57" s="230">
        <f t="shared" si="166"/>
        <v>0</v>
      </c>
      <c r="CQ57" s="230">
        <f t="shared" si="167"/>
        <v>0</v>
      </c>
      <c r="CR57" s="230">
        <f t="shared" si="168"/>
        <v>0</v>
      </c>
      <c r="CS57" s="230">
        <f t="shared" si="169"/>
        <v>0</v>
      </c>
      <c r="CT57" s="230">
        <f t="shared" si="170"/>
        <v>0</v>
      </c>
      <c r="CU57" s="230">
        <f t="shared" si="171"/>
        <v>0</v>
      </c>
      <c r="CV57" s="230">
        <f t="shared" si="172"/>
        <v>0</v>
      </c>
      <c r="CW57" s="230">
        <f t="shared" si="173"/>
        <v>0</v>
      </c>
      <c r="CX57" s="230">
        <f t="shared" si="174"/>
        <v>0</v>
      </c>
      <c r="CY57" s="230">
        <f t="shared" si="175"/>
        <v>0</v>
      </c>
      <c r="CZ57" s="230">
        <f t="shared" si="176"/>
        <v>0</v>
      </c>
      <c r="DA57" s="230">
        <f t="shared" si="177"/>
        <v>0</v>
      </c>
      <c r="DB57" s="230">
        <f t="shared" si="178"/>
        <v>0</v>
      </c>
      <c r="DC57" s="230">
        <f t="shared" si="179"/>
        <v>0</v>
      </c>
      <c r="DD57" s="230">
        <f t="shared" si="180"/>
        <v>0</v>
      </c>
      <c r="DE57" s="230">
        <f t="shared" si="181"/>
        <v>0</v>
      </c>
      <c r="DF57" s="230">
        <f t="shared" si="182"/>
        <v>0</v>
      </c>
      <c r="DG57" s="230">
        <f t="shared" si="183"/>
        <v>0</v>
      </c>
      <c r="DH57" s="230">
        <f t="shared" si="184"/>
        <v>0</v>
      </c>
      <c r="DI57" s="230">
        <f t="shared" si="185"/>
        <v>0</v>
      </c>
      <c r="DJ57" s="230">
        <f t="shared" si="186"/>
        <v>0</v>
      </c>
      <c r="DK57" s="230" t="str">
        <f>Input!AK57</f>
        <v>40,00W/40,00W/40,00W</v>
      </c>
      <c r="DL57" s="230" t="str">
        <f>Input!BA57</f>
      </c>
      <c r="DM57" s="230" t="str">
        <f>Input!BQ57</f>
      </c>
      <c r="DN57" s="230" t="str">
        <f>Input!CE57</f>
      </c>
      <c r="DO57" s="230" t="str">
        <f>Input!CS57</f>
      </c>
      <c r="DP57" s="230" t="str">
        <f>Input!DG57</f>
      </c>
      <c r="DQ57" s="230" t="str">
        <f t="shared" si="187"/>
        <v>40W/ 40W/ 40W</v>
      </c>
      <c r="DR57" s="230" t="str">
        <f t="shared" si="188"/>
      </c>
      <c r="DS57" s="230" t="str">
        <f t="shared" si="189"/>
      </c>
      <c r="DT57" s="230" t="str">
        <f t="shared" si="190"/>
      </c>
      <c r="DU57" s="230" t="str">
        <f t="shared" si="191"/>
      </c>
      <c r="DV57" s="230" t="str">
        <f t="shared" si="192"/>
      </c>
      <c r="DW57" s="230">
        <f t="shared" si="193"/>
        <v>40</v>
      </c>
      <c r="DX57" s="230">
        <f t="shared" si="194"/>
        <v>40</v>
      </c>
      <c r="DY57" s="230">
        <f t="shared" si="195"/>
        <v>40</v>
      </c>
      <c r="DZ57" s="230">
        <f t="shared" si="196"/>
        <v>0</v>
      </c>
      <c r="EA57" s="230">
        <f t="shared" si="197"/>
        <v>0</v>
      </c>
      <c r="EB57" s="230">
        <f t="shared" si="198"/>
        <v>0</v>
      </c>
      <c r="EC57" s="230">
        <f t="shared" si="199"/>
        <v>40</v>
      </c>
      <c r="ED57" s="230">
        <f t="shared" si="200"/>
        <v>0</v>
      </c>
      <c r="EE57" s="230">
        <f t="shared" si="201"/>
        <v>0</v>
      </c>
      <c r="EF57" s="230">
        <f t="shared" si="202"/>
        <v>0</v>
      </c>
      <c r="EG57" s="230">
        <f t="shared" si="203"/>
        <v>0</v>
      </c>
      <c r="EH57" s="230">
        <f t="shared" si="204"/>
        <v>0</v>
      </c>
      <c r="EI57" s="230">
        <f t="shared" si="205"/>
        <v>0</v>
      </c>
      <c r="EJ57" s="230">
        <f t="shared" si="206"/>
        <v>0</v>
      </c>
      <c r="EK57" s="230">
        <f t="shared" si="207"/>
        <v>0</v>
      </c>
      <c r="EL57" s="230">
        <f t="shared" si="208"/>
        <v>0</v>
      </c>
      <c r="EM57" s="230">
        <f t="shared" si="209"/>
        <v>0</v>
      </c>
      <c r="EN57" s="230">
        <f t="shared" si="210"/>
        <v>0</v>
      </c>
      <c r="EO57" s="230">
        <f t="shared" si="211"/>
        <v>0</v>
      </c>
      <c r="EP57" s="230">
        <f t="shared" si="212"/>
        <v>0</v>
      </c>
      <c r="EQ57" s="230">
        <f t="shared" si="213"/>
        <v>0</v>
      </c>
      <c r="ER57" s="230">
        <f t="shared" si="214"/>
        <v>0</v>
      </c>
      <c r="ES57" s="230">
        <f t="shared" si="215"/>
        <v>0</v>
      </c>
      <c r="ET57" s="230">
        <f t="shared" si="216"/>
        <v>0</v>
      </c>
      <c r="EU57" s="230">
        <f t="shared" si="217"/>
        <v>0</v>
      </c>
      <c r="EV57" s="230">
        <f t="shared" si="218"/>
        <v>0</v>
      </c>
      <c r="EW57" s="230">
        <f t="shared" si="219"/>
        <v>0</v>
      </c>
      <c r="EX57" s="230">
        <f t="shared" si="220"/>
        <v>0</v>
      </c>
      <c r="EY57" s="230">
        <f t="shared" si="221"/>
        <v>0</v>
      </c>
      <c r="EZ57" s="230">
        <f t="shared" si="222"/>
        <v>0</v>
      </c>
      <c r="FA57" s="230">
        <f t="shared" si="223"/>
        <v>0</v>
      </c>
      <c r="FB57" s="230">
        <f t="shared" si="224"/>
        <v>0</v>
      </c>
      <c r="FC57" s="230">
        <f t="shared" si="225"/>
        <v>0</v>
      </c>
      <c r="FD57" s="230">
        <f t="shared" si="226"/>
        <v>0</v>
      </c>
      <c r="FE57" s="230">
        <f t="shared" si="227"/>
        <v>0</v>
      </c>
      <c r="FF57" s="230">
        <f t="shared" si="228"/>
        <v>0</v>
      </c>
      <c r="FG57" s="230">
        <f t="shared" si="229"/>
        <v>0</v>
      </c>
      <c r="FH57" s="230">
        <f t="shared" si="230"/>
        <v>0</v>
      </c>
      <c r="FI57" s="230">
        <f t="shared" si="231"/>
        <v>0</v>
      </c>
      <c r="FJ57" s="230">
        <f t="shared" si="232"/>
        <v>0</v>
      </c>
      <c r="FK57" s="230">
        <f t="shared" si="233"/>
        <v>0</v>
      </c>
      <c r="FL57" s="230">
        <f t="shared" si="234"/>
        <v>0</v>
      </c>
      <c r="FM57" s="230">
        <f t="shared" si="235"/>
        <v>40</v>
      </c>
      <c r="FN57" s="230">
        <f>Input!AL57</f>
        <v>2100</v>
      </c>
      <c r="FO57" s="230">
        <f>Input!BB57</f>
        <v>0</v>
      </c>
      <c r="FP57" s="230">
        <f>Input!BR57</f>
        <v>0</v>
      </c>
      <c r="FQ57" s="230" t="str">
        <f>Input!CF57</f>
      </c>
      <c r="FR57" s="230" t="str">
        <f>Input!CT57</f>
      </c>
      <c r="FS57" s="230" t="str">
        <f>Input!DH57</f>
      </c>
      <c r="FT57" s="230" t="str">
        <f>Input!AM57</f>
        <v>28m/ 28m/ 28m</v>
      </c>
      <c r="FU57" s="230">
        <f>Input!BC57</f>
        <v>0</v>
      </c>
      <c r="FV57" s="230">
        <f>Input!BS57</f>
        <v>0</v>
      </c>
      <c r="FW57" s="230" t="str">
        <f>Input!CG57</f>
      </c>
      <c r="FX57" s="230" t="str">
        <f>Input!CU57</f>
      </c>
      <c r="FY57" s="230" t="str">
        <f>Input!DI57</f>
      </c>
      <c r="FZ57" s="230" t="str">
        <f t="shared" si="236"/>
        <v>28m/ 28m/ 28m</v>
      </c>
      <c r="GA57" s="230" t="str">
        <f t="shared" si="237"/>
      </c>
      <c r="GB57" s="230" t="str">
        <f t="shared" si="238"/>
      </c>
      <c r="GC57" s="230" t="str">
        <f t="shared" si="239"/>
      </c>
      <c r="GD57" s="230" t="str">
        <f t="shared" si="240"/>
      </c>
      <c r="GE57" s="230" t="str">
        <f t="shared" si="241"/>
      </c>
      <c r="GF57" s="230">
        <f t="shared" si="242"/>
        <v>28</v>
      </c>
      <c r="GG57" s="230">
        <f t="shared" si="243"/>
        <v>28</v>
      </c>
      <c r="GH57" s="230">
        <f t="shared" si="244"/>
        <v>28</v>
      </c>
      <c r="GI57" s="230">
        <f t="shared" si="245"/>
        <v>0</v>
      </c>
      <c r="GJ57" s="230">
        <f t="shared" si="246"/>
        <v>0</v>
      </c>
      <c r="GK57" s="230">
        <f t="shared" si="247"/>
        <v>0</v>
      </c>
      <c r="GL57" s="230">
        <f t="shared" si="248"/>
        <v>0</v>
      </c>
      <c r="GM57" s="230">
        <f t="shared" si="249"/>
        <v>0</v>
      </c>
      <c r="GN57" s="230">
        <f t="shared" si="250"/>
        <v>0</v>
      </c>
      <c r="GO57" s="230">
        <f t="shared" si="251"/>
        <v>0</v>
      </c>
      <c r="GP57" s="230">
        <f t="shared" si="252"/>
        <v>0</v>
      </c>
      <c r="GQ57" s="230">
        <f t="shared" si="253"/>
        <v>0</v>
      </c>
      <c r="GR57" s="230">
        <f t="shared" si="254"/>
        <v>0</v>
      </c>
      <c r="GS57" s="230">
        <f t="shared" si="255"/>
        <v>0</v>
      </c>
      <c r="GT57" s="230">
        <f t="shared" si="256"/>
        <v>0</v>
      </c>
      <c r="GU57" s="230">
        <f t="shared" si="257"/>
        <v>0</v>
      </c>
      <c r="GV57" s="230">
        <f t="shared" si="258"/>
        <v>0</v>
      </c>
      <c r="GW57" s="230">
        <f t="shared" si="259"/>
        <v>0</v>
      </c>
      <c r="GX57" s="230">
        <f t="shared" si="260"/>
        <v>0</v>
      </c>
      <c r="GY57" s="230">
        <f t="shared" si="261"/>
        <v>0</v>
      </c>
      <c r="GZ57" s="230">
        <f t="shared" si="262"/>
        <v>0</v>
      </c>
      <c r="HA57" s="230">
        <f t="shared" si="263"/>
        <v>0</v>
      </c>
      <c r="HB57" s="230">
        <f t="shared" si="264"/>
        <v>0</v>
      </c>
      <c r="HC57" s="230">
        <f t="shared" si="265"/>
        <v>0</v>
      </c>
      <c r="HD57" s="230">
        <f t="shared" si="266"/>
        <v>0</v>
      </c>
      <c r="HE57" s="230">
        <f t="shared" si="267"/>
        <v>0</v>
      </c>
      <c r="HF57" s="230">
        <f t="shared" si="268"/>
        <v>0</v>
      </c>
      <c r="HG57" s="230">
        <f t="shared" si="269"/>
        <v>0</v>
      </c>
      <c r="HH57" s="230">
        <f t="shared" si="270"/>
        <v>0</v>
      </c>
      <c r="HI57" s="230">
        <f t="shared" si="271"/>
        <v>0</v>
      </c>
      <c r="HJ57" s="230">
        <f t="shared" si="272"/>
        <v>0</v>
      </c>
      <c r="HK57" s="230">
        <f t="shared" si="273"/>
        <v>0</v>
      </c>
      <c r="HL57" s="230">
        <f t="shared" si="274"/>
        <v>0</v>
      </c>
      <c r="HM57" s="230">
        <f t="shared" si="275"/>
        <v>0</v>
      </c>
      <c r="HN57" s="230">
        <f t="shared" si="276"/>
        <v>0</v>
      </c>
      <c r="HO57" s="230">
        <f t="shared" si="277"/>
        <v>0</v>
      </c>
      <c r="HP57" s="230" t="str">
        <f>INDEX(LabNameList,MATCH(LabId,LabIDList,0))</f>
        <v>Trung tâm Kiểm định và Chứng nhận 2</v>
      </c>
      <c r="HQ57" s="230">
        <f t="shared" si="278"/>
        <v>28</v>
      </c>
      <c r="HR57" s="230">
        <f t="shared" si="279"/>
        <v>0</v>
      </c>
      <c r="HS57" s="230">
        <f t="shared" si="280"/>
        <v>0</v>
      </c>
      <c r="HT57" s="230">
        <f t="shared" si="281"/>
        <v>0</v>
      </c>
      <c r="HU57" s="230">
        <f t="shared" si="282"/>
        <v>0</v>
      </c>
      <c r="HV57" s="230">
        <f t="shared" si="283"/>
        <v>0</v>
      </c>
      <c r="HW57" s="797">
        <f t="shared" si="284"/>
        <v>28</v>
      </c>
      <c r="HX57" s="797">
        <f>Input!EB57</f>
        <v>0</v>
      </c>
      <c r="HY57" s="230">
        <v>68</v>
      </c>
      <c r="HZ57" s="230"/>
      <c r="IA57" s="230"/>
      <c r="IB57" s="230"/>
      <c r="IC57" s="232" t="str">
        <f t="shared" si="285"/>
        <v>B02008230916TG05</v>
      </c>
      <c r="ID57" s="233" t="str">
        <f>Input!O57</f>
        <v>02008</v>
      </c>
      <c r="IE57" s="467" t="str">
        <f t="shared" si="286"/>
        <v>230916</v>
      </c>
      <c r="IF57" s="232" t="s">
        <v>364</v>
      </c>
      <c r="IG57" s="467" t="str">
        <f t="shared" si="287"/>
        <v>23/09/2016</v>
      </c>
      <c r="IH57" s="467" t="str">
        <f t="shared" si="288"/>
        <v>23/09/2021</v>
      </c>
      <c r="II57" s="546" t="str">
        <f> Input!R57</f>
        <v>23/09/2016</v>
      </c>
      <c r="IJ57" s="467">
        <f t="shared" si="289"/>
        <v>44462</v>
      </c>
      <c r="IK57" s="468">
        <f t="shared" si="290"/>
        <v>3</v>
      </c>
      <c r="IL57" s="469" t="str">
        <f t="shared" si="291"/>
        <v>3-1</v>
      </c>
      <c r="IM57" s="469" t="str">
        <f t="shared" si="292"/>
        <v>KHAC</v>
      </c>
      <c r="IN57" s="469" t="str">
        <f t="shared" si="293"/>
        <v>KHAC</v>
      </c>
      <c r="IO57" s="469" t="str">
        <f t="shared" si="294"/>
      </c>
      <c r="IP57" s="469" t="str">
        <f t="shared" si="295"/>
      </c>
      <c r="IQ57" s="469" t="str">
        <f t="shared" si="296"/>
      </c>
      <c r="IR57" s="469">
        <f t="shared" si="297"/>
        <v>1</v>
      </c>
      <c r="IS57" s="469">
        <f t="shared" si="298"/>
        <v>2</v>
      </c>
      <c r="IT57" s="469" t="str">
        <f t="shared" si="299"/>
        <v>Yes</v>
      </c>
      <c r="IU57" s="469" t="str">
        <f t="shared" si="300"/>
        <v>Yes</v>
      </c>
    </row>
    <row r="58" ht="63.75">
      <c r="A58" s="601">
        <f>Input!A58</f>
        <v>57</v>
      </c>
      <c r="B58" s="229" t="str">
        <f>INDEX(ApplicantIDList,MATCH(AI58,ApplicantNameList,0))</f>
        <v>VIETTEL-2016</v>
      </c>
      <c r="C58" s="229" t="str">
        <f>INDEX(OperatorIDList,MATCH(AJ58,OperatorNameList,0))</f>
        <v>VIETTEL-2016</v>
      </c>
      <c r="D58" s="797" t="str">
        <f>Input!Y58</f>
        <v>HCM2155</v>
      </c>
      <c r="E58" s="229" t="str">
        <f>Input!G58</f>
        <v>Số 2862, đường Phạm Thế Hiển, phường 7, quận 8, thành phố Hồ Chí Minh.</v>
      </c>
      <c r="F58" s="229" t="str">
        <f>TRIM(SUBSTITUTE(SUBSTITUTE(Input!H58,"Thành phố ",""),"Tỉnh ",""))</f>
        <v>Hồ Chí Minh</v>
      </c>
      <c r="G58" s="797" t="str">
        <f>Input!I58</f>
        <v>106,63172</v>
      </c>
      <c r="H58" s="797" t="str">
        <f>Input!J58</f>
        <v>10,71585</v>
      </c>
      <c r="I58" s="229">
        <f>Input!V58</f>
        <v>1</v>
      </c>
      <c r="J58" s="229" t="str">
        <f>Input!K58</f>
        <v>1502438/16/TG/TT2</v>
      </c>
      <c r="K58" s="231" t="str">
        <f>TEXT(Input!L58,"dd/mm/yyyy")</f>
        <v>23/09/2016</v>
      </c>
      <c r="L58" s="231" t="str">
        <f>TEXT(Input!M58,"dd/mm/yyyy")</f>
        <v>22/09/2016</v>
      </c>
      <c r="M58" s="229" t="str">
        <f t="shared" si="135"/>
        <v>TỔNG CÔNG TY MẠNG LƯỚI VIETTEL</v>
      </c>
      <c r="N58" s="229" t="str">
        <f t="shared" si="136"/>
        <v>HCM2155</v>
      </c>
      <c r="O58" s="229" t="str">
        <f t="shared" si="137"/>
        <v>HUAWEI DBS3900</v>
      </c>
      <c r="P58" s="229" t="str">
        <f t="shared" si="138"/>
        <v>3</v>
      </c>
      <c r="Q58" s="229" t="str">
        <f t="shared" si="139"/>
        <v>2/2/2</v>
      </c>
      <c r="R58" s="229" t="str">
        <f t="shared" si="140"/>
        <v>40W/ 40W/ 40W</v>
      </c>
      <c r="S58" s="229" t="str">
        <f t="shared" si="141"/>
        <v>2100</v>
      </c>
      <c r="T58" s="229" t="str">
        <f t="shared" si="142"/>
        <v>23m/ 23m/ 23m</v>
      </c>
      <c r="U58" s="229">
        <v>1</v>
      </c>
      <c r="V58" s="229"/>
      <c r="W58" s="229" t="b">
        <f t="shared" si="143"/>
        <v>0</v>
      </c>
      <c r="X58" s="229" t="b">
        <f>INDEX(TrueFalseList,_xlfn.IFNA(MATCH(Input!W58,CoKhongList,0),MATCH(Input!W58,YesNoList,0)))</f>
        <v>0</v>
      </c>
      <c r="Y58" s="797">
        <f>Input!FZ58</f>
        <v>0</v>
      </c>
      <c r="Z58" s="229" t="b">
        <v>1</v>
      </c>
      <c r="AA58" s="797">
        <f t="shared" si="144"/>
        <v>23</v>
      </c>
      <c r="AB58" s="229" t="b">
        <v>0</v>
      </c>
      <c r="AC58" s="229" t="b">
        <v>1</v>
      </c>
      <c r="AD58" s="229">
        <f>Input!DR58</f>
        <v>0</v>
      </c>
      <c r="AE58" s="229"/>
      <c r="AF58" s="229" t="str">
        <f>Options!$D$6</f>
        <v>VCC2</v>
      </c>
      <c r="AG58" s="229">
        <f t="shared" si="145"/>
        <v>0</v>
      </c>
      <c r="AH58" s="230"/>
      <c r="AI58" s="553" t="str">
        <f>Input!E58</f>
        <v>TỔNG CÔNG TY MẠNG LƯỚI VIETTEL</v>
      </c>
      <c r="AJ58" s="553" t="str">
        <f>Input!F58</f>
        <v>TỔNG CÔNG TY MẠNG LƯỚI VIETTEL</v>
      </c>
      <c r="AK58" s="229">
        <f t="shared" si="146"/>
        <v>4</v>
      </c>
      <c r="AL58" s="465" t="str">
        <f t="shared" si="147"/>
        <v>thành phố Hồ Chí Minh.</v>
      </c>
      <c r="AM58" s="465" t="str">
        <f t="shared" si="148"/>
        <v>quận 8</v>
      </c>
      <c r="AN58" s="465" t="str">
        <f t="shared" si="149"/>
        <v>phường 7</v>
      </c>
      <c r="AO58" s="229" t="str">
        <f>INDEX(CityIDList,MATCH(F58,CityNameList,0))</f>
        <v>HCM</v>
      </c>
      <c r="AP58" s="230" t="str">
        <f>Input!X58</f>
        <v>TỔNG CÔNG TY MẠNG LƯỚI VIETTEL</v>
      </c>
      <c r="AQ58" s="230">
        <f>Input!AN58</f>
        <v>0</v>
      </c>
      <c r="AR58" s="230">
        <f>Input!BD58</f>
        <v>0</v>
      </c>
      <c r="AS58" s="230" t="str">
        <f>Input!BT58</f>
      </c>
      <c r="AT58" s="230" t="str">
        <f>Input!CH58</f>
      </c>
      <c r="AU58" s="230" t="str">
        <f>Input!CV58</f>
      </c>
      <c r="AV58" s="230" t="str">
        <f>IF(I58&gt;=1,INDEX(OperatorIDList,MATCH(AP58,OperatorNameList,0)),"")</f>
        <v>VIETTEL-2016</v>
      </c>
      <c r="AW58" s="230" t="str">
        <f>IF(I58&gt;=2,INDEX(OperatorIDList,MATCH(AQ58,OperatorNameList,0)),"")</f>
      </c>
      <c r="AX58" s="230" t="str">
        <f>IF(I58&gt;=3,INDEX(OperatorIDList,MATCH(AR58,OperatorNameList,0)),"")</f>
      </c>
      <c r="AY58" s="230" t="str">
        <f>IF(I58&gt;=4,INDEX(OperatorIDList,MATCH(AS58,OperatorNameList,0)),"")</f>
      </c>
      <c r="AZ58" s="230" t="str">
        <f>IF(I58&gt;=5,INDEX(OperatorIDList,MATCH(AT58,OperatorNameList,0)),"")</f>
      </c>
      <c r="BA58" s="230" t="str">
        <f>IF(I58&gt;=6,INDEX(OperatorIDList,MATCH(AU58,OperatorNameList,0)),"")</f>
      </c>
      <c r="BB58" s="230" t="str">
        <f t="shared" si="150"/>
        <v>VIETTEL-2016</v>
      </c>
      <c r="BC58" s="230" t="str">
        <f>Input!Y58</f>
        <v>HCM2155</v>
      </c>
      <c r="BD58" s="230">
        <f>Input!AO58</f>
        <v>0</v>
      </c>
      <c r="BE58" s="230">
        <f>Input!BE58</f>
        <v>0</v>
      </c>
      <c r="BF58" s="230" t="str">
        <f>Input!BU58</f>
      </c>
      <c r="BG58" s="230" t="str">
        <f>Input!CI58</f>
      </c>
      <c r="BH58" s="230" t="str">
        <f>Input!CW58</f>
      </c>
      <c r="BI58" s="230" t="str">
        <f>Input!Z58</f>
        <v>HUAWEI DBS3900</v>
      </c>
      <c r="BJ58" s="230">
        <f>Input!AP58</f>
        <v>0</v>
      </c>
      <c r="BK58" s="230">
        <f>Input!BF58</f>
        <v>0</v>
      </c>
      <c r="BL58" s="230" t="str">
        <f>Input!BV58</f>
      </c>
      <c r="BM58" s="230" t="str">
        <f>Input!CJ58</f>
      </c>
      <c r="BN58" s="230" t="str">
        <f>Input!CX58</f>
      </c>
      <c r="BO58" s="553">
        <f>IF(ISNUMBER(Input!AA58),Input!AA58,0)</f>
        <v>3</v>
      </c>
      <c r="BP58" s="553">
        <f>IF(ISNUMBER(Input!AQ58),Input!AQ58,0)</f>
        <v>0</v>
      </c>
      <c r="BQ58" s="553">
        <f>IF(ISNUMBER(Input!BG58),Input!BG58,0)</f>
        <v>0</v>
      </c>
      <c r="BR58" s="553">
        <f>IF(ISNUMBER(Input!BW58),Input!BW58,0)</f>
        <v>0</v>
      </c>
      <c r="BS58" s="553">
        <f>IF(ISNUMBER(Input!CK58),Input!CK58,0)</f>
        <v>0</v>
      </c>
      <c r="BT58" s="554">
        <f>IF(ISNUMBER(Input!CY58),Input!CY58,0)</f>
        <v>0</v>
      </c>
      <c r="BU58" s="230" t="str">
        <f>Input!AF58</f>
        <v>2/2/2</v>
      </c>
      <c r="BV58" s="230" t="str">
        <f>Input!AV58</f>
      </c>
      <c r="BW58" s="230" t="str">
        <f>Input!BL58</f>
      </c>
      <c r="BX58" s="230" t="str">
        <f>Input!CA58</f>
      </c>
      <c r="BY58" s="230" t="str">
        <f>Input!CO58</f>
      </c>
      <c r="BZ58" s="230" t="str">
        <f>Input!DC58</f>
      </c>
      <c r="CA58" s="230">
        <f t="shared" si="151"/>
        <v>2</v>
      </c>
      <c r="CB58" s="230">
        <f t="shared" si="152"/>
        <v>2</v>
      </c>
      <c r="CC58" s="230">
        <f t="shared" si="153"/>
        <v>2</v>
      </c>
      <c r="CD58" s="230">
        <f t="shared" si="154"/>
        <v>0</v>
      </c>
      <c r="CE58" s="230">
        <f t="shared" si="155"/>
        <v>0</v>
      </c>
      <c r="CF58" s="230">
        <f t="shared" si="156"/>
        <v>0</v>
      </c>
      <c r="CG58" s="230">
        <f t="shared" si="157"/>
        <v>0</v>
      </c>
      <c r="CH58" s="230">
        <f t="shared" si="158"/>
        <v>0</v>
      </c>
      <c r="CI58" s="230">
        <f t="shared" si="159"/>
        <v>0</v>
      </c>
      <c r="CJ58" s="230">
        <f t="shared" si="160"/>
        <v>0</v>
      </c>
      <c r="CK58" s="230">
        <f t="shared" si="161"/>
        <v>0</v>
      </c>
      <c r="CL58" s="230">
        <f t="shared" si="162"/>
        <v>0</v>
      </c>
      <c r="CM58" s="230">
        <f t="shared" si="163"/>
        <v>0</v>
      </c>
      <c r="CN58" s="230">
        <f t="shared" si="164"/>
        <v>0</v>
      </c>
      <c r="CO58" s="230">
        <f t="shared" si="165"/>
        <v>0</v>
      </c>
      <c r="CP58" s="230">
        <f t="shared" si="166"/>
        <v>0</v>
      </c>
      <c r="CQ58" s="230">
        <f t="shared" si="167"/>
        <v>0</v>
      </c>
      <c r="CR58" s="230">
        <f t="shared" si="168"/>
        <v>0</v>
      </c>
      <c r="CS58" s="230">
        <f t="shared" si="169"/>
        <v>0</v>
      </c>
      <c r="CT58" s="230">
        <f t="shared" si="170"/>
        <v>0</v>
      </c>
      <c r="CU58" s="230">
        <f t="shared" si="171"/>
        <v>0</v>
      </c>
      <c r="CV58" s="230">
        <f t="shared" si="172"/>
        <v>0</v>
      </c>
      <c r="CW58" s="230">
        <f t="shared" si="173"/>
        <v>0</v>
      </c>
      <c r="CX58" s="230">
        <f t="shared" si="174"/>
        <v>0</v>
      </c>
      <c r="CY58" s="230">
        <f t="shared" si="175"/>
        <v>0</v>
      </c>
      <c r="CZ58" s="230">
        <f t="shared" si="176"/>
        <v>0</v>
      </c>
      <c r="DA58" s="230">
        <f t="shared" si="177"/>
        <v>0</v>
      </c>
      <c r="DB58" s="230">
        <f t="shared" si="178"/>
        <v>0</v>
      </c>
      <c r="DC58" s="230">
        <f t="shared" si="179"/>
        <v>0</v>
      </c>
      <c r="DD58" s="230">
        <f t="shared" si="180"/>
        <v>0</v>
      </c>
      <c r="DE58" s="230">
        <f t="shared" si="181"/>
        <v>0</v>
      </c>
      <c r="DF58" s="230">
        <f t="shared" si="182"/>
        <v>0</v>
      </c>
      <c r="DG58" s="230">
        <f t="shared" si="183"/>
        <v>0</v>
      </c>
      <c r="DH58" s="230">
        <f t="shared" si="184"/>
        <v>0</v>
      </c>
      <c r="DI58" s="230">
        <f t="shared" si="185"/>
        <v>0</v>
      </c>
      <c r="DJ58" s="230">
        <f t="shared" si="186"/>
        <v>0</v>
      </c>
      <c r="DK58" s="230" t="str">
        <f>Input!AK58</f>
        <v>40,00W/40,00W/40,00W</v>
      </c>
      <c r="DL58" s="230" t="str">
        <f>Input!BA58</f>
      </c>
      <c r="DM58" s="230" t="str">
        <f>Input!BQ58</f>
      </c>
      <c r="DN58" s="230" t="str">
        <f>Input!CE58</f>
      </c>
      <c r="DO58" s="230" t="str">
        <f>Input!CS58</f>
      </c>
      <c r="DP58" s="230" t="str">
        <f>Input!DG58</f>
      </c>
      <c r="DQ58" s="230" t="str">
        <f t="shared" si="187"/>
        <v>40W/ 40W/ 40W</v>
      </c>
      <c r="DR58" s="230" t="str">
        <f t="shared" si="188"/>
      </c>
      <c r="DS58" s="230" t="str">
        <f t="shared" si="189"/>
      </c>
      <c r="DT58" s="230" t="str">
        <f t="shared" si="190"/>
      </c>
      <c r="DU58" s="230" t="str">
        <f t="shared" si="191"/>
      </c>
      <c r="DV58" s="230" t="str">
        <f t="shared" si="192"/>
      </c>
      <c r="DW58" s="230">
        <f t="shared" si="193"/>
        <v>40</v>
      </c>
      <c r="DX58" s="230">
        <f t="shared" si="194"/>
        <v>40</v>
      </c>
      <c r="DY58" s="230">
        <f t="shared" si="195"/>
        <v>40</v>
      </c>
      <c r="DZ58" s="230">
        <f t="shared" si="196"/>
        <v>0</v>
      </c>
      <c r="EA58" s="230">
        <f t="shared" si="197"/>
        <v>0</v>
      </c>
      <c r="EB58" s="230">
        <f t="shared" si="198"/>
        <v>0</v>
      </c>
      <c r="EC58" s="230">
        <f t="shared" si="199"/>
        <v>40</v>
      </c>
      <c r="ED58" s="230">
        <f t="shared" si="200"/>
        <v>0</v>
      </c>
      <c r="EE58" s="230">
        <f t="shared" si="201"/>
        <v>0</v>
      </c>
      <c r="EF58" s="230">
        <f t="shared" si="202"/>
        <v>0</v>
      </c>
      <c r="EG58" s="230">
        <f t="shared" si="203"/>
        <v>0</v>
      </c>
      <c r="EH58" s="230">
        <f t="shared" si="204"/>
        <v>0</v>
      </c>
      <c r="EI58" s="230">
        <f t="shared" si="205"/>
        <v>0</v>
      </c>
      <c r="EJ58" s="230">
        <f t="shared" si="206"/>
        <v>0</v>
      </c>
      <c r="EK58" s="230">
        <f t="shared" si="207"/>
        <v>0</v>
      </c>
      <c r="EL58" s="230">
        <f t="shared" si="208"/>
        <v>0</v>
      </c>
      <c r="EM58" s="230">
        <f t="shared" si="209"/>
        <v>0</v>
      </c>
      <c r="EN58" s="230">
        <f t="shared" si="210"/>
        <v>0</v>
      </c>
      <c r="EO58" s="230">
        <f t="shared" si="211"/>
        <v>0</v>
      </c>
      <c r="EP58" s="230">
        <f t="shared" si="212"/>
        <v>0</v>
      </c>
      <c r="EQ58" s="230">
        <f t="shared" si="213"/>
        <v>0</v>
      </c>
      <c r="ER58" s="230">
        <f t="shared" si="214"/>
        <v>0</v>
      </c>
      <c r="ES58" s="230">
        <f t="shared" si="215"/>
        <v>0</v>
      </c>
      <c r="ET58" s="230">
        <f t="shared" si="216"/>
        <v>0</v>
      </c>
      <c r="EU58" s="230">
        <f t="shared" si="217"/>
        <v>0</v>
      </c>
      <c r="EV58" s="230">
        <f t="shared" si="218"/>
        <v>0</v>
      </c>
      <c r="EW58" s="230">
        <f t="shared" si="219"/>
        <v>0</v>
      </c>
      <c r="EX58" s="230">
        <f t="shared" si="220"/>
        <v>0</v>
      </c>
      <c r="EY58" s="230">
        <f t="shared" si="221"/>
        <v>0</v>
      </c>
      <c r="EZ58" s="230">
        <f t="shared" si="222"/>
        <v>0</v>
      </c>
      <c r="FA58" s="230">
        <f t="shared" si="223"/>
        <v>0</v>
      </c>
      <c r="FB58" s="230">
        <f t="shared" si="224"/>
        <v>0</v>
      </c>
      <c r="FC58" s="230">
        <f t="shared" si="225"/>
        <v>0</v>
      </c>
      <c r="FD58" s="230">
        <f t="shared" si="226"/>
        <v>0</v>
      </c>
      <c r="FE58" s="230">
        <f t="shared" si="227"/>
        <v>0</v>
      </c>
      <c r="FF58" s="230">
        <f t="shared" si="228"/>
        <v>0</v>
      </c>
      <c r="FG58" s="230">
        <f t="shared" si="229"/>
        <v>0</v>
      </c>
      <c r="FH58" s="230">
        <f t="shared" si="230"/>
        <v>0</v>
      </c>
      <c r="FI58" s="230">
        <f t="shared" si="231"/>
        <v>0</v>
      </c>
      <c r="FJ58" s="230">
        <f t="shared" si="232"/>
        <v>0</v>
      </c>
      <c r="FK58" s="230">
        <f t="shared" si="233"/>
        <v>0</v>
      </c>
      <c r="FL58" s="230">
        <f t="shared" si="234"/>
        <v>0</v>
      </c>
      <c r="FM58" s="230">
        <f t="shared" si="235"/>
        <v>40</v>
      </c>
      <c r="FN58" s="230">
        <f>Input!AL58</f>
        <v>2100</v>
      </c>
      <c r="FO58" s="230">
        <f>Input!BB58</f>
        <v>0</v>
      </c>
      <c r="FP58" s="230">
        <f>Input!BR58</f>
        <v>0</v>
      </c>
      <c r="FQ58" s="230" t="str">
        <f>Input!CF58</f>
      </c>
      <c r="FR58" s="230" t="str">
        <f>Input!CT58</f>
      </c>
      <c r="FS58" s="230" t="str">
        <f>Input!DH58</f>
      </c>
      <c r="FT58" s="230" t="str">
        <f>Input!AM58</f>
        <v>23m/ 23m/ 23m</v>
      </c>
      <c r="FU58" s="230">
        <f>Input!BC58</f>
        <v>0</v>
      </c>
      <c r="FV58" s="230">
        <f>Input!BS58</f>
        <v>0</v>
      </c>
      <c r="FW58" s="230" t="str">
        <f>Input!CG58</f>
      </c>
      <c r="FX58" s="230" t="str">
        <f>Input!CU58</f>
      </c>
      <c r="FY58" s="230" t="str">
        <f>Input!DI58</f>
      </c>
      <c r="FZ58" s="230" t="str">
        <f t="shared" si="236"/>
        <v>23m/ 23m/ 23m</v>
      </c>
      <c r="GA58" s="230" t="str">
        <f t="shared" si="237"/>
      </c>
      <c r="GB58" s="230" t="str">
        <f t="shared" si="238"/>
      </c>
      <c r="GC58" s="230" t="str">
        <f t="shared" si="239"/>
      </c>
      <c r="GD58" s="230" t="str">
        <f t="shared" si="240"/>
      </c>
      <c r="GE58" s="230" t="str">
        <f t="shared" si="241"/>
      </c>
      <c r="GF58" s="230">
        <f t="shared" si="242"/>
        <v>23</v>
      </c>
      <c r="GG58" s="230">
        <f t="shared" si="243"/>
        <v>23</v>
      </c>
      <c r="GH58" s="230">
        <f t="shared" si="244"/>
        <v>23</v>
      </c>
      <c r="GI58" s="230">
        <f t="shared" si="245"/>
        <v>0</v>
      </c>
      <c r="GJ58" s="230">
        <f t="shared" si="246"/>
        <v>0</v>
      </c>
      <c r="GK58" s="230">
        <f t="shared" si="247"/>
        <v>0</v>
      </c>
      <c r="GL58" s="230">
        <f t="shared" si="248"/>
        <v>0</v>
      </c>
      <c r="GM58" s="230">
        <f t="shared" si="249"/>
        <v>0</v>
      </c>
      <c r="GN58" s="230">
        <f t="shared" si="250"/>
        <v>0</v>
      </c>
      <c r="GO58" s="230">
        <f t="shared" si="251"/>
        <v>0</v>
      </c>
      <c r="GP58" s="230">
        <f t="shared" si="252"/>
        <v>0</v>
      </c>
      <c r="GQ58" s="230">
        <f t="shared" si="253"/>
        <v>0</v>
      </c>
      <c r="GR58" s="230">
        <f t="shared" si="254"/>
        <v>0</v>
      </c>
      <c r="GS58" s="230">
        <f t="shared" si="255"/>
        <v>0</v>
      </c>
      <c r="GT58" s="230">
        <f t="shared" si="256"/>
        <v>0</v>
      </c>
      <c r="GU58" s="230">
        <f t="shared" si="257"/>
        <v>0</v>
      </c>
      <c r="GV58" s="230">
        <f t="shared" si="258"/>
        <v>0</v>
      </c>
      <c r="GW58" s="230">
        <f t="shared" si="259"/>
        <v>0</v>
      </c>
      <c r="GX58" s="230">
        <f t="shared" si="260"/>
        <v>0</v>
      </c>
      <c r="GY58" s="230">
        <f t="shared" si="261"/>
        <v>0</v>
      </c>
      <c r="GZ58" s="230">
        <f t="shared" si="262"/>
        <v>0</v>
      </c>
      <c r="HA58" s="230">
        <f t="shared" si="263"/>
        <v>0</v>
      </c>
      <c r="HB58" s="230">
        <f t="shared" si="264"/>
        <v>0</v>
      </c>
      <c r="HC58" s="230">
        <f t="shared" si="265"/>
        <v>0</v>
      </c>
      <c r="HD58" s="230">
        <f t="shared" si="266"/>
        <v>0</v>
      </c>
      <c r="HE58" s="230">
        <f t="shared" si="267"/>
        <v>0</v>
      </c>
      <c r="HF58" s="230">
        <f t="shared" si="268"/>
        <v>0</v>
      </c>
      <c r="HG58" s="230">
        <f t="shared" si="269"/>
        <v>0</v>
      </c>
      <c r="HH58" s="230">
        <f t="shared" si="270"/>
        <v>0</v>
      </c>
      <c r="HI58" s="230">
        <f t="shared" si="271"/>
        <v>0</v>
      </c>
      <c r="HJ58" s="230">
        <f t="shared" si="272"/>
        <v>0</v>
      </c>
      <c r="HK58" s="230">
        <f t="shared" si="273"/>
        <v>0</v>
      </c>
      <c r="HL58" s="230">
        <f t="shared" si="274"/>
        <v>0</v>
      </c>
      <c r="HM58" s="230">
        <f t="shared" si="275"/>
        <v>0</v>
      </c>
      <c r="HN58" s="230">
        <f t="shared" si="276"/>
        <v>0</v>
      </c>
      <c r="HO58" s="230">
        <f t="shared" si="277"/>
        <v>0</v>
      </c>
      <c r="HP58" s="230" t="str">
        <f>INDEX(LabNameList,MATCH(LabId,LabIDList,0))</f>
        <v>Trung tâm Kiểm định và Chứng nhận 2</v>
      </c>
      <c r="HQ58" s="230">
        <f t="shared" si="278"/>
        <v>23</v>
      </c>
      <c r="HR58" s="230">
        <f t="shared" si="279"/>
        <v>0</v>
      </c>
      <c r="HS58" s="230">
        <f t="shared" si="280"/>
        <v>0</v>
      </c>
      <c r="HT58" s="230">
        <f t="shared" si="281"/>
        <v>0</v>
      </c>
      <c r="HU58" s="230">
        <f t="shared" si="282"/>
        <v>0</v>
      </c>
      <c r="HV58" s="230">
        <f t="shared" si="283"/>
        <v>0</v>
      </c>
      <c r="HW58" s="797">
        <f t="shared" si="284"/>
        <v>23</v>
      </c>
      <c r="HX58" s="797">
        <f>Input!EB58</f>
        <v>0</v>
      </c>
      <c r="HY58" s="230">
        <v>68</v>
      </c>
      <c r="HZ58" s="230"/>
      <c r="IA58" s="230"/>
      <c r="IB58" s="230"/>
      <c r="IC58" s="232" t="str">
        <f t="shared" si="285"/>
        <v>B02009230916TG05</v>
      </c>
      <c r="ID58" s="233" t="str">
        <f>Input!O58</f>
        <v>02009</v>
      </c>
      <c r="IE58" s="467" t="str">
        <f t="shared" si="286"/>
        <v>230916</v>
      </c>
      <c r="IF58" s="232" t="s">
        <v>364</v>
      </c>
      <c r="IG58" s="467" t="str">
        <f t="shared" si="287"/>
        <v>23/09/2016</v>
      </c>
      <c r="IH58" s="467" t="str">
        <f t="shared" si="288"/>
        <v>23/09/2021</v>
      </c>
      <c r="II58" s="546" t="str">
        <f> Input!R58</f>
        <v>23/09/2016</v>
      </c>
      <c r="IJ58" s="467">
        <f t="shared" si="289"/>
        <v>44462</v>
      </c>
      <c r="IK58" s="468">
        <f t="shared" si="290"/>
        <v>3</v>
      </c>
      <c r="IL58" s="469" t="str">
        <f t="shared" si="291"/>
        <v>3-1</v>
      </c>
      <c r="IM58" s="469" t="str">
        <f t="shared" si="292"/>
        <v>KHAC</v>
      </c>
      <c r="IN58" s="469" t="str">
        <f t="shared" si="293"/>
        <v>KHAC</v>
      </c>
      <c r="IO58" s="469" t="str">
        <f t="shared" si="294"/>
      </c>
      <c r="IP58" s="469" t="str">
        <f t="shared" si="295"/>
      </c>
      <c r="IQ58" s="469" t="str">
        <f t="shared" si="296"/>
      </c>
      <c r="IR58" s="469">
        <f t="shared" si="297"/>
        <v>1</v>
      </c>
      <c r="IS58" s="469">
        <f t="shared" si="298"/>
        <v>2</v>
      </c>
      <c r="IT58" s="469" t="str">
        <f t="shared" si="299"/>
        <v>Yes</v>
      </c>
      <c r="IU58" s="469" t="str">
        <f t="shared" si="300"/>
        <v>Yes</v>
      </c>
    </row>
    <row r="59" ht="63.75">
      <c r="A59" s="601">
        <f>Input!A59</f>
        <v>58</v>
      </c>
      <c r="B59" s="229" t="str">
        <f>INDEX(ApplicantIDList,MATCH(AI59,ApplicantNameList,0))</f>
        <v>VIETTEL-2016</v>
      </c>
      <c r="C59" s="229" t="str">
        <f>INDEX(OperatorIDList,MATCH(AJ59,OperatorNameList,0))</f>
        <v>VIETTEL-2016</v>
      </c>
      <c r="D59" s="797" t="str">
        <f>Input!Y59</f>
        <v>HCM4452</v>
      </c>
      <c r="E59" s="229" t="str">
        <f>Input!G59</f>
        <v>Số 509, đường Phạm Thế Hiển, phường 4, quận 8, thành phố Hồ Chí Minh.</v>
      </c>
      <c r="F59" s="229" t="str">
        <f>TRIM(SUBSTITUTE(SUBSTITUTE(Input!H59,"Thành phố ",""),"Tỉnh ",""))</f>
        <v>Hồ Chí Minh</v>
      </c>
      <c r="G59" s="797" t="str">
        <f>Input!I59</f>
        <v>106,678992</v>
      </c>
      <c r="H59" s="797" t="str">
        <f>Input!J59</f>
        <v>10,74658</v>
      </c>
      <c r="I59" s="229">
        <f>Input!V59</f>
        <v>1</v>
      </c>
      <c r="J59" s="229" t="str">
        <f>Input!K59</f>
        <v>1502439/16/TG/TT2</v>
      </c>
      <c r="K59" s="231" t="str">
        <f>TEXT(Input!L59,"dd/mm/yyyy")</f>
        <v>23/09/2016</v>
      </c>
      <c r="L59" s="231" t="str">
        <f>TEXT(Input!M59,"dd/mm/yyyy")</f>
        <v>22/09/2016</v>
      </c>
      <c r="M59" s="229" t="str">
        <f t="shared" si="135"/>
        <v>TỔNG CÔNG TY MẠNG LƯỚI VIETTEL</v>
      </c>
      <c r="N59" s="229" t="str">
        <f t="shared" si="136"/>
        <v>HCM4452</v>
      </c>
      <c r="O59" s="229" t="str">
        <f t="shared" si="137"/>
        <v>HUAWEI DBS3900</v>
      </c>
      <c r="P59" s="229" t="str">
        <f t="shared" si="138"/>
        <v>3</v>
      </c>
      <c r="Q59" s="229" t="str">
        <f t="shared" si="139"/>
        <v>2/2/2</v>
      </c>
      <c r="R59" s="229" t="str">
        <f t="shared" si="140"/>
        <v>40W/ 40W/ 40W</v>
      </c>
      <c r="S59" s="229" t="str">
        <f t="shared" si="141"/>
        <v>2100</v>
      </c>
      <c r="T59" s="229" t="str">
        <f t="shared" si="142"/>
        <v>27m/ 27m/ 27m</v>
      </c>
      <c r="U59" s="229">
        <v>1</v>
      </c>
      <c r="V59" s="229"/>
      <c r="W59" s="229" t="b">
        <f t="shared" si="143"/>
        <v>0</v>
      </c>
      <c r="X59" s="229" t="b">
        <f>INDEX(TrueFalseList,_xlfn.IFNA(MATCH(Input!W59,CoKhongList,0),MATCH(Input!W59,YesNoList,0)))</f>
        <v>0</v>
      </c>
      <c r="Y59" s="797">
        <f>Input!FZ59</f>
        <v>0</v>
      </c>
      <c r="Z59" s="229" t="b">
        <v>1</v>
      </c>
      <c r="AA59" s="797">
        <f t="shared" si="144"/>
        <v>27</v>
      </c>
      <c r="AB59" s="229" t="b">
        <v>0</v>
      </c>
      <c r="AC59" s="229" t="b">
        <v>1</v>
      </c>
      <c r="AD59" s="229">
        <f>Input!DR59</f>
        <v>0</v>
      </c>
      <c r="AE59" s="229"/>
      <c r="AF59" s="229" t="str">
        <f>Options!$D$6</f>
        <v>VCC2</v>
      </c>
      <c r="AG59" s="229">
        <f t="shared" si="145"/>
        <v>0</v>
      </c>
      <c r="AH59" s="230"/>
      <c r="AI59" s="553" t="str">
        <f>Input!E59</f>
        <v>TỔNG CÔNG TY MẠNG LƯỚI VIETTEL</v>
      </c>
      <c r="AJ59" s="553" t="str">
        <f>Input!F59</f>
        <v>TỔNG CÔNG TY MẠNG LƯỚI VIETTEL</v>
      </c>
      <c r="AK59" s="229">
        <f t="shared" si="146"/>
        <v>4</v>
      </c>
      <c r="AL59" s="465" t="str">
        <f t="shared" si="147"/>
        <v>thành phố Hồ Chí Minh.</v>
      </c>
      <c r="AM59" s="465" t="str">
        <f t="shared" si="148"/>
        <v>quận 8</v>
      </c>
      <c r="AN59" s="465" t="str">
        <f t="shared" si="149"/>
        <v>phường 4</v>
      </c>
      <c r="AO59" s="229" t="str">
        <f>INDEX(CityIDList,MATCH(F59,CityNameList,0))</f>
        <v>HCM</v>
      </c>
      <c r="AP59" s="230" t="str">
        <f>Input!X59</f>
        <v>TỔNG CÔNG TY MẠNG LƯỚI VIETTEL</v>
      </c>
      <c r="AQ59" s="230">
        <f>Input!AN59</f>
        <v>0</v>
      </c>
      <c r="AR59" s="230">
        <f>Input!BD59</f>
        <v>0</v>
      </c>
      <c r="AS59" s="230" t="str">
        <f>Input!BT59</f>
      </c>
      <c r="AT59" s="230" t="str">
        <f>Input!CH59</f>
      </c>
      <c r="AU59" s="230" t="str">
        <f>Input!CV59</f>
      </c>
      <c r="AV59" s="230" t="str">
        <f>IF(I59&gt;=1,INDEX(OperatorIDList,MATCH(AP59,OperatorNameList,0)),"")</f>
        <v>VIETTEL-2016</v>
      </c>
      <c r="AW59" s="230" t="str">
        <f>IF(I59&gt;=2,INDEX(OperatorIDList,MATCH(AQ59,OperatorNameList,0)),"")</f>
      </c>
      <c r="AX59" s="230" t="str">
        <f>IF(I59&gt;=3,INDEX(OperatorIDList,MATCH(AR59,OperatorNameList,0)),"")</f>
      </c>
      <c r="AY59" s="230" t="str">
        <f>IF(I59&gt;=4,INDEX(OperatorIDList,MATCH(AS59,OperatorNameList,0)),"")</f>
      </c>
      <c r="AZ59" s="230" t="str">
        <f>IF(I59&gt;=5,INDEX(OperatorIDList,MATCH(AT59,OperatorNameList,0)),"")</f>
      </c>
      <c r="BA59" s="230" t="str">
        <f>IF(I59&gt;=6,INDEX(OperatorIDList,MATCH(AU59,OperatorNameList,0)),"")</f>
      </c>
      <c r="BB59" s="230" t="str">
        <f t="shared" si="150"/>
        <v>VIETTEL-2016</v>
      </c>
      <c r="BC59" s="230" t="str">
        <f>Input!Y59</f>
        <v>HCM4452</v>
      </c>
      <c r="BD59" s="230">
        <f>Input!AO59</f>
        <v>0</v>
      </c>
      <c r="BE59" s="230">
        <f>Input!BE59</f>
        <v>0</v>
      </c>
      <c r="BF59" s="230" t="str">
        <f>Input!BU59</f>
      </c>
      <c r="BG59" s="230" t="str">
        <f>Input!CI59</f>
      </c>
      <c r="BH59" s="230" t="str">
        <f>Input!CW59</f>
      </c>
      <c r="BI59" s="230" t="str">
        <f>Input!Z59</f>
        <v>HUAWEI DBS3900</v>
      </c>
      <c r="BJ59" s="230">
        <f>Input!AP59</f>
        <v>0</v>
      </c>
      <c r="BK59" s="230">
        <f>Input!BF59</f>
        <v>0</v>
      </c>
      <c r="BL59" s="230" t="str">
        <f>Input!BV59</f>
      </c>
      <c r="BM59" s="230" t="str">
        <f>Input!CJ59</f>
      </c>
      <c r="BN59" s="230" t="str">
        <f>Input!CX59</f>
      </c>
      <c r="BO59" s="553">
        <f>IF(ISNUMBER(Input!AA59),Input!AA59,0)</f>
        <v>3</v>
      </c>
      <c r="BP59" s="553">
        <f>IF(ISNUMBER(Input!AQ59),Input!AQ59,0)</f>
        <v>0</v>
      </c>
      <c r="BQ59" s="553">
        <f>IF(ISNUMBER(Input!BG59),Input!BG59,0)</f>
        <v>0</v>
      </c>
      <c r="BR59" s="553">
        <f>IF(ISNUMBER(Input!BW59),Input!BW59,0)</f>
        <v>0</v>
      </c>
      <c r="BS59" s="553">
        <f>IF(ISNUMBER(Input!CK59),Input!CK59,0)</f>
        <v>0</v>
      </c>
      <c r="BT59" s="554">
        <f>IF(ISNUMBER(Input!CY59),Input!CY59,0)</f>
        <v>0</v>
      </c>
      <c r="BU59" s="230" t="str">
        <f>Input!AF59</f>
        <v>2/2/2</v>
      </c>
      <c r="BV59" s="230" t="str">
        <f>Input!AV59</f>
      </c>
      <c r="BW59" s="230" t="str">
        <f>Input!BL59</f>
      </c>
      <c r="BX59" s="230" t="str">
        <f>Input!CA59</f>
      </c>
      <c r="BY59" s="230" t="str">
        <f>Input!CO59</f>
      </c>
      <c r="BZ59" s="230" t="str">
        <f>Input!DC59</f>
      </c>
      <c r="CA59" s="230">
        <f t="shared" si="151"/>
        <v>2</v>
      </c>
      <c r="CB59" s="230">
        <f t="shared" si="152"/>
        <v>2</v>
      </c>
      <c r="CC59" s="230">
        <f t="shared" si="153"/>
        <v>2</v>
      </c>
      <c r="CD59" s="230">
        <f t="shared" si="154"/>
        <v>0</v>
      </c>
      <c r="CE59" s="230">
        <f t="shared" si="155"/>
        <v>0</v>
      </c>
      <c r="CF59" s="230">
        <f t="shared" si="156"/>
        <v>0</v>
      </c>
      <c r="CG59" s="230">
        <f t="shared" si="157"/>
        <v>0</v>
      </c>
      <c r="CH59" s="230">
        <f t="shared" si="158"/>
        <v>0</v>
      </c>
      <c r="CI59" s="230">
        <f t="shared" si="159"/>
        <v>0</v>
      </c>
      <c r="CJ59" s="230">
        <f t="shared" si="160"/>
        <v>0</v>
      </c>
      <c r="CK59" s="230">
        <f t="shared" si="161"/>
        <v>0</v>
      </c>
      <c r="CL59" s="230">
        <f t="shared" si="162"/>
        <v>0</v>
      </c>
      <c r="CM59" s="230">
        <f t="shared" si="163"/>
        <v>0</v>
      </c>
      <c r="CN59" s="230">
        <f t="shared" si="164"/>
        <v>0</v>
      </c>
      <c r="CO59" s="230">
        <f t="shared" si="165"/>
        <v>0</v>
      </c>
      <c r="CP59" s="230">
        <f t="shared" si="166"/>
        <v>0</v>
      </c>
      <c r="CQ59" s="230">
        <f t="shared" si="167"/>
        <v>0</v>
      </c>
      <c r="CR59" s="230">
        <f t="shared" si="168"/>
        <v>0</v>
      </c>
      <c r="CS59" s="230">
        <f t="shared" si="169"/>
        <v>0</v>
      </c>
      <c r="CT59" s="230">
        <f t="shared" si="170"/>
        <v>0</v>
      </c>
      <c r="CU59" s="230">
        <f t="shared" si="171"/>
        <v>0</v>
      </c>
      <c r="CV59" s="230">
        <f t="shared" si="172"/>
        <v>0</v>
      </c>
      <c r="CW59" s="230">
        <f t="shared" si="173"/>
        <v>0</v>
      </c>
      <c r="CX59" s="230">
        <f t="shared" si="174"/>
        <v>0</v>
      </c>
      <c r="CY59" s="230">
        <f t="shared" si="175"/>
        <v>0</v>
      </c>
      <c r="CZ59" s="230">
        <f t="shared" si="176"/>
        <v>0</v>
      </c>
      <c r="DA59" s="230">
        <f t="shared" si="177"/>
        <v>0</v>
      </c>
      <c r="DB59" s="230">
        <f t="shared" si="178"/>
        <v>0</v>
      </c>
      <c r="DC59" s="230">
        <f t="shared" si="179"/>
        <v>0</v>
      </c>
      <c r="DD59" s="230">
        <f t="shared" si="180"/>
        <v>0</v>
      </c>
      <c r="DE59" s="230">
        <f t="shared" si="181"/>
        <v>0</v>
      </c>
      <c r="DF59" s="230">
        <f t="shared" si="182"/>
        <v>0</v>
      </c>
      <c r="DG59" s="230">
        <f t="shared" si="183"/>
        <v>0</v>
      </c>
      <c r="DH59" s="230">
        <f t="shared" si="184"/>
        <v>0</v>
      </c>
      <c r="DI59" s="230">
        <f t="shared" si="185"/>
        <v>0</v>
      </c>
      <c r="DJ59" s="230">
        <f t="shared" si="186"/>
        <v>0</v>
      </c>
      <c r="DK59" s="230" t="str">
        <f>Input!AK59</f>
        <v>40,00W/40,00W/40,00W</v>
      </c>
      <c r="DL59" s="230" t="str">
        <f>Input!BA59</f>
      </c>
      <c r="DM59" s="230" t="str">
        <f>Input!BQ59</f>
      </c>
      <c r="DN59" s="230" t="str">
        <f>Input!CE59</f>
      </c>
      <c r="DO59" s="230" t="str">
        <f>Input!CS59</f>
      </c>
      <c r="DP59" s="230" t="str">
        <f>Input!DG59</f>
      </c>
      <c r="DQ59" s="230" t="str">
        <f t="shared" si="187"/>
        <v>40W/ 40W/ 40W</v>
      </c>
      <c r="DR59" s="230" t="str">
        <f t="shared" si="188"/>
      </c>
      <c r="DS59" s="230" t="str">
        <f t="shared" si="189"/>
      </c>
      <c r="DT59" s="230" t="str">
        <f t="shared" si="190"/>
      </c>
      <c r="DU59" s="230" t="str">
        <f t="shared" si="191"/>
      </c>
      <c r="DV59" s="230" t="str">
        <f t="shared" si="192"/>
      </c>
      <c r="DW59" s="230">
        <f t="shared" si="193"/>
        <v>40</v>
      </c>
      <c r="DX59" s="230">
        <f t="shared" si="194"/>
        <v>40</v>
      </c>
      <c r="DY59" s="230">
        <f t="shared" si="195"/>
        <v>40</v>
      </c>
      <c r="DZ59" s="230">
        <f t="shared" si="196"/>
        <v>0</v>
      </c>
      <c r="EA59" s="230">
        <f t="shared" si="197"/>
        <v>0</v>
      </c>
      <c r="EB59" s="230">
        <f t="shared" si="198"/>
        <v>0</v>
      </c>
      <c r="EC59" s="230">
        <f t="shared" si="199"/>
        <v>40</v>
      </c>
      <c r="ED59" s="230">
        <f t="shared" si="200"/>
        <v>0</v>
      </c>
      <c r="EE59" s="230">
        <f t="shared" si="201"/>
        <v>0</v>
      </c>
      <c r="EF59" s="230">
        <f t="shared" si="202"/>
        <v>0</v>
      </c>
      <c r="EG59" s="230">
        <f t="shared" si="203"/>
        <v>0</v>
      </c>
      <c r="EH59" s="230">
        <f t="shared" si="204"/>
        <v>0</v>
      </c>
      <c r="EI59" s="230">
        <f t="shared" si="205"/>
        <v>0</v>
      </c>
      <c r="EJ59" s="230">
        <f t="shared" si="206"/>
        <v>0</v>
      </c>
      <c r="EK59" s="230">
        <f t="shared" si="207"/>
        <v>0</v>
      </c>
      <c r="EL59" s="230">
        <f t="shared" si="208"/>
        <v>0</v>
      </c>
      <c r="EM59" s="230">
        <f t="shared" si="209"/>
        <v>0</v>
      </c>
      <c r="EN59" s="230">
        <f t="shared" si="210"/>
        <v>0</v>
      </c>
      <c r="EO59" s="230">
        <f t="shared" si="211"/>
        <v>0</v>
      </c>
      <c r="EP59" s="230">
        <f t="shared" si="212"/>
        <v>0</v>
      </c>
      <c r="EQ59" s="230">
        <f t="shared" si="213"/>
        <v>0</v>
      </c>
      <c r="ER59" s="230">
        <f t="shared" si="214"/>
        <v>0</v>
      </c>
      <c r="ES59" s="230">
        <f t="shared" si="215"/>
        <v>0</v>
      </c>
      <c r="ET59" s="230">
        <f t="shared" si="216"/>
        <v>0</v>
      </c>
      <c r="EU59" s="230">
        <f t="shared" si="217"/>
        <v>0</v>
      </c>
      <c r="EV59" s="230">
        <f t="shared" si="218"/>
        <v>0</v>
      </c>
      <c r="EW59" s="230">
        <f t="shared" si="219"/>
        <v>0</v>
      </c>
      <c r="EX59" s="230">
        <f t="shared" si="220"/>
        <v>0</v>
      </c>
      <c r="EY59" s="230">
        <f t="shared" si="221"/>
        <v>0</v>
      </c>
      <c r="EZ59" s="230">
        <f t="shared" si="222"/>
        <v>0</v>
      </c>
      <c r="FA59" s="230">
        <f t="shared" si="223"/>
        <v>0</v>
      </c>
      <c r="FB59" s="230">
        <f t="shared" si="224"/>
        <v>0</v>
      </c>
      <c r="FC59" s="230">
        <f t="shared" si="225"/>
        <v>0</v>
      </c>
      <c r="FD59" s="230">
        <f t="shared" si="226"/>
        <v>0</v>
      </c>
      <c r="FE59" s="230">
        <f t="shared" si="227"/>
        <v>0</v>
      </c>
      <c r="FF59" s="230">
        <f t="shared" si="228"/>
        <v>0</v>
      </c>
      <c r="FG59" s="230">
        <f t="shared" si="229"/>
        <v>0</v>
      </c>
      <c r="FH59" s="230">
        <f t="shared" si="230"/>
        <v>0</v>
      </c>
      <c r="FI59" s="230">
        <f t="shared" si="231"/>
        <v>0</v>
      </c>
      <c r="FJ59" s="230">
        <f t="shared" si="232"/>
        <v>0</v>
      </c>
      <c r="FK59" s="230">
        <f t="shared" si="233"/>
        <v>0</v>
      </c>
      <c r="FL59" s="230">
        <f t="shared" si="234"/>
        <v>0</v>
      </c>
      <c r="FM59" s="230">
        <f t="shared" si="235"/>
        <v>40</v>
      </c>
      <c r="FN59" s="230">
        <f>Input!AL59</f>
        <v>2100</v>
      </c>
      <c r="FO59" s="230">
        <f>Input!BB59</f>
        <v>0</v>
      </c>
      <c r="FP59" s="230">
        <f>Input!BR59</f>
        <v>0</v>
      </c>
      <c r="FQ59" s="230" t="str">
        <f>Input!CF59</f>
      </c>
      <c r="FR59" s="230" t="str">
        <f>Input!CT59</f>
      </c>
      <c r="FS59" s="230" t="str">
        <f>Input!DH59</f>
      </c>
      <c r="FT59" s="230" t="str">
        <f>Input!AM59</f>
        <v>27m/ 27m/ 27m</v>
      </c>
      <c r="FU59" s="230">
        <f>Input!BC59</f>
        <v>0</v>
      </c>
      <c r="FV59" s="230">
        <f>Input!BS59</f>
        <v>0</v>
      </c>
      <c r="FW59" s="230" t="str">
        <f>Input!CG59</f>
      </c>
      <c r="FX59" s="230" t="str">
        <f>Input!CU59</f>
      </c>
      <c r="FY59" s="230" t="str">
        <f>Input!DI59</f>
      </c>
      <c r="FZ59" s="230" t="str">
        <f t="shared" si="236"/>
        <v>27m/ 27m/ 27m</v>
      </c>
      <c r="GA59" s="230" t="str">
        <f t="shared" si="237"/>
      </c>
      <c r="GB59" s="230" t="str">
        <f t="shared" si="238"/>
      </c>
      <c r="GC59" s="230" t="str">
        <f t="shared" si="239"/>
      </c>
      <c r="GD59" s="230" t="str">
        <f t="shared" si="240"/>
      </c>
      <c r="GE59" s="230" t="str">
        <f t="shared" si="241"/>
      </c>
      <c r="GF59" s="230">
        <f t="shared" si="242"/>
        <v>27</v>
      </c>
      <c r="GG59" s="230">
        <f t="shared" si="243"/>
        <v>27</v>
      </c>
      <c r="GH59" s="230">
        <f t="shared" si="244"/>
        <v>27</v>
      </c>
      <c r="GI59" s="230">
        <f t="shared" si="245"/>
        <v>0</v>
      </c>
      <c r="GJ59" s="230">
        <f t="shared" si="246"/>
        <v>0</v>
      </c>
      <c r="GK59" s="230">
        <f t="shared" si="247"/>
        <v>0</v>
      </c>
      <c r="GL59" s="230">
        <f t="shared" si="248"/>
        <v>0</v>
      </c>
      <c r="GM59" s="230">
        <f t="shared" si="249"/>
        <v>0</v>
      </c>
      <c r="GN59" s="230">
        <f t="shared" si="250"/>
        <v>0</v>
      </c>
      <c r="GO59" s="230">
        <f t="shared" si="251"/>
        <v>0</v>
      </c>
      <c r="GP59" s="230">
        <f t="shared" si="252"/>
        <v>0</v>
      </c>
      <c r="GQ59" s="230">
        <f t="shared" si="253"/>
        <v>0</v>
      </c>
      <c r="GR59" s="230">
        <f t="shared" si="254"/>
        <v>0</v>
      </c>
      <c r="GS59" s="230">
        <f t="shared" si="255"/>
        <v>0</v>
      </c>
      <c r="GT59" s="230">
        <f t="shared" si="256"/>
        <v>0</v>
      </c>
      <c r="GU59" s="230">
        <f t="shared" si="257"/>
        <v>0</v>
      </c>
      <c r="GV59" s="230">
        <f t="shared" si="258"/>
        <v>0</v>
      </c>
      <c r="GW59" s="230">
        <f t="shared" si="259"/>
        <v>0</v>
      </c>
      <c r="GX59" s="230">
        <f t="shared" si="260"/>
        <v>0</v>
      </c>
      <c r="GY59" s="230">
        <f t="shared" si="261"/>
        <v>0</v>
      </c>
      <c r="GZ59" s="230">
        <f t="shared" si="262"/>
        <v>0</v>
      </c>
      <c r="HA59" s="230">
        <f t="shared" si="263"/>
        <v>0</v>
      </c>
      <c r="HB59" s="230">
        <f t="shared" si="264"/>
        <v>0</v>
      </c>
      <c r="HC59" s="230">
        <f t="shared" si="265"/>
        <v>0</v>
      </c>
      <c r="HD59" s="230">
        <f t="shared" si="266"/>
        <v>0</v>
      </c>
      <c r="HE59" s="230">
        <f t="shared" si="267"/>
        <v>0</v>
      </c>
      <c r="HF59" s="230">
        <f t="shared" si="268"/>
        <v>0</v>
      </c>
      <c r="HG59" s="230">
        <f t="shared" si="269"/>
        <v>0</v>
      </c>
      <c r="HH59" s="230">
        <f t="shared" si="270"/>
        <v>0</v>
      </c>
      <c r="HI59" s="230">
        <f t="shared" si="271"/>
        <v>0</v>
      </c>
      <c r="HJ59" s="230">
        <f t="shared" si="272"/>
        <v>0</v>
      </c>
      <c r="HK59" s="230">
        <f t="shared" si="273"/>
        <v>0</v>
      </c>
      <c r="HL59" s="230">
        <f t="shared" si="274"/>
        <v>0</v>
      </c>
      <c r="HM59" s="230">
        <f t="shared" si="275"/>
        <v>0</v>
      </c>
      <c r="HN59" s="230">
        <f t="shared" si="276"/>
        <v>0</v>
      </c>
      <c r="HO59" s="230">
        <f t="shared" si="277"/>
        <v>0</v>
      </c>
      <c r="HP59" s="230" t="str">
        <f>INDEX(LabNameList,MATCH(LabId,LabIDList,0))</f>
        <v>Trung tâm Kiểm định và Chứng nhận 2</v>
      </c>
      <c r="HQ59" s="230">
        <f t="shared" si="278"/>
        <v>27</v>
      </c>
      <c r="HR59" s="230">
        <f t="shared" si="279"/>
        <v>0</v>
      </c>
      <c r="HS59" s="230">
        <f t="shared" si="280"/>
        <v>0</v>
      </c>
      <c r="HT59" s="230">
        <f t="shared" si="281"/>
        <v>0</v>
      </c>
      <c r="HU59" s="230">
        <f t="shared" si="282"/>
        <v>0</v>
      </c>
      <c r="HV59" s="230">
        <f t="shared" si="283"/>
        <v>0</v>
      </c>
      <c r="HW59" s="797">
        <f t="shared" si="284"/>
        <v>27</v>
      </c>
      <c r="HX59" s="797">
        <f>Input!EB59</f>
        <v>0</v>
      </c>
      <c r="HY59" s="230">
        <v>68</v>
      </c>
      <c r="HZ59" s="230"/>
      <c r="IA59" s="230"/>
      <c r="IB59" s="230"/>
      <c r="IC59" s="232" t="str">
        <f t="shared" si="285"/>
        <v>B02010230916TG05</v>
      </c>
      <c r="ID59" s="233" t="str">
        <f>Input!O59</f>
        <v>02010</v>
      </c>
      <c r="IE59" s="467" t="str">
        <f t="shared" si="286"/>
        <v>230916</v>
      </c>
      <c r="IF59" s="232" t="s">
        <v>364</v>
      </c>
      <c r="IG59" s="467" t="str">
        <f t="shared" si="287"/>
        <v>23/09/2016</v>
      </c>
      <c r="IH59" s="467" t="str">
        <f t="shared" si="288"/>
        <v>23/09/2021</v>
      </c>
      <c r="II59" s="546" t="str">
        <f> Input!R59</f>
        <v>23/09/2016</v>
      </c>
      <c r="IJ59" s="467">
        <f t="shared" si="289"/>
        <v>44462</v>
      </c>
      <c r="IK59" s="468">
        <f t="shared" si="290"/>
        <v>3</v>
      </c>
      <c r="IL59" s="469" t="str">
        <f t="shared" si="291"/>
        <v>3-1</v>
      </c>
      <c r="IM59" s="469" t="str">
        <f t="shared" si="292"/>
        <v>KHAC</v>
      </c>
      <c r="IN59" s="469" t="str">
        <f t="shared" si="293"/>
        <v>KHAC</v>
      </c>
      <c r="IO59" s="469" t="str">
        <f t="shared" si="294"/>
      </c>
      <c r="IP59" s="469" t="str">
        <f t="shared" si="295"/>
      </c>
      <c r="IQ59" s="469" t="str">
        <f t="shared" si="296"/>
      </c>
      <c r="IR59" s="469">
        <f t="shared" si="297"/>
        <v>1</v>
      </c>
      <c r="IS59" s="469">
        <f t="shared" si="298"/>
        <v>2</v>
      </c>
      <c r="IT59" s="469" t="str">
        <f t="shared" si="299"/>
        <v>Yes</v>
      </c>
      <c r="IU59" s="469" t="str">
        <f t="shared" si="300"/>
        <v>Yes</v>
      </c>
    </row>
    <row r="60" ht="63.75">
      <c r="A60" s="601">
        <f>Input!A60</f>
        <v>59</v>
      </c>
      <c r="B60" s="229" t="str">
        <f>INDEX(ApplicantIDList,MATCH(AI60,ApplicantNameList,0))</f>
        <v>VIETTEL-2016</v>
      </c>
      <c r="C60" s="229" t="str">
        <f>INDEX(OperatorIDList,MATCH(AJ60,OperatorNameList,0))</f>
        <v>VIETTEL-2016</v>
      </c>
      <c r="D60" s="797" t="str">
        <f>Input!Y60</f>
        <v>HCM4381</v>
      </c>
      <c r="E60" s="229" t="str">
        <f>Input!G60</f>
        <v>Chợ Bình Điền, đường Nguyễn Văn Linh, phường 7, quận 8, thành phố Hồ Chí Minh.</v>
      </c>
      <c r="F60" s="229" t="str">
        <f>TRIM(SUBSTITUTE(SUBSTITUTE(Input!H60,"Thành phố ",""),"Tỉnh ",""))</f>
        <v>Hồ Chí Minh</v>
      </c>
      <c r="G60" s="797" t="str">
        <f>Input!I60</f>
        <v>106,610958</v>
      </c>
      <c r="H60" s="797" t="str">
        <f>Input!J60</f>
        <v>10,704208</v>
      </c>
      <c r="I60" s="229">
        <f>Input!V60</f>
        <v>2</v>
      </c>
      <c r="J60" s="229" t="str">
        <f>Input!K60</f>
        <v>1502440/16/TG/TT2</v>
      </c>
      <c r="K60" s="231" t="str">
        <f>TEXT(Input!L60,"dd/mm/yyyy")</f>
        <v>23/09/2016</v>
      </c>
      <c r="L60" s="231" t="str">
        <f>TEXT(Input!M60,"dd/mm/yyyy")</f>
        <v>22/09/2016</v>
      </c>
      <c r="M60" s="229" t="str">
        <f t="shared" si="135"/>
        <v>TỔNG CÔNG TY MẠNG LƯỚI VIETTEL;TỔNG CÔNG TY MẠNG LƯỚI VIETTEL</v>
      </c>
      <c r="N60" s="229" t="str">
        <f t="shared" si="136"/>
        <v>HCM4381;HCM4381</v>
      </c>
      <c r="O60" s="229" t="str">
        <f t="shared" si="137"/>
        <v>HUAWEI DBS3900;HUAWEI DBS3900</v>
      </c>
      <c r="P60" s="229" t="str">
        <f t="shared" si="138"/>
        <v>3;3</v>
      </c>
      <c r="Q60" s="229" t="str">
        <f t="shared" si="139"/>
        <v>2/2/2;2/2/2</v>
      </c>
      <c r="R60" s="229" t="str">
        <f t="shared" si="140"/>
        <v>40W/ 40W/ 40W;40W/ 40W/ 40W</v>
      </c>
      <c r="S60" s="229" t="str">
        <f t="shared" si="141"/>
        <v>1800;2100</v>
      </c>
      <c r="T60" s="229" t="str">
        <f t="shared" si="142"/>
        <v>20m/ 20m/ 20m;20m/ 20m/ 20m</v>
      </c>
      <c r="U60" s="229">
        <v>1</v>
      </c>
      <c r="V60" s="229"/>
      <c r="W60" s="229" t="b">
        <f t="shared" si="143"/>
        <v>0</v>
      </c>
      <c r="X60" s="229" t="b">
        <f>INDEX(TrueFalseList,_xlfn.IFNA(MATCH(Input!W60,CoKhongList,0),MATCH(Input!W60,YesNoList,0)))</f>
        <v>0</v>
      </c>
      <c r="Y60" s="797">
        <f>Input!FZ60</f>
        <v>0</v>
      </c>
      <c r="Z60" s="229" t="b">
        <v>1</v>
      </c>
      <c r="AA60" s="797">
        <f t="shared" si="144"/>
        <v>20</v>
      </c>
      <c r="AB60" s="229" t="b">
        <v>0</v>
      </c>
      <c r="AC60" s="229" t="b">
        <v>1</v>
      </c>
      <c r="AD60" s="229">
        <f>Input!DR60</f>
        <v>0</v>
      </c>
      <c r="AE60" s="229"/>
      <c r="AF60" s="229" t="str">
        <f>Options!$D$6</f>
        <v>VCC2</v>
      </c>
      <c r="AG60" s="229">
        <f t="shared" si="145"/>
        <v>0</v>
      </c>
      <c r="AH60" s="230"/>
      <c r="AI60" s="553" t="str">
        <f>Input!E60</f>
        <v>TỔNG CÔNG TY MẠNG LƯỚI VIETTEL</v>
      </c>
      <c r="AJ60" s="553" t="str">
        <f>Input!F60</f>
        <v>TỔNG CÔNG TY MẠNG LƯỚI VIETTEL</v>
      </c>
      <c r="AK60" s="229">
        <f t="shared" si="146"/>
        <v>4</v>
      </c>
      <c r="AL60" s="465" t="str">
        <f t="shared" si="147"/>
        <v>thành phố Hồ Chí Minh.</v>
      </c>
      <c r="AM60" s="465" t="str">
        <f t="shared" si="148"/>
        <v>quận 8</v>
      </c>
      <c r="AN60" s="465" t="str">
        <f t="shared" si="149"/>
        <v>phường 7</v>
      </c>
      <c r="AO60" s="229" t="str">
        <f>INDEX(CityIDList,MATCH(F60,CityNameList,0))</f>
        <v>HCM</v>
      </c>
      <c r="AP60" s="230" t="str">
        <f>Input!X60</f>
        <v>TỔNG CÔNG TY MẠNG LƯỚI VIETTEL</v>
      </c>
      <c r="AQ60" s="230" t="str">
        <f>Input!AN60</f>
        <v>TỔNG CÔNG TY MẠNG LƯỚI VIETTEL</v>
      </c>
      <c r="AR60" s="230">
        <f>Input!BD60</f>
        <v>0</v>
      </c>
      <c r="AS60" s="230" t="str">
        <f>Input!BT60</f>
      </c>
      <c r="AT60" s="230" t="str">
        <f>Input!CH60</f>
      </c>
      <c r="AU60" s="230" t="str">
        <f>Input!CV60</f>
      </c>
      <c r="AV60" s="230" t="str">
        <f>IF(I60&gt;=1,INDEX(OperatorIDList,MATCH(AP60,OperatorNameList,0)),"")</f>
        <v>VIETTEL-2016</v>
      </c>
      <c r="AW60" s="230" t="str">
        <f>IF(I60&gt;=2,INDEX(OperatorIDList,MATCH(AQ60,OperatorNameList,0)),"")</f>
        <v>VIETTEL-2016</v>
      </c>
      <c r="AX60" s="230" t="str">
        <f>IF(I60&gt;=3,INDEX(OperatorIDList,MATCH(AR60,OperatorNameList,0)),"")</f>
      </c>
      <c r="AY60" s="230" t="str">
        <f>IF(I60&gt;=4,INDEX(OperatorIDList,MATCH(AS60,OperatorNameList,0)),"")</f>
      </c>
      <c r="AZ60" s="230" t="str">
        <f>IF(I60&gt;=5,INDEX(OperatorIDList,MATCH(AT60,OperatorNameList,0)),"")</f>
      </c>
      <c r="BA60" s="230" t="str">
        <f>IF(I60&gt;=6,INDEX(OperatorIDList,MATCH(AU60,OperatorNameList,0)),"")</f>
      </c>
      <c r="BB60" s="230" t="str">
        <f t="shared" si="150"/>
        <v>VIETTEL-2016;VIETTEL-2016</v>
      </c>
      <c r="BC60" s="230" t="str">
        <f>Input!Y60</f>
        <v>HCM4381</v>
      </c>
      <c r="BD60" s="230" t="str">
        <f>Input!AO60</f>
        <v>HCM4381</v>
      </c>
      <c r="BE60" s="230">
        <f>Input!BE60</f>
        <v>0</v>
      </c>
      <c r="BF60" s="230" t="str">
        <f>Input!BU60</f>
      </c>
      <c r="BG60" s="230" t="str">
        <f>Input!CI60</f>
      </c>
      <c r="BH60" s="230" t="str">
        <f>Input!CW60</f>
      </c>
      <c r="BI60" s="230" t="str">
        <f>Input!Z60</f>
        <v>HUAWEI DBS3900</v>
      </c>
      <c r="BJ60" s="230" t="str">
        <f>Input!AP60</f>
        <v>HUAWEI DBS3900</v>
      </c>
      <c r="BK60" s="230">
        <f>Input!BF60</f>
        <v>0</v>
      </c>
      <c r="BL60" s="230" t="str">
        <f>Input!BV60</f>
      </c>
      <c r="BM60" s="230" t="str">
        <f>Input!CJ60</f>
      </c>
      <c r="BN60" s="230" t="str">
        <f>Input!CX60</f>
      </c>
      <c r="BO60" s="553">
        <f>IF(ISNUMBER(Input!AA60),Input!AA60,0)</f>
        <v>3</v>
      </c>
      <c r="BP60" s="553">
        <f>IF(ISNUMBER(Input!AQ60),Input!AQ60,0)</f>
        <v>3</v>
      </c>
      <c r="BQ60" s="553">
        <f>IF(ISNUMBER(Input!BG60),Input!BG60,0)</f>
        <v>0</v>
      </c>
      <c r="BR60" s="553">
        <f>IF(ISNUMBER(Input!BW60),Input!BW60,0)</f>
        <v>0</v>
      </c>
      <c r="BS60" s="553">
        <f>IF(ISNUMBER(Input!CK60),Input!CK60,0)</f>
        <v>0</v>
      </c>
      <c r="BT60" s="554">
        <f>IF(ISNUMBER(Input!CY60),Input!CY60,0)</f>
        <v>0</v>
      </c>
      <c r="BU60" s="230" t="str">
        <f>Input!AF60</f>
        <v>2/2/2</v>
      </c>
      <c r="BV60" s="230" t="str">
        <f>Input!AV60</f>
        <v>2/2/2</v>
      </c>
      <c r="BW60" s="230" t="str">
        <f>Input!BL60</f>
      </c>
      <c r="BX60" s="230" t="str">
        <f>Input!CA60</f>
      </c>
      <c r="BY60" s="230" t="str">
        <f>Input!CO60</f>
      </c>
      <c r="BZ60" s="230" t="str">
        <f>Input!DC60</f>
      </c>
      <c r="CA60" s="230">
        <f t="shared" si="151"/>
        <v>2</v>
      </c>
      <c r="CB60" s="230">
        <f t="shared" si="152"/>
        <v>2</v>
      </c>
      <c r="CC60" s="230">
        <f t="shared" si="153"/>
        <v>2</v>
      </c>
      <c r="CD60" s="230">
        <f t="shared" si="154"/>
        <v>0</v>
      </c>
      <c r="CE60" s="230">
        <f t="shared" si="155"/>
        <v>0</v>
      </c>
      <c r="CF60" s="230">
        <f t="shared" si="156"/>
        <v>0</v>
      </c>
      <c r="CG60" s="230">
        <f t="shared" si="157"/>
        <v>2</v>
      </c>
      <c r="CH60" s="230">
        <f t="shared" si="158"/>
        <v>2</v>
      </c>
      <c r="CI60" s="230">
        <f t="shared" si="159"/>
        <v>2</v>
      </c>
      <c r="CJ60" s="230">
        <f t="shared" si="160"/>
        <v>0</v>
      </c>
      <c r="CK60" s="230">
        <f t="shared" si="161"/>
        <v>0</v>
      </c>
      <c r="CL60" s="230">
        <f t="shared" si="162"/>
        <v>0</v>
      </c>
      <c r="CM60" s="230">
        <f t="shared" si="163"/>
        <v>0</v>
      </c>
      <c r="CN60" s="230">
        <f t="shared" si="164"/>
        <v>0</v>
      </c>
      <c r="CO60" s="230">
        <f t="shared" si="165"/>
        <v>0</v>
      </c>
      <c r="CP60" s="230">
        <f t="shared" si="166"/>
        <v>0</v>
      </c>
      <c r="CQ60" s="230">
        <f t="shared" si="167"/>
        <v>0</v>
      </c>
      <c r="CR60" s="230">
        <f t="shared" si="168"/>
        <v>0</v>
      </c>
      <c r="CS60" s="230">
        <f t="shared" si="169"/>
        <v>0</v>
      </c>
      <c r="CT60" s="230">
        <f t="shared" si="170"/>
        <v>0</v>
      </c>
      <c r="CU60" s="230">
        <f t="shared" si="171"/>
        <v>0</v>
      </c>
      <c r="CV60" s="230">
        <f t="shared" si="172"/>
        <v>0</v>
      </c>
      <c r="CW60" s="230">
        <f t="shared" si="173"/>
        <v>0</v>
      </c>
      <c r="CX60" s="230">
        <f t="shared" si="174"/>
        <v>0</v>
      </c>
      <c r="CY60" s="230">
        <f t="shared" si="175"/>
        <v>0</v>
      </c>
      <c r="CZ60" s="230">
        <f t="shared" si="176"/>
        <v>0</v>
      </c>
      <c r="DA60" s="230">
        <f t="shared" si="177"/>
        <v>0</v>
      </c>
      <c r="DB60" s="230">
        <f t="shared" si="178"/>
        <v>0</v>
      </c>
      <c r="DC60" s="230">
        <f t="shared" si="179"/>
        <v>0</v>
      </c>
      <c r="DD60" s="230">
        <f t="shared" si="180"/>
        <v>0</v>
      </c>
      <c r="DE60" s="230">
        <f t="shared" si="181"/>
        <v>0</v>
      </c>
      <c r="DF60" s="230">
        <f t="shared" si="182"/>
        <v>0</v>
      </c>
      <c r="DG60" s="230">
        <f t="shared" si="183"/>
        <v>0</v>
      </c>
      <c r="DH60" s="230">
        <f t="shared" si="184"/>
        <v>0</v>
      </c>
      <c r="DI60" s="230">
        <f t="shared" si="185"/>
        <v>0</v>
      </c>
      <c r="DJ60" s="230">
        <f t="shared" si="186"/>
        <v>0</v>
      </c>
      <c r="DK60" s="230" t="str">
        <f>Input!AK60</f>
        <v>40,00W/40,00W/40,00W</v>
      </c>
      <c r="DL60" s="230" t="str">
        <f>Input!BA60</f>
        <v>40,00W/40,00W/40,00W</v>
      </c>
      <c r="DM60" s="230" t="str">
        <f>Input!BQ60</f>
      </c>
      <c r="DN60" s="230" t="str">
        <f>Input!CE60</f>
      </c>
      <c r="DO60" s="230" t="str">
        <f>Input!CS60</f>
      </c>
      <c r="DP60" s="230" t="str">
        <f>Input!DG60</f>
      </c>
      <c r="DQ60" s="230" t="str">
        <f t="shared" si="187"/>
        <v>40W/ 40W/ 40W</v>
      </c>
      <c r="DR60" s="230" t="str">
        <f t="shared" si="188"/>
        <v>40W/ 40W/ 40W</v>
      </c>
      <c r="DS60" s="230" t="str">
        <f t="shared" si="189"/>
      </c>
      <c r="DT60" s="230" t="str">
        <f t="shared" si="190"/>
      </c>
      <c r="DU60" s="230" t="str">
        <f t="shared" si="191"/>
      </c>
      <c r="DV60" s="230" t="str">
        <f t="shared" si="192"/>
      </c>
      <c r="DW60" s="230">
        <f t="shared" si="193"/>
        <v>40</v>
      </c>
      <c r="DX60" s="230">
        <f t="shared" si="194"/>
        <v>40</v>
      </c>
      <c r="DY60" s="230">
        <f t="shared" si="195"/>
        <v>40</v>
      </c>
      <c r="DZ60" s="230">
        <f t="shared" si="196"/>
        <v>0</v>
      </c>
      <c r="EA60" s="230">
        <f t="shared" si="197"/>
        <v>0</v>
      </c>
      <c r="EB60" s="230">
        <f t="shared" si="198"/>
        <v>0</v>
      </c>
      <c r="EC60" s="230">
        <f t="shared" si="199"/>
        <v>40</v>
      </c>
      <c r="ED60" s="230">
        <f t="shared" si="200"/>
        <v>40</v>
      </c>
      <c r="EE60" s="230">
        <f t="shared" si="201"/>
        <v>40</v>
      </c>
      <c r="EF60" s="230">
        <f t="shared" si="202"/>
        <v>40</v>
      </c>
      <c r="EG60" s="230">
        <f t="shared" si="203"/>
        <v>0</v>
      </c>
      <c r="EH60" s="230">
        <f t="shared" si="204"/>
        <v>0</v>
      </c>
      <c r="EI60" s="230">
        <f t="shared" si="205"/>
        <v>0</v>
      </c>
      <c r="EJ60" s="230">
        <f t="shared" si="206"/>
        <v>40</v>
      </c>
      <c r="EK60" s="230">
        <f t="shared" si="207"/>
        <v>0</v>
      </c>
      <c r="EL60" s="230">
        <f t="shared" si="208"/>
        <v>0</v>
      </c>
      <c r="EM60" s="230">
        <f t="shared" si="209"/>
        <v>0</v>
      </c>
      <c r="EN60" s="230">
        <f t="shared" si="210"/>
        <v>0</v>
      </c>
      <c r="EO60" s="230">
        <f t="shared" si="211"/>
        <v>0</v>
      </c>
      <c r="EP60" s="230">
        <f t="shared" si="212"/>
        <v>0</v>
      </c>
      <c r="EQ60" s="230">
        <f t="shared" si="213"/>
        <v>0</v>
      </c>
      <c r="ER60" s="230">
        <f t="shared" si="214"/>
        <v>0</v>
      </c>
      <c r="ES60" s="230">
        <f t="shared" si="215"/>
        <v>0</v>
      </c>
      <c r="ET60" s="230">
        <f t="shared" si="216"/>
        <v>0</v>
      </c>
      <c r="EU60" s="230">
        <f t="shared" si="217"/>
        <v>0</v>
      </c>
      <c r="EV60" s="230">
        <f t="shared" si="218"/>
        <v>0</v>
      </c>
      <c r="EW60" s="230">
        <f t="shared" si="219"/>
        <v>0</v>
      </c>
      <c r="EX60" s="230">
        <f t="shared" si="220"/>
        <v>0</v>
      </c>
      <c r="EY60" s="230">
        <f t="shared" si="221"/>
        <v>0</v>
      </c>
      <c r="EZ60" s="230">
        <f t="shared" si="222"/>
        <v>0</v>
      </c>
      <c r="FA60" s="230">
        <f t="shared" si="223"/>
        <v>0</v>
      </c>
      <c r="FB60" s="230">
        <f t="shared" si="224"/>
        <v>0</v>
      </c>
      <c r="FC60" s="230">
        <f t="shared" si="225"/>
        <v>0</v>
      </c>
      <c r="FD60" s="230">
        <f t="shared" si="226"/>
        <v>0</v>
      </c>
      <c r="FE60" s="230">
        <f t="shared" si="227"/>
        <v>0</v>
      </c>
      <c r="FF60" s="230">
        <f t="shared" si="228"/>
        <v>0</v>
      </c>
      <c r="FG60" s="230">
        <f t="shared" si="229"/>
        <v>0</v>
      </c>
      <c r="FH60" s="230">
        <f t="shared" si="230"/>
        <v>0</v>
      </c>
      <c r="FI60" s="230">
        <f t="shared" si="231"/>
        <v>0</v>
      </c>
      <c r="FJ60" s="230">
        <f t="shared" si="232"/>
        <v>0</v>
      </c>
      <c r="FK60" s="230">
        <f t="shared" si="233"/>
        <v>0</v>
      </c>
      <c r="FL60" s="230">
        <f t="shared" si="234"/>
        <v>0</v>
      </c>
      <c r="FM60" s="230">
        <f t="shared" si="235"/>
        <v>40</v>
      </c>
      <c r="FN60" s="230" t="str">
        <f>Input!AL60</f>
        <v>1800</v>
      </c>
      <c r="FO60" s="230" t="str">
        <f>Input!BB60</f>
        <v>2100</v>
      </c>
      <c r="FP60" s="230">
        <f>Input!BR60</f>
        <v>0</v>
      </c>
      <c r="FQ60" s="230" t="str">
        <f>Input!CF60</f>
      </c>
      <c r="FR60" s="230" t="str">
        <f>Input!CT60</f>
      </c>
      <c r="FS60" s="230" t="str">
        <f>Input!DH60</f>
      </c>
      <c r="FT60" s="230" t="str">
        <f>Input!AM60</f>
        <v>20m/ 20m/ 20m</v>
      </c>
      <c r="FU60" s="230" t="str">
        <f>Input!BC60</f>
        <v>20m/ 20m/ 20m</v>
      </c>
      <c r="FV60" s="230">
        <f>Input!BS60</f>
        <v>0</v>
      </c>
      <c r="FW60" s="230" t="str">
        <f>Input!CG60</f>
      </c>
      <c r="FX60" s="230" t="str">
        <f>Input!CU60</f>
      </c>
      <c r="FY60" s="230" t="str">
        <f>Input!DI60</f>
      </c>
      <c r="FZ60" s="230" t="str">
        <f t="shared" si="236"/>
        <v>20m/ 20m/ 20m</v>
      </c>
      <c r="GA60" s="230" t="str">
        <f t="shared" si="237"/>
        <v>20m/ 20m/ 20m</v>
      </c>
      <c r="GB60" s="230" t="str">
        <f t="shared" si="238"/>
      </c>
      <c r="GC60" s="230" t="str">
        <f t="shared" si="239"/>
      </c>
      <c r="GD60" s="230" t="str">
        <f t="shared" si="240"/>
      </c>
      <c r="GE60" s="230" t="str">
        <f t="shared" si="241"/>
      </c>
      <c r="GF60" s="230">
        <f t="shared" si="242"/>
        <v>20</v>
      </c>
      <c r="GG60" s="230">
        <f t="shared" si="243"/>
        <v>20</v>
      </c>
      <c r="GH60" s="230">
        <f t="shared" si="244"/>
        <v>20</v>
      </c>
      <c r="GI60" s="230">
        <f t="shared" si="245"/>
        <v>0</v>
      </c>
      <c r="GJ60" s="230">
        <f t="shared" si="246"/>
        <v>0</v>
      </c>
      <c r="GK60" s="230">
        <f t="shared" si="247"/>
        <v>0</v>
      </c>
      <c r="GL60" s="230">
        <f t="shared" si="248"/>
        <v>20</v>
      </c>
      <c r="GM60" s="230">
        <f t="shared" si="249"/>
        <v>20</v>
      </c>
      <c r="GN60" s="230">
        <f t="shared" si="250"/>
        <v>20</v>
      </c>
      <c r="GO60" s="230">
        <f t="shared" si="251"/>
        <v>0</v>
      </c>
      <c r="GP60" s="230">
        <f t="shared" si="252"/>
        <v>0</v>
      </c>
      <c r="GQ60" s="230">
        <f t="shared" si="253"/>
        <v>0</v>
      </c>
      <c r="GR60" s="230">
        <f t="shared" si="254"/>
        <v>0</v>
      </c>
      <c r="GS60" s="230">
        <f t="shared" si="255"/>
        <v>0</v>
      </c>
      <c r="GT60" s="230">
        <f t="shared" si="256"/>
        <v>0</v>
      </c>
      <c r="GU60" s="230">
        <f t="shared" si="257"/>
        <v>0</v>
      </c>
      <c r="GV60" s="230">
        <f t="shared" si="258"/>
        <v>0</v>
      </c>
      <c r="GW60" s="230">
        <f t="shared" si="259"/>
        <v>0</v>
      </c>
      <c r="GX60" s="230">
        <f t="shared" si="260"/>
        <v>0</v>
      </c>
      <c r="GY60" s="230">
        <f t="shared" si="261"/>
        <v>0</v>
      </c>
      <c r="GZ60" s="230">
        <f t="shared" si="262"/>
        <v>0</v>
      </c>
      <c r="HA60" s="230">
        <f t="shared" si="263"/>
        <v>0</v>
      </c>
      <c r="HB60" s="230">
        <f t="shared" si="264"/>
        <v>0</v>
      </c>
      <c r="HC60" s="230">
        <f t="shared" si="265"/>
        <v>0</v>
      </c>
      <c r="HD60" s="230">
        <f t="shared" si="266"/>
        <v>0</v>
      </c>
      <c r="HE60" s="230">
        <f t="shared" si="267"/>
        <v>0</v>
      </c>
      <c r="HF60" s="230">
        <f t="shared" si="268"/>
        <v>0</v>
      </c>
      <c r="HG60" s="230">
        <f t="shared" si="269"/>
        <v>0</v>
      </c>
      <c r="HH60" s="230">
        <f t="shared" si="270"/>
        <v>0</v>
      </c>
      <c r="HI60" s="230">
        <f t="shared" si="271"/>
        <v>0</v>
      </c>
      <c r="HJ60" s="230">
        <f t="shared" si="272"/>
        <v>0</v>
      </c>
      <c r="HK60" s="230">
        <f t="shared" si="273"/>
        <v>0</v>
      </c>
      <c r="HL60" s="230">
        <f t="shared" si="274"/>
        <v>0</v>
      </c>
      <c r="HM60" s="230">
        <f t="shared" si="275"/>
        <v>0</v>
      </c>
      <c r="HN60" s="230">
        <f t="shared" si="276"/>
        <v>0</v>
      </c>
      <c r="HO60" s="230">
        <f t="shared" si="277"/>
        <v>0</v>
      </c>
      <c r="HP60" s="230" t="str">
        <f>INDEX(LabNameList,MATCH(LabId,LabIDList,0))</f>
        <v>Trung tâm Kiểm định và Chứng nhận 2</v>
      </c>
      <c r="HQ60" s="230">
        <f t="shared" si="278"/>
        <v>20</v>
      </c>
      <c r="HR60" s="230">
        <f t="shared" si="279"/>
        <v>20</v>
      </c>
      <c r="HS60" s="230">
        <f t="shared" si="280"/>
        <v>0</v>
      </c>
      <c r="HT60" s="230">
        <f t="shared" si="281"/>
        <v>0</v>
      </c>
      <c r="HU60" s="230">
        <f t="shared" si="282"/>
        <v>0</v>
      </c>
      <c r="HV60" s="230">
        <f t="shared" si="283"/>
        <v>0</v>
      </c>
      <c r="HW60" s="797">
        <f t="shared" si="284"/>
        <v>20</v>
      </c>
      <c r="HX60" s="797">
        <f>Input!EB60</f>
        <v>0</v>
      </c>
      <c r="HY60" s="230">
        <v>68</v>
      </c>
      <c r="HZ60" s="230"/>
      <c r="IA60" s="230"/>
      <c r="IB60" s="230"/>
      <c r="IC60" s="232" t="str">
        <f t="shared" si="285"/>
        <v>B02011230916TG05</v>
      </c>
      <c r="ID60" s="233" t="str">
        <f>Input!O60</f>
        <v>02011</v>
      </c>
      <c r="IE60" s="467" t="str">
        <f t="shared" si="286"/>
        <v>230916</v>
      </c>
      <c r="IF60" s="232" t="s">
        <v>364</v>
      </c>
      <c r="IG60" s="467" t="str">
        <f t="shared" si="287"/>
        <v>23/09/2016</v>
      </c>
      <c r="IH60" s="467" t="str">
        <f t="shared" si="288"/>
        <v>23/09/2021</v>
      </c>
      <c r="II60" s="546" t="str">
        <f> Input!R60</f>
        <v>23/09/2016</v>
      </c>
      <c r="IJ60" s="467">
        <f t="shared" si="289"/>
        <v>44462</v>
      </c>
      <c r="IK60" s="468">
        <f t="shared" si="290"/>
        <v>3</v>
      </c>
      <c r="IL60" s="469" t="str">
        <f t="shared" si="291"/>
        <v>3-2</v>
      </c>
      <c r="IM60" s="469" t="str">
        <f t="shared" si="292"/>
        <v>CHUNG</v>
      </c>
      <c r="IN60" s="469" t="str">
        <f t="shared" si="293"/>
        <v>KHAC</v>
      </c>
      <c r="IO60" s="469" t="str">
        <f t="shared" si="294"/>
      </c>
      <c r="IP60" s="469" t="str">
        <f t="shared" si="295"/>
      </c>
      <c r="IQ60" s="469" t="str">
        <f t="shared" si="296"/>
      </c>
      <c r="IR60" s="469">
        <f t="shared" si="297"/>
        <v>2</v>
      </c>
      <c r="IS60" s="469">
        <f t="shared" si="298"/>
        <v>1</v>
      </c>
      <c r="IT60" s="469" t="str">
        <f t="shared" si="299"/>
        <v>Yes</v>
      </c>
      <c r="IU60" s="469" t="str">
        <f t="shared" si="300"/>
        <v>Yes</v>
      </c>
    </row>
    <row r="61" ht="63.75">
      <c r="A61" s="601">
        <f>Input!A61</f>
        <v>60</v>
      </c>
      <c r="B61" s="229" t="str">
        <f>INDEX(ApplicantIDList,MATCH(AI61,ApplicantNameList,0))</f>
        <v>VIETTEL-2016</v>
      </c>
      <c r="C61" s="229" t="str">
        <f>INDEX(OperatorIDList,MATCH(AJ61,OperatorNameList,0))</f>
        <v>VIETTEL-2016</v>
      </c>
      <c r="D61" s="797" t="str">
        <f>Input!Y61</f>
        <v>HCM0263-11</v>
      </c>
      <c r="E61" s="229" t="str">
        <f>Input!G61</f>
        <v>Số 18, đường Huỳnh Mẫn Đạt, phường 1, quận 5, thành phố Hồ Chí Minh.</v>
      </c>
      <c r="F61" s="229" t="str">
        <f>TRIM(SUBSTITUTE(SUBSTITUTE(Input!H61,"Thành phố ",""),"Tỉnh ",""))</f>
        <v>Hồ Chí Minh</v>
      </c>
      <c r="G61" s="797" t="str">
        <f>Input!I61</f>
        <v>106,67717</v>
      </c>
      <c r="H61" s="797" t="str">
        <f>Input!J61</f>
        <v>10,753739</v>
      </c>
      <c r="I61" s="229">
        <f>Input!V61</f>
        <v>1</v>
      </c>
      <c r="J61" s="229" t="str">
        <f>Input!K61</f>
        <v>1502441/16/TG/TT2</v>
      </c>
      <c r="K61" s="231" t="str">
        <f>TEXT(Input!L61,"dd/mm/yyyy")</f>
        <v>23/09/2016</v>
      </c>
      <c r="L61" s="231" t="str">
        <f>TEXT(Input!M61,"dd/mm/yyyy")</f>
        <v>22/09/2016</v>
      </c>
      <c r="M61" s="229" t="str">
        <f t="shared" si="135"/>
        <v>TỔNG CÔNG TY MẠNG LƯỚI VIETTEL</v>
      </c>
      <c r="N61" s="229" t="str">
        <f t="shared" si="136"/>
        <v>HCM0263-11</v>
      </c>
      <c r="O61" s="229" t="str">
        <f t="shared" si="137"/>
        <v>HUAWEI DBS3900</v>
      </c>
      <c r="P61" s="229" t="str">
        <f t="shared" si="138"/>
        <v>1</v>
      </c>
      <c r="Q61" s="229" t="str">
        <f t="shared" si="139"/>
        <v>2</v>
      </c>
      <c r="R61" s="229" t="str">
        <f t="shared" si="140"/>
        <v>40W</v>
      </c>
      <c r="S61" s="229" t="str">
        <f t="shared" si="141"/>
        <v>2100</v>
      </c>
      <c r="T61" s="229" t="str">
        <f t="shared" si="142"/>
        <v>25m</v>
      </c>
      <c r="U61" s="229">
        <v>1</v>
      </c>
      <c r="V61" s="229"/>
      <c r="W61" s="229" t="b">
        <f t="shared" si="143"/>
        <v>0</v>
      </c>
      <c r="X61" s="229" t="b">
        <f>INDEX(TrueFalseList,_xlfn.IFNA(MATCH(Input!W61,CoKhongList,0),MATCH(Input!W61,YesNoList,0)))</f>
        <v>0</v>
      </c>
      <c r="Y61" s="797">
        <f>Input!FZ61</f>
        <v>0</v>
      </c>
      <c r="Z61" s="229" t="b">
        <v>1</v>
      </c>
      <c r="AA61" s="797">
        <f t="shared" si="144"/>
        <v>25</v>
      </c>
      <c r="AB61" s="229" t="b">
        <v>0</v>
      </c>
      <c r="AC61" s="229" t="b">
        <v>1</v>
      </c>
      <c r="AD61" s="229">
        <f>Input!DR61</f>
        <v>0</v>
      </c>
      <c r="AE61" s="229"/>
      <c r="AF61" s="229" t="str">
        <f>Options!$D$6</f>
        <v>VCC2</v>
      </c>
      <c r="AG61" s="229">
        <f t="shared" si="145"/>
        <v>0</v>
      </c>
      <c r="AH61" s="230"/>
      <c r="AI61" s="553" t="str">
        <f>Input!E61</f>
        <v>TỔNG CÔNG TY MẠNG LƯỚI VIETTEL</v>
      </c>
      <c r="AJ61" s="553" t="str">
        <f>Input!F61</f>
        <v>TỔNG CÔNG TY MẠNG LƯỚI VIETTEL</v>
      </c>
      <c r="AK61" s="229">
        <f t="shared" si="146"/>
        <v>4</v>
      </c>
      <c r="AL61" s="465" t="str">
        <f t="shared" si="147"/>
        <v>thành phố Hồ Chí Minh.</v>
      </c>
      <c r="AM61" s="465" t="str">
        <f t="shared" si="148"/>
        <v>quận 5</v>
      </c>
      <c r="AN61" s="465" t="str">
        <f t="shared" si="149"/>
        <v>phường 1</v>
      </c>
      <c r="AO61" s="229" t="str">
        <f>INDEX(CityIDList,MATCH(F61,CityNameList,0))</f>
        <v>HCM</v>
      </c>
      <c r="AP61" s="230" t="str">
        <f>Input!X61</f>
        <v>TỔNG CÔNG TY MẠNG LƯỚI VIETTEL</v>
      </c>
      <c r="AQ61" s="230">
        <f>Input!AN61</f>
        <v>0</v>
      </c>
      <c r="AR61" s="230">
        <f>Input!BD61</f>
        <v>0</v>
      </c>
      <c r="AS61" s="230" t="str">
        <f>Input!BT61</f>
      </c>
      <c r="AT61" s="230" t="str">
        <f>Input!CH61</f>
      </c>
      <c r="AU61" s="230" t="str">
        <f>Input!CV61</f>
      </c>
      <c r="AV61" s="230" t="str">
        <f>IF(I61&gt;=1,INDEX(OperatorIDList,MATCH(AP61,OperatorNameList,0)),"")</f>
        <v>VIETTEL-2016</v>
      </c>
      <c r="AW61" s="230" t="str">
        <f>IF(I61&gt;=2,INDEX(OperatorIDList,MATCH(AQ61,OperatorNameList,0)),"")</f>
      </c>
      <c r="AX61" s="230" t="str">
        <f>IF(I61&gt;=3,INDEX(OperatorIDList,MATCH(AR61,OperatorNameList,0)),"")</f>
      </c>
      <c r="AY61" s="230" t="str">
        <f>IF(I61&gt;=4,INDEX(OperatorIDList,MATCH(AS61,OperatorNameList,0)),"")</f>
      </c>
      <c r="AZ61" s="230" t="str">
        <f>IF(I61&gt;=5,INDEX(OperatorIDList,MATCH(AT61,OperatorNameList,0)),"")</f>
      </c>
      <c r="BA61" s="230" t="str">
        <f>IF(I61&gt;=6,INDEX(OperatorIDList,MATCH(AU61,OperatorNameList,0)),"")</f>
      </c>
      <c r="BB61" s="230" t="str">
        <f t="shared" si="150"/>
        <v>VIETTEL-2016</v>
      </c>
      <c r="BC61" s="230" t="str">
        <f>Input!Y61</f>
        <v>HCM0263-11</v>
      </c>
      <c r="BD61" s="230">
        <f>Input!AO61</f>
        <v>0</v>
      </c>
      <c r="BE61" s="230">
        <f>Input!BE61</f>
        <v>0</v>
      </c>
      <c r="BF61" s="230" t="str">
        <f>Input!BU61</f>
      </c>
      <c r="BG61" s="230" t="str">
        <f>Input!CI61</f>
      </c>
      <c r="BH61" s="230" t="str">
        <f>Input!CW61</f>
      </c>
      <c r="BI61" s="230" t="str">
        <f>Input!Z61</f>
        <v>HUAWEI DBS3900</v>
      </c>
      <c r="BJ61" s="230">
        <f>Input!AP61</f>
        <v>0</v>
      </c>
      <c r="BK61" s="230">
        <f>Input!BF61</f>
        <v>0</v>
      </c>
      <c r="BL61" s="230" t="str">
        <f>Input!BV61</f>
      </c>
      <c r="BM61" s="230" t="str">
        <f>Input!CJ61</f>
      </c>
      <c r="BN61" s="230" t="str">
        <f>Input!CX61</f>
      </c>
      <c r="BO61" s="553">
        <f>IF(ISNUMBER(Input!AA61),Input!AA61,0)</f>
        <v>1</v>
      </c>
      <c r="BP61" s="553">
        <f>IF(ISNUMBER(Input!AQ61),Input!AQ61,0)</f>
        <v>0</v>
      </c>
      <c r="BQ61" s="553">
        <f>IF(ISNUMBER(Input!BG61),Input!BG61,0)</f>
        <v>0</v>
      </c>
      <c r="BR61" s="553">
        <f>IF(ISNUMBER(Input!BW61),Input!BW61,0)</f>
        <v>0</v>
      </c>
      <c r="BS61" s="553">
        <f>IF(ISNUMBER(Input!CK61),Input!CK61,0)</f>
        <v>0</v>
      </c>
      <c r="BT61" s="554">
        <f>IF(ISNUMBER(Input!CY61),Input!CY61,0)</f>
        <v>0</v>
      </c>
      <c r="BU61" s="230" t="str">
        <f>Input!AF61</f>
        <v>2</v>
      </c>
      <c r="BV61" s="230" t="str">
        <f>Input!AV61</f>
      </c>
      <c r="BW61" s="230" t="str">
        <f>Input!BL61</f>
      </c>
      <c r="BX61" s="230" t="str">
        <f>Input!CA61</f>
      </c>
      <c r="BY61" s="230" t="str">
        <f>Input!CO61</f>
      </c>
      <c r="BZ61" s="230" t="str">
        <f>Input!DC61</f>
      </c>
      <c r="CA61" s="230">
        <f t="shared" si="151"/>
        <v>2</v>
      </c>
      <c r="CB61" s="230">
        <f t="shared" si="152"/>
        <v>0</v>
      </c>
      <c r="CC61" s="230">
        <f t="shared" si="153"/>
        <v>0</v>
      </c>
      <c r="CD61" s="230">
        <f t="shared" si="154"/>
        <v>0</v>
      </c>
      <c r="CE61" s="230">
        <f t="shared" si="155"/>
        <v>0</v>
      </c>
      <c r="CF61" s="230">
        <f t="shared" si="156"/>
        <v>0</v>
      </c>
      <c r="CG61" s="230">
        <f t="shared" si="157"/>
        <v>0</v>
      </c>
      <c r="CH61" s="230">
        <f t="shared" si="158"/>
        <v>0</v>
      </c>
      <c r="CI61" s="230">
        <f t="shared" si="159"/>
        <v>0</v>
      </c>
      <c r="CJ61" s="230">
        <f t="shared" si="160"/>
        <v>0</v>
      </c>
      <c r="CK61" s="230">
        <f t="shared" si="161"/>
        <v>0</v>
      </c>
      <c r="CL61" s="230">
        <f t="shared" si="162"/>
        <v>0</v>
      </c>
      <c r="CM61" s="230">
        <f t="shared" si="163"/>
        <v>0</v>
      </c>
      <c r="CN61" s="230">
        <f t="shared" si="164"/>
        <v>0</v>
      </c>
      <c r="CO61" s="230">
        <f t="shared" si="165"/>
        <v>0</v>
      </c>
      <c r="CP61" s="230">
        <f t="shared" si="166"/>
        <v>0</v>
      </c>
      <c r="CQ61" s="230">
        <f t="shared" si="167"/>
        <v>0</v>
      </c>
      <c r="CR61" s="230">
        <f t="shared" si="168"/>
        <v>0</v>
      </c>
      <c r="CS61" s="230">
        <f t="shared" si="169"/>
        <v>0</v>
      </c>
      <c r="CT61" s="230">
        <f t="shared" si="170"/>
        <v>0</v>
      </c>
      <c r="CU61" s="230">
        <f t="shared" si="171"/>
        <v>0</v>
      </c>
      <c r="CV61" s="230">
        <f t="shared" si="172"/>
        <v>0</v>
      </c>
      <c r="CW61" s="230">
        <f t="shared" si="173"/>
        <v>0</v>
      </c>
      <c r="CX61" s="230">
        <f t="shared" si="174"/>
        <v>0</v>
      </c>
      <c r="CY61" s="230">
        <f t="shared" si="175"/>
        <v>0</v>
      </c>
      <c r="CZ61" s="230">
        <f t="shared" si="176"/>
        <v>0</v>
      </c>
      <c r="DA61" s="230">
        <f t="shared" si="177"/>
        <v>0</v>
      </c>
      <c r="DB61" s="230">
        <f t="shared" si="178"/>
        <v>0</v>
      </c>
      <c r="DC61" s="230">
        <f t="shared" si="179"/>
        <v>0</v>
      </c>
      <c r="DD61" s="230">
        <f t="shared" si="180"/>
        <v>0</v>
      </c>
      <c r="DE61" s="230">
        <f t="shared" si="181"/>
        <v>0</v>
      </c>
      <c r="DF61" s="230">
        <f t="shared" si="182"/>
        <v>0</v>
      </c>
      <c r="DG61" s="230">
        <f t="shared" si="183"/>
        <v>0</v>
      </c>
      <c r="DH61" s="230">
        <f t="shared" si="184"/>
        <v>0</v>
      </c>
      <c r="DI61" s="230">
        <f t="shared" si="185"/>
        <v>0</v>
      </c>
      <c r="DJ61" s="230">
        <f t="shared" si="186"/>
        <v>0</v>
      </c>
      <c r="DK61" s="230" t="str">
        <f>Input!AK61</f>
        <v>40,00W</v>
      </c>
      <c r="DL61" s="230" t="str">
        <f>Input!BA61</f>
      </c>
      <c r="DM61" s="230" t="str">
        <f>Input!BQ61</f>
      </c>
      <c r="DN61" s="230" t="str">
        <f>Input!CE61</f>
      </c>
      <c r="DO61" s="230" t="str">
        <f>Input!CS61</f>
      </c>
      <c r="DP61" s="230" t="str">
        <f>Input!DG61</f>
      </c>
      <c r="DQ61" s="230" t="str">
        <f t="shared" si="187"/>
        <v>40W</v>
      </c>
      <c r="DR61" s="230" t="str">
        <f t="shared" si="188"/>
      </c>
      <c r="DS61" s="230" t="str">
        <f t="shared" si="189"/>
      </c>
      <c r="DT61" s="230" t="str">
        <f t="shared" si="190"/>
      </c>
      <c r="DU61" s="230" t="str">
        <f t="shared" si="191"/>
      </c>
      <c r="DV61" s="230" t="str">
        <f t="shared" si="192"/>
      </c>
      <c r="DW61" s="230">
        <f t="shared" si="193"/>
        <v>40</v>
      </c>
      <c r="DX61" s="230">
        <f t="shared" si="194"/>
        <v>0</v>
      </c>
      <c r="DY61" s="230">
        <f t="shared" si="195"/>
        <v>0</v>
      </c>
      <c r="DZ61" s="230">
        <f t="shared" si="196"/>
        <v>0</v>
      </c>
      <c r="EA61" s="230">
        <f t="shared" si="197"/>
        <v>0</v>
      </c>
      <c r="EB61" s="230">
        <f t="shared" si="198"/>
        <v>0</v>
      </c>
      <c r="EC61" s="230">
        <f t="shared" si="199"/>
        <v>40</v>
      </c>
      <c r="ED61" s="230">
        <f t="shared" si="200"/>
        <v>0</v>
      </c>
      <c r="EE61" s="230">
        <f t="shared" si="201"/>
        <v>0</v>
      </c>
      <c r="EF61" s="230">
        <f t="shared" si="202"/>
        <v>0</v>
      </c>
      <c r="EG61" s="230">
        <f t="shared" si="203"/>
        <v>0</v>
      </c>
      <c r="EH61" s="230">
        <f t="shared" si="204"/>
        <v>0</v>
      </c>
      <c r="EI61" s="230">
        <f t="shared" si="205"/>
        <v>0</v>
      </c>
      <c r="EJ61" s="230">
        <f t="shared" si="206"/>
        <v>0</v>
      </c>
      <c r="EK61" s="230">
        <f t="shared" si="207"/>
        <v>0</v>
      </c>
      <c r="EL61" s="230">
        <f t="shared" si="208"/>
        <v>0</v>
      </c>
      <c r="EM61" s="230">
        <f t="shared" si="209"/>
        <v>0</v>
      </c>
      <c r="EN61" s="230">
        <f t="shared" si="210"/>
        <v>0</v>
      </c>
      <c r="EO61" s="230">
        <f t="shared" si="211"/>
        <v>0</v>
      </c>
      <c r="EP61" s="230">
        <f t="shared" si="212"/>
        <v>0</v>
      </c>
      <c r="EQ61" s="230">
        <f t="shared" si="213"/>
        <v>0</v>
      </c>
      <c r="ER61" s="230">
        <f t="shared" si="214"/>
        <v>0</v>
      </c>
      <c r="ES61" s="230">
        <f t="shared" si="215"/>
        <v>0</v>
      </c>
      <c r="ET61" s="230">
        <f t="shared" si="216"/>
        <v>0</v>
      </c>
      <c r="EU61" s="230">
        <f t="shared" si="217"/>
        <v>0</v>
      </c>
      <c r="EV61" s="230">
        <f t="shared" si="218"/>
        <v>0</v>
      </c>
      <c r="EW61" s="230">
        <f t="shared" si="219"/>
        <v>0</v>
      </c>
      <c r="EX61" s="230">
        <f t="shared" si="220"/>
        <v>0</v>
      </c>
      <c r="EY61" s="230">
        <f t="shared" si="221"/>
        <v>0</v>
      </c>
      <c r="EZ61" s="230">
        <f t="shared" si="222"/>
        <v>0</v>
      </c>
      <c r="FA61" s="230">
        <f t="shared" si="223"/>
        <v>0</v>
      </c>
      <c r="FB61" s="230">
        <f t="shared" si="224"/>
        <v>0</v>
      </c>
      <c r="FC61" s="230">
        <f t="shared" si="225"/>
        <v>0</v>
      </c>
      <c r="FD61" s="230">
        <f t="shared" si="226"/>
        <v>0</v>
      </c>
      <c r="FE61" s="230">
        <f t="shared" si="227"/>
        <v>0</v>
      </c>
      <c r="FF61" s="230">
        <f t="shared" si="228"/>
        <v>0</v>
      </c>
      <c r="FG61" s="230">
        <f t="shared" si="229"/>
        <v>0</v>
      </c>
      <c r="FH61" s="230">
        <f t="shared" si="230"/>
        <v>0</v>
      </c>
      <c r="FI61" s="230">
        <f t="shared" si="231"/>
        <v>0</v>
      </c>
      <c r="FJ61" s="230">
        <f t="shared" si="232"/>
        <v>0</v>
      </c>
      <c r="FK61" s="230">
        <f t="shared" si="233"/>
        <v>0</v>
      </c>
      <c r="FL61" s="230">
        <f t="shared" si="234"/>
        <v>0</v>
      </c>
      <c r="FM61" s="230">
        <f t="shared" si="235"/>
        <v>40</v>
      </c>
      <c r="FN61" s="230">
        <f>Input!AL61</f>
        <v>2100</v>
      </c>
      <c r="FO61" s="230">
        <f>Input!BB61</f>
        <v>0</v>
      </c>
      <c r="FP61" s="230">
        <f>Input!BR61</f>
        <v>0</v>
      </c>
      <c r="FQ61" s="230" t="str">
        <f>Input!CF61</f>
      </c>
      <c r="FR61" s="230" t="str">
        <f>Input!CT61</f>
      </c>
      <c r="FS61" s="230" t="str">
        <f>Input!DH61</f>
      </c>
      <c r="FT61" s="230" t="str">
        <f>Input!AM61</f>
        <v>25m</v>
      </c>
      <c r="FU61" s="230">
        <f>Input!BC61</f>
        <v>0</v>
      </c>
      <c r="FV61" s="230">
        <f>Input!BS61</f>
        <v>0</v>
      </c>
      <c r="FW61" s="230" t="str">
        <f>Input!CG61</f>
      </c>
      <c r="FX61" s="230" t="str">
        <f>Input!CU61</f>
      </c>
      <c r="FY61" s="230" t="str">
        <f>Input!DI61</f>
      </c>
      <c r="FZ61" s="230" t="str">
        <f t="shared" si="236"/>
        <v>25m</v>
      </c>
      <c r="GA61" s="230" t="str">
        <f t="shared" si="237"/>
      </c>
      <c r="GB61" s="230" t="str">
        <f t="shared" si="238"/>
      </c>
      <c r="GC61" s="230" t="str">
        <f t="shared" si="239"/>
      </c>
      <c r="GD61" s="230" t="str">
        <f t="shared" si="240"/>
      </c>
      <c r="GE61" s="230" t="str">
        <f t="shared" si="241"/>
      </c>
      <c r="GF61" s="230">
        <f t="shared" si="242"/>
        <v>25</v>
      </c>
      <c r="GG61" s="230">
        <f t="shared" si="243"/>
        <v>0</v>
      </c>
      <c r="GH61" s="230">
        <f t="shared" si="244"/>
        <v>0</v>
      </c>
      <c r="GI61" s="230">
        <f t="shared" si="245"/>
        <v>0</v>
      </c>
      <c r="GJ61" s="230">
        <f t="shared" si="246"/>
        <v>0</v>
      </c>
      <c r="GK61" s="230">
        <f t="shared" si="247"/>
        <v>0</v>
      </c>
      <c r="GL61" s="230">
        <f t="shared" si="248"/>
        <v>0</v>
      </c>
      <c r="GM61" s="230">
        <f t="shared" si="249"/>
        <v>0</v>
      </c>
      <c r="GN61" s="230">
        <f t="shared" si="250"/>
        <v>0</v>
      </c>
      <c r="GO61" s="230">
        <f t="shared" si="251"/>
        <v>0</v>
      </c>
      <c r="GP61" s="230">
        <f t="shared" si="252"/>
        <v>0</v>
      </c>
      <c r="GQ61" s="230">
        <f t="shared" si="253"/>
        <v>0</v>
      </c>
      <c r="GR61" s="230">
        <f t="shared" si="254"/>
        <v>0</v>
      </c>
      <c r="GS61" s="230">
        <f t="shared" si="255"/>
        <v>0</v>
      </c>
      <c r="GT61" s="230">
        <f t="shared" si="256"/>
        <v>0</v>
      </c>
      <c r="GU61" s="230">
        <f t="shared" si="257"/>
        <v>0</v>
      </c>
      <c r="GV61" s="230">
        <f t="shared" si="258"/>
        <v>0</v>
      </c>
      <c r="GW61" s="230">
        <f t="shared" si="259"/>
        <v>0</v>
      </c>
      <c r="GX61" s="230">
        <f t="shared" si="260"/>
        <v>0</v>
      </c>
      <c r="GY61" s="230">
        <f t="shared" si="261"/>
        <v>0</v>
      </c>
      <c r="GZ61" s="230">
        <f t="shared" si="262"/>
        <v>0</v>
      </c>
      <c r="HA61" s="230">
        <f t="shared" si="263"/>
        <v>0</v>
      </c>
      <c r="HB61" s="230">
        <f t="shared" si="264"/>
        <v>0</v>
      </c>
      <c r="HC61" s="230">
        <f t="shared" si="265"/>
        <v>0</v>
      </c>
      <c r="HD61" s="230">
        <f t="shared" si="266"/>
        <v>0</v>
      </c>
      <c r="HE61" s="230">
        <f t="shared" si="267"/>
        <v>0</v>
      </c>
      <c r="HF61" s="230">
        <f t="shared" si="268"/>
        <v>0</v>
      </c>
      <c r="HG61" s="230">
        <f t="shared" si="269"/>
        <v>0</v>
      </c>
      <c r="HH61" s="230">
        <f t="shared" si="270"/>
        <v>0</v>
      </c>
      <c r="HI61" s="230">
        <f t="shared" si="271"/>
        <v>0</v>
      </c>
      <c r="HJ61" s="230">
        <f t="shared" si="272"/>
        <v>0</v>
      </c>
      <c r="HK61" s="230">
        <f t="shared" si="273"/>
        <v>0</v>
      </c>
      <c r="HL61" s="230">
        <f t="shared" si="274"/>
        <v>0</v>
      </c>
      <c r="HM61" s="230">
        <f t="shared" si="275"/>
        <v>0</v>
      </c>
      <c r="HN61" s="230">
        <f t="shared" si="276"/>
        <v>0</v>
      </c>
      <c r="HO61" s="230">
        <f t="shared" si="277"/>
        <v>0</v>
      </c>
      <c r="HP61" s="230" t="str">
        <f>INDEX(LabNameList,MATCH(LabId,LabIDList,0))</f>
        <v>Trung tâm Kiểm định và Chứng nhận 2</v>
      </c>
      <c r="HQ61" s="230">
        <f t="shared" si="278"/>
        <v>25</v>
      </c>
      <c r="HR61" s="230">
        <f t="shared" si="279"/>
        <v>0</v>
      </c>
      <c r="HS61" s="230">
        <f t="shared" si="280"/>
        <v>0</v>
      </c>
      <c r="HT61" s="230">
        <f t="shared" si="281"/>
        <v>0</v>
      </c>
      <c r="HU61" s="230">
        <f t="shared" si="282"/>
        <v>0</v>
      </c>
      <c r="HV61" s="230">
        <f t="shared" si="283"/>
        <v>0</v>
      </c>
      <c r="HW61" s="797">
        <f t="shared" si="284"/>
        <v>25</v>
      </c>
      <c r="HX61" s="797">
        <f>Input!EB61</f>
        <v>0</v>
      </c>
      <c r="HY61" s="230">
        <v>68</v>
      </c>
      <c r="HZ61" s="230"/>
      <c r="IA61" s="230"/>
      <c r="IB61" s="230"/>
      <c r="IC61" s="232" t="str">
        <f t="shared" si="285"/>
        <v>B02012230916TG05</v>
      </c>
      <c r="ID61" s="233" t="str">
        <f>Input!O61</f>
        <v>02012</v>
      </c>
      <c r="IE61" s="467" t="str">
        <f t="shared" si="286"/>
        <v>230916</v>
      </c>
      <c r="IF61" s="232" t="s">
        <v>364</v>
      </c>
      <c r="IG61" s="467" t="str">
        <f t="shared" si="287"/>
        <v>23/09/2016</v>
      </c>
      <c r="IH61" s="467" t="str">
        <f t="shared" si="288"/>
        <v>23/09/2021</v>
      </c>
      <c r="II61" s="546" t="str">
        <f> Input!R61</f>
        <v>23/09/2016</v>
      </c>
      <c r="IJ61" s="467">
        <f t="shared" si="289"/>
        <v>44462</v>
      </c>
      <c r="IK61" s="468">
        <f t="shared" si="290"/>
        <v>3</v>
      </c>
      <c r="IL61" s="469" t="str">
        <f t="shared" si="291"/>
        <v>3-1</v>
      </c>
      <c r="IM61" s="469" t="str">
        <f t="shared" si="292"/>
        <v>KHAC</v>
      </c>
      <c r="IN61" s="469" t="str">
        <f t="shared" si="293"/>
        <v>KHAC</v>
      </c>
      <c r="IO61" s="469" t="str">
        <f t="shared" si="294"/>
      </c>
      <c r="IP61" s="469" t="str">
        <f t="shared" si="295"/>
      </c>
      <c r="IQ61" s="469" t="str">
        <f t="shared" si="296"/>
      </c>
      <c r="IR61" s="469">
        <f t="shared" si="297"/>
        <v>1</v>
      </c>
      <c r="IS61" s="469">
        <f t="shared" si="298"/>
        <v>2</v>
      </c>
      <c r="IT61" s="469" t="str">
        <f t="shared" si="299"/>
        <v>Yes</v>
      </c>
      <c r="IU61" s="469" t="str">
        <f t="shared" si="300"/>
        <v>Yes</v>
      </c>
    </row>
    <row r="62" ht="63.75">
      <c r="A62" s="601">
        <f>Input!A62</f>
        <v>61</v>
      </c>
      <c r="B62" s="229" t="str">
        <f>INDEX(ApplicantIDList,MATCH(AI62,ApplicantNameList,0))</f>
        <v>VIETTEL-2016</v>
      </c>
      <c r="C62" s="229" t="str">
        <f>INDEX(OperatorIDList,MATCH(AJ62,OperatorNameList,0))</f>
        <v>VIETTEL-2016</v>
      </c>
      <c r="D62" s="797" t="str">
        <f>Input!Y62</f>
        <v>HCM2124</v>
      </c>
      <c r="E62" s="229" t="str">
        <f>Input!G62</f>
        <v>Số 764, đường Võ Văn Kiệt, phường 10, quận 5, thành phố Hồ Chí Minh.</v>
      </c>
      <c r="F62" s="229" t="str">
        <f>TRIM(SUBSTITUTE(SUBSTITUTE(Input!H62,"Thành phố ",""),"Tỉnh ",""))</f>
        <v>Hồ Chí Minh</v>
      </c>
      <c r="G62" s="797" t="str">
        <f>Input!I62</f>
        <v>106,663754</v>
      </c>
      <c r="H62" s="797" t="str">
        <f>Input!J62</f>
        <v>10,750509</v>
      </c>
      <c r="I62" s="229">
        <f>Input!V62</f>
        <v>1</v>
      </c>
      <c r="J62" s="229" t="str">
        <f>Input!K62</f>
        <v>1502442/16/TG/TT2</v>
      </c>
      <c r="K62" s="231" t="str">
        <f>TEXT(Input!L62,"dd/mm/yyyy")</f>
        <v>23/09/2016</v>
      </c>
      <c r="L62" s="231" t="str">
        <f>TEXT(Input!M62,"dd/mm/yyyy")</f>
        <v>22/09/2016</v>
      </c>
      <c r="M62" s="229" t="str">
        <f t="shared" si="135"/>
        <v>TỔNG CÔNG TY MẠNG LƯỚI VIETTEL</v>
      </c>
      <c r="N62" s="229" t="str">
        <f t="shared" si="136"/>
        <v>HCM2124</v>
      </c>
      <c r="O62" s="229" t="str">
        <f t="shared" si="137"/>
        <v>HUAWEI DBS3900</v>
      </c>
      <c r="P62" s="229" t="str">
        <f t="shared" si="138"/>
        <v>3</v>
      </c>
      <c r="Q62" s="229" t="str">
        <f t="shared" si="139"/>
        <v>2/2/2</v>
      </c>
      <c r="R62" s="229" t="str">
        <f t="shared" si="140"/>
        <v>40W/ 40W/ 40W</v>
      </c>
      <c r="S62" s="229" t="str">
        <f t="shared" si="141"/>
        <v>2100</v>
      </c>
      <c r="T62" s="229" t="str">
        <f t="shared" si="142"/>
        <v>30m/ 30m/ 30m</v>
      </c>
      <c r="U62" s="229">
        <v>1</v>
      </c>
      <c r="V62" s="229"/>
      <c r="W62" s="229" t="b">
        <f t="shared" si="143"/>
        <v>0</v>
      </c>
      <c r="X62" s="229" t="b">
        <f>INDEX(TrueFalseList,_xlfn.IFNA(MATCH(Input!W62,CoKhongList,0),MATCH(Input!W62,YesNoList,0)))</f>
        <v>0</v>
      </c>
      <c r="Y62" s="797">
        <f>Input!FZ62</f>
        <v>0</v>
      </c>
      <c r="Z62" s="229" t="b">
        <v>1</v>
      </c>
      <c r="AA62" s="797">
        <f t="shared" si="144"/>
        <v>30</v>
      </c>
      <c r="AB62" s="229" t="b">
        <v>0</v>
      </c>
      <c r="AC62" s="229" t="b">
        <v>1</v>
      </c>
      <c r="AD62" s="229">
        <f>Input!DR62</f>
        <v>0</v>
      </c>
      <c r="AE62" s="229"/>
      <c r="AF62" s="229" t="str">
        <f>Options!$D$6</f>
        <v>VCC2</v>
      </c>
      <c r="AG62" s="229">
        <f t="shared" si="145"/>
        <v>0</v>
      </c>
      <c r="AH62" s="230"/>
      <c r="AI62" s="553" t="str">
        <f>Input!E62</f>
        <v>TỔNG CÔNG TY MẠNG LƯỚI VIETTEL</v>
      </c>
      <c r="AJ62" s="553" t="str">
        <f>Input!F62</f>
        <v>TỔNG CÔNG TY MẠNG LƯỚI VIETTEL</v>
      </c>
      <c r="AK62" s="229">
        <f t="shared" si="146"/>
        <v>4</v>
      </c>
      <c r="AL62" s="465" t="str">
        <f t="shared" si="147"/>
        <v>thành phố Hồ Chí Minh.</v>
      </c>
      <c r="AM62" s="465" t="str">
        <f t="shared" si="148"/>
        <v>quận 5</v>
      </c>
      <c r="AN62" s="465" t="str">
        <f t="shared" si="149"/>
        <v>phường 10</v>
      </c>
      <c r="AO62" s="229" t="str">
        <f>INDEX(CityIDList,MATCH(F62,CityNameList,0))</f>
        <v>HCM</v>
      </c>
      <c r="AP62" s="230" t="str">
        <f>Input!X62</f>
        <v>TỔNG CÔNG TY MẠNG LƯỚI VIETTEL</v>
      </c>
      <c r="AQ62" s="230">
        <f>Input!AN62</f>
        <v>0</v>
      </c>
      <c r="AR62" s="230">
        <f>Input!BD62</f>
        <v>0</v>
      </c>
      <c r="AS62" s="230" t="str">
        <f>Input!BT62</f>
      </c>
      <c r="AT62" s="230" t="str">
        <f>Input!CH62</f>
      </c>
      <c r="AU62" s="230" t="str">
        <f>Input!CV62</f>
      </c>
      <c r="AV62" s="230" t="str">
        <f>IF(I62&gt;=1,INDEX(OperatorIDList,MATCH(AP62,OperatorNameList,0)),"")</f>
        <v>VIETTEL-2016</v>
      </c>
      <c r="AW62" s="230" t="str">
        <f>IF(I62&gt;=2,INDEX(OperatorIDList,MATCH(AQ62,OperatorNameList,0)),"")</f>
      </c>
      <c r="AX62" s="230" t="str">
        <f>IF(I62&gt;=3,INDEX(OperatorIDList,MATCH(AR62,OperatorNameList,0)),"")</f>
      </c>
      <c r="AY62" s="230" t="str">
        <f>IF(I62&gt;=4,INDEX(OperatorIDList,MATCH(AS62,OperatorNameList,0)),"")</f>
      </c>
      <c r="AZ62" s="230" t="str">
        <f>IF(I62&gt;=5,INDEX(OperatorIDList,MATCH(AT62,OperatorNameList,0)),"")</f>
      </c>
      <c r="BA62" s="230" t="str">
        <f>IF(I62&gt;=6,INDEX(OperatorIDList,MATCH(AU62,OperatorNameList,0)),"")</f>
      </c>
      <c r="BB62" s="230" t="str">
        <f t="shared" si="150"/>
        <v>VIETTEL-2016</v>
      </c>
      <c r="BC62" s="230" t="str">
        <f>Input!Y62</f>
        <v>HCM2124</v>
      </c>
      <c r="BD62" s="230">
        <f>Input!AO62</f>
        <v>0</v>
      </c>
      <c r="BE62" s="230">
        <f>Input!BE62</f>
        <v>0</v>
      </c>
      <c r="BF62" s="230" t="str">
        <f>Input!BU62</f>
      </c>
      <c r="BG62" s="230" t="str">
        <f>Input!CI62</f>
      </c>
      <c r="BH62" s="230" t="str">
        <f>Input!CW62</f>
      </c>
      <c r="BI62" s="230" t="str">
        <f>Input!Z62</f>
        <v>HUAWEI DBS3900</v>
      </c>
      <c r="BJ62" s="230">
        <f>Input!AP62</f>
        <v>0</v>
      </c>
      <c r="BK62" s="230">
        <f>Input!BF62</f>
        <v>0</v>
      </c>
      <c r="BL62" s="230" t="str">
        <f>Input!BV62</f>
      </c>
      <c r="BM62" s="230" t="str">
        <f>Input!CJ62</f>
      </c>
      <c r="BN62" s="230" t="str">
        <f>Input!CX62</f>
      </c>
      <c r="BO62" s="553">
        <f>IF(ISNUMBER(Input!AA62),Input!AA62,0)</f>
        <v>3</v>
      </c>
      <c r="BP62" s="553">
        <f>IF(ISNUMBER(Input!AQ62),Input!AQ62,0)</f>
        <v>0</v>
      </c>
      <c r="BQ62" s="553">
        <f>IF(ISNUMBER(Input!BG62),Input!BG62,0)</f>
        <v>0</v>
      </c>
      <c r="BR62" s="553">
        <f>IF(ISNUMBER(Input!BW62),Input!BW62,0)</f>
        <v>0</v>
      </c>
      <c r="BS62" s="553">
        <f>IF(ISNUMBER(Input!CK62),Input!CK62,0)</f>
        <v>0</v>
      </c>
      <c r="BT62" s="554">
        <f>IF(ISNUMBER(Input!CY62),Input!CY62,0)</f>
        <v>0</v>
      </c>
      <c r="BU62" s="230" t="str">
        <f>Input!AF62</f>
        <v>2/2/2</v>
      </c>
      <c r="BV62" s="230" t="str">
        <f>Input!AV62</f>
      </c>
      <c r="BW62" s="230" t="str">
        <f>Input!BL62</f>
      </c>
      <c r="BX62" s="230" t="str">
        <f>Input!CA62</f>
      </c>
      <c r="BY62" s="230" t="str">
        <f>Input!CO62</f>
      </c>
      <c r="BZ62" s="230" t="str">
        <f>Input!DC62</f>
      </c>
      <c r="CA62" s="230">
        <f t="shared" si="151"/>
        <v>2</v>
      </c>
      <c r="CB62" s="230">
        <f t="shared" si="152"/>
        <v>2</v>
      </c>
      <c r="CC62" s="230">
        <f t="shared" si="153"/>
        <v>2</v>
      </c>
      <c r="CD62" s="230">
        <f t="shared" si="154"/>
        <v>0</v>
      </c>
      <c r="CE62" s="230">
        <f t="shared" si="155"/>
        <v>0</v>
      </c>
      <c r="CF62" s="230">
        <f t="shared" si="156"/>
        <v>0</v>
      </c>
      <c r="CG62" s="230">
        <f t="shared" si="157"/>
        <v>0</v>
      </c>
      <c r="CH62" s="230">
        <f t="shared" si="158"/>
        <v>0</v>
      </c>
      <c r="CI62" s="230">
        <f t="shared" si="159"/>
        <v>0</v>
      </c>
      <c r="CJ62" s="230">
        <f t="shared" si="160"/>
        <v>0</v>
      </c>
      <c r="CK62" s="230">
        <f t="shared" si="161"/>
        <v>0</v>
      </c>
      <c r="CL62" s="230">
        <f t="shared" si="162"/>
        <v>0</v>
      </c>
      <c r="CM62" s="230">
        <f t="shared" si="163"/>
        <v>0</v>
      </c>
      <c r="CN62" s="230">
        <f t="shared" si="164"/>
        <v>0</v>
      </c>
      <c r="CO62" s="230">
        <f t="shared" si="165"/>
        <v>0</v>
      </c>
      <c r="CP62" s="230">
        <f t="shared" si="166"/>
        <v>0</v>
      </c>
      <c r="CQ62" s="230">
        <f t="shared" si="167"/>
        <v>0</v>
      </c>
      <c r="CR62" s="230">
        <f t="shared" si="168"/>
        <v>0</v>
      </c>
      <c r="CS62" s="230">
        <f t="shared" si="169"/>
        <v>0</v>
      </c>
      <c r="CT62" s="230">
        <f t="shared" si="170"/>
        <v>0</v>
      </c>
      <c r="CU62" s="230">
        <f t="shared" si="171"/>
        <v>0</v>
      </c>
      <c r="CV62" s="230">
        <f t="shared" si="172"/>
        <v>0</v>
      </c>
      <c r="CW62" s="230">
        <f t="shared" si="173"/>
        <v>0</v>
      </c>
      <c r="CX62" s="230">
        <f t="shared" si="174"/>
        <v>0</v>
      </c>
      <c r="CY62" s="230">
        <f t="shared" si="175"/>
        <v>0</v>
      </c>
      <c r="CZ62" s="230">
        <f t="shared" si="176"/>
        <v>0</v>
      </c>
      <c r="DA62" s="230">
        <f t="shared" si="177"/>
        <v>0</v>
      </c>
      <c r="DB62" s="230">
        <f t="shared" si="178"/>
        <v>0</v>
      </c>
      <c r="DC62" s="230">
        <f t="shared" si="179"/>
        <v>0</v>
      </c>
      <c r="DD62" s="230">
        <f t="shared" si="180"/>
        <v>0</v>
      </c>
      <c r="DE62" s="230">
        <f t="shared" si="181"/>
        <v>0</v>
      </c>
      <c r="DF62" s="230">
        <f t="shared" si="182"/>
        <v>0</v>
      </c>
      <c r="DG62" s="230">
        <f t="shared" si="183"/>
        <v>0</v>
      </c>
      <c r="DH62" s="230">
        <f t="shared" si="184"/>
        <v>0</v>
      </c>
      <c r="DI62" s="230">
        <f t="shared" si="185"/>
        <v>0</v>
      </c>
      <c r="DJ62" s="230">
        <f t="shared" si="186"/>
        <v>0</v>
      </c>
      <c r="DK62" s="230" t="str">
        <f>Input!AK62</f>
        <v>40,00W/40,00W/40,00W</v>
      </c>
      <c r="DL62" s="230" t="str">
        <f>Input!BA62</f>
      </c>
      <c r="DM62" s="230" t="str">
        <f>Input!BQ62</f>
      </c>
      <c r="DN62" s="230" t="str">
        <f>Input!CE62</f>
      </c>
      <c r="DO62" s="230" t="str">
        <f>Input!CS62</f>
      </c>
      <c r="DP62" s="230" t="str">
        <f>Input!DG62</f>
      </c>
      <c r="DQ62" s="230" t="str">
        <f t="shared" si="187"/>
        <v>40W/ 40W/ 40W</v>
      </c>
      <c r="DR62" s="230" t="str">
        <f t="shared" si="188"/>
      </c>
      <c r="DS62" s="230" t="str">
        <f t="shared" si="189"/>
      </c>
      <c r="DT62" s="230" t="str">
        <f t="shared" si="190"/>
      </c>
      <c r="DU62" s="230" t="str">
        <f t="shared" si="191"/>
      </c>
      <c r="DV62" s="230" t="str">
        <f t="shared" si="192"/>
      </c>
      <c r="DW62" s="230">
        <f t="shared" si="193"/>
        <v>40</v>
      </c>
      <c r="DX62" s="230">
        <f t="shared" si="194"/>
        <v>40</v>
      </c>
      <c r="DY62" s="230">
        <f t="shared" si="195"/>
        <v>40</v>
      </c>
      <c r="DZ62" s="230">
        <f t="shared" si="196"/>
        <v>0</v>
      </c>
      <c r="EA62" s="230">
        <f t="shared" si="197"/>
        <v>0</v>
      </c>
      <c r="EB62" s="230">
        <f t="shared" si="198"/>
        <v>0</v>
      </c>
      <c r="EC62" s="230">
        <f t="shared" si="199"/>
        <v>40</v>
      </c>
      <c r="ED62" s="230">
        <f t="shared" si="200"/>
        <v>0</v>
      </c>
      <c r="EE62" s="230">
        <f t="shared" si="201"/>
        <v>0</v>
      </c>
      <c r="EF62" s="230">
        <f t="shared" si="202"/>
        <v>0</v>
      </c>
      <c r="EG62" s="230">
        <f t="shared" si="203"/>
        <v>0</v>
      </c>
      <c r="EH62" s="230">
        <f t="shared" si="204"/>
        <v>0</v>
      </c>
      <c r="EI62" s="230">
        <f t="shared" si="205"/>
        <v>0</v>
      </c>
      <c r="EJ62" s="230">
        <f t="shared" si="206"/>
        <v>0</v>
      </c>
      <c r="EK62" s="230">
        <f t="shared" si="207"/>
        <v>0</v>
      </c>
      <c r="EL62" s="230">
        <f t="shared" si="208"/>
        <v>0</v>
      </c>
      <c r="EM62" s="230">
        <f t="shared" si="209"/>
        <v>0</v>
      </c>
      <c r="EN62" s="230">
        <f t="shared" si="210"/>
        <v>0</v>
      </c>
      <c r="EO62" s="230">
        <f t="shared" si="211"/>
        <v>0</v>
      </c>
      <c r="EP62" s="230">
        <f t="shared" si="212"/>
        <v>0</v>
      </c>
      <c r="EQ62" s="230">
        <f t="shared" si="213"/>
        <v>0</v>
      </c>
      <c r="ER62" s="230">
        <f t="shared" si="214"/>
        <v>0</v>
      </c>
      <c r="ES62" s="230">
        <f t="shared" si="215"/>
        <v>0</v>
      </c>
      <c r="ET62" s="230">
        <f t="shared" si="216"/>
        <v>0</v>
      </c>
      <c r="EU62" s="230">
        <f t="shared" si="217"/>
        <v>0</v>
      </c>
      <c r="EV62" s="230">
        <f t="shared" si="218"/>
        <v>0</v>
      </c>
      <c r="EW62" s="230">
        <f t="shared" si="219"/>
        <v>0</v>
      </c>
      <c r="EX62" s="230">
        <f t="shared" si="220"/>
        <v>0</v>
      </c>
      <c r="EY62" s="230">
        <f t="shared" si="221"/>
        <v>0</v>
      </c>
      <c r="EZ62" s="230">
        <f t="shared" si="222"/>
        <v>0</v>
      </c>
      <c r="FA62" s="230">
        <f t="shared" si="223"/>
        <v>0</v>
      </c>
      <c r="FB62" s="230">
        <f t="shared" si="224"/>
        <v>0</v>
      </c>
      <c r="FC62" s="230">
        <f t="shared" si="225"/>
        <v>0</v>
      </c>
      <c r="FD62" s="230">
        <f t="shared" si="226"/>
        <v>0</v>
      </c>
      <c r="FE62" s="230">
        <f t="shared" si="227"/>
        <v>0</v>
      </c>
      <c r="FF62" s="230">
        <f t="shared" si="228"/>
        <v>0</v>
      </c>
      <c r="FG62" s="230">
        <f t="shared" si="229"/>
        <v>0</v>
      </c>
      <c r="FH62" s="230">
        <f t="shared" si="230"/>
        <v>0</v>
      </c>
      <c r="FI62" s="230">
        <f t="shared" si="231"/>
        <v>0</v>
      </c>
      <c r="FJ62" s="230">
        <f t="shared" si="232"/>
        <v>0</v>
      </c>
      <c r="FK62" s="230">
        <f t="shared" si="233"/>
        <v>0</v>
      </c>
      <c r="FL62" s="230">
        <f t="shared" si="234"/>
        <v>0</v>
      </c>
      <c r="FM62" s="230">
        <f t="shared" si="235"/>
        <v>40</v>
      </c>
      <c r="FN62" s="230">
        <f>Input!AL62</f>
        <v>2100</v>
      </c>
      <c r="FO62" s="230">
        <f>Input!BB62</f>
        <v>0</v>
      </c>
      <c r="FP62" s="230">
        <f>Input!BR62</f>
        <v>0</v>
      </c>
      <c r="FQ62" s="230" t="str">
        <f>Input!CF62</f>
      </c>
      <c r="FR62" s="230" t="str">
        <f>Input!CT62</f>
      </c>
      <c r="FS62" s="230" t="str">
        <f>Input!DH62</f>
      </c>
      <c r="FT62" s="230" t="str">
        <f>Input!AM62</f>
        <v>30m/ 30m/ 30m</v>
      </c>
      <c r="FU62" s="230">
        <f>Input!BC62</f>
        <v>0</v>
      </c>
      <c r="FV62" s="230">
        <f>Input!BS62</f>
        <v>0</v>
      </c>
      <c r="FW62" s="230" t="str">
        <f>Input!CG62</f>
      </c>
      <c r="FX62" s="230" t="str">
        <f>Input!CU62</f>
      </c>
      <c r="FY62" s="230" t="str">
        <f>Input!DI62</f>
      </c>
      <c r="FZ62" s="230" t="str">
        <f t="shared" si="236"/>
        <v>30m/ 30m/ 30m</v>
      </c>
      <c r="GA62" s="230" t="str">
        <f t="shared" si="237"/>
      </c>
      <c r="GB62" s="230" t="str">
        <f t="shared" si="238"/>
      </c>
      <c r="GC62" s="230" t="str">
        <f t="shared" si="239"/>
      </c>
      <c r="GD62" s="230" t="str">
        <f t="shared" si="240"/>
      </c>
      <c r="GE62" s="230" t="str">
        <f t="shared" si="241"/>
      </c>
      <c r="GF62" s="230">
        <f t="shared" si="242"/>
        <v>30</v>
      </c>
      <c r="GG62" s="230">
        <f t="shared" si="243"/>
        <v>30</v>
      </c>
      <c r="GH62" s="230">
        <f t="shared" si="244"/>
        <v>30</v>
      </c>
      <c r="GI62" s="230">
        <f t="shared" si="245"/>
        <v>0</v>
      </c>
      <c r="GJ62" s="230">
        <f t="shared" si="246"/>
        <v>0</v>
      </c>
      <c r="GK62" s="230">
        <f t="shared" si="247"/>
        <v>0</v>
      </c>
      <c r="GL62" s="230">
        <f t="shared" si="248"/>
        <v>0</v>
      </c>
      <c r="GM62" s="230">
        <f t="shared" si="249"/>
        <v>0</v>
      </c>
      <c r="GN62" s="230">
        <f t="shared" si="250"/>
        <v>0</v>
      </c>
      <c r="GO62" s="230">
        <f t="shared" si="251"/>
        <v>0</v>
      </c>
      <c r="GP62" s="230">
        <f t="shared" si="252"/>
        <v>0</v>
      </c>
      <c r="GQ62" s="230">
        <f t="shared" si="253"/>
        <v>0</v>
      </c>
      <c r="GR62" s="230">
        <f t="shared" si="254"/>
        <v>0</v>
      </c>
      <c r="GS62" s="230">
        <f t="shared" si="255"/>
        <v>0</v>
      </c>
      <c r="GT62" s="230">
        <f t="shared" si="256"/>
        <v>0</v>
      </c>
      <c r="GU62" s="230">
        <f t="shared" si="257"/>
        <v>0</v>
      </c>
      <c r="GV62" s="230">
        <f t="shared" si="258"/>
        <v>0</v>
      </c>
      <c r="GW62" s="230">
        <f t="shared" si="259"/>
        <v>0</v>
      </c>
      <c r="GX62" s="230">
        <f t="shared" si="260"/>
        <v>0</v>
      </c>
      <c r="GY62" s="230">
        <f t="shared" si="261"/>
        <v>0</v>
      </c>
      <c r="GZ62" s="230">
        <f t="shared" si="262"/>
        <v>0</v>
      </c>
      <c r="HA62" s="230">
        <f t="shared" si="263"/>
        <v>0</v>
      </c>
      <c r="HB62" s="230">
        <f t="shared" si="264"/>
        <v>0</v>
      </c>
      <c r="HC62" s="230">
        <f t="shared" si="265"/>
        <v>0</v>
      </c>
      <c r="HD62" s="230">
        <f t="shared" si="266"/>
        <v>0</v>
      </c>
      <c r="HE62" s="230">
        <f t="shared" si="267"/>
        <v>0</v>
      </c>
      <c r="HF62" s="230">
        <f t="shared" si="268"/>
        <v>0</v>
      </c>
      <c r="HG62" s="230">
        <f t="shared" si="269"/>
        <v>0</v>
      </c>
      <c r="HH62" s="230">
        <f t="shared" si="270"/>
        <v>0</v>
      </c>
      <c r="HI62" s="230">
        <f t="shared" si="271"/>
        <v>0</v>
      </c>
      <c r="HJ62" s="230">
        <f t="shared" si="272"/>
        <v>0</v>
      </c>
      <c r="HK62" s="230">
        <f t="shared" si="273"/>
        <v>0</v>
      </c>
      <c r="HL62" s="230">
        <f t="shared" si="274"/>
        <v>0</v>
      </c>
      <c r="HM62" s="230">
        <f t="shared" si="275"/>
        <v>0</v>
      </c>
      <c r="HN62" s="230">
        <f t="shared" si="276"/>
        <v>0</v>
      </c>
      <c r="HO62" s="230">
        <f t="shared" si="277"/>
        <v>0</v>
      </c>
      <c r="HP62" s="230" t="str">
        <f>INDEX(LabNameList,MATCH(LabId,LabIDList,0))</f>
        <v>Trung tâm Kiểm định và Chứng nhận 2</v>
      </c>
      <c r="HQ62" s="230">
        <f t="shared" si="278"/>
        <v>30</v>
      </c>
      <c r="HR62" s="230">
        <f t="shared" si="279"/>
        <v>0</v>
      </c>
      <c r="HS62" s="230">
        <f t="shared" si="280"/>
        <v>0</v>
      </c>
      <c r="HT62" s="230">
        <f t="shared" si="281"/>
        <v>0</v>
      </c>
      <c r="HU62" s="230">
        <f t="shared" si="282"/>
        <v>0</v>
      </c>
      <c r="HV62" s="230">
        <f t="shared" si="283"/>
        <v>0</v>
      </c>
      <c r="HW62" s="797">
        <f t="shared" si="284"/>
        <v>30</v>
      </c>
      <c r="HX62" s="797">
        <f>Input!EB62</f>
        <v>0</v>
      </c>
      <c r="HY62" s="230">
        <v>68</v>
      </c>
      <c r="HZ62" s="230"/>
      <c r="IA62" s="230"/>
      <c r="IB62" s="230"/>
      <c r="IC62" s="232" t="str">
        <f t="shared" si="285"/>
        <v>B02013230916TG05</v>
      </c>
      <c r="ID62" s="233" t="str">
        <f>Input!O62</f>
        <v>02013</v>
      </c>
      <c r="IE62" s="467" t="str">
        <f t="shared" si="286"/>
        <v>230916</v>
      </c>
      <c r="IF62" s="232" t="s">
        <v>364</v>
      </c>
      <c r="IG62" s="467" t="str">
        <f t="shared" si="287"/>
        <v>23/09/2016</v>
      </c>
      <c r="IH62" s="467" t="str">
        <f t="shared" si="288"/>
        <v>23/09/2021</v>
      </c>
      <c r="II62" s="546" t="str">
        <f> Input!R62</f>
        <v>23/09/2016</v>
      </c>
      <c r="IJ62" s="467">
        <f t="shared" si="289"/>
        <v>44462</v>
      </c>
      <c r="IK62" s="468">
        <f t="shared" si="290"/>
        <v>3</v>
      </c>
      <c r="IL62" s="469" t="str">
        <f t="shared" si="291"/>
        <v>3-1</v>
      </c>
      <c r="IM62" s="469" t="str">
        <f t="shared" si="292"/>
        <v>KHAC</v>
      </c>
      <c r="IN62" s="469" t="str">
        <f t="shared" si="293"/>
        <v>KHAC</v>
      </c>
      <c r="IO62" s="469" t="str">
        <f t="shared" si="294"/>
      </c>
      <c r="IP62" s="469" t="str">
        <f t="shared" si="295"/>
      </c>
      <c r="IQ62" s="469" t="str">
        <f t="shared" si="296"/>
      </c>
      <c r="IR62" s="469">
        <f t="shared" si="297"/>
        <v>1</v>
      </c>
      <c r="IS62" s="469">
        <f t="shared" si="298"/>
        <v>2</v>
      </c>
      <c r="IT62" s="469" t="str">
        <f t="shared" si="299"/>
        <v>Yes</v>
      </c>
      <c r="IU62" s="469" t="str">
        <f t="shared" si="300"/>
        <v>Yes</v>
      </c>
    </row>
    <row r="63" ht="63.75">
      <c r="A63" s="601">
        <f>Input!A63</f>
        <v>62</v>
      </c>
      <c r="B63" s="229" t="str">
        <f>INDEX(ApplicantIDList,MATCH(AI63,ApplicantNameList,0))</f>
        <v>VIETTEL-2016</v>
      </c>
      <c r="C63" s="229" t="str">
        <f>INDEX(OperatorIDList,MATCH(AJ63,OperatorNameList,0))</f>
        <v>VIETTEL-2016</v>
      </c>
      <c r="D63" s="797" t="str">
        <f>Input!Y63</f>
        <v>BTN0065-11</v>
      </c>
      <c r="E63" s="229" t="str">
        <f>Input!G63</f>
        <v>Thôn Thiện An, xã Thiện Nghiệp, thành phố Phan Thiết, tỉnh Bình Thuận.</v>
      </c>
      <c r="F63" s="229" t="str">
        <f>TRIM(SUBSTITUTE(SUBSTITUTE(Input!H63,"Thành phố ",""),"Tỉnh ",""))</f>
        <v>Bình Thuận</v>
      </c>
      <c r="G63" s="797" t="str">
        <f>Input!I63</f>
        <v>108,25715</v>
      </c>
      <c r="H63" s="797" t="str">
        <f>Input!J63</f>
        <v> 11,00644</v>
      </c>
      <c r="I63" s="229">
        <f>Input!V63</f>
        <v>1</v>
      </c>
      <c r="J63" s="229" t="str">
        <f>Input!K63</f>
        <v>1501443/16/TG/TT2</v>
      </c>
      <c r="K63" s="231" t="str">
        <f>TEXT(Input!L63,"dd/mm/yyyy")</f>
        <v>17/10/2016</v>
      </c>
      <c r="L63" s="231" t="str">
        <f>TEXT(Input!M63,"dd/mm/yyyy")</f>
        <v>03/10/2016</v>
      </c>
      <c r="M63" s="229" t="str">
        <f t="shared" si="135"/>
        <v>TỔNG CÔNG TY MẠNG LƯỚI VIETTEL</v>
      </c>
      <c r="N63" s="229" t="str">
        <f t="shared" si="136"/>
        <v>BTN0065-11</v>
      </c>
      <c r="O63" s="229" t="str">
        <f t="shared" si="137"/>
        <v>HUAWEI DBS3900</v>
      </c>
      <c r="P63" s="229" t="str">
        <f t="shared" si="138"/>
        <v>2</v>
      </c>
      <c r="Q63" s="229" t="str">
        <f t="shared" si="139"/>
        <v>2/2</v>
      </c>
      <c r="R63" s="229" t="str">
        <f t="shared" si="140"/>
        <v>40W/ 40W</v>
      </c>
      <c r="S63" s="229" t="str">
        <f t="shared" si="141"/>
        <v>2100</v>
      </c>
      <c r="T63" s="229" t="str">
        <f t="shared" si="142"/>
        <v>46m/ 46m</v>
      </c>
      <c r="U63" s="229">
        <v>1</v>
      </c>
      <c r="V63" s="229"/>
      <c r="W63" s="229" t="b">
        <f t="shared" si="143"/>
        <v>1</v>
      </c>
      <c r="X63" s="229" t="b">
        <f>INDEX(TrueFalseList,_xlfn.IFNA(MATCH(Input!W63,CoKhongList,0),MATCH(Input!W63,YesNoList,0)))</f>
        <v>1</v>
      </c>
      <c r="Y63" s="797">
        <f>Input!FZ63</f>
        <v>1</v>
      </c>
      <c r="Z63" s="229" t="b">
        <v>1</v>
      </c>
      <c r="AA63" s="797">
        <f t="shared" si="144"/>
        <v>46</v>
      </c>
      <c r="AB63" s="229" t="b">
        <v>0</v>
      </c>
      <c r="AC63" s="229" t="b">
        <v>1</v>
      </c>
      <c r="AD63" s="229" t="str">
        <f>Input!DR63</f>
        <v>KHÁC</v>
      </c>
      <c r="AE63" s="229"/>
      <c r="AF63" s="229" t="str">
        <f>Options!$D$6</f>
        <v>VCC2</v>
      </c>
      <c r="AG63" s="229" t="str">
        <f t="shared" si="145"/>
        <v>KHÁC</v>
      </c>
      <c r="AH63" s="230"/>
      <c r="AI63" s="553" t="str">
        <f>Input!E63</f>
        <v>TỔNG CÔNG TY MẠNG LƯỚI VIETTEL</v>
      </c>
      <c r="AJ63" s="553" t="str">
        <f>Input!F63</f>
        <v>TỔNG CÔNG TY MẠNG LƯỚI VIETTEL</v>
      </c>
      <c r="AK63" s="229">
        <f t="shared" si="146"/>
        <v>3</v>
      </c>
      <c r="AL63" s="465" t="str">
        <f t="shared" si="147"/>
        <v>tỉnh Bình Thuận.</v>
      </c>
      <c r="AM63" s="465" t="str">
        <f t="shared" si="148"/>
        <v>thành phố Phan Thiết</v>
      </c>
      <c r="AN63" s="465" t="str">
        <f t="shared" si="149"/>
        <v>xã Thiện Nghiệp</v>
      </c>
      <c r="AO63" s="229" t="str">
        <f>INDEX(CityIDList,MATCH(F63,CityNameList,0))</f>
        <v>BTN</v>
      </c>
      <c r="AP63" s="230" t="str">
        <f>Input!X63</f>
        <v>TỔNG CÔNG TY MẠNG LƯỚI VIETTEL</v>
      </c>
      <c r="AQ63" s="230">
        <f>Input!AN63</f>
        <v>0</v>
      </c>
      <c r="AR63" s="230">
        <f>Input!BD63</f>
        <v>0</v>
      </c>
      <c r="AS63" s="230" t="str">
        <f>Input!BT63</f>
      </c>
      <c r="AT63" s="230" t="str">
        <f>Input!CH63</f>
      </c>
      <c r="AU63" s="230" t="str">
        <f>Input!CV63</f>
      </c>
      <c r="AV63" s="230" t="str">
        <f>IF(I63&gt;=1,INDEX(OperatorIDList,MATCH(AP63,OperatorNameList,0)),"")</f>
        <v>VIETTEL-2016</v>
      </c>
      <c r="AW63" s="230" t="str">
        <f>IF(I63&gt;=2,INDEX(OperatorIDList,MATCH(AQ63,OperatorNameList,0)),"")</f>
      </c>
      <c r="AX63" s="230" t="str">
        <f>IF(I63&gt;=3,INDEX(OperatorIDList,MATCH(AR63,OperatorNameList,0)),"")</f>
      </c>
      <c r="AY63" s="230" t="str">
        <f>IF(I63&gt;=4,INDEX(OperatorIDList,MATCH(AS63,OperatorNameList,0)),"")</f>
      </c>
      <c r="AZ63" s="230" t="str">
        <f>IF(I63&gt;=5,INDEX(OperatorIDList,MATCH(AT63,OperatorNameList,0)),"")</f>
      </c>
      <c r="BA63" s="230" t="str">
        <f>IF(I63&gt;=6,INDEX(OperatorIDList,MATCH(AU63,OperatorNameList,0)),"")</f>
      </c>
      <c r="BB63" s="230" t="str">
        <f t="shared" si="150"/>
        <v>VIETTEL-2016</v>
      </c>
      <c r="BC63" s="230" t="str">
        <f>Input!Y63</f>
        <v>BTN0065-11</v>
      </c>
      <c r="BD63" s="230">
        <f>Input!AO63</f>
        <v>0</v>
      </c>
      <c r="BE63" s="230">
        <f>Input!BE63</f>
        <v>0</v>
      </c>
      <c r="BF63" s="230">
        <f>Input!BU63</f>
        <v>0</v>
      </c>
      <c r="BG63" s="230" t="str">
        <f>Input!CI63</f>
      </c>
      <c r="BH63" s="230" t="str">
        <f>Input!CW63</f>
      </c>
      <c r="BI63" s="230" t="str">
        <f>Input!Z63</f>
        <v>HUAWEI DBS3900</v>
      </c>
      <c r="BJ63" s="230">
        <f>Input!AP63</f>
        <v>0</v>
      </c>
      <c r="BK63" s="230">
        <f>Input!BF63</f>
        <v>0</v>
      </c>
      <c r="BL63" s="230">
        <f>Input!BV63</f>
        <v>0</v>
      </c>
      <c r="BM63" s="230" t="str">
        <f>Input!CJ63</f>
      </c>
      <c r="BN63" s="230" t="str">
        <f>Input!CX63</f>
      </c>
      <c r="BO63" s="553">
        <f>IF(ISNUMBER(Input!AA63),Input!AA63,0)</f>
        <v>2</v>
      </c>
      <c r="BP63" s="553">
        <f>IF(ISNUMBER(Input!AQ63),Input!AQ63,0)</f>
        <v>0</v>
      </c>
      <c r="BQ63" s="553">
        <f>IF(ISNUMBER(Input!BG63),Input!BG63,0)</f>
        <v>0</v>
      </c>
      <c r="BR63" s="553">
        <f>IF(ISNUMBER(Input!BW63),Input!BW63,0)</f>
        <v>0</v>
      </c>
      <c r="BS63" s="553">
        <f>IF(ISNUMBER(Input!CK63),Input!CK63,0)</f>
        <v>0</v>
      </c>
      <c r="BT63" s="554">
        <f>IF(ISNUMBER(Input!CY63),Input!CY63,0)</f>
        <v>0</v>
      </c>
      <c r="BU63" s="230" t="str">
        <f>Input!AF63</f>
        <v>2/2</v>
      </c>
      <c r="BV63" s="230">
        <f>Input!AV63</f>
        <v>0</v>
      </c>
      <c r="BW63" s="230">
        <f>Input!BL63</f>
        <v>0</v>
      </c>
      <c r="BX63" s="230" t="str">
        <f>Input!CA63</f>
      </c>
      <c r="BY63" s="230" t="str">
        <f>Input!CO63</f>
      </c>
      <c r="BZ63" s="230" t="str">
        <f>Input!DC63</f>
      </c>
      <c r="CA63" s="230">
        <f t="shared" si="151"/>
        <v>2</v>
      </c>
      <c r="CB63" s="230">
        <f t="shared" si="152"/>
        <v>2</v>
      </c>
      <c r="CC63" s="230">
        <f t="shared" si="153"/>
        <v>0</v>
      </c>
      <c r="CD63" s="230">
        <f t="shared" si="154"/>
        <v>0</v>
      </c>
      <c r="CE63" s="230">
        <f t="shared" si="155"/>
        <v>0</v>
      </c>
      <c r="CF63" s="230">
        <f t="shared" si="156"/>
        <v>0</v>
      </c>
      <c r="CG63" s="230">
        <f t="shared" si="157"/>
        <v>0</v>
      </c>
      <c r="CH63" s="230">
        <f t="shared" si="158"/>
        <v>0</v>
      </c>
      <c r="CI63" s="230">
        <f t="shared" si="159"/>
        <v>0</v>
      </c>
      <c r="CJ63" s="230">
        <f t="shared" si="160"/>
        <v>0</v>
      </c>
      <c r="CK63" s="230">
        <f t="shared" si="161"/>
        <v>0</v>
      </c>
      <c r="CL63" s="230">
        <f t="shared" si="162"/>
        <v>0</v>
      </c>
      <c r="CM63" s="230">
        <f t="shared" si="163"/>
        <v>0</v>
      </c>
      <c r="CN63" s="230">
        <f t="shared" si="164"/>
        <v>0</v>
      </c>
      <c r="CO63" s="230">
        <f t="shared" si="165"/>
        <v>0</v>
      </c>
      <c r="CP63" s="230">
        <f t="shared" si="166"/>
        <v>0</v>
      </c>
      <c r="CQ63" s="230">
        <f t="shared" si="167"/>
        <v>0</v>
      </c>
      <c r="CR63" s="230">
        <f t="shared" si="168"/>
        <v>0</v>
      </c>
      <c r="CS63" s="230">
        <f t="shared" si="169"/>
        <v>0</v>
      </c>
      <c r="CT63" s="230">
        <f t="shared" si="170"/>
        <v>0</v>
      </c>
      <c r="CU63" s="230">
        <f t="shared" si="171"/>
        <v>0</v>
      </c>
      <c r="CV63" s="230">
        <f t="shared" si="172"/>
        <v>0</v>
      </c>
      <c r="CW63" s="230">
        <f t="shared" si="173"/>
        <v>0</v>
      </c>
      <c r="CX63" s="230">
        <f t="shared" si="174"/>
        <v>0</v>
      </c>
      <c r="CY63" s="230">
        <f t="shared" si="175"/>
        <v>0</v>
      </c>
      <c r="CZ63" s="230">
        <f t="shared" si="176"/>
        <v>0</v>
      </c>
      <c r="DA63" s="230">
        <f t="shared" si="177"/>
        <v>0</v>
      </c>
      <c r="DB63" s="230">
        <f t="shared" si="178"/>
        <v>0</v>
      </c>
      <c r="DC63" s="230">
        <f t="shared" si="179"/>
        <v>0</v>
      </c>
      <c r="DD63" s="230">
        <f t="shared" si="180"/>
        <v>0</v>
      </c>
      <c r="DE63" s="230">
        <f t="shared" si="181"/>
        <v>0</v>
      </c>
      <c r="DF63" s="230">
        <f t="shared" si="182"/>
        <v>0</v>
      </c>
      <c r="DG63" s="230">
        <f t="shared" si="183"/>
        <v>0</v>
      </c>
      <c r="DH63" s="230">
        <f t="shared" si="184"/>
        <v>0</v>
      </c>
      <c r="DI63" s="230">
        <f t="shared" si="185"/>
        <v>0</v>
      </c>
      <c r="DJ63" s="230">
        <f t="shared" si="186"/>
        <v>0</v>
      </c>
      <c r="DK63" s="230" t="str">
        <f>Input!AK63</f>
        <v>40,00W/40,00W</v>
      </c>
      <c r="DL63" s="230">
        <f>Input!BA63</f>
        <v>0</v>
      </c>
      <c r="DM63" s="230">
        <f>Input!BQ63</f>
        <v>0</v>
      </c>
      <c r="DN63" s="230" t="str">
        <f>Input!CE63</f>
      </c>
      <c r="DO63" s="230" t="str">
        <f>Input!CS63</f>
      </c>
      <c r="DP63" s="230" t="str">
        <f>Input!DG63</f>
      </c>
      <c r="DQ63" s="230" t="str">
        <f t="shared" si="187"/>
        <v>40W/ 40W</v>
      </c>
      <c r="DR63" s="230" t="str">
        <f t="shared" si="188"/>
      </c>
      <c r="DS63" s="230" t="str">
        <f t="shared" si="189"/>
      </c>
      <c r="DT63" s="230" t="str">
        <f t="shared" si="190"/>
      </c>
      <c r="DU63" s="230" t="str">
        <f t="shared" si="191"/>
      </c>
      <c r="DV63" s="230" t="str">
        <f t="shared" si="192"/>
      </c>
      <c r="DW63" s="230">
        <f t="shared" si="193"/>
        <v>40</v>
      </c>
      <c r="DX63" s="230">
        <f t="shared" si="194"/>
        <v>40</v>
      </c>
      <c r="DY63" s="230">
        <f t="shared" si="195"/>
        <v>0</v>
      </c>
      <c r="DZ63" s="230">
        <f t="shared" si="196"/>
        <v>0</v>
      </c>
      <c r="EA63" s="230">
        <f t="shared" si="197"/>
        <v>0</v>
      </c>
      <c r="EB63" s="230">
        <f t="shared" si="198"/>
        <v>0</v>
      </c>
      <c r="EC63" s="230">
        <f t="shared" si="199"/>
        <v>40</v>
      </c>
      <c r="ED63" s="230">
        <f t="shared" si="200"/>
        <v>0</v>
      </c>
      <c r="EE63" s="230">
        <f t="shared" si="201"/>
        <v>0</v>
      </c>
      <c r="EF63" s="230">
        <f t="shared" si="202"/>
        <v>0</v>
      </c>
      <c r="EG63" s="230">
        <f t="shared" si="203"/>
        <v>0</v>
      </c>
      <c r="EH63" s="230">
        <f t="shared" si="204"/>
        <v>0</v>
      </c>
      <c r="EI63" s="230">
        <f t="shared" si="205"/>
        <v>0</v>
      </c>
      <c r="EJ63" s="230">
        <f t="shared" si="206"/>
        <v>0</v>
      </c>
      <c r="EK63" s="230">
        <f t="shared" si="207"/>
        <v>0</v>
      </c>
      <c r="EL63" s="230">
        <f t="shared" si="208"/>
        <v>0</v>
      </c>
      <c r="EM63" s="230">
        <f t="shared" si="209"/>
        <v>0</v>
      </c>
      <c r="EN63" s="230">
        <f t="shared" si="210"/>
        <v>0</v>
      </c>
      <c r="EO63" s="230">
        <f t="shared" si="211"/>
        <v>0</v>
      </c>
      <c r="EP63" s="230">
        <f t="shared" si="212"/>
        <v>0</v>
      </c>
      <c r="EQ63" s="230">
        <f t="shared" si="213"/>
        <v>0</v>
      </c>
      <c r="ER63" s="230">
        <f t="shared" si="214"/>
        <v>0</v>
      </c>
      <c r="ES63" s="230">
        <f t="shared" si="215"/>
        <v>0</v>
      </c>
      <c r="ET63" s="230">
        <f t="shared" si="216"/>
        <v>0</v>
      </c>
      <c r="EU63" s="230">
        <f t="shared" si="217"/>
        <v>0</v>
      </c>
      <c r="EV63" s="230">
        <f t="shared" si="218"/>
        <v>0</v>
      </c>
      <c r="EW63" s="230">
        <f t="shared" si="219"/>
        <v>0</v>
      </c>
      <c r="EX63" s="230">
        <f t="shared" si="220"/>
        <v>0</v>
      </c>
      <c r="EY63" s="230">
        <f t="shared" si="221"/>
        <v>0</v>
      </c>
      <c r="EZ63" s="230">
        <f t="shared" si="222"/>
        <v>0</v>
      </c>
      <c r="FA63" s="230">
        <f t="shared" si="223"/>
        <v>0</v>
      </c>
      <c r="FB63" s="230">
        <f t="shared" si="224"/>
        <v>0</v>
      </c>
      <c r="FC63" s="230">
        <f t="shared" si="225"/>
        <v>0</v>
      </c>
      <c r="FD63" s="230">
        <f t="shared" si="226"/>
        <v>0</v>
      </c>
      <c r="FE63" s="230">
        <f t="shared" si="227"/>
        <v>0</v>
      </c>
      <c r="FF63" s="230">
        <f t="shared" si="228"/>
        <v>0</v>
      </c>
      <c r="FG63" s="230">
        <f t="shared" si="229"/>
        <v>0</v>
      </c>
      <c r="FH63" s="230">
        <f t="shared" si="230"/>
        <v>0</v>
      </c>
      <c r="FI63" s="230">
        <f t="shared" si="231"/>
        <v>0</v>
      </c>
      <c r="FJ63" s="230">
        <f t="shared" si="232"/>
        <v>0</v>
      </c>
      <c r="FK63" s="230">
        <f t="shared" si="233"/>
        <v>0</v>
      </c>
      <c r="FL63" s="230">
        <f t="shared" si="234"/>
        <v>0</v>
      </c>
      <c r="FM63" s="230">
        <f t="shared" si="235"/>
        <v>40</v>
      </c>
      <c r="FN63" s="230">
        <f>Input!AL63</f>
        <v>2100</v>
      </c>
      <c r="FO63" s="230">
        <f>Input!BB63</f>
        <v>0</v>
      </c>
      <c r="FP63" s="230">
        <f>Input!BR63</f>
        <v>0</v>
      </c>
      <c r="FQ63" s="230" t="str">
        <f>Input!CF63</f>
      </c>
      <c r="FR63" s="230" t="str">
        <f>Input!CT63</f>
      </c>
      <c r="FS63" s="230" t="str">
        <f>Input!DH63</f>
      </c>
      <c r="FT63" s="230" t="str">
        <f>Input!AM63</f>
        <v>46m/ 46m</v>
      </c>
      <c r="FU63" s="230">
        <f>Input!BC63</f>
        <v>0</v>
      </c>
      <c r="FV63" s="230">
        <f>Input!BS63</f>
        <v>0</v>
      </c>
      <c r="FW63" s="230" t="str">
        <f>Input!CG63</f>
      </c>
      <c r="FX63" s="230" t="str">
        <f>Input!CU63</f>
      </c>
      <c r="FY63" s="230" t="str">
        <f>Input!DI63</f>
      </c>
      <c r="FZ63" s="230" t="str">
        <f t="shared" si="236"/>
        <v>46m/ 46m</v>
      </c>
      <c r="GA63" s="230" t="str">
        <f t="shared" si="237"/>
      </c>
      <c r="GB63" s="230" t="str">
        <f t="shared" si="238"/>
      </c>
      <c r="GC63" s="230" t="str">
        <f t="shared" si="239"/>
      </c>
      <c r="GD63" s="230" t="str">
        <f t="shared" si="240"/>
      </c>
      <c r="GE63" s="230" t="str">
        <f t="shared" si="241"/>
      </c>
      <c r="GF63" s="230">
        <f t="shared" si="242"/>
        <v>46</v>
      </c>
      <c r="GG63" s="230">
        <f t="shared" si="243"/>
        <v>46</v>
      </c>
      <c r="GH63" s="230">
        <f t="shared" si="244"/>
        <v>0</v>
      </c>
      <c r="GI63" s="230">
        <f t="shared" si="245"/>
        <v>0</v>
      </c>
      <c r="GJ63" s="230">
        <f t="shared" si="246"/>
        <v>0</v>
      </c>
      <c r="GK63" s="230">
        <f t="shared" si="247"/>
        <v>0</v>
      </c>
      <c r="GL63" s="230">
        <f t="shared" si="248"/>
        <v>0</v>
      </c>
      <c r="GM63" s="230">
        <f t="shared" si="249"/>
        <v>0</v>
      </c>
      <c r="GN63" s="230">
        <f t="shared" si="250"/>
        <v>0</v>
      </c>
      <c r="GO63" s="230">
        <f t="shared" si="251"/>
        <v>0</v>
      </c>
      <c r="GP63" s="230">
        <f t="shared" si="252"/>
        <v>0</v>
      </c>
      <c r="GQ63" s="230">
        <f t="shared" si="253"/>
        <v>0</v>
      </c>
      <c r="GR63" s="230">
        <f t="shared" si="254"/>
        <v>0</v>
      </c>
      <c r="GS63" s="230">
        <f t="shared" si="255"/>
        <v>0</v>
      </c>
      <c r="GT63" s="230">
        <f t="shared" si="256"/>
        <v>0</v>
      </c>
      <c r="GU63" s="230">
        <f t="shared" si="257"/>
        <v>0</v>
      </c>
      <c r="GV63" s="230">
        <f t="shared" si="258"/>
        <v>0</v>
      </c>
      <c r="GW63" s="230">
        <f t="shared" si="259"/>
        <v>0</v>
      </c>
      <c r="GX63" s="230">
        <f t="shared" si="260"/>
        <v>0</v>
      </c>
      <c r="GY63" s="230">
        <f t="shared" si="261"/>
        <v>0</v>
      </c>
      <c r="GZ63" s="230">
        <f t="shared" si="262"/>
        <v>0</v>
      </c>
      <c r="HA63" s="230">
        <f t="shared" si="263"/>
        <v>0</v>
      </c>
      <c r="HB63" s="230">
        <f t="shared" si="264"/>
        <v>0</v>
      </c>
      <c r="HC63" s="230">
        <f t="shared" si="265"/>
        <v>0</v>
      </c>
      <c r="HD63" s="230">
        <f t="shared" si="266"/>
        <v>0</v>
      </c>
      <c r="HE63" s="230">
        <f t="shared" si="267"/>
        <v>0</v>
      </c>
      <c r="HF63" s="230">
        <f t="shared" si="268"/>
        <v>0</v>
      </c>
      <c r="HG63" s="230">
        <f t="shared" si="269"/>
        <v>0</v>
      </c>
      <c r="HH63" s="230">
        <f t="shared" si="270"/>
        <v>0</v>
      </c>
      <c r="HI63" s="230">
        <f t="shared" si="271"/>
        <v>0</v>
      </c>
      <c r="HJ63" s="230">
        <f t="shared" si="272"/>
        <v>0</v>
      </c>
      <c r="HK63" s="230">
        <f t="shared" si="273"/>
        <v>0</v>
      </c>
      <c r="HL63" s="230">
        <f t="shared" si="274"/>
        <v>0</v>
      </c>
      <c r="HM63" s="230">
        <f t="shared" si="275"/>
        <v>0</v>
      </c>
      <c r="HN63" s="230">
        <f t="shared" si="276"/>
        <v>0</v>
      </c>
      <c r="HO63" s="230">
        <f t="shared" si="277"/>
        <v>0</v>
      </c>
      <c r="HP63" s="230" t="str">
        <f>INDEX(LabNameList,MATCH(LabId,LabIDList,0))</f>
        <v>Trung tâm Kiểm định và Chứng nhận 2</v>
      </c>
      <c r="HQ63" s="230">
        <f t="shared" si="278"/>
        <v>46</v>
      </c>
      <c r="HR63" s="230">
        <f t="shared" si="279"/>
        <v>0</v>
      </c>
      <c r="HS63" s="230">
        <f t="shared" si="280"/>
        <v>0</v>
      </c>
      <c r="HT63" s="230">
        <f t="shared" si="281"/>
        <v>0</v>
      </c>
      <c r="HU63" s="230">
        <f t="shared" si="282"/>
        <v>0</v>
      </c>
      <c r="HV63" s="230">
        <f t="shared" si="283"/>
        <v>0</v>
      </c>
      <c r="HW63" s="797">
        <f t="shared" si="284"/>
        <v>46</v>
      </c>
      <c r="HX63" s="797">
        <f>Input!EB63</f>
        <v>0</v>
      </c>
      <c r="HY63" s="230">
        <v>68</v>
      </c>
      <c r="HZ63" s="230"/>
      <c r="IA63" s="230"/>
      <c r="IB63" s="230"/>
      <c r="IC63" s="232" t="str">
        <f t="shared" si="285"/>
        <v>B02014171016TG05</v>
      </c>
      <c r="ID63" s="233">
        <f>Input!O63</f>
        <v>2014</v>
      </c>
      <c r="IE63" s="467" t="str">
        <f t="shared" si="286"/>
        <v>171016</v>
      </c>
      <c r="IF63" s="232" t="s">
        <v>364</v>
      </c>
      <c r="IG63" s="467" t="str">
        <f t="shared" si="287"/>
        <v>17/10/2016</v>
      </c>
      <c r="IH63" s="467" t="str">
        <f t="shared" si="288"/>
        <v>17/10/2021</v>
      </c>
      <c r="II63" s="546" t="str">
        <f> Input!R63</f>
        <v>17/10/2016</v>
      </c>
      <c r="IJ63" s="467">
        <f t="shared" si="289"/>
        <v>44486</v>
      </c>
      <c r="IK63" s="468">
        <f t="shared" si="290"/>
        <v>3</v>
      </c>
      <c r="IL63" s="469" t="str">
        <f t="shared" si="291"/>
        <v>3-1</v>
      </c>
      <c r="IM63" s="469" t="str">
        <f t="shared" si="292"/>
        <v>KHAC</v>
      </c>
      <c r="IN63" s="469" t="str">
        <f t="shared" si="293"/>
        <v>KHAC</v>
      </c>
      <c r="IO63" s="469" t="str">
        <f t="shared" si="294"/>
      </c>
      <c r="IP63" s="469" t="str">
        <f t="shared" si="295"/>
      </c>
      <c r="IQ63" s="469" t="str">
        <f t="shared" si="296"/>
      </c>
      <c r="IR63" s="469">
        <f t="shared" si="297"/>
        <v>1</v>
      </c>
      <c r="IS63" s="469">
        <f t="shared" si="298"/>
        <v>2</v>
      </c>
      <c r="IT63" s="469" t="str">
        <f t="shared" si="299"/>
        <v>Yes</v>
      </c>
      <c r="IU63" s="469" t="str">
        <f t="shared" si="300"/>
        <v>Yes</v>
      </c>
    </row>
    <row r="64" ht="63.75">
      <c r="A64" s="601">
        <f>Input!A64</f>
        <v>63</v>
      </c>
      <c r="B64" s="229" t="str">
        <f>INDEX(ApplicantIDList,MATCH(AI64,ApplicantNameList,0))</f>
        <v>VIETTEL-2016</v>
      </c>
      <c r="C64" s="229" t="str">
        <f>INDEX(OperatorIDList,MATCH(AJ64,OperatorNameList,0))</f>
        <v>VIETTEL-2016</v>
      </c>
      <c r="D64" s="797" t="str">
        <f>Input!Y64</f>
        <v>BTN0258-11</v>
      </c>
      <c r="E64" s="229" t="str">
        <f>Input!G64</f>
        <v>Số 199, đường Nguyễn Thông, phường Phú Hài, thành phố Phan Thiết, tỉnh Bình Thuận.</v>
      </c>
      <c r="F64" s="229" t="str">
        <f>TRIM(SUBSTITUTE(SUBSTITUTE(Input!H64,"Thành phố ",""),"Tỉnh ",""))</f>
        <v>Bình Thuận</v>
      </c>
      <c r="G64" s="797" t="str">
        <f>Input!I64</f>
        <v>108,156007</v>
      </c>
      <c r="H64" s="797" t="str">
        <f>Input!J64</f>
        <v> 10,939027</v>
      </c>
      <c r="I64" s="229">
        <f>Input!V64</f>
        <v>1</v>
      </c>
      <c r="J64" s="229" t="str">
        <f>Input!K64</f>
        <v>1501444/16/TG/TT2</v>
      </c>
      <c r="K64" s="231" t="str">
        <f>TEXT(Input!L64,"dd/mm/yyyy")</f>
        <v>17/10/2016</v>
      </c>
      <c r="L64" s="231" t="str">
        <f>TEXT(Input!M64,"dd/mm/yyyy")</f>
        <v>04/10/2016</v>
      </c>
      <c r="M64" s="229" t="str">
        <f t="shared" si="135"/>
        <v>TỔNG CÔNG TY MẠNG LƯỚI VIETTEL</v>
      </c>
      <c r="N64" s="229" t="str">
        <f t="shared" si="136"/>
        <v>BTN0258-11</v>
      </c>
      <c r="O64" s="229" t="str">
        <f t="shared" si="137"/>
        <v>HUAWEI DBS3900</v>
      </c>
      <c r="P64" s="229" t="str">
        <f t="shared" si="138"/>
        <v>2</v>
      </c>
      <c r="Q64" s="229" t="str">
        <f t="shared" si="139"/>
        <v>2/2</v>
      </c>
      <c r="R64" s="229" t="str">
        <f t="shared" si="140"/>
        <v>40W/ 40W</v>
      </c>
      <c r="S64" s="229" t="str">
        <f t="shared" si="141"/>
        <v>2100</v>
      </c>
      <c r="T64" s="229" t="str">
        <f t="shared" si="142"/>
        <v>40m/ 40m</v>
      </c>
      <c r="U64" s="229">
        <v>1</v>
      </c>
      <c r="V64" s="229"/>
      <c r="W64" s="229" t="b">
        <f t="shared" si="143"/>
        <v>1</v>
      </c>
      <c r="X64" s="229" t="b">
        <f>INDEX(TrueFalseList,_xlfn.IFNA(MATCH(Input!W64,CoKhongList,0),MATCH(Input!W64,YesNoList,0)))</f>
        <v>1</v>
      </c>
      <c r="Y64" s="797">
        <f>Input!FZ64</f>
        <v>1</v>
      </c>
      <c r="Z64" s="229" t="b">
        <v>1</v>
      </c>
      <c r="AA64" s="797">
        <f t="shared" si="144"/>
        <v>40</v>
      </c>
      <c r="AB64" s="229" t="b">
        <v>0</v>
      </c>
      <c r="AC64" s="229" t="b">
        <v>1</v>
      </c>
      <c r="AD64" s="229" t="str">
        <f>Input!DR64</f>
        <v>KHÁC</v>
      </c>
      <c r="AE64" s="229"/>
      <c r="AF64" s="229" t="str">
        <f>Options!$D$6</f>
        <v>VCC2</v>
      </c>
      <c r="AG64" s="229" t="str">
        <f t="shared" si="145"/>
        <v>KHÁC</v>
      </c>
      <c r="AH64" s="230"/>
      <c r="AI64" s="553" t="str">
        <f>Input!E64</f>
        <v>TỔNG CÔNG TY MẠNG LƯỚI VIETTEL</v>
      </c>
      <c r="AJ64" s="553" t="str">
        <f>Input!F64</f>
        <v>TỔNG CÔNG TY MẠNG LƯỚI VIETTEL</v>
      </c>
      <c r="AK64" s="229">
        <f t="shared" si="146"/>
        <v>4</v>
      </c>
      <c r="AL64" s="465" t="str">
        <f t="shared" si="147"/>
        <v>tỉnh Bình Thuận.</v>
      </c>
      <c r="AM64" s="465" t="str">
        <f t="shared" si="148"/>
        <v>thành phố Phan Thiết</v>
      </c>
      <c r="AN64" s="465" t="str">
        <f t="shared" si="149"/>
        <v>phường Phú Hài</v>
      </c>
      <c r="AO64" s="229" t="str">
        <f>INDEX(CityIDList,MATCH(F64,CityNameList,0))</f>
        <v>BTN</v>
      </c>
      <c r="AP64" s="230" t="str">
        <f>Input!X64</f>
        <v>TỔNG CÔNG TY MẠNG LƯỚI VIETTEL</v>
      </c>
      <c r="AQ64" s="230">
        <f>Input!AN64</f>
        <v>0</v>
      </c>
      <c r="AR64" s="230">
        <f>Input!BD64</f>
        <v>0</v>
      </c>
      <c r="AS64" s="230" t="str">
        <f>Input!BT64</f>
      </c>
      <c r="AT64" s="230" t="str">
        <f>Input!CH64</f>
      </c>
      <c r="AU64" s="230" t="str">
        <f>Input!CV64</f>
      </c>
      <c r="AV64" s="230" t="str">
        <f>IF(I64&gt;=1,INDEX(OperatorIDList,MATCH(AP64,OperatorNameList,0)),"")</f>
        <v>VIETTEL-2016</v>
      </c>
      <c r="AW64" s="230" t="str">
        <f>IF(I64&gt;=2,INDEX(OperatorIDList,MATCH(AQ64,OperatorNameList,0)),"")</f>
      </c>
      <c r="AX64" s="230" t="str">
        <f>IF(I64&gt;=3,INDEX(OperatorIDList,MATCH(AR64,OperatorNameList,0)),"")</f>
      </c>
      <c r="AY64" s="230" t="str">
        <f>IF(I64&gt;=4,INDEX(OperatorIDList,MATCH(AS64,OperatorNameList,0)),"")</f>
      </c>
      <c r="AZ64" s="230" t="str">
        <f>IF(I64&gt;=5,INDEX(OperatorIDList,MATCH(AT64,OperatorNameList,0)),"")</f>
      </c>
      <c r="BA64" s="230" t="str">
        <f>IF(I64&gt;=6,INDEX(OperatorIDList,MATCH(AU64,OperatorNameList,0)),"")</f>
      </c>
      <c r="BB64" s="230" t="str">
        <f t="shared" si="150"/>
        <v>VIETTEL-2016</v>
      </c>
      <c r="BC64" s="230" t="str">
        <f>Input!Y64</f>
        <v>BTN0258-11</v>
      </c>
      <c r="BD64" s="230">
        <f>Input!AO64</f>
        <v>0</v>
      </c>
      <c r="BE64" s="230">
        <f>Input!BE64</f>
        <v>0</v>
      </c>
      <c r="BF64" s="230">
        <f>Input!BU64</f>
        <v>0</v>
      </c>
      <c r="BG64" s="230" t="str">
        <f>Input!CI64</f>
      </c>
      <c r="BH64" s="230" t="str">
        <f>Input!CW64</f>
      </c>
      <c r="BI64" s="230" t="str">
        <f>Input!Z64</f>
        <v>HUAWEI DBS3900</v>
      </c>
      <c r="BJ64" s="230">
        <f>Input!AP64</f>
        <v>0</v>
      </c>
      <c r="BK64" s="230">
        <f>Input!BF64</f>
        <v>0</v>
      </c>
      <c r="BL64" s="230">
        <f>Input!BV64</f>
        <v>0</v>
      </c>
      <c r="BM64" s="230" t="str">
        <f>Input!CJ64</f>
      </c>
      <c r="BN64" s="230" t="str">
        <f>Input!CX64</f>
      </c>
      <c r="BO64" s="553">
        <f>IF(ISNUMBER(Input!AA64),Input!AA64,0)</f>
        <v>2</v>
      </c>
      <c r="BP64" s="553">
        <f>IF(ISNUMBER(Input!AQ64),Input!AQ64,0)</f>
        <v>0</v>
      </c>
      <c r="BQ64" s="553">
        <f>IF(ISNUMBER(Input!BG64),Input!BG64,0)</f>
        <v>0</v>
      </c>
      <c r="BR64" s="553">
        <f>IF(ISNUMBER(Input!BW64),Input!BW64,0)</f>
        <v>0</v>
      </c>
      <c r="BS64" s="553">
        <f>IF(ISNUMBER(Input!CK64),Input!CK64,0)</f>
        <v>0</v>
      </c>
      <c r="BT64" s="554">
        <f>IF(ISNUMBER(Input!CY64),Input!CY64,0)</f>
        <v>0</v>
      </c>
      <c r="BU64" s="230" t="str">
        <f>Input!AF64</f>
        <v>2/2</v>
      </c>
      <c r="BV64" s="230">
        <f>Input!AV64</f>
        <v>0</v>
      </c>
      <c r="BW64" s="230">
        <f>Input!BL64</f>
        <v>0</v>
      </c>
      <c r="BX64" s="230" t="str">
        <f>Input!CA64</f>
      </c>
      <c r="BY64" s="230" t="str">
        <f>Input!CO64</f>
      </c>
      <c r="BZ64" s="230" t="str">
        <f>Input!DC64</f>
      </c>
      <c r="CA64" s="230">
        <f t="shared" si="151"/>
        <v>2</v>
      </c>
      <c r="CB64" s="230">
        <f t="shared" si="152"/>
        <v>2</v>
      </c>
      <c r="CC64" s="230">
        <f t="shared" si="153"/>
        <v>0</v>
      </c>
      <c r="CD64" s="230">
        <f t="shared" si="154"/>
        <v>0</v>
      </c>
      <c r="CE64" s="230">
        <f t="shared" si="155"/>
        <v>0</v>
      </c>
      <c r="CF64" s="230">
        <f t="shared" si="156"/>
        <v>0</v>
      </c>
      <c r="CG64" s="230">
        <f t="shared" si="157"/>
        <v>0</v>
      </c>
      <c r="CH64" s="230">
        <f t="shared" si="158"/>
        <v>0</v>
      </c>
      <c r="CI64" s="230">
        <f t="shared" si="159"/>
        <v>0</v>
      </c>
      <c r="CJ64" s="230">
        <f t="shared" si="160"/>
        <v>0</v>
      </c>
      <c r="CK64" s="230">
        <f t="shared" si="161"/>
        <v>0</v>
      </c>
      <c r="CL64" s="230">
        <f t="shared" si="162"/>
        <v>0</v>
      </c>
      <c r="CM64" s="230">
        <f t="shared" si="163"/>
        <v>0</v>
      </c>
      <c r="CN64" s="230">
        <f t="shared" si="164"/>
        <v>0</v>
      </c>
      <c r="CO64" s="230">
        <f t="shared" si="165"/>
        <v>0</v>
      </c>
      <c r="CP64" s="230">
        <f t="shared" si="166"/>
        <v>0</v>
      </c>
      <c r="CQ64" s="230">
        <f t="shared" si="167"/>
        <v>0</v>
      </c>
      <c r="CR64" s="230">
        <f t="shared" si="168"/>
        <v>0</v>
      </c>
      <c r="CS64" s="230">
        <f t="shared" si="169"/>
        <v>0</v>
      </c>
      <c r="CT64" s="230">
        <f t="shared" si="170"/>
        <v>0</v>
      </c>
      <c r="CU64" s="230">
        <f t="shared" si="171"/>
        <v>0</v>
      </c>
      <c r="CV64" s="230">
        <f t="shared" si="172"/>
        <v>0</v>
      </c>
      <c r="CW64" s="230">
        <f t="shared" si="173"/>
        <v>0</v>
      </c>
      <c r="CX64" s="230">
        <f t="shared" si="174"/>
        <v>0</v>
      </c>
      <c r="CY64" s="230">
        <f t="shared" si="175"/>
        <v>0</v>
      </c>
      <c r="CZ64" s="230">
        <f t="shared" si="176"/>
        <v>0</v>
      </c>
      <c r="DA64" s="230">
        <f t="shared" si="177"/>
        <v>0</v>
      </c>
      <c r="DB64" s="230">
        <f t="shared" si="178"/>
        <v>0</v>
      </c>
      <c r="DC64" s="230">
        <f t="shared" si="179"/>
        <v>0</v>
      </c>
      <c r="DD64" s="230">
        <f t="shared" si="180"/>
        <v>0</v>
      </c>
      <c r="DE64" s="230">
        <f t="shared" si="181"/>
        <v>0</v>
      </c>
      <c r="DF64" s="230">
        <f t="shared" si="182"/>
        <v>0</v>
      </c>
      <c r="DG64" s="230">
        <f t="shared" si="183"/>
        <v>0</v>
      </c>
      <c r="DH64" s="230">
        <f t="shared" si="184"/>
        <v>0</v>
      </c>
      <c r="DI64" s="230">
        <f t="shared" si="185"/>
        <v>0</v>
      </c>
      <c r="DJ64" s="230">
        <f t="shared" si="186"/>
        <v>0</v>
      </c>
      <c r="DK64" s="230" t="str">
        <f>Input!AK64</f>
        <v>40,00W/40,00W</v>
      </c>
      <c r="DL64" s="230">
        <f>Input!BA64</f>
        <v>0</v>
      </c>
      <c r="DM64" s="230">
        <f>Input!BQ64</f>
        <v>0</v>
      </c>
      <c r="DN64" s="230" t="str">
        <f>Input!CE64</f>
      </c>
      <c r="DO64" s="230" t="str">
        <f>Input!CS64</f>
      </c>
      <c r="DP64" s="230" t="str">
        <f>Input!DG64</f>
      </c>
      <c r="DQ64" s="230" t="str">
        <f t="shared" si="187"/>
        <v>40W/ 40W</v>
      </c>
      <c r="DR64" s="230" t="str">
        <f t="shared" si="188"/>
      </c>
      <c r="DS64" s="230" t="str">
        <f t="shared" si="189"/>
      </c>
      <c r="DT64" s="230" t="str">
        <f t="shared" si="190"/>
      </c>
      <c r="DU64" s="230" t="str">
        <f t="shared" si="191"/>
      </c>
      <c r="DV64" s="230" t="str">
        <f t="shared" si="192"/>
      </c>
      <c r="DW64" s="230">
        <f t="shared" si="193"/>
        <v>40</v>
      </c>
      <c r="DX64" s="230">
        <f t="shared" si="194"/>
        <v>40</v>
      </c>
      <c r="DY64" s="230">
        <f t="shared" si="195"/>
        <v>0</v>
      </c>
      <c r="DZ64" s="230">
        <f t="shared" si="196"/>
        <v>0</v>
      </c>
      <c r="EA64" s="230">
        <f t="shared" si="197"/>
        <v>0</v>
      </c>
      <c r="EB64" s="230">
        <f t="shared" si="198"/>
        <v>0</v>
      </c>
      <c r="EC64" s="230">
        <f t="shared" si="199"/>
        <v>40</v>
      </c>
      <c r="ED64" s="230">
        <f t="shared" si="200"/>
        <v>0</v>
      </c>
      <c r="EE64" s="230">
        <f t="shared" si="201"/>
        <v>0</v>
      </c>
      <c r="EF64" s="230">
        <f t="shared" si="202"/>
        <v>0</v>
      </c>
      <c r="EG64" s="230">
        <f t="shared" si="203"/>
        <v>0</v>
      </c>
      <c r="EH64" s="230">
        <f t="shared" si="204"/>
        <v>0</v>
      </c>
      <c r="EI64" s="230">
        <f t="shared" si="205"/>
        <v>0</v>
      </c>
      <c r="EJ64" s="230">
        <f t="shared" si="206"/>
        <v>0</v>
      </c>
      <c r="EK64" s="230">
        <f t="shared" si="207"/>
        <v>0</v>
      </c>
      <c r="EL64" s="230">
        <f t="shared" si="208"/>
        <v>0</v>
      </c>
      <c r="EM64" s="230">
        <f t="shared" si="209"/>
        <v>0</v>
      </c>
      <c r="EN64" s="230">
        <f t="shared" si="210"/>
        <v>0</v>
      </c>
      <c r="EO64" s="230">
        <f t="shared" si="211"/>
        <v>0</v>
      </c>
      <c r="EP64" s="230">
        <f t="shared" si="212"/>
        <v>0</v>
      </c>
      <c r="EQ64" s="230">
        <f t="shared" si="213"/>
        <v>0</v>
      </c>
      <c r="ER64" s="230">
        <f t="shared" si="214"/>
        <v>0</v>
      </c>
      <c r="ES64" s="230">
        <f t="shared" si="215"/>
        <v>0</v>
      </c>
      <c r="ET64" s="230">
        <f t="shared" si="216"/>
        <v>0</v>
      </c>
      <c r="EU64" s="230">
        <f t="shared" si="217"/>
        <v>0</v>
      </c>
      <c r="EV64" s="230">
        <f t="shared" si="218"/>
        <v>0</v>
      </c>
      <c r="EW64" s="230">
        <f t="shared" si="219"/>
        <v>0</v>
      </c>
      <c r="EX64" s="230">
        <f t="shared" si="220"/>
        <v>0</v>
      </c>
      <c r="EY64" s="230">
        <f t="shared" si="221"/>
        <v>0</v>
      </c>
      <c r="EZ64" s="230">
        <f t="shared" si="222"/>
        <v>0</v>
      </c>
      <c r="FA64" s="230">
        <f t="shared" si="223"/>
        <v>0</v>
      </c>
      <c r="FB64" s="230">
        <f t="shared" si="224"/>
        <v>0</v>
      </c>
      <c r="FC64" s="230">
        <f t="shared" si="225"/>
        <v>0</v>
      </c>
      <c r="FD64" s="230">
        <f t="shared" si="226"/>
        <v>0</v>
      </c>
      <c r="FE64" s="230">
        <f t="shared" si="227"/>
        <v>0</v>
      </c>
      <c r="FF64" s="230">
        <f t="shared" si="228"/>
        <v>0</v>
      </c>
      <c r="FG64" s="230">
        <f t="shared" si="229"/>
        <v>0</v>
      </c>
      <c r="FH64" s="230">
        <f t="shared" si="230"/>
        <v>0</v>
      </c>
      <c r="FI64" s="230">
        <f t="shared" si="231"/>
        <v>0</v>
      </c>
      <c r="FJ64" s="230">
        <f t="shared" si="232"/>
        <v>0</v>
      </c>
      <c r="FK64" s="230">
        <f t="shared" si="233"/>
        <v>0</v>
      </c>
      <c r="FL64" s="230">
        <f t="shared" si="234"/>
        <v>0</v>
      </c>
      <c r="FM64" s="230">
        <f t="shared" si="235"/>
        <v>40</v>
      </c>
      <c r="FN64" s="230">
        <f>Input!AL64</f>
        <v>2100</v>
      </c>
      <c r="FO64" s="230">
        <f>Input!BB64</f>
        <v>0</v>
      </c>
      <c r="FP64" s="230">
        <f>Input!BR64</f>
        <v>0</v>
      </c>
      <c r="FQ64" s="230" t="str">
        <f>Input!CF64</f>
      </c>
      <c r="FR64" s="230" t="str">
        <f>Input!CT64</f>
      </c>
      <c r="FS64" s="230" t="str">
        <f>Input!DH64</f>
      </c>
      <c r="FT64" s="230" t="str">
        <f>Input!AM64</f>
        <v>40m/ 40m</v>
      </c>
      <c r="FU64" s="230">
        <f>Input!BC64</f>
        <v>0</v>
      </c>
      <c r="FV64" s="230">
        <f>Input!BS64</f>
        <v>0</v>
      </c>
      <c r="FW64" s="230" t="str">
        <f>Input!CG64</f>
      </c>
      <c r="FX64" s="230" t="str">
        <f>Input!CU64</f>
      </c>
      <c r="FY64" s="230" t="str">
        <f>Input!DI64</f>
      </c>
      <c r="FZ64" s="230" t="str">
        <f t="shared" si="236"/>
        <v>40m/ 40m</v>
      </c>
      <c r="GA64" s="230" t="str">
        <f t="shared" si="237"/>
      </c>
      <c r="GB64" s="230" t="str">
        <f t="shared" si="238"/>
      </c>
      <c r="GC64" s="230" t="str">
        <f t="shared" si="239"/>
      </c>
      <c r="GD64" s="230" t="str">
        <f t="shared" si="240"/>
      </c>
      <c r="GE64" s="230" t="str">
        <f t="shared" si="241"/>
      </c>
      <c r="GF64" s="230">
        <f t="shared" si="242"/>
        <v>40</v>
      </c>
      <c r="GG64" s="230">
        <f t="shared" si="243"/>
        <v>40</v>
      </c>
      <c r="GH64" s="230">
        <f t="shared" si="244"/>
        <v>0</v>
      </c>
      <c r="GI64" s="230">
        <f t="shared" si="245"/>
        <v>0</v>
      </c>
      <c r="GJ64" s="230">
        <f t="shared" si="246"/>
        <v>0</v>
      </c>
      <c r="GK64" s="230">
        <f t="shared" si="247"/>
        <v>0</v>
      </c>
      <c r="GL64" s="230">
        <f t="shared" si="248"/>
        <v>0</v>
      </c>
      <c r="GM64" s="230">
        <f t="shared" si="249"/>
        <v>0</v>
      </c>
      <c r="GN64" s="230">
        <f t="shared" si="250"/>
        <v>0</v>
      </c>
      <c r="GO64" s="230">
        <f t="shared" si="251"/>
        <v>0</v>
      </c>
      <c r="GP64" s="230">
        <f t="shared" si="252"/>
        <v>0</v>
      </c>
      <c r="GQ64" s="230">
        <f t="shared" si="253"/>
        <v>0</v>
      </c>
      <c r="GR64" s="230">
        <f t="shared" si="254"/>
        <v>0</v>
      </c>
      <c r="GS64" s="230">
        <f t="shared" si="255"/>
        <v>0</v>
      </c>
      <c r="GT64" s="230">
        <f t="shared" si="256"/>
        <v>0</v>
      </c>
      <c r="GU64" s="230">
        <f t="shared" si="257"/>
        <v>0</v>
      </c>
      <c r="GV64" s="230">
        <f t="shared" si="258"/>
        <v>0</v>
      </c>
      <c r="GW64" s="230">
        <f t="shared" si="259"/>
        <v>0</v>
      </c>
      <c r="GX64" s="230">
        <f t="shared" si="260"/>
        <v>0</v>
      </c>
      <c r="GY64" s="230">
        <f t="shared" si="261"/>
        <v>0</v>
      </c>
      <c r="GZ64" s="230">
        <f t="shared" si="262"/>
        <v>0</v>
      </c>
      <c r="HA64" s="230">
        <f t="shared" si="263"/>
        <v>0</v>
      </c>
      <c r="HB64" s="230">
        <f t="shared" si="264"/>
        <v>0</v>
      </c>
      <c r="HC64" s="230">
        <f t="shared" si="265"/>
        <v>0</v>
      </c>
      <c r="HD64" s="230">
        <f t="shared" si="266"/>
        <v>0</v>
      </c>
      <c r="HE64" s="230">
        <f t="shared" si="267"/>
        <v>0</v>
      </c>
      <c r="HF64" s="230">
        <f t="shared" si="268"/>
        <v>0</v>
      </c>
      <c r="HG64" s="230">
        <f t="shared" si="269"/>
        <v>0</v>
      </c>
      <c r="HH64" s="230">
        <f t="shared" si="270"/>
        <v>0</v>
      </c>
      <c r="HI64" s="230">
        <f t="shared" si="271"/>
        <v>0</v>
      </c>
      <c r="HJ64" s="230">
        <f t="shared" si="272"/>
        <v>0</v>
      </c>
      <c r="HK64" s="230">
        <f t="shared" si="273"/>
        <v>0</v>
      </c>
      <c r="HL64" s="230">
        <f t="shared" si="274"/>
        <v>0</v>
      </c>
      <c r="HM64" s="230">
        <f t="shared" si="275"/>
        <v>0</v>
      </c>
      <c r="HN64" s="230">
        <f t="shared" si="276"/>
        <v>0</v>
      </c>
      <c r="HO64" s="230">
        <f t="shared" si="277"/>
        <v>0</v>
      </c>
      <c r="HP64" s="230" t="str">
        <f>INDEX(LabNameList,MATCH(LabId,LabIDList,0))</f>
        <v>Trung tâm Kiểm định và Chứng nhận 2</v>
      </c>
      <c r="HQ64" s="230">
        <f t="shared" si="278"/>
        <v>40</v>
      </c>
      <c r="HR64" s="230">
        <f t="shared" si="279"/>
        <v>0</v>
      </c>
      <c r="HS64" s="230">
        <f t="shared" si="280"/>
        <v>0</v>
      </c>
      <c r="HT64" s="230">
        <f t="shared" si="281"/>
        <v>0</v>
      </c>
      <c r="HU64" s="230">
        <f t="shared" si="282"/>
        <v>0</v>
      </c>
      <c r="HV64" s="230">
        <f t="shared" si="283"/>
        <v>0</v>
      </c>
      <c r="HW64" s="797">
        <f t="shared" si="284"/>
        <v>40</v>
      </c>
      <c r="HX64" s="797">
        <f>Input!EB64</f>
        <v>0</v>
      </c>
      <c r="HY64" s="230">
        <v>68</v>
      </c>
      <c r="HZ64" s="230"/>
      <c r="IA64" s="230"/>
      <c r="IB64" s="230"/>
      <c r="IC64" s="232" t="str">
        <f t="shared" si="285"/>
        <v>B02015171016TG05</v>
      </c>
      <c r="ID64" s="233">
        <f>Input!O64</f>
        <v>2015</v>
      </c>
      <c r="IE64" s="467" t="str">
        <f t="shared" si="286"/>
        <v>171016</v>
      </c>
      <c r="IF64" s="232" t="s">
        <v>364</v>
      </c>
      <c r="IG64" s="467" t="str">
        <f t="shared" si="287"/>
        <v>17/10/2016</v>
      </c>
      <c r="IH64" s="467" t="str">
        <f t="shared" si="288"/>
        <v>17/10/2021</v>
      </c>
      <c r="II64" s="546" t="str">
        <f> Input!R64</f>
        <v>17/10/2016</v>
      </c>
      <c r="IJ64" s="467">
        <f t="shared" si="289"/>
        <v>44486</v>
      </c>
      <c r="IK64" s="468">
        <f t="shared" si="290"/>
        <v>3</v>
      </c>
      <c r="IL64" s="469" t="str">
        <f t="shared" si="291"/>
        <v>3-1</v>
      </c>
      <c r="IM64" s="469" t="str">
        <f t="shared" si="292"/>
        <v>KHAC</v>
      </c>
      <c r="IN64" s="469" t="str">
        <f t="shared" si="293"/>
        <v>KHAC</v>
      </c>
      <c r="IO64" s="469" t="str">
        <f t="shared" si="294"/>
      </c>
      <c r="IP64" s="469" t="str">
        <f t="shared" si="295"/>
      </c>
      <c r="IQ64" s="469" t="str">
        <f t="shared" si="296"/>
      </c>
      <c r="IR64" s="469">
        <f t="shared" si="297"/>
        <v>1</v>
      </c>
      <c r="IS64" s="469">
        <f t="shared" si="298"/>
        <v>2</v>
      </c>
      <c r="IT64" s="469" t="str">
        <f t="shared" si="299"/>
        <v>Yes</v>
      </c>
      <c r="IU64" s="469" t="str">
        <f t="shared" si="300"/>
        <v>Yes</v>
      </c>
    </row>
    <row r="65" ht="63.75">
      <c r="A65" s="601">
        <f>Input!A65</f>
        <v>64</v>
      </c>
      <c r="B65" s="229" t="str">
        <f>INDEX(ApplicantIDList,MATCH(AI65,ApplicantNameList,0))</f>
        <v>VIETTEL-2016</v>
      </c>
      <c r="C65" s="229" t="str">
        <f>INDEX(OperatorIDList,MATCH(AJ65,OperatorNameList,0))</f>
        <v>VIETTEL-2016</v>
      </c>
      <c r="D65" s="797" t="str">
        <f>Input!Y65</f>
        <v>BTN0385</v>
      </c>
      <c r="E65" s="229" t="str">
        <f>Input!G65</f>
        <v>Đường Võ Liêm Sơn, khu phố 11, phường Phú Thủy, thành phố Phan Thiết, tỉnh Bình Thuận.</v>
      </c>
      <c r="F65" s="229" t="str">
        <f>TRIM(SUBSTITUTE(SUBSTITUTE(Input!H65,"Thành phố ",""),"Tỉnh ",""))</f>
        <v>Bình Thuận</v>
      </c>
      <c r="G65" s="797" t="str">
        <f>Input!I65</f>
        <v>108,118363</v>
      </c>
      <c r="H65" s="797" t="str">
        <f>Input!J65</f>
        <v> 10,936474</v>
      </c>
      <c r="I65" s="229">
        <f>Input!V65</f>
        <v>1</v>
      </c>
      <c r="J65" s="229" t="str">
        <f>Input!K65</f>
        <v>1501445/16/TG/TT2</v>
      </c>
      <c r="K65" s="231" t="str">
        <f>TEXT(Input!L65,"dd/mm/yyyy")</f>
        <v>17/10/2016</v>
      </c>
      <c r="L65" s="231" t="str">
        <f>TEXT(Input!M65,"dd/mm/yyyy")</f>
        <v>04/10/2016</v>
      </c>
      <c r="M65" s="229" t="str">
        <f t="shared" si="135"/>
        <v>TỔNG CÔNG TY MẠNG LƯỚI VIETTEL</v>
      </c>
      <c r="N65" s="229" t="str">
        <f t="shared" si="136"/>
        <v>BTN0385</v>
      </c>
      <c r="O65" s="229" t="str">
        <f t="shared" si="137"/>
        <v>HUAWEI DBS3900</v>
      </c>
      <c r="P65" s="229" t="str">
        <f t="shared" si="138"/>
        <v>3</v>
      </c>
      <c r="Q65" s="229" t="str">
        <f t="shared" si="139"/>
        <v>2/2/2</v>
      </c>
      <c r="R65" s="229" t="str">
        <f t="shared" si="140"/>
        <v>40W/ 40W/ 40W</v>
      </c>
      <c r="S65" s="229" t="str">
        <f t="shared" si="141"/>
        <v>2100</v>
      </c>
      <c r="T65" s="229" t="str">
        <f t="shared" si="142"/>
        <v>26m/ 26m/ 26m</v>
      </c>
      <c r="U65" s="229">
        <v>1</v>
      </c>
      <c r="V65" s="229"/>
      <c r="W65" s="229" t="b">
        <f t="shared" si="143"/>
        <v>0</v>
      </c>
      <c r="X65" s="229" t="b">
        <f>INDEX(TrueFalseList,_xlfn.IFNA(MATCH(Input!W65,CoKhongList,0),MATCH(Input!W65,YesNoList,0)))</f>
        <v>0</v>
      </c>
      <c r="Y65" s="797" t="str">
        <f>Input!FZ65</f>
        <v>No</v>
      </c>
      <c r="Z65" s="229" t="b">
        <v>1</v>
      </c>
      <c r="AA65" s="797">
        <f t="shared" si="144"/>
        <v>26</v>
      </c>
      <c r="AB65" s="229" t="b">
        <v>0</v>
      </c>
      <c r="AC65" s="229" t="b">
        <v>1</v>
      </c>
      <c r="AD65" s="229" t="str">
        <f>Input!DR65</f>
        <v>KHÁC</v>
      </c>
      <c r="AE65" s="229"/>
      <c r="AF65" s="229" t="str">
        <f>Options!$D$6</f>
        <v>VCC2</v>
      </c>
      <c r="AG65" s="229" t="str">
        <f t="shared" si="145"/>
        <v>KHÁC</v>
      </c>
      <c r="AH65" s="230"/>
      <c r="AI65" s="553" t="str">
        <f>Input!E65</f>
        <v>TỔNG CÔNG TY MẠNG LƯỚI VIETTEL</v>
      </c>
      <c r="AJ65" s="553" t="str">
        <f>Input!F65</f>
        <v>TỔNG CÔNG TY MẠNG LƯỚI VIETTEL</v>
      </c>
      <c r="AK65" s="229">
        <f t="shared" si="146"/>
        <v>4</v>
      </c>
      <c r="AL65" s="465" t="str">
        <f t="shared" si="147"/>
        <v>tỉnh Bình Thuận.</v>
      </c>
      <c r="AM65" s="465" t="str">
        <f t="shared" si="148"/>
        <v>thành phố Phan Thiết</v>
      </c>
      <c r="AN65" s="465" t="str">
        <f t="shared" si="149"/>
        <v>phường Phú Thủy</v>
      </c>
      <c r="AO65" s="229" t="str">
        <f>INDEX(CityIDList,MATCH(F65,CityNameList,0))</f>
        <v>BTN</v>
      </c>
      <c r="AP65" s="230" t="str">
        <f>Input!X65</f>
        <v>TỔNG CÔNG TY MẠNG LƯỚI VIETTEL</v>
      </c>
      <c r="AQ65" s="230">
        <f>Input!AN65</f>
        <v>0</v>
      </c>
      <c r="AR65" s="230">
        <f>Input!BD65</f>
        <v>0</v>
      </c>
      <c r="AS65" s="230" t="str">
        <f>Input!BT65</f>
      </c>
      <c r="AT65" s="230" t="str">
        <f>Input!CH65</f>
      </c>
      <c r="AU65" s="230" t="str">
        <f>Input!CV65</f>
      </c>
      <c r="AV65" s="230" t="str">
        <f>IF(I65&gt;=1,INDEX(OperatorIDList,MATCH(AP65,OperatorNameList,0)),"")</f>
        <v>VIETTEL-2016</v>
      </c>
      <c r="AW65" s="230" t="str">
        <f>IF(I65&gt;=2,INDEX(OperatorIDList,MATCH(AQ65,OperatorNameList,0)),"")</f>
      </c>
      <c r="AX65" s="230" t="str">
        <f>IF(I65&gt;=3,INDEX(OperatorIDList,MATCH(AR65,OperatorNameList,0)),"")</f>
      </c>
      <c r="AY65" s="230" t="str">
        <f>IF(I65&gt;=4,INDEX(OperatorIDList,MATCH(AS65,OperatorNameList,0)),"")</f>
      </c>
      <c r="AZ65" s="230" t="str">
        <f>IF(I65&gt;=5,INDEX(OperatorIDList,MATCH(AT65,OperatorNameList,0)),"")</f>
      </c>
      <c r="BA65" s="230" t="str">
        <f>IF(I65&gt;=6,INDEX(OperatorIDList,MATCH(AU65,OperatorNameList,0)),"")</f>
      </c>
      <c r="BB65" s="230" t="str">
        <f t="shared" si="150"/>
        <v>VIETTEL-2016</v>
      </c>
      <c r="BC65" s="230" t="str">
        <f>Input!Y65</f>
        <v>BTN0385</v>
      </c>
      <c r="BD65" s="230">
        <f>Input!AO65</f>
        <v>0</v>
      </c>
      <c r="BE65" s="230">
        <f>Input!BE65</f>
        <v>0</v>
      </c>
      <c r="BF65" s="230">
        <f>Input!BU65</f>
        <v>0</v>
      </c>
      <c r="BG65" s="230" t="str">
        <f>Input!CI65</f>
      </c>
      <c r="BH65" s="230" t="str">
        <f>Input!CW65</f>
      </c>
      <c r="BI65" s="230" t="str">
        <f>Input!Z65</f>
        <v>HUAWEI DBS3900</v>
      </c>
      <c r="BJ65" s="230">
        <f>Input!AP65</f>
        <v>0</v>
      </c>
      <c r="BK65" s="230">
        <f>Input!BF65</f>
        <v>0</v>
      </c>
      <c r="BL65" s="230">
        <f>Input!BV65</f>
        <v>0</v>
      </c>
      <c r="BM65" s="230" t="str">
        <f>Input!CJ65</f>
      </c>
      <c r="BN65" s="230" t="str">
        <f>Input!CX65</f>
      </c>
      <c r="BO65" s="553">
        <f>IF(ISNUMBER(Input!AA65),Input!AA65,0)</f>
        <v>3</v>
      </c>
      <c r="BP65" s="553">
        <f>IF(ISNUMBER(Input!AQ65),Input!AQ65,0)</f>
        <v>0</v>
      </c>
      <c r="BQ65" s="553">
        <f>IF(ISNUMBER(Input!BG65),Input!BG65,0)</f>
        <v>0</v>
      </c>
      <c r="BR65" s="553">
        <f>IF(ISNUMBER(Input!BW65),Input!BW65,0)</f>
        <v>0</v>
      </c>
      <c r="BS65" s="553">
        <f>IF(ISNUMBER(Input!CK65),Input!CK65,0)</f>
        <v>0</v>
      </c>
      <c r="BT65" s="554">
        <f>IF(ISNUMBER(Input!CY65),Input!CY65,0)</f>
        <v>0</v>
      </c>
      <c r="BU65" s="230" t="str">
        <f>Input!AF65</f>
        <v>2/2/2</v>
      </c>
      <c r="BV65" s="230">
        <f>Input!AV65</f>
        <v>0</v>
      </c>
      <c r="BW65" s="230">
        <f>Input!BL65</f>
        <v>0</v>
      </c>
      <c r="BX65" s="230" t="str">
        <f>Input!CA65</f>
      </c>
      <c r="BY65" s="230" t="str">
        <f>Input!CO65</f>
      </c>
      <c r="BZ65" s="230" t="str">
        <f>Input!DC65</f>
      </c>
      <c r="CA65" s="230">
        <f t="shared" si="151"/>
        <v>2</v>
      </c>
      <c r="CB65" s="230">
        <f t="shared" si="152"/>
        <v>2</v>
      </c>
      <c r="CC65" s="230">
        <f t="shared" si="153"/>
        <v>2</v>
      </c>
      <c r="CD65" s="230">
        <f t="shared" si="154"/>
        <v>0</v>
      </c>
      <c r="CE65" s="230">
        <f t="shared" si="155"/>
        <v>0</v>
      </c>
      <c r="CF65" s="230">
        <f t="shared" si="156"/>
        <v>0</v>
      </c>
      <c r="CG65" s="230">
        <f t="shared" si="157"/>
        <v>0</v>
      </c>
      <c r="CH65" s="230">
        <f t="shared" si="158"/>
        <v>0</v>
      </c>
      <c r="CI65" s="230">
        <f t="shared" si="159"/>
        <v>0</v>
      </c>
      <c r="CJ65" s="230">
        <f t="shared" si="160"/>
        <v>0</v>
      </c>
      <c r="CK65" s="230">
        <f t="shared" si="161"/>
        <v>0</v>
      </c>
      <c r="CL65" s="230">
        <f t="shared" si="162"/>
        <v>0</v>
      </c>
      <c r="CM65" s="230">
        <f t="shared" si="163"/>
        <v>0</v>
      </c>
      <c r="CN65" s="230">
        <f t="shared" si="164"/>
        <v>0</v>
      </c>
      <c r="CO65" s="230">
        <f t="shared" si="165"/>
        <v>0</v>
      </c>
      <c r="CP65" s="230">
        <f t="shared" si="166"/>
        <v>0</v>
      </c>
      <c r="CQ65" s="230">
        <f t="shared" si="167"/>
        <v>0</v>
      </c>
      <c r="CR65" s="230">
        <f t="shared" si="168"/>
        <v>0</v>
      </c>
      <c r="CS65" s="230">
        <f t="shared" si="169"/>
        <v>0</v>
      </c>
      <c r="CT65" s="230">
        <f t="shared" si="170"/>
        <v>0</v>
      </c>
      <c r="CU65" s="230">
        <f t="shared" si="171"/>
        <v>0</v>
      </c>
      <c r="CV65" s="230">
        <f t="shared" si="172"/>
        <v>0</v>
      </c>
      <c r="CW65" s="230">
        <f t="shared" si="173"/>
        <v>0</v>
      </c>
      <c r="CX65" s="230">
        <f t="shared" si="174"/>
        <v>0</v>
      </c>
      <c r="CY65" s="230">
        <f t="shared" si="175"/>
        <v>0</v>
      </c>
      <c r="CZ65" s="230">
        <f t="shared" si="176"/>
        <v>0</v>
      </c>
      <c r="DA65" s="230">
        <f t="shared" si="177"/>
        <v>0</v>
      </c>
      <c r="DB65" s="230">
        <f t="shared" si="178"/>
        <v>0</v>
      </c>
      <c r="DC65" s="230">
        <f t="shared" si="179"/>
        <v>0</v>
      </c>
      <c r="DD65" s="230">
        <f t="shared" si="180"/>
        <v>0</v>
      </c>
      <c r="DE65" s="230">
        <f t="shared" si="181"/>
        <v>0</v>
      </c>
      <c r="DF65" s="230">
        <f t="shared" si="182"/>
        <v>0</v>
      </c>
      <c r="DG65" s="230">
        <f t="shared" si="183"/>
        <v>0</v>
      </c>
      <c r="DH65" s="230">
        <f t="shared" si="184"/>
        <v>0</v>
      </c>
      <c r="DI65" s="230">
        <f t="shared" si="185"/>
        <v>0</v>
      </c>
      <c r="DJ65" s="230">
        <f t="shared" si="186"/>
        <v>0</v>
      </c>
      <c r="DK65" s="230" t="str">
        <f>Input!AK65</f>
        <v>40,00W/40,00W/40,00W</v>
      </c>
      <c r="DL65" s="230">
        <f>Input!BA65</f>
        <v>0</v>
      </c>
      <c r="DM65" s="230">
        <f>Input!BQ65</f>
        <v>0</v>
      </c>
      <c r="DN65" s="230" t="str">
        <f>Input!CE65</f>
      </c>
      <c r="DO65" s="230" t="str">
        <f>Input!CS65</f>
      </c>
      <c r="DP65" s="230" t="str">
        <f>Input!DG65</f>
      </c>
      <c r="DQ65" s="230" t="str">
        <f t="shared" si="187"/>
        <v>40W/ 40W/ 40W</v>
      </c>
      <c r="DR65" s="230" t="str">
        <f t="shared" si="188"/>
      </c>
      <c r="DS65" s="230" t="str">
        <f t="shared" si="189"/>
      </c>
      <c r="DT65" s="230" t="str">
        <f t="shared" si="190"/>
      </c>
      <c r="DU65" s="230" t="str">
        <f t="shared" si="191"/>
      </c>
      <c r="DV65" s="230" t="str">
        <f t="shared" si="192"/>
      </c>
      <c r="DW65" s="230">
        <f t="shared" si="193"/>
        <v>40</v>
      </c>
      <c r="DX65" s="230">
        <f t="shared" si="194"/>
        <v>40</v>
      </c>
      <c r="DY65" s="230">
        <f t="shared" si="195"/>
        <v>40</v>
      </c>
      <c r="DZ65" s="230">
        <f t="shared" si="196"/>
        <v>0</v>
      </c>
      <c r="EA65" s="230">
        <f t="shared" si="197"/>
        <v>0</v>
      </c>
      <c r="EB65" s="230">
        <f t="shared" si="198"/>
        <v>0</v>
      </c>
      <c r="EC65" s="230">
        <f t="shared" si="199"/>
        <v>40</v>
      </c>
      <c r="ED65" s="230">
        <f t="shared" si="200"/>
        <v>0</v>
      </c>
      <c r="EE65" s="230">
        <f t="shared" si="201"/>
        <v>0</v>
      </c>
      <c r="EF65" s="230">
        <f t="shared" si="202"/>
        <v>0</v>
      </c>
      <c r="EG65" s="230">
        <f t="shared" si="203"/>
        <v>0</v>
      </c>
      <c r="EH65" s="230">
        <f t="shared" si="204"/>
        <v>0</v>
      </c>
      <c r="EI65" s="230">
        <f t="shared" si="205"/>
        <v>0</v>
      </c>
      <c r="EJ65" s="230">
        <f t="shared" si="206"/>
        <v>0</v>
      </c>
      <c r="EK65" s="230">
        <f t="shared" si="207"/>
        <v>0</v>
      </c>
      <c r="EL65" s="230">
        <f t="shared" si="208"/>
        <v>0</v>
      </c>
      <c r="EM65" s="230">
        <f t="shared" si="209"/>
        <v>0</v>
      </c>
      <c r="EN65" s="230">
        <f t="shared" si="210"/>
        <v>0</v>
      </c>
      <c r="EO65" s="230">
        <f t="shared" si="211"/>
        <v>0</v>
      </c>
      <c r="EP65" s="230">
        <f t="shared" si="212"/>
        <v>0</v>
      </c>
      <c r="EQ65" s="230">
        <f t="shared" si="213"/>
        <v>0</v>
      </c>
      <c r="ER65" s="230">
        <f t="shared" si="214"/>
        <v>0</v>
      </c>
      <c r="ES65" s="230">
        <f t="shared" si="215"/>
        <v>0</v>
      </c>
      <c r="ET65" s="230">
        <f t="shared" si="216"/>
        <v>0</v>
      </c>
      <c r="EU65" s="230">
        <f t="shared" si="217"/>
        <v>0</v>
      </c>
      <c r="EV65" s="230">
        <f t="shared" si="218"/>
        <v>0</v>
      </c>
      <c r="EW65" s="230">
        <f t="shared" si="219"/>
        <v>0</v>
      </c>
      <c r="EX65" s="230">
        <f t="shared" si="220"/>
        <v>0</v>
      </c>
      <c r="EY65" s="230">
        <f t="shared" si="221"/>
        <v>0</v>
      </c>
      <c r="EZ65" s="230">
        <f t="shared" si="222"/>
        <v>0</v>
      </c>
      <c r="FA65" s="230">
        <f t="shared" si="223"/>
        <v>0</v>
      </c>
      <c r="FB65" s="230">
        <f t="shared" si="224"/>
        <v>0</v>
      </c>
      <c r="FC65" s="230">
        <f t="shared" si="225"/>
        <v>0</v>
      </c>
      <c r="FD65" s="230">
        <f t="shared" si="226"/>
        <v>0</v>
      </c>
      <c r="FE65" s="230">
        <f t="shared" si="227"/>
        <v>0</v>
      </c>
      <c r="FF65" s="230">
        <f t="shared" si="228"/>
        <v>0</v>
      </c>
      <c r="FG65" s="230">
        <f t="shared" si="229"/>
        <v>0</v>
      </c>
      <c r="FH65" s="230">
        <f t="shared" si="230"/>
        <v>0</v>
      </c>
      <c r="FI65" s="230">
        <f t="shared" si="231"/>
        <v>0</v>
      </c>
      <c r="FJ65" s="230">
        <f t="shared" si="232"/>
        <v>0</v>
      </c>
      <c r="FK65" s="230">
        <f t="shared" si="233"/>
        <v>0</v>
      </c>
      <c r="FL65" s="230">
        <f t="shared" si="234"/>
        <v>0</v>
      </c>
      <c r="FM65" s="230">
        <f t="shared" si="235"/>
        <v>40</v>
      </c>
      <c r="FN65" s="230">
        <f>Input!AL65</f>
        <v>2100</v>
      </c>
      <c r="FO65" s="230">
        <f>Input!BB65</f>
        <v>0</v>
      </c>
      <c r="FP65" s="230">
        <f>Input!BR65</f>
        <v>0</v>
      </c>
      <c r="FQ65" s="230" t="str">
        <f>Input!CF65</f>
      </c>
      <c r="FR65" s="230" t="str">
        <f>Input!CT65</f>
      </c>
      <c r="FS65" s="230" t="str">
        <f>Input!DH65</f>
      </c>
      <c r="FT65" s="230" t="str">
        <f>Input!AM65</f>
        <v>26m/ 26m/ 26m</v>
      </c>
      <c r="FU65" s="230">
        <f>Input!BC65</f>
        <v>0</v>
      </c>
      <c r="FV65" s="230">
        <f>Input!BS65</f>
        <v>0</v>
      </c>
      <c r="FW65" s="230" t="str">
        <f>Input!CG65</f>
      </c>
      <c r="FX65" s="230" t="str">
        <f>Input!CU65</f>
      </c>
      <c r="FY65" s="230" t="str">
        <f>Input!DI65</f>
      </c>
      <c r="FZ65" s="230" t="str">
        <f t="shared" si="236"/>
        <v>26m/ 26m/ 26m</v>
      </c>
      <c r="GA65" s="230" t="str">
        <f t="shared" si="237"/>
      </c>
      <c r="GB65" s="230" t="str">
        <f t="shared" si="238"/>
      </c>
      <c r="GC65" s="230" t="str">
        <f t="shared" si="239"/>
      </c>
      <c r="GD65" s="230" t="str">
        <f t="shared" si="240"/>
      </c>
      <c r="GE65" s="230" t="str">
        <f t="shared" si="241"/>
      </c>
      <c r="GF65" s="230">
        <f t="shared" si="242"/>
        <v>26</v>
      </c>
      <c r="GG65" s="230">
        <f t="shared" si="243"/>
        <v>26</v>
      </c>
      <c r="GH65" s="230">
        <f t="shared" si="244"/>
        <v>26</v>
      </c>
      <c r="GI65" s="230">
        <f t="shared" si="245"/>
        <v>0</v>
      </c>
      <c r="GJ65" s="230">
        <f t="shared" si="246"/>
        <v>0</v>
      </c>
      <c r="GK65" s="230">
        <f t="shared" si="247"/>
        <v>0</v>
      </c>
      <c r="GL65" s="230">
        <f t="shared" si="248"/>
        <v>0</v>
      </c>
      <c r="GM65" s="230">
        <f t="shared" si="249"/>
        <v>0</v>
      </c>
      <c r="GN65" s="230">
        <f t="shared" si="250"/>
        <v>0</v>
      </c>
      <c r="GO65" s="230">
        <f t="shared" si="251"/>
        <v>0</v>
      </c>
      <c r="GP65" s="230">
        <f t="shared" si="252"/>
        <v>0</v>
      </c>
      <c r="GQ65" s="230">
        <f t="shared" si="253"/>
        <v>0</v>
      </c>
      <c r="GR65" s="230">
        <f t="shared" si="254"/>
        <v>0</v>
      </c>
      <c r="GS65" s="230">
        <f t="shared" si="255"/>
        <v>0</v>
      </c>
      <c r="GT65" s="230">
        <f t="shared" si="256"/>
        <v>0</v>
      </c>
      <c r="GU65" s="230">
        <f t="shared" si="257"/>
        <v>0</v>
      </c>
      <c r="GV65" s="230">
        <f t="shared" si="258"/>
        <v>0</v>
      </c>
      <c r="GW65" s="230">
        <f t="shared" si="259"/>
        <v>0</v>
      </c>
      <c r="GX65" s="230">
        <f t="shared" si="260"/>
        <v>0</v>
      </c>
      <c r="GY65" s="230">
        <f t="shared" si="261"/>
        <v>0</v>
      </c>
      <c r="GZ65" s="230">
        <f t="shared" si="262"/>
        <v>0</v>
      </c>
      <c r="HA65" s="230">
        <f t="shared" si="263"/>
        <v>0</v>
      </c>
      <c r="HB65" s="230">
        <f t="shared" si="264"/>
        <v>0</v>
      </c>
      <c r="HC65" s="230">
        <f t="shared" si="265"/>
        <v>0</v>
      </c>
      <c r="HD65" s="230">
        <f t="shared" si="266"/>
        <v>0</v>
      </c>
      <c r="HE65" s="230">
        <f t="shared" si="267"/>
        <v>0</v>
      </c>
      <c r="HF65" s="230">
        <f t="shared" si="268"/>
        <v>0</v>
      </c>
      <c r="HG65" s="230">
        <f t="shared" si="269"/>
        <v>0</v>
      </c>
      <c r="HH65" s="230">
        <f t="shared" si="270"/>
        <v>0</v>
      </c>
      <c r="HI65" s="230">
        <f t="shared" si="271"/>
        <v>0</v>
      </c>
      <c r="HJ65" s="230">
        <f t="shared" si="272"/>
        <v>0</v>
      </c>
      <c r="HK65" s="230">
        <f t="shared" si="273"/>
        <v>0</v>
      </c>
      <c r="HL65" s="230">
        <f t="shared" si="274"/>
        <v>0</v>
      </c>
      <c r="HM65" s="230">
        <f t="shared" si="275"/>
        <v>0</v>
      </c>
      <c r="HN65" s="230">
        <f t="shared" si="276"/>
        <v>0</v>
      </c>
      <c r="HO65" s="230">
        <f t="shared" si="277"/>
        <v>0</v>
      </c>
      <c r="HP65" s="230" t="str">
        <f>INDEX(LabNameList,MATCH(LabId,LabIDList,0))</f>
        <v>Trung tâm Kiểm định và Chứng nhận 2</v>
      </c>
      <c r="HQ65" s="230">
        <f t="shared" si="278"/>
        <v>26</v>
      </c>
      <c r="HR65" s="230">
        <f t="shared" si="279"/>
        <v>0</v>
      </c>
      <c r="HS65" s="230">
        <f t="shared" si="280"/>
        <v>0</v>
      </c>
      <c r="HT65" s="230">
        <f t="shared" si="281"/>
        <v>0</v>
      </c>
      <c r="HU65" s="230">
        <f t="shared" si="282"/>
        <v>0</v>
      </c>
      <c r="HV65" s="230">
        <f t="shared" si="283"/>
        <v>0</v>
      </c>
      <c r="HW65" s="797">
        <f t="shared" si="284"/>
        <v>26</v>
      </c>
      <c r="HX65" s="797">
        <f>Input!EB65</f>
        <v>0</v>
      </c>
      <c r="HY65" s="230">
        <v>68</v>
      </c>
      <c r="HZ65" s="230"/>
      <c r="IA65" s="230"/>
      <c r="IB65" s="230"/>
      <c r="IC65" s="232" t="str">
        <f t="shared" si="285"/>
        <v>B02016171016TG05</v>
      </c>
      <c r="ID65" s="233">
        <f>Input!O65</f>
        <v>2016</v>
      </c>
      <c r="IE65" s="467" t="str">
        <f t="shared" si="286"/>
        <v>171016</v>
      </c>
      <c r="IF65" s="232" t="s">
        <v>364</v>
      </c>
      <c r="IG65" s="467" t="str">
        <f t="shared" si="287"/>
        <v>17/10/2016</v>
      </c>
      <c r="IH65" s="467" t="str">
        <f t="shared" si="288"/>
        <v>17/10/2021</v>
      </c>
      <c r="II65" s="546" t="str">
        <f> Input!R65</f>
        <v>17/10/2016</v>
      </c>
      <c r="IJ65" s="467">
        <f t="shared" si="289"/>
        <v>44486</v>
      </c>
      <c r="IK65" s="468">
        <f t="shared" si="290"/>
        <v>3</v>
      </c>
      <c r="IL65" s="469" t="str">
        <f t="shared" si="291"/>
        <v>3-1</v>
      </c>
      <c r="IM65" s="469" t="str">
        <f t="shared" si="292"/>
        <v>KHAC</v>
      </c>
      <c r="IN65" s="469" t="str">
        <f t="shared" si="293"/>
        <v>KHAC</v>
      </c>
      <c r="IO65" s="469" t="str">
        <f t="shared" si="294"/>
      </c>
      <c r="IP65" s="469" t="str">
        <f t="shared" si="295"/>
      </c>
      <c r="IQ65" s="469" t="str">
        <f t="shared" si="296"/>
      </c>
      <c r="IR65" s="469">
        <f t="shared" si="297"/>
        <v>1</v>
      </c>
      <c r="IS65" s="469">
        <f t="shared" si="298"/>
        <v>2</v>
      </c>
      <c r="IT65" s="469" t="str">
        <f t="shared" si="299"/>
        <v>Yes</v>
      </c>
      <c r="IU65" s="469" t="str">
        <f t="shared" si="300"/>
        <v>Yes</v>
      </c>
    </row>
    <row r="66" ht="63.75">
      <c r="A66" s="601">
        <f>Input!A66</f>
        <v>65</v>
      </c>
      <c r="B66" s="229" t="str">
        <f>INDEX(ApplicantIDList,MATCH(AI66,ApplicantNameList,0))</f>
        <v>VIETTEL-2016</v>
      </c>
      <c r="C66" s="229" t="str">
        <f>INDEX(OperatorIDList,MATCH(AJ66,OperatorNameList,0))</f>
        <v>VIETTEL-2016</v>
      </c>
      <c r="D66" s="797" t="str">
        <f>Input!Y66</f>
        <v>BTN0405</v>
      </c>
      <c r="E66" s="229" t="str">
        <f>Input!G66</f>
        <v>Khu phố 11, phường Mũi Né, thành phố Phan Thiết, tỉnh Bình Thuận.</v>
      </c>
      <c r="F66" s="229" t="str">
        <f>TRIM(SUBSTITUTE(SUBSTITUTE(Input!H66,"Thành phố ",""),"Tỉnh ",""))</f>
        <v>Bình Thuận</v>
      </c>
      <c r="G66" s="797" t="str">
        <f>Input!I66</f>
        <v>108,28313</v>
      </c>
      <c r="H66" s="797" t="str">
        <f>Input!J66</f>
        <v> 10,92569</v>
      </c>
      <c r="I66" s="229">
        <f>Input!V66</f>
        <v>1</v>
      </c>
      <c r="J66" s="229" t="str">
        <f>Input!K66</f>
        <v>1501446/16/TG/TT2</v>
      </c>
      <c r="K66" s="231" t="str">
        <f>TEXT(Input!L66,"dd/mm/yyyy")</f>
        <v>17/10/2016</v>
      </c>
      <c r="L66" s="231" t="str">
        <f>TEXT(Input!M66,"dd/mm/yyyy")</f>
        <v>04/10/2016</v>
      </c>
      <c r="M66" s="229" t="str">
        <f t="shared" si="135"/>
        <v>TỔNG CÔNG TY MẠNG LƯỚI VIETTEL</v>
      </c>
      <c r="N66" s="229" t="str">
        <f t="shared" si="136"/>
        <v>BTN0405</v>
      </c>
      <c r="O66" s="229" t="str">
        <f t="shared" si="137"/>
        <v>HUAWEI DBS3900</v>
      </c>
      <c r="P66" s="229" t="str">
        <f t="shared" si="138"/>
        <v>3</v>
      </c>
      <c r="Q66" s="229" t="str">
        <f t="shared" si="139"/>
        <v>2/2/2</v>
      </c>
      <c r="R66" s="229" t="str">
        <f t="shared" si="140"/>
        <v>40W/ 40W/ 40W</v>
      </c>
      <c r="S66" s="229" t="str">
        <f t="shared" si="141"/>
        <v>2100</v>
      </c>
      <c r="T66" s="229" t="str">
        <f t="shared" si="142"/>
        <v>40m/ 40m/ 40m</v>
      </c>
      <c r="U66" s="229">
        <v>1</v>
      </c>
      <c r="V66" s="229"/>
      <c r="W66" s="229" t="b">
        <f t="shared" si="143"/>
        <v>1</v>
      </c>
      <c r="X66" s="229" t="b">
        <f>INDEX(TrueFalseList,_xlfn.IFNA(MATCH(Input!W66,CoKhongList,0),MATCH(Input!W66,YesNoList,0)))</f>
        <v>1</v>
      </c>
      <c r="Y66" s="797">
        <f>Input!FZ66</f>
        <v>1</v>
      </c>
      <c r="Z66" s="229" t="b">
        <v>1</v>
      </c>
      <c r="AA66" s="797">
        <f t="shared" si="144"/>
        <v>40</v>
      </c>
      <c r="AB66" s="229" t="b">
        <v>0</v>
      </c>
      <c r="AC66" s="229" t="b">
        <v>1</v>
      </c>
      <c r="AD66" s="229" t="str">
        <f>Input!DR66</f>
        <v>KHÁC</v>
      </c>
      <c r="AE66" s="229"/>
      <c r="AF66" s="229" t="str">
        <f>Options!$D$6</f>
        <v>VCC2</v>
      </c>
      <c r="AG66" s="229" t="str">
        <f t="shared" si="145"/>
        <v>KHÁC</v>
      </c>
      <c r="AH66" s="230"/>
      <c r="AI66" s="553" t="str">
        <f>Input!E66</f>
        <v>TỔNG CÔNG TY MẠNG LƯỚI VIETTEL</v>
      </c>
      <c r="AJ66" s="553" t="str">
        <f>Input!F66</f>
        <v>TỔNG CÔNG TY MẠNG LƯỚI VIETTEL</v>
      </c>
      <c r="AK66" s="229">
        <f t="shared" si="146"/>
        <v>3</v>
      </c>
      <c r="AL66" s="465" t="str">
        <f t="shared" si="147"/>
        <v>tỉnh Bình Thuận.</v>
      </c>
      <c r="AM66" s="465" t="str">
        <f t="shared" si="148"/>
        <v>thành phố Phan Thiết</v>
      </c>
      <c r="AN66" s="465" t="str">
        <f t="shared" si="149"/>
        <v>phường Mũi Né</v>
      </c>
      <c r="AO66" s="229" t="str">
        <f>INDEX(CityIDList,MATCH(F66,CityNameList,0))</f>
        <v>BTN</v>
      </c>
      <c r="AP66" s="230" t="str">
        <f>Input!X66</f>
        <v>TỔNG CÔNG TY MẠNG LƯỚI VIETTEL</v>
      </c>
      <c r="AQ66" s="230">
        <f>Input!AN66</f>
        <v>0</v>
      </c>
      <c r="AR66" s="230">
        <f>Input!BD66</f>
        <v>0</v>
      </c>
      <c r="AS66" s="230" t="str">
        <f>Input!BT66</f>
      </c>
      <c r="AT66" s="230" t="str">
        <f>Input!CH66</f>
      </c>
      <c r="AU66" s="230" t="str">
        <f>Input!CV66</f>
      </c>
      <c r="AV66" s="230" t="str">
        <f>IF(I66&gt;=1,INDEX(OperatorIDList,MATCH(AP66,OperatorNameList,0)),"")</f>
        <v>VIETTEL-2016</v>
      </c>
      <c r="AW66" s="230" t="str">
        <f>IF(I66&gt;=2,INDEX(OperatorIDList,MATCH(AQ66,OperatorNameList,0)),"")</f>
      </c>
      <c r="AX66" s="230" t="str">
        <f>IF(I66&gt;=3,INDEX(OperatorIDList,MATCH(AR66,OperatorNameList,0)),"")</f>
      </c>
      <c r="AY66" s="230" t="str">
        <f>IF(I66&gt;=4,INDEX(OperatorIDList,MATCH(AS66,OperatorNameList,0)),"")</f>
      </c>
      <c r="AZ66" s="230" t="str">
        <f>IF(I66&gt;=5,INDEX(OperatorIDList,MATCH(AT66,OperatorNameList,0)),"")</f>
      </c>
      <c r="BA66" s="230" t="str">
        <f>IF(I66&gt;=6,INDEX(OperatorIDList,MATCH(AU66,OperatorNameList,0)),"")</f>
      </c>
      <c r="BB66" s="230" t="str">
        <f t="shared" si="150"/>
        <v>VIETTEL-2016</v>
      </c>
      <c r="BC66" s="230" t="str">
        <f>Input!Y66</f>
        <v>BTN0405</v>
      </c>
      <c r="BD66" s="230">
        <f>Input!AO66</f>
        <v>0</v>
      </c>
      <c r="BE66" s="230">
        <f>Input!BE66</f>
        <v>0</v>
      </c>
      <c r="BF66" s="230">
        <f>Input!BU66</f>
        <v>0</v>
      </c>
      <c r="BG66" s="230" t="str">
        <f>Input!CI66</f>
      </c>
      <c r="BH66" s="230" t="str">
        <f>Input!CW66</f>
      </c>
      <c r="BI66" s="230" t="str">
        <f>Input!Z66</f>
        <v>HUAWEI DBS3900</v>
      </c>
      <c r="BJ66" s="230">
        <f>Input!AP66</f>
        <v>0</v>
      </c>
      <c r="BK66" s="230">
        <f>Input!BF66</f>
        <v>0</v>
      </c>
      <c r="BL66" s="230">
        <f>Input!BV66</f>
        <v>0</v>
      </c>
      <c r="BM66" s="230" t="str">
        <f>Input!CJ66</f>
      </c>
      <c r="BN66" s="230" t="str">
        <f>Input!CX66</f>
      </c>
      <c r="BO66" s="553">
        <f>IF(ISNUMBER(Input!AA66),Input!AA66,0)</f>
        <v>3</v>
      </c>
      <c r="BP66" s="553">
        <f>IF(ISNUMBER(Input!AQ66),Input!AQ66,0)</f>
        <v>0</v>
      </c>
      <c r="BQ66" s="553">
        <f>IF(ISNUMBER(Input!BG66),Input!BG66,0)</f>
        <v>0</v>
      </c>
      <c r="BR66" s="553">
        <f>IF(ISNUMBER(Input!BW66),Input!BW66,0)</f>
        <v>0</v>
      </c>
      <c r="BS66" s="553">
        <f>IF(ISNUMBER(Input!CK66),Input!CK66,0)</f>
        <v>0</v>
      </c>
      <c r="BT66" s="554">
        <f>IF(ISNUMBER(Input!CY66),Input!CY66,0)</f>
        <v>0</v>
      </c>
      <c r="BU66" s="230" t="str">
        <f>Input!AF66</f>
        <v>2/2/2</v>
      </c>
      <c r="BV66" s="230">
        <f>Input!AV66</f>
        <v>0</v>
      </c>
      <c r="BW66" s="230">
        <f>Input!BL66</f>
        <v>0</v>
      </c>
      <c r="BX66" s="230" t="str">
        <f>Input!CA66</f>
      </c>
      <c r="BY66" s="230" t="str">
        <f>Input!CO66</f>
      </c>
      <c r="BZ66" s="230" t="str">
        <f>Input!DC66</f>
      </c>
      <c r="CA66" s="230">
        <f t="shared" si="151"/>
        <v>2</v>
      </c>
      <c r="CB66" s="230">
        <f t="shared" si="152"/>
        <v>2</v>
      </c>
      <c r="CC66" s="230">
        <f t="shared" si="153"/>
        <v>2</v>
      </c>
      <c r="CD66" s="230">
        <f t="shared" si="154"/>
        <v>0</v>
      </c>
      <c r="CE66" s="230">
        <f t="shared" si="155"/>
        <v>0</v>
      </c>
      <c r="CF66" s="230">
        <f t="shared" si="156"/>
        <v>0</v>
      </c>
      <c r="CG66" s="230">
        <f t="shared" si="157"/>
        <v>0</v>
      </c>
      <c r="CH66" s="230">
        <f t="shared" si="158"/>
        <v>0</v>
      </c>
      <c r="CI66" s="230">
        <f t="shared" si="159"/>
        <v>0</v>
      </c>
      <c r="CJ66" s="230">
        <f t="shared" si="160"/>
        <v>0</v>
      </c>
      <c r="CK66" s="230">
        <f t="shared" si="161"/>
        <v>0</v>
      </c>
      <c r="CL66" s="230">
        <f t="shared" si="162"/>
        <v>0</v>
      </c>
      <c r="CM66" s="230">
        <f t="shared" si="163"/>
        <v>0</v>
      </c>
      <c r="CN66" s="230">
        <f t="shared" si="164"/>
        <v>0</v>
      </c>
      <c r="CO66" s="230">
        <f t="shared" si="165"/>
        <v>0</v>
      </c>
      <c r="CP66" s="230">
        <f t="shared" si="166"/>
        <v>0</v>
      </c>
      <c r="CQ66" s="230">
        <f t="shared" si="167"/>
        <v>0</v>
      </c>
      <c r="CR66" s="230">
        <f t="shared" si="168"/>
        <v>0</v>
      </c>
      <c r="CS66" s="230">
        <f t="shared" si="169"/>
        <v>0</v>
      </c>
      <c r="CT66" s="230">
        <f t="shared" si="170"/>
        <v>0</v>
      </c>
      <c r="CU66" s="230">
        <f t="shared" si="171"/>
        <v>0</v>
      </c>
      <c r="CV66" s="230">
        <f t="shared" si="172"/>
        <v>0</v>
      </c>
      <c r="CW66" s="230">
        <f t="shared" si="173"/>
        <v>0</v>
      </c>
      <c r="CX66" s="230">
        <f t="shared" si="174"/>
        <v>0</v>
      </c>
      <c r="CY66" s="230">
        <f t="shared" si="175"/>
        <v>0</v>
      </c>
      <c r="CZ66" s="230">
        <f t="shared" si="176"/>
        <v>0</v>
      </c>
      <c r="DA66" s="230">
        <f t="shared" si="177"/>
        <v>0</v>
      </c>
      <c r="DB66" s="230">
        <f t="shared" si="178"/>
        <v>0</v>
      </c>
      <c r="DC66" s="230">
        <f t="shared" si="179"/>
        <v>0</v>
      </c>
      <c r="DD66" s="230">
        <f t="shared" si="180"/>
        <v>0</v>
      </c>
      <c r="DE66" s="230">
        <f t="shared" si="181"/>
        <v>0</v>
      </c>
      <c r="DF66" s="230">
        <f t="shared" si="182"/>
        <v>0</v>
      </c>
      <c r="DG66" s="230">
        <f t="shared" si="183"/>
        <v>0</v>
      </c>
      <c r="DH66" s="230">
        <f t="shared" si="184"/>
        <v>0</v>
      </c>
      <c r="DI66" s="230">
        <f t="shared" si="185"/>
        <v>0</v>
      </c>
      <c r="DJ66" s="230">
        <f t="shared" si="186"/>
        <v>0</v>
      </c>
      <c r="DK66" s="230" t="str">
        <f>Input!AK66</f>
        <v>40,00W/40,00W/40,00W</v>
      </c>
      <c r="DL66" s="230">
        <f>Input!BA66</f>
        <v>0</v>
      </c>
      <c r="DM66" s="230">
        <f>Input!BQ66</f>
        <v>0</v>
      </c>
      <c r="DN66" s="230" t="str">
        <f>Input!CE66</f>
      </c>
      <c r="DO66" s="230" t="str">
        <f>Input!CS66</f>
      </c>
      <c r="DP66" s="230" t="str">
        <f>Input!DG66</f>
      </c>
      <c r="DQ66" s="230" t="str">
        <f t="shared" si="187"/>
        <v>40W/ 40W/ 40W</v>
      </c>
      <c r="DR66" s="230" t="str">
        <f t="shared" si="188"/>
      </c>
      <c r="DS66" s="230" t="str">
        <f t="shared" si="189"/>
      </c>
      <c r="DT66" s="230" t="str">
        <f t="shared" si="190"/>
      </c>
      <c r="DU66" s="230" t="str">
        <f t="shared" si="191"/>
      </c>
      <c r="DV66" s="230" t="str">
        <f t="shared" si="192"/>
      </c>
      <c r="DW66" s="230">
        <f t="shared" si="193"/>
        <v>40</v>
      </c>
      <c r="DX66" s="230">
        <f t="shared" si="194"/>
        <v>40</v>
      </c>
      <c r="DY66" s="230">
        <f t="shared" si="195"/>
        <v>40</v>
      </c>
      <c r="DZ66" s="230">
        <f t="shared" si="196"/>
        <v>0</v>
      </c>
      <c r="EA66" s="230">
        <f t="shared" si="197"/>
        <v>0</v>
      </c>
      <c r="EB66" s="230">
        <f t="shared" si="198"/>
        <v>0</v>
      </c>
      <c r="EC66" s="230">
        <f t="shared" si="199"/>
        <v>40</v>
      </c>
      <c r="ED66" s="230">
        <f t="shared" si="200"/>
        <v>0</v>
      </c>
      <c r="EE66" s="230">
        <f t="shared" si="201"/>
        <v>0</v>
      </c>
      <c r="EF66" s="230">
        <f t="shared" si="202"/>
        <v>0</v>
      </c>
      <c r="EG66" s="230">
        <f t="shared" si="203"/>
        <v>0</v>
      </c>
      <c r="EH66" s="230">
        <f t="shared" si="204"/>
        <v>0</v>
      </c>
      <c r="EI66" s="230">
        <f t="shared" si="205"/>
        <v>0</v>
      </c>
      <c r="EJ66" s="230">
        <f t="shared" si="206"/>
        <v>0</v>
      </c>
      <c r="EK66" s="230">
        <f t="shared" si="207"/>
        <v>0</v>
      </c>
      <c r="EL66" s="230">
        <f t="shared" si="208"/>
        <v>0</v>
      </c>
      <c r="EM66" s="230">
        <f t="shared" si="209"/>
        <v>0</v>
      </c>
      <c r="EN66" s="230">
        <f t="shared" si="210"/>
        <v>0</v>
      </c>
      <c r="EO66" s="230">
        <f t="shared" si="211"/>
        <v>0</v>
      </c>
      <c r="EP66" s="230">
        <f t="shared" si="212"/>
        <v>0</v>
      </c>
      <c r="EQ66" s="230">
        <f t="shared" si="213"/>
        <v>0</v>
      </c>
      <c r="ER66" s="230">
        <f t="shared" si="214"/>
        <v>0</v>
      </c>
      <c r="ES66" s="230">
        <f t="shared" si="215"/>
        <v>0</v>
      </c>
      <c r="ET66" s="230">
        <f t="shared" si="216"/>
        <v>0</v>
      </c>
      <c r="EU66" s="230">
        <f t="shared" si="217"/>
        <v>0</v>
      </c>
      <c r="EV66" s="230">
        <f t="shared" si="218"/>
        <v>0</v>
      </c>
      <c r="EW66" s="230">
        <f t="shared" si="219"/>
        <v>0</v>
      </c>
      <c r="EX66" s="230">
        <f t="shared" si="220"/>
        <v>0</v>
      </c>
      <c r="EY66" s="230">
        <f t="shared" si="221"/>
        <v>0</v>
      </c>
      <c r="EZ66" s="230">
        <f t="shared" si="222"/>
        <v>0</v>
      </c>
      <c r="FA66" s="230">
        <f t="shared" si="223"/>
        <v>0</v>
      </c>
      <c r="FB66" s="230">
        <f t="shared" si="224"/>
        <v>0</v>
      </c>
      <c r="FC66" s="230">
        <f t="shared" si="225"/>
        <v>0</v>
      </c>
      <c r="FD66" s="230">
        <f t="shared" si="226"/>
        <v>0</v>
      </c>
      <c r="FE66" s="230">
        <f t="shared" si="227"/>
        <v>0</v>
      </c>
      <c r="FF66" s="230">
        <f t="shared" si="228"/>
        <v>0</v>
      </c>
      <c r="FG66" s="230">
        <f t="shared" si="229"/>
        <v>0</v>
      </c>
      <c r="FH66" s="230">
        <f t="shared" si="230"/>
        <v>0</v>
      </c>
      <c r="FI66" s="230">
        <f t="shared" si="231"/>
        <v>0</v>
      </c>
      <c r="FJ66" s="230">
        <f t="shared" si="232"/>
        <v>0</v>
      </c>
      <c r="FK66" s="230">
        <f t="shared" si="233"/>
        <v>0</v>
      </c>
      <c r="FL66" s="230">
        <f t="shared" si="234"/>
        <v>0</v>
      </c>
      <c r="FM66" s="230">
        <f t="shared" si="235"/>
        <v>40</v>
      </c>
      <c r="FN66" s="230">
        <f>Input!AL66</f>
        <v>2100</v>
      </c>
      <c r="FO66" s="230">
        <f>Input!BB66</f>
        <v>0</v>
      </c>
      <c r="FP66" s="230">
        <f>Input!BR66</f>
        <v>0</v>
      </c>
      <c r="FQ66" s="230" t="str">
        <f>Input!CF66</f>
      </c>
      <c r="FR66" s="230" t="str">
        <f>Input!CT66</f>
      </c>
      <c r="FS66" s="230" t="str">
        <f>Input!DH66</f>
      </c>
      <c r="FT66" s="230" t="str">
        <f>Input!AM66</f>
        <v>40m/ 40m/ 40m</v>
      </c>
      <c r="FU66" s="230">
        <f>Input!BC66</f>
        <v>0</v>
      </c>
      <c r="FV66" s="230">
        <f>Input!BS66</f>
        <v>0</v>
      </c>
      <c r="FW66" s="230" t="str">
        <f>Input!CG66</f>
      </c>
      <c r="FX66" s="230" t="str">
        <f>Input!CU66</f>
      </c>
      <c r="FY66" s="230" t="str">
        <f>Input!DI66</f>
      </c>
      <c r="FZ66" s="230" t="str">
        <f t="shared" si="236"/>
        <v>40m/ 40m/ 40m</v>
      </c>
      <c r="GA66" s="230" t="str">
        <f t="shared" si="237"/>
      </c>
      <c r="GB66" s="230" t="str">
        <f t="shared" si="238"/>
      </c>
      <c r="GC66" s="230" t="str">
        <f t="shared" si="239"/>
      </c>
      <c r="GD66" s="230" t="str">
        <f t="shared" si="240"/>
      </c>
      <c r="GE66" s="230" t="str">
        <f t="shared" si="241"/>
      </c>
      <c r="GF66" s="230">
        <f t="shared" si="242"/>
        <v>40</v>
      </c>
      <c r="GG66" s="230">
        <f t="shared" si="243"/>
        <v>40</v>
      </c>
      <c r="GH66" s="230">
        <f t="shared" si="244"/>
        <v>40</v>
      </c>
      <c r="GI66" s="230">
        <f t="shared" si="245"/>
        <v>0</v>
      </c>
      <c r="GJ66" s="230">
        <f t="shared" si="246"/>
        <v>0</v>
      </c>
      <c r="GK66" s="230">
        <f t="shared" si="247"/>
        <v>0</v>
      </c>
      <c r="GL66" s="230">
        <f t="shared" si="248"/>
        <v>0</v>
      </c>
      <c r="GM66" s="230">
        <f t="shared" si="249"/>
        <v>0</v>
      </c>
      <c r="GN66" s="230">
        <f t="shared" si="250"/>
        <v>0</v>
      </c>
      <c r="GO66" s="230">
        <f t="shared" si="251"/>
        <v>0</v>
      </c>
      <c r="GP66" s="230">
        <f t="shared" si="252"/>
        <v>0</v>
      </c>
      <c r="GQ66" s="230">
        <f t="shared" si="253"/>
        <v>0</v>
      </c>
      <c r="GR66" s="230">
        <f t="shared" si="254"/>
        <v>0</v>
      </c>
      <c r="GS66" s="230">
        <f t="shared" si="255"/>
        <v>0</v>
      </c>
      <c r="GT66" s="230">
        <f t="shared" si="256"/>
        <v>0</v>
      </c>
      <c r="GU66" s="230">
        <f t="shared" si="257"/>
        <v>0</v>
      </c>
      <c r="GV66" s="230">
        <f t="shared" si="258"/>
        <v>0</v>
      </c>
      <c r="GW66" s="230">
        <f t="shared" si="259"/>
        <v>0</v>
      </c>
      <c r="GX66" s="230">
        <f t="shared" si="260"/>
        <v>0</v>
      </c>
      <c r="GY66" s="230">
        <f t="shared" si="261"/>
        <v>0</v>
      </c>
      <c r="GZ66" s="230">
        <f t="shared" si="262"/>
        <v>0</v>
      </c>
      <c r="HA66" s="230">
        <f t="shared" si="263"/>
        <v>0</v>
      </c>
      <c r="HB66" s="230">
        <f t="shared" si="264"/>
        <v>0</v>
      </c>
      <c r="HC66" s="230">
        <f t="shared" si="265"/>
        <v>0</v>
      </c>
      <c r="HD66" s="230">
        <f t="shared" si="266"/>
        <v>0</v>
      </c>
      <c r="HE66" s="230">
        <f t="shared" si="267"/>
        <v>0</v>
      </c>
      <c r="HF66" s="230">
        <f t="shared" si="268"/>
        <v>0</v>
      </c>
      <c r="HG66" s="230">
        <f t="shared" si="269"/>
        <v>0</v>
      </c>
      <c r="HH66" s="230">
        <f t="shared" si="270"/>
        <v>0</v>
      </c>
      <c r="HI66" s="230">
        <f t="shared" si="271"/>
        <v>0</v>
      </c>
      <c r="HJ66" s="230">
        <f t="shared" si="272"/>
        <v>0</v>
      </c>
      <c r="HK66" s="230">
        <f t="shared" si="273"/>
        <v>0</v>
      </c>
      <c r="HL66" s="230">
        <f t="shared" si="274"/>
        <v>0</v>
      </c>
      <c r="HM66" s="230">
        <f t="shared" si="275"/>
        <v>0</v>
      </c>
      <c r="HN66" s="230">
        <f t="shared" si="276"/>
        <v>0</v>
      </c>
      <c r="HO66" s="230">
        <f t="shared" si="277"/>
        <v>0</v>
      </c>
      <c r="HP66" s="230" t="str">
        <f>INDEX(LabNameList,MATCH(LabId,LabIDList,0))</f>
        <v>Trung tâm Kiểm định và Chứng nhận 2</v>
      </c>
      <c r="HQ66" s="230">
        <f t="shared" si="278"/>
        <v>40</v>
      </c>
      <c r="HR66" s="230">
        <f t="shared" si="279"/>
        <v>0</v>
      </c>
      <c r="HS66" s="230">
        <f t="shared" si="280"/>
        <v>0</v>
      </c>
      <c r="HT66" s="230">
        <f t="shared" si="281"/>
        <v>0</v>
      </c>
      <c r="HU66" s="230">
        <f t="shared" si="282"/>
        <v>0</v>
      </c>
      <c r="HV66" s="230">
        <f t="shared" si="283"/>
        <v>0</v>
      </c>
      <c r="HW66" s="797">
        <f t="shared" si="284"/>
        <v>40</v>
      </c>
      <c r="HX66" s="797">
        <f>Input!EB66</f>
        <v>0</v>
      </c>
      <c r="HY66" s="230">
        <v>68</v>
      </c>
      <c r="HZ66" s="230"/>
      <c r="IA66" s="230"/>
      <c r="IB66" s="230"/>
      <c r="IC66" s="232" t="str">
        <f t="shared" si="285"/>
        <v>B02017171016TG05</v>
      </c>
      <c r="ID66" s="233">
        <f>Input!O66</f>
        <v>2017</v>
      </c>
      <c r="IE66" s="467" t="str">
        <f t="shared" si="286"/>
        <v>171016</v>
      </c>
      <c r="IF66" s="232" t="s">
        <v>364</v>
      </c>
      <c r="IG66" s="467" t="str">
        <f t="shared" si="287"/>
        <v>17/10/2016</v>
      </c>
      <c r="IH66" s="467" t="str">
        <f t="shared" si="288"/>
        <v>17/10/2021</v>
      </c>
      <c r="II66" s="546" t="str">
        <f> Input!R66</f>
        <v>17/10/2016</v>
      </c>
      <c r="IJ66" s="467">
        <f t="shared" si="289"/>
        <v>44486</v>
      </c>
      <c r="IK66" s="468">
        <f t="shared" si="290"/>
        <v>3</v>
      </c>
      <c r="IL66" s="469" t="str">
        <f t="shared" si="291"/>
        <v>3-1</v>
      </c>
      <c r="IM66" s="469" t="str">
        <f t="shared" si="292"/>
        <v>KHAC</v>
      </c>
      <c r="IN66" s="469" t="str">
        <f t="shared" si="293"/>
        <v>KHAC</v>
      </c>
      <c r="IO66" s="469" t="str">
        <f t="shared" si="294"/>
      </c>
      <c r="IP66" s="469" t="str">
        <f t="shared" si="295"/>
      </c>
      <c r="IQ66" s="469" t="str">
        <f t="shared" si="296"/>
      </c>
      <c r="IR66" s="469">
        <f t="shared" si="297"/>
        <v>1</v>
      </c>
      <c r="IS66" s="469">
        <f t="shared" si="298"/>
        <v>2</v>
      </c>
      <c r="IT66" s="469" t="str">
        <f t="shared" si="299"/>
        <v>Yes</v>
      </c>
      <c r="IU66" s="469" t="str">
        <f t="shared" si="300"/>
        <v>Yes</v>
      </c>
    </row>
    <row r="67" ht="63.75">
      <c r="A67" s="601">
        <f>Input!A67</f>
        <v>66</v>
      </c>
      <c r="B67" s="229" t="str">
        <f>INDEX(ApplicantIDList,MATCH(AI67,ApplicantNameList,0))</f>
        <v>VIETTEL-2016</v>
      </c>
      <c r="C67" s="229" t="str">
        <f>INDEX(OperatorIDList,MATCH(AJ67,OperatorNameList,0))</f>
        <v>VIETTEL-2016</v>
      </c>
      <c r="D67" s="797" t="str">
        <f>Input!Y67</f>
        <v>BTN0169-11</v>
      </c>
      <c r="E67" s="229" t="str">
        <f>Input!G67</f>
        <v>Thôn Bình An 3, xã Tân Bình, thị xã La Gi, tỉnh Bình Thuận.</v>
      </c>
      <c r="F67" s="229" t="str">
        <f>TRIM(SUBSTITUTE(SUBSTITUTE(Input!H67,"Thành phố ",""),"Tỉnh ",""))</f>
        <v>Bình Thuận</v>
      </c>
      <c r="G67" s="797" t="str">
        <f>Input!I67</f>
        <v>107,76771</v>
      </c>
      <c r="H67" s="797" t="str">
        <f>Input!J67</f>
        <v> 10,68559</v>
      </c>
      <c r="I67" s="229">
        <f>Input!V67</f>
        <v>1</v>
      </c>
      <c r="J67" s="229" t="str">
        <f>Input!K67</f>
        <v>1501447/16/TG/TT2</v>
      </c>
      <c r="K67" s="231" t="str">
        <f>TEXT(Input!L67,"dd/mm/yyyy")</f>
        <v>17/10/2016</v>
      </c>
      <c r="L67" s="231" t="str">
        <f>TEXT(Input!M67,"dd/mm/yyyy")</f>
        <v>08/10/2016</v>
      </c>
      <c r="M67" s="229" t="str">
        <f ref="M67:M69" t="shared" si="301">ConcateMultiple(AP67:AU67,";",I67)</f>
        <v>TỔNG CÔNG TY MẠNG LƯỚI VIETTEL</v>
      </c>
      <c r="N67" s="229" t="str">
        <f ref="N67:N69" t="shared" si="302">ConcateMultiple(BC67:BH67,";",I67)</f>
        <v>BTN0169-11</v>
      </c>
      <c r="O67" s="229" t="str">
        <f ref="O67:O69" t="shared" si="303">ConcateMultiple(BI67:BN67,";",I67)</f>
        <v>HUAWEI DBS3900</v>
      </c>
      <c r="P67" s="229" t="str">
        <f ref="P67:P69" t="shared" si="304">ConcateMultiple(BO67:BT67,";",I67)</f>
        <v>2</v>
      </c>
      <c r="Q67" s="229" t="str">
        <f ref="Q67:Q69" t="shared" si="305">ConcateMultiple(BU67:BZ67,";",I67)</f>
        <v>2/2</v>
      </c>
      <c r="R67" s="229" t="str">
        <f ref="R67:R69" t="shared" si="306">ConcateMultiple(DQ67:DV67,";",I67)</f>
        <v>40W/ 40W</v>
      </c>
      <c r="S67" s="229" t="str">
        <f ref="S67:S69" t="shared" si="307">ConcateMultiple(FN67:FS67,";",I67)</f>
        <v>2100</v>
      </c>
      <c r="T67" s="229" t="str">
        <f ref="T67:T69" t="shared" si="308">ConcateMultiple(FZ67:GE67,";",I67)</f>
        <v>40m/ 40m</v>
      </c>
      <c r="U67" s="229">
        <v>1</v>
      </c>
      <c r="V67" s="229"/>
      <c r="W67" s="229" t="b">
        <f ref="W67:W69" t="shared" si="309">X67</f>
        <v>1</v>
      </c>
      <c r="X67" s="229" t="b">
        <f>INDEX(TrueFalseList,_xlfn.IFNA(MATCH(Input!W67,CoKhongList,0),MATCH(Input!W67,YesNoList,0)))</f>
        <v>1</v>
      </c>
      <c r="Y67" s="797">
        <f>Input!FZ67</f>
        <v>1</v>
      </c>
      <c r="Z67" s="229" t="b">
        <v>1</v>
      </c>
      <c r="AA67" s="797">
        <f ref="AA67:AA69" t="shared" si="310">HW67-HX67</f>
        <v>40</v>
      </c>
      <c r="AB67" s="229" t="b">
        <v>0</v>
      </c>
      <c r="AC67" s="229" t="b">
        <v>1</v>
      </c>
      <c r="AD67" s="229" t="str">
        <f>Input!DR67</f>
        <v>KHÁC</v>
      </c>
      <c r="AE67" s="229"/>
      <c r="AF67" s="229" t="str">
        <f>Options!$D$6</f>
        <v>VCC2</v>
      </c>
      <c r="AG67" s="229" t="str">
        <f ref="AG67:AG69" t="shared" si="311">AD67</f>
        <v>KHÁC</v>
      </c>
      <c r="AH67" s="230"/>
      <c r="AI67" s="553" t="str">
        <f>Input!E67</f>
        <v>TỔNG CÔNG TY MẠNG LƯỚI VIETTEL</v>
      </c>
      <c r="AJ67" s="553" t="str">
        <f>Input!F67</f>
        <v>TỔNG CÔNG TY MẠNG LƯỚI VIETTEL</v>
      </c>
      <c r="AK67" s="229">
        <f ref="AK67:AK69" t="shared" si="312">LEN(E67)-LEN(SUBSTITUTE(E67,",",""))</f>
        <v>3</v>
      </c>
      <c r="AL67" s="465" t="str">
        <f ref="AL67:AL69" t="shared" si="313">TRIM(IF(AK67&gt;=2,MID(E67,FIND("~",SUBSTITUTE(E67,",","~", AK67))+1,IFERROR(FIND("~",SUBSTITUTE(E67,",","~", AK67+1))-1,LEN(E67))- FIND("~",SUBSTITUTE(E67,",","~", AK67))),""))</f>
        <v>tỉnh Bình Thuận.</v>
      </c>
      <c r="AM67" s="465" t="str">
        <f ref="AM67:AM69" t="shared" si="314">TRIM(IF(AK67&gt;=2,MID(E67,FIND("~",SUBSTITUTE(E67,",","~", AK67-1))+1,IFERROR(FIND("~",SUBSTITUTE(E67,",","~", AK67-0))-1,LEN(E67))- FIND("~",SUBSTITUTE(E67,",","~", AK67-1))),""))</f>
        <v>thị xã La Gi</v>
      </c>
      <c r="AN67" s="465" t="str">
        <f ref="AN67:AN69" t="shared" si="315">TRIM(IF(AK67&gt;=3,MID(E67,FIND("~",SUBSTITUTE(E67,",","~", AK67-2))+1,IFERROR(FIND("~",SUBSTITUTE(E67,",","~", AK67-1))-1,LEN(E67))- FIND("~",SUBSTITUTE(E67,",","~", AK67-2))),""))</f>
        <v>xã Tân Bình</v>
      </c>
      <c r="AO67" s="229" t="str">
        <f>INDEX(CityIDList,MATCH(F67,CityNameList,0))</f>
        <v>BTN</v>
      </c>
      <c r="AP67" s="230" t="str">
        <f>Input!X67</f>
        <v>TỔNG CÔNG TY MẠNG LƯỚI VIETTEL</v>
      </c>
      <c r="AQ67" s="230">
        <f>Input!AN67</f>
        <v>0</v>
      </c>
      <c r="AR67" s="230">
        <f>Input!BD67</f>
        <v>0</v>
      </c>
      <c r="AS67" s="230" t="str">
        <f>Input!BT67</f>
      </c>
      <c r="AT67" s="230" t="str">
        <f>Input!CH67</f>
      </c>
      <c r="AU67" s="230" t="str">
        <f>Input!CV67</f>
      </c>
      <c r="AV67" s="230" t="str">
        <f>IF(I67&gt;=1,INDEX(OperatorIDList,MATCH(AP67,OperatorNameList,0)),"")</f>
        <v>VIETTEL-2016</v>
      </c>
      <c r="AW67" s="230" t="str">
        <f>IF(I67&gt;=2,INDEX(OperatorIDList,MATCH(AQ67,OperatorNameList,0)),"")</f>
      </c>
      <c r="AX67" s="230" t="str">
        <f>IF(I67&gt;=3,INDEX(OperatorIDList,MATCH(AR67,OperatorNameList,0)),"")</f>
      </c>
      <c r="AY67" s="230" t="str">
        <f>IF(I67&gt;=4,INDEX(OperatorIDList,MATCH(AS67,OperatorNameList,0)),"")</f>
      </c>
      <c r="AZ67" s="230" t="str">
        <f>IF(I67&gt;=5,INDEX(OperatorIDList,MATCH(AT67,OperatorNameList,0)),"")</f>
      </c>
      <c r="BA67" s="230" t="str">
        <f>IF(I67&gt;=6,INDEX(OperatorIDList,MATCH(AU67,OperatorNameList,0)),"")</f>
      </c>
      <c r="BB67" s="230" t="str">
        <f ref="BB67:BB69" t="shared" si="316">ConcateMultiple(AV67:BA67,";",I67)</f>
        <v>VIETTEL-2016</v>
      </c>
      <c r="BC67" s="230" t="str">
        <f>Input!Y67</f>
        <v>BTN0169-11</v>
      </c>
      <c r="BD67" s="230">
        <f>Input!AO67</f>
        <v>0</v>
      </c>
      <c r="BE67" s="230">
        <f>Input!BE67</f>
        <v>0</v>
      </c>
      <c r="BF67" s="230">
        <f>Input!BU67</f>
        <v>0</v>
      </c>
      <c r="BG67" s="230" t="str">
        <f>Input!CI67</f>
      </c>
      <c r="BH67" s="230" t="str">
        <f>Input!CW67</f>
      </c>
      <c r="BI67" s="230" t="str">
        <f>Input!Z67</f>
        <v>HUAWEI DBS3900</v>
      </c>
      <c r="BJ67" s="230">
        <f>Input!AP67</f>
        <v>0</v>
      </c>
      <c r="BK67" s="230">
        <f>Input!BF67</f>
        <v>0</v>
      </c>
      <c r="BL67" s="230">
        <f>Input!BV67</f>
        <v>0</v>
      </c>
      <c r="BM67" s="230" t="str">
        <f>Input!CJ67</f>
      </c>
      <c r="BN67" s="230" t="str">
        <f>Input!CX67</f>
      </c>
      <c r="BO67" s="553">
        <f>IF(ISNUMBER(Input!AA67),Input!AA67,0)</f>
        <v>2</v>
      </c>
      <c r="BP67" s="553">
        <f>IF(ISNUMBER(Input!AQ67),Input!AQ67,0)</f>
        <v>0</v>
      </c>
      <c r="BQ67" s="553">
        <f>IF(ISNUMBER(Input!BG67),Input!BG67,0)</f>
        <v>0</v>
      </c>
      <c r="BR67" s="553">
        <f>IF(ISNUMBER(Input!BW67),Input!BW67,0)</f>
        <v>0</v>
      </c>
      <c r="BS67" s="553">
        <f>IF(ISNUMBER(Input!CK67),Input!CK67,0)</f>
        <v>0</v>
      </c>
      <c r="BT67" s="554">
        <f>IF(ISNUMBER(Input!CY67),Input!CY67,0)</f>
        <v>0</v>
      </c>
      <c r="BU67" s="230" t="str">
        <f>Input!AF67</f>
        <v>2/2</v>
      </c>
      <c r="BV67" s="230">
        <f>Input!AV67</f>
        <v>0</v>
      </c>
      <c r="BW67" s="230">
        <f>Input!BL67</f>
        <v>0</v>
      </c>
      <c r="BX67" s="230" t="str">
        <f>Input!CA67</f>
      </c>
      <c r="BY67" s="230" t="str">
        <f>Input!CO67</f>
      </c>
      <c r="BZ67" s="230" t="str">
        <f>Input!DC67</f>
      </c>
      <c r="CA67" s="230">
        <f ref="CA67:CA69" t="shared" si="317">IF(BO67&gt;=1,MID(BU67,1,IFERROR(FIND("~",SUBSTITUTE(BU67,"/","~",1))-1,LEN(BU67))),"0")*1</f>
        <v>2</v>
      </c>
      <c r="CB67" s="230">
        <f ref="CB67:CB69" t="shared" si="318">IF(BO67&gt;=2,MID(BU67,FIND("~",SUBSTITUTE(BU67,"/","~",1))+1,IFERROR(FIND("~",SUBSTITUTE(BU67,"/","~",2))-1,LEN(BU67))- FIND("~",SUBSTITUTE(BU67,"/","~",1))),"0")*1</f>
        <v>2</v>
      </c>
      <c r="CC67" s="230">
        <f ref="CC67:CC69" t="shared" si="319">IF(BO67&gt;=3,MID(BU67,FIND("~",SUBSTITUTE(BU67,"/","~",2))+1,IFERROR(FIND("~",SUBSTITUTE(BU67,"/","~",3))-1,LEN(BU67))- FIND("~",SUBSTITUTE(BU67,"/","~",2))),"0")*1</f>
        <v>0</v>
      </c>
      <c r="CD67" s="230">
        <f ref="CD67:CD69" t="shared" si="320">IF(BO67&gt;=4,MID(BU67,FIND("~",SUBSTITUTE(BU67,"/","~",3))+1,IFERROR(FIND("~",SUBSTITUTE(BU67,"/","~",4))-1,LEN(BU67))- FIND("~",SUBSTITUTE(BU67,"/","~",3))),"0")*1</f>
        <v>0</v>
      </c>
      <c r="CE67" s="230">
        <f ref="CE67:CE69" t="shared" si="321">IF(BO67&gt;=5,MID(BU67,FIND("~",SUBSTITUTE(BU67,"/","~",4))+1,IFERROR(FIND("~",SUBSTITUTE(BU67,"/","~",5))-1,LEN(BU67))- FIND("~",SUBSTITUTE(BU67,"/","~",4))),"0")*1</f>
        <v>0</v>
      </c>
      <c r="CF67" s="230">
        <f ref="CF67:CF69" t="shared" si="322">IF(BO67&gt;=6,MID(BU67,FIND("~",SUBSTITUTE(BU67,"/","~",5))+1,IFERROR(FIND("~",SUBSTITUTE(BU67,"/","~",6))-1,LEN(BU67))- FIND("~",SUBSTITUTE(BU67,"/","~",5))),"0")*1</f>
        <v>0</v>
      </c>
      <c r="CG67" s="230">
        <f ref="CG67:CG69" t="shared" si="323">IF(BP67&gt;=1,MID(BV67,1,IFERROR(FIND("~",SUBSTITUTE(BV67,"/","~",1))-1,LEN(BV67))),"0")*1</f>
        <v>0</v>
      </c>
      <c r="CH67" s="230">
        <f ref="CH67:CH69" t="shared" si="324">IF(BP67&gt;=2,MID(BV67,FIND("~",SUBSTITUTE(BV67,"/","~",1))+1,IFERROR(FIND("~",SUBSTITUTE(BV67,"/","~",2))-1,LEN(BV67))- FIND("~",SUBSTITUTE(BV67,"/","~",1))),"0")*1</f>
        <v>0</v>
      </c>
      <c r="CI67" s="230">
        <f ref="CI67:CI69" t="shared" si="325">IF(BP67&gt;=3,MID(BV67,FIND("~",SUBSTITUTE(BV67,"/","~",2))+1,IFERROR(FIND("~",SUBSTITUTE(BV67,"/","~",3))-1,LEN(BV67))- FIND("~",SUBSTITUTE(BV67,"/","~",2))),"0")*1</f>
        <v>0</v>
      </c>
      <c r="CJ67" s="230">
        <f ref="CJ67:CJ69" t="shared" si="326">IF(BP67&gt;=4,MID(BV67,FIND("~",SUBSTITUTE(BV67,"/","~",3))+1,IFERROR(FIND("~",SUBSTITUTE(BV67,"/","~",4))-1,LEN(BV67))- FIND("~",SUBSTITUTE(BV67,"/","~",3))),"0")*1</f>
        <v>0</v>
      </c>
      <c r="CK67" s="230">
        <f ref="CK67:CK69" t="shared" si="327">IF(BP67&gt;=5,MID(BV67,FIND("~",SUBSTITUTE(BV67,"/","~",4))+1,IFERROR(FIND("~",SUBSTITUTE(BV67,"/","~",5))-1,LEN(BV67))- FIND("~",SUBSTITUTE(BV67,"/","~",4))),"0")*1</f>
        <v>0</v>
      </c>
      <c r="CL67" s="230">
        <f ref="CL67:CL69" t="shared" si="328">IF(BP67&gt;=6,MID(BV67,FIND("~",SUBSTITUTE(BV67,"/","~",5))+1,IFERROR(FIND("~",SUBSTITUTE(BV67,"/","~",6))-1,LEN(BV67))- FIND("~",SUBSTITUTE(BV67,"/","~",5))),"0")*1</f>
        <v>0</v>
      </c>
      <c r="CM67" s="230">
        <f ref="CM67:CM69" t="shared" si="329">IF(BQ67&gt;=1,MID(BW67,1,IFERROR(FIND("~",SUBSTITUTE(BW67,"/","~",1))-1,LEN(BW67))),"0")*1</f>
        <v>0</v>
      </c>
      <c r="CN67" s="230">
        <f ref="CN67:CN69" t="shared" si="330">IF(BQ67&gt;=2,MID(BW67,FIND("~",SUBSTITUTE(BW67,"/","~",1))+1,IFERROR(FIND("~",SUBSTITUTE(BW67,"/","~",2))-1,LEN(BW67))- FIND("~",SUBSTITUTE(BW67,"/","~",1))),"0")*1</f>
        <v>0</v>
      </c>
      <c r="CO67" s="230">
        <f ref="CO67:CO69" t="shared" si="331">IF(BQ67&gt;=3,MID(BW67,FIND("~",SUBSTITUTE(BW67,"/","~",2))+1,IFERROR(FIND("~",SUBSTITUTE(BW67,"/","~",3))-1,LEN(BW67))- FIND("~",SUBSTITUTE(BW67,"/","~",2))),"0")*1</f>
        <v>0</v>
      </c>
      <c r="CP67" s="230">
        <f ref="CP67:CP69" t="shared" si="332">IF(BQ67&gt;=4,MID(BW67,FIND("~",SUBSTITUTE(BW67,"/","~",3))+1,IFERROR(FIND("~",SUBSTITUTE(BW67,"/","~",4))-1,LEN(BW67))- FIND("~",SUBSTITUTE(BW67,"/","~",3))),"0")*1</f>
        <v>0</v>
      </c>
      <c r="CQ67" s="230">
        <f ref="CQ67:CQ69" t="shared" si="333">IF(BQ67&gt;=5,MID(BW67,FIND("~",SUBSTITUTE(BW67,"/","~",4))+1,IFERROR(FIND("~",SUBSTITUTE(BW67,"/","~",5))-1,LEN(BW67))- FIND("~",SUBSTITUTE(BW67,"/","~",4))),"0")*1</f>
        <v>0</v>
      </c>
      <c r="CR67" s="230">
        <f ref="CR67:CR69" t="shared" si="334">IF(BQ67&gt;=6,MID(BW67,FIND("~",SUBSTITUTE(BW67,"/","~",5))+1,IFERROR(FIND("~",SUBSTITUTE(BW67,"/","~",6))-1,LEN(BW67))- FIND("~",SUBSTITUTE(BW67,"/","~",5))),"0")*1</f>
        <v>0</v>
      </c>
      <c r="CS67" s="230">
        <f ref="CS67:CS69" t="shared" si="335">IF(BR67&gt;=1,MID(BX67,1,IFERROR(FIND("~",SUBSTITUTE(BX67,"/","~",1))-1,LEN(BX67))),"0")*1</f>
        <v>0</v>
      </c>
      <c r="CT67" s="230">
        <f ref="CT67:CT69" t="shared" si="336">IF(BR67&gt;=2,MID(BX67,FIND("~",SUBSTITUTE(BX67,"/","~",1))+1,IFERROR(FIND("~",SUBSTITUTE(BX67,"/","~",2))-1,LEN(BX67))- FIND("~",SUBSTITUTE(BX67,"/","~",1))),"0")*1</f>
        <v>0</v>
      </c>
      <c r="CU67" s="230">
        <f ref="CU67:CU69" t="shared" si="337">IF(BR67&gt;=3,MID(BX67,FIND("~",SUBSTITUTE(BX67,"/","~",2))+1,IFERROR(FIND("~",SUBSTITUTE(BX67,"/","~",3))-1,LEN(BX67))- FIND("~",SUBSTITUTE(BX67,"/","~",2))),"0")*1</f>
        <v>0</v>
      </c>
      <c r="CV67" s="230">
        <f ref="CV67:CV69" t="shared" si="338">IF(BR67&gt;=4,MID(BX67,FIND("~",SUBSTITUTE(BX67,"/","~",3))+1,IFERROR(FIND("~",SUBSTITUTE(BX67,"/","~",4))-1,LEN(BX67))- FIND("~",SUBSTITUTE(BX67,"/","~",3))),"0")*1</f>
        <v>0</v>
      </c>
      <c r="CW67" s="230">
        <f ref="CW67:CW69" t="shared" si="339">IF(BR67&gt;=5,MID(BX67,FIND("~",SUBSTITUTE(BX67,"/","~",4))+1,IFERROR(FIND("~",SUBSTITUTE(BX67,"/","~",5))-1,LEN(BX67))- FIND("~",SUBSTITUTE(BX67,"/","~",4))),"0")*1</f>
        <v>0</v>
      </c>
      <c r="CX67" s="230">
        <f ref="CX67:CX69" t="shared" si="340">IF(BR67&gt;=6,MID(BX67,FIND("~",SUBSTITUTE(BX67,"/","~",5))+1,IFERROR(FIND("~",SUBSTITUTE(BX67,"/","~",6))-1,LEN(BX67))- FIND("~",SUBSTITUTE(BX67,"/","~",5))),"0")*1</f>
        <v>0</v>
      </c>
      <c r="CY67" s="230">
        <f ref="CY67:CY69" t="shared" si="341">IF(BS67&gt;=1,MID(BY67,1,IFERROR(FIND("~",SUBSTITUTE(BY67,"/","~",1))-1,LEN(BY67))),"0")*1</f>
        <v>0</v>
      </c>
      <c r="CZ67" s="230">
        <f ref="CZ67:CZ69" t="shared" si="342">IF(BS67&gt;=2,MID(BY67,FIND("~",SUBSTITUTE(BY67,"/","~",1))+1,IFERROR(FIND("~",SUBSTITUTE(BY67,"/","~",2))-1,LEN(BY67))- FIND("~",SUBSTITUTE(BY67,"/","~",1))),"0")*1</f>
        <v>0</v>
      </c>
      <c r="DA67" s="230">
        <f ref="DA67:DA69" t="shared" si="343">IF(BS67&gt;=3,MID(BY67,FIND("~",SUBSTITUTE(BY67,"/","~",2))+1,IFERROR(FIND("~",SUBSTITUTE(BY67,"/","~",3))-1,LEN(BY67))- FIND("~",SUBSTITUTE(BY67,"/","~",2))),"0")*1</f>
        <v>0</v>
      </c>
      <c r="DB67" s="230">
        <f ref="DB67:DB69" t="shared" si="344">IF(BS67&gt;=4,MID(BY67,FIND("~",SUBSTITUTE(BY67,"/","~",3))+1,IFERROR(FIND("~",SUBSTITUTE(BY67,"/","~",4))-1,LEN(BY67))- FIND("~",SUBSTITUTE(BY67,"/","~",3))),"0")*1</f>
        <v>0</v>
      </c>
      <c r="DC67" s="230">
        <f ref="DC67:DC69" t="shared" si="345">IF(BS67&gt;=5,MID(BY67,FIND("~",SUBSTITUTE(BY67,"/","~",4))+1,IFERROR(FIND("~",SUBSTITUTE(BY67,"/","~",5))-1,LEN(BY67))- FIND("~",SUBSTITUTE(BY67,"/","~",4))),"0")*1</f>
        <v>0</v>
      </c>
      <c r="DD67" s="230">
        <f ref="DD67:DD69" t="shared" si="346">IF(BS67&gt;=6,MID(BY67,FIND("~",SUBSTITUTE(BY67,"/","~",5))+1,IFERROR(FIND("~",SUBSTITUTE(BY67,"/","~",6))-1,LEN(BY67))- FIND("~",SUBSTITUTE(BY67,"/","~",5))),"0")*1</f>
        <v>0</v>
      </c>
      <c r="DE67" s="230">
        <f ref="DE67:DE69" t="shared" si="347">IF(BT67&gt;=1,MID(BZ67,1,IFERROR(FIND("~",SUBSTITUTE(BZ67,"/","~",1))-1,LEN(BZ67))),"0")*1</f>
        <v>0</v>
      </c>
      <c r="DF67" s="230">
        <f ref="DF67:DF69" t="shared" si="348">IF(BT67&gt;=2,MID(BZ67,FIND("~",SUBSTITUTE(BZ67,"/","~",1))+1,IFERROR(FIND("~",SUBSTITUTE(BZ67,"/","~",2))-1,LEN(BZ67))- FIND("~",SUBSTITUTE(BZ67,"/","~",1))),"0")*1</f>
        <v>0</v>
      </c>
      <c r="DG67" s="230">
        <f ref="DG67:DG69" t="shared" si="349">IF(BT67&gt;=3,MID(BZ67,FIND("~",SUBSTITUTE(BZ67,"/","~",2))+1,IFERROR(FIND("~",SUBSTITUTE(BZ67,"/","~",3))-1,LEN(BZ67))- FIND("~",SUBSTITUTE(BZ67,"/","~",2))),"0")*1</f>
        <v>0</v>
      </c>
      <c r="DH67" s="230">
        <f ref="DH67:DH69" t="shared" si="350">IF(BT67&gt;=4,MID(BZ67,FIND("~",SUBSTITUTE(BZ67,"/","~",3))+1,IFERROR(FIND("~",SUBSTITUTE(BZ67,"/","~",4))-1,LEN(BZ67))- FIND("~",SUBSTITUTE(BZ67,"/","~",3))),"0")*1</f>
        <v>0</v>
      </c>
      <c r="DI67" s="230">
        <f ref="DI67:DI69" t="shared" si="351">IF(BT67&gt;=5,MID(BZ67,FIND("~",SUBSTITUTE(BZ67,"/","~",4))+1,IFERROR(FIND("~",SUBSTITUTE(BZ67,"/","~",5))-1,LEN(BZ67))- FIND("~",SUBSTITUTE(BZ67,"/","~",4))),"0")*1</f>
        <v>0</v>
      </c>
      <c r="DJ67" s="230">
        <f ref="DJ67:DJ69" t="shared" si="352">IF(BT67&gt;=6,MID(BZ67,FIND("~",SUBSTITUTE(BZ67,"/","~",5))+1,IFERROR(FIND("~",SUBSTITUTE(BZ67,"/","~",6))-1,LEN(BZ67))- FIND("~",SUBSTITUTE(BZ67,"/","~",5))),"0")*1</f>
        <v>0</v>
      </c>
      <c r="DK67" s="230" t="str">
        <f>Input!AK67</f>
        <v>40,00W/40,00W</v>
      </c>
      <c r="DL67" s="230">
        <f>Input!BA67</f>
        <v>0</v>
      </c>
      <c r="DM67" s="230">
        <f>Input!BQ67</f>
        <v>0</v>
      </c>
      <c r="DN67" s="230" t="str">
        <f>Input!CE67</f>
      </c>
      <c r="DO67" s="230" t="str">
        <f>Input!CS67</f>
      </c>
      <c r="DP67" s="230" t="str">
        <f>Input!DG67</f>
      </c>
      <c r="DQ67" s="230" t="str">
        <f ref="DQ67:DQ69" t="shared" si="353">ConcateMultiple(DW67:EB67,"W/ ",BO67)</f>
        <v>40W/ 40W</v>
      </c>
      <c r="DR67" s="230" t="str">
        <f ref="DR67:DR69" t="shared" si="354">ConcateMultiple(ED67:EI67,"W/ ",BP67)</f>
      </c>
      <c r="DS67" s="230" t="str">
        <f ref="DS67:DS69" t="shared" si="355">ConcateMultiple(EK67:EP67,"W/ ",BQ67)</f>
      </c>
      <c r="DT67" s="230" t="str">
        <f ref="DT67:DT69" t="shared" si="356">ConcateMultiple(ER67:EW67,"W/ ",BR67)</f>
      </c>
      <c r="DU67" s="230" t="str">
        <f ref="DU67:DU69" t="shared" si="357">ConcateMultiple(EY67:FD67,"W/ ",BS67)</f>
      </c>
      <c r="DV67" s="230" t="str">
        <f ref="DV67:DV69" t="shared" si="358">ConcateMultiple(FF67:FK67,"W/ ",BT67)</f>
      </c>
      <c r="DW67" s="230">
        <f ref="DW67:DW69" t="shared" si="359">SUBSTITUTE(IF(BO67&gt;=1,MID(DK67,1,IFERROR(FIND("~",SUBSTITUTE(DK67,"/","~",1))-1,LEN(DK67))),"0"),"W","")*1</f>
        <v>40</v>
      </c>
      <c r="DX67" s="230">
        <f ref="DX67:DX69" t="shared" si="360">SUBSTITUTE(IF(BO67&gt;=2,MID(DK67,FIND("~",SUBSTITUTE(DK67,"/","~",1))+1,IFERROR(FIND("~",SUBSTITUTE(DK67,"/","~",2))-1,LEN(DK67))- FIND("~",SUBSTITUTE(DK67,"/","~",1))),"0"),"W","")*1</f>
        <v>40</v>
      </c>
      <c r="DY67" s="230">
        <f ref="DY67:DY69" t="shared" si="361">SUBSTITUTE(IF(BO67&gt;=3,MID(DK67,FIND("~",SUBSTITUTE(DK67,"/","~",2))+1,IFERROR(FIND("~",SUBSTITUTE(DK67,"/","~",3))-1,LEN(DK67))- FIND("~",SUBSTITUTE(DK67,"/","~",2))),"0"),"W","")*1</f>
        <v>0</v>
      </c>
      <c r="DZ67" s="230">
        <f ref="DZ67:DZ69" t="shared" si="362">SUBSTITUTE(IF(BO67&gt;=4,MID(DK67,FIND("~",SUBSTITUTE(DK67,"/","~",3))+1,IFERROR(FIND("~",SUBSTITUTE(DK67,"/","~",4))-1,LEN(DK67))- FIND("~",SUBSTITUTE(DK67,"/","~",3))),"0"),"W","")*1</f>
        <v>0</v>
      </c>
      <c r="EA67" s="230">
        <f ref="EA67:EA69" t="shared" si="363">SUBSTITUTE(IF(BO67&gt;=5,MID(DK67,FIND("~",SUBSTITUTE(DK67,"/","~",4))+1,IFERROR(FIND("~",SUBSTITUTE(DK67,"/","~",5))-1,LEN(DK67))- FIND("~",SUBSTITUTE(DK67,"/","~",4))),"0"),"W","")*1</f>
        <v>0</v>
      </c>
      <c r="EB67" s="230">
        <f ref="EB67:EB69" t="shared" si="364">SUBSTITUTE(IF(BO67&gt;=6,MID(DK67,FIND("~",SUBSTITUTE(DK67,"/","~",5))+1,IFERROR(FIND("~",SUBSTITUTE(DK67,"/","~",6))-1,LEN(DK67))- FIND("~",SUBSTITUTE(DK67,"/","~",5))),"0"),"W","")*1</f>
        <v>0</v>
      </c>
      <c r="EC67" s="230">
        <f ref="EC67:EC69" t="shared" si="365">MAX(DW67:DZ67)</f>
        <v>40</v>
      </c>
      <c r="ED67" s="230">
        <f ref="ED67:ED69" t="shared" si="366">SUBSTITUTE(IF(BP67&gt;=1,MID(DL67,1,IFERROR(FIND("~",SUBSTITUTE(DL67,"/","~",1))-1,LEN(DL67))),"0"),"W","")*1</f>
        <v>0</v>
      </c>
      <c r="EE67" s="230">
        <f ref="EE67:EE69" t="shared" si="367">SUBSTITUTE(IF(BP67&gt;=2,MID(DL67,FIND("~",SUBSTITUTE(DL67,"/","~",1))+1,IFERROR(FIND("~",SUBSTITUTE(DL67,"/","~",2))-1,LEN(DL67))- FIND("~",SUBSTITUTE(DL67,"/","~",1))),"0"),"W","")*1</f>
        <v>0</v>
      </c>
      <c r="EF67" s="230">
        <f ref="EF67:EF69" t="shared" si="368">SUBSTITUTE(IF(BP67&gt;=3,MID(DL67,FIND("~",SUBSTITUTE(DL67,"/","~",2))+1,IFERROR(FIND("~",SUBSTITUTE(DL67,"/","~",3))-1,LEN(DL67))- FIND("~",SUBSTITUTE(DL67,"/","~",2))),"0"),"W","")*1</f>
        <v>0</v>
      </c>
      <c r="EG67" s="230">
        <f ref="EG67:EG69" t="shared" si="369">SUBSTITUTE(IF(BP67&gt;=4,MID(DL67,FIND("~",SUBSTITUTE(DL67,"/","~",3))+1,IFERROR(FIND("~",SUBSTITUTE(DL67,"/","~",4))-1,LEN(DL67))- FIND("~",SUBSTITUTE(DL67,"/","~",3))),"0"),"W","")*1</f>
        <v>0</v>
      </c>
      <c r="EH67" s="230">
        <f ref="EH67:EH69" t="shared" si="370">SUBSTITUTE(IF(BP67&gt;=5,MID(DL67,FIND("~",SUBSTITUTE(DL67,"/","~",4))+1,IFERROR(FIND("~",SUBSTITUTE(DL67,"/","~",5))-1,LEN(DL67))- FIND("~",SUBSTITUTE(DL67,"/","~",4))),"0"),"W","")*1</f>
        <v>0</v>
      </c>
      <c r="EI67" s="230">
        <f ref="EI67:EI69" t="shared" si="371">SUBSTITUTE(IF(BP67&gt;=6,MID(DL67,FIND("~",SUBSTITUTE(DL67,"/","~",5))+1,IFERROR(FIND("~",SUBSTITUTE(DL67,"/","~",6))-1,LEN(DL67))- FIND("~",SUBSTITUTE(DL67,"/","~",5))),"0"),"W","")*1</f>
        <v>0</v>
      </c>
      <c r="EJ67" s="230">
        <f ref="EJ67:EJ69" t="shared" si="372">MAX(ED67:EG67)</f>
        <v>0</v>
      </c>
      <c r="EK67" s="230">
        <f ref="EK67:EK69" t="shared" si="373">SUBSTITUTE(IF(BQ67&gt;=1,MID(DM67,1,IFERROR(FIND("~",SUBSTITUTE(DM67,"/","~",1))-1,LEN(DM67))),"0"),"W","")*1</f>
        <v>0</v>
      </c>
      <c r="EL67" s="230">
        <f ref="EL67:EL69" t="shared" si="374">SUBSTITUTE(IF(BQ67&gt;=2,MID(DM67,FIND("~",SUBSTITUTE(DM67,"/","~",1))+1,IFERROR(FIND("~",SUBSTITUTE(DM67,"/","~",2))-1,LEN(DM67))- FIND("~",SUBSTITUTE(DM67,"/","~",1))),"0"),"W","")*1</f>
        <v>0</v>
      </c>
      <c r="EM67" s="230">
        <f ref="EM67:EM69" t="shared" si="375">SUBSTITUTE(IF(BQ67&gt;=3,MID(DM67,FIND("~",SUBSTITUTE(DM67,"/","~",2))+1,IFERROR(FIND("~",SUBSTITUTE(DM67,"/","~",3))-1,LEN(DM67))- FIND("~",SUBSTITUTE(DM67,"/","~",2))),"0"),"W","")*1</f>
        <v>0</v>
      </c>
      <c r="EN67" s="230">
        <f ref="EN67:EN69" t="shared" si="376">SUBSTITUTE(IF(BQ67&gt;=4,MID(DM67,FIND("~",SUBSTITUTE(DM67,"/","~",3))+1,IFERROR(FIND("~",SUBSTITUTE(DM67,"/","~",4))-1,LEN(DM67))- FIND("~",SUBSTITUTE(DM67,"/","~",3))),"0"),"W","")*1</f>
        <v>0</v>
      </c>
      <c r="EO67" s="230">
        <f ref="EO67:EO69" t="shared" si="377">SUBSTITUTE(IF(BQ67&gt;=5,MID(DM67,FIND("~",SUBSTITUTE(DM67,"/","~",4))+1,IFERROR(FIND("~",SUBSTITUTE(DM67,"/","~",5))-1,LEN(DM67))- FIND("~",SUBSTITUTE(DM67,"/","~",4))),"0"),"W","")*1</f>
        <v>0</v>
      </c>
      <c r="EP67" s="230">
        <f ref="EP67:EP69" t="shared" si="378">SUBSTITUTE(IF(BQ67&gt;=6,MID(DM67,FIND("~",SUBSTITUTE(DM67,"/","~",5))+1,IFERROR(FIND("~",SUBSTITUTE(DM67,"/","~",6))-1,LEN(DM67))- FIND("~",SUBSTITUTE(DM67,"/","~",5))),"0"),"W","")*1</f>
        <v>0</v>
      </c>
      <c r="EQ67" s="230">
        <f ref="EQ67:EQ69" t="shared" si="379">MAX(EK67:EN67)</f>
        <v>0</v>
      </c>
      <c r="ER67" s="230">
        <f ref="ER67:ER69" t="shared" si="380">SUBSTITUTE(IF(BR67&gt;=1,MID(DN67,1,IFERROR(FIND("~",SUBSTITUTE(DN67,"/","~",1))-1,LEN(DN67))),"0"),"W","")*1</f>
        <v>0</v>
      </c>
      <c r="ES67" s="230">
        <f ref="ES67:ES69" t="shared" si="381">SUBSTITUTE(IF(BR67&gt;=2,MID(DN67,FIND("~",SUBSTITUTE(DN67,"/","~",1))+1,IFERROR(FIND("~",SUBSTITUTE(DN67,"/","~",2))-1,LEN(DN67))- FIND("~",SUBSTITUTE(DN67,"/","~",1))),"0"),"W","")*1</f>
        <v>0</v>
      </c>
      <c r="ET67" s="230">
        <f ref="ET67:ET69" t="shared" si="382">SUBSTITUTE(IF(BR67&gt;=3,MID(DN67,FIND("~",SUBSTITUTE(DN67,"/","~",2))+1,IFERROR(FIND("~",SUBSTITUTE(DN67,"/","~",3))-1,LEN(DN67))- FIND("~",SUBSTITUTE(DN67,"/","~",2))),"0"),"W","")*1</f>
        <v>0</v>
      </c>
      <c r="EU67" s="230">
        <f ref="EU67:EU69" t="shared" si="383">SUBSTITUTE(IF(BR67&gt;=4,MID(DN67,FIND("~",SUBSTITUTE(DN67,"/","~",3))+1,IFERROR(FIND("~",SUBSTITUTE(DN67,"/","~",4))-1,LEN(DN67))- FIND("~",SUBSTITUTE(DN67,"/","~",3))),"0"),"W","")*1</f>
        <v>0</v>
      </c>
      <c r="EV67" s="230">
        <f ref="EV67:EV69" t="shared" si="384">SUBSTITUTE(IF(BR67&gt;=5,MID(DN67,FIND("~",SUBSTITUTE(DN67,"/","~",4))+1,IFERROR(FIND("~",SUBSTITUTE(DN67,"/","~",5))-1,LEN(DN67))- FIND("~",SUBSTITUTE(DN67,"/","~",4))),"0"),"W","")*1</f>
        <v>0</v>
      </c>
      <c r="EW67" s="230">
        <f ref="EW67:EW69" t="shared" si="385">SUBSTITUTE(IF(BR67&gt;=6,MID(DN67,FIND("~",SUBSTITUTE(DN67,"/","~",5))+1,IFERROR(FIND("~",SUBSTITUTE(DN67,"/","~",6))-1,LEN(DN67))- FIND("~",SUBSTITUTE(DN67,"/","~",5))),"0"),"W","")*1</f>
        <v>0</v>
      </c>
      <c r="EX67" s="230">
        <f ref="EX67:EX69" t="shared" si="386">MAX(ER67:EU67)</f>
        <v>0</v>
      </c>
      <c r="EY67" s="230">
        <f ref="EY67:EY69" t="shared" si="387">SUBSTITUTE(IF(BS67&gt;=1,MID(DO67,1,IFERROR(FIND("~",SUBSTITUTE(DO67,"/","~",1))-1,LEN(DO67))),"0"),"W","")*1</f>
        <v>0</v>
      </c>
      <c r="EZ67" s="230">
        <f ref="EZ67:EZ69" t="shared" si="388">SUBSTITUTE(IF(BS67&gt;=2,MID(DO67,FIND("~",SUBSTITUTE(DO67,"/","~",1))+1,IFERROR(FIND("~",SUBSTITUTE(DO67,"/","~",2))-1,LEN(DO67))- FIND("~",SUBSTITUTE(DO67,"/","~",1))),"0"),"W","")*1</f>
        <v>0</v>
      </c>
      <c r="FA67" s="230">
        <f ref="FA67:FA69" t="shared" si="389">SUBSTITUTE(IF(BS67&gt;=3,MID(DO67,FIND("~",SUBSTITUTE(DO67,"/","~",2))+1,IFERROR(FIND("~",SUBSTITUTE(DO67,"/","~",3))-1,LEN(DO67))- FIND("~",SUBSTITUTE(DO67,"/","~",2))),"0"),"W","")*1</f>
        <v>0</v>
      </c>
      <c r="FB67" s="230">
        <f ref="FB67:FB69" t="shared" si="390">SUBSTITUTE(IF(BS67&gt;=4,MID(DO67,FIND("~",SUBSTITUTE(DO67,"/","~",3))+1,IFERROR(FIND("~",SUBSTITUTE(DO67,"/","~",4))-1,LEN(DO67))- FIND("~",SUBSTITUTE(DO67,"/","~",3))),"0"),"W","")*1</f>
        <v>0</v>
      </c>
      <c r="FC67" s="230">
        <f ref="FC67:FC69" t="shared" si="391">SUBSTITUTE(IF(BS67&gt;=5,MID(DO67,FIND("~",SUBSTITUTE(DO67,"/","~",4))+1,IFERROR(FIND("~",SUBSTITUTE(DO67,"/","~",5))-1,LEN(DO67))- FIND("~",SUBSTITUTE(DO67,"/","~",4))),"0"),"W","")*1</f>
        <v>0</v>
      </c>
      <c r="FD67" s="230">
        <f ref="FD67:FD69" t="shared" si="392">SUBSTITUTE(IF(BS67&gt;=6,MID(DO67,FIND("~",SUBSTITUTE(DO67,"/","~",5))+1,IFERROR(FIND("~",SUBSTITUTE(DO67,"/","~",6))-1,LEN(DO67))- FIND("~",SUBSTITUTE(DO67,"/","~",5))),"0"),"W","")*1</f>
        <v>0</v>
      </c>
      <c r="FE67" s="230">
        <f ref="FE67:FE69" t="shared" si="393">MAX(EY67:FB67)</f>
        <v>0</v>
      </c>
      <c r="FF67" s="230">
        <f ref="FF67:FF69" t="shared" si="394">SUBSTITUTE(IF(BT67&gt;=1,MID(DP67,1,IFERROR(FIND("~",SUBSTITUTE(DP67,"/","~",1))-1,LEN(DP67))),"0"),"W","")*1</f>
        <v>0</v>
      </c>
      <c r="FG67" s="230">
        <f ref="FG67:FG69" t="shared" si="395">SUBSTITUTE(IF(BT67&gt;=2,MID(DP67,FIND("~",SUBSTITUTE(DP67,"/","~",1))+1,IFERROR(FIND("~",SUBSTITUTE(DP67,"/","~",2))-1,LEN(DP67))- FIND("~",SUBSTITUTE(DP67,"/","~",1))),"0"),"W","")*1</f>
        <v>0</v>
      </c>
      <c r="FH67" s="230">
        <f ref="FH67:FH69" t="shared" si="396">SUBSTITUTE(IF(BT67&gt;=3,MID(DP67,FIND("~",SUBSTITUTE(DP67,"/","~",2))+1,IFERROR(FIND("~",SUBSTITUTE(DP67,"/","~",3))-1,LEN(DP67))- FIND("~",SUBSTITUTE(DP67,"/","~",2))),"0"),"W","")*1</f>
        <v>0</v>
      </c>
      <c r="FI67" s="230">
        <f ref="FI67:FI69" t="shared" si="397">SUBSTITUTE(IF(BT67&gt;=4,MID(DP67,FIND("~",SUBSTITUTE(DP67,"/","~",3))+1,IFERROR(FIND("~",SUBSTITUTE(DP67,"/","~",4))-1,LEN(DP67))- FIND("~",SUBSTITUTE(DP67,"/","~",3))),"0"),"W","")*1</f>
        <v>0</v>
      </c>
      <c r="FJ67" s="230">
        <f ref="FJ67:FJ69" t="shared" si="398">SUBSTITUTE(IF(BT67&gt;=5,MID(DP67,FIND("~",SUBSTITUTE(DP67,"/","~",4))+1,IFERROR(FIND("~",SUBSTITUTE(DP67,"/","~",5))-1,LEN(DP67))- FIND("~",SUBSTITUTE(DP67,"/","~",4))),"0"),"W","")*1</f>
        <v>0</v>
      </c>
      <c r="FK67" s="230">
        <f ref="FK67:FK69" t="shared" si="399">SUBSTITUTE(IF(BT67&gt;=6,MID(DP67,FIND("~",SUBSTITUTE(DP67,"/","~",5))+1,IFERROR(FIND("~",SUBSTITUTE(DP67,"/","~",6))-1,LEN(DP67))- FIND("~",SUBSTITUTE(DP67,"/","~",5))),"0"),"W","")*1</f>
        <v>0</v>
      </c>
      <c r="FL67" s="230">
        <f ref="FL67:FL69" t="shared" si="400">MAX(FF67:FI67)</f>
        <v>0</v>
      </c>
      <c r="FM67" s="230">
        <f ref="FM67:FM69" t="shared" si="401">MAX(EC67,EJ67,EQ67,EX67,FE67,FL67)</f>
        <v>40</v>
      </c>
      <c r="FN67" s="230">
        <f>Input!AL67</f>
        <v>2100</v>
      </c>
      <c r="FO67" s="230">
        <f>Input!BB67</f>
        <v>0</v>
      </c>
      <c r="FP67" s="230">
        <f>Input!BR67</f>
        <v>0</v>
      </c>
      <c r="FQ67" s="230" t="str">
        <f>Input!CF67</f>
      </c>
      <c r="FR67" s="230" t="str">
        <f>Input!CT67</f>
      </c>
      <c r="FS67" s="230" t="str">
        <f>Input!DH67</f>
      </c>
      <c r="FT67" s="230" t="str">
        <f>Input!AM67</f>
        <v>40m/ 40m</v>
      </c>
      <c r="FU67" s="230">
        <f>Input!BC67</f>
        <v>0</v>
      </c>
      <c r="FV67" s="230">
        <f>Input!BS67</f>
        <v>0</v>
      </c>
      <c r="FW67" s="230" t="str">
        <f>Input!CG67</f>
      </c>
      <c r="FX67" s="230" t="str">
        <f>Input!CU67</f>
      </c>
      <c r="FY67" s="230" t="str">
        <f>Input!DI67</f>
      </c>
      <c r="FZ67" s="230" t="str">
        <f ref="FZ67:FZ69" t="shared" si="402">ConcateMultiple(GF67:GK67,"m/ ",BO67)</f>
        <v>40m/ 40m</v>
      </c>
      <c r="GA67" s="230" t="str">
        <f ref="GA67:GA69" t="shared" si="403">ConcateMultiple(GL67:GQ67,"m/ ",BP67)</f>
      </c>
      <c r="GB67" s="230" t="str">
        <f ref="GB67:GB69" t="shared" si="404">ConcateMultiple(GR67:GW67,"m/ ",BQ67)</f>
      </c>
      <c r="GC67" s="230" t="str">
        <f ref="GC67:GC69" t="shared" si="405">ConcateMultiple(GX67:HC67,"m/ ",BR67)</f>
      </c>
      <c r="GD67" s="230" t="str">
        <f ref="GD67:GD69" t="shared" si="406">ConcateMultiple(HD67:HI67,"m/ ",BS67)</f>
      </c>
      <c r="GE67" s="230" t="str">
        <f ref="GE67:GE69" t="shared" si="407">ConcateMultiple(HJ67:HO67,"m/ ",BT67)</f>
      </c>
      <c r="GF67" s="230">
        <f ref="GF67:GF69" t="shared" si="408">SUBSTITUTE(IF(BO67&gt;=1,MID(FT67,1,IFERROR(FIND("~",SUBSTITUTE(FT67,"/","~",1))-1,LEN(FT67))),"0"),"m","")*1</f>
        <v>40</v>
      </c>
      <c r="GG67" s="230">
        <f ref="GG67:GG69" t="shared" si="409">SUBSTITUTE(TRIM(IF(BO67&gt;=2,MID(FT67,FIND("~",SUBSTITUTE(FT67,"/","~",1))+1,IFERROR(FIND("~",SUBSTITUTE(FT67,"/","~",2))-1,LEN(FT67))- FIND("~",SUBSTITUTE(FT67,"/","~",1))),"0")),"m","")*1</f>
        <v>40</v>
      </c>
      <c r="GH67" s="230">
        <f ref="GH67:GH69" t="shared" si="410">SUBSTITUTE(TRIM(IF(BO67&gt;=3,MID(FT67,FIND("~",SUBSTITUTE(FT67,"/","~",2))+1,IFERROR(FIND("~",SUBSTITUTE(FT67,"/","~",3))-1,LEN(FT67))- FIND("~",SUBSTITUTE(FT67,"/","~",2))),"0")),"m","")*1</f>
        <v>0</v>
      </c>
      <c r="GI67" s="230">
        <f ref="GI67:GI69" t="shared" si="411">SUBSTITUTE(TRIM(IF(BO67&gt;=4,MID(FT67,FIND("~",SUBSTITUTE(FT67,"/","~",3))+1,IFERROR(FIND("~",SUBSTITUTE(FT67,"/","~",4))-1,LEN(FT67))- FIND("~",SUBSTITUTE(FT67,"/","~",3))),"0")),"m","")*1</f>
        <v>0</v>
      </c>
      <c r="GJ67" s="230">
        <f ref="GJ67:GJ69" t="shared" si="412">SUBSTITUTE(TRIM(IF(BO67&gt;=5,MID(FT67,FIND("~",SUBSTITUTE(FT67,"/","~",4))+1,IFERROR(FIND("~",SUBSTITUTE(FT67,"/","~",5))-1,LEN(FT67))- FIND("~",SUBSTITUTE(FT67,"/","~",4))),"0")),"m","")*1</f>
        <v>0</v>
      </c>
      <c r="GK67" s="230">
        <f ref="GK67:GK69" t="shared" si="413">SUBSTITUTE(TRIM(IF(BO67&gt;=6,MID(FT67,FIND("~",SUBSTITUTE(FT67,"/","~",5))+1,IFERROR(FIND("~",SUBSTITUTE(FT67,"/","~",6))-1,LEN(FT67))- FIND("~",SUBSTITUTE(FT67,"/","~",5))),"0")),"m","")*1</f>
        <v>0</v>
      </c>
      <c r="GL67" s="230">
        <f ref="GL67:GL69" t="shared" si="414">SUBSTITUTE(IF(BP67&gt;=1,MID(FU67,1,IFERROR(FIND("~",SUBSTITUTE(FU67,"/","~",1))-1,LEN(FU67))),"0"),"m","")*1</f>
        <v>0</v>
      </c>
      <c r="GM67" s="230">
        <f ref="GM67:GM69" t="shared" si="415">SUBSTITUTE(TRIM(IF(BP67&gt;=2,MID(FU67,FIND("~",SUBSTITUTE(FU67,"/","~",1))+1,IFERROR(FIND("~",SUBSTITUTE(FU67,"/","~",2))-1,LEN(FU67))- FIND("~",SUBSTITUTE(FU67,"/","~",1))),"0")),"m","")*1</f>
        <v>0</v>
      </c>
      <c r="GN67" s="230">
        <f ref="GN67:GN69" t="shared" si="416">SUBSTITUTE(TRIM(IF(BP67&gt;=3,MID(FU67,FIND("~",SUBSTITUTE(FU67,"/","~",2))+1,IFERROR(FIND("~",SUBSTITUTE(FU67,"/","~",3))-1,LEN(FU67))- FIND("~",SUBSTITUTE(FU67,"/","~",2))),"0")),"m","")*1</f>
        <v>0</v>
      </c>
      <c r="GO67" s="230">
        <f ref="GO67:GO69" t="shared" si="417">SUBSTITUTE(TRIM(IF(BP67&gt;=4,MID(FU67,FIND("~",SUBSTITUTE(FU67,"/","~",3))+1,IFERROR(FIND("~",SUBSTITUTE(FU67,"/","~",4))-1,LEN(FU67))- FIND("~",SUBSTITUTE(FU67,"/","~",3))),"0")),"m","")*1</f>
        <v>0</v>
      </c>
      <c r="GP67" s="230">
        <f ref="GP67:GP69" t="shared" si="418">SUBSTITUTE(TRIM(IF(BP67&gt;=5,MID(FU67,FIND("~",SUBSTITUTE(FU67,"/","~",4))+1,IFERROR(FIND("~",SUBSTITUTE(FU67,"/","~",5))-1,LEN(FU67))- FIND("~",SUBSTITUTE(FU67,"/","~",4))),"0")),"m","")*1</f>
        <v>0</v>
      </c>
      <c r="GQ67" s="230">
        <f ref="GQ67:GQ69" t="shared" si="419">SUBSTITUTE(TRIM(IF(BP67&gt;=6,MID(FU67,FIND("~",SUBSTITUTE(FU67,"/","~",5))+1,IFERROR(FIND("~",SUBSTITUTE(FU67,"/","~",6))-1,LEN(FU67))- FIND("~",SUBSTITUTE(FU67,"/","~",5))),"0")),"m","")*1</f>
        <v>0</v>
      </c>
      <c r="GR67" s="230">
        <f ref="GR67:GR69" t="shared" si="420">SUBSTITUTE(IF(BQ67&gt;=1,MID(FV67,1,IFERROR(FIND("~",SUBSTITUTE(FV67,"/","~",1))-1,LEN(FV67))),"0"),"m","")*1</f>
        <v>0</v>
      </c>
      <c r="GS67" s="230">
        <f ref="GS67:GS69" t="shared" si="421">SUBSTITUTE(TRIM(IF(BQ67&gt;=2,MID(FV67,FIND("~",SUBSTITUTE(FV67,"/","~",1))+1,IFERROR(FIND("~",SUBSTITUTE(FV67,"/","~",2))-1,LEN(FV67))- FIND("~",SUBSTITUTE(FV67,"/","~",1))),"0")),"m","")*1</f>
        <v>0</v>
      </c>
      <c r="GT67" s="230">
        <f ref="GT67:GT69" t="shared" si="422">SUBSTITUTE(TRIM(IF(BQ67&gt;=3,MID(FV67,FIND("~",SUBSTITUTE(FV67,"/","~",2))+1,IFERROR(FIND("~",SUBSTITUTE(FV67,"/","~",3))-1,LEN(FV67))- FIND("~",SUBSTITUTE(FV67,"/","~",2))),"0")),"m","")*1</f>
        <v>0</v>
      </c>
      <c r="GU67" s="230">
        <f ref="GU67:GU69" t="shared" si="423">SUBSTITUTE(TRIM(IF(BQ67&gt;=4,MID(FV67,FIND("~",SUBSTITUTE(FV67,"/","~",3))+1,IFERROR(FIND("~",SUBSTITUTE(FV67,"/","~",4))-1,LEN(FV67))- FIND("~",SUBSTITUTE(FV67,"/","~",3))),"0")),"m","")*1</f>
        <v>0</v>
      </c>
      <c r="GV67" s="230">
        <f ref="GV67:GV69" t="shared" si="424">SUBSTITUTE(TRIM(IF(BQ67&gt;=5,MID(FV67,FIND("~",SUBSTITUTE(FV67,"/","~",4))+1,IFERROR(FIND("~",SUBSTITUTE(FV67,"/","~",5))-1,LEN(FV67))- FIND("~",SUBSTITUTE(FV67,"/","~",4))),"0")),"m","")*1</f>
        <v>0</v>
      </c>
      <c r="GW67" s="230">
        <f ref="GW67:GW69" t="shared" si="425">SUBSTITUTE(TRIM(IF(BQ67&gt;=6,MID(FV67,FIND("~",SUBSTITUTE(FV67,"/","~",5))+1,IFERROR(FIND("~",SUBSTITUTE(FV67,"/","~",6))-1,LEN(FV67))- FIND("~",SUBSTITUTE(FV67,"/","~",5))),"0")),"m","")*1</f>
        <v>0</v>
      </c>
      <c r="GX67" s="230">
        <f ref="GX67:GX69" t="shared" si="426">SUBSTITUTE(IF(BR67&gt;=1,MID(FW67,1,IFERROR(FIND("~",SUBSTITUTE(FW67,"/","~",1))-1,LEN(FW67))),"0"),"m","")*1</f>
        <v>0</v>
      </c>
      <c r="GY67" s="230">
        <f ref="GY67:GY69" t="shared" si="427">SUBSTITUTE(TRIM(IF(BR67&gt;=2,MID(FW67,FIND("~",SUBSTITUTE(FW67,"/","~",1))+1,IFERROR(FIND("~",SUBSTITUTE(FW67,"/","~",2))-1,LEN(FW67))- FIND("~",SUBSTITUTE(FW67,"/","~",1))),"0")),"m","")*1</f>
        <v>0</v>
      </c>
      <c r="GZ67" s="230">
        <f ref="GZ67:GZ69" t="shared" si="428">SUBSTITUTE(TRIM(IF(BR67&gt;=3,MID(FW67,FIND("~",SUBSTITUTE(FW67,"/","~",2))+1,IFERROR(FIND("~",SUBSTITUTE(FW67,"/","~",3))-1,LEN(FW67))- FIND("~",SUBSTITUTE(FW67,"/","~",2))),"0")),"m","")*1</f>
        <v>0</v>
      </c>
      <c r="HA67" s="230">
        <f ref="HA67:HA69" t="shared" si="429">SUBSTITUTE(TRIM(IF(BR67&gt;=4,MID(FW67,FIND("~",SUBSTITUTE(FW67,"/","~",3))+1,IFERROR(FIND("~",SUBSTITUTE(FW67,"/","~",4))-1,LEN(FW67))- FIND("~",SUBSTITUTE(FW67,"/","~",3))),"0")),"m","")*1</f>
        <v>0</v>
      </c>
      <c r="HB67" s="230">
        <f ref="HB67:HB69" t="shared" si="430">SUBSTITUTE(TRIM(IF(BR67&gt;=5,MID(FW67,FIND("~",SUBSTITUTE(FW67,"/","~",4))+1,IFERROR(FIND("~",SUBSTITUTE(FW67,"/","~",5))-1,LEN(FW67))- FIND("~",SUBSTITUTE(FW67,"/","~",4))),"0")),"m","")*1</f>
        <v>0</v>
      </c>
      <c r="HC67" s="230">
        <f ref="HC67:HC69" t="shared" si="431">SUBSTITUTE(TRIM(IF(BR67&gt;=6,MID(FW67,FIND("~",SUBSTITUTE(FW67,"/","~",5))+1,IFERROR(FIND("~",SUBSTITUTE(FW67,"/","~",6))-1,LEN(FW67))- FIND("~",SUBSTITUTE(FW67,"/","~",5))),"0")),"m","")*1</f>
        <v>0</v>
      </c>
      <c r="HD67" s="230">
        <f ref="HD67:HD69" t="shared" si="432">SUBSTITUTE(IF(BS67&gt;=1,MID(FX67,1,IFERROR(FIND("~",SUBSTITUTE(FX67,"/","~",1))-1,LEN(FX67))),"0"),"m","")*1</f>
        <v>0</v>
      </c>
      <c r="HE67" s="230">
        <f ref="HE67:HE69" t="shared" si="433">SUBSTITUTE(TRIM(IF(BS67&gt;=2,MID(FX67,FIND("~",SUBSTITUTE(FX67,"/","~",1))+1,IFERROR(FIND("~",SUBSTITUTE(FX67,"/","~",2))-1,LEN(FX67))- FIND("~",SUBSTITUTE(FX67,"/","~",1))),"0")),"m","")*1</f>
        <v>0</v>
      </c>
      <c r="HF67" s="230">
        <f ref="HF67:HF69" t="shared" si="434">SUBSTITUTE(TRIM(IF(BS67&gt;=3,MID(FX67,FIND("~",SUBSTITUTE(FX67,"/","~",2))+1,IFERROR(FIND("~",SUBSTITUTE(FX67,"/","~",3))-1,LEN(FX67))- FIND("~",SUBSTITUTE(FX67,"/","~",2))),"0")),"m","")*1</f>
        <v>0</v>
      </c>
      <c r="HG67" s="230">
        <f ref="HG67:HG69" t="shared" si="435">SUBSTITUTE(TRIM(IF(BS67&gt;=4,MID(FX67,FIND("~",SUBSTITUTE(FX67,"/","~",3))+1,IFERROR(FIND("~",SUBSTITUTE(FX67,"/","~",4))-1,LEN(FX67))- FIND("~",SUBSTITUTE(FX67,"/","~",3))),"0")),"m","")*1</f>
        <v>0</v>
      </c>
      <c r="HH67" s="230">
        <f ref="HH67:HH69" t="shared" si="436">SUBSTITUTE(TRIM(IF(BS67&gt;=5,MID(FX67,FIND("~",SUBSTITUTE(FX67,"/","~",4))+1,IFERROR(FIND("~",SUBSTITUTE(FX67,"/","~",5))-1,LEN(FX67))- FIND("~",SUBSTITUTE(FX67,"/","~",4))),"0")),"m","")*1</f>
        <v>0</v>
      </c>
      <c r="HI67" s="230">
        <f ref="HI67:HI69" t="shared" si="437">SUBSTITUTE(TRIM(IF(BS67&gt;=6,MID(FX67,FIND("~",SUBSTITUTE(FX67,"/","~",5))+1,IFERROR(FIND("~",SUBSTITUTE(FX67,"/","~",6))-1,LEN(FX67))- FIND("~",SUBSTITUTE(FX67,"/","~",5))),"0")),"m","")*1</f>
        <v>0</v>
      </c>
      <c r="HJ67" s="230">
        <f ref="HJ67:HJ69" t="shared" si="438">SUBSTITUTE(IF(BT67&gt;=1,MID(FY67,1,IFERROR(FIND("~",SUBSTITUTE(FY67,"/","~",1))-1,LEN(FY67))),"0"),"m","")*1</f>
        <v>0</v>
      </c>
      <c r="HK67" s="230">
        <f ref="HK67:HK69" t="shared" si="439">SUBSTITUTE(TRIM(IF(BT67&gt;=2,MID(FY67,FIND("~",SUBSTITUTE(FY67,"/","~",1))+1,IFERROR(FIND("~",SUBSTITUTE(FY67,"/","~",2))-1,LEN(FY67))- FIND("~",SUBSTITUTE(FY67,"/","~",1))),"0")),"m","")*1</f>
        <v>0</v>
      </c>
      <c r="HL67" s="230">
        <f ref="HL67:HL69" t="shared" si="440">SUBSTITUTE(TRIM(IF(BT67&gt;=3,MID(FY67,FIND("~",SUBSTITUTE(FY67,"/","~",2))+1,IFERROR(FIND("~",SUBSTITUTE(FY67,"/","~",3))-1,LEN(FY67))- FIND("~",SUBSTITUTE(FY67,"/","~",2))),"0")),"m","")*1</f>
        <v>0</v>
      </c>
      <c r="HM67" s="230">
        <f ref="HM67:HM69" t="shared" si="441">SUBSTITUTE(TRIM(IF(BT67&gt;=4,MID(FY67,FIND("~",SUBSTITUTE(FY67,"/","~",3))+1,IFERROR(FIND("~",SUBSTITUTE(FY67,"/","~",4))-1,LEN(FY67))- FIND("~",SUBSTITUTE(FY67,"/","~",3))),"0")),"m","")*1</f>
        <v>0</v>
      </c>
      <c r="HN67" s="230">
        <f ref="HN67:HN69" t="shared" si="442">SUBSTITUTE(TRIM(IF(BT67&gt;=5,MID(FY67,FIND("~",SUBSTITUTE(FY67,"/","~",4))+1,IFERROR(FIND("~",SUBSTITUTE(FY67,"/","~",5))-1,LEN(FY67))- FIND("~",SUBSTITUTE(FY67,"/","~",4))),"0")),"m","")*1</f>
        <v>0</v>
      </c>
      <c r="HO67" s="230">
        <f ref="HO67:HO69" t="shared" si="443">SUBSTITUTE(TRIM(IF(BT67&gt;=6,MID(FY67,FIND("~",SUBSTITUTE(FY67,"/","~",5))+1,IFERROR(FIND("~",SUBSTITUTE(FY67,"/","~",6))-1,LEN(FY67))- FIND("~",SUBSTITUTE(FY67,"/","~",5))),"0")),"m","")*1</f>
        <v>0</v>
      </c>
      <c r="HP67" s="230" t="str">
        <f>INDEX(LabNameList,MATCH(LabId,LabIDList,0))</f>
        <v>Trung tâm Kiểm định và Chứng nhận 2</v>
      </c>
      <c r="HQ67" s="230">
        <f ref="HQ67:HQ69" t="shared" si="444">MinMultiple(GF67:GI67,BO67)</f>
        <v>40</v>
      </c>
      <c r="HR67" s="230">
        <f ref="HR67:HR69" t="shared" si="445">MinMultiple(GL67:GO67,BP67)</f>
        <v>0</v>
      </c>
      <c r="HS67" s="230">
        <f ref="HS67:HS69" t="shared" si="446">MinMultiple(GR67:GU67,BQ67)</f>
        <v>0</v>
      </c>
      <c r="HT67" s="230">
        <f ref="HT67:HT69" t="shared" si="447">MinMultiple(GX67:HA67,BR67)</f>
        <v>0</v>
      </c>
      <c r="HU67" s="230">
        <f ref="HU67:HU69" t="shared" si="448">MinMultiple(HD67:HG67,BS67)</f>
        <v>0</v>
      </c>
      <c r="HV67" s="230">
        <f ref="HV67:HV69" t="shared" si="449">MinMultiple(HJ67:HM67,BT67)</f>
        <v>0</v>
      </c>
      <c r="HW67" s="797">
        <f ref="HW67:HW69" t="shared" si="450">MinMultiple(HQ67:HV67,I67)</f>
        <v>40</v>
      </c>
      <c r="HX67" s="797">
        <f>Input!EB67</f>
        <v>0</v>
      </c>
      <c r="HY67" s="230">
        <v>68</v>
      </c>
      <c r="HZ67" s="230"/>
      <c r="IA67" s="230"/>
      <c r="IB67" s="230"/>
      <c r="IC67" s="232" t="str">
        <f ref="IC67:IC69" t="shared" si="451">IF(LEN(ID67)=4,"B0"&amp;ID67&amp;IE67&amp;IF67,IF(LEN(ID67)=3,"B00"&amp;ID67&amp;IE67&amp;IF67,IF(LEN(ID67)=2,"B000"&amp;ID67&amp;IE67&amp;IF67,IF(LEN(ID67)=1,"B0000"&amp;ID67&amp;IE67&amp;IF67,"B"&amp;ID67&amp;IE67&amp;IF67))))</f>
        <v>B02018171016TG05</v>
      </c>
      <c r="ID67" s="233">
        <f>Input!O67</f>
        <v>2018</v>
      </c>
      <c r="IE67" s="467" t="str">
        <f ref="IE67:IE69" t="shared" si="452">TEXT(II67,"ddmmyy")</f>
        <v>171016</v>
      </c>
      <c r="IF67" s="232" t="s">
        <v>364</v>
      </c>
      <c r="IG67" s="467" t="str">
        <f ref="IG67:IG69" t="shared" si="453">TEXT(II67,"dd/mm/yyyy")</f>
        <v>17/10/2016</v>
      </c>
      <c r="IH67" s="467" t="str">
        <f ref="IH67:IH69" t="shared" si="454">TEXT(IJ67,"dd/mm/yyyy")</f>
        <v>17/10/2021</v>
      </c>
      <c r="II67" s="546" t="str">
        <f> Input!R67</f>
        <v>17/10/2016</v>
      </c>
      <c r="IJ67" s="467">
        <f ref="IJ67:IJ69" t="shared" si="455">DATE(YEAR(II67) + 5,MONTH(II67),DAY(II67))</f>
        <v>44486</v>
      </c>
      <c r="IK67" s="468">
        <f ref="IK67:IK69" t="shared" si="456">IFERROR(MATCH("",AP67:AU67,0)-1,6)</f>
        <v>3</v>
      </c>
      <c r="IL67" s="469" t="str">
        <f ref="IL67:IL69" t="shared" si="457">IK67&amp;"-"&amp;IR67</f>
        <v>3-1</v>
      </c>
      <c r="IM67" s="469" t="str">
        <f ref="IM67:IM69" t="shared" si="458">IF(AQ67&lt;&gt;"",IF(AQ67=AP67,"CHUNG","KHAC"),"")</f>
        <v>KHAC</v>
      </c>
      <c r="IN67" s="469" t="str">
        <f ref="IN67:IN69" t="shared" si="459">IF(AR67&lt;&gt;"",IF(AR67=AP67,"CHUNG","KHAC"),"")</f>
        <v>KHAC</v>
      </c>
      <c r="IO67" s="469" t="str">
        <f ref="IO67:IO69" t="shared" si="460">IF(AS67&lt;&gt;"",IF(AS67=AP67,"CHUNG","KHAC"),"")</f>
      </c>
      <c r="IP67" s="469" t="str">
        <f ref="IP67:IP69" t="shared" si="461">IF(AT67&lt;&gt;"",IF(AT67=AP67,"CHUNG","KHAC"),"")</f>
      </c>
      <c r="IQ67" s="469" t="str">
        <f ref="IQ67:IQ69" t="shared" si="462">IF(AU67&lt;&gt;"",IF(AU67=AP67,"CHUNG","KHAC"),"")</f>
      </c>
      <c r="IR67" s="469">
        <f ref="IR67:IR69" t="shared" si="463">IF(COUNTIF(IM67:IQ67,"CHUNG")=0,1,COUNTIF(IM67:IQ67,"CHUNG")+1)</f>
        <v>1</v>
      </c>
      <c r="IS67" s="469">
        <f ref="IS67:IS69" t="shared" si="464">IK67-IR67</f>
        <v>2</v>
      </c>
      <c r="IT67" s="469" t="str">
        <f ref="IT67:IT69" t="shared" si="465">IF(IS67=0,"No","Yes")</f>
        <v>Yes</v>
      </c>
      <c r="IU67" s="469" t="str">
        <f ref="IU67:IU69" t="shared" si="466">IF(IS67=0,"No","Yes")</f>
        <v>Yes</v>
      </c>
    </row>
    <row r="68" ht="63.75">
      <c r="A68" s="601">
        <f>Input!A68</f>
        <v>67</v>
      </c>
      <c r="B68" s="229" t="str">
        <f>INDEX(ApplicantIDList,MATCH(AI68,ApplicantNameList,0))</f>
        <v>VIETTEL-2016</v>
      </c>
      <c r="C68" s="229" t="str">
        <f>INDEX(OperatorIDList,MATCH(AJ68,OperatorNameList,0))</f>
        <v>VIETTEL-2016</v>
      </c>
      <c r="D68" s="797" t="str">
        <f>Input!Y68</f>
        <v>BTN0172-11</v>
      </c>
      <c r="E68" s="229" t="str">
        <f>Input!G68</f>
        <v>Đường Lê Văn Tám, khu phố 8, phường Tân An, thị xã La Gi, tỉnh Bình Thuận.</v>
      </c>
      <c r="F68" s="229" t="str">
        <f>TRIM(SUBSTITUTE(SUBSTITUTE(Input!H68,"Thành phố ",""),"Tỉnh ",""))</f>
        <v>Bình Thuận</v>
      </c>
      <c r="G68" s="797" t="str">
        <f>Input!I68</f>
        <v>107,74673</v>
      </c>
      <c r="H68" s="797" t="str">
        <f>Input!J68</f>
        <v> 10,6965</v>
      </c>
      <c r="I68" s="229">
        <f>Input!V68</f>
        <v>1</v>
      </c>
      <c r="J68" s="229" t="str">
        <f>Input!K68</f>
        <v>1501448/16/TG/TT2</v>
      </c>
      <c r="K68" s="231" t="str">
        <f>TEXT(Input!L68,"dd/mm/yyyy")</f>
        <v>17/10/2016</v>
      </c>
      <c r="L68" s="231" t="str">
        <f>TEXT(Input!M68,"dd/mm/yyyy")</f>
        <v>08/10/2016</v>
      </c>
      <c r="M68" s="229" t="str">
        <f t="shared" si="301"/>
        <v>TỔNG CÔNG TY MẠNG LƯỚI VIETTEL</v>
      </c>
      <c r="N68" s="229" t="str">
        <f t="shared" si="302"/>
        <v>BTN0172-11</v>
      </c>
      <c r="O68" s="229" t="str">
        <f t="shared" si="303"/>
        <v>HUAWEI DBS3900</v>
      </c>
      <c r="P68" s="229" t="str">
        <f t="shared" si="304"/>
        <v>2</v>
      </c>
      <c r="Q68" s="229" t="str">
        <f t="shared" si="305"/>
        <v>2/2</v>
      </c>
      <c r="R68" s="229" t="str">
        <f t="shared" si="306"/>
        <v>40W/ 40W</v>
      </c>
      <c r="S68" s="229" t="str">
        <f t="shared" si="307"/>
        <v>2100</v>
      </c>
      <c r="T68" s="229" t="str">
        <f t="shared" si="308"/>
        <v>40m/ 40m</v>
      </c>
      <c r="U68" s="229">
        <v>1</v>
      </c>
      <c r="V68" s="229"/>
      <c r="W68" s="229" t="b">
        <f t="shared" si="309"/>
        <v>1</v>
      </c>
      <c r="X68" s="229" t="b">
        <f>INDEX(TrueFalseList,_xlfn.IFNA(MATCH(Input!W68,CoKhongList,0),MATCH(Input!W68,YesNoList,0)))</f>
        <v>1</v>
      </c>
      <c r="Y68" s="797">
        <f>Input!FZ68</f>
        <v>1</v>
      </c>
      <c r="Z68" s="229" t="b">
        <v>1</v>
      </c>
      <c r="AA68" s="797">
        <f t="shared" si="310"/>
        <v>40</v>
      </c>
      <c r="AB68" s="229" t="b">
        <v>0</v>
      </c>
      <c r="AC68" s="229" t="b">
        <v>1</v>
      </c>
      <c r="AD68" s="229" t="str">
        <f>Input!DR68</f>
        <v>KHÁC</v>
      </c>
      <c r="AE68" s="229"/>
      <c r="AF68" s="229" t="str">
        <f>Options!$D$6</f>
        <v>VCC2</v>
      </c>
      <c r="AG68" s="229" t="str">
        <f t="shared" si="311"/>
        <v>KHÁC</v>
      </c>
      <c r="AH68" s="230"/>
      <c r="AI68" s="553" t="str">
        <f>Input!E68</f>
        <v>TỔNG CÔNG TY MẠNG LƯỚI VIETTEL</v>
      </c>
      <c r="AJ68" s="553" t="str">
        <f>Input!F68</f>
        <v>TỔNG CÔNG TY MẠNG LƯỚI VIETTEL</v>
      </c>
      <c r="AK68" s="229">
        <f t="shared" si="312"/>
        <v>4</v>
      </c>
      <c r="AL68" s="465" t="str">
        <f t="shared" si="313"/>
        <v>tỉnh Bình Thuận.</v>
      </c>
      <c r="AM68" s="465" t="str">
        <f t="shared" si="314"/>
        <v>thị xã La Gi</v>
      </c>
      <c r="AN68" s="465" t="str">
        <f t="shared" si="315"/>
        <v>phường Tân An</v>
      </c>
      <c r="AO68" s="229" t="str">
        <f>INDEX(CityIDList,MATCH(F68,CityNameList,0))</f>
        <v>BTN</v>
      </c>
      <c r="AP68" s="230" t="str">
        <f>Input!X68</f>
        <v>TỔNG CÔNG TY MẠNG LƯỚI VIETTEL</v>
      </c>
      <c r="AQ68" s="230">
        <f>Input!AN68</f>
        <v>0</v>
      </c>
      <c r="AR68" s="230">
        <f>Input!BD68</f>
        <v>0</v>
      </c>
      <c r="AS68" s="230" t="str">
        <f>Input!BT68</f>
      </c>
      <c r="AT68" s="230" t="str">
        <f>Input!CH68</f>
      </c>
      <c r="AU68" s="230" t="str">
        <f>Input!CV68</f>
      </c>
      <c r="AV68" s="230" t="str">
        <f>IF(I68&gt;=1,INDEX(OperatorIDList,MATCH(AP68,OperatorNameList,0)),"")</f>
        <v>VIETTEL-2016</v>
      </c>
      <c r="AW68" s="230" t="str">
        <f>IF(I68&gt;=2,INDEX(OperatorIDList,MATCH(AQ68,OperatorNameList,0)),"")</f>
      </c>
      <c r="AX68" s="230" t="str">
        <f>IF(I68&gt;=3,INDEX(OperatorIDList,MATCH(AR68,OperatorNameList,0)),"")</f>
      </c>
      <c r="AY68" s="230" t="str">
        <f>IF(I68&gt;=4,INDEX(OperatorIDList,MATCH(AS68,OperatorNameList,0)),"")</f>
      </c>
      <c r="AZ68" s="230" t="str">
        <f>IF(I68&gt;=5,INDEX(OperatorIDList,MATCH(AT68,OperatorNameList,0)),"")</f>
      </c>
      <c r="BA68" s="230" t="str">
        <f>IF(I68&gt;=6,INDEX(OperatorIDList,MATCH(AU68,OperatorNameList,0)),"")</f>
      </c>
      <c r="BB68" s="230" t="str">
        <f t="shared" si="316"/>
        <v>VIETTEL-2016</v>
      </c>
      <c r="BC68" s="230" t="str">
        <f>Input!Y68</f>
        <v>BTN0172-11</v>
      </c>
      <c r="BD68" s="230">
        <f>Input!AO68</f>
        <v>0</v>
      </c>
      <c r="BE68" s="230">
        <f>Input!BE68</f>
        <v>0</v>
      </c>
      <c r="BF68" s="230">
        <f>Input!BU68</f>
        <v>0</v>
      </c>
      <c r="BG68" s="230" t="str">
        <f>Input!CI68</f>
      </c>
      <c r="BH68" s="230" t="str">
        <f>Input!CW68</f>
      </c>
      <c r="BI68" s="230" t="str">
        <f>Input!Z68</f>
        <v>HUAWEI DBS3900</v>
      </c>
      <c r="BJ68" s="230">
        <f>Input!AP68</f>
        <v>0</v>
      </c>
      <c r="BK68" s="230">
        <f>Input!BF68</f>
        <v>0</v>
      </c>
      <c r="BL68" s="230">
        <f>Input!BV68</f>
        <v>0</v>
      </c>
      <c r="BM68" s="230" t="str">
        <f>Input!CJ68</f>
      </c>
      <c r="BN68" s="230" t="str">
        <f>Input!CX68</f>
      </c>
      <c r="BO68" s="553">
        <f>IF(ISNUMBER(Input!AA68),Input!AA68,0)</f>
        <v>2</v>
      </c>
      <c r="BP68" s="553">
        <f>IF(ISNUMBER(Input!AQ68),Input!AQ68,0)</f>
        <v>0</v>
      </c>
      <c r="BQ68" s="553">
        <f>IF(ISNUMBER(Input!BG68),Input!BG68,0)</f>
        <v>0</v>
      </c>
      <c r="BR68" s="553">
        <f>IF(ISNUMBER(Input!BW68),Input!BW68,0)</f>
        <v>0</v>
      </c>
      <c r="BS68" s="553">
        <f>IF(ISNUMBER(Input!CK68),Input!CK68,0)</f>
        <v>0</v>
      </c>
      <c r="BT68" s="554">
        <f>IF(ISNUMBER(Input!CY68),Input!CY68,0)</f>
        <v>0</v>
      </c>
      <c r="BU68" s="230" t="str">
        <f>Input!AF68</f>
        <v>2/2</v>
      </c>
      <c r="BV68" s="230">
        <f>Input!AV68</f>
        <v>0</v>
      </c>
      <c r="BW68" s="230">
        <f>Input!BL68</f>
        <v>0</v>
      </c>
      <c r="BX68" s="230" t="str">
        <f>Input!CA68</f>
      </c>
      <c r="BY68" s="230" t="str">
        <f>Input!CO68</f>
      </c>
      <c r="BZ68" s="230" t="str">
        <f>Input!DC68</f>
      </c>
      <c r="CA68" s="230">
        <f t="shared" si="317"/>
        <v>2</v>
      </c>
      <c r="CB68" s="230">
        <f t="shared" si="318"/>
        <v>2</v>
      </c>
      <c r="CC68" s="230">
        <f t="shared" si="319"/>
        <v>0</v>
      </c>
      <c r="CD68" s="230">
        <f t="shared" si="320"/>
        <v>0</v>
      </c>
      <c r="CE68" s="230">
        <f t="shared" si="321"/>
        <v>0</v>
      </c>
      <c r="CF68" s="230">
        <f t="shared" si="322"/>
        <v>0</v>
      </c>
      <c r="CG68" s="230">
        <f t="shared" si="323"/>
        <v>0</v>
      </c>
      <c r="CH68" s="230">
        <f t="shared" si="324"/>
        <v>0</v>
      </c>
      <c r="CI68" s="230">
        <f t="shared" si="325"/>
        <v>0</v>
      </c>
      <c r="CJ68" s="230">
        <f t="shared" si="326"/>
        <v>0</v>
      </c>
      <c r="CK68" s="230">
        <f t="shared" si="327"/>
        <v>0</v>
      </c>
      <c r="CL68" s="230">
        <f t="shared" si="328"/>
        <v>0</v>
      </c>
      <c r="CM68" s="230">
        <f t="shared" si="329"/>
        <v>0</v>
      </c>
      <c r="CN68" s="230">
        <f t="shared" si="330"/>
        <v>0</v>
      </c>
      <c r="CO68" s="230">
        <f t="shared" si="331"/>
        <v>0</v>
      </c>
      <c r="CP68" s="230">
        <f t="shared" si="332"/>
        <v>0</v>
      </c>
      <c r="CQ68" s="230">
        <f t="shared" si="333"/>
        <v>0</v>
      </c>
      <c r="CR68" s="230">
        <f t="shared" si="334"/>
        <v>0</v>
      </c>
      <c r="CS68" s="230">
        <f t="shared" si="335"/>
        <v>0</v>
      </c>
      <c r="CT68" s="230">
        <f t="shared" si="336"/>
        <v>0</v>
      </c>
      <c r="CU68" s="230">
        <f t="shared" si="337"/>
        <v>0</v>
      </c>
      <c r="CV68" s="230">
        <f t="shared" si="338"/>
        <v>0</v>
      </c>
      <c r="CW68" s="230">
        <f t="shared" si="339"/>
        <v>0</v>
      </c>
      <c r="CX68" s="230">
        <f t="shared" si="340"/>
        <v>0</v>
      </c>
      <c r="CY68" s="230">
        <f t="shared" si="341"/>
        <v>0</v>
      </c>
      <c r="CZ68" s="230">
        <f t="shared" si="342"/>
        <v>0</v>
      </c>
      <c r="DA68" s="230">
        <f t="shared" si="343"/>
        <v>0</v>
      </c>
      <c r="DB68" s="230">
        <f t="shared" si="344"/>
        <v>0</v>
      </c>
      <c r="DC68" s="230">
        <f t="shared" si="345"/>
        <v>0</v>
      </c>
      <c r="DD68" s="230">
        <f t="shared" si="346"/>
        <v>0</v>
      </c>
      <c r="DE68" s="230">
        <f t="shared" si="347"/>
        <v>0</v>
      </c>
      <c r="DF68" s="230">
        <f t="shared" si="348"/>
        <v>0</v>
      </c>
      <c r="DG68" s="230">
        <f t="shared" si="349"/>
        <v>0</v>
      </c>
      <c r="DH68" s="230">
        <f t="shared" si="350"/>
        <v>0</v>
      </c>
      <c r="DI68" s="230">
        <f t="shared" si="351"/>
        <v>0</v>
      </c>
      <c r="DJ68" s="230">
        <f t="shared" si="352"/>
        <v>0</v>
      </c>
      <c r="DK68" s="230" t="str">
        <f>Input!AK68</f>
        <v>40,00W/40,00W</v>
      </c>
      <c r="DL68" s="230">
        <f>Input!BA68</f>
        <v>0</v>
      </c>
      <c r="DM68" s="230">
        <f>Input!BQ68</f>
        <v>0</v>
      </c>
      <c r="DN68" s="230" t="str">
        <f>Input!CE68</f>
      </c>
      <c r="DO68" s="230" t="str">
        <f>Input!CS68</f>
      </c>
      <c r="DP68" s="230" t="str">
        <f>Input!DG68</f>
      </c>
      <c r="DQ68" s="230" t="str">
        <f t="shared" si="353"/>
        <v>40W/ 40W</v>
      </c>
      <c r="DR68" s="230" t="str">
        <f t="shared" si="354"/>
      </c>
      <c r="DS68" s="230" t="str">
        <f t="shared" si="355"/>
      </c>
      <c r="DT68" s="230" t="str">
        <f t="shared" si="356"/>
      </c>
      <c r="DU68" s="230" t="str">
        <f t="shared" si="357"/>
      </c>
      <c r="DV68" s="230" t="str">
        <f t="shared" si="358"/>
      </c>
      <c r="DW68" s="230">
        <f t="shared" si="359"/>
        <v>40</v>
      </c>
      <c r="DX68" s="230">
        <f t="shared" si="360"/>
        <v>40</v>
      </c>
      <c r="DY68" s="230">
        <f t="shared" si="361"/>
        <v>0</v>
      </c>
      <c r="DZ68" s="230">
        <f t="shared" si="362"/>
        <v>0</v>
      </c>
      <c r="EA68" s="230">
        <f t="shared" si="363"/>
        <v>0</v>
      </c>
      <c r="EB68" s="230">
        <f t="shared" si="364"/>
        <v>0</v>
      </c>
      <c r="EC68" s="230">
        <f t="shared" si="365"/>
        <v>40</v>
      </c>
      <c r="ED68" s="230">
        <f t="shared" si="366"/>
        <v>0</v>
      </c>
      <c r="EE68" s="230">
        <f t="shared" si="367"/>
        <v>0</v>
      </c>
      <c r="EF68" s="230">
        <f t="shared" si="368"/>
        <v>0</v>
      </c>
      <c r="EG68" s="230">
        <f t="shared" si="369"/>
        <v>0</v>
      </c>
      <c r="EH68" s="230">
        <f t="shared" si="370"/>
        <v>0</v>
      </c>
      <c r="EI68" s="230">
        <f t="shared" si="371"/>
        <v>0</v>
      </c>
      <c r="EJ68" s="230">
        <f t="shared" si="372"/>
        <v>0</v>
      </c>
      <c r="EK68" s="230">
        <f t="shared" si="373"/>
        <v>0</v>
      </c>
      <c r="EL68" s="230">
        <f t="shared" si="374"/>
        <v>0</v>
      </c>
      <c r="EM68" s="230">
        <f t="shared" si="375"/>
        <v>0</v>
      </c>
      <c r="EN68" s="230">
        <f t="shared" si="376"/>
        <v>0</v>
      </c>
      <c r="EO68" s="230">
        <f t="shared" si="377"/>
        <v>0</v>
      </c>
      <c r="EP68" s="230">
        <f t="shared" si="378"/>
        <v>0</v>
      </c>
      <c r="EQ68" s="230">
        <f t="shared" si="379"/>
        <v>0</v>
      </c>
      <c r="ER68" s="230">
        <f t="shared" si="380"/>
        <v>0</v>
      </c>
      <c r="ES68" s="230">
        <f t="shared" si="381"/>
        <v>0</v>
      </c>
      <c r="ET68" s="230">
        <f t="shared" si="382"/>
        <v>0</v>
      </c>
      <c r="EU68" s="230">
        <f t="shared" si="383"/>
        <v>0</v>
      </c>
      <c r="EV68" s="230">
        <f t="shared" si="384"/>
        <v>0</v>
      </c>
      <c r="EW68" s="230">
        <f t="shared" si="385"/>
        <v>0</v>
      </c>
      <c r="EX68" s="230">
        <f t="shared" si="386"/>
        <v>0</v>
      </c>
      <c r="EY68" s="230">
        <f t="shared" si="387"/>
        <v>0</v>
      </c>
      <c r="EZ68" s="230">
        <f t="shared" si="388"/>
        <v>0</v>
      </c>
      <c r="FA68" s="230">
        <f t="shared" si="389"/>
        <v>0</v>
      </c>
      <c r="FB68" s="230">
        <f t="shared" si="390"/>
        <v>0</v>
      </c>
      <c r="FC68" s="230">
        <f t="shared" si="391"/>
        <v>0</v>
      </c>
      <c r="FD68" s="230">
        <f t="shared" si="392"/>
        <v>0</v>
      </c>
      <c r="FE68" s="230">
        <f t="shared" si="393"/>
        <v>0</v>
      </c>
      <c r="FF68" s="230">
        <f t="shared" si="394"/>
        <v>0</v>
      </c>
      <c r="FG68" s="230">
        <f t="shared" si="395"/>
        <v>0</v>
      </c>
      <c r="FH68" s="230">
        <f t="shared" si="396"/>
        <v>0</v>
      </c>
      <c r="FI68" s="230">
        <f t="shared" si="397"/>
        <v>0</v>
      </c>
      <c r="FJ68" s="230">
        <f t="shared" si="398"/>
        <v>0</v>
      </c>
      <c r="FK68" s="230">
        <f t="shared" si="399"/>
        <v>0</v>
      </c>
      <c r="FL68" s="230">
        <f t="shared" si="400"/>
        <v>0</v>
      </c>
      <c r="FM68" s="230">
        <f t="shared" si="401"/>
        <v>40</v>
      </c>
      <c r="FN68" s="230">
        <f>Input!AL68</f>
        <v>2100</v>
      </c>
      <c r="FO68" s="230">
        <f>Input!BB68</f>
        <v>0</v>
      </c>
      <c r="FP68" s="230">
        <f>Input!BR68</f>
        <v>0</v>
      </c>
      <c r="FQ68" s="230" t="str">
        <f>Input!CF68</f>
      </c>
      <c r="FR68" s="230" t="str">
        <f>Input!CT68</f>
      </c>
      <c r="FS68" s="230" t="str">
        <f>Input!DH68</f>
      </c>
      <c r="FT68" s="230" t="str">
        <f>Input!AM68</f>
        <v>40m/ 40m</v>
      </c>
      <c r="FU68" s="230">
        <f>Input!BC68</f>
        <v>0</v>
      </c>
      <c r="FV68" s="230">
        <f>Input!BS68</f>
        <v>0</v>
      </c>
      <c r="FW68" s="230" t="str">
        <f>Input!CG68</f>
      </c>
      <c r="FX68" s="230" t="str">
        <f>Input!CU68</f>
      </c>
      <c r="FY68" s="230" t="str">
        <f>Input!DI68</f>
      </c>
      <c r="FZ68" s="230" t="str">
        <f t="shared" si="402"/>
        <v>40m/ 40m</v>
      </c>
      <c r="GA68" s="230" t="str">
        <f t="shared" si="403"/>
      </c>
      <c r="GB68" s="230" t="str">
        <f t="shared" si="404"/>
      </c>
      <c r="GC68" s="230" t="str">
        <f t="shared" si="405"/>
      </c>
      <c r="GD68" s="230" t="str">
        <f t="shared" si="406"/>
      </c>
      <c r="GE68" s="230" t="str">
        <f t="shared" si="407"/>
      </c>
      <c r="GF68" s="230">
        <f t="shared" si="408"/>
        <v>40</v>
      </c>
      <c r="GG68" s="230">
        <f t="shared" si="409"/>
        <v>40</v>
      </c>
      <c r="GH68" s="230">
        <f t="shared" si="410"/>
        <v>0</v>
      </c>
      <c r="GI68" s="230">
        <f t="shared" si="411"/>
        <v>0</v>
      </c>
      <c r="GJ68" s="230">
        <f t="shared" si="412"/>
        <v>0</v>
      </c>
      <c r="GK68" s="230">
        <f t="shared" si="413"/>
        <v>0</v>
      </c>
      <c r="GL68" s="230">
        <f t="shared" si="414"/>
        <v>0</v>
      </c>
      <c r="GM68" s="230">
        <f t="shared" si="415"/>
        <v>0</v>
      </c>
      <c r="GN68" s="230">
        <f t="shared" si="416"/>
        <v>0</v>
      </c>
      <c r="GO68" s="230">
        <f t="shared" si="417"/>
        <v>0</v>
      </c>
      <c r="GP68" s="230">
        <f t="shared" si="418"/>
        <v>0</v>
      </c>
      <c r="GQ68" s="230">
        <f t="shared" si="419"/>
        <v>0</v>
      </c>
      <c r="GR68" s="230">
        <f t="shared" si="420"/>
        <v>0</v>
      </c>
      <c r="GS68" s="230">
        <f t="shared" si="421"/>
        <v>0</v>
      </c>
      <c r="GT68" s="230">
        <f t="shared" si="422"/>
        <v>0</v>
      </c>
      <c r="GU68" s="230">
        <f t="shared" si="423"/>
        <v>0</v>
      </c>
      <c r="GV68" s="230">
        <f t="shared" si="424"/>
        <v>0</v>
      </c>
      <c r="GW68" s="230">
        <f t="shared" si="425"/>
        <v>0</v>
      </c>
      <c r="GX68" s="230">
        <f t="shared" si="426"/>
        <v>0</v>
      </c>
      <c r="GY68" s="230">
        <f t="shared" si="427"/>
        <v>0</v>
      </c>
      <c r="GZ68" s="230">
        <f t="shared" si="428"/>
        <v>0</v>
      </c>
      <c r="HA68" s="230">
        <f t="shared" si="429"/>
        <v>0</v>
      </c>
      <c r="HB68" s="230">
        <f t="shared" si="430"/>
        <v>0</v>
      </c>
      <c r="HC68" s="230">
        <f t="shared" si="431"/>
        <v>0</v>
      </c>
      <c r="HD68" s="230">
        <f t="shared" si="432"/>
        <v>0</v>
      </c>
      <c r="HE68" s="230">
        <f t="shared" si="433"/>
        <v>0</v>
      </c>
      <c r="HF68" s="230">
        <f t="shared" si="434"/>
        <v>0</v>
      </c>
      <c r="HG68" s="230">
        <f t="shared" si="435"/>
        <v>0</v>
      </c>
      <c r="HH68" s="230">
        <f t="shared" si="436"/>
        <v>0</v>
      </c>
      <c r="HI68" s="230">
        <f t="shared" si="437"/>
        <v>0</v>
      </c>
      <c r="HJ68" s="230">
        <f t="shared" si="438"/>
        <v>0</v>
      </c>
      <c r="HK68" s="230">
        <f t="shared" si="439"/>
        <v>0</v>
      </c>
      <c r="HL68" s="230">
        <f t="shared" si="440"/>
        <v>0</v>
      </c>
      <c r="HM68" s="230">
        <f t="shared" si="441"/>
        <v>0</v>
      </c>
      <c r="HN68" s="230">
        <f t="shared" si="442"/>
        <v>0</v>
      </c>
      <c r="HO68" s="230">
        <f t="shared" si="443"/>
        <v>0</v>
      </c>
      <c r="HP68" s="230" t="str">
        <f>INDEX(LabNameList,MATCH(LabId,LabIDList,0))</f>
        <v>Trung tâm Kiểm định và Chứng nhận 2</v>
      </c>
      <c r="HQ68" s="230">
        <f t="shared" si="444"/>
        <v>40</v>
      </c>
      <c r="HR68" s="230">
        <f t="shared" si="445"/>
        <v>0</v>
      </c>
      <c r="HS68" s="230">
        <f t="shared" si="446"/>
        <v>0</v>
      </c>
      <c r="HT68" s="230">
        <f t="shared" si="447"/>
        <v>0</v>
      </c>
      <c r="HU68" s="230">
        <f t="shared" si="448"/>
        <v>0</v>
      </c>
      <c r="HV68" s="230">
        <f t="shared" si="449"/>
        <v>0</v>
      </c>
      <c r="HW68" s="797">
        <f t="shared" si="450"/>
        <v>40</v>
      </c>
      <c r="HX68" s="797">
        <f>Input!EB68</f>
        <v>0</v>
      </c>
      <c r="HY68" s="230">
        <v>68</v>
      </c>
      <c r="HZ68" s="230"/>
      <c r="IA68" s="230"/>
      <c r="IB68" s="230"/>
      <c r="IC68" s="232" t="str">
        <f t="shared" si="451"/>
        <v>B02019171016TG05</v>
      </c>
      <c r="ID68" s="233">
        <f>Input!O68</f>
        <v>2019</v>
      </c>
      <c r="IE68" s="467" t="str">
        <f t="shared" si="452"/>
        <v>171016</v>
      </c>
      <c r="IF68" s="232" t="s">
        <v>364</v>
      </c>
      <c r="IG68" s="467" t="str">
        <f t="shared" si="453"/>
        <v>17/10/2016</v>
      </c>
      <c r="IH68" s="467" t="str">
        <f t="shared" si="454"/>
        <v>17/10/2021</v>
      </c>
      <c r="II68" s="546" t="str">
        <f> Input!R68</f>
        <v>17/10/2016</v>
      </c>
      <c r="IJ68" s="467">
        <f t="shared" si="455"/>
        <v>44486</v>
      </c>
      <c r="IK68" s="468">
        <f t="shared" si="456"/>
        <v>3</v>
      </c>
      <c r="IL68" s="469" t="str">
        <f t="shared" si="457"/>
        <v>3-1</v>
      </c>
      <c r="IM68" s="469" t="str">
        <f t="shared" si="458"/>
        <v>KHAC</v>
      </c>
      <c r="IN68" s="469" t="str">
        <f t="shared" si="459"/>
        <v>KHAC</v>
      </c>
      <c r="IO68" s="469" t="str">
        <f t="shared" si="460"/>
      </c>
      <c r="IP68" s="469" t="str">
        <f t="shared" si="461"/>
      </c>
      <c r="IQ68" s="469" t="str">
        <f t="shared" si="462"/>
      </c>
      <c r="IR68" s="469">
        <f t="shared" si="463"/>
        <v>1</v>
      </c>
      <c r="IS68" s="469">
        <f t="shared" si="464"/>
        <v>2</v>
      </c>
      <c r="IT68" s="469" t="str">
        <f t="shared" si="465"/>
        <v>Yes</v>
      </c>
      <c r="IU68" s="469" t="str">
        <f t="shared" si="466"/>
        <v>Yes</v>
      </c>
    </row>
    <row r="69" ht="63.75">
      <c r="A69" s="601">
        <f>Input!A69</f>
        <v>68</v>
      </c>
      <c r="B69" s="229" t="str">
        <f>INDEX(ApplicantIDList,MATCH(AI69,ApplicantNameList,0))</f>
        <v>VIETTEL-2016</v>
      </c>
      <c r="C69" s="229" t="str">
        <f>INDEX(OperatorIDList,MATCH(AJ69,OperatorNameList,0))</f>
        <v>VIETTEL-2016</v>
      </c>
      <c r="D69" s="797" t="str">
        <f>Input!Y69</f>
        <v>BTN0420</v>
      </c>
      <c r="E69" s="229" t="str">
        <f>Input!G69</f>
        <v>Đường Võ Thị Sáu, khu phố 5, thị trấn Liên Hương, huyện Tuy Phong, tỉnh Bình Thuận.</v>
      </c>
      <c r="F69" s="229" t="str">
        <f>TRIM(SUBSTITUTE(SUBSTITUTE(Input!H69,"Thành phố ",""),"Tỉnh ",""))</f>
        <v>Bình Thuận</v>
      </c>
      <c r="G69" s="797" t="str">
        <f>Input!I69</f>
        <v>108,72747</v>
      </c>
      <c r="H69" s="797" t="str">
        <f>Input!J69</f>
        <v> 11,21911</v>
      </c>
      <c r="I69" s="229">
        <f>Input!V69</f>
        <v>1</v>
      </c>
      <c r="J69" s="229" t="str">
        <f>Input!K69</f>
        <v>1501449/16/TG/TT2</v>
      </c>
      <c r="K69" s="231" t="str">
        <f>TEXT(Input!L69,"dd/mm/yyyy")</f>
        <v>17/10/2016</v>
      </c>
      <c r="L69" s="231" t="str">
        <f>TEXT(Input!M69,"dd/mm/yyyy")</f>
        <v>14/10/2016</v>
      </c>
      <c r="M69" s="229" t="str">
        <f t="shared" si="301"/>
        <v>TỔNG CÔNG TY MẠNG LƯỚI VIETTEL</v>
      </c>
      <c r="N69" s="229" t="str">
        <f t="shared" si="302"/>
        <v>BTN0420</v>
      </c>
      <c r="O69" s="229" t="str">
        <f t="shared" si="303"/>
        <v>HUAWEI DBS3900</v>
      </c>
      <c r="P69" s="229" t="str">
        <f t="shared" si="304"/>
        <v>3</v>
      </c>
      <c r="Q69" s="229" t="str">
        <f t="shared" si="305"/>
        <v>2/2/2</v>
      </c>
      <c r="R69" s="229" t="str">
        <f t="shared" si="306"/>
        <v>40W/ 40W/ 40W</v>
      </c>
      <c r="S69" s="229" t="str">
        <f t="shared" si="307"/>
        <v>2100</v>
      </c>
      <c r="T69" s="229" t="str">
        <f t="shared" si="308"/>
        <v>40m/ 40m/ 40m</v>
      </c>
      <c r="U69" s="229">
        <v>1</v>
      </c>
      <c r="V69" s="229"/>
      <c r="W69" s="229" t="b">
        <f t="shared" si="309"/>
        <v>1</v>
      </c>
      <c r="X69" s="229" t="b">
        <f>INDEX(TrueFalseList,_xlfn.IFNA(MATCH(Input!W69,CoKhongList,0),MATCH(Input!W69,YesNoList,0)))</f>
        <v>1</v>
      </c>
      <c r="Y69" s="797">
        <f>Input!FZ69</f>
        <v>1</v>
      </c>
      <c r="Z69" s="229" t="b">
        <v>1</v>
      </c>
      <c r="AA69" s="797">
        <f t="shared" si="310"/>
        <v>40</v>
      </c>
      <c r="AB69" s="229" t="b">
        <v>0</v>
      </c>
      <c r="AC69" s="229" t="b">
        <v>1</v>
      </c>
      <c r="AD69" s="229" t="str">
        <f>Input!DR69</f>
        <v>KHÁC</v>
      </c>
      <c r="AE69" s="229"/>
      <c r="AF69" s="229" t="str">
        <f>Options!$D$6</f>
        <v>VCC2</v>
      </c>
      <c r="AG69" s="229" t="str">
        <f t="shared" si="311"/>
        <v>KHÁC</v>
      </c>
      <c r="AH69" s="230"/>
      <c r="AI69" s="553" t="str">
        <f>Input!E69</f>
        <v>TỔNG CÔNG TY MẠNG LƯỚI VIETTEL</v>
      </c>
      <c r="AJ69" s="553" t="str">
        <f>Input!F69</f>
        <v>TỔNG CÔNG TY MẠNG LƯỚI VIETTEL</v>
      </c>
      <c r="AK69" s="229">
        <f t="shared" si="312"/>
        <v>4</v>
      </c>
      <c r="AL69" s="465" t="str">
        <f t="shared" si="313"/>
        <v>tỉnh Bình Thuận.</v>
      </c>
      <c r="AM69" s="465" t="str">
        <f t="shared" si="314"/>
        <v>huyện Tuy Phong</v>
      </c>
      <c r="AN69" s="465" t="str">
        <f t="shared" si="315"/>
        <v>thị trấn Liên Hương</v>
      </c>
      <c r="AO69" s="229" t="str">
        <f>INDEX(CityIDList,MATCH(F69,CityNameList,0))</f>
        <v>BTN</v>
      </c>
      <c r="AP69" s="230" t="str">
        <f>Input!X69</f>
        <v>TỔNG CÔNG TY MẠNG LƯỚI VIETTEL</v>
      </c>
      <c r="AQ69" s="230">
        <f>Input!AN69</f>
        <v>0</v>
      </c>
      <c r="AR69" s="230">
        <f>Input!BD69</f>
        <v>0</v>
      </c>
      <c r="AS69" s="230" t="str">
        <f>Input!BT69</f>
      </c>
      <c r="AT69" s="230" t="str">
        <f>Input!CH69</f>
      </c>
      <c r="AU69" s="230" t="str">
        <f>Input!CV69</f>
      </c>
      <c r="AV69" s="230" t="str">
        <f>IF(I69&gt;=1,INDEX(OperatorIDList,MATCH(AP69,OperatorNameList,0)),"")</f>
        <v>VIETTEL-2016</v>
      </c>
      <c r="AW69" s="230" t="str">
        <f>IF(I69&gt;=2,INDEX(OperatorIDList,MATCH(AQ69,OperatorNameList,0)),"")</f>
      </c>
      <c r="AX69" s="230" t="str">
        <f>IF(I69&gt;=3,INDEX(OperatorIDList,MATCH(AR69,OperatorNameList,0)),"")</f>
      </c>
      <c r="AY69" s="230" t="str">
        <f>IF(I69&gt;=4,INDEX(OperatorIDList,MATCH(AS69,OperatorNameList,0)),"")</f>
      </c>
      <c r="AZ69" s="230" t="str">
        <f>IF(I69&gt;=5,INDEX(OperatorIDList,MATCH(AT69,OperatorNameList,0)),"")</f>
      </c>
      <c r="BA69" s="230" t="str">
        <f>IF(I69&gt;=6,INDEX(OperatorIDList,MATCH(AU69,OperatorNameList,0)),"")</f>
      </c>
      <c r="BB69" s="230" t="str">
        <f t="shared" si="316"/>
        <v>VIETTEL-2016</v>
      </c>
      <c r="BC69" s="230" t="str">
        <f>Input!Y69</f>
        <v>BTN0420</v>
      </c>
      <c r="BD69" s="230">
        <f>Input!AO69</f>
        <v>0</v>
      </c>
      <c r="BE69" s="230">
        <f>Input!BE69</f>
        <v>0</v>
      </c>
      <c r="BF69" s="230">
        <f>Input!BU69</f>
        <v>0</v>
      </c>
      <c r="BG69" s="230" t="str">
        <f>Input!CI69</f>
      </c>
      <c r="BH69" s="230" t="str">
        <f>Input!CW69</f>
      </c>
      <c r="BI69" s="230" t="str">
        <f>Input!Z69</f>
        <v>HUAWEI DBS3900</v>
      </c>
      <c r="BJ69" s="230">
        <f>Input!AP69</f>
        <v>0</v>
      </c>
      <c r="BK69" s="230">
        <f>Input!BF69</f>
        <v>0</v>
      </c>
      <c r="BL69" s="230">
        <f>Input!BV69</f>
        <v>0</v>
      </c>
      <c r="BM69" s="230" t="str">
        <f>Input!CJ69</f>
      </c>
      <c r="BN69" s="230" t="str">
        <f>Input!CX69</f>
      </c>
      <c r="BO69" s="553">
        <f>IF(ISNUMBER(Input!AA69),Input!AA69,0)</f>
        <v>3</v>
      </c>
      <c r="BP69" s="553">
        <f>IF(ISNUMBER(Input!AQ69),Input!AQ69,0)</f>
        <v>0</v>
      </c>
      <c r="BQ69" s="553">
        <f>IF(ISNUMBER(Input!BG69),Input!BG69,0)</f>
        <v>0</v>
      </c>
      <c r="BR69" s="553">
        <f>IF(ISNUMBER(Input!BW69),Input!BW69,0)</f>
        <v>0</v>
      </c>
      <c r="BS69" s="553">
        <f>IF(ISNUMBER(Input!CK69),Input!CK69,0)</f>
        <v>0</v>
      </c>
      <c r="BT69" s="554">
        <f>IF(ISNUMBER(Input!CY69),Input!CY69,0)</f>
        <v>0</v>
      </c>
      <c r="BU69" s="230" t="str">
        <f>Input!AF69</f>
        <v>2/2/2</v>
      </c>
      <c r="BV69" s="230">
        <f>Input!AV69</f>
        <v>0</v>
      </c>
      <c r="BW69" s="230">
        <f>Input!BL69</f>
        <v>0</v>
      </c>
      <c r="BX69" s="230" t="str">
        <f>Input!CA69</f>
      </c>
      <c r="BY69" s="230" t="str">
        <f>Input!CO69</f>
      </c>
      <c r="BZ69" s="230" t="str">
        <f>Input!DC69</f>
      </c>
      <c r="CA69" s="230">
        <f t="shared" si="317"/>
        <v>2</v>
      </c>
      <c r="CB69" s="230">
        <f t="shared" si="318"/>
        <v>2</v>
      </c>
      <c r="CC69" s="230">
        <f t="shared" si="319"/>
        <v>2</v>
      </c>
      <c r="CD69" s="230">
        <f t="shared" si="320"/>
        <v>0</v>
      </c>
      <c r="CE69" s="230">
        <f t="shared" si="321"/>
        <v>0</v>
      </c>
      <c r="CF69" s="230">
        <f t="shared" si="322"/>
        <v>0</v>
      </c>
      <c r="CG69" s="230">
        <f t="shared" si="323"/>
        <v>0</v>
      </c>
      <c r="CH69" s="230">
        <f t="shared" si="324"/>
        <v>0</v>
      </c>
      <c r="CI69" s="230">
        <f t="shared" si="325"/>
        <v>0</v>
      </c>
      <c r="CJ69" s="230">
        <f t="shared" si="326"/>
        <v>0</v>
      </c>
      <c r="CK69" s="230">
        <f t="shared" si="327"/>
        <v>0</v>
      </c>
      <c r="CL69" s="230">
        <f t="shared" si="328"/>
        <v>0</v>
      </c>
      <c r="CM69" s="230">
        <f t="shared" si="329"/>
        <v>0</v>
      </c>
      <c r="CN69" s="230">
        <f t="shared" si="330"/>
        <v>0</v>
      </c>
      <c r="CO69" s="230">
        <f t="shared" si="331"/>
        <v>0</v>
      </c>
      <c r="CP69" s="230">
        <f t="shared" si="332"/>
        <v>0</v>
      </c>
      <c r="CQ69" s="230">
        <f t="shared" si="333"/>
        <v>0</v>
      </c>
      <c r="CR69" s="230">
        <f t="shared" si="334"/>
        <v>0</v>
      </c>
      <c r="CS69" s="230">
        <f t="shared" si="335"/>
        <v>0</v>
      </c>
      <c r="CT69" s="230">
        <f t="shared" si="336"/>
        <v>0</v>
      </c>
      <c r="CU69" s="230">
        <f t="shared" si="337"/>
        <v>0</v>
      </c>
      <c r="CV69" s="230">
        <f t="shared" si="338"/>
        <v>0</v>
      </c>
      <c r="CW69" s="230">
        <f t="shared" si="339"/>
        <v>0</v>
      </c>
      <c r="CX69" s="230">
        <f t="shared" si="340"/>
        <v>0</v>
      </c>
      <c r="CY69" s="230">
        <f t="shared" si="341"/>
        <v>0</v>
      </c>
      <c r="CZ69" s="230">
        <f t="shared" si="342"/>
        <v>0</v>
      </c>
      <c r="DA69" s="230">
        <f t="shared" si="343"/>
        <v>0</v>
      </c>
      <c r="DB69" s="230">
        <f t="shared" si="344"/>
        <v>0</v>
      </c>
      <c r="DC69" s="230">
        <f t="shared" si="345"/>
        <v>0</v>
      </c>
      <c r="DD69" s="230">
        <f t="shared" si="346"/>
        <v>0</v>
      </c>
      <c r="DE69" s="230">
        <f t="shared" si="347"/>
        <v>0</v>
      </c>
      <c r="DF69" s="230">
        <f t="shared" si="348"/>
        <v>0</v>
      </c>
      <c r="DG69" s="230">
        <f t="shared" si="349"/>
        <v>0</v>
      </c>
      <c r="DH69" s="230">
        <f t="shared" si="350"/>
        <v>0</v>
      </c>
      <c r="DI69" s="230">
        <f t="shared" si="351"/>
        <v>0</v>
      </c>
      <c r="DJ69" s="230">
        <f t="shared" si="352"/>
        <v>0</v>
      </c>
      <c r="DK69" s="230" t="str">
        <f>Input!AK69</f>
        <v>40,00W/40,00W/40,00W</v>
      </c>
      <c r="DL69" s="230">
        <f>Input!BA69</f>
        <v>0</v>
      </c>
      <c r="DM69" s="230">
        <f>Input!BQ69</f>
        <v>0</v>
      </c>
      <c r="DN69" s="230" t="str">
        <f>Input!CE69</f>
      </c>
      <c r="DO69" s="230" t="str">
        <f>Input!CS69</f>
      </c>
      <c r="DP69" s="230" t="str">
        <f>Input!DG69</f>
      </c>
      <c r="DQ69" s="230" t="str">
        <f t="shared" si="353"/>
        <v>40W/ 40W/ 40W</v>
      </c>
      <c r="DR69" s="230" t="str">
        <f t="shared" si="354"/>
      </c>
      <c r="DS69" s="230" t="str">
        <f t="shared" si="355"/>
      </c>
      <c r="DT69" s="230" t="str">
        <f t="shared" si="356"/>
      </c>
      <c r="DU69" s="230" t="str">
        <f t="shared" si="357"/>
      </c>
      <c r="DV69" s="230" t="str">
        <f t="shared" si="358"/>
      </c>
      <c r="DW69" s="230">
        <f t="shared" si="359"/>
        <v>40</v>
      </c>
      <c r="DX69" s="230">
        <f t="shared" si="360"/>
        <v>40</v>
      </c>
      <c r="DY69" s="230">
        <f t="shared" si="361"/>
        <v>40</v>
      </c>
      <c r="DZ69" s="230">
        <f t="shared" si="362"/>
        <v>0</v>
      </c>
      <c r="EA69" s="230">
        <f t="shared" si="363"/>
        <v>0</v>
      </c>
      <c r="EB69" s="230">
        <f t="shared" si="364"/>
        <v>0</v>
      </c>
      <c r="EC69" s="230">
        <f t="shared" si="365"/>
        <v>40</v>
      </c>
      <c r="ED69" s="230">
        <f t="shared" si="366"/>
        <v>0</v>
      </c>
      <c r="EE69" s="230">
        <f t="shared" si="367"/>
        <v>0</v>
      </c>
      <c r="EF69" s="230">
        <f t="shared" si="368"/>
        <v>0</v>
      </c>
      <c r="EG69" s="230">
        <f t="shared" si="369"/>
        <v>0</v>
      </c>
      <c r="EH69" s="230">
        <f t="shared" si="370"/>
        <v>0</v>
      </c>
      <c r="EI69" s="230">
        <f t="shared" si="371"/>
        <v>0</v>
      </c>
      <c r="EJ69" s="230">
        <f t="shared" si="372"/>
        <v>0</v>
      </c>
      <c r="EK69" s="230">
        <f t="shared" si="373"/>
        <v>0</v>
      </c>
      <c r="EL69" s="230">
        <f t="shared" si="374"/>
        <v>0</v>
      </c>
      <c r="EM69" s="230">
        <f t="shared" si="375"/>
        <v>0</v>
      </c>
      <c r="EN69" s="230">
        <f t="shared" si="376"/>
        <v>0</v>
      </c>
      <c r="EO69" s="230">
        <f t="shared" si="377"/>
        <v>0</v>
      </c>
      <c r="EP69" s="230">
        <f t="shared" si="378"/>
        <v>0</v>
      </c>
      <c r="EQ69" s="230">
        <f t="shared" si="379"/>
        <v>0</v>
      </c>
      <c r="ER69" s="230">
        <f t="shared" si="380"/>
        <v>0</v>
      </c>
      <c r="ES69" s="230">
        <f t="shared" si="381"/>
        <v>0</v>
      </c>
      <c r="ET69" s="230">
        <f t="shared" si="382"/>
        <v>0</v>
      </c>
      <c r="EU69" s="230">
        <f t="shared" si="383"/>
        <v>0</v>
      </c>
      <c r="EV69" s="230">
        <f t="shared" si="384"/>
        <v>0</v>
      </c>
      <c r="EW69" s="230">
        <f t="shared" si="385"/>
        <v>0</v>
      </c>
      <c r="EX69" s="230">
        <f t="shared" si="386"/>
        <v>0</v>
      </c>
      <c r="EY69" s="230">
        <f t="shared" si="387"/>
        <v>0</v>
      </c>
      <c r="EZ69" s="230">
        <f t="shared" si="388"/>
        <v>0</v>
      </c>
      <c r="FA69" s="230">
        <f t="shared" si="389"/>
        <v>0</v>
      </c>
      <c r="FB69" s="230">
        <f t="shared" si="390"/>
        <v>0</v>
      </c>
      <c r="FC69" s="230">
        <f t="shared" si="391"/>
        <v>0</v>
      </c>
      <c r="FD69" s="230">
        <f t="shared" si="392"/>
        <v>0</v>
      </c>
      <c r="FE69" s="230">
        <f t="shared" si="393"/>
        <v>0</v>
      </c>
      <c r="FF69" s="230">
        <f t="shared" si="394"/>
        <v>0</v>
      </c>
      <c r="FG69" s="230">
        <f t="shared" si="395"/>
        <v>0</v>
      </c>
      <c r="FH69" s="230">
        <f t="shared" si="396"/>
        <v>0</v>
      </c>
      <c r="FI69" s="230">
        <f t="shared" si="397"/>
        <v>0</v>
      </c>
      <c r="FJ69" s="230">
        <f t="shared" si="398"/>
        <v>0</v>
      </c>
      <c r="FK69" s="230">
        <f t="shared" si="399"/>
        <v>0</v>
      </c>
      <c r="FL69" s="230">
        <f t="shared" si="400"/>
        <v>0</v>
      </c>
      <c r="FM69" s="230">
        <f t="shared" si="401"/>
        <v>40</v>
      </c>
      <c r="FN69" s="230">
        <f>Input!AL69</f>
        <v>2100</v>
      </c>
      <c r="FO69" s="230">
        <f>Input!BB69</f>
        <v>0</v>
      </c>
      <c r="FP69" s="230">
        <f>Input!BR69</f>
        <v>0</v>
      </c>
      <c r="FQ69" s="230" t="str">
        <f>Input!CF69</f>
      </c>
      <c r="FR69" s="230" t="str">
        <f>Input!CT69</f>
      </c>
      <c r="FS69" s="230" t="str">
        <f>Input!DH69</f>
      </c>
      <c r="FT69" s="230" t="str">
        <f>Input!AM69</f>
        <v>40m/ 40m/ 40m</v>
      </c>
      <c r="FU69" s="230">
        <f>Input!BC69</f>
        <v>0</v>
      </c>
      <c r="FV69" s="230">
        <f>Input!BS69</f>
        <v>0</v>
      </c>
      <c r="FW69" s="230" t="str">
        <f>Input!CG69</f>
      </c>
      <c r="FX69" s="230" t="str">
        <f>Input!CU69</f>
      </c>
      <c r="FY69" s="230" t="str">
        <f>Input!DI69</f>
      </c>
      <c r="FZ69" s="230" t="str">
        <f t="shared" si="402"/>
        <v>40m/ 40m/ 40m</v>
      </c>
      <c r="GA69" s="230" t="str">
        <f t="shared" si="403"/>
      </c>
      <c r="GB69" s="230" t="str">
        <f t="shared" si="404"/>
      </c>
      <c r="GC69" s="230" t="str">
        <f t="shared" si="405"/>
      </c>
      <c r="GD69" s="230" t="str">
        <f t="shared" si="406"/>
      </c>
      <c r="GE69" s="230" t="str">
        <f t="shared" si="407"/>
      </c>
      <c r="GF69" s="230">
        <f t="shared" si="408"/>
        <v>40</v>
      </c>
      <c r="GG69" s="230">
        <f t="shared" si="409"/>
        <v>40</v>
      </c>
      <c r="GH69" s="230">
        <f t="shared" si="410"/>
        <v>40</v>
      </c>
      <c r="GI69" s="230">
        <f t="shared" si="411"/>
        <v>0</v>
      </c>
      <c r="GJ69" s="230">
        <f t="shared" si="412"/>
        <v>0</v>
      </c>
      <c r="GK69" s="230">
        <f t="shared" si="413"/>
        <v>0</v>
      </c>
      <c r="GL69" s="230">
        <f t="shared" si="414"/>
        <v>0</v>
      </c>
      <c r="GM69" s="230">
        <f t="shared" si="415"/>
        <v>0</v>
      </c>
      <c r="GN69" s="230">
        <f t="shared" si="416"/>
        <v>0</v>
      </c>
      <c r="GO69" s="230">
        <f t="shared" si="417"/>
        <v>0</v>
      </c>
      <c r="GP69" s="230">
        <f t="shared" si="418"/>
        <v>0</v>
      </c>
      <c r="GQ69" s="230">
        <f t="shared" si="419"/>
        <v>0</v>
      </c>
      <c r="GR69" s="230">
        <f t="shared" si="420"/>
        <v>0</v>
      </c>
      <c r="GS69" s="230">
        <f t="shared" si="421"/>
        <v>0</v>
      </c>
      <c r="GT69" s="230">
        <f t="shared" si="422"/>
        <v>0</v>
      </c>
      <c r="GU69" s="230">
        <f t="shared" si="423"/>
        <v>0</v>
      </c>
      <c r="GV69" s="230">
        <f t="shared" si="424"/>
        <v>0</v>
      </c>
      <c r="GW69" s="230">
        <f t="shared" si="425"/>
        <v>0</v>
      </c>
      <c r="GX69" s="230">
        <f t="shared" si="426"/>
        <v>0</v>
      </c>
      <c r="GY69" s="230">
        <f t="shared" si="427"/>
        <v>0</v>
      </c>
      <c r="GZ69" s="230">
        <f t="shared" si="428"/>
        <v>0</v>
      </c>
      <c r="HA69" s="230">
        <f t="shared" si="429"/>
        <v>0</v>
      </c>
      <c r="HB69" s="230">
        <f t="shared" si="430"/>
        <v>0</v>
      </c>
      <c r="HC69" s="230">
        <f t="shared" si="431"/>
        <v>0</v>
      </c>
      <c r="HD69" s="230">
        <f t="shared" si="432"/>
        <v>0</v>
      </c>
      <c r="HE69" s="230">
        <f t="shared" si="433"/>
        <v>0</v>
      </c>
      <c r="HF69" s="230">
        <f t="shared" si="434"/>
        <v>0</v>
      </c>
      <c r="HG69" s="230">
        <f t="shared" si="435"/>
        <v>0</v>
      </c>
      <c r="HH69" s="230">
        <f t="shared" si="436"/>
        <v>0</v>
      </c>
      <c r="HI69" s="230">
        <f t="shared" si="437"/>
        <v>0</v>
      </c>
      <c r="HJ69" s="230">
        <f t="shared" si="438"/>
        <v>0</v>
      </c>
      <c r="HK69" s="230">
        <f t="shared" si="439"/>
        <v>0</v>
      </c>
      <c r="HL69" s="230">
        <f t="shared" si="440"/>
        <v>0</v>
      </c>
      <c r="HM69" s="230">
        <f t="shared" si="441"/>
        <v>0</v>
      </c>
      <c r="HN69" s="230">
        <f t="shared" si="442"/>
        <v>0</v>
      </c>
      <c r="HO69" s="230">
        <f t="shared" si="443"/>
        <v>0</v>
      </c>
      <c r="HP69" s="230" t="str">
        <f>INDEX(LabNameList,MATCH(LabId,LabIDList,0))</f>
        <v>Trung tâm Kiểm định và Chứng nhận 2</v>
      </c>
      <c r="HQ69" s="230">
        <f t="shared" si="444"/>
        <v>40</v>
      </c>
      <c r="HR69" s="230">
        <f t="shared" si="445"/>
        <v>0</v>
      </c>
      <c r="HS69" s="230">
        <f t="shared" si="446"/>
        <v>0</v>
      </c>
      <c r="HT69" s="230">
        <f t="shared" si="447"/>
        <v>0</v>
      </c>
      <c r="HU69" s="230">
        <f t="shared" si="448"/>
        <v>0</v>
      </c>
      <c r="HV69" s="230">
        <f t="shared" si="449"/>
        <v>0</v>
      </c>
      <c r="HW69" s="797">
        <f t="shared" si="450"/>
        <v>40</v>
      </c>
      <c r="HX69" s="797">
        <f>Input!EB69</f>
        <v>0</v>
      </c>
      <c r="HY69" s="230">
        <v>68</v>
      </c>
      <c r="HZ69" s="230"/>
      <c r="IA69" s="230"/>
      <c r="IB69" s="230"/>
      <c r="IC69" s="232" t="str">
        <f t="shared" si="451"/>
        <v>B02020171016TG05</v>
      </c>
      <c r="ID69" s="233">
        <f>Input!O69</f>
        <v>2020</v>
      </c>
      <c r="IE69" s="467" t="str">
        <f t="shared" si="452"/>
        <v>171016</v>
      </c>
      <c r="IF69" s="232" t="s">
        <v>364</v>
      </c>
      <c r="IG69" s="467" t="str">
        <f t="shared" si="453"/>
        <v>17/10/2016</v>
      </c>
      <c r="IH69" s="467" t="str">
        <f t="shared" si="454"/>
        <v>17/10/2021</v>
      </c>
      <c r="II69" s="546" t="str">
        <f> Input!R69</f>
        <v>17/10/2016</v>
      </c>
      <c r="IJ69" s="467">
        <f t="shared" si="455"/>
        <v>44486</v>
      </c>
      <c r="IK69" s="468">
        <f t="shared" si="456"/>
        <v>3</v>
      </c>
      <c r="IL69" s="469" t="str">
        <f t="shared" si="457"/>
        <v>3-1</v>
      </c>
      <c r="IM69" s="469" t="str">
        <f t="shared" si="458"/>
        <v>KHAC</v>
      </c>
      <c r="IN69" s="469" t="str">
        <f t="shared" si="459"/>
        <v>KHAC</v>
      </c>
      <c r="IO69" s="469" t="str">
        <f t="shared" si="460"/>
      </c>
      <c r="IP69" s="469" t="str">
        <f t="shared" si="461"/>
      </c>
      <c r="IQ69" s="469" t="str">
        <f t="shared" si="462"/>
      </c>
      <c r="IR69" s="469">
        <f t="shared" si="463"/>
        <v>1</v>
      </c>
      <c r="IS69" s="469">
        <f t="shared" si="464"/>
        <v>2</v>
      </c>
      <c r="IT69" s="469" t="str">
        <f t="shared" si="465"/>
        <v>Yes</v>
      </c>
      <c r="IU69" s="469" t="str">
        <f t="shared" si="466"/>
        <v>Yes</v>
      </c>
    </row>
  </sheetData>
  <sheetProtection sheet="1" objects="1" scenarios="1" formatCells="0" formatColumns="0" formatRows="0" sort="0" autoFilter="0" pivotTables="0"/>
  <autoFilter ref="A1:HY2"/>
  <conditionalFormatting sqref="F2">
    <cfRule type="expression" dxfId="0" priority="5530">
      <formula>F2&lt;&gt;RIGHT(SUBSTITUTE(E2,".",""),LEN(F2))</formula>
    </cfRule>
  </conditionalFormatting>
  <conditionalFormatting sqref="X2">
    <cfRule type="expression" dxfId="0" priority="5277">
      <formula xml:space="preserve"> NOT(ISLOGICAL($X$2))</formula>
    </cfRule>
    <cfRule type="expression" dxfId="0" priority="5529">
      <formula>AND(X2=TRUE,W2=FALSE)</formula>
    </cfRule>
  </conditionalFormatting>
  <conditionalFormatting sqref="Y2">
    <cfRule type="expression" dxfId="0" priority="5528">
      <formula>OR(AND(X2=FALSE,INT(Y2)&gt;0),AND(X2=TRUE,INT(Y2)&lt;=0))</formula>
    </cfRule>
  </conditionalFormatting>
  <conditionalFormatting sqref="AA2">
    <cfRule type="expression" dxfId="0" priority="5527">
      <formula>AND(Z2=FALSE,AA2&gt;0)</formula>
    </cfRule>
  </conditionalFormatting>
  <conditionalFormatting sqref="A2 BV2:HY2">
    <cfRule type="containsErrors" dxfId="0" priority="5356">
      <formula>ISERROR(A2)</formula>
    </cfRule>
  </conditionalFormatting>
  <conditionalFormatting sqref="Z2">
    <cfRule type="expression" dxfId="0" priority="5276">
      <formula>NOT(ISLOGICAL($Z$2))</formula>
    </cfRule>
  </conditionalFormatting>
  <conditionalFormatting sqref="AB2">
    <cfRule type="expression" dxfId="0" priority="5275">
      <formula>NOT(ISLOGICAL($AB$2))</formula>
    </cfRule>
  </conditionalFormatting>
  <conditionalFormatting sqref="AC2">
    <cfRule type="expression" dxfId="0" priority="5274">
      <formula>NOT(ISLOGICAL($AC$2))</formula>
    </cfRule>
  </conditionalFormatting>
  <conditionalFormatting sqref="A2:BU2">
    <cfRule type="containsErrors" dxfId="0" priority="5273">
      <formula>ISERROR(A2)</formula>
    </cfRule>
  </conditionalFormatting>
  <conditionalFormatting sqref="I2">
    <cfRule type="expression" dxfId="0" priority="5272">
      <formula>NOT(ISNUMBER($I$2))</formula>
    </cfRule>
  </conditionalFormatting>
  <conditionalFormatting sqref="D2">
    <cfRule type="expression" dxfId="0" priority="5271">
      <formula>ISBLANK($D$2)</formula>
    </cfRule>
  </conditionalFormatting>
  <conditionalFormatting sqref="DW2">
    <cfRule type="expression" dxfId="2" priority="6920">
      <formula>AND(BO2&gt;=1,DW2&lt;&gt;0, GetEquPower(C2,BI2, CA2, FN2)=0)</formula>
    </cfRule>
    <cfRule type="expression" dxfId="1" priority="6921">
      <formula>AND(BO2&gt;=1,DW2&lt;&gt;GetEquPower(C2,BI2, CA2, FN2))</formula>
    </cfRule>
  </conditionalFormatting>
  <conditionalFormatting sqref="DX2">
    <cfRule type="expression" dxfId="2" priority="6922">
      <formula>AND(BO2&gt;=2,DX2&lt;&gt;0, GetEquPower(C2,BI2, CB2, FN2)=0)</formula>
    </cfRule>
    <cfRule type="expression" dxfId="1" priority="6923">
      <formula>AND(BO2&gt;=2,DX2&lt;&gt;GetEquPower(C2,BI2, CB2, FN2))</formula>
    </cfRule>
  </conditionalFormatting>
  <conditionalFormatting sqref="DY2">
    <cfRule type="expression" dxfId="2" priority="6924">
      <formula>AND(BO2&gt;=3,DY2&lt;&gt;0, GetEquPower(C2,BI2, CC2, FN2)=0)</formula>
    </cfRule>
    <cfRule type="expression" dxfId="1" priority="6925">
      <formula>AND(BO2&gt;=3,DY2&lt;&gt;GetEquPower(C2,BI2, CC2, FN2))</formula>
    </cfRule>
  </conditionalFormatting>
  <conditionalFormatting sqref="ED2">
    <cfRule type="expression" dxfId="2" priority="6926">
      <formula>AND(BP2&gt;=1,ED2&lt;&gt;0, GetEquPower(C2,BJ2, CG2, FO2)=0)</formula>
    </cfRule>
    <cfRule type="expression" dxfId="1" priority="6927">
      <formula>AND(BP2&gt;=1,ED2&lt;&gt;GetEquPower(C2,BJ2, CG2, FO2))</formula>
    </cfRule>
  </conditionalFormatting>
  <conditionalFormatting sqref="EE2">
    <cfRule type="expression" dxfId="2" priority="6928">
      <formula>AND(BP2&gt;=2,EE2&lt;&gt;0, GetEquPower(C2,BJ2, CH2, FO2)=0)</formula>
    </cfRule>
    <cfRule type="expression" dxfId="1" priority="6929">
      <formula>AND(BP2&gt;=2,EE2&lt;&gt;GetEquPower(C2,BJ2, CH2, FO2))</formula>
    </cfRule>
  </conditionalFormatting>
  <conditionalFormatting sqref="EF2">
    <cfRule type="expression" dxfId="2" priority="6930">
      <formula>AND(BP2&gt;=3,EF2&lt;&gt;0, GetEquPower(C2,BJ2, CI2, FO2)=0)</formula>
    </cfRule>
    <cfRule type="expression" dxfId="1" priority="6931">
      <formula>AND(BP2&gt;=3,EF2&lt;&gt;GetEquPower(C2,BJ2, CI2, FO2))</formula>
    </cfRule>
  </conditionalFormatting>
  <conditionalFormatting sqref="EK2">
    <cfRule type="expression" dxfId="2" priority="6932">
      <formula>AND(BQ2&gt;=1,EK2&lt;&gt;0, GetEquPower(C2,BK2, CM2, FP2)=0)</formula>
    </cfRule>
    <cfRule type="expression" dxfId="1" priority="6933">
      <formula>AND(BQ2&gt;=1,EK2&lt;&gt;GetEquPower(C2,BK2, CM2, FP2))</formula>
    </cfRule>
  </conditionalFormatting>
  <conditionalFormatting sqref="EL2">
    <cfRule type="expression" dxfId="2" priority="6934">
      <formula>AND(BQ2&gt;=2,EL2&lt;&gt;0, GetEquPower(C2,BK2, CN2, FP2)=0)</formula>
    </cfRule>
    <cfRule type="expression" dxfId="1" priority="6935">
      <formula xml:space="preserve"> AND(BQ2&gt;=2,EL2&lt;&gt;GetEquPower(C2,BK2, CN2, FP2))</formula>
    </cfRule>
  </conditionalFormatting>
  <conditionalFormatting sqref="EM2">
    <cfRule type="expression" dxfId="2" priority="6936">
      <formula>AND(BQ2&gt;=3,EM2&lt;&gt;0, GetEquPower(C2,BK2, CO2, FP2)=0)</formula>
    </cfRule>
    <cfRule type="expression" dxfId="1" priority="6937">
      <formula xml:space="preserve"> AND(BQ2&gt;=3,EM2&lt;&gt;GetEquPower(C2,BK2, CO2, FP2))</formula>
    </cfRule>
  </conditionalFormatting>
  <conditionalFormatting sqref="ER2">
    <cfRule type="expression" dxfId="2" priority="6938">
      <formula>AND(BR2&gt;=1,ER2&lt;&gt;0, GetEquPower(C2,BL2, CS2, FQ2)=0)</formula>
    </cfRule>
    <cfRule type="expression" dxfId="1" priority="6939">
      <formula>AND(BR2&gt;=1,ER2&lt;&gt;GetEquPower(C2,BL2, CS2, FQ2))</formula>
    </cfRule>
  </conditionalFormatting>
  <conditionalFormatting sqref="ES2">
    <cfRule type="expression" dxfId="2" priority="6940">
      <formula>AND(BR2&gt;=2,ES2&lt;&gt;0, GetEquPower(C2,BL2, CT2, FQ2)=0)</formula>
    </cfRule>
    <cfRule type="expression" dxfId="1" priority="6941">
      <formula>AND(BR2&gt;=2,ES2&lt;&gt;GetEquPower(C2,BL2, CT2, FQ2))</formula>
    </cfRule>
  </conditionalFormatting>
  <conditionalFormatting sqref="ET2">
    <cfRule type="expression" dxfId="2" priority="6942">
      <formula>AND(BR2&gt;=3,ET2&lt;&gt;0, GetEquPower(C2,BL2, CU2, FQ2)=0)</formula>
    </cfRule>
    <cfRule type="expression" dxfId="1" priority="6943">
      <formula>AND(BR2&gt;=3,ET2&lt;&gt;GetEquPower(C2,BL2, CU2, FQ2))</formula>
    </cfRule>
  </conditionalFormatting>
  <conditionalFormatting sqref="EY2">
    <cfRule type="expression" dxfId="2" priority="6944">
      <formula>AND(BS2&gt;=1,EY2&lt;&gt;0, GetEquPower(C2,BM2, CY2, FR2)=0)</formula>
    </cfRule>
    <cfRule type="expression" dxfId="1" priority="6945">
      <formula>AND(BS2&gt;=1,EY2&lt;&gt;GetEquPower(C2,BM2, CY2, FR2))</formula>
    </cfRule>
  </conditionalFormatting>
  <conditionalFormatting sqref="EZ2">
    <cfRule type="expression" dxfId="2" priority="6946">
      <formula>AND(BS2&gt;=2,EZ2&lt;&gt;0, GetEquPower(C2,BM2, CZ2, FR2)=0)</formula>
    </cfRule>
    <cfRule type="expression" dxfId="1" priority="6947">
      <formula>AND(BS2&gt;=2,EZ2&lt;&gt;GetEquPower(C2,BM2, CZ2, FR2))</formula>
    </cfRule>
  </conditionalFormatting>
  <conditionalFormatting sqref="FA2">
    <cfRule type="expression" dxfId="2" priority="6948">
      <formula>AND(BS2&gt;=3,FA2&lt;&gt;0, GetEquPower(C2,BM2, DA2, FR2)=0)</formula>
    </cfRule>
    <cfRule type="expression" dxfId="1" priority="6949">
      <formula>AND(BS2&gt;=3,FA2&lt;&gt;GetEquPower(C2,BM2, DA2, FR2))</formula>
    </cfRule>
  </conditionalFormatting>
  <conditionalFormatting sqref="FF2">
    <cfRule type="expression" dxfId="2" priority="6950">
      <formula>AND(BT2&gt;=1,FF2&lt;&gt;0, GetEquPower(C2,BN2, DE2, FS2)=0)</formula>
    </cfRule>
    <cfRule type="expression" dxfId="1" priority="6951">
      <formula>AND(BT2&gt;=1,FF2&lt;&gt;GetEquPower(C2,BN2, DE2, FS2))</formula>
    </cfRule>
  </conditionalFormatting>
  <conditionalFormatting sqref="FG2">
    <cfRule type="expression" dxfId="2" priority="6952">
      <formula>AND(BT2&gt;=2,FG2&lt;&gt;0, GetEquPower(C2,BN2, DF2, FS2)=0)</formula>
    </cfRule>
    <cfRule type="expression" dxfId="1" priority="6953">
      <formula>AND(BT2&gt;=2,FG2&lt;&gt;GetEquPower(C2,BN2, DF2, FS2))</formula>
    </cfRule>
  </conditionalFormatting>
  <conditionalFormatting sqref="FH2">
    <cfRule type="expression" dxfId="2" priority="6954">
      <formula>AND(BT2&gt;=3,FH2&lt;&gt;0, GetEquPower(C2,BN2, DG2, FS2)=0)</formula>
    </cfRule>
    <cfRule type="expression" dxfId="1" priority="6955">
      <formula>AND(BT2&gt;=3,FH2&lt;&gt;GetEquPower(C2,BN2, DG2, FS2))</formula>
    </cfRule>
  </conditionalFormatting>
  <conditionalFormatting sqref="DZ2">
    <cfRule type="expression" dxfId="2" priority="6956">
      <formula>AND(BO2&gt;=4,DZ2&lt;&gt;0, GetEquPower(C2,BI2, CD2, FN2)=0)</formula>
    </cfRule>
    <cfRule type="expression" dxfId="1" priority="6957">
      <formula>AND(BO2&gt;=4, DZ2&lt;&gt;GetEquPower(C2,BI2, CD2, FN2))</formula>
    </cfRule>
  </conditionalFormatting>
  <conditionalFormatting sqref="EG2">
    <cfRule type="expression" dxfId="2" priority="6958">
      <formula>AND(BP2&gt;=4,EG2&lt;&gt;0, GetEquPower(C2,BJ2, CJ2, FO2)=0)</formula>
    </cfRule>
    <cfRule type="expression" dxfId="1" priority="6959">
      <formula>AND(BP2&gt;=4,EG2&lt;&gt;GetEquPower(C2,BJ2, CJ2, FO2))</formula>
    </cfRule>
  </conditionalFormatting>
  <conditionalFormatting sqref="EN2">
    <cfRule type="expression" dxfId="2" priority="6960">
      <formula>AND(BQ2&gt;=4,EN2&lt;&gt;0, GetEquPower(C2,BK2, CP2, FP2)=0)</formula>
    </cfRule>
    <cfRule type="expression" dxfId="1" priority="6961">
      <formula xml:space="preserve"> AND(BQ2&gt;=4,EN2&lt;&gt;GetEquPower(C2,BK2, CP2, FP2))</formula>
    </cfRule>
  </conditionalFormatting>
  <conditionalFormatting sqref="EU2">
    <cfRule type="expression" dxfId="2" priority="6962">
      <formula>AND(BR2&gt;=4,EU2&lt;&gt;0, GetEquPower(C2,BL2, CV2, FQ2)=0)</formula>
    </cfRule>
    <cfRule type="expression" dxfId="1" priority="6963">
      <formula>AND(BR2&gt;=4,EU2&lt;&gt;GetEquPower(C2,BL2, CV2, FQ2))</formula>
    </cfRule>
  </conditionalFormatting>
  <conditionalFormatting sqref="FB2">
    <cfRule type="expression" dxfId="2" priority="6964">
      <formula>AND(BS2&gt;=4,FB2&lt;&gt;0, GetEquPower(C2,BM2, DB2, FR2)=0)</formula>
    </cfRule>
    <cfRule type="expression" dxfId="1" priority="6965">
      <formula>AND(BS2&gt;=4,FB2&lt;&gt;GetEquPower(C2,BM2, DB2, FR2))</formula>
    </cfRule>
  </conditionalFormatting>
  <conditionalFormatting sqref="FI2">
    <cfRule type="expression" dxfId="2" priority="6966">
      <formula>AND(BT2&gt;=4,FI2&lt;&gt;0, GetEquPower(C2,BN2, DH2, FS2)=0)</formula>
    </cfRule>
    <cfRule type="expression" dxfId="1" priority="6967">
      <formula>AND(BT2&gt;=4,FI2&lt;&gt;GetEquPower(C2,BN2, DH2, FS2))</formula>
    </cfRule>
  </conditionalFormatting>
  <conditionalFormatting sqref="EA2">
    <cfRule type="expression" dxfId="2" priority="6968">
      <formula>AND(BO2&gt;=5,EA2&lt;&gt;0, GetEquPower(C2,BI2, CE2, FN2)=0)</formula>
    </cfRule>
    <cfRule type="expression" dxfId="1" priority="6969">
      <formula>AND(BO2&gt;=5, EA2&lt;&gt;GetEquPower(C2,BI2, CE2, FN2))</formula>
    </cfRule>
  </conditionalFormatting>
  <conditionalFormatting sqref="EB2">
    <cfRule type="expression" dxfId="2" priority="6970">
      <formula>AND(BO2&gt;=6,EB2&lt;&gt;0, GetEquPower(C2,BI2, CF2, FN2)=0)</formula>
    </cfRule>
    <cfRule type="expression" dxfId="1" priority="6971">
      <formula>AND(BO2&gt;=6, EB2&lt;&gt;GetEquPower(C2,BI2, CF2, FN2))</formula>
    </cfRule>
  </conditionalFormatting>
  <conditionalFormatting sqref="EH2">
    <cfRule type="expression" dxfId="2" priority="6972">
      <formula>AND(BP2&gt;=5,EH2&lt;&gt;0, GetEquPower(C2,BJ2, CK2, FO2)=0)</formula>
    </cfRule>
    <cfRule type="expression" dxfId="1" priority="6973">
      <formula>AND(BP2&gt;=5,EH2&lt;&gt;GetEquPower(C2,BJ2, CK2, FO2))</formula>
    </cfRule>
  </conditionalFormatting>
  <conditionalFormatting sqref="EI2">
    <cfRule type="expression" dxfId="2" priority="6974">
      <formula>AND(BP2&gt;=6,EI2&lt;&gt;0, GetEquPower(C2,BJ2, CL2, FO2)=0)</formula>
    </cfRule>
    <cfRule type="expression" dxfId="1" priority="6975">
      <formula>AND(BP2&gt;=6,EI2&lt;&gt;GetEquPower(C2,BJ2, CL2, FO2))</formula>
    </cfRule>
  </conditionalFormatting>
  <conditionalFormatting sqref="EO2">
    <cfRule type="expression" dxfId="2" priority="6976">
      <formula>AND(BQ2&gt;=5,EO2&lt;&gt;0, GetEquPower(C2,BK2, CQ2, FP2)=0)</formula>
    </cfRule>
    <cfRule type="expression" dxfId="1" priority="6977">
      <formula xml:space="preserve"> AND(BQ2&gt;=5,EO2&lt;&gt;GetEquPower(C2,BK2, CQ2, FP2))</formula>
    </cfRule>
  </conditionalFormatting>
  <conditionalFormatting sqref="EP2">
    <cfRule type="expression" dxfId="2" priority="6978">
      <formula>AND(BQ2&gt;=6,EP2&lt;&gt;0, GetEquPower(C2,BK2, CR2, FP2)=0)</formula>
    </cfRule>
    <cfRule type="expression" dxfId="1" priority="6979">
      <formula xml:space="preserve"> AND(BQ2&gt;=6,EP2&lt;&gt;GetEquPower(C2,BK2, CR2, FP2))</formula>
    </cfRule>
  </conditionalFormatting>
  <conditionalFormatting sqref="EV2">
    <cfRule type="expression" dxfId="2" priority="6980">
      <formula>AND(BR2&gt;=5,EV2&lt;&gt;0, GetEquPower(C2,BL2, CW2, FQ2)=0)</formula>
    </cfRule>
    <cfRule type="expression" dxfId="1" priority="6981">
      <formula>AND(BR2&gt;=5,EV2&lt;&gt;GetEquPower(C2,BL2, CW2, FQ2))</formula>
    </cfRule>
  </conditionalFormatting>
  <conditionalFormatting sqref="EW2">
    <cfRule type="expression" dxfId="2" priority="6982">
      <formula>AND(BR2&gt;=6,EW2&lt;&gt;0, GetEquPower(C2,BL2, CX2, FQ2)=0)</formula>
    </cfRule>
    <cfRule type="expression" dxfId="1" priority="6983">
      <formula>AND(BR2&gt;=6,EW2&lt;&gt;GetEquPower(C2,BL2, CX2, FQ2))</formula>
    </cfRule>
  </conditionalFormatting>
  <conditionalFormatting sqref="FC2">
    <cfRule type="expression" dxfId="2" priority="6984">
      <formula>AND(BS2&gt;=5,FC2&lt;&gt;0, GetEquPower(C2,BM2, DC2, FR2)=0)</formula>
    </cfRule>
    <cfRule type="expression" dxfId="1" priority="6985">
      <formula>AND(BS2&gt;=5,FC2&lt;&gt;GetEquPower(C2,BM2, DC2, FR2))</formula>
    </cfRule>
  </conditionalFormatting>
  <conditionalFormatting sqref="FD2">
    <cfRule type="expression" dxfId="2" priority="6986">
      <formula>AND(BS2&gt;=6,FD2&lt;&gt;0, GetEquPower(C2,BM2, DD2, FR2)=0)</formula>
    </cfRule>
    <cfRule type="expression" dxfId="1" priority="6987">
      <formula>AND(BS2&gt;=6,FD2&lt;&gt;GetEquPower(C2,BM2, DD2, FR2))</formula>
    </cfRule>
  </conditionalFormatting>
  <conditionalFormatting sqref="FJ2">
    <cfRule type="expression" dxfId="2" priority="6988">
      <formula>AND(BT2&gt;=5,FJ2&lt;&gt;0, GetEquPower(C2,BN2, DI2, FS2)=0)</formula>
    </cfRule>
    <cfRule type="expression" dxfId="1" priority="6989">
      <formula>AND(BT2&gt;=5,FJ2&lt;&gt;GetEquPower(C2,BN2, DI2, FS2))</formula>
    </cfRule>
  </conditionalFormatting>
  <conditionalFormatting sqref="FK2">
    <cfRule type="expression" dxfId="2" priority="6990">
      <formula>AND(BT2&gt;=6,FK2&lt;&gt;0, GetEquPower(C2,BN2, DJ2, FS2)=0)</formula>
    </cfRule>
    <cfRule type="expression" dxfId="1" priority="6991">
      <formula>AND(BT2&gt;=6,FK2&lt;&gt;GetEquPower(C2,BN2, DJ2, FS2))</formula>
    </cfRule>
  </conditionalFormatting>
  <conditionalFormatting sqref="W2">
    <cfRule type="expression" dxfId="0" priority="426">
      <formula xml:space="preserve"> NOT(ISLOGICAL($W$2))</formula>
    </cfRule>
  </conditionalFormatting>
  <conditionalFormatting sqref="F3:F69">
    <cfRule type="expression" dxfId="0" priority="13">
      <formula>F3&lt;&gt;RIGHT(SUBSTITUTE(E3,".",""),LEN(F3))</formula>
    </cfRule>
  </conditionalFormatting>
  <conditionalFormatting sqref="X3:X69">
    <cfRule type="expression" dxfId="0" priority="8">
      <formula xml:space="preserve"> NOT(ISLOGICAL($X$2))</formula>
    </cfRule>
    <cfRule type="expression" dxfId="0" priority="12">
      <formula>AND(X3=TRUE,W3=FALSE)</formula>
    </cfRule>
  </conditionalFormatting>
  <conditionalFormatting sqref="Y3:Y69">
    <cfRule type="expression" dxfId="0" priority="11">
      <formula>OR(AND(X3=FALSE,INT(Y3)&gt;0),AND(X3=TRUE,INT(Y3)&lt;=0))</formula>
    </cfRule>
  </conditionalFormatting>
  <conditionalFormatting sqref="AA3:AA69">
    <cfRule type="expression" dxfId="0" priority="10">
      <formula>AND(Z3=FALSE,AA3&gt;0)</formula>
    </cfRule>
  </conditionalFormatting>
  <conditionalFormatting sqref="A3:A69 BV3:HY69">
    <cfRule type="containsErrors" dxfId="0" priority="9">
      <formula>ISERROR(A3)</formula>
    </cfRule>
  </conditionalFormatting>
  <conditionalFormatting sqref="Z3:Z69">
    <cfRule type="expression" dxfId="0" priority="7">
      <formula>NOT(ISLOGICAL($Z$2))</formula>
    </cfRule>
  </conditionalFormatting>
  <conditionalFormatting sqref="AB3:AB69">
    <cfRule type="expression" dxfId="0" priority="6">
      <formula>NOT(ISLOGICAL($AB$2))</formula>
    </cfRule>
  </conditionalFormatting>
  <conditionalFormatting sqref="AC3:AC69">
    <cfRule type="expression" dxfId="0" priority="5">
      <formula>NOT(ISLOGICAL($AC$2))</formula>
    </cfRule>
  </conditionalFormatting>
  <conditionalFormatting sqref="A3:BU69">
    <cfRule type="containsErrors" dxfId="0" priority="4">
      <formula>ISERROR(A3)</formula>
    </cfRule>
  </conditionalFormatting>
  <conditionalFormatting sqref="I3:I69">
    <cfRule type="expression" dxfId="0" priority="3">
      <formula>NOT(ISNUMBER($I$2))</formula>
    </cfRule>
  </conditionalFormatting>
  <conditionalFormatting sqref="D3:D69">
    <cfRule type="expression" dxfId="0" priority="2">
      <formula>ISBLANK($D$2)</formula>
    </cfRule>
  </conditionalFormatting>
  <conditionalFormatting sqref="DW3:DW69">
    <cfRule type="expression" dxfId="2" priority="14">
      <formula>AND(BO3&gt;=1,DW3&lt;&gt;0, GetEquPower(C3,BI3, CA3, FN3)=0)</formula>
    </cfRule>
    <cfRule type="expression" dxfId="1" priority="15">
      <formula>AND(BO3&gt;=1,DW3&lt;&gt;GetEquPower(C3,BI3, CA3, FN3))</formula>
    </cfRule>
  </conditionalFormatting>
  <conditionalFormatting sqref="DX3:DX69">
    <cfRule type="expression" dxfId="2" priority="16">
      <formula>AND(BO3&gt;=2,DX3&lt;&gt;0, GetEquPower(C3,BI3, CB3, FN3)=0)</formula>
    </cfRule>
    <cfRule type="expression" dxfId="1" priority="17">
      <formula>AND(BO3&gt;=2,DX3&lt;&gt;GetEquPower(C3,BI3, CB3, FN3))</formula>
    </cfRule>
  </conditionalFormatting>
  <conditionalFormatting sqref="DY3:DY69">
    <cfRule type="expression" dxfId="2" priority="18">
      <formula>AND(BO3&gt;=3,DY3&lt;&gt;0, GetEquPower(C3,BI3, CC3, FN3)=0)</formula>
    </cfRule>
    <cfRule type="expression" dxfId="1" priority="19">
      <formula>AND(BO3&gt;=3,DY3&lt;&gt;GetEquPower(C3,BI3, CC3, FN3))</formula>
    </cfRule>
  </conditionalFormatting>
  <conditionalFormatting sqref="ED3:ED69">
    <cfRule type="expression" dxfId="2" priority="20">
      <formula>AND(BP3&gt;=1,ED3&lt;&gt;0, GetEquPower(C3,BJ3, CG3, FO3)=0)</formula>
    </cfRule>
    <cfRule type="expression" dxfId="1" priority="21">
      <formula>AND(BP3&gt;=1,ED3&lt;&gt;GetEquPower(C3,BJ3, CG3, FO3))</formula>
    </cfRule>
  </conditionalFormatting>
  <conditionalFormatting sqref="EE3:EE69">
    <cfRule type="expression" dxfId="2" priority="22">
      <formula>AND(BP3&gt;=2,EE3&lt;&gt;0, GetEquPower(C3,BJ3, CH3, FO3)=0)</formula>
    </cfRule>
    <cfRule type="expression" dxfId="1" priority="23">
      <formula>AND(BP3&gt;=2,EE3&lt;&gt;GetEquPower(C3,BJ3, CH3, FO3))</formula>
    </cfRule>
  </conditionalFormatting>
  <conditionalFormatting sqref="EF3:EF69">
    <cfRule type="expression" dxfId="2" priority="24">
      <formula>AND(BP3&gt;=3,EF3&lt;&gt;0, GetEquPower(C3,BJ3, CI3, FO3)=0)</formula>
    </cfRule>
    <cfRule type="expression" dxfId="1" priority="25">
      <formula>AND(BP3&gt;=3,EF3&lt;&gt;GetEquPower(C3,BJ3, CI3, FO3))</formula>
    </cfRule>
  </conditionalFormatting>
  <conditionalFormatting sqref="EK3:EK69">
    <cfRule type="expression" dxfId="2" priority="26">
      <formula>AND(BQ3&gt;=1,EK3&lt;&gt;0, GetEquPower(C3,BK3, CM3, FP3)=0)</formula>
    </cfRule>
    <cfRule type="expression" dxfId="1" priority="27">
      <formula>AND(BQ3&gt;=1,EK3&lt;&gt;GetEquPower(C3,BK3, CM3, FP3))</formula>
    </cfRule>
  </conditionalFormatting>
  <conditionalFormatting sqref="EL3:EL69">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69">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69">
    <cfRule type="expression" dxfId="2" priority="32">
      <formula>AND(BR3&gt;=1,ER3&lt;&gt;0, GetEquPower(C3,BL3, CS3, FQ3)=0)</formula>
    </cfRule>
    <cfRule type="expression" dxfId="1" priority="33">
      <formula>AND(BR3&gt;=1,ER3&lt;&gt;GetEquPower(C3,BL3, CS3, FQ3))</formula>
    </cfRule>
  </conditionalFormatting>
  <conditionalFormatting sqref="ES3:ES69">
    <cfRule type="expression" dxfId="2" priority="34">
      <formula>AND(BR3&gt;=2,ES3&lt;&gt;0, GetEquPower(C3,BL3, CT3, FQ3)=0)</formula>
    </cfRule>
    <cfRule type="expression" dxfId="1" priority="35">
      <formula>AND(BR3&gt;=2,ES3&lt;&gt;GetEquPower(C3,BL3, CT3, FQ3))</formula>
    </cfRule>
  </conditionalFormatting>
  <conditionalFormatting sqref="ET3:ET69">
    <cfRule type="expression" dxfId="2" priority="36">
      <formula>AND(BR3&gt;=3,ET3&lt;&gt;0, GetEquPower(C3,BL3, CU3, FQ3)=0)</formula>
    </cfRule>
    <cfRule type="expression" dxfId="1" priority="37">
      <formula>AND(BR3&gt;=3,ET3&lt;&gt;GetEquPower(C3,BL3, CU3, FQ3))</formula>
    </cfRule>
  </conditionalFormatting>
  <conditionalFormatting sqref="EY3:EY69">
    <cfRule type="expression" dxfId="2" priority="38">
      <formula>AND(BS3&gt;=1,EY3&lt;&gt;0, GetEquPower(C3,BM3, CY3, FR3)=0)</formula>
    </cfRule>
    <cfRule type="expression" dxfId="1" priority="39">
      <formula>AND(BS3&gt;=1,EY3&lt;&gt;GetEquPower(C3,BM3, CY3, FR3))</formula>
    </cfRule>
  </conditionalFormatting>
  <conditionalFormatting sqref="EZ3:EZ69">
    <cfRule type="expression" dxfId="2" priority="40">
      <formula>AND(BS3&gt;=2,EZ3&lt;&gt;0, GetEquPower(C3,BM3, CZ3, FR3)=0)</formula>
    </cfRule>
    <cfRule type="expression" dxfId="1" priority="41">
      <formula>AND(BS3&gt;=2,EZ3&lt;&gt;GetEquPower(C3,BM3, CZ3, FR3))</formula>
    </cfRule>
  </conditionalFormatting>
  <conditionalFormatting sqref="FA3:FA69">
    <cfRule type="expression" dxfId="2" priority="42">
      <formula>AND(BS3&gt;=3,FA3&lt;&gt;0, GetEquPower(C3,BM3, DA3, FR3)=0)</formula>
    </cfRule>
    <cfRule type="expression" dxfId="1" priority="43">
      <formula>AND(BS3&gt;=3,FA3&lt;&gt;GetEquPower(C3,BM3, DA3, FR3))</formula>
    </cfRule>
  </conditionalFormatting>
  <conditionalFormatting sqref="FF3:FF69">
    <cfRule type="expression" dxfId="2" priority="44">
      <formula>AND(BT3&gt;=1,FF3&lt;&gt;0, GetEquPower(C3,BN3, DE3, FS3)=0)</formula>
    </cfRule>
    <cfRule type="expression" dxfId="1" priority="45">
      <formula>AND(BT3&gt;=1,FF3&lt;&gt;GetEquPower(C3,BN3, DE3, FS3))</formula>
    </cfRule>
  </conditionalFormatting>
  <conditionalFormatting sqref="FG3:FG69">
    <cfRule type="expression" dxfId="2" priority="46">
      <formula>AND(BT3&gt;=2,FG3&lt;&gt;0, GetEquPower(C3,BN3, DF3, FS3)=0)</formula>
    </cfRule>
    <cfRule type="expression" dxfId="1" priority="47">
      <formula>AND(BT3&gt;=2,FG3&lt;&gt;GetEquPower(C3,BN3, DF3, FS3))</formula>
    </cfRule>
  </conditionalFormatting>
  <conditionalFormatting sqref="FH3:FH69">
    <cfRule type="expression" dxfId="2" priority="48">
      <formula>AND(BT3&gt;=3,FH3&lt;&gt;0, GetEquPower(C3,BN3, DG3, FS3)=0)</formula>
    </cfRule>
    <cfRule type="expression" dxfId="1" priority="49">
      <formula>AND(BT3&gt;=3,FH3&lt;&gt;GetEquPower(C3,BN3, DG3, FS3))</formula>
    </cfRule>
  </conditionalFormatting>
  <conditionalFormatting sqref="DZ3:DZ69">
    <cfRule type="expression" dxfId="2" priority="50">
      <formula>AND(BO3&gt;=4,DZ3&lt;&gt;0, GetEquPower(C3,BI3, CD3, FN3)=0)</formula>
    </cfRule>
    <cfRule type="expression" dxfId="1" priority="51">
      <formula>AND(BO3&gt;=4, DZ3&lt;&gt;GetEquPower(C3,BI3, CD3, FN3))</formula>
    </cfRule>
  </conditionalFormatting>
  <conditionalFormatting sqref="EG3:EG69">
    <cfRule type="expression" dxfId="2" priority="52">
      <formula>AND(BP3&gt;=4,EG3&lt;&gt;0, GetEquPower(C3,BJ3, CJ3, FO3)=0)</formula>
    </cfRule>
    <cfRule type="expression" dxfId="1" priority="53">
      <formula>AND(BP3&gt;=4,EG3&lt;&gt;GetEquPower(C3,BJ3, CJ3, FO3))</formula>
    </cfRule>
  </conditionalFormatting>
  <conditionalFormatting sqref="EN3:EN69">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69">
    <cfRule type="expression" dxfId="2" priority="56">
      <formula>AND(BR3&gt;=4,EU3&lt;&gt;0, GetEquPower(C3,BL3, CV3, FQ3)=0)</formula>
    </cfRule>
    <cfRule type="expression" dxfId="1" priority="57">
      <formula>AND(BR3&gt;=4,EU3&lt;&gt;GetEquPower(C3,BL3, CV3, FQ3))</formula>
    </cfRule>
  </conditionalFormatting>
  <conditionalFormatting sqref="FB3:FB69">
    <cfRule type="expression" dxfId="2" priority="58">
      <formula>AND(BS3&gt;=4,FB3&lt;&gt;0, GetEquPower(C3,BM3, DB3, FR3)=0)</formula>
    </cfRule>
    <cfRule type="expression" dxfId="1" priority="59">
      <formula>AND(BS3&gt;=4,FB3&lt;&gt;GetEquPower(C3,BM3, DB3, FR3))</formula>
    </cfRule>
  </conditionalFormatting>
  <conditionalFormatting sqref="FI3:FI69">
    <cfRule type="expression" dxfId="2" priority="60">
      <formula>AND(BT3&gt;=4,FI3&lt;&gt;0, GetEquPower(C3,BN3, DH3, FS3)=0)</formula>
    </cfRule>
    <cfRule type="expression" dxfId="1" priority="61">
      <formula>AND(BT3&gt;=4,FI3&lt;&gt;GetEquPower(C3,BN3, DH3, FS3))</formula>
    </cfRule>
  </conditionalFormatting>
  <conditionalFormatting sqref="EA3:EA69">
    <cfRule type="expression" dxfId="2" priority="62">
      <formula>AND(BO3&gt;=5,EA3&lt;&gt;0, GetEquPower(C3,BI3, CE3, FN3)=0)</formula>
    </cfRule>
    <cfRule type="expression" dxfId="1" priority="63">
      <formula>AND(BO3&gt;=5, EA3&lt;&gt;GetEquPower(C3,BI3, CE3, FN3))</formula>
    </cfRule>
  </conditionalFormatting>
  <conditionalFormatting sqref="EB3:EB69">
    <cfRule type="expression" dxfId="2" priority="64">
      <formula>AND(BO3&gt;=6,EB3&lt;&gt;0, GetEquPower(C3,BI3, CF3, FN3)=0)</formula>
    </cfRule>
    <cfRule type="expression" dxfId="1" priority="65">
      <formula>AND(BO3&gt;=6, EB3&lt;&gt;GetEquPower(C3,BI3, CF3, FN3))</formula>
    </cfRule>
  </conditionalFormatting>
  <conditionalFormatting sqref="EH3:EH69">
    <cfRule type="expression" dxfId="2" priority="66">
      <formula>AND(BP3&gt;=5,EH3&lt;&gt;0, GetEquPower(C3,BJ3, CK3, FO3)=0)</formula>
    </cfRule>
    <cfRule type="expression" dxfId="1" priority="67">
      <formula>AND(BP3&gt;=5,EH3&lt;&gt;GetEquPower(C3,BJ3, CK3, FO3))</formula>
    </cfRule>
  </conditionalFormatting>
  <conditionalFormatting sqref="EI3:EI69">
    <cfRule type="expression" dxfId="2" priority="68">
      <formula>AND(BP3&gt;=6,EI3&lt;&gt;0, GetEquPower(C3,BJ3, CL3, FO3)=0)</formula>
    </cfRule>
    <cfRule type="expression" dxfId="1" priority="69">
      <formula>AND(BP3&gt;=6,EI3&lt;&gt;GetEquPower(C3,BJ3, CL3, FO3))</formula>
    </cfRule>
  </conditionalFormatting>
  <conditionalFormatting sqref="EO3:EO69">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69">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69">
    <cfRule type="expression" dxfId="2" priority="74">
      <formula>AND(BR3&gt;=5,EV3&lt;&gt;0, GetEquPower(C3,BL3, CW3, FQ3)=0)</formula>
    </cfRule>
    <cfRule type="expression" dxfId="1" priority="75">
      <formula>AND(BR3&gt;=5,EV3&lt;&gt;GetEquPower(C3,BL3, CW3, FQ3))</formula>
    </cfRule>
  </conditionalFormatting>
  <conditionalFormatting sqref="EW3:EW69">
    <cfRule type="expression" dxfId="2" priority="76">
      <formula>AND(BR3&gt;=6,EW3&lt;&gt;0, GetEquPower(C3,BL3, CX3, FQ3)=0)</formula>
    </cfRule>
    <cfRule type="expression" dxfId="1" priority="77">
      <formula>AND(BR3&gt;=6,EW3&lt;&gt;GetEquPower(C3,BL3, CX3, FQ3))</formula>
    </cfRule>
  </conditionalFormatting>
  <conditionalFormatting sqref="FC3:FC69">
    <cfRule type="expression" dxfId="2" priority="78">
      <formula>AND(BS3&gt;=5,FC3&lt;&gt;0, GetEquPower(C3,BM3, DC3, FR3)=0)</formula>
    </cfRule>
    <cfRule type="expression" dxfId="1" priority="79">
      <formula>AND(BS3&gt;=5,FC3&lt;&gt;GetEquPower(C3,BM3, DC3, FR3))</formula>
    </cfRule>
  </conditionalFormatting>
  <conditionalFormatting sqref="FD3:FD69">
    <cfRule type="expression" dxfId="2" priority="80">
      <formula>AND(BS3&gt;=6,FD3&lt;&gt;0, GetEquPower(C3,BM3, DD3, FR3)=0)</formula>
    </cfRule>
    <cfRule type="expression" dxfId="1" priority="81">
      <formula>AND(BS3&gt;=6,FD3&lt;&gt;GetEquPower(C3,BM3, DD3, FR3))</formula>
    </cfRule>
  </conditionalFormatting>
  <conditionalFormatting sqref="FJ3:FJ69">
    <cfRule type="expression" dxfId="2" priority="82">
      <formula>AND(BT3&gt;=5,FJ3&lt;&gt;0, GetEquPower(C3,BN3, DI3, FS3)=0)</formula>
    </cfRule>
    <cfRule type="expression" dxfId="1" priority="83">
      <formula>AND(BT3&gt;=5,FJ3&lt;&gt;GetEquPower(C3,BN3, DI3, FS3))</formula>
    </cfRule>
  </conditionalFormatting>
  <conditionalFormatting sqref="FK3:FK69">
    <cfRule type="expression" dxfId="2" priority="84">
      <formula>AND(BT3&gt;=6,FK3&lt;&gt;0, GetEquPower(C3,BN3, DJ3, FS3)=0)</formula>
    </cfRule>
    <cfRule type="expression" dxfId="1" priority="85">
      <formula>AND(BT3&gt;=6,FK3&lt;&gt;GetEquPower(C3,BN3, DJ3, FS3))</formula>
    </cfRule>
  </conditionalFormatting>
  <conditionalFormatting sqref="W3:W69">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69"/>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1178</v>
      </c>
      <c r="C2" s="483" t="s">
        <v>1178</v>
      </c>
      <c r="D2" s="796" t="s">
        <v>586</v>
      </c>
      <c r="E2" s="483" t="s">
        <v>577</v>
      </c>
      <c r="F2" s="483" t="s">
        <v>26</v>
      </c>
      <c r="G2" s="796" t="s">
        <v>578</v>
      </c>
      <c r="H2" s="796" t="s">
        <v>579</v>
      </c>
      <c r="I2" s="483">
        <v>3</v>
      </c>
      <c r="J2" s="483" t="s">
        <v>580</v>
      </c>
      <c r="K2" s="484" t="s">
        <v>584</v>
      </c>
      <c r="L2" s="484" t="s">
        <v>1179</v>
      </c>
      <c r="M2" s="483" t="s">
        <v>1180</v>
      </c>
      <c r="N2" s="483" t="s">
        <v>1181</v>
      </c>
      <c r="O2" s="483" t="s">
        <v>1182</v>
      </c>
      <c r="P2" s="483" t="s">
        <v>1183</v>
      </c>
      <c r="Q2" s="483" t="s">
        <v>1184</v>
      </c>
      <c r="R2" s="483" t="s">
        <v>1185</v>
      </c>
      <c r="S2" s="483" t="s">
        <v>1186</v>
      </c>
      <c r="T2" s="483" t="s">
        <v>1187</v>
      </c>
      <c r="U2" s="229">
        <v>1</v>
      </c>
      <c r="V2" s="229"/>
      <c r="W2" s="483" t="b">
        <v>0</v>
      </c>
      <c r="X2" s="483" t="b">
        <v>0</v>
      </c>
      <c r="Y2" s="796">
        <v>0</v>
      </c>
      <c r="Z2" s="483" t="b">
        <v>1</v>
      </c>
      <c r="AA2" s="796">
        <v>27</v>
      </c>
      <c r="AB2" s="229" t="b">
        <v>0</v>
      </c>
      <c r="AC2" s="229" t="b">
        <v>1</v>
      </c>
      <c r="AD2" s="483">
        <v>0</v>
      </c>
      <c r="AE2" s="229"/>
      <c r="AF2" s="483" t="s">
        <v>50</v>
      </c>
      <c r="AG2" s="483">
        <v>0</v>
      </c>
      <c r="AH2" s="230"/>
      <c r="AI2" s="543" t="s">
        <v>576</v>
      </c>
      <c r="AJ2" s="543" t="s">
        <v>576</v>
      </c>
      <c r="AK2" s="483">
        <v>4</v>
      </c>
      <c r="AL2" s="486" t="s">
        <v>1188</v>
      </c>
      <c r="AM2" s="486" t="s">
        <v>1189</v>
      </c>
      <c r="AN2" s="486" t="s">
        <v>1190</v>
      </c>
      <c r="AO2" s="483" t="s">
        <v>25</v>
      </c>
      <c r="AP2" s="485" t="s">
        <v>576</v>
      </c>
      <c r="AQ2" s="485" t="s">
        <v>576</v>
      </c>
      <c r="AR2" s="485" t="s">
        <v>576</v>
      </c>
      <c r="AS2" s="485">
        <v>0</v>
      </c>
      <c r="AT2" s="485" t="s">
        <v>601</v>
      </c>
      <c r="AU2" s="485" t="s">
        <v>601</v>
      </c>
      <c r="AV2" s="485" t="s">
        <v>1178</v>
      </c>
      <c r="AW2" s="485" t="s">
        <v>1178</v>
      </c>
      <c r="AX2" s="485" t="s">
        <v>1178</v>
      </c>
      <c r="AY2" s="485" t="s">
        <v>601</v>
      </c>
      <c r="AZ2" s="485" t="s">
        <v>601</v>
      </c>
      <c r="BA2" s="485" t="s">
        <v>601</v>
      </c>
      <c r="BB2" s="485" t="s">
        <v>1191</v>
      </c>
      <c r="BC2" s="485" t="s">
        <v>586</v>
      </c>
      <c r="BD2" s="485" t="s">
        <v>586</v>
      </c>
      <c r="BE2" s="485" t="s">
        <v>586</v>
      </c>
      <c r="BF2" s="485">
        <v>0</v>
      </c>
      <c r="BG2" s="485" t="s">
        <v>601</v>
      </c>
      <c r="BH2" s="485" t="s">
        <v>601</v>
      </c>
      <c r="BI2" s="485" t="s">
        <v>587</v>
      </c>
      <c r="BJ2" s="485" t="s">
        <v>587</v>
      </c>
      <c r="BK2" s="485" t="s">
        <v>587</v>
      </c>
      <c r="BL2" s="485">
        <v>0</v>
      </c>
      <c r="BM2" s="485" t="s">
        <v>601</v>
      </c>
      <c r="BN2" s="485" t="s">
        <v>601</v>
      </c>
      <c r="BO2" s="543">
        <v>3</v>
      </c>
      <c r="BP2" s="543">
        <v>3</v>
      </c>
      <c r="BQ2" s="543">
        <v>3</v>
      </c>
      <c r="BR2" s="543">
        <v>0</v>
      </c>
      <c r="BS2" s="543">
        <v>0</v>
      </c>
      <c r="BT2" s="544">
        <v>0</v>
      </c>
      <c r="BU2" s="485" t="s">
        <v>589</v>
      </c>
      <c r="BV2" s="485" t="s">
        <v>589</v>
      </c>
      <c r="BW2" s="485" t="s">
        <v>597</v>
      </c>
      <c r="BX2" s="485" t="s">
        <v>601</v>
      </c>
      <c r="BY2" s="485" t="s">
        <v>601</v>
      </c>
      <c r="BZ2" s="485" t="s">
        <v>601</v>
      </c>
      <c r="CA2" s="485">
        <v>4</v>
      </c>
      <c r="CB2" s="485">
        <v>4</v>
      </c>
      <c r="CC2" s="485">
        <v>4</v>
      </c>
      <c r="CD2" s="485">
        <v>0</v>
      </c>
      <c r="CE2" s="485">
        <v>0</v>
      </c>
      <c r="CF2" s="485">
        <v>0</v>
      </c>
      <c r="CG2" s="485">
        <v>4</v>
      </c>
      <c r="CH2" s="485">
        <v>4</v>
      </c>
      <c r="CI2" s="485">
        <v>4</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591</v>
      </c>
      <c r="DL2" s="485" t="s">
        <v>591</v>
      </c>
      <c r="DM2" s="485" t="s">
        <v>599</v>
      </c>
      <c r="DN2" s="485" t="s">
        <v>601</v>
      </c>
      <c r="DO2" s="485" t="s">
        <v>601</v>
      </c>
      <c r="DP2" s="485" t="s">
        <v>601</v>
      </c>
      <c r="DQ2" s="485" t="s">
        <v>1192</v>
      </c>
      <c r="DR2" s="485" t="s">
        <v>1192</v>
      </c>
      <c r="DS2" s="485" t="s">
        <v>1193</v>
      </c>
      <c r="DT2" s="485" t="s">
        <v>601</v>
      </c>
      <c r="DU2" s="485" t="s">
        <v>601</v>
      </c>
      <c r="DV2" s="485" t="s">
        <v>601</v>
      </c>
      <c r="DW2" s="485">
        <v>20</v>
      </c>
      <c r="DX2" s="485">
        <v>20</v>
      </c>
      <c r="DY2" s="485">
        <v>20</v>
      </c>
      <c r="DZ2" s="485">
        <v>0</v>
      </c>
      <c r="EA2" s="485">
        <v>0</v>
      </c>
      <c r="EB2" s="485">
        <v>0</v>
      </c>
      <c r="EC2" s="485">
        <v>20</v>
      </c>
      <c r="ED2" s="485">
        <v>20</v>
      </c>
      <c r="EE2" s="485">
        <v>20</v>
      </c>
      <c r="EF2" s="485">
        <v>20</v>
      </c>
      <c r="EG2" s="485">
        <v>0</v>
      </c>
      <c r="EH2" s="485">
        <v>0</v>
      </c>
      <c r="EI2" s="485">
        <v>0</v>
      </c>
      <c r="EJ2" s="485">
        <v>20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592</v>
      </c>
      <c r="FO2" s="485" t="s">
        <v>594</v>
      </c>
      <c r="FP2" s="485" t="s">
        <v>600</v>
      </c>
      <c r="FQ2" s="485" t="s">
        <v>601</v>
      </c>
      <c r="FR2" s="485" t="s">
        <v>601</v>
      </c>
      <c r="FS2" s="485" t="s">
        <v>601</v>
      </c>
      <c r="FT2" s="485" t="s">
        <v>593</v>
      </c>
      <c r="FU2" s="485" t="s">
        <v>595</v>
      </c>
      <c r="FV2" s="485" t="s">
        <v>595</v>
      </c>
      <c r="FW2" s="485" t="s">
        <v>601</v>
      </c>
      <c r="FX2" s="485" t="s">
        <v>601</v>
      </c>
      <c r="FY2" s="485" t="s">
        <v>601</v>
      </c>
      <c r="FZ2" s="485" t="s">
        <v>593</v>
      </c>
      <c r="GA2" s="485" t="s">
        <v>595</v>
      </c>
      <c r="GB2" s="485" t="s">
        <v>595</v>
      </c>
      <c r="GC2" s="485" t="s">
        <v>601</v>
      </c>
      <c r="GD2" s="485" t="s">
        <v>601</v>
      </c>
      <c r="GE2" s="485" t="s">
        <v>601</v>
      </c>
      <c r="GF2" s="485">
        <v>27</v>
      </c>
      <c r="GG2" s="485">
        <v>27</v>
      </c>
      <c r="GH2" s="485">
        <v>27</v>
      </c>
      <c r="GI2" s="485">
        <v>0</v>
      </c>
      <c r="GJ2" s="485">
        <v>0</v>
      </c>
      <c r="GK2" s="485">
        <v>0</v>
      </c>
      <c r="GL2" s="485">
        <v>30</v>
      </c>
      <c r="GM2" s="485">
        <v>30</v>
      </c>
      <c r="GN2" s="485">
        <v>30</v>
      </c>
      <c r="GO2" s="485">
        <v>0</v>
      </c>
      <c r="GP2" s="485">
        <v>0</v>
      </c>
      <c r="GQ2" s="485">
        <v>0</v>
      </c>
      <c r="GR2" s="485">
        <v>30</v>
      </c>
      <c r="GS2" s="485">
        <v>30</v>
      </c>
      <c r="GT2" s="485">
        <v>30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27</v>
      </c>
      <c r="HR2" s="485">
        <v>30</v>
      </c>
      <c r="HS2" s="485">
        <v>30</v>
      </c>
      <c r="HT2" s="485">
        <v>0</v>
      </c>
      <c r="HU2" s="485">
        <v>0</v>
      </c>
      <c r="HV2" s="485">
        <v>0</v>
      </c>
      <c r="HW2" s="796">
        <v>27</v>
      </c>
      <c r="HX2" s="796">
        <v>0</v>
      </c>
      <c r="HY2" s="230">
        <v>68</v>
      </c>
      <c r="HZ2" s="230">
        <v>68</v>
      </c>
      <c r="IA2" s="230"/>
      <c r="IB2" s="230"/>
      <c r="IC2" s="491" t="s">
        <v>581</v>
      </c>
      <c r="ID2" s="597" t="s">
        <v>582</v>
      </c>
      <c r="IE2" s="487" t="s">
        <v>583</v>
      </c>
      <c r="IF2" s="232" t="s">
        <v>364</v>
      </c>
      <c r="IG2" s="487" t="s">
        <v>584</v>
      </c>
      <c r="IH2" s="487" t="s">
        <v>585</v>
      </c>
      <c r="II2" s="598" t="s">
        <v>584</v>
      </c>
      <c r="IJ2" s="487">
        <v>44462</v>
      </c>
      <c r="IK2" s="488">
        <v>4</v>
      </c>
      <c r="IL2" s="489" t="s">
        <v>1194</v>
      </c>
      <c r="IM2" s="489" t="s">
        <v>603</v>
      </c>
      <c r="IN2" s="489" t="s">
        <v>603</v>
      </c>
      <c r="IO2" s="489" t="s">
        <v>1195</v>
      </c>
      <c r="IP2" s="489" t="s">
        <v>601</v>
      </c>
      <c r="IQ2" s="489" t="s">
        <v>601</v>
      </c>
      <c r="IR2" s="489">
        <v>3</v>
      </c>
      <c r="IS2" s="489">
        <v>1</v>
      </c>
      <c r="IT2" s="489" t="s">
        <v>675</v>
      </c>
      <c r="IU2" s="489" t="s">
        <v>675</v>
      </c>
    </row>
    <row r="3" ht="76.5">
      <c r="A3" s="322">
        <v>2</v>
      </c>
      <c r="B3" s="229" t="s">
        <v>1178</v>
      </c>
      <c r="C3" s="229" t="s">
        <v>1178</v>
      </c>
      <c r="D3" s="797" t="s">
        <v>612</v>
      </c>
      <c r="E3" s="229" t="s">
        <v>606</v>
      </c>
      <c r="F3" s="229" t="s">
        <v>26</v>
      </c>
      <c r="G3" s="797" t="s">
        <v>607</v>
      </c>
      <c r="H3" s="797" t="s">
        <v>608</v>
      </c>
      <c r="I3" s="229">
        <v>2</v>
      </c>
      <c r="J3" s="229" t="s">
        <v>609</v>
      </c>
      <c r="K3" s="231" t="s">
        <v>584</v>
      </c>
      <c r="L3" s="231" t="s">
        <v>1196</v>
      </c>
      <c r="M3" s="229" t="s">
        <v>1197</v>
      </c>
      <c r="N3" s="229" t="s">
        <v>1198</v>
      </c>
      <c r="O3" s="229" t="s">
        <v>1199</v>
      </c>
      <c r="P3" s="229" t="s">
        <v>1200</v>
      </c>
      <c r="Q3" s="229" t="s">
        <v>1201</v>
      </c>
      <c r="R3" s="229" t="s">
        <v>1202</v>
      </c>
      <c r="S3" s="229" t="s">
        <v>1203</v>
      </c>
      <c r="T3" s="229" t="s">
        <v>1204</v>
      </c>
      <c r="U3" s="229">
        <v>1</v>
      </c>
      <c r="V3" s="229"/>
      <c r="W3" s="229" t="b">
        <v>0</v>
      </c>
      <c r="X3" s="229" t="b">
        <v>0</v>
      </c>
      <c r="Y3" s="797">
        <v>0</v>
      </c>
      <c r="Z3" s="229" t="b">
        <v>1</v>
      </c>
      <c r="AA3" s="797">
        <v>24</v>
      </c>
      <c r="AB3" s="229" t="b">
        <v>0</v>
      </c>
      <c r="AC3" s="229" t="b">
        <v>1</v>
      </c>
      <c r="AD3" s="229">
        <v>0</v>
      </c>
      <c r="AE3" s="229"/>
      <c r="AF3" s="229" t="s">
        <v>50</v>
      </c>
      <c r="AG3" s="229">
        <v>0</v>
      </c>
      <c r="AH3" s="230"/>
      <c r="AI3" s="553" t="s">
        <v>576</v>
      </c>
      <c r="AJ3" s="553" t="s">
        <v>576</v>
      </c>
      <c r="AK3" s="229">
        <v>4</v>
      </c>
      <c r="AL3" s="465" t="s">
        <v>1188</v>
      </c>
      <c r="AM3" s="465" t="s">
        <v>1189</v>
      </c>
      <c r="AN3" s="465" t="s">
        <v>1205</v>
      </c>
      <c r="AO3" s="229" t="s">
        <v>25</v>
      </c>
      <c r="AP3" s="230" t="s">
        <v>576</v>
      </c>
      <c r="AQ3" s="230" t="s">
        <v>576</v>
      </c>
      <c r="AR3" s="230">
        <v>0</v>
      </c>
      <c r="AS3" s="230" t="s">
        <v>601</v>
      </c>
      <c r="AT3" s="230" t="s">
        <v>601</v>
      </c>
      <c r="AU3" s="230" t="s">
        <v>601</v>
      </c>
      <c r="AV3" s="230" t="s">
        <v>1178</v>
      </c>
      <c r="AW3" s="230" t="s">
        <v>1178</v>
      </c>
      <c r="AX3" s="230" t="s">
        <v>601</v>
      </c>
      <c r="AY3" s="230" t="s">
        <v>601</v>
      </c>
      <c r="AZ3" s="230" t="s">
        <v>601</v>
      </c>
      <c r="BA3" s="230" t="s">
        <v>601</v>
      </c>
      <c r="BB3" s="230" t="s">
        <v>1206</v>
      </c>
      <c r="BC3" s="230" t="s">
        <v>612</v>
      </c>
      <c r="BD3" s="230" t="s">
        <v>612</v>
      </c>
      <c r="BE3" s="230">
        <v>0</v>
      </c>
      <c r="BF3" s="230" t="s">
        <v>601</v>
      </c>
      <c r="BG3" s="230" t="s">
        <v>601</v>
      </c>
      <c r="BH3" s="230" t="s">
        <v>601</v>
      </c>
      <c r="BI3" s="230" t="s">
        <v>587</v>
      </c>
      <c r="BJ3" s="230" t="s">
        <v>587</v>
      </c>
      <c r="BK3" s="230">
        <v>0</v>
      </c>
      <c r="BL3" s="230" t="s">
        <v>601</v>
      </c>
      <c r="BM3" s="230" t="s">
        <v>601</v>
      </c>
      <c r="BN3" s="230" t="s">
        <v>601</v>
      </c>
      <c r="BO3" s="553">
        <v>3</v>
      </c>
      <c r="BP3" s="553">
        <v>3</v>
      </c>
      <c r="BQ3" s="553">
        <v>0</v>
      </c>
      <c r="BR3" s="553">
        <v>0</v>
      </c>
      <c r="BS3" s="553">
        <v>0</v>
      </c>
      <c r="BT3" s="554">
        <v>0</v>
      </c>
      <c r="BU3" s="230" t="s">
        <v>589</v>
      </c>
      <c r="BV3" s="230" t="s">
        <v>597</v>
      </c>
      <c r="BW3" s="230" t="s">
        <v>601</v>
      </c>
      <c r="BX3" s="230" t="s">
        <v>601</v>
      </c>
      <c r="BY3" s="230" t="s">
        <v>601</v>
      </c>
      <c r="BZ3" s="230" t="s">
        <v>601</v>
      </c>
      <c r="CA3" s="230">
        <v>4</v>
      </c>
      <c r="CB3" s="230">
        <v>4</v>
      </c>
      <c r="CC3" s="230">
        <v>4</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591</v>
      </c>
      <c r="DL3" s="230" t="s">
        <v>599</v>
      </c>
      <c r="DM3" s="230" t="s">
        <v>601</v>
      </c>
      <c r="DN3" s="230" t="s">
        <v>601</v>
      </c>
      <c r="DO3" s="230" t="s">
        <v>601</v>
      </c>
      <c r="DP3" s="230" t="s">
        <v>601</v>
      </c>
      <c r="DQ3" s="230" t="s">
        <v>1192</v>
      </c>
      <c r="DR3" s="230" t="s">
        <v>1193</v>
      </c>
      <c r="DS3" s="230" t="s">
        <v>601</v>
      </c>
      <c r="DT3" s="230" t="s">
        <v>601</v>
      </c>
      <c r="DU3" s="230" t="s">
        <v>601</v>
      </c>
      <c r="DV3" s="230" t="s">
        <v>601</v>
      </c>
      <c r="DW3" s="230">
        <v>20</v>
      </c>
      <c r="DX3" s="230">
        <v>20</v>
      </c>
      <c r="DY3" s="230">
        <v>20</v>
      </c>
      <c r="DZ3" s="230">
        <v>0</v>
      </c>
      <c r="EA3" s="230">
        <v>0</v>
      </c>
      <c r="EB3" s="230">
        <v>0</v>
      </c>
      <c r="EC3" s="230">
        <v>20</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594</v>
      </c>
      <c r="FO3" s="230" t="s">
        <v>600</v>
      </c>
      <c r="FP3" s="230">
        <v>0</v>
      </c>
      <c r="FQ3" s="230" t="s">
        <v>601</v>
      </c>
      <c r="FR3" s="230" t="s">
        <v>601</v>
      </c>
      <c r="FS3" s="230" t="s">
        <v>601</v>
      </c>
      <c r="FT3" s="230" t="s">
        <v>613</v>
      </c>
      <c r="FU3" s="230" t="s">
        <v>613</v>
      </c>
      <c r="FV3" s="230">
        <v>0</v>
      </c>
      <c r="FW3" s="230" t="s">
        <v>601</v>
      </c>
      <c r="FX3" s="230" t="s">
        <v>601</v>
      </c>
      <c r="FY3" s="230" t="s">
        <v>601</v>
      </c>
      <c r="FZ3" s="230" t="s">
        <v>613</v>
      </c>
      <c r="GA3" s="230" t="s">
        <v>613</v>
      </c>
      <c r="GB3" s="230" t="s">
        <v>601</v>
      </c>
      <c r="GC3" s="230" t="s">
        <v>601</v>
      </c>
      <c r="GD3" s="230" t="s">
        <v>601</v>
      </c>
      <c r="GE3" s="230" t="s">
        <v>601</v>
      </c>
      <c r="GF3" s="230">
        <v>24</v>
      </c>
      <c r="GG3" s="230">
        <v>24</v>
      </c>
      <c r="GH3" s="230">
        <v>24</v>
      </c>
      <c r="GI3" s="230">
        <v>0</v>
      </c>
      <c r="GJ3" s="230">
        <v>0</v>
      </c>
      <c r="GK3" s="230">
        <v>0</v>
      </c>
      <c r="GL3" s="230">
        <v>24</v>
      </c>
      <c r="GM3" s="230">
        <v>24</v>
      </c>
      <c r="GN3" s="230">
        <v>24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24</v>
      </c>
      <c r="HR3" s="230">
        <v>24</v>
      </c>
      <c r="HS3" s="230">
        <v>0</v>
      </c>
      <c r="HT3" s="230">
        <v>0</v>
      </c>
      <c r="HU3" s="230">
        <v>0</v>
      </c>
      <c r="HV3" s="230">
        <v>0</v>
      </c>
      <c r="HW3" s="797">
        <v>24</v>
      </c>
      <c r="HX3" s="797">
        <v>0</v>
      </c>
      <c r="HY3" s="230">
        <v>68</v>
      </c>
      <c r="HZ3" s="230"/>
      <c r="IA3" s="230"/>
      <c r="IB3" s="230"/>
      <c r="IC3" s="232" t="s">
        <v>610</v>
      </c>
      <c r="ID3" s="233" t="s">
        <v>611</v>
      </c>
      <c r="IE3" s="467" t="s">
        <v>583</v>
      </c>
      <c r="IF3" s="232" t="s">
        <v>364</v>
      </c>
      <c r="IG3" s="467" t="s">
        <v>584</v>
      </c>
      <c r="IH3" s="467" t="s">
        <v>585</v>
      </c>
      <c r="II3" s="546" t="s">
        <v>584</v>
      </c>
      <c r="IJ3" s="467">
        <v>44462</v>
      </c>
      <c r="IK3" s="468">
        <v>3</v>
      </c>
      <c r="IL3" s="469" t="s">
        <v>1207</v>
      </c>
      <c r="IM3" s="469" t="s">
        <v>603</v>
      </c>
      <c r="IN3" s="469" t="s">
        <v>1195</v>
      </c>
      <c r="IO3" s="469" t="s">
        <v>601</v>
      </c>
      <c r="IP3" s="469" t="s">
        <v>601</v>
      </c>
      <c r="IQ3" s="469" t="s">
        <v>601</v>
      </c>
      <c r="IR3" s="469">
        <v>2</v>
      </c>
      <c r="IS3" s="469">
        <v>1</v>
      </c>
      <c r="IT3" s="469" t="s">
        <v>675</v>
      </c>
      <c r="IU3" s="469" t="s">
        <v>675</v>
      </c>
    </row>
    <row r="4" ht="76.5">
      <c r="A4" s="322">
        <v>3</v>
      </c>
      <c r="B4" s="229" t="s">
        <v>1178</v>
      </c>
      <c r="C4" s="229" t="s">
        <v>1178</v>
      </c>
      <c r="D4" s="797" t="s">
        <v>622</v>
      </c>
      <c r="E4" s="229" t="s">
        <v>616</v>
      </c>
      <c r="F4" s="229" t="s">
        <v>26</v>
      </c>
      <c r="G4" s="797" t="s">
        <v>617</v>
      </c>
      <c r="H4" s="797" t="s">
        <v>618</v>
      </c>
      <c r="I4" s="229">
        <v>1</v>
      </c>
      <c r="J4" s="229" t="s">
        <v>619</v>
      </c>
      <c r="K4" s="231" t="s">
        <v>584</v>
      </c>
      <c r="L4" s="231" t="s">
        <v>1196</v>
      </c>
      <c r="M4" s="229" t="s">
        <v>576</v>
      </c>
      <c r="N4" s="229" t="s">
        <v>622</v>
      </c>
      <c r="O4" s="229" t="s">
        <v>587</v>
      </c>
      <c r="P4" s="229" t="s">
        <v>1208</v>
      </c>
      <c r="Q4" s="229" t="s">
        <v>597</v>
      </c>
      <c r="R4" s="229" t="s">
        <v>1193</v>
      </c>
      <c r="S4" s="229" t="s">
        <v>600</v>
      </c>
      <c r="T4" s="229" t="s">
        <v>595</v>
      </c>
      <c r="U4" s="229">
        <v>1</v>
      </c>
      <c r="V4" s="229"/>
      <c r="W4" s="229" t="b">
        <v>0</v>
      </c>
      <c r="X4" s="229" t="b">
        <v>0</v>
      </c>
      <c r="Y4" s="797">
        <v>0</v>
      </c>
      <c r="Z4" s="229" t="b">
        <v>1</v>
      </c>
      <c r="AA4" s="797">
        <v>30</v>
      </c>
      <c r="AB4" s="229" t="b">
        <v>0</v>
      </c>
      <c r="AC4" s="229" t="b">
        <v>1</v>
      </c>
      <c r="AD4" s="229">
        <v>0</v>
      </c>
      <c r="AE4" s="229"/>
      <c r="AF4" s="229" t="s">
        <v>50</v>
      </c>
      <c r="AG4" s="229">
        <v>0</v>
      </c>
      <c r="AH4" s="230"/>
      <c r="AI4" s="553" t="s">
        <v>576</v>
      </c>
      <c r="AJ4" s="553" t="s">
        <v>576</v>
      </c>
      <c r="AK4" s="229">
        <v>5</v>
      </c>
      <c r="AL4" s="465" t="s">
        <v>1188</v>
      </c>
      <c r="AM4" s="465" t="s">
        <v>1189</v>
      </c>
      <c r="AN4" s="465" t="s">
        <v>1209</v>
      </c>
      <c r="AO4" s="229" t="s">
        <v>25</v>
      </c>
      <c r="AP4" s="230" t="s">
        <v>576</v>
      </c>
      <c r="AQ4" s="230">
        <v>0</v>
      </c>
      <c r="AR4" s="230">
        <v>0</v>
      </c>
      <c r="AS4" s="230" t="s">
        <v>601</v>
      </c>
      <c r="AT4" s="230" t="s">
        <v>601</v>
      </c>
      <c r="AU4" s="230" t="s">
        <v>601</v>
      </c>
      <c r="AV4" s="230" t="s">
        <v>1178</v>
      </c>
      <c r="AW4" s="230" t="s">
        <v>601</v>
      </c>
      <c r="AX4" s="230" t="s">
        <v>601</v>
      </c>
      <c r="AY4" s="230" t="s">
        <v>601</v>
      </c>
      <c r="AZ4" s="230" t="s">
        <v>601</v>
      </c>
      <c r="BA4" s="230" t="s">
        <v>601</v>
      </c>
      <c r="BB4" s="230" t="s">
        <v>1178</v>
      </c>
      <c r="BC4" s="230" t="s">
        <v>622</v>
      </c>
      <c r="BD4" s="230">
        <v>0</v>
      </c>
      <c r="BE4" s="230">
        <v>0</v>
      </c>
      <c r="BF4" s="230" t="s">
        <v>601</v>
      </c>
      <c r="BG4" s="230" t="s">
        <v>601</v>
      </c>
      <c r="BH4" s="230" t="s">
        <v>601</v>
      </c>
      <c r="BI4" s="230" t="s">
        <v>587</v>
      </c>
      <c r="BJ4" s="230">
        <v>0</v>
      </c>
      <c r="BK4" s="230">
        <v>0</v>
      </c>
      <c r="BL4" s="230" t="s">
        <v>601</v>
      </c>
      <c r="BM4" s="230" t="s">
        <v>601</v>
      </c>
      <c r="BN4" s="230" t="s">
        <v>601</v>
      </c>
      <c r="BO4" s="553">
        <v>3</v>
      </c>
      <c r="BP4" s="553">
        <v>0</v>
      </c>
      <c r="BQ4" s="553">
        <v>0</v>
      </c>
      <c r="BR4" s="553">
        <v>0</v>
      </c>
      <c r="BS4" s="553">
        <v>0</v>
      </c>
      <c r="BT4" s="554">
        <v>0</v>
      </c>
      <c r="BU4" s="230" t="s">
        <v>597</v>
      </c>
      <c r="BV4" s="230" t="s">
        <v>601</v>
      </c>
      <c r="BW4" s="230" t="s">
        <v>601</v>
      </c>
      <c r="BX4" s="230" t="s">
        <v>601</v>
      </c>
      <c r="BY4" s="230" t="s">
        <v>601</v>
      </c>
      <c r="BZ4" s="230" t="s">
        <v>601</v>
      </c>
      <c r="CA4" s="230">
        <v>2</v>
      </c>
      <c r="CB4" s="230">
        <v>2</v>
      </c>
      <c r="CC4" s="230">
        <v>2</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599</v>
      </c>
      <c r="DL4" s="230" t="s">
        <v>601</v>
      </c>
      <c r="DM4" s="230" t="s">
        <v>601</v>
      </c>
      <c r="DN4" s="230" t="s">
        <v>601</v>
      </c>
      <c r="DO4" s="230" t="s">
        <v>601</v>
      </c>
      <c r="DP4" s="230" t="s">
        <v>601</v>
      </c>
      <c r="DQ4" s="230" t="s">
        <v>1193</v>
      </c>
      <c r="DR4" s="230" t="s">
        <v>601</v>
      </c>
      <c r="DS4" s="230" t="s">
        <v>601</v>
      </c>
      <c r="DT4" s="230" t="s">
        <v>601</v>
      </c>
      <c r="DU4" s="230" t="s">
        <v>601</v>
      </c>
      <c r="DV4" s="230" t="s">
        <v>601</v>
      </c>
      <c r="DW4" s="230">
        <v>40</v>
      </c>
      <c r="DX4" s="230">
        <v>40</v>
      </c>
      <c r="DY4" s="230">
        <v>40</v>
      </c>
      <c r="DZ4" s="230">
        <v>0</v>
      </c>
      <c r="EA4" s="230">
        <v>0</v>
      </c>
      <c r="EB4" s="230">
        <v>0</v>
      </c>
      <c r="EC4" s="230">
        <v>40</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v>2100</v>
      </c>
      <c r="FO4" s="230">
        <v>0</v>
      </c>
      <c r="FP4" s="230">
        <v>0</v>
      </c>
      <c r="FQ4" s="230" t="s">
        <v>601</v>
      </c>
      <c r="FR4" s="230" t="s">
        <v>601</v>
      </c>
      <c r="FS4" s="230" t="s">
        <v>601</v>
      </c>
      <c r="FT4" s="230" t="s">
        <v>595</v>
      </c>
      <c r="FU4" s="230">
        <v>0</v>
      </c>
      <c r="FV4" s="230">
        <v>0</v>
      </c>
      <c r="FW4" s="230" t="s">
        <v>601</v>
      </c>
      <c r="FX4" s="230" t="s">
        <v>601</v>
      </c>
      <c r="FY4" s="230" t="s">
        <v>601</v>
      </c>
      <c r="FZ4" s="230" t="s">
        <v>595</v>
      </c>
      <c r="GA4" s="230" t="s">
        <v>601</v>
      </c>
      <c r="GB4" s="230" t="s">
        <v>601</v>
      </c>
      <c r="GC4" s="230" t="s">
        <v>601</v>
      </c>
      <c r="GD4" s="230" t="s">
        <v>601</v>
      </c>
      <c r="GE4" s="230" t="s">
        <v>601</v>
      </c>
      <c r="GF4" s="230">
        <v>30</v>
      </c>
      <c r="GG4" s="230">
        <v>30</v>
      </c>
      <c r="GH4" s="230">
        <v>30</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30</v>
      </c>
      <c r="HR4" s="230">
        <v>0</v>
      </c>
      <c r="HS4" s="230">
        <v>0</v>
      </c>
      <c r="HT4" s="230">
        <v>0</v>
      </c>
      <c r="HU4" s="230">
        <v>0</v>
      </c>
      <c r="HV4" s="230">
        <v>0</v>
      </c>
      <c r="HW4" s="797">
        <v>30</v>
      </c>
      <c r="HX4" s="797">
        <v>0</v>
      </c>
      <c r="HY4" s="230">
        <v>68</v>
      </c>
      <c r="HZ4" s="230"/>
      <c r="IA4" s="230"/>
      <c r="IB4" s="230"/>
      <c r="IC4" s="232" t="s">
        <v>620</v>
      </c>
      <c r="ID4" s="233" t="s">
        <v>621</v>
      </c>
      <c r="IE4" s="467" t="s">
        <v>583</v>
      </c>
      <c r="IF4" s="232" t="s">
        <v>364</v>
      </c>
      <c r="IG4" s="467" t="s">
        <v>584</v>
      </c>
      <c r="IH4" s="467" t="s">
        <v>585</v>
      </c>
      <c r="II4" s="546" t="s">
        <v>584</v>
      </c>
      <c r="IJ4" s="467">
        <v>44462</v>
      </c>
      <c r="IK4" s="468">
        <v>3</v>
      </c>
      <c r="IL4" s="469" t="s">
        <v>1210</v>
      </c>
      <c r="IM4" s="469" t="s">
        <v>1195</v>
      </c>
      <c r="IN4" s="469" t="s">
        <v>1195</v>
      </c>
      <c r="IO4" s="469" t="s">
        <v>601</v>
      </c>
      <c r="IP4" s="469" t="s">
        <v>601</v>
      </c>
      <c r="IQ4" s="469" t="s">
        <v>601</v>
      </c>
      <c r="IR4" s="469">
        <v>1</v>
      </c>
      <c r="IS4" s="469">
        <v>2</v>
      </c>
      <c r="IT4" s="469" t="s">
        <v>675</v>
      </c>
      <c r="IU4" s="469" t="s">
        <v>675</v>
      </c>
    </row>
    <row r="5" ht="76.5">
      <c r="A5" s="322">
        <v>4</v>
      </c>
      <c r="B5" s="229" t="s">
        <v>1178</v>
      </c>
      <c r="C5" s="229" t="s">
        <v>1178</v>
      </c>
      <c r="D5" s="797" t="s">
        <v>631</v>
      </c>
      <c r="E5" s="229" t="s">
        <v>625</v>
      </c>
      <c r="F5" s="229" t="s">
        <v>26</v>
      </c>
      <c r="G5" s="797" t="s">
        <v>626</v>
      </c>
      <c r="H5" s="797" t="s">
        <v>627</v>
      </c>
      <c r="I5" s="229">
        <v>1</v>
      </c>
      <c r="J5" s="229" t="s">
        <v>628</v>
      </c>
      <c r="K5" s="231" t="s">
        <v>584</v>
      </c>
      <c r="L5" s="231" t="s">
        <v>1196</v>
      </c>
      <c r="M5" s="229" t="s">
        <v>576</v>
      </c>
      <c r="N5" s="229" t="s">
        <v>631</v>
      </c>
      <c r="O5" s="229" t="s">
        <v>587</v>
      </c>
      <c r="P5" s="229" t="s">
        <v>1208</v>
      </c>
      <c r="Q5" s="229" t="s">
        <v>597</v>
      </c>
      <c r="R5" s="229" t="s">
        <v>1193</v>
      </c>
      <c r="S5" s="229" t="s">
        <v>600</v>
      </c>
      <c r="T5" s="229" t="s">
        <v>595</v>
      </c>
      <c r="U5" s="229">
        <v>1</v>
      </c>
      <c r="V5" s="229"/>
      <c r="W5" s="229" t="b">
        <v>0</v>
      </c>
      <c r="X5" s="229" t="b">
        <v>0</v>
      </c>
      <c r="Y5" s="797">
        <v>0</v>
      </c>
      <c r="Z5" s="229" t="b">
        <v>1</v>
      </c>
      <c r="AA5" s="797">
        <v>30</v>
      </c>
      <c r="AB5" s="229" t="b">
        <v>0</v>
      </c>
      <c r="AC5" s="229" t="b">
        <v>1</v>
      </c>
      <c r="AD5" s="229">
        <v>0</v>
      </c>
      <c r="AE5" s="229"/>
      <c r="AF5" s="229" t="s">
        <v>50</v>
      </c>
      <c r="AG5" s="229">
        <v>0</v>
      </c>
      <c r="AH5" s="230"/>
      <c r="AI5" s="553" t="s">
        <v>576</v>
      </c>
      <c r="AJ5" s="553" t="s">
        <v>576</v>
      </c>
      <c r="AK5" s="229">
        <v>4</v>
      </c>
      <c r="AL5" s="465" t="s">
        <v>1188</v>
      </c>
      <c r="AM5" s="465" t="s">
        <v>1189</v>
      </c>
      <c r="AN5" s="465" t="s">
        <v>1209</v>
      </c>
      <c r="AO5" s="229" t="s">
        <v>25</v>
      </c>
      <c r="AP5" s="230" t="s">
        <v>576</v>
      </c>
      <c r="AQ5" s="230">
        <v>0</v>
      </c>
      <c r="AR5" s="230">
        <v>0</v>
      </c>
      <c r="AS5" s="230" t="s">
        <v>601</v>
      </c>
      <c r="AT5" s="230" t="s">
        <v>601</v>
      </c>
      <c r="AU5" s="230" t="s">
        <v>601</v>
      </c>
      <c r="AV5" s="230" t="s">
        <v>1178</v>
      </c>
      <c r="AW5" s="230" t="s">
        <v>601</v>
      </c>
      <c r="AX5" s="230" t="s">
        <v>601</v>
      </c>
      <c r="AY5" s="230" t="s">
        <v>601</v>
      </c>
      <c r="AZ5" s="230" t="s">
        <v>601</v>
      </c>
      <c r="BA5" s="230" t="s">
        <v>601</v>
      </c>
      <c r="BB5" s="230" t="s">
        <v>1178</v>
      </c>
      <c r="BC5" s="230" t="s">
        <v>631</v>
      </c>
      <c r="BD5" s="230">
        <v>0</v>
      </c>
      <c r="BE5" s="230">
        <v>0</v>
      </c>
      <c r="BF5" s="230" t="s">
        <v>601</v>
      </c>
      <c r="BG5" s="230" t="s">
        <v>601</v>
      </c>
      <c r="BH5" s="230" t="s">
        <v>601</v>
      </c>
      <c r="BI5" s="230" t="s">
        <v>587</v>
      </c>
      <c r="BJ5" s="230">
        <v>0</v>
      </c>
      <c r="BK5" s="230">
        <v>0</v>
      </c>
      <c r="BL5" s="230" t="s">
        <v>601</v>
      </c>
      <c r="BM5" s="230" t="s">
        <v>601</v>
      </c>
      <c r="BN5" s="230" t="s">
        <v>601</v>
      </c>
      <c r="BO5" s="553">
        <v>3</v>
      </c>
      <c r="BP5" s="553">
        <v>0</v>
      </c>
      <c r="BQ5" s="553">
        <v>0</v>
      </c>
      <c r="BR5" s="553">
        <v>0</v>
      </c>
      <c r="BS5" s="553">
        <v>0</v>
      </c>
      <c r="BT5" s="554">
        <v>0</v>
      </c>
      <c r="BU5" s="230" t="s">
        <v>597</v>
      </c>
      <c r="BV5" s="230" t="s">
        <v>601</v>
      </c>
      <c r="BW5" s="230" t="s">
        <v>601</v>
      </c>
      <c r="BX5" s="230" t="s">
        <v>601</v>
      </c>
      <c r="BY5" s="230" t="s">
        <v>601</v>
      </c>
      <c r="BZ5" s="230" t="s">
        <v>601</v>
      </c>
      <c r="CA5" s="230">
        <v>2</v>
      </c>
      <c r="CB5" s="230">
        <v>2</v>
      </c>
      <c r="CC5" s="230">
        <v>2</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599</v>
      </c>
      <c r="DL5" s="230" t="s">
        <v>601</v>
      </c>
      <c r="DM5" s="230" t="s">
        <v>601</v>
      </c>
      <c r="DN5" s="230" t="s">
        <v>601</v>
      </c>
      <c r="DO5" s="230" t="s">
        <v>601</v>
      </c>
      <c r="DP5" s="230" t="s">
        <v>601</v>
      </c>
      <c r="DQ5" s="230" t="s">
        <v>1193</v>
      </c>
      <c r="DR5" s="230" t="s">
        <v>601</v>
      </c>
      <c r="DS5" s="230" t="s">
        <v>601</v>
      </c>
      <c r="DT5" s="230" t="s">
        <v>601</v>
      </c>
      <c r="DU5" s="230" t="s">
        <v>601</v>
      </c>
      <c r="DV5" s="230" t="s">
        <v>601</v>
      </c>
      <c r="DW5" s="230">
        <v>40</v>
      </c>
      <c r="DX5" s="230">
        <v>40</v>
      </c>
      <c r="DY5" s="230">
        <v>40</v>
      </c>
      <c r="DZ5" s="230">
        <v>0</v>
      </c>
      <c r="EA5" s="230">
        <v>0</v>
      </c>
      <c r="EB5" s="230">
        <v>0</v>
      </c>
      <c r="EC5" s="230">
        <v>40</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v>2100</v>
      </c>
      <c r="FO5" s="230">
        <v>0</v>
      </c>
      <c r="FP5" s="230">
        <v>0</v>
      </c>
      <c r="FQ5" s="230" t="s">
        <v>601</v>
      </c>
      <c r="FR5" s="230" t="s">
        <v>601</v>
      </c>
      <c r="FS5" s="230" t="s">
        <v>601</v>
      </c>
      <c r="FT5" s="230" t="s">
        <v>595</v>
      </c>
      <c r="FU5" s="230">
        <v>0</v>
      </c>
      <c r="FV5" s="230">
        <v>0</v>
      </c>
      <c r="FW5" s="230" t="s">
        <v>601</v>
      </c>
      <c r="FX5" s="230" t="s">
        <v>601</v>
      </c>
      <c r="FY5" s="230" t="s">
        <v>601</v>
      </c>
      <c r="FZ5" s="230" t="s">
        <v>595</v>
      </c>
      <c r="GA5" s="230" t="s">
        <v>601</v>
      </c>
      <c r="GB5" s="230" t="s">
        <v>601</v>
      </c>
      <c r="GC5" s="230" t="s">
        <v>601</v>
      </c>
      <c r="GD5" s="230" t="s">
        <v>601</v>
      </c>
      <c r="GE5" s="230" t="s">
        <v>601</v>
      </c>
      <c r="GF5" s="230">
        <v>30</v>
      </c>
      <c r="GG5" s="230">
        <v>30</v>
      </c>
      <c r="GH5" s="230">
        <v>30</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30</v>
      </c>
      <c r="HR5" s="230">
        <v>0</v>
      </c>
      <c r="HS5" s="230">
        <v>0</v>
      </c>
      <c r="HT5" s="230">
        <v>0</v>
      </c>
      <c r="HU5" s="230">
        <v>0</v>
      </c>
      <c r="HV5" s="230">
        <v>0</v>
      </c>
      <c r="HW5" s="797">
        <v>30</v>
      </c>
      <c r="HX5" s="797">
        <v>0</v>
      </c>
      <c r="HY5" s="230">
        <v>68</v>
      </c>
      <c r="HZ5" s="230"/>
      <c r="IA5" s="230"/>
      <c r="IB5" s="230"/>
      <c r="IC5" s="232" t="s">
        <v>629</v>
      </c>
      <c r="ID5" s="233" t="s">
        <v>630</v>
      </c>
      <c r="IE5" s="467" t="s">
        <v>583</v>
      </c>
      <c r="IF5" s="232" t="s">
        <v>364</v>
      </c>
      <c r="IG5" s="467" t="s">
        <v>584</v>
      </c>
      <c r="IH5" s="467" t="s">
        <v>585</v>
      </c>
      <c r="II5" s="546" t="s">
        <v>584</v>
      </c>
      <c r="IJ5" s="467">
        <v>44462</v>
      </c>
      <c r="IK5" s="468">
        <v>3</v>
      </c>
      <c r="IL5" s="469" t="s">
        <v>1210</v>
      </c>
      <c r="IM5" s="469" t="s">
        <v>1195</v>
      </c>
      <c r="IN5" s="469" t="s">
        <v>1195</v>
      </c>
      <c r="IO5" s="469" t="s">
        <v>601</v>
      </c>
      <c r="IP5" s="469" t="s">
        <v>601</v>
      </c>
      <c r="IQ5" s="469" t="s">
        <v>601</v>
      </c>
      <c r="IR5" s="469">
        <v>1</v>
      </c>
      <c r="IS5" s="469">
        <v>2</v>
      </c>
      <c r="IT5" s="469" t="s">
        <v>675</v>
      </c>
      <c r="IU5" s="469" t="s">
        <v>675</v>
      </c>
    </row>
    <row r="6" ht="76.5">
      <c r="A6" s="322">
        <v>5</v>
      </c>
      <c r="B6" s="229" t="s">
        <v>1178</v>
      </c>
      <c r="C6" s="229" t="s">
        <v>1178</v>
      </c>
      <c r="D6" s="797" t="s">
        <v>639</v>
      </c>
      <c r="E6" s="229" t="s">
        <v>633</v>
      </c>
      <c r="F6" s="229" t="s">
        <v>26</v>
      </c>
      <c r="G6" s="797" t="s">
        <v>634</v>
      </c>
      <c r="H6" s="797" t="s">
        <v>635</v>
      </c>
      <c r="I6" s="229">
        <v>1</v>
      </c>
      <c r="J6" s="229" t="s">
        <v>636</v>
      </c>
      <c r="K6" s="231" t="s">
        <v>584</v>
      </c>
      <c r="L6" s="231" t="s">
        <v>1211</v>
      </c>
      <c r="M6" s="229" t="s">
        <v>576</v>
      </c>
      <c r="N6" s="229" t="s">
        <v>639</v>
      </c>
      <c r="O6" s="229" t="s">
        <v>587</v>
      </c>
      <c r="P6" s="229" t="s">
        <v>1208</v>
      </c>
      <c r="Q6" s="229" t="s">
        <v>597</v>
      </c>
      <c r="R6" s="229" t="s">
        <v>1193</v>
      </c>
      <c r="S6" s="229" t="s">
        <v>600</v>
      </c>
      <c r="T6" s="229" t="s">
        <v>593</v>
      </c>
      <c r="U6" s="229">
        <v>1</v>
      </c>
      <c r="V6" s="229"/>
      <c r="W6" s="229" t="b">
        <v>0</v>
      </c>
      <c r="X6" s="229" t="b">
        <v>0</v>
      </c>
      <c r="Y6" s="797">
        <v>0</v>
      </c>
      <c r="Z6" s="229" t="b">
        <v>1</v>
      </c>
      <c r="AA6" s="797">
        <v>27</v>
      </c>
      <c r="AB6" s="229" t="b">
        <v>0</v>
      </c>
      <c r="AC6" s="229" t="b">
        <v>1</v>
      </c>
      <c r="AD6" s="229">
        <v>0</v>
      </c>
      <c r="AE6" s="229"/>
      <c r="AF6" s="229" t="s">
        <v>50</v>
      </c>
      <c r="AG6" s="229">
        <v>0</v>
      </c>
      <c r="AH6" s="230"/>
      <c r="AI6" s="553" t="s">
        <v>576</v>
      </c>
      <c r="AJ6" s="553" t="s">
        <v>576</v>
      </c>
      <c r="AK6" s="229">
        <v>4</v>
      </c>
      <c r="AL6" s="465" t="s">
        <v>1188</v>
      </c>
      <c r="AM6" s="465" t="s">
        <v>1189</v>
      </c>
      <c r="AN6" s="465" t="s">
        <v>1190</v>
      </c>
      <c r="AO6" s="229" t="s">
        <v>25</v>
      </c>
      <c r="AP6" s="230" t="s">
        <v>576</v>
      </c>
      <c r="AQ6" s="230">
        <v>0</v>
      </c>
      <c r="AR6" s="230">
        <v>0</v>
      </c>
      <c r="AS6" s="230" t="s">
        <v>601</v>
      </c>
      <c r="AT6" s="230" t="s">
        <v>601</v>
      </c>
      <c r="AU6" s="230" t="s">
        <v>601</v>
      </c>
      <c r="AV6" s="230" t="s">
        <v>1178</v>
      </c>
      <c r="AW6" s="230" t="s">
        <v>601</v>
      </c>
      <c r="AX6" s="230" t="s">
        <v>601</v>
      </c>
      <c r="AY6" s="230" t="s">
        <v>601</v>
      </c>
      <c r="AZ6" s="230" t="s">
        <v>601</v>
      </c>
      <c r="BA6" s="230" t="s">
        <v>601</v>
      </c>
      <c r="BB6" s="230" t="s">
        <v>1178</v>
      </c>
      <c r="BC6" s="230" t="s">
        <v>639</v>
      </c>
      <c r="BD6" s="230">
        <v>0</v>
      </c>
      <c r="BE6" s="230">
        <v>0</v>
      </c>
      <c r="BF6" s="230" t="s">
        <v>601</v>
      </c>
      <c r="BG6" s="230" t="s">
        <v>601</v>
      </c>
      <c r="BH6" s="230" t="s">
        <v>601</v>
      </c>
      <c r="BI6" s="230" t="s">
        <v>587</v>
      </c>
      <c r="BJ6" s="230">
        <v>0</v>
      </c>
      <c r="BK6" s="230">
        <v>0</v>
      </c>
      <c r="BL6" s="230" t="s">
        <v>601</v>
      </c>
      <c r="BM6" s="230" t="s">
        <v>601</v>
      </c>
      <c r="BN6" s="230" t="s">
        <v>601</v>
      </c>
      <c r="BO6" s="553">
        <v>3</v>
      </c>
      <c r="BP6" s="553">
        <v>0</v>
      </c>
      <c r="BQ6" s="553">
        <v>0</v>
      </c>
      <c r="BR6" s="553">
        <v>0</v>
      </c>
      <c r="BS6" s="553">
        <v>0</v>
      </c>
      <c r="BT6" s="554">
        <v>0</v>
      </c>
      <c r="BU6" s="230" t="s">
        <v>597</v>
      </c>
      <c r="BV6" s="230" t="s">
        <v>601</v>
      </c>
      <c r="BW6" s="230" t="s">
        <v>601</v>
      </c>
      <c r="BX6" s="230" t="s">
        <v>601</v>
      </c>
      <c r="BY6" s="230" t="s">
        <v>601</v>
      </c>
      <c r="BZ6" s="230" t="s">
        <v>601</v>
      </c>
      <c r="CA6" s="230">
        <v>2</v>
      </c>
      <c r="CB6" s="230">
        <v>2</v>
      </c>
      <c r="CC6" s="230">
        <v>2</v>
      </c>
      <c r="CD6" s="230">
        <v>0</v>
      </c>
      <c r="CE6" s="230">
        <v>0</v>
      </c>
      <c r="CF6" s="230">
        <v>0</v>
      </c>
      <c r="CG6" s="230">
        <v>0</v>
      </c>
      <c r="CH6" s="230">
        <v>0</v>
      </c>
      <c r="CI6" s="230">
        <v>0</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599</v>
      </c>
      <c r="DL6" s="230" t="s">
        <v>601</v>
      </c>
      <c r="DM6" s="230" t="s">
        <v>601</v>
      </c>
      <c r="DN6" s="230" t="s">
        <v>601</v>
      </c>
      <c r="DO6" s="230" t="s">
        <v>601</v>
      </c>
      <c r="DP6" s="230" t="s">
        <v>601</v>
      </c>
      <c r="DQ6" s="230" t="s">
        <v>1193</v>
      </c>
      <c r="DR6" s="230" t="s">
        <v>601</v>
      </c>
      <c r="DS6" s="230" t="s">
        <v>601</v>
      </c>
      <c r="DT6" s="230" t="s">
        <v>601</v>
      </c>
      <c r="DU6" s="230" t="s">
        <v>601</v>
      </c>
      <c r="DV6" s="230" t="s">
        <v>601</v>
      </c>
      <c r="DW6" s="230">
        <v>40</v>
      </c>
      <c r="DX6" s="230">
        <v>40</v>
      </c>
      <c r="DY6" s="230">
        <v>40</v>
      </c>
      <c r="DZ6" s="230">
        <v>0</v>
      </c>
      <c r="EA6" s="230">
        <v>0</v>
      </c>
      <c r="EB6" s="230">
        <v>0</v>
      </c>
      <c r="EC6" s="230">
        <v>40</v>
      </c>
      <c r="ED6" s="230">
        <v>0</v>
      </c>
      <c r="EE6" s="230">
        <v>0</v>
      </c>
      <c r="EF6" s="230">
        <v>0</v>
      </c>
      <c r="EG6" s="230">
        <v>0</v>
      </c>
      <c r="EH6" s="230">
        <v>0</v>
      </c>
      <c r="EI6" s="230">
        <v>0</v>
      </c>
      <c r="EJ6" s="230">
        <v>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v>2100</v>
      </c>
      <c r="FO6" s="230">
        <v>0</v>
      </c>
      <c r="FP6" s="230">
        <v>0</v>
      </c>
      <c r="FQ6" s="230" t="s">
        <v>601</v>
      </c>
      <c r="FR6" s="230" t="s">
        <v>601</v>
      </c>
      <c r="FS6" s="230" t="s">
        <v>601</v>
      </c>
      <c r="FT6" s="230" t="s">
        <v>593</v>
      </c>
      <c r="FU6" s="230">
        <v>0</v>
      </c>
      <c r="FV6" s="230">
        <v>0</v>
      </c>
      <c r="FW6" s="230" t="s">
        <v>601</v>
      </c>
      <c r="FX6" s="230" t="s">
        <v>601</v>
      </c>
      <c r="FY6" s="230" t="s">
        <v>601</v>
      </c>
      <c r="FZ6" s="230" t="s">
        <v>593</v>
      </c>
      <c r="GA6" s="230" t="s">
        <v>601</v>
      </c>
      <c r="GB6" s="230" t="s">
        <v>601</v>
      </c>
      <c r="GC6" s="230" t="s">
        <v>601</v>
      </c>
      <c r="GD6" s="230" t="s">
        <v>601</v>
      </c>
      <c r="GE6" s="230" t="s">
        <v>601</v>
      </c>
      <c r="GF6" s="230">
        <v>27</v>
      </c>
      <c r="GG6" s="230">
        <v>27</v>
      </c>
      <c r="GH6" s="230">
        <v>27</v>
      </c>
      <c r="GI6" s="230">
        <v>0</v>
      </c>
      <c r="GJ6" s="230">
        <v>0</v>
      </c>
      <c r="GK6" s="230">
        <v>0</v>
      </c>
      <c r="GL6" s="230">
        <v>0</v>
      </c>
      <c r="GM6" s="230">
        <v>0</v>
      </c>
      <c r="GN6" s="230">
        <v>0</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27</v>
      </c>
      <c r="HR6" s="230">
        <v>0</v>
      </c>
      <c r="HS6" s="230">
        <v>0</v>
      </c>
      <c r="HT6" s="230">
        <v>0</v>
      </c>
      <c r="HU6" s="230">
        <v>0</v>
      </c>
      <c r="HV6" s="230">
        <v>0</v>
      </c>
      <c r="HW6" s="797">
        <v>27</v>
      </c>
      <c r="HX6" s="797">
        <v>0</v>
      </c>
      <c r="HY6" s="230">
        <v>68</v>
      </c>
      <c r="HZ6" s="230"/>
      <c r="IA6" s="230"/>
      <c r="IB6" s="230"/>
      <c r="IC6" s="232" t="s">
        <v>637</v>
      </c>
      <c r="ID6" s="233" t="s">
        <v>638</v>
      </c>
      <c r="IE6" s="467" t="s">
        <v>583</v>
      </c>
      <c r="IF6" s="232" t="s">
        <v>364</v>
      </c>
      <c r="IG6" s="467" t="s">
        <v>584</v>
      </c>
      <c r="IH6" s="467" t="s">
        <v>585</v>
      </c>
      <c r="II6" s="546" t="s">
        <v>584</v>
      </c>
      <c r="IJ6" s="467">
        <v>44462</v>
      </c>
      <c r="IK6" s="468">
        <v>3</v>
      </c>
      <c r="IL6" s="469" t="s">
        <v>1210</v>
      </c>
      <c r="IM6" s="469" t="s">
        <v>1195</v>
      </c>
      <c r="IN6" s="469" t="s">
        <v>1195</v>
      </c>
      <c r="IO6" s="469" t="s">
        <v>601</v>
      </c>
      <c r="IP6" s="469" t="s">
        <v>601</v>
      </c>
      <c r="IQ6" s="469" t="s">
        <v>601</v>
      </c>
      <c r="IR6" s="469">
        <v>1</v>
      </c>
      <c r="IS6" s="469">
        <v>2</v>
      </c>
      <c r="IT6" s="469" t="s">
        <v>675</v>
      </c>
      <c r="IU6" s="469" t="s">
        <v>675</v>
      </c>
    </row>
    <row r="7" ht="76.5">
      <c r="A7" s="322">
        <v>6</v>
      </c>
      <c r="B7" s="229" t="s">
        <v>1178</v>
      </c>
      <c r="C7" s="229" t="s">
        <v>1178</v>
      </c>
      <c r="D7" s="797" t="s">
        <v>647</v>
      </c>
      <c r="E7" s="229" t="s">
        <v>641</v>
      </c>
      <c r="F7" s="229" t="s">
        <v>26</v>
      </c>
      <c r="G7" s="797" t="s">
        <v>642</v>
      </c>
      <c r="H7" s="797" t="s">
        <v>643</v>
      </c>
      <c r="I7" s="229">
        <v>2</v>
      </c>
      <c r="J7" s="229" t="s">
        <v>644</v>
      </c>
      <c r="K7" s="231" t="s">
        <v>584</v>
      </c>
      <c r="L7" s="231" t="s">
        <v>1211</v>
      </c>
      <c r="M7" s="229" t="s">
        <v>1197</v>
      </c>
      <c r="N7" s="229" t="s">
        <v>1212</v>
      </c>
      <c r="O7" s="229" t="s">
        <v>1199</v>
      </c>
      <c r="P7" s="229" t="s">
        <v>1200</v>
      </c>
      <c r="Q7" s="229" t="s">
        <v>1213</v>
      </c>
      <c r="R7" s="229" t="s">
        <v>1214</v>
      </c>
      <c r="S7" s="229" t="s">
        <v>1215</v>
      </c>
      <c r="T7" s="229" t="s">
        <v>1216</v>
      </c>
      <c r="U7" s="229">
        <v>1</v>
      </c>
      <c r="V7" s="229"/>
      <c r="W7" s="229" t="b">
        <v>0</v>
      </c>
      <c r="X7" s="229" t="b">
        <v>0</v>
      </c>
      <c r="Y7" s="797">
        <v>0</v>
      </c>
      <c r="Z7" s="229" t="b">
        <v>1</v>
      </c>
      <c r="AA7" s="797">
        <v>30</v>
      </c>
      <c r="AB7" s="229" t="b">
        <v>0</v>
      </c>
      <c r="AC7" s="229" t="b">
        <v>1</v>
      </c>
      <c r="AD7" s="229">
        <v>0</v>
      </c>
      <c r="AE7" s="229"/>
      <c r="AF7" s="229" t="s">
        <v>50</v>
      </c>
      <c r="AG7" s="229">
        <v>0</v>
      </c>
      <c r="AH7" s="230"/>
      <c r="AI7" s="553" t="s">
        <v>576</v>
      </c>
      <c r="AJ7" s="553" t="s">
        <v>576</v>
      </c>
      <c r="AK7" s="229">
        <v>3</v>
      </c>
      <c r="AL7" s="465" t="s">
        <v>1188</v>
      </c>
      <c r="AM7" s="465" t="s">
        <v>1189</v>
      </c>
      <c r="AN7" s="465" t="s">
        <v>1217</v>
      </c>
      <c r="AO7" s="229" t="s">
        <v>25</v>
      </c>
      <c r="AP7" s="230" t="s">
        <v>576</v>
      </c>
      <c r="AQ7" s="230" t="s">
        <v>576</v>
      </c>
      <c r="AR7" s="230">
        <v>0</v>
      </c>
      <c r="AS7" s="230" t="s">
        <v>601</v>
      </c>
      <c r="AT7" s="230" t="s">
        <v>601</v>
      </c>
      <c r="AU7" s="230" t="s">
        <v>601</v>
      </c>
      <c r="AV7" s="230" t="s">
        <v>1178</v>
      </c>
      <c r="AW7" s="230" t="s">
        <v>1178</v>
      </c>
      <c r="AX7" s="230" t="s">
        <v>601</v>
      </c>
      <c r="AY7" s="230" t="s">
        <v>601</v>
      </c>
      <c r="AZ7" s="230" t="s">
        <v>601</v>
      </c>
      <c r="BA7" s="230" t="s">
        <v>601</v>
      </c>
      <c r="BB7" s="230" t="s">
        <v>1206</v>
      </c>
      <c r="BC7" s="230" t="s">
        <v>647</v>
      </c>
      <c r="BD7" s="230" t="s">
        <v>648</v>
      </c>
      <c r="BE7" s="230">
        <v>0</v>
      </c>
      <c r="BF7" s="230" t="s">
        <v>601</v>
      </c>
      <c r="BG7" s="230" t="s">
        <v>601</v>
      </c>
      <c r="BH7" s="230" t="s">
        <v>601</v>
      </c>
      <c r="BI7" s="230" t="s">
        <v>587</v>
      </c>
      <c r="BJ7" s="230" t="s">
        <v>587</v>
      </c>
      <c r="BK7" s="230">
        <v>0</v>
      </c>
      <c r="BL7" s="230" t="s">
        <v>601</v>
      </c>
      <c r="BM7" s="230" t="s">
        <v>601</v>
      </c>
      <c r="BN7" s="230" t="s">
        <v>601</v>
      </c>
      <c r="BO7" s="553">
        <v>3</v>
      </c>
      <c r="BP7" s="553">
        <v>3</v>
      </c>
      <c r="BQ7" s="553">
        <v>0</v>
      </c>
      <c r="BR7" s="553">
        <v>0</v>
      </c>
      <c r="BS7" s="553">
        <v>0</v>
      </c>
      <c r="BT7" s="554">
        <v>0</v>
      </c>
      <c r="BU7" s="230" t="s">
        <v>597</v>
      </c>
      <c r="BV7" s="230" t="s">
        <v>597</v>
      </c>
      <c r="BW7" s="230" t="s">
        <v>601</v>
      </c>
      <c r="BX7" s="230" t="s">
        <v>601</v>
      </c>
      <c r="BY7" s="230" t="s">
        <v>601</v>
      </c>
      <c r="BZ7" s="230" t="s">
        <v>601</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599</v>
      </c>
      <c r="DL7" s="230" t="s">
        <v>599</v>
      </c>
      <c r="DM7" s="230" t="s">
        <v>601</v>
      </c>
      <c r="DN7" s="230" t="s">
        <v>601</v>
      </c>
      <c r="DO7" s="230" t="s">
        <v>601</v>
      </c>
      <c r="DP7" s="230" t="s">
        <v>601</v>
      </c>
      <c r="DQ7" s="230" t="s">
        <v>1193</v>
      </c>
      <c r="DR7" s="230" t="s">
        <v>1193</v>
      </c>
      <c r="DS7" s="230" t="s">
        <v>601</v>
      </c>
      <c r="DT7" s="230" t="s">
        <v>601</v>
      </c>
      <c r="DU7" s="230" t="s">
        <v>601</v>
      </c>
      <c r="DV7" s="230" t="s">
        <v>601</v>
      </c>
      <c r="DW7" s="230">
        <v>40</v>
      </c>
      <c r="DX7" s="230">
        <v>40</v>
      </c>
      <c r="DY7" s="230">
        <v>40</v>
      </c>
      <c r="DZ7" s="230">
        <v>0</v>
      </c>
      <c r="EA7" s="230">
        <v>0</v>
      </c>
      <c r="EB7" s="230">
        <v>0</v>
      </c>
      <c r="EC7" s="230">
        <v>40</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40</v>
      </c>
      <c r="FN7" s="230" t="s">
        <v>592</v>
      </c>
      <c r="FO7" s="230" t="s">
        <v>600</v>
      </c>
      <c r="FP7" s="230">
        <v>0</v>
      </c>
      <c r="FQ7" s="230" t="s">
        <v>601</v>
      </c>
      <c r="FR7" s="230" t="s">
        <v>601</v>
      </c>
      <c r="FS7" s="230" t="s">
        <v>601</v>
      </c>
      <c r="FT7" s="230" t="s">
        <v>595</v>
      </c>
      <c r="FU7" s="230" t="s">
        <v>649</v>
      </c>
      <c r="FV7" s="230">
        <v>0</v>
      </c>
      <c r="FW7" s="230" t="s">
        <v>601</v>
      </c>
      <c r="FX7" s="230" t="s">
        <v>601</v>
      </c>
      <c r="FY7" s="230" t="s">
        <v>601</v>
      </c>
      <c r="FZ7" s="230" t="s">
        <v>595</v>
      </c>
      <c r="GA7" s="230" t="s">
        <v>649</v>
      </c>
      <c r="GB7" s="230" t="s">
        <v>601</v>
      </c>
      <c r="GC7" s="230" t="s">
        <v>601</v>
      </c>
      <c r="GD7" s="230" t="s">
        <v>601</v>
      </c>
      <c r="GE7" s="230" t="s">
        <v>601</v>
      </c>
      <c r="GF7" s="230">
        <v>30</v>
      </c>
      <c r="GG7" s="230">
        <v>30</v>
      </c>
      <c r="GH7" s="230">
        <v>30</v>
      </c>
      <c r="GI7" s="230">
        <v>0</v>
      </c>
      <c r="GJ7" s="230">
        <v>0</v>
      </c>
      <c r="GK7" s="230">
        <v>0</v>
      </c>
      <c r="GL7" s="230">
        <v>34</v>
      </c>
      <c r="GM7" s="230">
        <v>34</v>
      </c>
      <c r="GN7" s="230">
        <v>34</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30</v>
      </c>
      <c r="HR7" s="230">
        <v>34</v>
      </c>
      <c r="HS7" s="230">
        <v>0</v>
      </c>
      <c r="HT7" s="230">
        <v>0</v>
      </c>
      <c r="HU7" s="230">
        <v>0</v>
      </c>
      <c r="HV7" s="230">
        <v>0</v>
      </c>
      <c r="HW7" s="797">
        <v>30</v>
      </c>
      <c r="HX7" s="797">
        <v>0</v>
      </c>
      <c r="HY7" s="230">
        <v>68</v>
      </c>
      <c r="HZ7" s="230"/>
      <c r="IA7" s="230"/>
      <c r="IB7" s="230"/>
      <c r="IC7" s="232" t="s">
        <v>645</v>
      </c>
      <c r="ID7" s="233" t="s">
        <v>646</v>
      </c>
      <c r="IE7" s="467" t="s">
        <v>583</v>
      </c>
      <c r="IF7" s="232" t="s">
        <v>364</v>
      </c>
      <c r="IG7" s="467" t="s">
        <v>584</v>
      </c>
      <c r="IH7" s="467" t="s">
        <v>585</v>
      </c>
      <c r="II7" s="546" t="s">
        <v>584</v>
      </c>
      <c r="IJ7" s="467">
        <v>44462</v>
      </c>
      <c r="IK7" s="468">
        <v>3</v>
      </c>
      <c r="IL7" s="469" t="s">
        <v>1207</v>
      </c>
      <c r="IM7" s="469" t="s">
        <v>603</v>
      </c>
      <c r="IN7" s="469" t="s">
        <v>1195</v>
      </c>
      <c r="IO7" s="469" t="s">
        <v>601</v>
      </c>
      <c r="IP7" s="469" t="s">
        <v>601</v>
      </c>
      <c r="IQ7" s="469" t="s">
        <v>601</v>
      </c>
      <c r="IR7" s="469">
        <v>2</v>
      </c>
      <c r="IS7" s="469">
        <v>1</v>
      </c>
      <c r="IT7" s="469" t="s">
        <v>675</v>
      </c>
      <c r="IU7" s="469" t="s">
        <v>675</v>
      </c>
    </row>
    <row r="8" ht="76.5">
      <c r="A8" s="322">
        <v>7</v>
      </c>
      <c r="B8" s="229" t="s">
        <v>1178</v>
      </c>
      <c r="C8" s="229" t="s">
        <v>1178</v>
      </c>
      <c r="D8" s="797" t="s">
        <v>657</v>
      </c>
      <c r="E8" s="229" t="s">
        <v>651</v>
      </c>
      <c r="F8" s="229" t="s">
        <v>26</v>
      </c>
      <c r="G8" s="797" t="s">
        <v>652</v>
      </c>
      <c r="H8" s="797" t="s">
        <v>653</v>
      </c>
      <c r="I8" s="229">
        <v>2</v>
      </c>
      <c r="J8" s="229" t="s">
        <v>654</v>
      </c>
      <c r="K8" s="231" t="s">
        <v>584</v>
      </c>
      <c r="L8" s="231" t="s">
        <v>1211</v>
      </c>
      <c r="M8" s="229" t="s">
        <v>1197</v>
      </c>
      <c r="N8" s="229" t="s">
        <v>1218</v>
      </c>
      <c r="O8" s="229" t="s">
        <v>1199</v>
      </c>
      <c r="P8" s="229" t="s">
        <v>1200</v>
      </c>
      <c r="Q8" s="229" t="s">
        <v>1213</v>
      </c>
      <c r="R8" s="229" t="s">
        <v>1214</v>
      </c>
      <c r="S8" s="229" t="s">
        <v>1203</v>
      </c>
      <c r="T8" s="229" t="s">
        <v>1219</v>
      </c>
      <c r="U8" s="229">
        <v>1</v>
      </c>
      <c r="V8" s="229"/>
      <c r="W8" s="229" t="b">
        <v>0</v>
      </c>
      <c r="X8" s="229" t="b">
        <v>0</v>
      </c>
      <c r="Y8" s="797">
        <v>0</v>
      </c>
      <c r="Z8" s="229" t="b">
        <v>1</v>
      </c>
      <c r="AA8" s="797">
        <v>20</v>
      </c>
      <c r="AB8" s="229" t="b">
        <v>0</v>
      </c>
      <c r="AC8" s="229" t="b">
        <v>1</v>
      </c>
      <c r="AD8" s="229">
        <v>0</v>
      </c>
      <c r="AE8" s="229"/>
      <c r="AF8" s="229" t="s">
        <v>50</v>
      </c>
      <c r="AG8" s="229">
        <v>0</v>
      </c>
      <c r="AH8" s="230"/>
      <c r="AI8" s="553" t="s">
        <v>576</v>
      </c>
      <c r="AJ8" s="553" t="s">
        <v>576</v>
      </c>
      <c r="AK8" s="229">
        <v>4</v>
      </c>
      <c r="AL8" s="465" t="s">
        <v>1188</v>
      </c>
      <c r="AM8" s="465" t="s">
        <v>1189</v>
      </c>
      <c r="AN8" s="465" t="s">
        <v>1209</v>
      </c>
      <c r="AO8" s="229" t="s">
        <v>25</v>
      </c>
      <c r="AP8" s="230" t="s">
        <v>576</v>
      </c>
      <c r="AQ8" s="230" t="s">
        <v>576</v>
      </c>
      <c r="AR8" s="230">
        <v>0</v>
      </c>
      <c r="AS8" s="230" t="s">
        <v>601</v>
      </c>
      <c r="AT8" s="230" t="s">
        <v>601</v>
      </c>
      <c r="AU8" s="230" t="s">
        <v>601</v>
      </c>
      <c r="AV8" s="230" t="s">
        <v>1178</v>
      </c>
      <c r="AW8" s="230" t="s">
        <v>1178</v>
      </c>
      <c r="AX8" s="230" t="s">
        <v>601</v>
      </c>
      <c r="AY8" s="230" t="s">
        <v>601</v>
      </c>
      <c r="AZ8" s="230" t="s">
        <v>601</v>
      </c>
      <c r="BA8" s="230" t="s">
        <v>601</v>
      </c>
      <c r="BB8" s="230" t="s">
        <v>1206</v>
      </c>
      <c r="BC8" s="230" t="s">
        <v>657</v>
      </c>
      <c r="BD8" s="230" t="s">
        <v>659</v>
      </c>
      <c r="BE8" s="230">
        <v>0</v>
      </c>
      <c r="BF8" s="230" t="s">
        <v>601</v>
      </c>
      <c r="BG8" s="230" t="s">
        <v>601</v>
      </c>
      <c r="BH8" s="230" t="s">
        <v>601</v>
      </c>
      <c r="BI8" s="230" t="s">
        <v>587</v>
      </c>
      <c r="BJ8" s="230" t="s">
        <v>587</v>
      </c>
      <c r="BK8" s="230">
        <v>0</v>
      </c>
      <c r="BL8" s="230" t="s">
        <v>601</v>
      </c>
      <c r="BM8" s="230" t="s">
        <v>601</v>
      </c>
      <c r="BN8" s="230" t="s">
        <v>601</v>
      </c>
      <c r="BO8" s="553">
        <v>3</v>
      </c>
      <c r="BP8" s="553">
        <v>3</v>
      </c>
      <c r="BQ8" s="553">
        <v>0</v>
      </c>
      <c r="BR8" s="553">
        <v>0</v>
      </c>
      <c r="BS8" s="553">
        <v>0</v>
      </c>
      <c r="BT8" s="554">
        <v>0</v>
      </c>
      <c r="BU8" s="230" t="s">
        <v>597</v>
      </c>
      <c r="BV8" s="230" t="s">
        <v>597</v>
      </c>
      <c r="BW8" s="230" t="s">
        <v>601</v>
      </c>
      <c r="BX8" s="230" t="s">
        <v>601</v>
      </c>
      <c r="BY8" s="230" t="s">
        <v>601</v>
      </c>
      <c r="BZ8" s="230" t="s">
        <v>601</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599</v>
      </c>
      <c r="DL8" s="230" t="s">
        <v>599</v>
      </c>
      <c r="DM8" s="230" t="s">
        <v>601</v>
      </c>
      <c r="DN8" s="230" t="s">
        <v>601</v>
      </c>
      <c r="DO8" s="230" t="s">
        <v>601</v>
      </c>
      <c r="DP8" s="230" t="s">
        <v>601</v>
      </c>
      <c r="DQ8" s="230" t="s">
        <v>1193</v>
      </c>
      <c r="DR8" s="230" t="s">
        <v>1193</v>
      </c>
      <c r="DS8" s="230" t="s">
        <v>601</v>
      </c>
      <c r="DT8" s="230" t="s">
        <v>601</v>
      </c>
      <c r="DU8" s="230" t="s">
        <v>601</v>
      </c>
      <c r="DV8" s="230" t="s">
        <v>601</v>
      </c>
      <c r="DW8" s="230">
        <v>40</v>
      </c>
      <c r="DX8" s="230">
        <v>40</v>
      </c>
      <c r="DY8" s="230">
        <v>40</v>
      </c>
      <c r="DZ8" s="230">
        <v>0</v>
      </c>
      <c r="EA8" s="230">
        <v>0</v>
      </c>
      <c r="EB8" s="230">
        <v>0</v>
      </c>
      <c r="EC8" s="230">
        <v>40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594</v>
      </c>
      <c r="FO8" s="230" t="s">
        <v>600</v>
      </c>
      <c r="FP8" s="230">
        <v>0</v>
      </c>
      <c r="FQ8" s="230" t="s">
        <v>601</v>
      </c>
      <c r="FR8" s="230" t="s">
        <v>601</v>
      </c>
      <c r="FS8" s="230" t="s">
        <v>601</v>
      </c>
      <c r="FT8" s="230" t="s">
        <v>658</v>
      </c>
      <c r="FU8" s="230" t="s">
        <v>658</v>
      </c>
      <c r="FV8" s="230">
        <v>0</v>
      </c>
      <c r="FW8" s="230" t="s">
        <v>601</v>
      </c>
      <c r="FX8" s="230" t="s">
        <v>601</v>
      </c>
      <c r="FY8" s="230" t="s">
        <v>601</v>
      </c>
      <c r="FZ8" s="230" t="s">
        <v>658</v>
      </c>
      <c r="GA8" s="230" t="s">
        <v>658</v>
      </c>
      <c r="GB8" s="230" t="s">
        <v>601</v>
      </c>
      <c r="GC8" s="230" t="s">
        <v>601</v>
      </c>
      <c r="GD8" s="230" t="s">
        <v>601</v>
      </c>
      <c r="GE8" s="230" t="s">
        <v>601</v>
      </c>
      <c r="GF8" s="230">
        <v>20</v>
      </c>
      <c r="GG8" s="230">
        <v>20</v>
      </c>
      <c r="GH8" s="230">
        <v>20</v>
      </c>
      <c r="GI8" s="230">
        <v>0</v>
      </c>
      <c r="GJ8" s="230">
        <v>0</v>
      </c>
      <c r="GK8" s="230">
        <v>0</v>
      </c>
      <c r="GL8" s="230">
        <v>20</v>
      </c>
      <c r="GM8" s="230">
        <v>20</v>
      </c>
      <c r="GN8" s="230">
        <v>20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20</v>
      </c>
      <c r="HR8" s="230">
        <v>20</v>
      </c>
      <c r="HS8" s="230">
        <v>0</v>
      </c>
      <c r="HT8" s="230">
        <v>0</v>
      </c>
      <c r="HU8" s="230">
        <v>0</v>
      </c>
      <c r="HV8" s="230">
        <v>0</v>
      </c>
      <c r="HW8" s="797">
        <v>20</v>
      </c>
      <c r="HX8" s="797">
        <v>0</v>
      </c>
      <c r="HY8" s="230">
        <v>68</v>
      </c>
      <c r="HZ8" s="230"/>
      <c r="IA8" s="230"/>
      <c r="IB8" s="230"/>
      <c r="IC8" s="232" t="s">
        <v>655</v>
      </c>
      <c r="ID8" s="233" t="s">
        <v>656</v>
      </c>
      <c r="IE8" s="467" t="s">
        <v>583</v>
      </c>
      <c r="IF8" s="232" t="s">
        <v>364</v>
      </c>
      <c r="IG8" s="467" t="s">
        <v>584</v>
      </c>
      <c r="IH8" s="467" t="s">
        <v>585</v>
      </c>
      <c r="II8" s="546" t="s">
        <v>584</v>
      </c>
      <c r="IJ8" s="467">
        <v>44462</v>
      </c>
      <c r="IK8" s="468">
        <v>3</v>
      </c>
      <c r="IL8" s="469" t="s">
        <v>1207</v>
      </c>
      <c r="IM8" s="469" t="s">
        <v>603</v>
      </c>
      <c r="IN8" s="469" t="s">
        <v>1195</v>
      </c>
      <c r="IO8" s="469" t="s">
        <v>601</v>
      </c>
      <c r="IP8" s="469" t="s">
        <v>601</v>
      </c>
      <c r="IQ8" s="469" t="s">
        <v>601</v>
      </c>
      <c r="IR8" s="469">
        <v>2</v>
      </c>
      <c r="IS8" s="469">
        <v>1</v>
      </c>
      <c r="IT8" s="469" t="s">
        <v>675</v>
      </c>
      <c r="IU8" s="469" t="s">
        <v>675</v>
      </c>
    </row>
    <row r="9" ht="76.5">
      <c r="A9" s="322">
        <v>8</v>
      </c>
      <c r="B9" s="229" t="s">
        <v>1178</v>
      </c>
      <c r="C9" s="229" t="s">
        <v>1178</v>
      </c>
      <c r="D9" s="797" t="s">
        <v>667</v>
      </c>
      <c r="E9" s="229" t="s">
        <v>661</v>
      </c>
      <c r="F9" s="229" t="s">
        <v>26</v>
      </c>
      <c r="G9" s="797" t="s">
        <v>662</v>
      </c>
      <c r="H9" s="797" t="s">
        <v>663</v>
      </c>
      <c r="I9" s="229">
        <v>1</v>
      </c>
      <c r="J9" s="229" t="s">
        <v>664</v>
      </c>
      <c r="K9" s="231" t="s">
        <v>584</v>
      </c>
      <c r="L9" s="231" t="s">
        <v>1211</v>
      </c>
      <c r="M9" s="229" t="s">
        <v>576</v>
      </c>
      <c r="N9" s="229" t="s">
        <v>667</v>
      </c>
      <c r="O9" s="229" t="s">
        <v>587</v>
      </c>
      <c r="P9" s="229" t="s">
        <v>1208</v>
      </c>
      <c r="Q9" s="229" t="s">
        <v>597</v>
      </c>
      <c r="R9" s="229" t="s">
        <v>1193</v>
      </c>
      <c r="S9" s="229" t="s">
        <v>600</v>
      </c>
      <c r="T9" s="229" t="s">
        <v>593</v>
      </c>
      <c r="U9" s="229">
        <v>1</v>
      </c>
      <c r="V9" s="229"/>
      <c r="W9" s="229" t="b">
        <v>0</v>
      </c>
      <c r="X9" s="229" t="b">
        <v>0</v>
      </c>
      <c r="Y9" s="797">
        <v>0</v>
      </c>
      <c r="Z9" s="229" t="b">
        <v>1</v>
      </c>
      <c r="AA9" s="797">
        <v>27</v>
      </c>
      <c r="AB9" s="229" t="b">
        <v>0</v>
      </c>
      <c r="AC9" s="229" t="b">
        <v>1</v>
      </c>
      <c r="AD9" s="229">
        <v>0</v>
      </c>
      <c r="AE9" s="229"/>
      <c r="AF9" s="229" t="s">
        <v>50</v>
      </c>
      <c r="AG9" s="229">
        <v>0</v>
      </c>
      <c r="AH9" s="230"/>
      <c r="AI9" s="553" t="s">
        <v>576</v>
      </c>
      <c r="AJ9" s="553" t="s">
        <v>576</v>
      </c>
      <c r="AK9" s="229">
        <v>3</v>
      </c>
      <c r="AL9" s="465" t="s">
        <v>1188</v>
      </c>
      <c r="AM9" s="465" t="s">
        <v>1220</v>
      </c>
      <c r="AN9" s="465" t="s">
        <v>1221</v>
      </c>
      <c r="AO9" s="229" t="s">
        <v>25</v>
      </c>
      <c r="AP9" s="230" t="s">
        <v>576</v>
      </c>
      <c r="AQ9" s="230">
        <v>0</v>
      </c>
      <c r="AR9" s="230">
        <v>0</v>
      </c>
      <c r="AS9" s="230" t="s">
        <v>601</v>
      </c>
      <c r="AT9" s="230" t="s">
        <v>601</v>
      </c>
      <c r="AU9" s="230" t="s">
        <v>601</v>
      </c>
      <c r="AV9" s="230" t="s">
        <v>1178</v>
      </c>
      <c r="AW9" s="230" t="s">
        <v>601</v>
      </c>
      <c r="AX9" s="230" t="s">
        <v>601</v>
      </c>
      <c r="AY9" s="230" t="s">
        <v>601</v>
      </c>
      <c r="AZ9" s="230" t="s">
        <v>601</v>
      </c>
      <c r="BA9" s="230" t="s">
        <v>601</v>
      </c>
      <c r="BB9" s="230" t="s">
        <v>1178</v>
      </c>
      <c r="BC9" s="230" t="s">
        <v>667</v>
      </c>
      <c r="BD9" s="230">
        <v>0</v>
      </c>
      <c r="BE9" s="230">
        <v>0</v>
      </c>
      <c r="BF9" s="230" t="s">
        <v>601</v>
      </c>
      <c r="BG9" s="230" t="s">
        <v>601</v>
      </c>
      <c r="BH9" s="230" t="s">
        <v>601</v>
      </c>
      <c r="BI9" s="230" t="s">
        <v>587</v>
      </c>
      <c r="BJ9" s="230">
        <v>0</v>
      </c>
      <c r="BK9" s="230">
        <v>0</v>
      </c>
      <c r="BL9" s="230" t="s">
        <v>601</v>
      </c>
      <c r="BM9" s="230" t="s">
        <v>601</v>
      </c>
      <c r="BN9" s="230" t="s">
        <v>601</v>
      </c>
      <c r="BO9" s="553">
        <v>3</v>
      </c>
      <c r="BP9" s="553">
        <v>0</v>
      </c>
      <c r="BQ9" s="553">
        <v>0</v>
      </c>
      <c r="BR9" s="553">
        <v>0</v>
      </c>
      <c r="BS9" s="553">
        <v>0</v>
      </c>
      <c r="BT9" s="554">
        <v>0</v>
      </c>
      <c r="BU9" s="230" t="s">
        <v>597</v>
      </c>
      <c r="BV9" s="230" t="s">
        <v>601</v>
      </c>
      <c r="BW9" s="230" t="s">
        <v>601</v>
      </c>
      <c r="BX9" s="230" t="s">
        <v>601</v>
      </c>
      <c r="BY9" s="230" t="s">
        <v>601</v>
      </c>
      <c r="BZ9" s="230" t="s">
        <v>601</v>
      </c>
      <c r="CA9" s="230">
        <v>2</v>
      </c>
      <c r="CB9" s="230">
        <v>2</v>
      </c>
      <c r="CC9" s="230">
        <v>2</v>
      </c>
      <c r="CD9" s="230">
        <v>0</v>
      </c>
      <c r="CE9" s="230">
        <v>0</v>
      </c>
      <c r="CF9" s="230">
        <v>0</v>
      </c>
      <c r="CG9" s="230">
        <v>0</v>
      </c>
      <c r="CH9" s="230">
        <v>0</v>
      </c>
      <c r="CI9" s="230">
        <v>0</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599</v>
      </c>
      <c r="DL9" s="230" t="s">
        <v>601</v>
      </c>
      <c r="DM9" s="230" t="s">
        <v>601</v>
      </c>
      <c r="DN9" s="230" t="s">
        <v>601</v>
      </c>
      <c r="DO9" s="230" t="s">
        <v>601</v>
      </c>
      <c r="DP9" s="230" t="s">
        <v>601</v>
      </c>
      <c r="DQ9" s="230" t="s">
        <v>1193</v>
      </c>
      <c r="DR9" s="230" t="s">
        <v>601</v>
      </c>
      <c r="DS9" s="230" t="s">
        <v>601</v>
      </c>
      <c r="DT9" s="230" t="s">
        <v>601</v>
      </c>
      <c r="DU9" s="230" t="s">
        <v>601</v>
      </c>
      <c r="DV9" s="230" t="s">
        <v>601</v>
      </c>
      <c r="DW9" s="230">
        <v>40</v>
      </c>
      <c r="DX9" s="230">
        <v>40</v>
      </c>
      <c r="DY9" s="230">
        <v>40</v>
      </c>
      <c r="DZ9" s="230">
        <v>0</v>
      </c>
      <c r="EA9" s="230">
        <v>0</v>
      </c>
      <c r="EB9" s="230">
        <v>0</v>
      </c>
      <c r="EC9" s="230">
        <v>40</v>
      </c>
      <c r="ED9" s="230">
        <v>0</v>
      </c>
      <c r="EE9" s="230">
        <v>0</v>
      </c>
      <c r="EF9" s="230">
        <v>0</v>
      </c>
      <c r="EG9" s="230">
        <v>0</v>
      </c>
      <c r="EH9" s="230">
        <v>0</v>
      </c>
      <c r="EI9" s="230">
        <v>0</v>
      </c>
      <c r="EJ9" s="230">
        <v>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v>2100</v>
      </c>
      <c r="FO9" s="230">
        <v>0</v>
      </c>
      <c r="FP9" s="230">
        <v>0</v>
      </c>
      <c r="FQ9" s="230" t="s">
        <v>601</v>
      </c>
      <c r="FR9" s="230" t="s">
        <v>601</v>
      </c>
      <c r="FS9" s="230" t="s">
        <v>601</v>
      </c>
      <c r="FT9" s="230" t="s">
        <v>593</v>
      </c>
      <c r="FU9" s="230">
        <v>0</v>
      </c>
      <c r="FV9" s="230">
        <v>0</v>
      </c>
      <c r="FW9" s="230" t="s">
        <v>601</v>
      </c>
      <c r="FX9" s="230" t="s">
        <v>601</v>
      </c>
      <c r="FY9" s="230" t="s">
        <v>601</v>
      </c>
      <c r="FZ9" s="230" t="s">
        <v>593</v>
      </c>
      <c r="GA9" s="230" t="s">
        <v>601</v>
      </c>
      <c r="GB9" s="230" t="s">
        <v>601</v>
      </c>
      <c r="GC9" s="230" t="s">
        <v>601</v>
      </c>
      <c r="GD9" s="230" t="s">
        <v>601</v>
      </c>
      <c r="GE9" s="230" t="s">
        <v>601</v>
      </c>
      <c r="GF9" s="230">
        <v>27</v>
      </c>
      <c r="GG9" s="230">
        <v>27</v>
      </c>
      <c r="GH9" s="230">
        <v>27</v>
      </c>
      <c r="GI9" s="230">
        <v>0</v>
      </c>
      <c r="GJ9" s="230">
        <v>0</v>
      </c>
      <c r="GK9" s="230">
        <v>0</v>
      </c>
      <c r="GL9" s="230">
        <v>0</v>
      </c>
      <c r="GM9" s="230">
        <v>0</v>
      </c>
      <c r="GN9" s="230">
        <v>0</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27</v>
      </c>
      <c r="HR9" s="230">
        <v>0</v>
      </c>
      <c r="HS9" s="230">
        <v>0</v>
      </c>
      <c r="HT9" s="230">
        <v>0</v>
      </c>
      <c r="HU9" s="230">
        <v>0</v>
      </c>
      <c r="HV9" s="230">
        <v>0</v>
      </c>
      <c r="HW9" s="797">
        <v>27</v>
      </c>
      <c r="HX9" s="797">
        <v>0</v>
      </c>
      <c r="HY9" s="230">
        <v>68</v>
      </c>
      <c r="HZ9" s="230"/>
      <c r="IA9" s="230"/>
      <c r="IB9" s="230"/>
      <c r="IC9" s="232" t="s">
        <v>665</v>
      </c>
      <c r="ID9" s="233" t="s">
        <v>666</v>
      </c>
      <c r="IE9" s="467" t="s">
        <v>583</v>
      </c>
      <c r="IF9" s="232" t="s">
        <v>364</v>
      </c>
      <c r="IG9" s="467" t="s">
        <v>584</v>
      </c>
      <c r="IH9" s="467" t="s">
        <v>585</v>
      </c>
      <c r="II9" s="546" t="s">
        <v>584</v>
      </c>
      <c r="IJ9" s="467">
        <v>44462</v>
      </c>
      <c r="IK9" s="468">
        <v>3</v>
      </c>
      <c r="IL9" s="469" t="s">
        <v>1210</v>
      </c>
      <c r="IM9" s="469" t="s">
        <v>1195</v>
      </c>
      <c r="IN9" s="469" t="s">
        <v>1195</v>
      </c>
      <c r="IO9" s="469" t="s">
        <v>601</v>
      </c>
      <c r="IP9" s="469" t="s">
        <v>601</v>
      </c>
      <c r="IQ9" s="469" t="s">
        <v>601</v>
      </c>
      <c r="IR9" s="469">
        <v>1</v>
      </c>
      <c r="IS9" s="469">
        <v>2</v>
      </c>
      <c r="IT9" s="469" t="s">
        <v>675</v>
      </c>
      <c r="IU9" s="469" t="s">
        <v>675</v>
      </c>
    </row>
    <row r="10" ht="76.5">
      <c r="A10" s="322">
        <v>9</v>
      </c>
      <c r="B10" s="229" t="s">
        <v>1178</v>
      </c>
      <c r="C10" s="229" t="s">
        <v>1178</v>
      </c>
      <c r="D10" s="797" t="s">
        <v>676</v>
      </c>
      <c r="E10" s="229" t="s">
        <v>669</v>
      </c>
      <c r="F10" s="229" t="s">
        <v>26</v>
      </c>
      <c r="G10" s="797" t="s">
        <v>670</v>
      </c>
      <c r="H10" s="797" t="s">
        <v>671</v>
      </c>
      <c r="I10" s="229">
        <v>1</v>
      </c>
      <c r="J10" s="229" t="s">
        <v>672</v>
      </c>
      <c r="K10" s="231" t="s">
        <v>584</v>
      </c>
      <c r="L10" s="231" t="s">
        <v>1211</v>
      </c>
      <c r="M10" s="229" t="s">
        <v>576</v>
      </c>
      <c r="N10" s="229" t="s">
        <v>676</v>
      </c>
      <c r="O10" s="229" t="s">
        <v>587</v>
      </c>
      <c r="P10" s="229" t="s">
        <v>1208</v>
      </c>
      <c r="Q10" s="229" t="s">
        <v>597</v>
      </c>
      <c r="R10" s="229" t="s">
        <v>1193</v>
      </c>
      <c r="S10" s="229" t="s">
        <v>600</v>
      </c>
      <c r="T10" s="229" t="s">
        <v>649</v>
      </c>
      <c r="U10" s="229">
        <v>1</v>
      </c>
      <c r="V10" s="229"/>
      <c r="W10" s="229" t="b">
        <v>1</v>
      </c>
      <c r="X10" s="229" t="b">
        <v>1</v>
      </c>
      <c r="Y10" s="797">
        <v>1</v>
      </c>
      <c r="Z10" s="229" t="b">
        <v>1</v>
      </c>
      <c r="AA10" s="797">
        <v>34</v>
      </c>
      <c r="AB10" s="229" t="b">
        <v>0</v>
      </c>
      <c r="AC10" s="229" t="b">
        <v>1</v>
      </c>
      <c r="AD10" s="229">
        <v>0</v>
      </c>
      <c r="AE10" s="229"/>
      <c r="AF10" s="229" t="s">
        <v>50</v>
      </c>
      <c r="AG10" s="229">
        <v>0</v>
      </c>
      <c r="AH10" s="230"/>
      <c r="AI10" s="553" t="s">
        <v>576</v>
      </c>
      <c r="AJ10" s="553" t="s">
        <v>576</v>
      </c>
      <c r="AK10" s="229">
        <v>4</v>
      </c>
      <c r="AL10" s="465" t="s">
        <v>1188</v>
      </c>
      <c r="AM10" s="465" t="s">
        <v>1220</v>
      </c>
      <c r="AN10" s="465" t="s">
        <v>1222</v>
      </c>
      <c r="AO10" s="229" t="s">
        <v>25</v>
      </c>
      <c r="AP10" s="230" t="s">
        <v>576</v>
      </c>
      <c r="AQ10" s="230">
        <v>0</v>
      </c>
      <c r="AR10" s="230">
        <v>0</v>
      </c>
      <c r="AS10" s="230" t="s">
        <v>601</v>
      </c>
      <c r="AT10" s="230" t="s">
        <v>601</v>
      </c>
      <c r="AU10" s="230" t="s">
        <v>601</v>
      </c>
      <c r="AV10" s="230" t="s">
        <v>1178</v>
      </c>
      <c r="AW10" s="230" t="s">
        <v>601</v>
      </c>
      <c r="AX10" s="230" t="s">
        <v>601</v>
      </c>
      <c r="AY10" s="230" t="s">
        <v>601</v>
      </c>
      <c r="AZ10" s="230" t="s">
        <v>601</v>
      </c>
      <c r="BA10" s="230" t="s">
        <v>601</v>
      </c>
      <c r="BB10" s="230" t="s">
        <v>1178</v>
      </c>
      <c r="BC10" s="230" t="s">
        <v>676</v>
      </c>
      <c r="BD10" s="230">
        <v>0</v>
      </c>
      <c r="BE10" s="230">
        <v>0</v>
      </c>
      <c r="BF10" s="230" t="s">
        <v>601</v>
      </c>
      <c r="BG10" s="230" t="s">
        <v>601</v>
      </c>
      <c r="BH10" s="230" t="s">
        <v>601</v>
      </c>
      <c r="BI10" s="230" t="s">
        <v>587</v>
      </c>
      <c r="BJ10" s="230">
        <v>0</v>
      </c>
      <c r="BK10" s="230">
        <v>0</v>
      </c>
      <c r="BL10" s="230" t="s">
        <v>601</v>
      </c>
      <c r="BM10" s="230" t="s">
        <v>601</v>
      </c>
      <c r="BN10" s="230" t="s">
        <v>601</v>
      </c>
      <c r="BO10" s="553">
        <v>3</v>
      </c>
      <c r="BP10" s="553">
        <v>0</v>
      </c>
      <c r="BQ10" s="553">
        <v>0</v>
      </c>
      <c r="BR10" s="553">
        <v>0</v>
      </c>
      <c r="BS10" s="553">
        <v>0</v>
      </c>
      <c r="BT10" s="554">
        <v>0</v>
      </c>
      <c r="BU10" s="230" t="s">
        <v>597</v>
      </c>
      <c r="BV10" s="230" t="s">
        <v>601</v>
      </c>
      <c r="BW10" s="230" t="s">
        <v>601</v>
      </c>
      <c r="BX10" s="230" t="s">
        <v>601</v>
      </c>
      <c r="BY10" s="230" t="s">
        <v>601</v>
      </c>
      <c r="BZ10" s="230" t="s">
        <v>601</v>
      </c>
      <c r="CA10" s="230">
        <v>2</v>
      </c>
      <c r="CB10" s="230">
        <v>2</v>
      </c>
      <c r="CC10" s="230">
        <v>2</v>
      </c>
      <c r="CD10" s="230">
        <v>0</v>
      </c>
      <c r="CE10" s="230">
        <v>0</v>
      </c>
      <c r="CF10" s="230">
        <v>0</v>
      </c>
      <c r="CG10" s="230">
        <v>0</v>
      </c>
      <c r="CH10" s="230">
        <v>0</v>
      </c>
      <c r="CI10" s="230">
        <v>0</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599</v>
      </c>
      <c r="DL10" s="230" t="s">
        <v>601</v>
      </c>
      <c r="DM10" s="230" t="s">
        <v>601</v>
      </c>
      <c r="DN10" s="230" t="s">
        <v>601</v>
      </c>
      <c r="DO10" s="230" t="s">
        <v>601</v>
      </c>
      <c r="DP10" s="230" t="s">
        <v>601</v>
      </c>
      <c r="DQ10" s="230" t="s">
        <v>1193</v>
      </c>
      <c r="DR10" s="230" t="s">
        <v>601</v>
      </c>
      <c r="DS10" s="230" t="s">
        <v>601</v>
      </c>
      <c r="DT10" s="230" t="s">
        <v>601</v>
      </c>
      <c r="DU10" s="230" t="s">
        <v>601</v>
      </c>
      <c r="DV10" s="230" t="s">
        <v>601</v>
      </c>
      <c r="DW10" s="230">
        <v>40</v>
      </c>
      <c r="DX10" s="230">
        <v>40</v>
      </c>
      <c r="DY10" s="230">
        <v>40</v>
      </c>
      <c r="DZ10" s="230">
        <v>0</v>
      </c>
      <c r="EA10" s="230">
        <v>0</v>
      </c>
      <c r="EB10" s="230">
        <v>0</v>
      </c>
      <c r="EC10" s="230">
        <v>40</v>
      </c>
      <c r="ED10" s="230">
        <v>0</v>
      </c>
      <c r="EE10" s="230">
        <v>0</v>
      </c>
      <c r="EF10" s="230">
        <v>0</v>
      </c>
      <c r="EG10" s="230">
        <v>0</v>
      </c>
      <c r="EH10" s="230">
        <v>0</v>
      </c>
      <c r="EI10" s="230">
        <v>0</v>
      </c>
      <c r="EJ10" s="230">
        <v>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v>2100</v>
      </c>
      <c r="FO10" s="230">
        <v>0</v>
      </c>
      <c r="FP10" s="230">
        <v>0</v>
      </c>
      <c r="FQ10" s="230" t="s">
        <v>601</v>
      </c>
      <c r="FR10" s="230" t="s">
        <v>601</v>
      </c>
      <c r="FS10" s="230" t="s">
        <v>601</v>
      </c>
      <c r="FT10" s="230" t="s">
        <v>649</v>
      </c>
      <c r="FU10" s="230">
        <v>0</v>
      </c>
      <c r="FV10" s="230">
        <v>0</v>
      </c>
      <c r="FW10" s="230" t="s">
        <v>601</v>
      </c>
      <c r="FX10" s="230" t="s">
        <v>601</v>
      </c>
      <c r="FY10" s="230" t="s">
        <v>601</v>
      </c>
      <c r="FZ10" s="230" t="s">
        <v>649</v>
      </c>
      <c r="GA10" s="230" t="s">
        <v>601</v>
      </c>
      <c r="GB10" s="230" t="s">
        <v>601</v>
      </c>
      <c r="GC10" s="230" t="s">
        <v>601</v>
      </c>
      <c r="GD10" s="230" t="s">
        <v>601</v>
      </c>
      <c r="GE10" s="230" t="s">
        <v>601</v>
      </c>
      <c r="GF10" s="230">
        <v>34</v>
      </c>
      <c r="GG10" s="230">
        <v>34</v>
      </c>
      <c r="GH10" s="230">
        <v>34</v>
      </c>
      <c r="GI10" s="230">
        <v>0</v>
      </c>
      <c r="GJ10" s="230">
        <v>0</v>
      </c>
      <c r="GK10" s="230">
        <v>0</v>
      </c>
      <c r="GL10" s="230">
        <v>0</v>
      </c>
      <c r="GM10" s="230">
        <v>0</v>
      </c>
      <c r="GN10" s="230">
        <v>0</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34</v>
      </c>
      <c r="HR10" s="230">
        <v>0</v>
      </c>
      <c r="HS10" s="230">
        <v>0</v>
      </c>
      <c r="HT10" s="230">
        <v>0</v>
      </c>
      <c r="HU10" s="230">
        <v>0</v>
      </c>
      <c r="HV10" s="230">
        <v>0</v>
      </c>
      <c r="HW10" s="797">
        <v>34</v>
      </c>
      <c r="HX10" s="797">
        <v>0</v>
      </c>
      <c r="HY10" s="230">
        <v>68</v>
      </c>
      <c r="HZ10" s="230"/>
      <c r="IA10" s="230"/>
      <c r="IB10" s="230"/>
      <c r="IC10" s="232" t="s">
        <v>673</v>
      </c>
      <c r="ID10" s="233" t="s">
        <v>674</v>
      </c>
      <c r="IE10" s="467" t="s">
        <v>583</v>
      </c>
      <c r="IF10" s="232" t="s">
        <v>364</v>
      </c>
      <c r="IG10" s="467" t="s">
        <v>584</v>
      </c>
      <c r="IH10" s="467" t="s">
        <v>585</v>
      </c>
      <c r="II10" s="546" t="s">
        <v>584</v>
      </c>
      <c r="IJ10" s="467">
        <v>44462</v>
      </c>
      <c r="IK10" s="468">
        <v>3</v>
      </c>
      <c r="IL10" s="469" t="s">
        <v>1210</v>
      </c>
      <c r="IM10" s="469" t="s">
        <v>1195</v>
      </c>
      <c r="IN10" s="469" t="s">
        <v>1195</v>
      </c>
      <c r="IO10" s="469" t="s">
        <v>601</v>
      </c>
      <c r="IP10" s="469" t="s">
        <v>601</v>
      </c>
      <c r="IQ10" s="469" t="s">
        <v>601</v>
      </c>
      <c r="IR10" s="469">
        <v>1</v>
      </c>
      <c r="IS10" s="469">
        <v>2</v>
      </c>
      <c r="IT10" s="469" t="s">
        <v>675</v>
      </c>
      <c r="IU10" s="469" t="s">
        <v>675</v>
      </c>
    </row>
    <row r="11" ht="76.5">
      <c r="A11" s="322">
        <v>10</v>
      </c>
      <c r="B11" s="229" t="s">
        <v>1178</v>
      </c>
      <c r="C11" s="229" t="s">
        <v>1178</v>
      </c>
      <c r="D11" s="797" t="s">
        <v>684</v>
      </c>
      <c r="E11" s="229" t="s">
        <v>678</v>
      </c>
      <c r="F11" s="229" t="s">
        <v>26</v>
      </c>
      <c r="G11" s="797" t="s">
        <v>679</v>
      </c>
      <c r="H11" s="797" t="s">
        <v>680</v>
      </c>
      <c r="I11" s="229">
        <v>1</v>
      </c>
      <c r="J11" s="229" t="s">
        <v>681</v>
      </c>
      <c r="K11" s="231" t="s">
        <v>584</v>
      </c>
      <c r="L11" s="231" t="s">
        <v>1211</v>
      </c>
      <c r="M11" s="229" t="s">
        <v>576</v>
      </c>
      <c r="N11" s="229" t="s">
        <v>684</v>
      </c>
      <c r="O11" s="229" t="s">
        <v>587</v>
      </c>
      <c r="P11" s="229" t="s">
        <v>1208</v>
      </c>
      <c r="Q11" s="229" t="s">
        <v>597</v>
      </c>
      <c r="R11" s="229" t="s">
        <v>1193</v>
      </c>
      <c r="S11" s="229" t="s">
        <v>600</v>
      </c>
      <c r="T11" s="229" t="s">
        <v>649</v>
      </c>
      <c r="U11" s="229">
        <v>1</v>
      </c>
      <c r="V11" s="229"/>
      <c r="W11" s="229" t="b">
        <v>1</v>
      </c>
      <c r="X11" s="229" t="b">
        <v>1</v>
      </c>
      <c r="Y11" s="797">
        <v>1</v>
      </c>
      <c r="Z11" s="229" t="b">
        <v>1</v>
      </c>
      <c r="AA11" s="797">
        <v>34</v>
      </c>
      <c r="AB11" s="229" t="b">
        <v>0</v>
      </c>
      <c r="AC11" s="229" t="b">
        <v>1</v>
      </c>
      <c r="AD11" s="229">
        <v>0</v>
      </c>
      <c r="AE11" s="229"/>
      <c r="AF11" s="229" t="s">
        <v>50</v>
      </c>
      <c r="AG11" s="229">
        <v>0</v>
      </c>
      <c r="AH11" s="230"/>
      <c r="AI11" s="553" t="s">
        <v>576</v>
      </c>
      <c r="AJ11" s="553" t="s">
        <v>576</v>
      </c>
      <c r="AK11" s="229">
        <v>4</v>
      </c>
      <c r="AL11" s="465" t="s">
        <v>1188</v>
      </c>
      <c r="AM11" s="465" t="s">
        <v>1220</v>
      </c>
      <c r="AN11" s="465" t="s">
        <v>1223</v>
      </c>
      <c r="AO11" s="229" t="s">
        <v>25</v>
      </c>
      <c r="AP11" s="230" t="s">
        <v>576</v>
      </c>
      <c r="AQ11" s="230">
        <v>0</v>
      </c>
      <c r="AR11" s="230">
        <v>0</v>
      </c>
      <c r="AS11" s="230" t="s">
        <v>601</v>
      </c>
      <c r="AT11" s="230" t="s">
        <v>601</v>
      </c>
      <c r="AU11" s="230" t="s">
        <v>601</v>
      </c>
      <c r="AV11" s="230" t="s">
        <v>1178</v>
      </c>
      <c r="AW11" s="230" t="s">
        <v>601</v>
      </c>
      <c r="AX11" s="230" t="s">
        <v>601</v>
      </c>
      <c r="AY11" s="230" t="s">
        <v>601</v>
      </c>
      <c r="AZ11" s="230" t="s">
        <v>601</v>
      </c>
      <c r="BA11" s="230" t="s">
        <v>601</v>
      </c>
      <c r="BB11" s="230" t="s">
        <v>1178</v>
      </c>
      <c r="BC11" s="230" t="s">
        <v>684</v>
      </c>
      <c r="BD11" s="230">
        <v>0</v>
      </c>
      <c r="BE11" s="230">
        <v>0</v>
      </c>
      <c r="BF11" s="230" t="s">
        <v>601</v>
      </c>
      <c r="BG11" s="230" t="s">
        <v>601</v>
      </c>
      <c r="BH11" s="230" t="s">
        <v>601</v>
      </c>
      <c r="BI11" s="230" t="s">
        <v>587</v>
      </c>
      <c r="BJ11" s="230">
        <v>0</v>
      </c>
      <c r="BK11" s="230">
        <v>0</v>
      </c>
      <c r="BL11" s="230" t="s">
        <v>601</v>
      </c>
      <c r="BM11" s="230" t="s">
        <v>601</v>
      </c>
      <c r="BN11" s="230" t="s">
        <v>601</v>
      </c>
      <c r="BO11" s="553">
        <v>3</v>
      </c>
      <c r="BP11" s="553">
        <v>0</v>
      </c>
      <c r="BQ11" s="553">
        <v>0</v>
      </c>
      <c r="BR11" s="553">
        <v>0</v>
      </c>
      <c r="BS11" s="553">
        <v>0</v>
      </c>
      <c r="BT11" s="554">
        <v>0</v>
      </c>
      <c r="BU11" s="230" t="s">
        <v>597</v>
      </c>
      <c r="BV11" s="230" t="s">
        <v>601</v>
      </c>
      <c r="BW11" s="230" t="s">
        <v>601</v>
      </c>
      <c r="BX11" s="230" t="s">
        <v>601</v>
      </c>
      <c r="BY11" s="230" t="s">
        <v>601</v>
      </c>
      <c r="BZ11" s="230" t="s">
        <v>601</v>
      </c>
      <c r="CA11" s="230">
        <v>2</v>
      </c>
      <c r="CB11" s="230">
        <v>2</v>
      </c>
      <c r="CC11" s="230">
        <v>2</v>
      </c>
      <c r="CD11" s="230">
        <v>0</v>
      </c>
      <c r="CE11" s="230">
        <v>0</v>
      </c>
      <c r="CF11" s="230">
        <v>0</v>
      </c>
      <c r="CG11" s="230">
        <v>0</v>
      </c>
      <c r="CH11" s="230">
        <v>0</v>
      </c>
      <c r="CI11" s="230">
        <v>0</v>
      </c>
      <c r="CJ11" s="230">
        <v>0</v>
      </c>
      <c r="CK11" s="230">
        <v>0</v>
      </c>
      <c r="CL11" s="230">
        <v>0</v>
      </c>
      <c r="CM11" s="230">
        <v>0</v>
      </c>
      <c r="CN11" s="230">
        <v>0</v>
      </c>
      <c r="CO11" s="230">
        <v>0</v>
      </c>
      <c r="CP11" s="230">
        <v>0</v>
      </c>
      <c r="CQ11" s="230">
        <v>0</v>
      </c>
      <c r="CR11" s="230">
        <v>0</v>
      </c>
      <c r="CS11" s="230">
        <v>0</v>
      </c>
      <c r="CT11" s="230">
        <v>0</v>
      </c>
      <c r="CU11" s="230">
        <v>0</v>
      </c>
      <c r="CV11" s="230">
        <v>0</v>
      </c>
      <c r="CW11" s="230">
        <v>0</v>
      </c>
      <c r="CX11" s="230">
        <v>0</v>
      </c>
      <c r="CY11" s="230">
        <v>0</v>
      </c>
      <c r="CZ11" s="230">
        <v>0</v>
      </c>
      <c r="DA11" s="230">
        <v>0</v>
      </c>
      <c r="DB11" s="230">
        <v>0</v>
      </c>
      <c r="DC11" s="230">
        <v>0</v>
      </c>
      <c r="DD11" s="230">
        <v>0</v>
      </c>
      <c r="DE11" s="230">
        <v>0</v>
      </c>
      <c r="DF11" s="230">
        <v>0</v>
      </c>
      <c r="DG11" s="230">
        <v>0</v>
      </c>
      <c r="DH11" s="230">
        <v>0</v>
      </c>
      <c r="DI11" s="230">
        <v>0</v>
      </c>
      <c r="DJ11" s="230">
        <v>0</v>
      </c>
      <c r="DK11" s="230" t="s">
        <v>599</v>
      </c>
      <c r="DL11" s="230" t="s">
        <v>601</v>
      </c>
      <c r="DM11" s="230" t="s">
        <v>601</v>
      </c>
      <c r="DN11" s="230" t="s">
        <v>601</v>
      </c>
      <c r="DO11" s="230" t="s">
        <v>601</v>
      </c>
      <c r="DP11" s="230" t="s">
        <v>601</v>
      </c>
      <c r="DQ11" s="230" t="s">
        <v>1193</v>
      </c>
      <c r="DR11" s="230" t="s">
        <v>601</v>
      </c>
      <c r="DS11" s="230" t="s">
        <v>601</v>
      </c>
      <c r="DT11" s="230" t="s">
        <v>601</v>
      </c>
      <c r="DU11" s="230" t="s">
        <v>601</v>
      </c>
      <c r="DV11" s="230" t="s">
        <v>601</v>
      </c>
      <c r="DW11" s="230">
        <v>40</v>
      </c>
      <c r="DX11" s="230">
        <v>40</v>
      </c>
      <c r="DY11" s="230">
        <v>40</v>
      </c>
      <c r="DZ11" s="230">
        <v>0</v>
      </c>
      <c r="EA11" s="230">
        <v>0</v>
      </c>
      <c r="EB11" s="230">
        <v>0</v>
      </c>
      <c r="EC11" s="230">
        <v>40</v>
      </c>
      <c r="ED11" s="230">
        <v>0</v>
      </c>
      <c r="EE11" s="230">
        <v>0</v>
      </c>
      <c r="EF11" s="230">
        <v>0</v>
      </c>
      <c r="EG11" s="230">
        <v>0</v>
      </c>
      <c r="EH11" s="230">
        <v>0</v>
      </c>
      <c r="EI11" s="230">
        <v>0</v>
      </c>
      <c r="EJ11" s="230">
        <v>0</v>
      </c>
      <c r="EK11" s="230">
        <v>0</v>
      </c>
      <c r="EL11" s="230">
        <v>0</v>
      </c>
      <c r="EM11" s="230">
        <v>0</v>
      </c>
      <c r="EN11" s="230">
        <v>0</v>
      </c>
      <c r="EO11" s="230">
        <v>0</v>
      </c>
      <c r="EP11" s="230">
        <v>0</v>
      </c>
      <c r="EQ11" s="230">
        <v>0</v>
      </c>
      <c r="ER11" s="230">
        <v>0</v>
      </c>
      <c r="ES11" s="230">
        <v>0</v>
      </c>
      <c r="ET11" s="230">
        <v>0</v>
      </c>
      <c r="EU11" s="230">
        <v>0</v>
      </c>
      <c r="EV11" s="230">
        <v>0</v>
      </c>
      <c r="EW11" s="230">
        <v>0</v>
      </c>
      <c r="EX11" s="230">
        <v>0</v>
      </c>
      <c r="EY11" s="230">
        <v>0</v>
      </c>
      <c r="EZ11" s="230">
        <v>0</v>
      </c>
      <c r="FA11" s="230">
        <v>0</v>
      </c>
      <c r="FB11" s="230">
        <v>0</v>
      </c>
      <c r="FC11" s="230">
        <v>0</v>
      </c>
      <c r="FD11" s="230">
        <v>0</v>
      </c>
      <c r="FE11" s="230">
        <v>0</v>
      </c>
      <c r="FF11" s="230">
        <v>0</v>
      </c>
      <c r="FG11" s="230">
        <v>0</v>
      </c>
      <c r="FH11" s="230">
        <v>0</v>
      </c>
      <c r="FI11" s="230">
        <v>0</v>
      </c>
      <c r="FJ11" s="230">
        <v>0</v>
      </c>
      <c r="FK11" s="230">
        <v>0</v>
      </c>
      <c r="FL11" s="230">
        <v>0</v>
      </c>
      <c r="FM11" s="230">
        <v>40</v>
      </c>
      <c r="FN11" s="230">
        <v>2100</v>
      </c>
      <c r="FO11" s="230">
        <v>0</v>
      </c>
      <c r="FP11" s="230">
        <v>0</v>
      </c>
      <c r="FQ11" s="230" t="s">
        <v>601</v>
      </c>
      <c r="FR11" s="230" t="s">
        <v>601</v>
      </c>
      <c r="FS11" s="230" t="s">
        <v>601</v>
      </c>
      <c r="FT11" s="230" t="s">
        <v>649</v>
      </c>
      <c r="FU11" s="230">
        <v>0</v>
      </c>
      <c r="FV11" s="230">
        <v>0</v>
      </c>
      <c r="FW11" s="230" t="s">
        <v>601</v>
      </c>
      <c r="FX11" s="230" t="s">
        <v>601</v>
      </c>
      <c r="FY11" s="230" t="s">
        <v>601</v>
      </c>
      <c r="FZ11" s="230" t="s">
        <v>649</v>
      </c>
      <c r="GA11" s="230" t="s">
        <v>601</v>
      </c>
      <c r="GB11" s="230" t="s">
        <v>601</v>
      </c>
      <c r="GC11" s="230" t="s">
        <v>601</v>
      </c>
      <c r="GD11" s="230" t="s">
        <v>601</v>
      </c>
      <c r="GE11" s="230" t="s">
        <v>601</v>
      </c>
      <c r="GF11" s="230">
        <v>34</v>
      </c>
      <c r="GG11" s="230">
        <v>34</v>
      </c>
      <c r="GH11" s="230">
        <v>34</v>
      </c>
      <c r="GI11" s="230">
        <v>0</v>
      </c>
      <c r="GJ11" s="230">
        <v>0</v>
      </c>
      <c r="GK11" s="230">
        <v>0</v>
      </c>
      <c r="GL11" s="230">
        <v>0</v>
      </c>
      <c r="GM11" s="230">
        <v>0</v>
      </c>
      <c r="GN11" s="230">
        <v>0</v>
      </c>
      <c r="GO11" s="230">
        <v>0</v>
      </c>
      <c r="GP11" s="230">
        <v>0</v>
      </c>
      <c r="GQ11" s="230">
        <v>0</v>
      </c>
      <c r="GR11" s="230">
        <v>0</v>
      </c>
      <c r="GS11" s="230">
        <v>0</v>
      </c>
      <c r="GT11" s="230">
        <v>0</v>
      </c>
      <c r="GU11" s="230">
        <v>0</v>
      </c>
      <c r="GV11" s="230">
        <v>0</v>
      </c>
      <c r="GW11" s="230">
        <v>0</v>
      </c>
      <c r="GX11" s="230">
        <v>0</v>
      </c>
      <c r="GY11" s="230">
        <v>0</v>
      </c>
      <c r="GZ11" s="230">
        <v>0</v>
      </c>
      <c r="HA11" s="230">
        <v>0</v>
      </c>
      <c r="HB11" s="230">
        <v>0</v>
      </c>
      <c r="HC11" s="230">
        <v>0</v>
      </c>
      <c r="HD11" s="230">
        <v>0</v>
      </c>
      <c r="HE11" s="230">
        <v>0</v>
      </c>
      <c r="HF11" s="230">
        <v>0</v>
      </c>
      <c r="HG11" s="230">
        <v>0</v>
      </c>
      <c r="HH11" s="230">
        <v>0</v>
      </c>
      <c r="HI11" s="230">
        <v>0</v>
      </c>
      <c r="HJ11" s="230">
        <v>0</v>
      </c>
      <c r="HK11" s="230">
        <v>0</v>
      </c>
      <c r="HL11" s="230">
        <v>0</v>
      </c>
      <c r="HM11" s="230">
        <v>0</v>
      </c>
      <c r="HN11" s="230">
        <v>0</v>
      </c>
      <c r="HO11" s="230">
        <v>0</v>
      </c>
      <c r="HP11" s="230" t="s">
        <v>51</v>
      </c>
      <c r="HQ11" s="230">
        <v>34</v>
      </c>
      <c r="HR11" s="230">
        <v>0</v>
      </c>
      <c r="HS11" s="230">
        <v>0</v>
      </c>
      <c r="HT11" s="230">
        <v>0</v>
      </c>
      <c r="HU11" s="230">
        <v>0</v>
      </c>
      <c r="HV11" s="230">
        <v>0</v>
      </c>
      <c r="HW11" s="797">
        <v>34</v>
      </c>
      <c r="HX11" s="797">
        <v>0</v>
      </c>
      <c r="HY11" s="230">
        <v>68</v>
      </c>
      <c r="HZ11" s="230"/>
      <c r="IA11" s="230"/>
      <c r="IB11" s="230"/>
      <c r="IC11" s="232" t="s">
        <v>682</v>
      </c>
      <c r="ID11" s="233" t="s">
        <v>683</v>
      </c>
      <c r="IE11" s="467" t="s">
        <v>583</v>
      </c>
      <c r="IF11" s="232" t="s">
        <v>364</v>
      </c>
      <c r="IG11" s="467" t="s">
        <v>584</v>
      </c>
      <c r="IH11" s="467" t="s">
        <v>585</v>
      </c>
      <c r="II11" s="546" t="s">
        <v>584</v>
      </c>
      <c r="IJ11" s="467">
        <v>44462</v>
      </c>
      <c r="IK11" s="468">
        <v>3</v>
      </c>
      <c r="IL11" s="469" t="s">
        <v>1210</v>
      </c>
      <c r="IM11" s="469" t="s">
        <v>1195</v>
      </c>
      <c r="IN11" s="469" t="s">
        <v>1195</v>
      </c>
      <c r="IO11" s="469" t="s">
        <v>601</v>
      </c>
      <c r="IP11" s="469" t="s">
        <v>601</v>
      </c>
      <c r="IQ11" s="469" t="s">
        <v>601</v>
      </c>
      <c r="IR11" s="469">
        <v>1</v>
      </c>
      <c r="IS11" s="469">
        <v>2</v>
      </c>
      <c r="IT11" s="469" t="s">
        <v>675</v>
      </c>
      <c r="IU11" s="469" t="s">
        <v>675</v>
      </c>
    </row>
    <row r="12" ht="76.5">
      <c r="A12" s="322">
        <v>11</v>
      </c>
      <c r="B12" s="229" t="s">
        <v>1178</v>
      </c>
      <c r="C12" s="229" t="s">
        <v>1178</v>
      </c>
      <c r="D12" s="797" t="s">
        <v>692</v>
      </c>
      <c r="E12" s="229" t="s">
        <v>686</v>
      </c>
      <c r="F12" s="229" t="s">
        <v>26</v>
      </c>
      <c r="G12" s="797" t="s">
        <v>687</v>
      </c>
      <c r="H12" s="797" t="s">
        <v>688</v>
      </c>
      <c r="I12" s="229">
        <v>1</v>
      </c>
      <c r="J12" s="229" t="s">
        <v>689</v>
      </c>
      <c r="K12" s="231" t="s">
        <v>584</v>
      </c>
      <c r="L12" s="231" t="s">
        <v>1224</v>
      </c>
      <c r="M12" s="229" t="s">
        <v>576</v>
      </c>
      <c r="N12" s="229" t="s">
        <v>692</v>
      </c>
      <c r="O12" s="229" t="s">
        <v>587</v>
      </c>
      <c r="P12" s="229" t="s">
        <v>1208</v>
      </c>
      <c r="Q12" s="229" t="s">
        <v>597</v>
      </c>
      <c r="R12" s="229" t="s">
        <v>1193</v>
      </c>
      <c r="S12" s="229" t="s">
        <v>600</v>
      </c>
      <c r="T12" s="229" t="s">
        <v>649</v>
      </c>
      <c r="U12" s="229">
        <v>1</v>
      </c>
      <c r="V12" s="229"/>
      <c r="W12" s="229" t="b">
        <v>1</v>
      </c>
      <c r="X12" s="229" t="b">
        <v>1</v>
      </c>
      <c r="Y12" s="797">
        <v>1</v>
      </c>
      <c r="Z12" s="229" t="b">
        <v>1</v>
      </c>
      <c r="AA12" s="797">
        <v>34</v>
      </c>
      <c r="AB12" s="229" t="b">
        <v>0</v>
      </c>
      <c r="AC12" s="229" t="b">
        <v>1</v>
      </c>
      <c r="AD12" s="229">
        <v>0</v>
      </c>
      <c r="AE12" s="229"/>
      <c r="AF12" s="229" t="s">
        <v>50</v>
      </c>
      <c r="AG12" s="229">
        <v>0</v>
      </c>
      <c r="AH12" s="230"/>
      <c r="AI12" s="553" t="s">
        <v>576</v>
      </c>
      <c r="AJ12" s="553" t="s">
        <v>576</v>
      </c>
      <c r="AK12" s="229">
        <v>3</v>
      </c>
      <c r="AL12" s="465" t="s">
        <v>1188</v>
      </c>
      <c r="AM12" s="465" t="s">
        <v>1220</v>
      </c>
      <c r="AN12" s="465" t="s">
        <v>1223</v>
      </c>
      <c r="AO12" s="229" t="s">
        <v>25</v>
      </c>
      <c r="AP12" s="230" t="s">
        <v>576</v>
      </c>
      <c r="AQ12" s="230">
        <v>0</v>
      </c>
      <c r="AR12" s="230">
        <v>0</v>
      </c>
      <c r="AS12" s="230" t="s">
        <v>601</v>
      </c>
      <c r="AT12" s="230" t="s">
        <v>601</v>
      </c>
      <c r="AU12" s="230" t="s">
        <v>601</v>
      </c>
      <c r="AV12" s="230" t="s">
        <v>1178</v>
      </c>
      <c r="AW12" s="230" t="s">
        <v>601</v>
      </c>
      <c r="AX12" s="230" t="s">
        <v>601</v>
      </c>
      <c r="AY12" s="230" t="s">
        <v>601</v>
      </c>
      <c r="AZ12" s="230" t="s">
        <v>601</v>
      </c>
      <c r="BA12" s="230" t="s">
        <v>601</v>
      </c>
      <c r="BB12" s="230" t="s">
        <v>1178</v>
      </c>
      <c r="BC12" s="230" t="s">
        <v>692</v>
      </c>
      <c r="BD12" s="230">
        <v>0</v>
      </c>
      <c r="BE12" s="230">
        <v>0</v>
      </c>
      <c r="BF12" s="230" t="s">
        <v>601</v>
      </c>
      <c r="BG12" s="230" t="s">
        <v>601</v>
      </c>
      <c r="BH12" s="230" t="s">
        <v>601</v>
      </c>
      <c r="BI12" s="230" t="s">
        <v>587</v>
      </c>
      <c r="BJ12" s="230">
        <v>0</v>
      </c>
      <c r="BK12" s="230">
        <v>0</v>
      </c>
      <c r="BL12" s="230" t="s">
        <v>601</v>
      </c>
      <c r="BM12" s="230" t="s">
        <v>601</v>
      </c>
      <c r="BN12" s="230" t="s">
        <v>601</v>
      </c>
      <c r="BO12" s="553">
        <v>3</v>
      </c>
      <c r="BP12" s="553">
        <v>0</v>
      </c>
      <c r="BQ12" s="553">
        <v>0</v>
      </c>
      <c r="BR12" s="553">
        <v>0</v>
      </c>
      <c r="BS12" s="553">
        <v>0</v>
      </c>
      <c r="BT12" s="554">
        <v>0</v>
      </c>
      <c r="BU12" s="230" t="s">
        <v>597</v>
      </c>
      <c r="BV12" s="230" t="s">
        <v>601</v>
      </c>
      <c r="BW12" s="230" t="s">
        <v>601</v>
      </c>
      <c r="BX12" s="230" t="s">
        <v>601</v>
      </c>
      <c r="BY12" s="230" t="s">
        <v>601</v>
      </c>
      <c r="BZ12" s="230" t="s">
        <v>601</v>
      </c>
      <c r="CA12" s="230">
        <v>2</v>
      </c>
      <c r="CB12" s="230">
        <v>2</v>
      </c>
      <c r="CC12" s="230">
        <v>2</v>
      </c>
      <c r="CD12" s="230">
        <v>0</v>
      </c>
      <c r="CE12" s="230">
        <v>0</v>
      </c>
      <c r="CF12" s="230">
        <v>0</v>
      </c>
      <c r="CG12" s="230">
        <v>0</v>
      </c>
      <c r="CH12" s="230">
        <v>0</v>
      </c>
      <c r="CI12" s="230">
        <v>0</v>
      </c>
      <c r="CJ12" s="230">
        <v>0</v>
      </c>
      <c r="CK12" s="230">
        <v>0</v>
      </c>
      <c r="CL12" s="230">
        <v>0</v>
      </c>
      <c r="CM12" s="230">
        <v>0</v>
      </c>
      <c r="CN12" s="230">
        <v>0</v>
      </c>
      <c r="CO12" s="230">
        <v>0</v>
      </c>
      <c r="CP12" s="230">
        <v>0</v>
      </c>
      <c r="CQ12" s="230">
        <v>0</v>
      </c>
      <c r="CR12" s="230">
        <v>0</v>
      </c>
      <c r="CS12" s="230">
        <v>0</v>
      </c>
      <c r="CT12" s="230">
        <v>0</v>
      </c>
      <c r="CU12" s="230">
        <v>0</v>
      </c>
      <c r="CV12" s="230">
        <v>0</v>
      </c>
      <c r="CW12" s="230">
        <v>0</v>
      </c>
      <c r="CX12" s="230">
        <v>0</v>
      </c>
      <c r="CY12" s="230">
        <v>0</v>
      </c>
      <c r="CZ12" s="230">
        <v>0</v>
      </c>
      <c r="DA12" s="230">
        <v>0</v>
      </c>
      <c r="DB12" s="230">
        <v>0</v>
      </c>
      <c r="DC12" s="230">
        <v>0</v>
      </c>
      <c r="DD12" s="230">
        <v>0</v>
      </c>
      <c r="DE12" s="230">
        <v>0</v>
      </c>
      <c r="DF12" s="230">
        <v>0</v>
      </c>
      <c r="DG12" s="230">
        <v>0</v>
      </c>
      <c r="DH12" s="230">
        <v>0</v>
      </c>
      <c r="DI12" s="230">
        <v>0</v>
      </c>
      <c r="DJ12" s="230">
        <v>0</v>
      </c>
      <c r="DK12" s="230" t="s">
        <v>599</v>
      </c>
      <c r="DL12" s="230" t="s">
        <v>601</v>
      </c>
      <c r="DM12" s="230" t="s">
        <v>601</v>
      </c>
      <c r="DN12" s="230" t="s">
        <v>601</v>
      </c>
      <c r="DO12" s="230" t="s">
        <v>601</v>
      </c>
      <c r="DP12" s="230" t="s">
        <v>601</v>
      </c>
      <c r="DQ12" s="230" t="s">
        <v>1193</v>
      </c>
      <c r="DR12" s="230" t="s">
        <v>601</v>
      </c>
      <c r="DS12" s="230" t="s">
        <v>601</v>
      </c>
      <c r="DT12" s="230" t="s">
        <v>601</v>
      </c>
      <c r="DU12" s="230" t="s">
        <v>601</v>
      </c>
      <c r="DV12" s="230" t="s">
        <v>601</v>
      </c>
      <c r="DW12" s="230">
        <v>40</v>
      </c>
      <c r="DX12" s="230">
        <v>40</v>
      </c>
      <c r="DY12" s="230">
        <v>40</v>
      </c>
      <c r="DZ12" s="230">
        <v>0</v>
      </c>
      <c r="EA12" s="230">
        <v>0</v>
      </c>
      <c r="EB12" s="230">
        <v>0</v>
      </c>
      <c r="EC12" s="230">
        <v>40</v>
      </c>
      <c r="ED12" s="230">
        <v>0</v>
      </c>
      <c r="EE12" s="230">
        <v>0</v>
      </c>
      <c r="EF12" s="230">
        <v>0</v>
      </c>
      <c r="EG12" s="230">
        <v>0</v>
      </c>
      <c r="EH12" s="230">
        <v>0</v>
      </c>
      <c r="EI12" s="230">
        <v>0</v>
      </c>
      <c r="EJ12" s="230">
        <v>0</v>
      </c>
      <c r="EK12" s="230">
        <v>0</v>
      </c>
      <c r="EL12" s="230">
        <v>0</v>
      </c>
      <c r="EM12" s="230">
        <v>0</v>
      </c>
      <c r="EN12" s="230">
        <v>0</v>
      </c>
      <c r="EO12" s="230">
        <v>0</v>
      </c>
      <c r="EP12" s="230">
        <v>0</v>
      </c>
      <c r="EQ12" s="230">
        <v>0</v>
      </c>
      <c r="ER12" s="230">
        <v>0</v>
      </c>
      <c r="ES12" s="230">
        <v>0</v>
      </c>
      <c r="ET12" s="230">
        <v>0</v>
      </c>
      <c r="EU12" s="230">
        <v>0</v>
      </c>
      <c r="EV12" s="230">
        <v>0</v>
      </c>
      <c r="EW12" s="230">
        <v>0</v>
      </c>
      <c r="EX12" s="230">
        <v>0</v>
      </c>
      <c r="EY12" s="230">
        <v>0</v>
      </c>
      <c r="EZ12" s="230">
        <v>0</v>
      </c>
      <c r="FA12" s="230">
        <v>0</v>
      </c>
      <c r="FB12" s="230">
        <v>0</v>
      </c>
      <c r="FC12" s="230">
        <v>0</v>
      </c>
      <c r="FD12" s="230">
        <v>0</v>
      </c>
      <c r="FE12" s="230">
        <v>0</v>
      </c>
      <c r="FF12" s="230">
        <v>0</v>
      </c>
      <c r="FG12" s="230">
        <v>0</v>
      </c>
      <c r="FH12" s="230">
        <v>0</v>
      </c>
      <c r="FI12" s="230">
        <v>0</v>
      </c>
      <c r="FJ12" s="230">
        <v>0</v>
      </c>
      <c r="FK12" s="230">
        <v>0</v>
      </c>
      <c r="FL12" s="230">
        <v>0</v>
      </c>
      <c r="FM12" s="230">
        <v>40</v>
      </c>
      <c r="FN12" s="230">
        <v>2100</v>
      </c>
      <c r="FO12" s="230">
        <v>0</v>
      </c>
      <c r="FP12" s="230">
        <v>0</v>
      </c>
      <c r="FQ12" s="230" t="s">
        <v>601</v>
      </c>
      <c r="FR12" s="230" t="s">
        <v>601</v>
      </c>
      <c r="FS12" s="230" t="s">
        <v>601</v>
      </c>
      <c r="FT12" s="230" t="s">
        <v>649</v>
      </c>
      <c r="FU12" s="230">
        <v>0</v>
      </c>
      <c r="FV12" s="230">
        <v>0</v>
      </c>
      <c r="FW12" s="230" t="s">
        <v>601</v>
      </c>
      <c r="FX12" s="230" t="s">
        <v>601</v>
      </c>
      <c r="FY12" s="230" t="s">
        <v>601</v>
      </c>
      <c r="FZ12" s="230" t="s">
        <v>649</v>
      </c>
      <c r="GA12" s="230" t="s">
        <v>601</v>
      </c>
      <c r="GB12" s="230" t="s">
        <v>601</v>
      </c>
      <c r="GC12" s="230" t="s">
        <v>601</v>
      </c>
      <c r="GD12" s="230" t="s">
        <v>601</v>
      </c>
      <c r="GE12" s="230" t="s">
        <v>601</v>
      </c>
      <c r="GF12" s="230">
        <v>34</v>
      </c>
      <c r="GG12" s="230">
        <v>34</v>
      </c>
      <c r="GH12" s="230">
        <v>34</v>
      </c>
      <c r="GI12" s="230">
        <v>0</v>
      </c>
      <c r="GJ12" s="230">
        <v>0</v>
      </c>
      <c r="GK12" s="230">
        <v>0</v>
      </c>
      <c r="GL12" s="230">
        <v>0</v>
      </c>
      <c r="GM12" s="230">
        <v>0</v>
      </c>
      <c r="GN12" s="230">
        <v>0</v>
      </c>
      <c r="GO12" s="230">
        <v>0</v>
      </c>
      <c r="GP12" s="230">
        <v>0</v>
      </c>
      <c r="GQ12" s="230">
        <v>0</v>
      </c>
      <c r="GR12" s="230">
        <v>0</v>
      </c>
      <c r="GS12" s="230">
        <v>0</v>
      </c>
      <c r="GT12" s="230">
        <v>0</v>
      </c>
      <c r="GU12" s="230">
        <v>0</v>
      </c>
      <c r="GV12" s="230">
        <v>0</v>
      </c>
      <c r="GW12" s="230">
        <v>0</v>
      </c>
      <c r="GX12" s="230">
        <v>0</v>
      </c>
      <c r="GY12" s="230">
        <v>0</v>
      </c>
      <c r="GZ12" s="230">
        <v>0</v>
      </c>
      <c r="HA12" s="230">
        <v>0</v>
      </c>
      <c r="HB12" s="230">
        <v>0</v>
      </c>
      <c r="HC12" s="230">
        <v>0</v>
      </c>
      <c r="HD12" s="230">
        <v>0</v>
      </c>
      <c r="HE12" s="230">
        <v>0</v>
      </c>
      <c r="HF12" s="230">
        <v>0</v>
      </c>
      <c r="HG12" s="230">
        <v>0</v>
      </c>
      <c r="HH12" s="230">
        <v>0</v>
      </c>
      <c r="HI12" s="230">
        <v>0</v>
      </c>
      <c r="HJ12" s="230">
        <v>0</v>
      </c>
      <c r="HK12" s="230">
        <v>0</v>
      </c>
      <c r="HL12" s="230">
        <v>0</v>
      </c>
      <c r="HM12" s="230">
        <v>0</v>
      </c>
      <c r="HN12" s="230">
        <v>0</v>
      </c>
      <c r="HO12" s="230">
        <v>0</v>
      </c>
      <c r="HP12" s="230" t="s">
        <v>51</v>
      </c>
      <c r="HQ12" s="230">
        <v>34</v>
      </c>
      <c r="HR12" s="230">
        <v>0</v>
      </c>
      <c r="HS12" s="230">
        <v>0</v>
      </c>
      <c r="HT12" s="230">
        <v>0</v>
      </c>
      <c r="HU12" s="230">
        <v>0</v>
      </c>
      <c r="HV12" s="230">
        <v>0</v>
      </c>
      <c r="HW12" s="797">
        <v>34</v>
      </c>
      <c r="HX12" s="797">
        <v>0</v>
      </c>
      <c r="HY12" s="230">
        <v>68</v>
      </c>
      <c r="HZ12" s="230"/>
      <c r="IA12" s="230"/>
      <c r="IB12" s="230"/>
      <c r="IC12" s="232" t="s">
        <v>690</v>
      </c>
      <c r="ID12" s="233" t="s">
        <v>691</v>
      </c>
      <c r="IE12" s="467" t="s">
        <v>583</v>
      </c>
      <c r="IF12" s="232" t="s">
        <v>364</v>
      </c>
      <c r="IG12" s="467" t="s">
        <v>584</v>
      </c>
      <c r="IH12" s="467" t="s">
        <v>585</v>
      </c>
      <c r="II12" s="546" t="s">
        <v>584</v>
      </c>
      <c r="IJ12" s="467">
        <v>44462</v>
      </c>
      <c r="IK12" s="468">
        <v>3</v>
      </c>
      <c r="IL12" s="469" t="s">
        <v>1210</v>
      </c>
      <c r="IM12" s="469" t="s">
        <v>1195</v>
      </c>
      <c r="IN12" s="469" t="s">
        <v>1195</v>
      </c>
      <c r="IO12" s="469" t="s">
        <v>601</v>
      </c>
      <c r="IP12" s="469" t="s">
        <v>601</v>
      </c>
      <c r="IQ12" s="469" t="s">
        <v>601</v>
      </c>
      <c r="IR12" s="469">
        <v>1</v>
      </c>
      <c r="IS12" s="469">
        <v>2</v>
      </c>
      <c r="IT12" s="469" t="s">
        <v>675</v>
      </c>
      <c r="IU12" s="469" t="s">
        <v>675</v>
      </c>
    </row>
    <row r="13" ht="76.5">
      <c r="A13" s="322">
        <v>12</v>
      </c>
      <c r="B13" s="229" t="s">
        <v>1178</v>
      </c>
      <c r="C13" s="229" t="s">
        <v>1178</v>
      </c>
      <c r="D13" s="797" t="s">
        <v>700</v>
      </c>
      <c r="E13" s="229" t="s">
        <v>694</v>
      </c>
      <c r="F13" s="229" t="s">
        <v>26</v>
      </c>
      <c r="G13" s="797" t="s">
        <v>695</v>
      </c>
      <c r="H13" s="797" t="s">
        <v>696</v>
      </c>
      <c r="I13" s="229">
        <v>1</v>
      </c>
      <c r="J13" s="229" t="s">
        <v>697</v>
      </c>
      <c r="K13" s="231" t="s">
        <v>584</v>
      </c>
      <c r="L13" s="231" t="s">
        <v>1224</v>
      </c>
      <c r="M13" s="229" t="s">
        <v>576</v>
      </c>
      <c r="N13" s="229" t="s">
        <v>700</v>
      </c>
      <c r="O13" s="229" t="s">
        <v>587</v>
      </c>
      <c r="P13" s="229" t="s">
        <v>1208</v>
      </c>
      <c r="Q13" s="229" t="s">
        <v>597</v>
      </c>
      <c r="R13" s="229" t="s">
        <v>1193</v>
      </c>
      <c r="S13" s="229" t="s">
        <v>600</v>
      </c>
      <c r="T13" s="229" t="s">
        <v>593</v>
      </c>
      <c r="U13" s="229">
        <v>1</v>
      </c>
      <c r="V13" s="229"/>
      <c r="W13" s="229" t="b">
        <v>0</v>
      </c>
      <c r="X13" s="229" t="b">
        <v>0</v>
      </c>
      <c r="Y13" s="797">
        <v>0</v>
      </c>
      <c r="Z13" s="229" t="b">
        <v>1</v>
      </c>
      <c r="AA13" s="797">
        <v>27</v>
      </c>
      <c r="AB13" s="229" t="b">
        <v>0</v>
      </c>
      <c r="AC13" s="229" t="b">
        <v>1</v>
      </c>
      <c r="AD13" s="229">
        <v>0</v>
      </c>
      <c r="AE13" s="229"/>
      <c r="AF13" s="229" t="s">
        <v>50</v>
      </c>
      <c r="AG13" s="229">
        <v>0</v>
      </c>
      <c r="AH13" s="230"/>
      <c r="AI13" s="553" t="s">
        <v>576</v>
      </c>
      <c r="AJ13" s="553" t="s">
        <v>576</v>
      </c>
      <c r="AK13" s="229">
        <v>4</v>
      </c>
      <c r="AL13" s="465" t="s">
        <v>1188</v>
      </c>
      <c r="AM13" s="465" t="s">
        <v>1220</v>
      </c>
      <c r="AN13" s="465" t="s">
        <v>1225</v>
      </c>
      <c r="AO13" s="229" t="s">
        <v>25</v>
      </c>
      <c r="AP13" s="230" t="s">
        <v>576</v>
      </c>
      <c r="AQ13" s="230">
        <v>0</v>
      </c>
      <c r="AR13" s="230">
        <v>0</v>
      </c>
      <c r="AS13" s="230" t="s">
        <v>601</v>
      </c>
      <c r="AT13" s="230" t="s">
        <v>601</v>
      </c>
      <c r="AU13" s="230" t="s">
        <v>601</v>
      </c>
      <c r="AV13" s="230" t="s">
        <v>1178</v>
      </c>
      <c r="AW13" s="230" t="s">
        <v>601</v>
      </c>
      <c r="AX13" s="230" t="s">
        <v>601</v>
      </c>
      <c r="AY13" s="230" t="s">
        <v>601</v>
      </c>
      <c r="AZ13" s="230" t="s">
        <v>601</v>
      </c>
      <c r="BA13" s="230" t="s">
        <v>601</v>
      </c>
      <c r="BB13" s="230" t="s">
        <v>1178</v>
      </c>
      <c r="BC13" s="230" t="s">
        <v>700</v>
      </c>
      <c r="BD13" s="230">
        <v>0</v>
      </c>
      <c r="BE13" s="230">
        <v>0</v>
      </c>
      <c r="BF13" s="230" t="s">
        <v>601</v>
      </c>
      <c r="BG13" s="230" t="s">
        <v>601</v>
      </c>
      <c r="BH13" s="230" t="s">
        <v>601</v>
      </c>
      <c r="BI13" s="230" t="s">
        <v>587</v>
      </c>
      <c r="BJ13" s="230">
        <v>0</v>
      </c>
      <c r="BK13" s="230">
        <v>0</v>
      </c>
      <c r="BL13" s="230" t="s">
        <v>601</v>
      </c>
      <c r="BM13" s="230" t="s">
        <v>601</v>
      </c>
      <c r="BN13" s="230" t="s">
        <v>601</v>
      </c>
      <c r="BO13" s="553">
        <v>3</v>
      </c>
      <c r="BP13" s="553">
        <v>0</v>
      </c>
      <c r="BQ13" s="553">
        <v>0</v>
      </c>
      <c r="BR13" s="553">
        <v>0</v>
      </c>
      <c r="BS13" s="553">
        <v>0</v>
      </c>
      <c r="BT13" s="554">
        <v>0</v>
      </c>
      <c r="BU13" s="230" t="s">
        <v>597</v>
      </c>
      <c r="BV13" s="230" t="s">
        <v>601</v>
      </c>
      <c r="BW13" s="230" t="s">
        <v>601</v>
      </c>
      <c r="BX13" s="230" t="s">
        <v>601</v>
      </c>
      <c r="BY13" s="230" t="s">
        <v>601</v>
      </c>
      <c r="BZ13" s="230" t="s">
        <v>601</v>
      </c>
      <c r="CA13" s="230">
        <v>2</v>
      </c>
      <c r="CB13" s="230">
        <v>2</v>
      </c>
      <c r="CC13" s="230">
        <v>2</v>
      </c>
      <c r="CD13" s="230">
        <v>0</v>
      </c>
      <c r="CE13" s="230">
        <v>0</v>
      </c>
      <c r="CF13" s="230">
        <v>0</v>
      </c>
      <c r="CG13" s="230">
        <v>0</v>
      </c>
      <c r="CH13" s="230">
        <v>0</v>
      </c>
      <c r="CI13" s="230">
        <v>0</v>
      </c>
      <c r="CJ13" s="230">
        <v>0</v>
      </c>
      <c r="CK13" s="230">
        <v>0</v>
      </c>
      <c r="CL13" s="230">
        <v>0</v>
      </c>
      <c r="CM13" s="230">
        <v>0</v>
      </c>
      <c r="CN13" s="230">
        <v>0</v>
      </c>
      <c r="CO13" s="230">
        <v>0</v>
      </c>
      <c r="CP13" s="230">
        <v>0</v>
      </c>
      <c r="CQ13" s="230">
        <v>0</v>
      </c>
      <c r="CR13" s="230">
        <v>0</v>
      </c>
      <c r="CS13" s="230">
        <v>0</v>
      </c>
      <c r="CT13" s="230">
        <v>0</v>
      </c>
      <c r="CU13" s="230">
        <v>0</v>
      </c>
      <c r="CV13" s="230">
        <v>0</v>
      </c>
      <c r="CW13" s="230">
        <v>0</v>
      </c>
      <c r="CX13" s="230">
        <v>0</v>
      </c>
      <c r="CY13" s="230">
        <v>0</v>
      </c>
      <c r="CZ13" s="230">
        <v>0</v>
      </c>
      <c r="DA13" s="230">
        <v>0</v>
      </c>
      <c r="DB13" s="230">
        <v>0</v>
      </c>
      <c r="DC13" s="230">
        <v>0</v>
      </c>
      <c r="DD13" s="230">
        <v>0</v>
      </c>
      <c r="DE13" s="230">
        <v>0</v>
      </c>
      <c r="DF13" s="230">
        <v>0</v>
      </c>
      <c r="DG13" s="230">
        <v>0</v>
      </c>
      <c r="DH13" s="230">
        <v>0</v>
      </c>
      <c r="DI13" s="230">
        <v>0</v>
      </c>
      <c r="DJ13" s="230">
        <v>0</v>
      </c>
      <c r="DK13" s="230" t="s">
        <v>599</v>
      </c>
      <c r="DL13" s="230" t="s">
        <v>601</v>
      </c>
      <c r="DM13" s="230" t="s">
        <v>601</v>
      </c>
      <c r="DN13" s="230" t="s">
        <v>601</v>
      </c>
      <c r="DO13" s="230" t="s">
        <v>601</v>
      </c>
      <c r="DP13" s="230" t="s">
        <v>601</v>
      </c>
      <c r="DQ13" s="230" t="s">
        <v>1193</v>
      </c>
      <c r="DR13" s="230" t="s">
        <v>601</v>
      </c>
      <c r="DS13" s="230" t="s">
        <v>601</v>
      </c>
      <c r="DT13" s="230" t="s">
        <v>601</v>
      </c>
      <c r="DU13" s="230" t="s">
        <v>601</v>
      </c>
      <c r="DV13" s="230" t="s">
        <v>601</v>
      </c>
      <c r="DW13" s="230">
        <v>40</v>
      </c>
      <c r="DX13" s="230">
        <v>40</v>
      </c>
      <c r="DY13" s="230">
        <v>40</v>
      </c>
      <c r="DZ13" s="230">
        <v>0</v>
      </c>
      <c r="EA13" s="230">
        <v>0</v>
      </c>
      <c r="EB13" s="230">
        <v>0</v>
      </c>
      <c r="EC13" s="230">
        <v>40</v>
      </c>
      <c r="ED13" s="230">
        <v>0</v>
      </c>
      <c r="EE13" s="230">
        <v>0</v>
      </c>
      <c r="EF13" s="230">
        <v>0</v>
      </c>
      <c r="EG13" s="230">
        <v>0</v>
      </c>
      <c r="EH13" s="230">
        <v>0</v>
      </c>
      <c r="EI13" s="230">
        <v>0</v>
      </c>
      <c r="EJ13" s="230">
        <v>0</v>
      </c>
      <c r="EK13" s="230">
        <v>0</v>
      </c>
      <c r="EL13" s="230">
        <v>0</v>
      </c>
      <c r="EM13" s="230">
        <v>0</v>
      </c>
      <c r="EN13" s="230">
        <v>0</v>
      </c>
      <c r="EO13" s="230">
        <v>0</v>
      </c>
      <c r="EP13" s="230">
        <v>0</v>
      </c>
      <c r="EQ13" s="230">
        <v>0</v>
      </c>
      <c r="ER13" s="230">
        <v>0</v>
      </c>
      <c r="ES13" s="230">
        <v>0</v>
      </c>
      <c r="ET13" s="230">
        <v>0</v>
      </c>
      <c r="EU13" s="230">
        <v>0</v>
      </c>
      <c r="EV13" s="230">
        <v>0</v>
      </c>
      <c r="EW13" s="230">
        <v>0</v>
      </c>
      <c r="EX13" s="230">
        <v>0</v>
      </c>
      <c r="EY13" s="230">
        <v>0</v>
      </c>
      <c r="EZ13" s="230">
        <v>0</v>
      </c>
      <c r="FA13" s="230">
        <v>0</v>
      </c>
      <c r="FB13" s="230">
        <v>0</v>
      </c>
      <c r="FC13" s="230">
        <v>0</v>
      </c>
      <c r="FD13" s="230">
        <v>0</v>
      </c>
      <c r="FE13" s="230">
        <v>0</v>
      </c>
      <c r="FF13" s="230">
        <v>0</v>
      </c>
      <c r="FG13" s="230">
        <v>0</v>
      </c>
      <c r="FH13" s="230">
        <v>0</v>
      </c>
      <c r="FI13" s="230">
        <v>0</v>
      </c>
      <c r="FJ13" s="230">
        <v>0</v>
      </c>
      <c r="FK13" s="230">
        <v>0</v>
      </c>
      <c r="FL13" s="230">
        <v>0</v>
      </c>
      <c r="FM13" s="230">
        <v>40</v>
      </c>
      <c r="FN13" s="230">
        <v>2100</v>
      </c>
      <c r="FO13" s="230">
        <v>0</v>
      </c>
      <c r="FP13" s="230">
        <v>0</v>
      </c>
      <c r="FQ13" s="230" t="s">
        <v>601</v>
      </c>
      <c r="FR13" s="230" t="s">
        <v>601</v>
      </c>
      <c r="FS13" s="230" t="s">
        <v>601</v>
      </c>
      <c r="FT13" s="230" t="s">
        <v>593</v>
      </c>
      <c r="FU13" s="230">
        <v>0</v>
      </c>
      <c r="FV13" s="230">
        <v>0</v>
      </c>
      <c r="FW13" s="230" t="s">
        <v>601</v>
      </c>
      <c r="FX13" s="230" t="s">
        <v>601</v>
      </c>
      <c r="FY13" s="230" t="s">
        <v>601</v>
      </c>
      <c r="FZ13" s="230" t="s">
        <v>593</v>
      </c>
      <c r="GA13" s="230" t="s">
        <v>601</v>
      </c>
      <c r="GB13" s="230" t="s">
        <v>601</v>
      </c>
      <c r="GC13" s="230" t="s">
        <v>601</v>
      </c>
      <c r="GD13" s="230" t="s">
        <v>601</v>
      </c>
      <c r="GE13" s="230" t="s">
        <v>601</v>
      </c>
      <c r="GF13" s="230">
        <v>27</v>
      </c>
      <c r="GG13" s="230">
        <v>27</v>
      </c>
      <c r="GH13" s="230">
        <v>27</v>
      </c>
      <c r="GI13" s="230">
        <v>0</v>
      </c>
      <c r="GJ13" s="230">
        <v>0</v>
      </c>
      <c r="GK13" s="230">
        <v>0</v>
      </c>
      <c r="GL13" s="230">
        <v>0</v>
      </c>
      <c r="GM13" s="230">
        <v>0</v>
      </c>
      <c r="GN13" s="230">
        <v>0</v>
      </c>
      <c r="GO13" s="230">
        <v>0</v>
      </c>
      <c r="GP13" s="230">
        <v>0</v>
      </c>
      <c r="GQ13" s="230">
        <v>0</v>
      </c>
      <c r="GR13" s="230">
        <v>0</v>
      </c>
      <c r="GS13" s="230">
        <v>0</v>
      </c>
      <c r="GT13" s="230">
        <v>0</v>
      </c>
      <c r="GU13" s="230">
        <v>0</v>
      </c>
      <c r="GV13" s="230">
        <v>0</v>
      </c>
      <c r="GW13" s="230">
        <v>0</v>
      </c>
      <c r="GX13" s="230">
        <v>0</v>
      </c>
      <c r="GY13" s="230">
        <v>0</v>
      </c>
      <c r="GZ13" s="230">
        <v>0</v>
      </c>
      <c r="HA13" s="230">
        <v>0</v>
      </c>
      <c r="HB13" s="230">
        <v>0</v>
      </c>
      <c r="HC13" s="230">
        <v>0</v>
      </c>
      <c r="HD13" s="230">
        <v>0</v>
      </c>
      <c r="HE13" s="230">
        <v>0</v>
      </c>
      <c r="HF13" s="230">
        <v>0</v>
      </c>
      <c r="HG13" s="230">
        <v>0</v>
      </c>
      <c r="HH13" s="230">
        <v>0</v>
      </c>
      <c r="HI13" s="230">
        <v>0</v>
      </c>
      <c r="HJ13" s="230">
        <v>0</v>
      </c>
      <c r="HK13" s="230">
        <v>0</v>
      </c>
      <c r="HL13" s="230">
        <v>0</v>
      </c>
      <c r="HM13" s="230">
        <v>0</v>
      </c>
      <c r="HN13" s="230">
        <v>0</v>
      </c>
      <c r="HO13" s="230">
        <v>0</v>
      </c>
      <c r="HP13" s="230" t="s">
        <v>51</v>
      </c>
      <c r="HQ13" s="230">
        <v>27</v>
      </c>
      <c r="HR13" s="230">
        <v>0</v>
      </c>
      <c r="HS13" s="230">
        <v>0</v>
      </c>
      <c r="HT13" s="230">
        <v>0</v>
      </c>
      <c r="HU13" s="230">
        <v>0</v>
      </c>
      <c r="HV13" s="230">
        <v>0</v>
      </c>
      <c r="HW13" s="797">
        <v>27</v>
      </c>
      <c r="HX13" s="797">
        <v>0</v>
      </c>
      <c r="HY13" s="230">
        <v>68</v>
      </c>
      <c r="HZ13" s="230"/>
      <c r="IA13" s="230"/>
      <c r="IB13" s="230"/>
      <c r="IC13" s="232" t="s">
        <v>698</v>
      </c>
      <c r="ID13" s="233" t="s">
        <v>699</v>
      </c>
      <c r="IE13" s="467" t="s">
        <v>583</v>
      </c>
      <c r="IF13" s="232" t="s">
        <v>364</v>
      </c>
      <c r="IG13" s="467" t="s">
        <v>584</v>
      </c>
      <c r="IH13" s="467" t="s">
        <v>585</v>
      </c>
      <c r="II13" s="546" t="s">
        <v>584</v>
      </c>
      <c r="IJ13" s="467">
        <v>44462</v>
      </c>
      <c r="IK13" s="468">
        <v>3</v>
      </c>
      <c r="IL13" s="469" t="s">
        <v>1210</v>
      </c>
      <c r="IM13" s="469" t="s">
        <v>1195</v>
      </c>
      <c r="IN13" s="469" t="s">
        <v>1195</v>
      </c>
      <c r="IO13" s="469" t="s">
        <v>601</v>
      </c>
      <c r="IP13" s="469" t="s">
        <v>601</v>
      </c>
      <c r="IQ13" s="469" t="s">
        <v>601</v>
      </c>
      <c r="IR13" s="469">
        <v>1</v>
      </c>
      <c r="IS13" s="469">
        <v>2</v>
      </c>
      <c r="IT13" s="469" t="s">
        <v>675</v>
      </c>
      <c r="IU13" s="469" t="s">
        <v>675</v>
      </c>
    </row>
    <row r="14" ht="76.5">
      <c r="A14" s="322">
        <v>13</v>
      </c>
      <c r="B14" s="229" t="s">
        <v>1178</v>
      </c>
      <c r="C14" s="229" t="s">
        <v>1178</v>
      </c>
      <c r="D14" s="797" t="s">
        <v>708</v>
      </c>
      <c r="E14" s="229" t="s">
        <v>702</v>
      </c>
      <c r="F14" s="229" t="s">
        <v>26</v>
      </c>
      <c r="G14" s="797" t="s">
        <v>703</v>
      </c>
      <c r="H14" s="797" t="s">
        <v>704</v>
      </c>
      <c r="I14" s="229">
        <v>1</v>
      </c>
      <c r="J14" s="229" t="s">
        <v>705</v>
      </c>
      <c r="K14" s="231" t="s">
        <v>584</v>
      </c>
      <c r="L14" s="231" t="s">
        <v>1224</v>
      </c>
      <c r="M14" s="229" t="s">
        <v>576</v>
      </c>
      <c r="N14" s="229" t="s">
        <v>708</v>
      </c>
      <c r="O14" s="229" t="s">
        <v>587</v>
      </c>
      <c r="P14" s="229" t="s">
        <v>1208</v>
      </c>
      <c r="Q14" s="229" t="s">
        <v>597</v>
      </c>
      <c r="R14" s="229" t="s">
        <v>1193</v>
      </c>
      <c r="S14" s="229" t="s">
        <v>600</v>
      </c>
      <c r="T14" s="229" t="s">
        <v>709</v>
      </c>
      <c r="U14" s="229">
        <v>1</v>
      </c>
      <c r="V14" s="229"/>
      <c r="W14" s="229" t="b">
        <v>0</v>
      </c>
      <c r="X14" s="229" t="b">
        <v>0</v>
      </c>
      <c r="Y14" s="797">
        <v>0</v>
      </c>
      <c r="Z14" s="229" t="b">
        <v>1</v>
      </c>
      <c r="AA14" s="797">
        <v>28</v>
      </c>
      <c r="AB14" s="229" t="b">
        <v>0</v>
      </c>
      <c r="AC14" s="229" t="b">
        <v>1</v>
      </c>
      <c r="AD14" s="229">
        <v>0</v>
      </c>
      <c r="AE14" s="229"/>
      <c r="AF14" s="229" t="s">
        <v>50</v>
      </c>
      <c r="AG14" s="229">
        <v>0</v>
      </c>
      <c r="AH14" s="230"/>
      <c r="AI14" s="553" t="s">
        <v>576</v>
      </c>
      <c r="AJ14" s="553" t="s">
        <v>576</v>
      </c>
      <c r="AK14" s="229">
        <v>3</v>
      </c>
      <c r="AL14" s="465" t="s">
        <v>1188</v>
      </c>
      <c r="AM14" s="465" t="s">
        <v>1220</v>
      </c>
      <c r="AN14" s="465" t="s">
        <v>1226</v>
      </c>
      <c r="AO14" s="229" t="s">
        <v>25</v>
      </c>
      <c r="AP14" s="230" t="s">
        <v>576</v>
      </c>
      <c r="AQ14" s="230">
        <v>0</v>
      </c>
      <c r="AR14" s="230">
        <v>0</v>
      </c>
      <c r="AS14" s="230" t="s">
        <v>601</v>
      </c>
      <c r="AT14" s="230" t="s">
        <v>601</v>
      </c>
      <c r="AU14" s="230" t="s">
        <v>601</v>
      </c>
      <c r="AV14" s="230" t="s">
        <v>1178</v>
      </c>
      <c r="AW14" s="230" t="s">
        <v>601</v>
      </c>
      <c r="AX14" s="230" t="s">
        <v>601</v>
      </c>
      <c r="AY14" s="230" t="s">
        <v>601</v>
      </c>
      <c r="AZ14" s="230" t="s">
        <v>601</v>
      </c>
      <c r="BA14" s="230" t="s">
        <v>601</v>
      </c>
      <c r="BB14" s="230" t="s">
        <v>1178</v>
      </c>
      <c r="BC14" s="230" t="s">
        <v>708</v>
      </c>
      <c r="BD14" s="230">
        <v>0</v>
      </c>
      <c r="BE14" s="230">
        <v>0</v>
      </c>
      <c r="BF14" s="230" t="s">
        <v>601</v>
      </c>
      <c r="BG14" s="230" t="s">
        <v>601</v>
      </c>
      <c r="BH14" s="230" t="s">
        <v>601</v>
      </c>
      <c r="BI14" s="230" t="s">
        <v>587</v>
      </c>
      <c r="BJ14" s="230">
        <v>0</v>
      </c>
      <c r="BK14" s="230">
        <v>0</v>
      </c>
      <c r="BL14" s="230" t="s">
        <v>601</v>
      </c>
      <c r="BM14" s="230" t="s">
        <v>601</v>
      </c>
      <c r="BN14" s="230" t="s">
        <v>601</v>
      </c>
      <c r="BO14" s="553">
        <v>3</v>
      </c>
      <c r="BP14" s="553">
        <v>0</v>
      </c>
      <c r="BQ14" s="553">
        <v>0</v>
      </c>
      <c r="BR14" s="553">
        <v>0</v>
      </c>
      <c r="BS14" s="553">
        <v>0</v>
      </c>
      <c r="BT14" s="554">
        <v>0</v>
      </c>
      <c r="BU14" s="230" t="s">
        <v>597</v>
      </c>
      <c r="BV14" s="230" t="s">
        <v>601</v>
      </c>
      <c r="BW14" s="230" t="s">
        <v>601</v>
      </c>
      <c r="BX14" s="230" t="s">
        <v>601</v>
      </c>
      <c r="BY14" s="230" t="s">
        <v>601</v>
      </c>
      <c r="BZ14" s="230" t="s">
        <v>601</v>
      </c>
      <c r="CA14" s="230">
        <v>2</v>
      </c>
      <c r="CB14" s="230">
        <v>2</v>
      </c>
      <c r="CC14" s="230">
        <v>2</v>
      </c>
      <c r="CD14" s="230">
        <v>0</v>
      </c>
      <c r="CE14" s="230">
        <v>0</v>
      </c>
      <c r="CF14" s="230">
        <v>0</v>
      </c>
      <c r="CG14" s="230">
        <v>0</v>
      </c>
      <c r="CH14" s="230">
        <v>0</v>
      </c>
      <c r="CI14" s="230">
        <v>0</v>
      </c>
      <c r="CJ14" s="230">
        <v>0</v>
      </c>
      <c r="CK14" s="230">
        <v>0</v>
      </c>
      <c r="CL14" s="230">
        <v>0</v>
      </c>
      <c r="CM14" s="230">
        <v>0</v>
      </c>
      <c r="CN14" s="230">
        <v>0</v>
      </c>
      <c r="CO14" s="230">
        <v>0</v>
      </c>
      <c r="CP14" s="230">
        <v>0</v>
      </c>
      <c r="CQ14" s="230">
        <v>0</v>
      </c>
      <c r="CR14" s="230">
        <v>0</v>
      </c>
      <c r="CS14" s="230">
        <v>0</v>
      </c>
      <c r="CT14" s="230">
        <v>0</v>
      </c>
      <c r="CU14" s="230">
        <v>0</v>
      </c>
      <c r="CV14" s="230">
        <v>0</v>
      </c>
      <c r="CW14" s="230">
        <v>0</v>
      </c>
      <c r="CX14" s="230">
        <v>0</v>
      </c>
      <c r="CY14" s="230">
        <v>0</v>
      </c>
      <c r="CZ14" s="230">
        <v>0</v>
      </c>
      <c r="DA14" s="230">
        <v>0</v>
      </c>
      <c r="DB14" s="230">
        <v>0</v>
      </c>
      <c r="DC14" s="230">
        <v>0</v>
      </c>
      <c r="DD14" s="230">
        <v>0</v>
      </c>
      <c r="DE14" s="230">
        <v>0</v>
      </c>
      <c r="DF14" s="230">
        <v>0</v>
      </c>
      <c r="DG14" s="230">
        <v>0</v>
      </c>
      <c r="DH14" s="230">
        <v>0</v>
      </c>
      <c r="DI14" s="230">
        <v>0</v>
      </c>
      <c r="DJ14" s="230">
        <v>0</v>
      </c>
      <c r="DK14" s="230" t="s">
        <v>599</v>
      </c>
      <c r="DL14" s="230" t="s">
        <v>601</v>
      </c>
      <c r="DM14" s="230" t="s">
        <v>601</v>
      </c>
      <c r="DN14" s="230" t="s">
        <v>601</v>
      </c>
      <c r="DO14" s="230" t="s">
        <v>601</v>
      </c>
      <c r="DP14" s="230" t="s">
        <v>601</v>
      </c>
      <c r="DQ14" s="230" t="s">
        <v>1193</v>
      </c>
      <c r="DR14" s="230" t="s">
        <v>601</v>
      </c>
      <c r="DS14" s="230" t="s">
        <v>601</v>
      </c>
      <c r="DT14" s="230" t="s">
        <v>601</v>
      </c>
      <c r="DU14" s="230" t="s">
        <v>601</v>
      </c>
      <c r="DV14" s="230" t="s">
        <v>601</v>
      </c>
      <c r="DW14" s="230">
        <v>40</v>
      </c>
      <c r="DX14" s="230">
        <v>40</v>
      </c>
      <c r="DY14" s="230">
        <v>40</v>
      </c>
      <c r="DZ14" s="230">
        <v>0</v>
      </c>
      <c r="EA14" s="230">
        <v>0</v>
      </c>
      <c r="EB14" s="230">
        <v>0</v>
      </c>
      <c r="EC14" s="230">
        <v>40</v>
      </c>
      <c r="ED14" s="230">
        <v>0</v>
      </c>
      <c r="EE14" s="230">
        <v>0</v>
      </c>
      <c r="EF14" s="230">
        <v>0</v>
      </c>
      <c r="EG14" s="230">
        <v>0</v>
      </c>
      <c r="EH14" s="230">
        <v>0</v>
      </c>
      <c r="EI14" s="230">
        <v>0</v>
      </c>
      <c r="EJ14" s="230">
        <v>0</v>
      </c>
      <c r="EK14" s="230">
        <v>0</v>
      </c>
      <c r="EL14" s="230">
        <v>0</v>
      </c>
      <c r="EM14" s="230">
        <v>0</v>
      </c>
      <c r="EN14" s="230">
        <v>0</v>
      </c>
      <c r="EO14" s="230">
        <v>0</v>
      </c>
      <c r="EP14" s="230">
        <v>0</v>
      </c>
      <c r="EQ14" s="230">
        <v>0</v>
      </c>
      <c r="ER14" s="230">
        <v>0</v>
      </c>
      <c r="ES14" s="230">
        <v>0</v>
      </c>
      <c r="ET14" s="230">
        <v>0</v>
      </c>
      <c r="EU14" s="230">
        <v>0</v>
      </c>
      <c r="EV14" s="230">
        <v>0</v>
      </c>
      <c r="EW14" s="230">
        <v>0</v>
      </c>
      <c r="EX14" s="230">
        <v>0</v>
      </c>
      <c r="EY14" s="230">
        <v>0</v>
      </c>
      <c r="EZ14" s="230">
        <v>0</v>
      </c>
      <c r="FA14" s="230">
        <v>0</v>
      </c>
      <c r="FB14" s="230">
        <v>0</v>
      </c>
      <c r="FC14" s="230">
        <v>0</v>
      </c>
      <c r="FD14" s="230">
        <v>0</v>
      </c>
      <c r="FE14" s="230">
        <v>0</v>
      </c>
      <c r="FF14" s="230">
        <v>0</v>
      </c>
      <c r="FG14" s="230">
        <v>0</v>
      </c>
      <c r="FH14" s="230">
        <v>0</v>
      </c>
      <c r="FI14" s="230">
        <v>0</v>
      </c>
      <c r="FJ14" s="230">
        <v>0</v>
      </c>
      <c r="FK14" s="230">
        <v>0</v>
      </c>
      <c r="FL14" s="230">
        <v>0</v>
      </c>
      <c r="FM14" s="230">
        <v>40</v>
      </c>
      <c r="FN14" s="230">
        <v>2100</v>
      </c>
      <c r="FO14" s="230">
        <v>0</v>
      </c>
      <c r="FP14" s="230">
        <v>0</v>
      </c>
      <c r="FQ14" s="230" t="s">
        <v>601</v>
      </c>
      <c r="FR14" s="230" t="s">
        <v>601</v>
      </c>
      <c r="FS14" s="230" t="s">
        <v>601</v>
      </c>
      <c r="FT14" s="230" t="s">
        <v>709</v>
      </c>
      <c r="FU14" s="230">
        <v>0</v>
      </c>
      <c r="FV14" s="230">
        <v>0</v>
      </c>
      <c r="FW14" s="230" t="s">
        <v>601</v>
      </c>
      <c r="FX14" s="230" t="s">
        <v>601</v>
      </c>
      <c r="FY14" s="230" t="s">
        <v>601</v>
      </c>
      <c r="FZ14" s="230" t="s">
        <v>709</v>
      </c>
      <c r="GA14" s="230" t="s">
        <v>601</v>
      </c>
      <c r="GB14" s="230" t="s">
        <v>601</v>
      </c>
      <c r="GC14" s="230" t="s">
        <v>601</v>
      </c>
      <c r="GD14" s="230" t="s">
        <v>601</v>
      </c>
      <c r="GE14" s="230" t="s">
        <v>601</v>
      </c>
      <c r="GF14" s="230">
        <v>28</v>
      </c>
      <c r="GG14" s="230">
        <v>28</v>
      </c>
      <c r="GH14" s="230">
        <v>28</v>
      </c>
      <c r="GI14" s="230">
        <v>0</v>
      </c>
      <c r="GJ14" s="230">
        <v>0</v>
      </c>
      <c r="GK14" s="230">
        <v>0</v>
      </c>
      <c r="GL14" s="230">
        <v>0</v>
      </c>
      <c r="GM14" s="230">
        <v>0</v>
      </c>
      <c r="GN14" s="230">
        <v>0</v>
      </c>
      <c r="GO14" s="230">
        <v>0</v>
      </c>
      <c r="GP14" s="230">
        <v>0</v>
      </c>
      <c r="GQ14" s="230">
        <v>0</v>
      </c>
      <c r="GR14" s="230">
        <v>0</v>
      </c>
      <c r="GS14" s="230">
        <v>0</v>
      </c>
      <c r="GT14" s="230">
        <v>0</v>
      </c>
      <c r="GU14" s="230">
        <v>0</v>
      </c>
      <c r="GV14" s="230">
        <v>0</v>
      </c>
      <c r="GW14" s="230">
        <v>0</v>
      </c>
      <c r="GX14" s="230">
        <v>0</v>
      </c>
      <c r="GY14" s="230">
        <v>0</v>
      </c>
      <c r="GZ14" s="230">
        <v>0</v>
      </c>
      <c r="HA14" s="230">
        <v>0</v>
      </c>
      <c r="HB14" s="230">
        <v>0</v>
      </c>
      <c r="HC14" s="230">
        <v>0</v>
      </c>
      <c r="HD14" s="230">
        <v>0</v>
      </c>
      <c r="HE14" s="230">
        <v>0</v>
      </c>
      <c r="HF14" s="230">
        <v>0</v>
      </c>
      <c r="HG14" s="230">
        <v>0</v>
      </c>
      <c r="HH14" s="230">
        <v>0</v>
      </c>
      <c r="HI14" s="230">
        <v>0</v>
      </c>
      <c r="HJ14" s="230">
        <v>0</v>
      </c>
      <c r="HK14" s="230">
        <v>0</v>
      </c>
      <c r="HL14" s="230">
        <v>0</v>
      </c>
      <c r="HM14" s="230">
        <v>0</v>
      </c>
      <c r="HN14" s="230">
        <v>0</v>
      </c>
      <c r="HO14" s="230">
        <v>0</v>
      </c>
      <c r="HP14" s="230" t="s">
        <v>51</v>
      </c>
      <c r="HQ14" s="230">
        <v>28</v>
      </c>
      <c r="HR14" s="230">
        <v>0</v>
      </c>
      <c r="HS14" s="230">
        <v>0</v>
      </c>
      <c r="HT14" s="230">
        <v>0</v>
      </c>
      <c r="HU14" s="230">
        <v>0</v>
      </c>
      <c r="HV14" s="230">
        <v>0</v>
      </c>
      <c r="HW14" s="797">
        <v>28</v>
      </c>
      <c r="HX14" s="797">
        <v>0</v>
      </c>
      <c r="HY14" s="230">
        <v>68</v>
      </c>
      <c r="HZ14" s="230"/>
      <c r="IA14" s="230"/>
      <c r="IB14" s="230"/>
      <c r="IC14" s="232" t="s">
        <v>706</v>
      </c>
      <c r="ID14" s="233" t="s">
        <v>707</v>
      </c>
      <c r="IE14" s="467" t="s">
        <v>583</v>
      </c>
      <c r="IF14" s="232" t="s">
        <v>364</v>
      </c>
      <c r="IG14" s="467" t="s">
        <v>584</v>
      </c>
      <c r="IH14" s="467" t="s">
        <v>585</v>
      </c>
      <c r="II14" s="546" t="s">
        <v>584</v>
      </c>
      <c r="IJ14" s="467">
        <v>44462</v>
      </c>
      <c r="IK14" s="468">
        <v>3</v>
      </c>
      <c r="IL14" s="469" t="s">
        <v>1210</v>
      </c>
      <c r="IM14" s="469" t="s">
        <v>1195</v>
      </c>
      <c r="IN14" s="469" t="s">
        <v>1195</v>
      </c>
      <c r="IO14" s="469" t="s">
        <v>601</v>
      </c>
      <c r="IP14" s="469" t="s">
        <v>601</v>
      </c>
      <c r="IQ14" s="469" t="s">
        <v>601</v>
      </c>
      <c r="IR14" s="469">
        <v>1</v>
      </c>
      <c r="IS14" s="469">
        <v>2</v>
      </c>
      <c r="IT14" s="469" t="s">
        <v>675</v>
      </c>
      <c r="IU14" s="469" t="s">
        <v>675</v>
      </c>
    </row>
    <row r="15" ht="76.5">
      <c r="A15" s="322">
        <v>14</v>
      </c>
      <c r="B15" s="229" t="s">
        <v>1178</v>
      </c>
      <c r="C15" s="229" t="s">
        <v>1178</v>
      </c>
      <c r="D15" s="797" t="s">
        <v>717</v>
      </c>
      <c r="E15" s="229" t="s">
        <v>711</v>
      </c>
      <c r="F15" s="229" t="s">
        <v>26</v>
      </c>
      <c r="G15" s="797" t="s">
        <v>712</v>
      </c>
      <c r="H15" s="797" t="s">
        <v>713</v>
      </c>
      <c r="I15" s="229">
        <v>1</v>
      </c>
      <c r="J15" s="229" t="s">
        <v>714</v>
      </c>
      <c r="K15" s="231" t="s">
        <v>584</v>
      </c>
      <c r="L15" s="231" t="s">
        <v>1224</v>
      </c>
      <c r="M15" s="229" t="s">
        <v>576</v>
      </c>
      <c r="N15" s="229" t="s">
        <v>717</v>
      </c>
      <c r="O15" s="229" t="s">
        <v>587</v>
      </c>
      <c r="P15" s="229" t="s">
        <v>1208</v>
      </c>
      <c r="Q15" s="229" t="s">
        <v>597</v>
      </c>
      <c r="R15" s="229" t="s">
        <v>1193</v>
      </c>
      <c r="S15" s="229" t="s">
        <v>600</v>
      </c>
      <c r="T15" s="229" t="s">
        <v>593</v>
      </c>
      <c r="U15" s="229">
        <v>1</v>
      </c>
      <c r="V15" s="229"/>
      <c r="W15" s="229" t="b">
        <v>0</v>
      </c>
      <c r="X15" s="229" t="b">
        <v>0</v>
      </c>
      <c r="Y15" s="797">
        <v>0</v>
      </c>
      <c r="Z15" s="229" t="b">
        <v>1</v>
      </c>
      <c r="AA15" s="797">
        <v>27</v>
      </c>
      <c r="AB15" s="229" t="b">
        <v>0</v>
      </c>
      <c r="AC15" s="229" t="b">
        <v>1</v>
      </c>
      <c r="AD15" s="229">
        <v>0</v>
      </c>
      <c r="AE15" s="229"/>
      <c r="AF15" s="229" t="s">
        <v>50</v>
      </c>
      <c r="AG15" s="229">
        <v>0</v>
      </c>
      <c r="AH15" s="230"/>
      <c r="AI15" s="553" t="s">
        <v>576</v>
      </c>
      <c r="AJ15" s="553" t="s">
        <v>576</v>
      </c>
      <c r="AK15" s="229">
        <v>4</v>
      </c>
      <c r="AL15" s="465" t="s">
        <v>1188</v>
      </c>
      <c r="AM15" s="465" t="s">
        <v>1220</v>
      </c>
      <c r="AN15" s="465" t="s">
        <v>1227</v>
      </c>
      <c r="AO15" s="229" t="s">
        <v>25</v>
      </c>
      <c r="AP15" s="230" t="s">
        <v>576</v>
      </c>
      <c r="AQ15" s="230">
        <v>0</v>
      </c>
      <c r="AR15" s="230">
        <v>0</v>
      </c>
      <c r="AS15" s="230" t="s">
        <v>601</v>
      </c>
      <c r="AT15" s="230" t="s">
        <v>601</v>
      </c>
      <c r="AU15" s="230" t="s">
        <v>601</v>
      </c>
      <c r="AV15" s="230" t="s">
        <v>1178</v>
      </c>
      <c r="AW15" s="230" t="s">
        <v>601</v>
      </c>
      <c r="AX15" s="230" t="s">
        <v>601</v>
      </c>
      <c r="AY15" s="230" t="s">
        <v>601</v>
      </c>
      <c r="AZ15" s="230" t="s">
        <v>601</v>
      </c>
      <c r="BA15" s="230" t="s">
        <v>601</v>
      </c>
      <c r="BB15" s="230" t="s">
        <v>1178</v>
      </c>
      <c r="BC15" s="230" t="s">
        <v>717</v>
      </c>
      <c r="BD15" s="230">
        <v>0</v>
      </c>
      <c r="BE15" s="230">
        <v>0</v>
      </c>
      <c r="BF15" s="230" t="s">
        <v>601</v>
      </c>
      <c r="BG15" s="230" t="s">
        <v>601</v>
      </c>
      <c r="BH15" s="230" t="s">
        <v>601</v>
      </c>
      <c r="BI15" s="230" t="s">
        <v>587</v>
      </c>
      <c r="BJ15" s="230">
        <v>0</v>
      </c>
      <c r="BK15" s="230">
        <v>0</v>
      </c>
      <c r="BL15" s="230" t="s">
        <v>601</v>
      </c>
      <c r="BM15" s="230" t="s">
        <v>601</v>
      </c>
      <c r="BN15" s="230" t="s">
        <v>601</v>
      </c>
      <c r="BO15" s="553">
        <v>3</v>
      </c>
      <c r="BP15" s="553">
        <v>0</v>
      </c>
      <c r="BQ15" s="553">
        <v>0</v>
      </c>
      <c r="BR15" s="553">
        <v>0</v>
      </c>
      <c r="BS15" s="553">
        <v>0</v>
      </c>
      <c r="BT15" s="554">
        <v>0</v>
      </c>
      <c r="BU15" s="230" t="s">
        <v>597</v>
      </c>
      <c r="BV15" s="230" t="s">
        <v>601</v>
      </c>
      <c r="BW15" s="230" t="s">
        <v>601</v>
      </c>
      <c r="BX15" s="230" t="s">
        <v>601</v>
      </c>
      <c r="BY15" s="230" t="s">
        <v>601</v>
      </c>
      <c r="BZ15" s="230" t="s">
        <v>601</v>
      </c>
      <c r="CA15" s="230">
        <v>2</v>
      </c>
      <c r="CB15" s="230">
        <v>2</v>
      </c>
      <c r="CC15" s="230">
        <v>2</v>
      </c>
      <c r="CD15" s="230">
        <v>0</v>
      </c>
      <c r="CE15" s="230">
        <v>0</v>
      </c>
      <c r="CF15" s="230">
        <v>0</v>
      </c>
      <c r="CG15" s="230">
        <v>0</v>
      </c>
      <c r="CH15" s="230">
        <v>0</v>
      </c>
      <c r="CI15" s="230">
        <v>0</v>
      </c>
      <c r="CJ15" s="230">
        <v>0</v>
      </c>
      <c r="CK15" s="230">
        <v>0</v>
      </c>
      <c r="CL15" s="230">
        <v>0</v>
      </c>
      <c r="CM15" s="230">
        <v>0</v>
      </c>
      <c r="CN15" s="230">
        <v>0</v>
      </c>
      <c r="CO15" s="230">
        <v>0</v>
      </c>
      <c r="CP15" s="230">
        <v>0</v>
      </c>
      <c r="CQ15" s="230">
        <v>0</v>
      </c>
      <c r="CR15" s="230">
        <v>0</v>
      </c>
      <c r="CS15" s="230">
        <v>0</v>
      </c>
      <c r="CT15" s="230">
        <v>0</v>
      </c>
      <c r="CU15" s="230">
        <v>0</v>
      </c>
      <c r="CV15" s="230">
        <v>0</v>
      </c>
      <c r="CW15" s="230">
        <v>0</v>
      </c>
      <c r="CX15" s="230">
        <v>0</v>
      </c>
      <c r="CY15" s="230">
        <v>0</v>
      </c>
      <c r="CZ15" s="230">
        <v>0</v>
      </c>
      <c r="DA15" s="230">
        <v>0</v>
      </c>
      <c r="DB15" s="230">
        <v>0</v>
      </c>
      <c r="DC15" s="230">
        <v>0</v>
      </c>
      <c r="DD15" s="230">
        <v>0</v>
      </c>
      <c r="DE15" s="230">
        <v>0</v>
      </c>
      <c r="DF15" s="230">
        <v>0</v>
      </c>
      <c r="DG15" s="230">
        <v>0</v>
      </c>
      <c r="DH15" s="230">
        <v>0</v>
      </c>
      <c r="DI15" s="230">
        <v>0</v>
      </c>
      <c r="DJ15" s="230">
        <v>0</v>
      </c>
      <c r="DK15" s="230" t="s">
        <v>599</v>
      </c>
      <c r="DL15" s="230" t="s">
        <v>601</v>
      </c>
      <c r="DM15" s="230" t="s">
        <v>601</v>
      </c>
      <c r="DN15" s="230" t="s">
        <v>601</v>
      </c>
      <c r="DO15" s="230" t="s">
        <v>601</v>
      </c>
      <c r="DP15" s="230" t="s">
        <v>601</v>
      </c>
      <c r="DQ15" s="230" t="s">
        <v>1193</v>
      </c>
      <c r="DR15" s="230" t="s">
        <v>601</v>
      </c>
      <c r="DS15" s="230" t="s">
        <v>601</v>
      </c>
      <c r="DT15" s="230" t="s">
        <v>601</v>
      </c>
      <c r="DU15" s="230" t="s">
        <v>601</v>
      </c>
      <c r="DV15" s="230" t="s">
        <v>601</v>
      </c>
      <c r="DW15" s="230">
        <v>40</v>
      </c>
      <c r="DX15" s="230">
        <v>40</v>
      </c>
      <c r="DY15" s="230">
        <v>40</v>
      </c>
      <c r="DZ15" s="230">
        <v>0</v>
      </c>
      <c r="EA15" s="230">
        <v>0</v>
      </c>
      <c r="EB15" s="230">
        <v>0</v>
      </c>
      <c r="EC15" s="230">
        <v>40</v>
      </c>
      <c r="ED15" s="230">
        <v>0</v>
      </c>
      <c r="EE15" s="230">
        <v>0</v>
      </c>
      <c r="EF15" s="230">
        <v>0</v>
      </c>
      <c r="EG15" s="230">
        <v>0</v>
      </c>
      <c r="EH15" s="230">
        <v>0</v>
      </c>
      <c r="EI15" s="230">
        <v>0</v>
      </c>
      <c r="EJ15" s="230">
        <v>0</v>
      </c>
      <c r="EK15" s="230">
        <v>0</v>
      </c>
      <c r="EL15" s="230">
        <v>0</v>
      </c>
      <c r="EM15" s="230">
        <v>0</v>
      </c>
      <c r="EN15" s="230">
        <v>0</v>
      </c>
      <c r="EO15" s="230">
        <v>0</v>
      </c>
      <c r="EP15" s="230">
        <v>0</v>
      </c>
      <c r="EQ15" s="230">
        <v>0</v>
      </c>
      <c r="ER15" s="230">
        <v>0</v>
      </c>
      <c r="ES15" s="230">
        <v>0</v>
      </c>
      <c r="ET15" s="230">
        <v>0</v>
      </c>
      <c r="EU15" s="230">
        <v>0</v>
      </c>
      <c r="EV15" s="230">
        <v>0</v>
      </c>
      <c r="EW15" s="230">
        <v>0</v>
      </c>
      <c r="EX15" s="230">
        <v>0</v>
      </c>
      <c r="EY15" s="230">
        <v>0</v>
      </c>
      <c r="EZ15" s="230">
        <v>0</v>
      </c>
      <c r="FA15" s="230">
        <v>0</v>
      </c>
      <c r="FB15" s="230">
        <v>0</v>
      </c>
      <c r="FC15" s="230">
        <v>0</v>
      </c>
      <c r="FD15" s="230">
        <v>0</v>
      </c>
      <c r="FE15" s="230">
        <v>0</v>
      </c>
      <c r="FF15" s="230">
        <v>0</v>
      </c>
      <c r="FG15" s="230">
        <v>0</v>
      </c>
      <c r="FH15" s="230">
        <v>0</v>
      </c>
      <c r="FI15" s="230">
        <v>0</v>
      </c>
      <c r="FJ15" s="230">
        <v>0</v>
      </c>
      <c r="FK15" s="230">
        <v>0</v>
      </c>
      <c r="FL15" s="230">
        <v>0</v>
      </c>
      <c r="FM15" s="230">
        <v>40</v>
      </c>
      <c r="FN15" s="230">
        <v>2100</v>
      </c>
      <c r="FO15" s="230">
        <v>0</v>
      </c>
      <c r="FP15" s="230">
        <v>0</v>
      </c>
      <c r="FQ15" s="230" t="s">
        <v>601</v>
      </c>
      <c r="FR15" s="230" t="s">
        <v>601</v>
      </c>
      <c r="FS15" s="230" t="s">
        <v>601</v>
      </c>
      <c r="FT15" s="230" t="s">
        <v>593</v>
      </c>
      <c r="FU15" s="230">
        <v>0</v>
      </c>
      <c r="FV15" s="230">
        <v>0</v>
      </c>
      <c r="FW15" s="230" t="s">
        <v>601</v>
      </c>
      <c r="FX15" s="230" t="s">
        <v>601</v>
      </c>
      <c r="FY15" s="230" t="s">
        <v>601</v>
      </c>
      <c r="FZ15" s="230" t="s">
        <v>593</v>
      </c>
      <c r="GA15" s="230" t="s">
        <v>601</v>
      </c>
      <c r="GB15" s="230" t="s">
        <v>601</v>
      </c>
      <c r="GC15" s="230" t="s">
        <v>601</v>
      </c>
      <c r="GD15" s="230" t="s">
        <v>601</v>
      </c>
      <c r="GE15" s="230" t="s">
        <v>601</v>
      </c>
      <c r="GF15" s="230">
        <v>27</v>
      </c>
      <c r="GG15" s="230">
        <v>27</v>
      </c>
      <c r="GH15" s="230">
        <v>27</v>
      </c>
      <c r="GI15" s="230">
        <v>0</v>
      </c>
      <c r="GJ15" s="230">
        <v>0</v>
      </c>
      <c r="GK15" s="230">
        <v>0</v>
      </c>
      <c r="GL15" s="230">
        <v>0</v>
      </c>
      <c r="GM15" s="230">
        <v>0</v>
      </c>
      <c r="GN15" s="230">
        <v>0</v>
      </c>
      <c r="GO15" s="230">
        <v>0</v>
      </c>
      <c r="GP15" s="230">
        <v>0</v>
      </c>
      <c r="GQ15" s="230">
        <v>0</v>
      </c>
      <c r="GR15" s="230">
        <v>0</v>
      </c>
      <c r="GS15" s="230">
        <v>0</v>
      </c>
      <c r="GT15" s="230">
        <v>0</v>
      </c>
      <c r="GU15" s="230">
        <v>0</v>
      </c>
      <c r="GV15" s="230">
        <v>0</v>
      </c>
      <c r="GW15" s="230">
        <v>0</v>
      </c>
      <c r="GX15" s="230">
        <v>0</v>
      </c>
      <c r="GY15" s="230">
        <v>0</v>
      </c>
      <c r="GZ15" s="230">
        <v>0</v>
      </c>
      <c r="HA15" s="230">
        <v>0</v>
      </c>
      <c r="HB15" s="230">
        <v>0</v>
      </c>
      <c r="HC15" s="230">
        <v>0</v>
      </c>
      <c r="HD15" s="230">
        <v>0</v>
      </c>
      <c r="HE15" s="230">
        <v>0</v>
      </c>
      <c r="HF15" s="230">
        <v>0</v>
      </c>
      <c r="HG15" s="230">
        <v>0</v>
      </c>
      <c r="HH15" s="230">
        <v>0</v>
      </c>
      <c r="HI15" s="230">
        <v>0</v>
      </c>
      <c r="HJ15" s="230">
        <v>0</v>
      </c>
      <c r="HK15" s="230">
        <v>0</v>
      </c>
      <c r="HL15" s="230">
        <v>0</v>
      </c>
      <c r="HM15" s="230">
        <v>0</v>
      </c>
      <c r="HN15" s="230">
        <v>0</v>
      </c>
      <c r="HO15" s="230">
        <v>0</v>
      </c>
      <c r="HP15" s="230" t="s">
        <v>51</v>
      </c>
      <c r="HQ15" s="230">
        <v>27</v>
      </c>
      <c r="HR15" s="230">
        <v>0</v>
      </c>
      <c r="HS15" s="230">
        <v>0</v>
      </c>
      <c r="HT15" s="230">
        <v>0</v>
      </c>
      <c r="HU15" s="230">
        <v>0</v>
      </c>
      <c r="HV15" s="230">
        <v>0</v>
      </c>
      <c r="HW15" s="797">
        <v>27</v>
      </c>
      <c r="HX15" s="797">
        <v>0</v>
      </c>
      <c r="HY15" s="230">
        <v>68</v>
      </c>
      <c r="HZ15" s="230"/>
      <c r="IA15" s="230"/>
      <c r="IB15" s="230"/>
      <c r="IC15" s="232" t="s">
        <v>715</v>
      </c>
      <c r="ID15" s="233" t="s">
        <v>716</v>
      </c>
      <c r="IE15" s="467" t="s">
        <v>583</v>
      </c>
      <c r="IF15" s="232" t="s">
        <v>364</v>
      </c>
      <c r="IG15" s="467" t="s">
        <v>584</v>
      </c>
      <c r="IH15" s="467" t="s">
        <v>585</v>
      </c>
      <c r="II15" s="546" t="s">
        <v>584</v>
      </c>
      <c r="IJ15" s="467">
        <v>44462</v>
      </c>
      <c r="IK15" s="468">
        <v>3</v>
      </c>
      <c r="IL15" s="469" t="s">
        <v>1210</v>
      </c>
      <c r="IM15" s="469" t="s">
        <v>1195</v>
      </c>
      <c r="IN15" s="469" t="s">
        <v>1195</v>
      </c>
      <c r="IO15" s="469" t="s">
        <v>601</v>
      </c>
      <c r="IP15" s="469" t="s">
        <v>601</v>
      </c>
      <c r="IQ15" s="469" t="s">
        <v>601</v>
      </c>
      <c r="IR15" s="469">
        <v>1</v>
      </c>
      <c r="IS15" s="469">
        <v>2</v>
      </c>
      <c r="IT15" s="469" t="s">
        <v>675</v>
      </c>
      <c r="IU15" s="469" t="s">
        <v>675</v>
      </c>
    </row>
    <row r="16" ht="76.5">
      <c r="A16" s="322">
        <v>15</v>
      </c>
      <c r="B16" s="229" t="s">
        <v>1178</v>
      </c>
      <c r="C16" s="229" t="s">
        <v>1178</v>
      </c>
      <c r="D16" s="797" t="s">
        <v>725</v>
      </c>
      <c r="E16" s="229" t="s">
        <v>719</v>
      </c>
      <c r="F16" s="229" t="s">
        <v>26</v>
      </c>
      <c r="G16" s="797" t="s">
        <v>720</v>
      </c>
      <c r="H16" s="797" t="s">
        <v>721</v>
      </c>
      <c r="I16" s="229">
        <v>1</v>
      </c>
      <c r="J16" s="229" t="s">
        <v>722</v>
      </c>
      <c r="K16" s="231" t="s">
        <v>584</v>
      </c>
      <c r="L16" s="231" t="s">
        <v>1224</v>
      </c>
      <c r="M16" s="229" t="s">
        <v>576</v>
      </c>
      <c r="N16" s="229" t="s">
        <v>725</v>
      </c>
      <c r="O16" s="229" t="s">
        <v>587</v>
      </c>
      <c r="P16" s="229" t="s">
        <v>1208</v>
      </c>
      <c r="Q16" s="229" t="s">
        <v>597</v>
      </c>
      <c r="R16" s="229" t="s">
        <v>1193</v>
      </c>
      <c r="S16" s="229" t="s">
        <v>600</v>
      </c>
      <c r="T16" s="229" t="s">
        <v>726</v>
      </c>
      <c r="U16" s="229">
        <v>1</v>
      </c>
      <c r="V16" s="229"/>
      <c r="W16" s="229" t="b">
        <v>1</v>
      </c>
      <c r="X16" s="229" t="b">
        <v>1</v>
      </c>
      <c r="Y16" s="797">
        <v>1</v>
      </c>
      <c r="Z16" s="229" t="b">
        <v>1</v>
      </c>
      <c r="AA16" s="797">
        <v>39</v>
      </c>
      <c r="AB16" s="229" t="b">
        <v>0</v>
      </c>
      <c r="AC16" s="229" t="b">
        <v>1</v>
      </c>
      <c r="AD16" s="229">
        <v>0</v>
      </c>
      <c r="AE16" s="229"/>
      <c r="AF16" s="229" t="s">
        <v>50</v>
      </c>
      <c r="AG16" s="229">
        <v>0</v>
      </c>
      <c r="AH16" s="230"/>
      <c r="AI16" s="553" t="s">
        <v>576</v>
      </c>
      <c r="AJ16" s="553" t="s">
        <v>576</v>
      </c>
      <c r="AK16" s="229">
        <v>3</v>
      </c>
      <c r="AL16" s="465" t="s">
        <v>1188</v>
      </c>
      <c r="AM16" s="465" t="s">
        <v>1220</v>
      </c>
      <c r="AN16" s="465" t="s">
        <v>1222</v>
      </c>
      <c r="AO16" s="229" t="s">
        <v>25</v>
      </c>
      <c r="AP16" s="230" t="s">
        <v>576</v>
      </c>
      <c r="AQ16" s="230">
        <v>0</v>
      </c>
      <c r="AR16" s="230">
        <v>0</v>
      </c>
      <c r="AS16" s="230" t="s">
        <v>601</v>
      </c>
      <c r="AT16" s="230" t="s">
        <v>601</v>
      </c>
      <c r="AU16" s="230" t="s">
        <v>601</v>
      </c>
      <c r="AV16" s="230" t="s">
        <v>1178</v>
      </c>
      <c r="AW16" s="230" t="s">
        <v>601</v>
      </c>
      <c r="AX16" s="230" t="s">
        <v>601</v>
      </c>
      <c r="AY16" s="230" t="s">
        <v>601</v>
      </c>
      <c r="AZ16" s="230" t="s">
        <v>601</v>
      </c>
      <c r="BA16" s="230" t="s">
        <v>601</v>
      </c>
      <c r="BB16" s="230" t="s">
        <v>1178</v>
      </c>
      <c r="BC16" s="230" t="s">
        <v>725</v>
      </c>
      <c r="BD16" s="230">
        <v>0</v>
      </c>
      <c r="BE16" s="230">
        <v>0</v>
      </c>
      <c r="BF16" s="230" t="s">
        <v>601</v>
      </c>
      <c r="BG16" s="230" t="s">
        <v>601</v>
      </c>
      <c r="BH16" s="230" t="s">
        <v>601</v>
      </c>
      <c r="BI16" s="230" t="s">
        <v>587</v>
      </c>
      <c r="BJ16" s="230">
        <v>0</v>
      </c>
      <c r="BK16" s="230">
        <v>0</v>
      </c>
      <c r="BL16" s="230" t="s">
        <v>601</v>
      </c>
      <c r="BM16" s="230" t="s">
        <v>601</v>
      </c>
      <c r="BN16" s="230" t="s">
        <v>601</v>
      </c>
      <c r="BO16" s="553">
        <v>3</v>
      </c>
      <c r="BP16" s="553">
        <v>0</v>
      </c>
      <c r="BQ16" s="553">
        <v>0</v>
      </c>
      <c r="BR16" s="553">
        <v>0</v>
      </c>
      <c r="BS16" s="553">
        <v>0</v>
      </c>
      <c r="BT16" s="554">
        <v>0</v>
      </c>
      <c r="BU16" s="230" t="s">
        <v>597</v>
      </c>
      <c r="BV16" s="230" t="s">
        <v>601</v>
      </c>
      <c r="BW16" s="230" t="s">
        <v>601</v>
      </c>
      <c r="BX16" s="230" t="s">
        <v>601</v>
      </c>
      <c r="BY16" s="230" t="s">
        <v>601</v>
      </c>
      <c r="BZ16" s="230" t="s">
        <v>601</v>
      </c>
      <c r="CA16" s="230">
        <v>2</v>
      </c>
      <c r="CB16" s="230">
        <v>2</v>
      </c>
      <c r="CC16" s="230">
        <v>2</v>
      </c>
      <c r="CD16" s="230">
        <v>0</v>
      </c>
      <c r="CE16" s="230">
        <v>0</v>
      </c>
      <c r="CF16" s="230">
        <v>0</v>
      </c>
      <c r="CG16" s="230">
        <v>0</v>
      </c>
      <c r="CH16" s="230">
        <v>0</v>
      </c>
      <c r="CI16" s="230">
        <v>0</v>
      </c>
      <c r="CJ16" s="230">
        <v>0</v>
      </c>
      <c r="CK16" s="230">
        <v>0</v>
      </c>
      <c r="CL16" s="230">
        <v>0</v>
      </c>
      <c r="CM16" s="230">
        <v>0</v>
      </c>
      <c r="CN16" s="230">
        <v>0</v>
      </c>
      <c r="CO16" s="230">
        <v>0</v>
      </c>
      <c r="CP16" s="230">
        <v>0</v>
      </c>
      <c r="CQ16" s="230">
        <v>0</v>
      </c>
      <c r="CR16" s="230">
        <v>0</v>
      </c>
      <c r="CS16" s="230">
        <v>0</v>
      </c>
      <c r="CT16" s="230">
        <v>0</v>
      </c>
      <c r="CU16" s="230">
        <v>0</v>
      </c>
      <c r="CV16" s="230">
        <v>0</v>
      </c>
      <c r="CW16" s="230">
        <v>0</v>
      </c>
      <c r="CX16" s="230">
        <v>0</v>
      </c>
      <c r="CY16" s="230">
        <v>0</v>
      </c>
      <c r="CZ16" s="230">
        <v>0</v>
      </c>
      <c r="DA16" s="230">
        <v>0</v>
      </c>
      <c r="DB16" s="230">
        <v>0</v>
      </c>
      <c r="DC16" s="230">
        <v>0</v>
      </c>
      <c r="DD16" s="230">
        <v>0</v>
      </c>
      <c r="DE16" s="230">
        <v>0</v>
      </c>
      <c r="DF16" s="230">
        <v>0</v>
      </c>
      <c r="DG16" s="230">
        <v>0</v>
      </c>
      <c r="DH16" s="230">
        <v>0</v>
      </c>
      <c r="DI16" s="230">
        <v>0</v>
      </c>
      <c r="DJ16" s="230">
        <v>0</v>
      </c>
      <c r="DK16" s="230" t="s">
        <v>599</v>
      </c>
      <c r="DL16" s="230" t="s">
        <v>601</v>
      </c>
      <c r="DM16" s="230" t="s">
        <v>601</v>
      </c>
      <c r="DN16" s="230" t="s">
        <v>601</v>
      </c>
      <c r="DO16" s="230" t="s">
        <v>601</v>
      </c>
      <c r="DP16" s="230" t="s">
        <v>601</v>
      </c>
      <c r="DQ16" s="230" t="s">
        <v>1193</v>
      </c>
      <c r="DR16" s="230" t="s">
        <v>601</v>
      </c>
      <c r="DS16" s="230" t="s">
        <v>601</v>
      </c>
      <c r="DT16" s="230" t="s">
        <v>601</v>
      </c>
      <c r="DU16" s="230" t="s">
        <v>601</v>
      </c>
      <c r="DV16" s="230" t="s">
        <v>601</v>
      </c>
      <c r="DW16" s="230">
        <v>40</v>
      </c>
      <c r="DX16" s="230">
        <v>40</v>
      </c>
      <c r="DY16" s="230">
        <v>40</v>
      </c>
      <c r="DZ16" s="230">
        <v>0</v>
      </c>
      <c r="EA16" s="230">
        <v>0</v>
      </c>
      <c r="EB16" s="230">
        <v>0</v>
      </c>
      <c r="EC16" s="230">
        <v>40</v>
      </c>
      <c r="ED16" s="230">
        <v>0</v>
      </c>
      <c r="EE16" s="230">
        <v>0</v>
      </c>
      <c r="EF16" s="230">
        <v>0</v>
      </c>
      <c r="EG16" s="230">
        <v>0</v>
      </c>
      <c r="EH16" s="230">
        <v>0</v>
      </c>
      <c r="EI16" s="230">
        <v>0</v>
      </c>
      <c r="EJ16" s="230">
        <v>0</v>
      </c>
      <c r="EK16" s="230">
        <v>0</v>
      </c>
      <c r="EL16" s="230">
        <v>0</v>
      </c>
      <c r="EM16" s="230">
        <v>0</v>
      </c>
      <c r="EN16" s="230">
        <v>0</v>
      </c>
      <c r="EO16" s="230">
        <v>0</v>
      </c>
      <c r="EP16" s="230">
        <v>0</v>
      </c>
      <c r="EQ16" s="230">
        <v>0</v>
      </c>
      <c r="ER16" s="230">
        <v>0</v>
      </c>
      <c r="ES16" s="230">
        <v>0</v>
      </c>
      <c r="ET16" s="230">
        <v>0</v>
      </c>
      <c r="EU16" s="230">
        <v>0</v>
      </c>
      <c r="EV16" s="230">
        <v>0</v>
      </c>
      <c r="EW16" s="230">
        <v>0</v>
      </c>
      <c r="EX16" s="230">
        <v>0</v>
      </c>
      <c r="EY16" s="230">
        <v>0</v>
      </c>
      <c r="EZ16" s="230">
        <v>0</v>
      </c>
      <c r="FA16" s="230">
        <v>0</v>
      </c>
      <c r="FB16" s="230">
        <v>0</v>
      </c>
      <c r="FC16" s="230">
        <v>0</v>
      </c>
      <c r="FD16" s="230">
        <v>0</v>
      </c>
      <c r="FE16" s="230">
        <v>0</v>
      </c>
      <c r="FF16" s="230">
        <v>0</v>
      </c>
      <c r="FG16" s="230">
        <v>0</v>
      </c>
      <c r="FH16" s="230">
        <v>0</v>
      </c>
      <c r="FI16" s="230">
        <v>0</v>
      </c>
      <c r="FJ16" s="230">
        <v>0</v>
      </c>
      <c r="FK16" s="230">
        <v>0</v>
      </c>
      <c r="FL16" s="230">
        <v>0</v>
      </c>
      <c r="FM16" s="230">
        <v>40</v>
      </c>
      <c r="FN16" s="230">
        <v>2100</v>
      </c>
      <c r="FO16" s="230">
        <v>0</v>
      </c>
      <c r="FP16" s="230">
        <v>0</v>
      </c>
      <c r="FQ16" s="230" t="s">
        <v>601</v>
      </c>
      <c r="FR16" s="230" t="s">
        <v>601</v>
      </c>
      <c r="FS16" s="230" t="s">
        <v>601</v>
      </c>
      <c r="FT16" s="230" t="s">
        <v>726</v>
      </c>
      <c r="FU16" s="230">
        <v>0</v>
      </c>
      <c r="FV16" s="230">
        <v>0</v>
      </c>
      <c r="FW16" s="230" t="s">
        <v>601</v>
      </c>
      <c r="FX16" s="230" t="s">
        <v>601</v>
      </c>
      <c r="FY16" s="230" t="s">
        <v>601</v>
      </c>
      <c r="FZ16" s="230" t="s">
        <v>726</v>
      </c>
      <c r="GA16" s="230" t="s">
        <v>601</v>
      </c>
      <c r="GB16" s="230" t="s">
        <v>601</v>
      </c>
      <c r="GC16" s="230" t="s">
        <v>601</v>
      </c>
      <c r="GD16" s="230" t="s">
        <v>601</v>
      </c>
      <c r="GE16" s="230" t="s">
        <v>601</v>
      </c>
      <c r="GF16" s="230">
        <v>39</v>
      </c>
      <c r="GG16" s="230">
        <v>39</v>
      </c>
      <c r="GH16" s="230">
        <v>39</v>
      </c>
      <c r="GI16" s="230">
        <v>0</v>
      </c>
      <c r="GJ16" s="230">
        <v>0</v>
      </c>
      <c r="GK16" s="230">
        <v>0</v>
      </c>
      <c r="GL16" s="230">
        <v>0</v>
      </c>
      <c r="GM16" s="230">
        <v>0</v>
      </c>
      <c r="GN16" s="230">
        <v>0</v>
      </c>
      <c r="GO16" s="230">
        <v>0</v>
      </c>
      <c r="GP16" s="230">
        <v>0</v>
      </c>
      <c r="GQ16" s="230">
        <v>0</v>
      </c>
      <c r="GR16" s="230">
        <v>0</v>
      </c>
      <c r="GS16" s="230">
        <v>0</v>
      </c>
      <c r="GT16" s="230">
        <v>0</v>
      </c>
      <c r="GU16" s="230">
        <v>0</v>
      </c>
      <c r="GV16" s="230">
        <v>0</v>
      </c>
      <c r="GW16" s="230">
        <v>0</v>
      </c>
      <c r="GX16" s="230">
        <v>0</v>
      </c>
      <c r="GY16" s="230">
        <v>0</v>
      </c>
      <c r="GZ16" s="230">
        <v>0</v>
      </c>
      <c r="HA16" s="230">
        <v>0</v>
      </c>
      <c r="HB16" s="230">
        <v>0</v>
      </c>
      <c r="HC16" s="230">
        <v>0</v>
      </c>
      <c r="HD16" s="230">
        <v>0</v>
      </c>
      <c r="HE16" s="230">
        <v>0</v>
      </c>
      <c r="HF16" s="230">
        <v>0</v>
      </c>
      <c r="HG16" s="230">
        <v>0</v>
      </c>
      <c r="HH16" s="230">
        <v>0</v>
      </c>
      <c r="HI16" s="230">
        <v>0</v>
      </c>
      <c r="HJ16" s="230">
        <v>0</v>
      </c>
      <c r="HK16" s="230">
        <v>0</v>
      </c>
      <c r="HL16" s="230">
        <v>0</v>
      </c>
      <c r="HM16" s="230">
        <v>0</v>
      </c>
      <c r="HN16" s="230">
        <v>0</v>
      </c>
      <c r="HO16" s="230">
        <v>0</v>
      </c>
      <c r="HP16" s="230" t="s">
        <v>51</v>
      </c>
      <c r="HQ16" s="230">
        <v>39</v>
      </c>
      <c r="HR16" s="230">
        <v>0</v>
      </c>
      <c r="HS16" s="230">
        <v>0</v>
      </c>
      <c r="HT16" s="230">
        <v>0</v>
      </c>
      <c r="HU16" s="230">
        <v>0</v>
      </c>
      <c r="HV16" s="230">
        <v>0</v>
      </c>
      <c r="HW16" s="797">
        <v>39</v>
      </c>
      <c r="HX16" s="797">
        <v>0</v>
      </c>
      <c r="HY16" s="230">
        <v>68</v>
      </c>
      <c r="HZ16" s="230"/>
      <c r="IA16" s="230"/>
      <c r="IB16" s="230"/>
      <c r="IC16" s="232" t="s">
        <v>723</v>
      </c>
      <c r="ID16" s="233" t="s">
        <v>724</v>
      </c>
      <c r="IE16" s="467" t="s">
        <v>583</v>
      </c>
      <c r="IF16" s="232" t="s">
        <v>364</v>
      </c>
      <c r="IG16" s="467" t="s">
        <v>584</v>
      </c>
      <c r="IH16" s="467" t="s">
        <v>585</v>
      </c>
      <c r="II16" s="546" t="s">
        <v>584</v>
      </c>
      <c r="IJ16" s="467">
        <v>44462</v>
      </c>
      <c r="IK16" s="468">
        <v>3</v>
      </c>
      <c r="IL16" s="469" t="s">
        <v>1210</v>
      </c>
      <c r="IM16" s="469" t="s">
        <v>1195</v>
      </c>
      <c r="IN16" s="469" t="s">
        <v>1195</v>
      </c>
      <c r="IO16" s="469" t="s">
        <v>601</v>
      </c>
      <c r="IP16" s="469" t="s">
        <v>601</v>
      </c>
      <c r="IQ16" s="469" t="s">
        <v>601</v>
      </c>
      <c r="IR16" s="469">
        <v>1</v>
      </c>
      <c r="IS16" s="469">
        <v>2</v>
      </c>
      <c r="IT16" s="469" t="s">
        <v>675</v>
      </c>
      <c r="IU16" s="469" t="s">
        <v>675</v>
      </c>
    </row>
    <row r="17" ht="76.5">
      <c r="A17" s="322">
        <v>16</v>
      </c>
      <c r="B17" s="229" t="s">
        <v>1178</v>
      </c>
      <c r="C17" s="229" t="s">
        <v>1178</v>
      </c>
      <c r="D17" s="797" t="s">
        <v>734</v>
      </c>
      <c r="E17" s="229" t="s">
        <v>728</v>
      </c>
      <c r="F17" s="229" t="s">
        <v>26</v>
      </c>
      <c r="G17" s="797" t="s">
        <v>729</v>
      </c>
      <c r="H17" s="797" t="s">
        <v>730</v>
      </c>
      <c r="I17" s="229">
        <v>1</v>
      </c>
      <c r="J17" s="229" t="s">
        <v>731</v>
      </c>
      <c r="K17" s="231" t="s">
        <v>584</v>
      </c>
      <c r="L17" s="231" t="s">
        <v>1228</v>
      </c>
      <c r="M17" s="229" t="s">
        <v>576</v>
      </c>
      <c r="N17" s="229" t="s">
        <v>734</v>
      </c>
      <c r="O17" s="229" t="s">
        <v>587</v>
      </c>
      <c r="P17" s="229" t="s">
        <v>1208</v>
      </c>
      <c r="Q17" s="229" t="s">
        <v>597</v>
      </c>
      <c r="R17" s="229" t="s">
        <v>1193</v>
      </c>
      <c r="S17" s="229" t="s">
        <v>600</v>
      </c>
      <c r="T17" s="229" t="s">
        <v>649</v>
      </c>
      <c r="U17" s="229">
        <v>1</v>
      </c>
      <c r="V17" s="229"/>
      <c r="W17" s="229" t="b">
        <v>1</v>
      </c>
      <c r="X17" s="229" t="b">
        <v>1</v>
      </c>
      <c r="Y17" s="797">
        <v>1</v>
      </c>
      <c r="Z17" s="229" t="b">
        <v>1</v>
      </c>
      <c r="AA17" s="797">
        <v>34</v>
      </c>
      <c r="AB17" s="229" t="b">
        <v>0</v>
      </c>
      <c r="AC17" s="229" t="b">
        <v>1</v>
      </c>
      <c r="AD17" s="229">
        <v>0</v>
      </c>
      <c r="AE17" s="229"/>
      <c r="AF17" s="229" t="s">
        <v>50</v>
      </c>
      <c r="AG17" s="229">
        <v>0</v>
      </c>
      <c r="AH17" s="230"/>
      <c r="AI17" s="553" t="s">
        <v>576</v>
      </c>
      <c r="AJ17" s="553" t="s">
        <v>576</v>
      </c>
      <c r="AK17" s="229">
        <v>3</v>
      </c>
      <c r="AL17" s="465" t="s">
        <v>1188</v>
      </c>
      <c r="AM17" s="465" t="s">
        <v>1220</v>
      </c>
      <c r="AN17" s="465" t="s">
        <v>1222</v>
      </c>
      <c r="AO17" s="229" t="s">
        <v>25</v>
      </c>
      <c r="AP17" s="230" t="s">
        <v>576</v>
      </c>
      <c r="AQ17" s="230">
        <v>0</v>
      </c>
      <c r="AR17" s="230">
        <v>0</v>
      </c>
      <c r="AS17" s="230" t="s">
        <v>601</v>
      </c>
      <c r="AT17" s="230" t="s">
        <v>601</v>
      </c>
      <c r="AU17" s="230" t="s">
        <v>601</v>
      </c>
      <c r="AV17" s="230" t="s">
        <v>1178</v>
      </c>
      <c r="AW17" s="230" t="s">
        <v>601</v>
      </c>
      <c r="AX17" s="230" t="s">
        <v>601</v>
      </c>
      <c r="AY17" s="230" t="s">
        <v>601</v>
      </c>
      <c r="AZ17" s="230" t="s">
        <v>601</v>
      </c>
      <c r="BA17" s="230" t="s">
        <v>601</v>
      </c>
      <c r="BB17" s="230" t="s">
        <v>1178</v>
      </c>
      <c r="BC17" s="230" t="s">
        <v>734</v>
      </c>
      <c r="BD17" s="230">
        <v>0</v>
      </c>
      <c r="BE17" s="230">
        <v>0</v>
      </c>
      <c r="BF17" s="230" t="s">
        <v>601</v>
      </c>
      <c r="BG17" s="230" t="s">
        <v>601</v>
      </c>
      <c r="BH17" s="230" t="s">
        <v>601</v>
      </c>
      <c r="BI17" s="230" t="s">
        <v>587</v>
      </c>
      <c r="BJ17" s="230">
        <v>0</v>
      </c>
      <c r="BK17" s="230">
        <v>0</v>
      </c>
      <c r="BL17" s="230" t="s">
        <v>601</v>
      </c>
      <c r="BM17" s="230" t="s">
        <v>601</v>
      </c>
      <c r="BN17" s="230" t="s">
        <v>601</v>
      </c>
      <c r="BO17" s="553">
        <v>3</v>
      </c>
      <c r="BP17" s="553">
        <v>0</v>
      </c>
      <c r="BQ17" s="553">
        <v>0</v>
      </c>
      <c r="BR17" s="553">
        <v>0</v>
      </c>
      <c r="BS17" s="553">
        <v>0</v>
      </c>
      <c r="BT17" s="554">
        <v>0</v>
      </c>
      <c r="BU17" s="230" t="s">
        <v>597</v>
      </c>
      <c r="BV17" s="230" t="s">
        <v>601</v>
      </c>
      <c r="BW17" s="230" t="s">
        <v>601</v>
      </c>
      <c r="BX17" s="230" t="s">
        <v>601</v>
      </c>
      <c r="BY17" s="230" t="s">
        <v>601</v>
      </c>
      <c r="BZ17" s="230" t="s">
        <v>601</v>
      </c>
      <c r="CA17" s="230">
        <v>2</v>
      </c>
      <c r="CB17" s="230">
        <v>2</v>
      </c>
      <c r="CC17" s="230">
        <v>2</v>
      </c>
      <c r="CD17" s="230">
        <v>0</v>
      </c>
      <c r="CE17" s="230">
        <v>0</v>
      </c>
      <c r="CF17" s="230">
        <v>0</v>
      </c>
      <c r="CG17" s="230">
        <v>0</v>
      </c>
      <c r="CH17" s="230">
        <v>0</v>
      </c>
      <c r="CI17" s="230">
        <v>0</v>
      </c>
      <c r="CJ17" s="230">
        <v>0</v>
      </c>
      <c r="CK17" s="230">
        <v>0</v>
      </c>
      <c r="CL17" s="230">
        <v>0</v>
      </c>
      <c r="CM17" s="230">
        <v>0</v>
      </c>
      <c r="CN17" s="230">
        <v>0</v>
      </c>
      <c r="CO17" s="230">
        <v>0</v>
      </c>
      <c r="CP17" s="230">
        <v>0</v>
      </c>
      <c r="CQ17" s="230">
        <v>0</v>
      </c>
      <c r="CR17" s="230">
        <v>0</v>
      </c>
      <c r="CS17" s="230">
        <v>0</v>
      </c>
      <c r="CT17" s="230">
        <v>0</v>
      </c>
      <c r="CU17" s="230">
        <v>0</v>
      </c>
      <c r="CV17" s="230">
        <v>0</v>
      </c>
      <c r="CW17" s="230">
        <v>0</v>
      </c>
      <c r="CX17" s="230">
        <v>0</v>
      </c>
      <c r="CY17" s="230">
        <v>0</v>
      </c>
      <c r="CZ17" s="230">
        <v>0</v>
      </c>
      <c r="DA17" s="230">
        <v>0</v>
      </c>
      <c r="DB17" s="230">
        <v>0</v>
      </c>
      <c r="DC17" s="230">
        <v>0</v>
      </c>
      <c r="DD17" s="230">
        <v>0</v>
      </c>
      <c r="DE17" s="230">
        <v>0</v>
      </c>
      <c r="DF17" s="230">
        <v>0</v>
      </c>
      <c r="DG17" s="230">
        <v>0</v>
      </c>
      <c r="DH17" s="230">
        <v>0</v>
      </c>
      <c r="DI17" s="230">
        <v>0</v>
      </c>
      <c r="DJ17" s="230">
        <v>0</v>
      </c>
      <c r="DK17" s="230" t="s">
        <v>599</v>
      </c>
      <c r="DL17" s="230" t="s">
        <v>601</v>
      </c>
      <c r="DM17" s="230" t="s">
        <v>601</v>
      </c>
      <c r="DN17" s="230" t="s">
        <v>601</v>
      </c>
      <c r="DO17" s="230" t="s">
        <v>601</v>
      </c>
      <c r="DP17" s="230" t="s">
        <v>601</v>
      </c>
      <c r="DQ17" s="230" t="s">
        <v>1193</v>
      </c>
      <c r="DR17" s="230" t="s">
        <v>601</v>
      </c>
      <c r="DS17" s="230" t="s">
        <v>601</v>
      </c>
      <c r="DT17" s="230" t="s">
        <v>601</v>
      </c>
      <c r="DU17" s="230" t="s">
        <v>601</v>
      </c>
      <c r="DV17" s="230" t="s">
        <v>601</v>
      </c>
      <c r="DW17" s="230">
        <v>40</v>
      </c>
      <c r="DX17" s="230">
        <v>40</v>
      </c>
      <c r="DY17" s="230">
        <v>40</v>
      </c>
      <c r="DZ17" s="230">
        <v>0</v>
      </c>
      <c r="EA17" s="230">
        <v>0</v>
      </c>
      <c r="EB17" s="230">
        <v>0</v>
      </c>
      <c r="EC17" s="230">
        <v>40</v>
      </c>
      <c r="ED17" s="230">
        <v>0</v>
      </c>
      <c r="EE17" s="230">
        <v>0</v>
      </c>
      <c r="EF17" s="230">
        <v>0</v>
      </c>
      <c r="EG17" s="230">
        <v>0</v>
      </c>
      <c r="EH17" s="230">
        <v>0</v>
      </c>
      <c r="EI17" s="230">
        <v>0</v>
      </c>
      <c r="EJ17" s="230">
        <v>0</v>
      </c>
      <c r="EK17" s="230">
        <v>0</v>
      </c>
      <c r="EL17" s="230">
        <v>0</v>
      </c>
      <c r="EM17" s="230">
        <v>0</v>
      </c>
      <c r="EN17" s="230">
        <v>0</v>
      </c>
      <c r="EO17" s="230">
        <v>0</v>
      </c>
      <c r="EP17" s="230">
        <v>0</v>
      </c>
      <c r="EQ17" s="230">
        <v>0</v>
      </c>
      <c r="ER17" s="230">
        <v>0</v>
      </c>
      <c r="ES17" s="230">
        <v>0</v>
      </c>
      <c r="ET17" s="230">
        <v>0</v>
      </c>
      <c r="EU17" s="230">
        <v>0</v>
      </c>
      <c r="EV17" s="230">
        <v>0</v>
      </c>
      <c r="EW17" s="230">
        <v>0</v>
      </c>
      <c r="EX17" s="230">
        <v>0</v>
      </c>
      <c r="EY17" s="230">
        <v>0</v>
      </c>
      <c r="EZ17" s="230">
        <v>0</v>
      </c>
      <c r="FA17" s="230">
        <v>0</v>
      </c>
      <c r="FB17" s="230">
        <v>0</v>
      </c>
      <c r="FC17" s="230">
        <v>0</v>
      </c>
      <c r="FD17" s="230">
        <v>0</v>
      </c>
      <c r="FE17" s="230">
        <v>0</v>
      </c>
      <c r="FF17" s="230">
        <v>0</v>
      </c>
      <c r="FG17" s="230">
        <v>0</v>
      </c>
      <c r="FH17" s="230">
        <v>0</v>
      </c>
      <c r="FI17" s="230">
        <v>0</v>
      </c>
      <c r="FJ17" s="230">
        <v>0</v>
      </c>
      <c r="FK17" s="230">
        <v>0</v>
      </c>
      <c r="FL17" s="230">
        <v>0</v>
      </c>
      <c r="FM17" s="230">
        <v>40</v>
      </c>
      <c r="FN17" s="230">
        <v>2100</v>
      </c>
      <c r="FO17" s="230">
        <v>0</v>
      </c>
      <c r="FP17" s="230">
        <v>0</v>
      </c>
      <c r="FQ17" s="230" t="s">
        <v>601</v>
      </c>
      <c r="FR17" s="230" t="s">
        <v>601</v>
      </c>
      <c r="FS17" s="230" t="s">
        <v>601</v>
      </c>
      <c r="FT17" s="230" t="s">
        <v>649</v>
      </c>
      <c r="FU17" s="230">
        <v>0</v>
      </c>
      <c r="FV17" s="230">
        <v>0</v>
      </c>
      <c r="FW17" s="230" t="s">
        <v>601</v>
      </c>
      <c r="FX17" s="230" t="s">
        <v>601</v>
      </c>
      <c r="FY17" s="230" t="s">
        <v>601</v>
      </c>
      <c r="FZ17" s="230" t="s">
        <v>649</v>
      </c>
      <c r="GA17" s="230" t="s">
        <v>601</v>
      </c>
      <c r="GB17" s="230" t="s">
        <v>601</v>
      </c>
      <c r="GC17" s="230" t="s">
        <v>601</v>
      </c>
      <c r="GD17" s="230" t="s">
        <v>601</v>
      </c>
      <c r="GE17" s="230" t="s">
        <v>601</v>
      </c>
      <c r="GF17" s="230">
        <v>34</v>
      </c>
      <c r="GG17" s="230">
        <v>34</v>
      </c>
      <c r="GH17" s="230">
        <v>34</v>
      </c>
      <c r="GI17" s="230">
        <v>0</v>
      </c>
      <c r="GJ17" s="230">
        <v>0</v>
      </c>
      <c r="GK17" s="230">
        <v>0</v>
      </c>
      <c r="GL17" s="230">
        <v>0</v>
      </c>
      <c r="GM17" s="230">
        <v>0</v>
      </c>
      <c r="GN17" s="230">
        <v>0</v>
      </c>
      <c r="GO17" s="230">
        <v>0</v>
      </c>
      <c r="GP17" s="230">
        <v>0</v>
      </c>
      <c r="GQ17" s="230">
        <v>0</v>
      </c>
      <c r="GR17" s="230">
        <v>0</v>
      </c>
      <c r="GS17" s="230">
        <v>0</v>
      </c>
      <c r="GT17" s="230">
        <v>0</v>
      </c>
      <c r="GU17" s="230">
        <v>0</v>
      </c>
      <c r="GV17" s="230">
        <v>0</v>
      </c>
      <c r="GW17" s="230">
        <v>0</v>
      </c>
      <c r="GX17" s="230">
        <v>0</v>
      </c>
      <c r="GY17" s="230">
        <v>0</v>
      </c>
      <c r="GZ17" s="230">
        <v>0</v>
      </c>
      <c r="HA17" s="230">
        <v>0</v>
      </c>
      <c r="HB17" s="230">
        <v>0</v>
      </c>
      <c r="HC17" s="230">
        <v>0</v>
      </c>
      <c r="HD17" s="230">
        <v>0</v>
      </c>
      <c r="HE17" s="230">
        <v>0</v>
      </c>
      <c r="HF17" s="230">
        <v>0</v>
      </c>
      <c r="HG17" s="230">
        <v>0</v>
      </c>
      <c r="HH17" s="230">
        <v>0</v>
      </c>
      <c r="HI17" s="230">
        <v>0</v>
      </c>
      <c r="HJ17" s="230">
        <v>0</v>
      </c>
      <c r="HK17" s="230">
        <v>0</v>
      </c>
      <c r="HL17" s="230">
        <v>0</v>
      </c>
      <c r="HM17" s="230">
        <v>0</v>
      </c>
      <c r="HN17" s="230">
        <v>0</v>
      </c>
      <c r="HO17" s="230">
        <v>0</v>
      </c>
      <c r="HP17" s="230" t="s">
        <v>51</v>
      </c>
      <c r="HQ17" s="230">
        <v>34</v>
      </c>
      <c r="HR17" s="230">
        <v>0</v>
      </c>
      <c r="HS17" s="230">
        <v>0</v>
      </c>
      <c r="HT17" s="230">
        <v>0</v>
      </c>
      <c r="HU17" s="230">
        <v>0</v>
      </c>
      <c r="HV17" s="230">
        <v>0</v>
      </c>
      <c r="HW17" s="797">
        <v>34</v>
      </c>
      <c r="HX17" s="797">
        <v>0</v>
      </c>
      <c r="HY17" s="230">
        <v>68</v>
      </c>
      <c r="HZ17" s="230"/>
      <c r="IA17" s="230"/>
      <c r="IB17" s="230"/>
      <c r="IC17" s="232" t="s">
        <v>732</v>
      </c>
      <c r="ID17" s="233" t="s">
        <v>733</v>
      </c>
      <c r="IE17" s="467" t="s">
        <v>583</v>
      </c>
      <c r="IF17" s="232" t="s">
        <v>364</v>
      </c>
      <c r="IG17" s="467" t="s">
        <v>584</v>
      </c>
      <c r="IH17" s="467" t="s">
        <v>585</v>
      </c>
      <c r="II17" s="546" t="s">
        <v>584</v>
      </c>
      <c r="IJ17" s="467">
        <v>44462</v>
      </c>
      <c r="IK17" s="468">
        <v>3</v>
      </c>
      <c r="IL17" s="469" t="s">
        <v>1210</v>
      </c>
      <c r="IM17" s="469" t="s">
        <v>1195</v>
      </c>
      <c r="IN17" s="469" t="s">
        <v>1195</v>
      </c>
      <c r="IO17" s="469" t="s">
        <v>601</v>
      </c>
      <c r="IP17" s="469" t="s">
        <v>601</v>
      </c>
      <c r="IQ17" s="469" t="s">
        <v>601</v>
      </c>
      <c r="IR17" s="469">
        <v>1</v>
      </c>
      <c r="IS17" s="469">
        <v>2</v>
      </c>
      <c r="IT17" s="469" t="s">
        <v>675</v>
      </c>
      <c r="IU17" s="469" t="s">
        <v>675</v>
      </c>
    </row>
    <row r="18" ht="76.5">
      <c r="A18" s="322">
        <v>17</v>
      </c>
      <c r="B18" s="229" t="s">
        <v>1178</v>
      </c>
      <c r="C18" s="229" t="s">
        <v>1178</v>
      </c>
      <c r="D18" s="797" t="s">
        <v>742</v>
      </c>
      <c r="E18" s="229" t="s">
        <v>736</v>
      </c>
      <c r="F18" s="229" t="s">
        <v>26</v>
      </c>
      <c r="G18" s="797" t="s">
        <v>737</v>
      </c>
      <c r="H18" s="797" t="s">
        <v>738</v>
      </c>
      <c r="I18" s="229">
        <v>1</v>
      </c>
      <c r="J18" s="229" t="s">
        <v>739</v>
      </c>
      <c r="K18" s="231" t="s">
        <v>584</v>
      </c>
      <c r="L18" s="231" t="s">
        <v>1228</v>
      </c>
      <c r="M18" s="229" t="s">
        <v>576</v>
      </c>
      <c r="N18" s="229" t="s">
        <v>742</v>
      </c>
      <c r="O18" s="229" t="s">
        <v>587</v>
      </c>
      <c r="P18" s="229" t="s">
        <v>1208</v>
      </c>
      <c r="Q18" s="229" t="s">
        <v>597</v>
      </c>
      <c r="R18" s="229" t="s">
        <v>1193</v>
      </c>
      <c r="S18" s="229" t="s">
        <v>600</v>
      </c>
      <c r="T18" s="229" t="s">
        <v>593</v>
      </c>
      <c r="U18" s="229">
        <v>1</v>
      </c>
      <c r="V18" s="229"/>
      <c r="W18" s="229" t="b">
        <v>0</v>
      </c>
      <c r="X18" s="229" t="b">
        <v>0</v>
      </c>
      <c r="Y18" s="797">
        <v>0</v>
      </c>
      <c r="Z18" s="229" t="b">
        <v>1</v>
      </c>
      <c r="AA18" s="797">
        <v>27</v>
      </c>
      <c r="AB18" s="229" t="b">
        <v>0</v>
      </c>
      <c r="AC18" s="229" t="b">
        <v>1</v>
      </c>
      <c r="AD18" s="229">
        <v>0</v>
      </c>
      <c r="AE18" s="229"/>
      <c r="AF18" s="229" t="s">
        <v>50</v>
      </c>
      <c r="AG18" s="229">
        <v>0</v>
      </c>
      <c r="AH18" s="230"/>
      <c r="AI18" s="553" t="s">
        <v>576</v>
      </c>
      <c r="AJ18" s="553" t="s">
        <v>576</v>
      </c>
      <c r="AK18" s="229">
        <v>4</v>
      </c>
      <c r="AL18" s="465" t="s">
        <v>1188</v>
      </c>
      <c r="AM18" s="465" t="s">
        <v>1220</v>
      </c>
      <c r="AN18" s="465" t="s">
        <v>1229</v>
      </c>
      <c r="AO18" s="229" t="s">
        <v>25</v>
      </c>
      <c r="AP18" s="230" t="s">
        <v>576</v>
      </c>
      <c r="AQ18" s="230">
        <v>0</v>
      </c>
      <c r="AR18" s="230">
        <v>0</v>
      </c>
      <c r="AS18" s="230" t="s">
        <v>601</v>
      </c>
      <c r="AT18" s="230" t="s">
        <v>601</v>
      </c>
      <c r="AU18" s="230" t="s">
        <v>601</v>
      </c>
      <c r="AV18" s="230" t="s">
        <v>1178</v>
      </c>
      <c r="AW18" s="230" t="s">
        <v>601</v>
      </c>
      <c r="AX18" s="230" t="s">
        <v>601</v>
      </c>
      <c r="AY18" s="230" t="s">
        <v>601</v>
      </c>
      <c r="AZ18" s="230" t="s">
        <v>601</v>
      </c>
      <c r="BA18" s="230" t="s">
        <v>601</v>
      </c>
      <c r="BB18" s="230" t="s">
        <v>1178</v>
      </c>
      <c r="BC18" s="230" t="s">
        <v>742</v>
      </c>
      <c r="BD18" s="230">
        <v>0</v>
      </c>
      <c r="BE18" s="230">
        <v>0</v>
      </c>
      <c r="BF18" s="230" t="s">
        <v>601</v>
      </c>
      <c r="BG18" s="230" t="s">
        <v>601</v>
      </c>
      <c r="BH18" s="230" t="s">
        <v>601</v>
      </c>
      <c r="BI18" s="230" t="s">
        <v>587</v>
      </c>
      <c r="BJ18" s="230">
        <v>0</v>
      </c>
      <c r="BK18" s="230">
        <v>0</v>
      </c>
      <c r="BL18" s="230" t="s">
        <v>601</v>
      </c>
      <c r="BM18" s="230" t="s">
        <v>601</v>
      </c>
      <c r="BN18" s="230" t="s">
        <v>601</v>
      </c>
      <c r="BO18" s="553">
        <v>3</v>
      </c>
      <c r="BP18" s="553">
        <v>0</v>
      </c>
      <c r="BQ18" s="553">
        <v>0</v>
      </c>
      <c r="BR18" s="553">
        <v>0</v>
      </c>
      <c r="BS18" s="553">
        <v>0</v>
      </c>
      <c r="BT18" s="554">
        <v>0</v>
      </c>
      <c r="BU18" s="230" t="s">
        <v>597</v>
      </c>
      <c r="BV18" s="230" t="s">
        <v>601</v>
      </c>
      <c r="BW18" s="230" t="s">
        <v>601</v>
      </c>
      <c r="BX18" s="230" t="s">
        <v>601</v>
      </c>
      <c r="BY18" s="230" t="s">
        <v>601</v>
      </c>
      <c r="BZ18" s="230" t="s">
        <v>601</v>
      </c>
      <c r="CA18" s="230">
        <v>2</v>
      </c>
      <c r="CB18" s="230">
        <v>2</v>
      </c>
      <c r="CC18" s="230">
        <v>2</v>
      </c>
      <c r="CD18" s="230">
        <v>0</v>
      </c>
      <c r="CE18" s="230">
        <v>0</v>
      </c>
      <c r="CF18" s="230">
        <v>0</v>
      </c>
      <c r="CG18" s="230">
        <v>0</v>
      </c>
      <c r="CH18" s="230">
        <v>0</v>
      </c>
      <c r="CI18" s="230">
        <v>0</v>
      </c>
      <c r="CJ18" s="230">
        <v>0</v>
      </c>
      <c r="CK18" s="230">
        <v>0</v>
      </c>
      <c r="CL18" s="230">
        <v>0</v>
      </c>
      <c r="CM18" s="230">
        <v>0</v>
      </c>
      <c r="CN18" s="230">
        <v>0</v>
      </c>
      <c r="CO18" s="230">
        <v>0</v>
      </c>
      <c r="CP18" s="230">
        <v>0</v>
      </c>
      <c r="CQ18" s="230">
        <v>0</v>
      </c>
      <c r="CR18" s="230">
        <v>0</v>
      </c>
      <c r="CS18" s="230">
        <v>0</v>
      </c>
      <c r="CT18" s="230">
        <v>0</v>
      </c>
      <c r="CU18" s="230">
        <v>0</v>
      </c>
      <c r="CV18" s="230">
        <v>0</v>
      </c>
      <c r="CW18" s="230">
        <v>0</v>
      </c>
      <c r="CX18" s="230">
        <v>0</v>
      </c>
      <c r="CY18" s="230">
        <v>0</v>
      </c>
      <c r="CZ18" s="230">
        <v>0</v>
      </c>
      <c r="DA18" s="230">
        <v>0</v>
      </c>
      <c r="DB18" s="230">
        <v>0</v>
      </c>
      <c r="DC18" s="230">
        <v>0</v>
      </c>
      <c r="DD18" s="230">
        <v>0</v>
      </c>
      <c r="DE18" s="230">
        <v>0</v>
      </c>
      <c r="DF18" s="230">
        <v>0</v>
      </c>
      <c r="DG18" s="230">
        <v>0</v>
      </c>
      <c r="DH18" s="230">
        <v>0</v>
      </c>
      <c r="DI18" s="230">
        <v>0</v>
      </c>
      <c r="DJ18" s="230">
        <v>0</v>
      </c>
      <c r="DK18" s="230" t="s">
        <v>599</v>
      </c>
      <c r="DL18" s="230" t="s">
        <v>601</v>
      </c>
      <c r="DM18" s="230" t="s">
        <v>601</v>
      </c>
      <c r="DN18" s="230" t="s">
        <v>601</v>
      </c>
      <c r="DO18" s="230" t="s">
        <v>601</v>
      </c>
      <c r="DP18" s="230" t="s">
        <v>601</v>
      </c>
      <c r="DQ18" s="230" t="s">
        <v>1193</v>
      </c>
      <c r="DR18" s="230" t="s">
        <v>601</v>
      </c>
      <c r="DS18" s="230" t="s">
        <v>601</v>
      </c>
      <c r="DT18" s="230" t="s">
        <v>601</v>
      </c>
      <c r="DU18" s="230" t="s">
        <v>601</v>
      </c>
      <c r="DV18" s="230" t="s">
        <v>601</v>
      </c>
      <c r="DW18" s="230">
        <v>40</v>
      </c>
      <c r="DX18" s="230">
        <v>40</v>
      </c>
      <c r="DY18" s="230">
        <v>40</v>
      </c>
      <c r="DZ18" s="230">
        <v>0</v>
      </c>
      <c r="EA18" s="230">
        <v>0</v>
      </c>
      <c r="EB18" s="230">
        <v>0</v>
      </c>
      <c r="EC18" s="230">
        <v>40</v>
      </c>
      <c r="ED18" s="230">
        <v>0</v>
      </c>
      <c r="EE18" s="230">
        <v>0</v>
      </c>
      <c r="EF18" s="230">
        <v>0</v>
      </c>
      <c r="EG18" s="230">
        <v>0</v>
      </c>
      <c r="EH18" s="230">
        <v>0</v>
      </c>
      <c r="EI18" s="230">
        <v>0</v>
      </c>
      <c r="EJ18" s="230">
        <v>0</v>
      </c>
      <c r="EK18" s="230">
        <v>0</v>
      </c>
      <c r="EL18" s="230">
        <v>0</v>
      </c>
      <c r="EM18" s="230">
        <v>0</v>
      </c>
      <c r="EN18" s="230">
        <v>0</v>
      </c>
      <c r="EO18" s="230">
        <v>0</v>
      </c>
      <c r="EP18" s="230">
        <v>0</v>
      </c>
      <c r="EQ18" s="230">
        <v>0</v>
      </c>
      <c r="ER18" s="230">
        <v>0</v>
      </c>
      <c r="ES18" s="230">
        <v>0</v>
      </c>
      <c r="ET18" s="230">
        <v>0</v>
      </c>
      <c r="EU18" s="230">
        <v>0</v>
      </c>
      <c r="EV18" s="230">
        <v>0</v>
      </c>
      <c r="EW18" s="230">
        <v>0</v>
      </c>
      <c r="EX18" s="230">
        <v>0</v>
      </c>
      <c r="EY18" s="230">
        <v>0</v>
      </c>
      <c r="EZ18" s="230">
        <v>0</v>
      </c>
      <c r="FA18" s="230">
        <v>0</v>
      </c>
      <c r="FB18" s="230">
        <v>0</v>
      </c>
      <c r="FC18" s="230">
        <v>0</v>
      </c>
      <c r="FD18" s="230">
        <v>0</v>
      </c>
      <c r="FE18" s="230">
        <v>0</v>
      </c>
      <c r="FF18" s="230">
        <v>0</v>
      </c>
      <c r="FG18" s="230">
        <v>0</v>
      </c>
      <c r="FH18" s="230">
        <v>0</v>
      </c>
      <c r="FI18" s="230">
        <v>0</v>
      </c>
      <c r="FJ18" s="230">
        <v>0</v>
      </c>
      <c r="FK18" s="230">
        <v>0</v>
      </c>
      <c r="FL18" s="230">
        <v>0</v>
      </c>
      <c r="FM18" s="230">
        <v>40</v>
      </c>
      <c r="FN18" s="230">
        <v>2100</v>
      </c>
      <c r="FO18" s="230">
        <v>0</v>
      </c>
      <c r="FP18" s="230">
        <v>0</v>
      </c>
      <c r="FQ18" s="230" t="s">
        <v>601</v>
      </c>
      <c r="FR18" s="230" t="s">
        <v>601</v>
      </c>
      <c r="FS18" s="230" t="s">
        <v>601</v>
      </c>
      <c r="FT18" s="230" t="s">
        <v>593</v>
      </c>
      <c r="FU18" s="230">
        <v>0</v>
      </c>
      <c r="FV18" s="230">
        <v>0</v>
      </c>
      <c r="FW18" s="230" t="s">
        <v>601</v>
      </c>
      <c r="FX18" s="230" t="s">
        <v>601</v>
      </c>
      <c r="FY18" s="230" t="s">
        <v>601</v>
      </c>
      <c r="FZ18" s="230" t="s">
        <v>593</v>
      </c>
      <c r="GA18" s="230" t="s">
        <v>601</v>
      </c>
      <c r="GB18" s="230" t="s">
        <v>601</v>
      </c>
      <c r="GC18" s="230" t="s">
        <v>601</v>
      </c>
      <c r="GD18" s="230" t="s">
        <v>601</v>
      </c>
      <c r="GE18" s="230" t="s">
        <v>601</v>
      </c>
      <c r="GF18" s="230">
        <v>27</v>
      </c>
      <c r="GG18" s="230">
        <v>27</v>
      </c>
      <c r="GH18" s="230">
        <v>27</v>
      </c>
      <c r="GI18" s="230">
        <v>0</v>
      </c>
      <c r="GJ18" s="230">
        <v>0</v>
      </c>
      <c r="GK18" s="230">
        <v>0</v>
      </c>
      <c r="GL18" s="230">
        <v>0</v>
      </c>
      <c r="GM18" s="230">
        <v>0</v>
      </c>
      <c r="GN18" s="230">
        <v>0</v>
      </c>
      <c r="GO18" s="230">
        <v>0</v>
      </c>
      <c r="GP18" s="230">
        <v>0</v>
      </c>
      <c r="GQ18" s="230">
        <v>0</v>
      </c>
      <c r="GR18" s="230">
        <v>0</v>
      </c>
      <c r="GS18" s="230">
        <v>0</v>
      </c>
      <c r="GT18" s="230">
        <v>0</v>
      </c>
      <c r="GU18" s="230">
        <v>0</v>
      </c>
      <c r="GV18" s="230">
        <v>0</v>
      </c>
      <c r="GW18" s="230">
        <v>0</v>
      </c>
      <c r="GX18" s="230">
        <v>0</v>
      </c>
      <c r="GY18" s="230">
        <v>0</v>
      </c>
      <c r="GZ18" s="230">
        <v>0</v>
      </c>
      <c r="HA18" s="230">
        <v>0</v>
      </c>
      <c r="HB18" s="230">
        <v>0</v>
      </c>
      <c r="HC18" s="230">
        <v>0</v>
      </c>
      <c r="HD18" s="230">
        <v>0</v>
      </c>
      <c r="HE18" s="230">
        <v>0</v>
      </c>
      <c r="HF18" s="230">
        <v>0</v>
      </c>
      <c r="HG18" s="230">
        <v>0</v>
      </c>
      <c r="HH18" s="230">
        <v>0</v>
      </c>
      <c r="HI18" s="230">
        <v>0</v>
      </c>
      <c r="HJ18" s="230">
        <v>0</v>
      </c>
      <c r="HK18" s="230">
        <v>0</v>
      </c>
      <c r="HL18" s="230">
        <v>0</v>
      </c>
      <c r="HM18" s="230">
        <v>0</v>
      </c>
      <c r="HN18" s="230">
        <v>0</v>
      </c>
      <c r="HO18" s="230">
        <v>0</v>
      </c>
      <c r="HP18" s="230" t="s">
        <v>51</v>
      </c>
      <c r="HQ18" s="230">
        <v>27</v>
      </c>
      <c r="HR18" s="230">
        <v>0</v>
      </c>
      <c r="HS18" s="230">
        <v>0</v>
      </c>
      <c r="HT18" s="230">
        <v>0</v>
      </c>
      <c r="HU18" s="230">
        <v>0</v>
      </c>
      <c r="HV18" s="230">
        <v>0</v>
      </c>
      <c r="HW18" s="797">
        <v>27</v>
      </c>
      <c r="HX18" s="797">
        <v>0</v>
      </c>
      <c r="HY18" s="230">
        <v>68</v>
      </c>
      <c r="HZ18" s="230"/>
      <c r="IA18" s="230"/>
      <c r="IB18" s="230"/>
      <c r="IC18" s="232" t="s">
        <v>740</v>
      </c>
      <c r="ID18" s="233" t="s">
        <v>741</v>
      </c>
      <c r="IE18" s="467" t="s">
        <v>583</v>
      </c>
      <c r="IF18" s="232" t="s">
        <v>364</v>
      </c>
      <c r="IG18" s="467" t="s">
        <v>584</v>
      </c>
      <c r="IH18" s="467" t="s">
        <v>585</v>
      </c>
      <c r="II18" s="546" t="s">
        <v>584</v>
      </c>
      <c r="IJ18" s="467">
        <v>44462</v>
      </c>
      <c r="IK18" s="468">
        <v>3</v>
      </c>
      <c r="IL18" s="469" t="s">
        <v>1210</v>
      </c>
      <c r="IM18" s="469" t="s">
        <v>1195</v>
      </c>
      <c r="IN18" s="469" t="s">
        <v>1195</v>
      </c>
      <c r="IO18" s="469" t="s">
        <v>601</v>
      </c>
      <c r="IP18" s="469" t="s">
        <v>601</v>
      </c>
      <c r="IQ18" s="469" t="s">
        <v>601</v>
      </c>
      <c r="IR18" s="469">
        <v>1</v>
      </c>
      <c r="IS18" s="469">
        <v>2</v>
      </c>
      <c r="IT18" s="469" t="s">
        <v>675</v>
      </c>
      <c r="IU18" s="469" t="s">
        <v>675</v>
      </c>
    </row>
    <row r="19" ht="76.5">
      <c r="A19" s="322">
        <v>18</v>
      </c>
      <c r="B19" s="229" t="s">
        <v>1178</v>
      </c>
      <c r="C19" s="229" t="s">
        <v>1178</v>
      </c>
      <c r="D19" s="797" t="s">
        <v>750</v>
      </c>
      <c r="E19" s="229" t="s">
        <v>744</v>
      </c>
      <c r="F19" s="229" t="s">
        <v>26</v>
      </c>
      <c r="G19" s="797" t="s">
        <v>745</v>
      </c>
      <c r="H19" s="797" t="s">
        <v>746</v>
      </c>
      <c r="I19" s="229">
        <v>1</v>
      </c>
      <c r="J19" s="229" t="s">
        <v>747</v>
      </c>
      <c r="K19" s="231" t="s">
        <v>584</v>
      </c>
      <c r="L19" s="231" t="s">
        <v>1228</v>
      </c>
      <c r="M19" s="229" t="s">
        <v>576</v>
      </c>
      <c r="N19" s="229" t="s">
        <v>750</v>
      </c>
      <c r="O19" s="229" t="s">
        <v>587</v>
      </c>
      <c r="P19" s="229" t="s">
        <v>1208</v>
      </c>
      <c r="Q19" s="229" t="s">
        <v>597</v>
      </c>
      <c r="R19" s="229" t="s">
        <v>1193</v>
      </c>
      <c r="S19" s="229" t="s">
        <v>600</v>
      </c>
      <c r="T19" s="229" t="s">
        <v>751</v>
      </c>
      <c r="U19" s="229">
        <v>1</v>
      </c>
      <c r="V19" s="229"/>
      <c r="W19" s="229" t="b">
        <v>0</v>
      </c>
      <c r="X19" s="229" t="b">
        <v>0</v>
      </c>
      <c r="Y19" s="797">
        <v>0</v>
      </c>
      <c r="Z19" s="229" t="b">
        <v>1</v>
      </c>
      <c r="AA19" s="797">
        <v>23</v>
      </c>
      <c r="AB19" s="229" t="b">
        <v>0</v>
      </c>
      <c r="AC19" s="229" t="b">
        <v>1</v>
      </c>
      <c r="AD19" s="229">
        <v>0</v>
      </c>
      <c r="AE19" s="229"/>
      <c r="AF19" s="229" t="s">
        <v>50</v>
      </c>
      <c r="AG19" s="229">
        <v>0</v>
      </c>
      <c r="AH19" s="230"/>
      <c r="AI19" s="553" t="s">
        <v>576</v>
      </c>
      <c r="AJ19" s="553" t="s">
        <v>576</v>
      </c>
      <c r="AK19" s="229">
        <v>4</v>
      </c>
      <c r="AL19" s="465" t="s">
        <v>1188</v>
      </c>
      <c r="AM19" s="465" t="s">
        <v>1220</v>
      </c>
      <c r="AN19" s="465" t="s">
        <v>1230</v>
      </c>
      <c r="AO19" s="229" t="s">
        <v>25</v>
      </c>
      <c r="AP19" s="230" t="s">
        <v>576</v>
      </c>
      <c r="AQ19" s="230">
        <v>0</v>
      </c>
      <c r="AR19" s="230">
        <v>0</v>
      </c>
      <c r="AS19" s="230" t="s">
        <v>601</v>
      </c>
      <c r="AT19" s="230" t="s">
        <v>601</v>
      </c>
      <c r="AU19" s="230" t="s">
        <v>601</v>
      </c>
      <c r="AV19" s="230" t="s">
        <v>1178</v>
      </c>
      <c r="AW19" s="230" t="s">
        <v>601</v>
      </c>
      <c r="AX19" s="230" t="s">
        <v>601</v>
      </c>
      <c r="AY19" s="230" t="s">
        <v>601</v>
      </c>
      <c r="AZ19" s="230" t="s">
        <v>601</v>
      </c>
      <c r="BA19" s="230" t="s">
        <v>601</v>
      </c>
      <c r="BB19" s="230" t="s">
        <v>1178</v>
      </c>
      <c r="BC19" s="230" t="s">
        <v>750</v>
      </c>
      <c r="BD19" s="230">
        <v>0</v>
      </c>
      <c r="BE19" s="230">
        <v>0</v>
      </c>
      <c r="BF19" s="230" t="s">
        <v>601</v>
      </c>
      <c r="BG19" s="230" t="s">
        <v>601</v>
      </c>
      <c r="BH19" s="230" t="s">
        <v>601</v>
      </c>
      <c r="BI19" s="230" t="s">
        <v>587</v>
      </c>
      <c r="BJ19" s="230">
        <v>0</v>
      </c>
      <c r="BK19" s="230">
        <v>0</v>
      </c>
      <c r="BL19" s="230" t="s">
        <v>601</v>
      </c>
      <c r="BM19" s="230" t="s">
        <v>601</v>
      </c>
      <c r="BN19" s="230" t="s">
        <v>601</v>
      </c>
      <c r="BO19" s="553">
        <v>3</v>
      </c>
      <c r="BP19" s="553">
        <v>0</v>
      </c>
      <c r="BQ19" s="553">
        <v>0</v>
      </c>
      <c r="BR19" s="553">
        <v>0</v>
      </c>
      <c r="BS19" s="553">
        <v>0</v>
      </c>
      <c r="BT19" s="554">
        <v>0</v>
      </c>
      <c r="BU19" s="230" t="s">
        <v>597</v>
      </c>
      <c r="BV19" s="230" t="s">
        <v>601</v>
      </c>
      <c r="BW19" s="230" t="s">
        <v>601</v>
      </c>
      <c r="BX19" s="230" t="s">
        <v>601</v>
      </c>
      <c r="BY19" s="230" t="s">
        <v>601</v>
      </c>
      <c r="BZ19" s="230" t="s">
        <v>601</v>
      </c>
      <c r="CA19" s="230">
        <v>2</v>
      </c>
      <c r="CB19" s="230">
        <v>2</v>
      </c>
      <c r="CC19" s="230">
        <v>2</v>
      </c>
      <c r="CD19" s="230">
        <v>0</v>
      </c>
      <c r="CE19" s="230">
        <v>0</v>
      </c>
      <c r="CF19" s="230">
        <v>0</v>
      </c>
      <c r="CG19" s="230">
        <v>0</v>
      </c>
      <c r="CH19" s="230">
        <v>0</v>
      </c>
      <c r="CI19" s="230">
        <v>0</v>
      </c>
      <c r="CJ19" s="230">
        <v>0</v>
      </c>
      <c r="CK19" s="230">
        <v>0</v>
      </c>
      <c r="CL19" s="230">
        <v>0</v>
      </c>
      <c r="CM19" s="230">
        <v>0</v>
      </c>
      <c r="CN19" s="230">
        <v>0</v>
      </c>
      <c r="CO19" s="230">
        <v>0</v>
      </c>
      <c r="CP19" s="230">
        <v>0</v>
      </c>
      <c r="CQ19" s="230">
        <v>0</v>
      </c>
      <c r="CR19" s="230">
        <v>0</v>
      </c>
      <c r="CS19" s="230">
        <v>0</v>
      </c>
      <c r="CT19" s="230">
        <v>0</v>
      </c>
      <c r="CU19" s="230">
        <v>0</v>
      </c>
      <c r="CV19" s="230">
        <v>0</v>
      </c>
      <c r="CW19" s="230">
        <v>0</v>
      </c>
      <c r="CX19" s="230">
        <v>0</v>
      </c>
      <c r="CY19" s="230">
        <v>0</v>
      </c>
      <c r="CZ19" s="230">
        <v>0</v>
      </c>
      <c r="DA19" s="230">
        <v>0</v>
      </c>
      <c r="DB19" s="230">
        <v>0</v>
      </c>
      <c r="DC19" s="230">
        <v>0</v>
      </c>
      <c r="DD19" s="230">
        <v>0</v>
      </c>
      <c r="DE19" s="230">
        <v>0</v>
      </c>
      <c r="DF19" s="230">
        <v>0</v>
      </c>
      <c r="DG19" s="230">
        <v>0</v>
      </c>
      <c r="DH19" s="230">
        <v>0</v>
      </c>
      <c r="DI19" s="230">
        <v>0</v>
      </c>
      <c r="DJ19" s="230">
        <v>0</v>
      </c>
      <c r="DK19" s="230" t="s">
        <v>599</v>
      </c>
      <c r="DL19" s="230" t="s">
        <v>601</v>
      </c>
      <c r="DM19" s="230" t="s">
        <v>601</v>
      </c>
      <c r="DN19" s="230" t="s">
        <v>601</v>
      </c>
      <c r="DO19" s="230" t="s">
        <v>601</v>
      </c>
      <c r="DP19" s="230" t="s">
        <v>601</v>
      </c>
      <c r="DQ19" s="230" t="s">
        <v>1193</v>
      </c>
      <c r="DR19" s="230" t="s">
        <v>601</v>
      </c>
      <c r="DS19" s="230" t="s">
        <v>601</v>
      </c>
      <c r="DT19" s="230" t="s">
        <v>601</v>
      </c>
      <c r="DU19" s="230" t="s">
        <v>601</v>
      </c>
      <c r="DV19" s="230" t="s">
        <v>601</v>
      </c>
      <c r="DW19" s="230">
        <v>40</v>
      </c>
      <c r="DX19" s="230">
        <v>40</v>
      </c>
      <c r="DY19" s="230">
        <v>40</v>
      </c>
      <c r="DZ19" s="230">
        <v>0</v>
      </c>
      <c r="EA19" s="230">
        <v>0</v>
      </c>
      <c r="EB19" s="230">
        <v>0</v>
      </c>
      <c r="EC19" s="230">
        <v>40</v>
      </c>
      <c r="ED19" s="230">
        <v>0</v>
      </c>
      <c r="EE19" s="230">
        <v>0</v>
      </c>
      <c r="EF19" s="230">
        <v>0</v>
      </c>
      <c r="EG19" s="230">
        <v>0</v>
      </c>
      <c r="EH19" s="230">
        <v>0</v>
      </c>
      <c r="EI19" s="230">
        <v>0</v>
      </c>
      <c r="EJ19" s="230">
        <v>0</v>
      </c>
      <c r="EK19" s="230">
        <v>0</v>
      </c>
      <c r="EL19" s="230">
        <v>0</v>
      </c>
      <c r="EM19" s="230">
        <v>0</v>
      </c>
      <c r="EN19" s="230">
        <v>0</v>
      </c>
      <c r="EO19" s="230">
        <v>0</v>
      </c>
      <c r="EP19" s="230">
        <v>0</v>
      </c>
      <c r="EQ19" s="230">
        <v>0</v>
      </c>
      <c r="ER19" s="230">
        <v>0</v>
      </c>
      <c r="ES19" s="230">
        <v>0</v>
      </c>
      <c r="ET19" s="230">
        <v>0</v>
      </c>
      <c r="EU19" s="230">
        <v>0</v>
      </c>
      <c r="EV19" s="230">
        <v>0</v>
      </c>
      <c r="EW19" s="230">
        <v>0</v>
      </c>
      <c r="EX19" s="230">
        <v>0</v>
      </c>
      <c r="EY19" s="230">
        <v>0</v>
      </c>
      <c r="EZ19" s="230">
        <v>0</v>
      </c>
      <c r="FA19" s="230">
        <v>0</v>
      </c>
      <c r="FB19" s="230">
        <v>0</v>
      </c>
      <c r="FC19" s="230">
        <v>0</v>
      </c>
      <c r="FD19" s="230">
        <v>0</v>
      </c>
      <c r="FE19" s="230">
        <v>0</v>
      </c>
      <c r="FF19" s="230">
        <v>0</v>
      </c>
      <c r="FG19" s="230">
        <v>0</v>
      </c>
      <c r="FH19" s="230">
        <v>0</v>
      </c>
      <c r="FI19" s="230">
        <v>0</v>
      </c>
      <c r="FJ19" s="230">
        <v>0</v>
      </c>
      <c r="FK19" s="230">
        <v>0</v>
      </c>
      <c r="FL19" s="230">
        <v>0</v>
      </c>
      <c r="FM19" s="230">
        <v>40</v>
      </c>
      <c r="FN19" s="230">
        <v>2100</v>
      </c>
      <c r="FO19" s="230">
        <v>0</v>
      </c>
      <c r="FP19" s="230">
        <v>0</v>
      </c>
      <c r="FQ19" s="230" t="s">
        <v>601</v>
      </c>
      <c r="FR19" s="230" t="s">
        <v>601</v>
      </c>
      <c r="FS19" s="230" t="s">
        <v>601</v>
      </c>
      <c r="FT19" s="230" t="s">
        <v>751</v>
      </c>
      <c r="FU19" s="230">
        <v>0</v>
      </c>
      <c r="FV19" s="230">
        <v>0</v>
      </c>
      <c r="FW19" s="230" t="s">
        <v>601</v>
      </c>
      <c r="FX19" s="230" t="s">
        <v>601</v>
      </c>
      <c r="FY19" s="230" t="s">
        <v>601</v>
      </c>
      <c r="FZ19" s="230" t="s">
        <v>751</v>
      </c>
      <c r="GA19" s="230" t="s">
        <v>601</v>
      </c>
      <c r="GB19" s="230" t="s">
        <v>601</v>
      </c>
      <c r="GC19" s="230" t="s">
        <v>601</v>
      </c>
      <c r="GD19" s="230" t="s">
        <v>601</v>
      </c>
      <c r="GE19" s="230" t="s">
        <v>601</v>
      </c>
      <c r="GF19" s="230">
        <v>23</v>
      </c>
      <c r="GG19" s="230">
        <v>23</v>
      </c>
      <c r="GH19" s="230">
        <v>23</v>
      </c>
      <c r="GI19" s="230">
        <v>0</v>
      </c>
      <c r="GJ19" s="230">
        <v>0</v>
      </c>
      <c r="GK19" s="230">
        <v>0</v>
      </c>
      <c r="GL19" s="230">
        <v>0</v>
      </c>
      <c r="GM19" s="230">
        <v>0</v>
      </c>
      <c r="GN19" s="230">
        <v>0</v>
      </c>
      <c r="GO19" s="230">
        <v>0</v>
      </c>
      <c r="GP19" s="230">
        <v>0</v>
      </c>
      <c r="GQ19" s="230">
        <v>0</v>
      </c>
      <c r="GR19" s="230">
        <v>0</v>
      </c>
      <c r="GS19" s="230">
        <v>0</v>
      </c>
      <c r="GT19" s="230">
        <v>0</v>
      </c>
      <c r="GU19" s="230">
        <v>0</v>
      </c>
      <c r="GV19" s="230">
        <v>0</v>
      </c>
      <c r="GW19" s="230">
        <v>0</v>
      </c>
      <c r="GX19" s="230">
        <v>0</v>
      </c>
      <c r="GY19" s="230">
        <v>0</v>
      </c>
      <c r="GZ19" s="230">
        <v>0</v>
      </c>
      <c r="HA19" s="230">
        <v>0</v>
      </c>
      <c r="HB19" s="230">
        <v>0</v>
      </c>
      <c r="HC19" s="230">
        <v>0</v>
      </c>
      <c r="HD19" s="230">
        <v>0</v>
      </c>
      <c r="HE19" s="230">
        <v>0</v>
      </c>
      <c r="HF19" s="230">
        <v>0</v>
      </c>
      <c r="HG19" s="230">
        <v>0</v>
      </c>
      <c r="HH19" s="230">
        <v>0</v>
      </c>
      <c r="HI19" s="230">
        <v>0</v>
      </c>
      <c r="HJ19" s="230">
        <v>0</v>
      </c>
      <c r="HK19" s="230">
        <v>0</v>
      </c>
      <c r="HL19" s="230">
        <v>0</v>
      </c>
      <c r="HM19" s="230">
        <v>0</v>
      </c>
      <c r="HN19" s="230">
        <v>0</v>
      </c>
      <c r="HO19" s="230">
        <v>0</v>
      </c>
      <c r="HP19" s="230" t="s">
        <v>51</v>
      </c>
      <c r="HQ19" s="230">
        <v>23</v>
      </c>
      <c r="HR19" s="230">
        <v>0</v>
      </c>
      <c r="HS19" s="230">
        <v>0</v>
      </c>
      <c r="HT19" s="230">
        <v>0</v>
      </c>
      <c r="HU19" s="230">
        <v>0</v>
      </c>
      <c r="HV19" s="230">
        <v>0</v>
      </c>
      <c r="HW19" s="797">
        <v>23</v>
      </c>
      <c r="HX19" s="797">
        <v>0</v>
      </c>
      <c r="HY19" s="230">
        <v>68</v>
      </c>
      <c r="HZ19" s="230"/>
      <c r="IA19" s="230"/>
      <c r="IB19" s="230"/>
      <c r="IC19" s="232" t="s">
        <v>748</v>
      </c>
      <c r="ID19" s="233" t="s">
        <v>749</v>
      </c>
      <c r="IE19" s="467" t="s">
        <v>583</v>
      </c>
      <c r="IF19" s="232" t="s">
        <v>364</v>
      </c>
      <c r="IG19" s="467" t="s">
        <v>584</v>
      </c>
      <c r="IH19" s="467" t="s">
        <v>585</v>
      </c>
      <c r="II19" s="546" t="s">
        <v>584</v>
      </c>
      <c r="IJ19" s="467">
        <v>44462</v>
      </c>
      <c r="IK19" s="468">
        <v>3</v>
      </c>
      <c r="IL19" s="469" t="s">
        <v>1210</v>
      </c>
      <c r="IM19" s="469" t="s">
        <v>1195</v>
      </c>
      <c r="IN19" s="469" t="s">
        <v>1195</v>
      </c>
      <c r="IO19" s="469" t="s">
        <v>601</v>
      </c>
      <c r="IP19" s="469" t="s">
        <v>601</v>
      </c>
      <c r="IQ19" s="469" t="s">
        <v>601</v>
      </c>
      <c r="IR19" s="469">
        <v>1</v>
      </c>
      <c r="IS19" s="469">
        <v>2</v>
      </c>
      <c r="IT19" s="469" t="s">
        <v>675</v>
      </c>
      <c r="IU19" s="469" t="s">
        <v>675</v>
      </c>
    </row>
    <row r="20" ht="76.5">
      <c r="A20" s="322">
        <v>19</v>
      </c>
      <c r="B20" s="229" t="s">
        <v>1178</v>
      </c>
      <c r="C20" s="229" t="s">
        <v>1178</v>
      </c>
      <c r="D20" s="797" t="s">
        <v>759</v>
      </c>
      <c r="E20" s="229" t="s">
        <v>753</v>
      </c>
      <c r="F20" s="229" t="s">
        <v>26</v>
      </c>
      <c r="G20" s="797" t="s">
        <v>754</v>
      </c>
      <c r="H20" s="797" t="s">
        <v>755</v>
      </c>
      <c r="I20" s="229">
        <v>1</v>
      </c>
      <c r="J20" s="229" t="s">
        <v>756</v>
      </c>
      <c r="K20" s="231" t="s">
        <v>584</v>
      </c>
      <c r="L20" s="231" t="s">
        <v>1228</v>
      </c>
      <c r="M20" s="229" t="s">
        <v>576</v>
      </c>
      <c r="N20" s="229" t="s">
        <v>759</v>
      </c>
      <c r="O20" s="229" t="s">
        <v>587</v>
      </c>
      <c r="P20" s="229" t="s">
        <v>1208</v>
      </c>
      <c r="Q20" s="229" t="s">
        <v>597</v>
      </c>
      <c r="R20" s="229" t="s">
        <v>1193</v>
      </c>
      <c r="S20" s="229" t="s">
        <v>600</v>
      </c>
      <c r="T20" s="229" t="s">
        <v>649</v>
      </c>
      <c r="U20" s="229">
        <v>1</v>
      </c>
      <c r="V20" s="229"/>
      <c r="W20" s="229" t="b">
        <v>1</v>
      </c>
      <c r="X20" s="229" t="b">
        <v>1</v>
      </c>
      <c r="Y20" s="797">
        <v>1</v>
      </c>
      <c r="Z20" s="229" t="b">
        <v>1</v>
      </c>
      <c r="AA20" s="797">
        <v>34</v>
      </c>
      <c r="AB20" s="229" t="b">
        <v>0</v>
      </c>
      <c r="AC20" s="229" t="b">
        <v>1</v>
      </c>
      <c r="AD20" s="229">
        <v>0</v>
      </c>
      <c r="AE20" s="229"/>
      <c r="AF20" s="229" t="s">
        <v>50</v>
      </c>
      <c r="AG20" s="229">
        <v>0</v>
      </c>
      <c r="AH20" s="230"/>
      <c r="AI20" s="553" t="s">
        <v>576</v>
      </c>
      <c r="AJ20" s="553" t="s">
        <v>576</v>
      </c>
      <c r="AK20" s="229">
        <v>4</v>
      </c>
      <c r="AL20" s="465" t="s">
        <v>1188</v>
      </c>
      <c r="AM20" s="465" t="s">
        <v>1220</v>
      </c>
      <c r="AN20" s="465" t="s">
        <v>1222</v>
      </c>
      <c r="AO20" s="229" t="s">
        <v>25</v>
      </c>
      <c r="AP20" s="230" t="s">
        <v>576</v>
      </c>
      <c r="AQ20" s="230">
        <v>0</v>
      </c>
      <c r="AR20" s="230">
        <v>0</v>
      </c>
      <c r="AS20" s="230" t="s">
        <v>601</v>
      </c>
      <c r="AT20" s="230" t="s">
        <v>601</v>
      </c>
      <c r="AU20" s="230" t="s">
        <v>601</v>
      </c>
      <c r="AV20" s="230" t="s">
        <v>1178</v>
      </c>
      <c r="AW20" s="230" t="s">
        <v>601</v>
      </c>
      <c r="AX20" s="230" t="s">
        <v>601</v>
      </c>
      <c r="AY20" s="230" t="s">
        <v>601</v>
      </c>
      <c r="AZ20" s="230" t="s">
        <v>601</v>
      </c>
      <c r="BA20" s="230" t="s">
        <v>601</v>
      </c>
      <c r="BB20" s="230" t="s">
        <v>1178</v>
      </c>
      <c r="BC20" s="230" t="s">
        <v>759</v>
      </c>
      <c r="BD20" s="230">
        <v>0</v>
      </c>
      <c r="BE20" s="230">
        <v>0</v>
      </c>
      <c r="BF20" s="230" t="s">
        <v>601</v>
      </c>
      <c r="BG20" s="230" t="s">
        <v>601</v>
      </c>
      <c r="BH20" s="230" t="s">
        <v>601</v>
      </c>
      <c r="BI20" s="230" t="s">
        <v>587</v>
      </c>
      <c r="BJ20" s="230">
        <v>0</v>
      </c>
      <c r="BK20" s="230">
        <v>0</v>
      </c>
      <c r="BL20" s="230" t="s">
        <v>601</v>
      </c>
      <c r="BM20" s="230" t="s">
        <v>601</v>
      </c>
      <c r="BN20" s="230" t="s">
        <v>601</v>
      </c>
      <c r="BO20" s="553">
        <v>3</v>
      </c>
      <c r="BP20" s="553">
        <v>0</v>
      </c>
      <c r="BQ20" s="553">
        <v>0</v>
      </c>
      <c r="BR20" s="553">
        <v>0</v>
      </c>
      <c r="BS20" s="553">
        <v>0</v>
      </c>
      <c r="BT20" s="554">
        <v>0</v>
      </c>
      <c r="BU20" s="230" t="s">
        <v>597</v>
      </c>
      <c r="BV20" s="230" t="s">
        <v>601</v>
      </c>
      <c r="BW20" s="230" t="s">
        <v>601</v>
      </c>
      <c r="BX20" s="230" t="s">
        <v>601</v>
      </c>
      <c r="BY20" s="230" t="s">
        <v>601</v>
      </c>
      <c r="BZ20" s="230" t="s">
        <v>601</v>
      </c>
      <c r="CA20" s="230">
        <v>2</v>
      </c>
      <c r="CB20" s="230">
        <v>2</v>
      </c>
      <c r="CC20" s="230">
        <v>2</v>
      </c>
      <c r="CD20" s="230">
        <v>0</v>
      </c>
      <c r="CE20" s="230">
        <v>0</v>
      </c>
      <c r="CF20" s="230">
        <v>0</v>
      </c>
      <c r="CG20" s="230">
        <v>0</v>
      </c>
      <c r="CH20" s="230">
        <v>0</v>
      </c>
      <c r="CI20" s="230">
        <v>0</v>
      </c>
      <c r="CJ20" s="230">
        <v>0</v>
      </c>
      <c r="CK20" s="230">
        <v>0</v>
      </c>
      <c r="CL20" s="230">
        <v>0</v>
      </c>
      <c r="CM20" s="230">
        <v>0</v>
      </c>
      <c r="CN20" s="230">
        <v>0</v>
      </c>
      <c r="CO20" s="230">
        <v>0</v>
      </c>
      <c r="CP20" s="230">
        <v>0</v>
      </c>
      <c r="CQ20" s="230">
        <v>0</v>
      </c>
      <c r="CR20" s="230">
        <v>0</v>
      </c>
      <c r="CS20" s="230">
        <v>0</v>
      </c>
      <c r="CT20" s="230">
        <v>0</v>
      </c>
      <c r="CU20" s="230">
        <v>0</v>
      </c>
      <c r="CV20" s="230">
        <v>0</v>
      </c>
      <c r="CW20" s="230">
        <v>0</v>
      </c>
      <c r="CX20" s="230">
        <v>0</v>
      </c>
      <c r="CY20" s="230">
        <v>0</v>
      </c>
      <c r="CZ20" s="230">
        <v>0</v>
      </c>
      <c r="DA20" s="230">
        <v>0</v>
      </c>
      <c r="DB20" s="230">
        <v>0</v>
      </c>
      <c r="DC20" s="230">
        <v>0</v>
      </c>
      <c r="DD20" s="230">
        <v>0</v>
      </c>
      <c r="DE20" s="230">
        <v>0</v>
      </c>
      <c r="DF20" s="230">
        <v>0</v>
      </c>
      <c r="DG20" s="230">
        <v>0</v>
      </c>
      <c r="DH20" s="230">
        <v>0</v>
      </c>
      <c r="DI20" s="230">
        <v>0</v>
      </c>
      <c r="DJ20" s="230">
        <v>0</v>
      </c>
      <c r="DK20" s="230" t="s">
        <v>599</v>
      </c>
      <c r="DL20" s="230" t="s">
        <v>601</v>
      </c>
      <c r="DM20" s="230" t="s">
        <v>601</v>
      </c>
      <c r="DN20" s="230" t="s">
        <v>601</v>
      </c>
      <c r="DO20" s="230" t="s">
        <v>601</v>
      </c>
      <c r="DP20" s="230" t="s">
        <v>601</v>
      </c>
      <c r="DQ20" s="230" t="s">
        <v>1193</v>
      </c>
      <c r="DR20" s="230" t="s">
        <v>601</v>
      </c>
      <c r="DS20" s="230" t="s">
        <v>601</v>
      </c>
      <c r="DT20" s="230" t="s">
        <v>601</v>
      </c>
      <c r="DU20" s="230" t="s">
        <v>601</v>
      </c>
      <c r="DV20" s="230" t="s">
        <v>601</v>
      </c>
      <c r="DW20" s="230">
        <v>40</v>
      </c>
      <c r="DX20" s="230">
        <v>40</v>
      </c>
      <c r="DY20" s="230">
        <v>40</v>
      </c>
      <c r="DZ20" s="230">
        <v>0</v>
      </c>
      <c r="EA20" s="230">
        <v>0</v>
      </c>
      <c r="EB20" s="230">
        <v>0</v>
      </c>
      <c r="EC20" s="230">
        <v>40</v>
      </c>
      <c r="ED20" s="230">
        <v>0</v>
      </c>
      <c r="EE20" s="230">
        <v>0</v>
      </c>
      <c r="EF20" s="230">
        <v>0</v>
      </c>
      <c r="EG20" s="230">
        <v>0</v>
      </c>
      <c r="EH20" s="230">
        <v>0</v>
      </c>
      <c r="EI20" s="230">
        <v>0</v>
      </c>
      <c r="EJ20" s="230">
        <v>0</v>
      </c>
      <c r="EK20" s="230">
        <v>0</v>
      </c>
      <c r="EL20" s="230">
        <v>0</v>
      </c>
      <c r="EM20" s="230">
        <v>0</v>
      </c>
      <c r="EN20" s="230">
        <v>0</v>
      </c>
      <c r="EO20" s="230">
        <v>0</v>
      </c>
      <c r="EP20" s="230">
        <v>0</v>
      </c>
      <c r="EQ20" s="230">
        <v>0</v>
      </c>
      <c r="ER20" s="230">
        <v>0</v>
      </c>
      <c r="ES20" s="230">
        <v>0</v>
      </c>
      <c r="ET20" s="230">
        <v>0</v>
      </c>
      <c r="EU20" s="230">
        <v>0</v>
      </c>
      <c r="EV20" s="230">
        <v>0</v>
      </c>
      <c r="EW20" s="230">
        <v>0</v>
      </c>
      <c r="EX20" s="230">
        <v>0</v>
      </c>
      <c r="EY20" s="230">
        <v>0</v>
      </c>
      <c r="EZ20" s="230">
        <v>0</v>
      </c>
      <c r="FA20" s="230">
        <v>0</v>
      </c>
      <c r="FB20" s="230">
        <v>0</v>
      </c>
      <c r="FC20" s="230">
        <v>0</v>
      </c>
      <c r="FD20" s="230">
        <v>0</v>
      </c>
      <c r="FE20" s="230">
        <v>0</v>
      </c>
      <c r="FF20" s="230">
        <v>0</v>
      </c>
      <c r="FG20" s="230">
        <v>0</v>
      </c>
      <c r="FH20" s="230">
        <v>0</v>
      </c>
      <c r="FI20" s="230">
        <v>0</v>
      </c>
      <c r="FJ20" s="230">
        <v>0</v>
      </c>
      <c r="FK20" s="230">
        <v>0</v>
      </c>
      <c r="FL20" s="230">
        <v>0</v>
      </c>
      <c r="FM20" s="230">
        <v>40</v>
      </c>
      <c r="FN20" s="230">
        <v>2100</v>
      </c>
      <c r="FO20" s="230">
        <v>0</v>
      </c>
      <c r="FP20" s="230">
        <v>0</v>
      </c>
      <c r="FQ20" s="230" t="s">
        <v>601</v>
      </c>
      <c r="FR20" s="230" t="s">
        <v>601</v>
      </c>
      <c r="FS20" s="230" t="s">
        <v>601</v>
      </c>
      <c r="FT20" s="230" t="s">
        <v>649</v>
      </c>
      <c r="FU20" s="230">
        <v>0</v>
      </c>
      <c r="FV20" s="230">
        <v>0</v>
      </c>
      <c r="FW20" s="230" t="s">
        <v>601</v>
      </c>
      <c r="FX20" s="230" t="s">
        <v>601</v>
      </c>
      <c r="FY20" s="230" t="s">
        <v>601</v>
      </c>
      <c r="FZ20" s="230" t="s">
        <v>649</v>
      </c>
      <c r="GA20" s="230" t="s">
        <v>601</v>
      </c>
      <c r="GB20" s="230" t="s">
        <v>601</v>
      </c>
      <c r="GC20" s="230" t="s">
        <v>601</v>
      </c>
      <c r="GD20" s="230" t="s">
        <v>601</v>
      </c>
      <c r="GE20" s="230" t="s">
        <v>601</v>
      </c>
      <c r="GF20" s="230">
        <v>34</v>
      </c>
      <c r="GG20" s="230">
        <v>34</v>
      </c>
      <c r="GH20" s="230">
        <v>34</v>
      </c>
      <c r="GI20" s="230">
        <v>0</v>
      </c>
      <c r="GJ20" s="230">
        <v>0</v>
      </c>
      <c r="GK20" s="230">
        <v>0</v>
      </c>
      <c r="GL20" s="230">
        <v>0</v>
      </c>
      <c r="GM20" s="230">
        <v>0</v>
      </c>
      <c r="GN20" s="230">
        <v>0</v>
      </c>
      <c r="GO20" s="230">
        <v>0</v>
      </c>
      <c r="GP20" s="230">
        <v>0</v>
      </c>
      <c r="GQ20" s="230">
        <v>0</v>
      </c>
      <c r="GR20" s="230">
        <v>0</v>
      </c>
      <c r="GS20" s="230">
        <v>0</v>
      </c>
      <c r="GT20" s="230">
        <v>0</v>
      </c>
      <c r="GU20" s="230">
        <v>0</v>
      </c>
      <c r="GV20" s="230">
        <v>0</v>
      </c>
      <c r="GW20" s="230">
        <v>0</v>
      </c>
      <c r="GX20" s="230">
        <v>0</v>
      </c>
      <c r="GY20" s="230">
        <v>0</v>
      </c>
      <c r="GZ20" s="230">
        <v>0</v>
      </c>
      <c r="HA20" s="230">
        <v>0</v>
      </c>
      <c r="HB20" s="230">
        <v>0</v>
      </c>
      <c r="HC20" s="230">
        <v>0</v>
      </c>
      <c r="HD20" s="230">
        <v>0</v>
      </c>
      <c r="HE20" s="230">
        <v>0</v>
      </c>
      <c r="HF20" s="230">
        <v>0</v>
      </c>
      <c r="HG20" s="230">
        <v>0</v>
      </c>
      <c r="HH20" s="230">
        <v>0</v>
      </c>
      <c r="HI20" s="230">
        <v>0</v>
      </c>
      <c r="HJ20" s="230">
        <v>0</v>
      </c>
      <c r="HK20" s="230">
        <v>0</v>
      </c>
      <c r="HL20" s="230">
        <v>0</v>
      </c>
      <c r="HM20" s="230">
        <v>0</v>
      </c>
      <c r="HN20" s="230">
        <v>0</v>
      </c>
      <c r="HO20" s="230">
        <v>0</v>
      </c>
      <c r="HP20" s="230" t="s">
        <v>51</v>
      </c>
      <c r="HQ20" s="230">
        <v>34</v>
      </c>
      <c r="HR20" s="230">
        <v>0</v>
      </c>
      <c r="HS20" s="230">
        <v>0</v>
      </c>
      <c r="HT20" s="230">
        <v>0</v>
      </c>
      <c r="HU20" s="230">
        <v>0</v>
      </c>
      <c r="HV20" s="230">
        <v>0</v>
      </c>
      <c r="HW20" s="797">
        <v>34</v>
      </c>
      <c r="HX20" s="797">
        <v>0</v>
      </c>
      <c r="HY20" s="230">
        <v>68</v>
      </c>
      <c r="HZ20" s="230"/>
      <c r="IA20" s="230"/>
      <c r="IB20" s="230"/>
      <c r="IC20" s="232" t="s">
        <v>757</v>
      </c>
      <c r="ID20" s="233" t="s">
        <v>758</v>
      </c>
      <c r="IE20" s="467" t="s">
        <v>583</v>
      </c>
      <c r="IF20" s="232" t="s">
        <v>364</v>
      </c>
      <c r="IG20" s="467" t="s">
        <v>584</v>
      </c>
      <c r="IH20" s="467" t="s">
        <v>585</v>
      </c>
      <c r="II20" s="546" t="s">
        <v>584</v>
      </c>
      <c r="IJ20" s="467">
        <v>44462</v>
      </c>
      <c r="IK20" s="468">
        <v>3</v>
      </c>
      <c r="IL20" s="469" t="s">
        <v>1210</v>
      </c>
      <c r="IM20" s="469" t="s">
        <v>1195</v>
      </c>
      <c r="IN20" s="469" t="s">
        <v>1195</v>
      </c>
      <c r="IO20" s="469" t="s">
        <v>601</v>
      </c>
      <c r="IP20" s="469" t="s">
        <v>601</v>
      </c>
      <c r="IQ20" s="469" t="s">
        <v>601</v>
      </c>
      <c r="IR20" s="469">
        <v>1</v>
      </c>
      <c r="IS20" s="469">
        <v>2</v>
      </c>
      <c r="IT20" s="469" t="s">
        <v>675</v>
      </c>
      <c r="IU20" s="469" t="s">
        <v>675</v>
      </c>
    </row>
    <row r="21" ht="76.5">
      <c r="A21" s="322">
        <v>20</v>
      </c>
      <c r="B21" s="229" t="s">
        <v>1178</v>
      </c>
      <c r="C21" s="229" t="s">
        <v>1178</v>
      </c>
      <c r="D21" s="797" t="s">
        <v>767</v>
      </c>
      <c r="E21" s="229" t="s">
        <v>761</v>
      </c>
      <c r="F21" s="229" t="s">
        <v>26</v>
      </c>
      <c r="G21" s="797" t="s">
        <v>762</v>
      </c>
      <c r="H21" s="797" t="s">
        <v>763</v>
      </c>
      <c r="I21" s="229">
        <v>1</v>
      </c>
      <c r="J21" s="229" t="s">
        <v>764</v>
      </c>
      <c r="K21" s="231" t="s">
        <v>584</v>
      </c>
      <c r="L21" s="231" t="s">
        <v>1228</v>
      </c>
      <c r="M21" s="229" t="s">
        <v>576</v>
      </c>
      <c r="N21" s="229" t="s">
        <v>767</v>
      </c>
      <c r="O21" s="229" t="s">
        <v>587</v>
      </c>
      <c r="P21" s="229" t="s">
        <v>1208</v>
      </c>
      <c r="Q21" s="229" t="s">
        <v>597</v>
      </c>
      <c r="R21" s="229" t="s">
        <v>1193</v>
      </c>
      <c r="S21" s="229" t="s">
        <v>600</v>
      </c>
      <c r="T21" s="229" t="s">
        <v>649</v>
      </c>
      <c r="U21" s="229">
        <v>1</v>
      </c>
      <c r="V21" s="229"/>
      <c r="W21" s="229" t="b">
        <v>1</v>
      </c>
      <c r="X21" s="229" t="b">
        <v>1</v>
      </c>
      <c r="Y21" s="797">
        <v>1</v>
      </c>
      <c r="Z21" s="229" t="b">
        <v>1</v>
      </c>
      <c r="AA21" s="797">
        <v>34</v>
      </c>
      <c r="AB21" s="229" t="b">
        <v>0</v>
      </c>
      <c r="AC21" s="229" t="b">
        <v>1</v>
      </c>
      <c r="AD21" s="229">
        <v>0</v>
      </c>
      <c r="AE21" s="229"/>
      <c r="AF21" s="229" t="s">
        <v>50</v>
      </c>
      <c r="AG21" s="229">
        <v>0</v>
      </c>
      <c r="AH21" s="230"/>
      <c r="AI21" s="553" t="s">
        <v>576</v>
      </c>
      <c r="AJ21" s="553" t="s">
        <v>576</v>
      </c>
      <c r="AK21" s="229">
        <v>4</v>
      </c>
      <c r="AL21" s="465" t="s">
        <v>1188</v>
      </c>
      <c r="AM21" s="465" t="s">
        <v>1220</v>
      </c>
      <c r="AN21" s="465" t="s">
        <v>1231</v>
      </c>
      <c r="AO21" s="229" t="s">
        <v>25</v>
      </c>
      <c r="AP21" s="230" t="s">
        <v>576</v>
      </c>
      <c r="AQ21" s="230">
        <v>0</v>
      </c>
      <c r="AR21" s="230">
        <v>0</v>
      </c>
      <c r="AS21" s="230" t="s">
        <v>601</v>
      </c>
      <c r="AT21" s="230" t="s">
        <v>601</v>
      </c>
      <c r="AU21" s="230" t="s">
        <v>601</v>
      </c>
      <c r="AV21" s="230" t="s">
        <v>1178</v>
      </c>
      <c r="AW21" s="230" t="s">
        <v>601</v>
      </c>
      <c r="AX21" s="230" t="s">
        <v>601</v>
      </c>
      <c r="AY21" s="230" t="s">
        <v>601</v>
      </c>
      <c r="AZ21" s="230" t="s">
        <v>601</v>
      </c>
      <c r="BA21" s="230" t="s">
        <v>601</v>
      </c>
      <c r="BB21" s="230" t="s">
        <v>1178</v>
      </c>
      <c r="BC21" s="230" t="s">
        <v>767</v>
      </c>
      <c r="BD21" s="230">
        <v>0</v>
      </c>
      <c r="BE21" s="230">
        <v>0</v>
      </c>
      <c r="BF21" s="230" t="s">
        <v>601</v>
      </c>
      <c r="BG21" s="230" t="s">
        <v>601</v>
      </c>
      <c r="BH21" s="230" t="s">
        <v>601</v>
      </c>
      <c r="BI21" s="230" t="s">
        <v>587</v>
      </c>
      <c r="BJ21" s="230">
        <v>0</v>
      </c>
      <c r="BK21" s="230">
        <v>0</v>
      </c>
      <c r="BL21" s="230" t="s">
        <v>601</v>
      </c>
      <c r="BM21" s="230" t="s">
        <v>601</v>
      </c>
      <c r="BN21" s="230" t="s">
        <v>601</v>
      </c>
      <c r="BO21" s="553">
        <v>3</v>
      </c>
      <c r="BP21" s="553">
        <v>0</v>
      </c>
      <c r="BQ21" s="553">
        <v>0</v>
      </c>
      <c r="BR21" s="553">
        <v>0</v>
      </c>
      <c r="BS21" s="553">
        <v>0</v>
      </c>
      <c r="BT21" s="554">
        <v>0</v>
      </c>
      <c r="BU21" s="230" t="s">
        <v>597</v>
      </c>
      <c r="BV21" s="230" t="s">
        <v>601</v>
      </c>
      <c r="BW21" s="230" t="s">
        <v>601</v>
      </c>
      <c r="BX21" s="230" t="s">
        <v>601</v>
      </c>
      <c r="BY21" s="230" t="s">
        <v>601</v>
      </c>
      <c r="BZ21" s="230" t="s">
        <v>601</v>
      </c>
      <c r="CA21" s="230">
        <v>2</v>
      </c>
      <c r="CB21" s="230">
        <v>2</v>
      </c>
      <c r="CC21" s="230">
        <v>2</v>
      </c>
      <c r="CD21" s="230">
        <v>0</v>
      </c>
      <c r="CE21" s="230">
        <v>0</v>
      </c>
      <c r="CF21" s="230">
        <v>0</v>
      </c>
      <c r="CG21" s="230">
        <v>0</v>
      </c>
      <c r="CH21" s="230">
        <v>0</v>
      </c>
      <c r="CI21" s="230">
        <v>0</v>
      </c>
      <c r="CJ21" s="230">
        <v>0</v>
      </c>
      <c r="CK21" s="230">
        <v>0</v>
      </c>
      <c r="CL21" s="230">
        <v>0</v>
      </c>
      <c r="CM21" s="230">
        <v>0</v>
      </c>
      <c r="CN21" s="230">
        <v>0</v>
      </c>
      <c r="CO21" s="230">
        <v>0</v>
      </c>
      <c r="CP21" s="230">
        <v>0</v>
      </c>
      <c r="CQ21" s="230">
        <v>0</v>
      </c>
      <c r="CR21" s="230">
        <v>0</v>
      </c>
      <c r="CS21" s="230">
        <v>0</v>
      </c>
      <c r="CT21" s="230">
        <v>0</v>
      </c>
      <c r="CU21" s="230">
        <v>0</v>
      </c>
      <c r="CV21" s="230">
        <v>0</v>
      </c>
      <c r="CW21" s="230">
        <v>0</v>
      </c>
      <c r="CX21" s="230">
        <v>0</v>
      </c>
      <c r="CY21" s="230">
        <v>0</v>
      </c>
      <c r="CZ21" s="230">
        <v>0</v>
      </c>
      <c r="DA21" s="230">
        <v>0</v>
      </c>
      <c r="DB21" s="230">
        <v>0</v>
      </c>
      <c r="DC21" s="230">
        <v>0</v>
      </c>
      <c r="DD21" s="230">
        <v>0</v>
      </c>
      <c r="DE21" s="230">
        <v>0</v>
      </c>
      <c r="DF21" s="230">
        <v>0</v>
      </c>
      <c r="DG21" s="230">
        <v>0</v>
      </c>
      <c r="DH21" s="230">
        <v>0</v>
      </c>
      <c r="DI21" s="230">
        <v>0</v>
      </c>
      <c r="DJ21" s="230">
        <v>0</v>
      </c>
      <c r="DK21" s="230" t="s">
        <v>599</v>
      </c>
      <c r="DL21" s="230" t="s">
        <v>601</v>
      </c>
      <c r="DM21" s="230" t="s">
        <v>601</v>
      </c>
      <c r="DN21" s="230" t="s">
        <v>601</v>
      </c>
      <c r="DO21" s="230" t="s">
        <v>601</v>
      </c>
      <c r="DP21" s="230" t="s">
        <v>601</v>
      </c>
      <c r="DQ21" s="230" t="s">
        <v>1193</v>
      </c>
      <c r="DR21" s="230" t="s">
        <v>601</v>
      </c>
      <c r="DS21" s="230" t="s">
        <v>601</v>
      </c>
      <c r="DT21" s="230" t="s">
        <v>601</v>
      </c>
      <c r="DU21" s="230" t="s">
        <v>601</v>
      </c>
      <c r="DV21" s="230" t="s">
        <v>601</v>
      </c>
      <c r="DW21" s="230">
        <v>40</v>
      </c>
      <c r="DX21" s="230">
        <v>40</v>
      </c>
      <c r="DY21" s="230">
        <v>40</v>
      </c>
      <c r="DZ21" s="230">
        <v>0</v>
      </c>
      <c r="EA21" s="230">
        <v>0</v>
      </c>
      <c r="EB21" s="230">
        <v>0</v>
      </c>
      <c r="EC21" s="230">
        <v>40</v>
      </c>
      <c r="ED21" s="230">
        <v>0</v>
      </c>
      <c r="EE21" s="230">
        <v>0</v>
      </c>
      <c r="EF21" s="230">
        <v>0</v>
      </c>
      <c r="EG21" s="230">
        <v>0</v>
      </c>
      <c r="EH21" s="230">
        <v>0</v>
      </c>
      <c r="EI21" s="230">
        <v>0</v>
      </c>
      <c r="EJ21" s="230">
        <v>0</v>
      </c>
      <c r="EK21" s="230">
        <v>0</v>
      </c>
      <c r="EL21" s="230">
        <v>0</v>
      </c>
      <c r="EM21" s="230">
        <v>0</v>
      </c>
      <c r="EN21" s="230">
        <v>0</v>
      </c>
      <c r="EO21" s="230">
        <v>0</v>
      </c>
      <c r="EP21" s="230">
        <v>0</v>
      </c>
      <c r="EQ21" s="230">
        <v>0</v>
      </c>
      <c r="ER21" s="230">
        <v>0</v>
      </c>
      <c r="ES21" s="230">
        <v>0</v>
      </c>
      <c r="ET21" s="230">
        <v>0</v>
      </c>
      <c r="EU21" s="230">
        <v>0</v>
      </c>
      <c r="EV21" s="230">
        <v>0</v>
      </c>
      <c r="EW21" s="230">
        <v>0</v>
      </c>
      <c r="EX21" s="230">
        <v>0</v>
      </c>
      <c r="EY21" s="230">
        <v>0</v>
      </c>
      <c r="EZ21" s="230">
        <v>0</v>
      </c>
      <c r="FA21" s="230">
        <v>0</v>
      </c>
      <c r="FB21" s="230">
        <v>0</v>
      </c>
      <c r="FC21" s="230">
        <v>0</v>
      </c>
      <c r="FD21" s="230">
        <v>0</v>
      </c>
      <c r="FE21" s="230">
        <v>0</v>
      </c>
      <c r="FF21" s="230">
        <v>0</v>
      </c>
      <c r="FG21" s="230">
        <v>0</v>
      </c>
      <c r="FH21" s="230">
        <v>0</v>
      </c>
      <c r="FI21" s="230">
        <v>0</v>
      </c>
      <c r="FJ21" s="230">
        <v>0</v>
      </c>
      <c r="FK21" s="230">
        <v>0</v>
      </c>
      <c r="FL21" s="230">
        <v>0</v>
      </c>
      <c r="FM21" s="230">
        <v>40</v>
      </c>
      <c r="FN21" s="230">
        <v>2100</v>
      </c>
      <c r="FO21" s="230">
        <v>0</v>
      </c>
      <c r="FP21" s="230">
        <v>0</v>
      </c>
      <c r="FQ21" s="230" t="s">
        <v>601</v>
      </c>
      <c r="FR21" s="230" t="s">
        <v>601</v>
      </c>
      <c r="FS21" s="230" t="s">
        <v>601</v>
      </c>
      <c r="FT21" s="230" t="s">
        <v>649</v>
      </c>
      <c r="FU21" s="230">
        <v>0</v>
      </c>
      <c r="FV21" s="230">
        <v>0</v>
      </c>
      <c r="FW21" s="230" t="s">
        <v>601</v>
      </c>
      <c r="FX21" s="230" t="s">
        <v>601</v>
      </c>
      <c r="FY21" s="230" t="s">
        <v>601</v>
      </c>
      <c r="FZ21" s="230" t="s">
        <v>649</v>
      </c>
      <c r="GA21" s="230" t="s">
        <v>601</v>
      </c>
      <c r="GB21" s="230" t="s">
        <v>601</v>
      </c>
      <c r="GC21" s="230" t="s">
        <v>601</v>
      </c>
      <c r="GD21" s="230" t="s">
        <v>601</v>
      </c>
      <c r="GE21" s="230" t="s">
        <v>601</v>
      </c>
      <c r="GF21" s="230">
        <v>34</v>
      </c>
      <c r="GG21" s="230">
        <v>34</v>
      </c>
      <c r="GH21" s="230">
        <v>34</v>
      </c>
      <c r="GI21" s="230">
        <v>0</v>
      </c>
      <c r="GJ21" s="230">
        <v>0</v>
      </c>
      <c r="GK21" s="230">
        <v>0</v>
      </c>
      <c r="GL21" s="230">
        <v>0</v>
      </c>
      <c r="GM21" s="230">
        <v>0</v>
      </c>
      <c r="GN21" s="230">
        <v>0</v>
      </c>
      <c r="GO21" s="230">
        <v>0</v>
      </c>
      <c r="GP21" s="230">
        <v>0</v>
      </c>
      <c r="GQ21" s="230">
        <v>0</v>
      </c>
      <c r="GR21" s="230">
        <v>0</v>
      </c>
      <c r="GS21" s="230">
        <v>0</v>
      </c>
      <c r="GT21" s="230">
        <v>0</v>
      </c>
      <c r="GU21" s="230">
        <v>0</v>
      </c>
      <c r="GV21" s="230">
        <v>0</v>
      </c>
      <c r="GW21" s="230">
        <v>0</v>
      </c>
      <c r="GX21" s="230">
        <v>0</v>
      </c>
      <c r="GY21" s="230">
        <v>0</v>
      </c>
      <c r="GZ21" s="230">
        <v>0</v>
      </c>
      <c r="HA21" s="230">
        <v>0</v>
      </c>
      <c r="HB21" s="230">
        <v>0</v>
      </c>
      <c r="HC21" s="230">
        <v>0</v>
      </c>
      <c r="HD21" s="230">
        <v>0</v>
      </c>
      <c r="HE21" s="230">
        <v>0</v>
      </c>
      <c r="HF21" s="230">
        <v>0</v>
      </c>
      <c r="HG21" s="230">
        <v>0</v>
      </c>
      <c r="HH21" s="230">
        <v>0</v>
      </c>
      <c r="HI21" s="230">
        <v>0</v>
      </c>
      <c r="HJ21" s="230">
        <v>0</v>
      </c>
      <c r="HK21" s="230">
        <v>0</v>
      </c>
      <c r="HL21" s="230">
        <v>0</v>
      </c>
      <c r="HM21" s="230">
        <v>0</v>
      </c>
      <c r="HN21" s="230">
        <v>0</v>
      </c>
      <c r="HO21" s="230">
        <v>0</v>
      </c>
      <c r="HP21" s="230" t="s">
        <v>51</v>
      </c>
      <c r="HQ21" s="230">
        <v>34</v>
      </c>
      <c r="HR21" s="230">
        <v>0</v>
      </c>
      <c r="HS21" s="230">
        <v>0</v>
      </c>
      <c r="HT21" s="230">
        <v>0</v>
      </c>
      <c r="HU21" s="230">
        <v>0</v>
      </c>
      <c r="HV21" s="230">
        <v>0</v>
      </c>
      <c r="HW21" s="797">
        <v>34</v>
      </c>
      <c r="HX21" s="797">
        <v>0</v>
      </c>
      <c r="HY21" s="230">
        <v>68</v>
      </c>
      <c r="HZ21" s="230"/>
      <c r="IA21" s="230"/>
      <c r="IB21" s="230"/>
      <c r="IC21" s="232" t="s">
        <v>765</v>
      </c>
      <c r="ID21" s="233" t="s">
        <v>766</v>
      </c>
      <c r="IE21" s="467" t="s">
        <v>583</v>
      </c>
      <c r="IF21" s="232" t="s">
        <v>364</v>
      </c>
      <c r="IG21" s="467" t="s">
        <v>584</v>
      </c>
      <c r="IH21" s="467" t="s">
        <v>585</v>
      </c>
      <c r="II21" s="546" t="s">
        <v>584</v>
      </c>
      <c r="IJ21" s="467">
        <v>44462</v>
      </c>
      <c r="IK21" s="468">
        <v>3</v>
      </c>
      <c r="IL21" s="469" t="s">
        <v>1210</v>
      </c>
      <c r="IM21" s="469" t="s">
        <v>1195</v>
      </c>
      <c r="IN21" s="469" t="s">
        <v>1195</v>
      </c>
      <c r="IO21" s="469" t="s">
        <v>601</v>
      </c>
      <c r="IP21" s="469" t="s">
        <v>601</v>
      </c>
      <c r="IQ21" s="469" t="s">
        <v>601</v>
      </c>
      <c r="IR21" s="469">
        <v>1</v>
      </c>
      <c r="IS21" s="469">
        <v>2</v>
      </c>
      <c r="IT21" s="469" t="s">
        <v>675</v>
      </c>
      <c r="IU21" s="469" t="s">
        <v>675</v>
      </c>
    </row>
    <row r="22" ht="76.5">
      <c r="A22" s="322">
        <v>21</v>
      </c>
      <c r="B22" s="229" t="s">
        <v>1178</v>
      </c>
      <c r="C22" s="229" t="s">
        <v>1178</v>
      </c>
      <c r="D22" s="797" t="s">
        <v>775</v>
      </c>
      <c r="E22" s="229" t="s">
        <v>769</v>
      </c>
      <c r="F22" s="229" t="s">
        <v>26</v>
      </c>
      <c r="G22" s="797" t="s">
        <v>770</v>
      </c>
      <c r="H22" s="797" t="s">
        <v>771</v>
      </c>
      <c r="I22" s="229">
        <v>1</v>
      </c>
      <c r="J22" s="229" t="s">
        <v>772</v>
      </c>
      <c r="K22" s="231" t="s">
        <v>584</v>
      </c>
      <c r="L22" s="231" t="s">
        <v>1228</v>
      </c>
      <c r="M22" s="229" t="s">
        <v>576</v>
      </c>
      <c r="N22" s="229" t="s">
        <v>775</v>
      </c>
      <c r="O22" s="229" t="s">
        <v>587</v>
      </c>
      <c r="P22" s="229" t="s">
        <v>1208</v>
      </c>
      <c r="Q22" s="229" t="s">
        <v>597</v>
      </c>
      <c r="R22" s="229" t="s">
        <v>1193</v>
      </c>
      <c r="S22" s="229" t="s">
        <v>600</v>
      </c>
      <c r="T22" s="229" t="s">
        <v>649</v>
      </c>
      <c r="U22" s="229">
        <v>1</v>
      </c>
      <c r="V22" s="229"/>
      <c r="W22" s="229" t="b">
        <v>1</v>
      </c>
      <c r="X22" s="229" t="b">
        <v>1</v>
      </c>
      <c r="Y22" s="797">
        <v>1</v>
      </c>
      <c r="Z22" s="229" t="b">
        <v>1</v>
      </c>
      <c r="AA22" s="797">
        <v>34</v>
      </c>
      <c r="AB22" s="229" t="b">
        <v>0</v>
      </c>
      <c r="AC22" s="229" t="b">
        <v>1</v>
      </c>
      <c r="AD22" s="229">
        <v>0</v>
      </c>
      <c r="AE22" s="229"/>
      <c r="AF22" s="229" t="s">
        <v>50</v>
      </c>
      <c r="AG22" s="229">
        <v>0</v>
      </c>
      <c r="AH22" s="230"/>
      <c r="AI22" s="553" t="s">
        <v>576</v>
      </c>
      <c r="AJ22" s="553" t="s">
        <v>576</v>
      </c>
      <c r="AK22" s="229">
        <v>4</v>
      </c>
      <c r="AL22" s="465" t="s">
        <v>1188</v>
      </c>
      <c r="AM22" s="465" t="s">
        <v>1220</v>
      </c>
      <c r="AN22" s="465" t="s">
        <v>1232</v>
      </c>
      <c r="AO22" s="229" t="s">
        <v>25</v>
      </c>
      <c r="AP22" s="230" t="s">
        <v>576</v>
      </c>
      <c r="AQ22" s="230">
        <v>0</v>
      </c>
      <c r="AR22" s="230">
        <v>0</v>
      </c>
      <c r="AS22" s="230" t="s">
        <v>601</v>
      </c>
      <c r="AT22" s="230" t="s">
        <v>601</v>
      </c>
      <c r="AU22" s="230" t="s">
        <v>601</v>
      </c>
      <c r="AV22" s="230" t="s">
        <v>1178</v>
      </c>
      <c r="AW22" s="230" t="s">
        <v>601</v>
      </c>
      <c r="AX22" s="230" t="s">
        <v>601</v>
      </c>
      <c r="AY22" s="230" t="s">
        <v>601</v>
      </c>
      <c r="AZ22" s="230" t="s">
        <v>601</v>
      </c>
      <c r="BA22" s="230" t="s">
        <v>601</v>
      </c>
      <c r="BB22" s="230" t="s">
        <v>1178</v>
      </c>
      <c r="BC22" s="230" t="s">
        <v>775</v>
      </c>
      <c r="BD22" s="230">
        <v>0</v>
      </c>
      <c r="BE22" s="230">
        <v>0</v>
      </c>
      <c r="BF22" s="230" t="s">
        <v>601</v>
      </c>
      <c r="BG22" s="230" t="s">
        <v>601</v>
      </c>
      <c r="BH22" s="230" t="s">
        <v>601</v>
      </c>
      <c r="BI22" s="230" t="s">
        <v>587</v>
      </c>
      <c r="BJ22" s="230">
        <v>0</v>
      </c>
      <c r="BK22" s="230">
        <v>0</v>
      </c>
      <c r="BL22" s="230" t="s">
        <v>601</v>
      </c>
      <c r="BM22" s="230" t="s">
        <v>601</v>
      </c>
      <c r="BN22" s="230" t="s">
        <v>601</v>
      </c>
      <c r="BO22" s="553">
        <v>3</v>
      </c>
      <c r="BP22" s="553">
        <v>0</v>
      </c>
      <c r="BQ22" s="553">
        <v>0</v>
      </c>
      <c r="BR22" s="553">
        <v>0</v>
      </c>
      <c r="BS22" s="553">
        <v>0</v>
      </c>
      <c r="BT22" s="554">
        <v>0</v>
      </c>
      <c r="BU22" s="230" t="s">
        <v>597</v>
      </c>
      <c r="BV22" s="230" t="s">
        <v>601</v>
      </c>
      <c r="BW22" s="230" t="s">
        <v>601</v>
      </c>
      <c r="BX22" s="230" t="s">
        <v>601</v>
      </c>
      <c r="BY22" s="230" t="s">
        <v>601</v>
      </c>
      <c r="BZ22" s="230" t="s">
        <v>601</v>
      </c>
      <c r="CA22" s="230">
        <v>2</v>
      </c>
      <c r="CB22" s="230">
        <v>2</v>
      </c>
      <c r="CC22" s="230">
        <v>2</v>
      </c>
      <c r="CD22" s="230">
        <v>0</v>
      </c>
      <c r="CE22" s="230">
        <v>0</v>
      </c>
      <c r="CF22" s="230">
        <v>0</v>
      </c>
      <c r="CG22" s="230">
        <v>0</v>
      </c>
      <c r="CH22" s="230">
        <v>0</v>
      </c>
      <c r="CI22" s="230">
        <v>0</v>
      </c>
      <c r="CJ22" s="230">
        <v>0</v>
      </c>
      <c r="CK22" s="230">
        <v>0</v>
      </c>
      <c r="CL22" s="230">
        <v>0</v>
      </c>
      <c r="CM22" s="230">
        <v>0</v>
      </c>
      <c r="CN22" s="230">
        <v>0</v>
      </c>
      <c r="CO22" s="230">
        <v>0</v>
      </c>
      <c r="CP22" s="230">
        <v>0</v>
      </c>
      <c r="CQ22" s="230">
        <v>0</v>
      </c>
      <c r="CR22" s="230">
        <v>0</v>
      </c>
      <c r="CS22" s="230">
        <v>0</v>
      </c>
      <c r="CT22" s="230">
        <v>0</v>
      </c>
      <c r="CU22" s="230">
        <v>0</v>
      </c>
      <c r="CV22" s="230">
        <v>0</v>
      </c>
      <c r="CW22" s="230">
        <v>0</v>
      </c>
      <c r="CX22" s="230">
        <v>0</v>
      </c>
      <c r="CY22" s="230">
        <v>0</v>
      </c>
      <c r="CZ22" s="230">
        <v>0</v>
      </c>
      <c r="DA22" s="230">
        <v>0</v>
      </c>
      <c r="DB22" s="230">
        <v>0</v>
      </c>
      <c r="DC22" s="230">
        <v>0</v>
      </c>
      <c r="DD22" s="230">
        <v>0</v>
      </c>
      <c r="DE22" s="230">
        <v>0</v>
      </c>
      <c r="DF22" s="230">
        <v>0</v>
      </c>
      <c r="DG22" s="230">
        <v>0</v>
      </c>
      <c r="DH22" s="230">
        <v>0</v>
      </c>
      <c r="DI22" s="230">
        <v>0</v>
      </c>
      <c r="DJ22" s="230">
        <v>0</v>
      </c>
      <c r="DK22" s="230" t="s">
        <v>599</v>
      </c>
      <c r="DL22" s="230" t="s">
        <v>601</v>
      </c>
      <c r="DM22" s="230" t="s">
        <v>601</v>
      </c>
      <c r="DN22" s="230" t="s">
        <v>601</v>
      </c>
      <c r="DO22" s="230" t="s">
        <v>601</v>
      </c>
      <c r="DP22" s="230" t="s">
        <v>601</v>
      </c>
      <c r="DQ22" s="230" t="s">
        <v>1193</v>
      </c>
      <c r="DR22" s="230" t="s">
        <v>601</v>
      </c>
      <c r="DS22" s="230" t="s">
        <v>601</v>
      </c>
      <c r="DT22" s="230" t="s">
        <v>601</v>
      </c>
      <c r="DU22" s="230" t="s">
        <v>601</v>
      </c>
      <c r="DV22" s="230" t="s">
        <v>601</v>
      </c>
      <c r="DW22" s="230">
        <v>40</v>
      </c>
      <c r="DX22" s="230">
        <v>40</v>
      </c>
      <c r="DY22" s="230">
        <v>40</v>
      </c>
      <c r="DZ22" s="230">
        <v>0</v>
      </c>
      <c r="EA22" s="230">
        <v>0</v>
      </c>
      <c r="EB22" s="230">
        <v>0</v>
      </c>
      <c r="EC22" s="230">
        <v>40</v>
      </c>
      <c r="ED22" s="230">
        <v>0</v>
      </c>
      <c r="EE22" s="230">
        <v>0</v>
      </c>
      <c r="EF22" s="230">
        <v>0</v>
      </c>
      <c r="EG22" s="230">
        <v>0</v>
      </c>
      <c r="EH22" s="230">
        <v>0</v>
      </c>
      <c r="EI22" s="230">
        <v>0</v>
      </c>
      <c r="EJ22" s="230">
        <v>0</v>
      </c>
      <c r="EK22" s="230">
        <v>0</v>
      </c>
      <c r="EL22" s="230">
        <v>0</v>
      </c>
      <c r="EM22" s="230">
        <v>0</v>
      </c>
      <c r="EN22" s="230">
        <v>0</v>
      </c>
      <c r="EO22" s="230">
        <v>0</v>
      </c>
      <c r="EP22" s="230">
        <v>0</v>
      </c>
      <c r="EQ22" s="230">
        <v>0</v>
      </c>
      <c r="ER22" s="230">
        <v>0</v>
      </c>
      <c r="ES22" s="230">
        <v>0</v>
      </c>
      <c r="ET22" s="230">
        <v>0</v>
      </c>
      <c r="EU22" s="230">
        <v>0</v>
      </c>
      <c r="EV22" s="230">
        <v>0</v>
      </c>
      <c r="EW22" s="230">
        <v>0</v>
      </c>
      <c r="EX22" s="230">
        <v>0</v>
      </c>
      <c r="EY22" s="230">
        <v>0</v>
      </c>
      <c r="EZ22" s="230">
        <v>0</v>
      </c>
      <c r="FA22" s="230">
        <v>0</v>
      </c>
      <c r="FB22" s="230">
        <v>0</v>
      </c>
      <c r="FC22" s="230">
        <v>0</v>
      </c>
      <c r="FD22" s="230">
        <v>0</v>
      </c>
      <c r="FE22" s="230">
        <v>0</v>
      </c>
      <c r="FF22" s="230">
        <v>0</v>
      </c>
      <c r="FG22" s="230">
        <v>0</v>
      </c>
      <c r="FH22" s="230">
        <v>0</v>
      </c>
      <c r="FI22" s="230">
        <v>0</v>
      </c>
      <c r="FJ22" s="230">
        <v>0</v>
      </c>
      <c r="FK22" s="230">
        <v>0</v>
      </c>
      <c r="FL22" s="230">
        <v>0</v>
      </c>
      <c r="FM22" s="230">
        <v>40</v>
      </c>
      <c r="FN22" s="230">
        <v>2100</v>
      </c>
      <c r="FO22" s="230">
        <v>0</v>
      </c>
      <c r="FP22" s="230">
        <v>0</v>
      </c>
      <c r="FQ22" s="230" t="s">
        <v>601</v>
      </c>
      <c r="FR22" s="230" t="s">
        <v>601</v>
      </c>
      <c r="FS22" s="230" t="s">
        <v>601</v>
      </c>
      <c r="FT22" s="230" t="s">
        <v>649</v>
      </c>
      <c r="FU22" s="230">
        <v>0</v>
      </c>
      <c r="FV22" s="230">
        <v>0</v>
      </c>
      <c r="FW22" s="230" t="s">
        <v>601</v>
      </c>
      <c r="FX22" s="230" t="s">
        <v>601</v>
      </c>
      <c r="FY22" s="230" t="s">
        <v>601</v>
      </c>
      <c r="FZ22" s="230" t="s">
        <v>649</v>
      </c>
      <c r="GA22" s="230" t="s">
        <v>601</v>
      </c>
      <c r="GB22" s="230" t="s">
        <v>601</v>
      </c>
      <c r="GC22" s="230" t="s">
        <v>601</v>
      </c>
      <c r="GD22" s="230" t="s">
        <v>601</v>
      </c>
      <c r="GE22" s="230" t="s">
        <v>601</v>
      </c>
      <c r="GF22" s="230">
        <v>34</v>
      </c>
      <c r="GG22" s="230">
        <v>34</v>
      </c>
      <c r="GH22" s="230">
        <v>34</v>
      </c>
      <c r="GI22" s="230">
        <v>0</v>
      </c>
      <c r="GJ22" s="230">
        <v>0</v>
      </c>
      <c r="GK22" s="230">
        <v>0</v>
      </c>
      <c r="GL22" s="230">
        <v>0</v>
      </c>
      <c r="GM22" s="230">
        <v>0</v>
      </c>
      <c r="GN22" s="230">
        <v>0</v>
      </c>
      <c r="GO22" s="230">
        <v>0</v>
      </c>
      <c r="GP22" s="230">
        <v>0</v>
      </c>
      <c r="GQ22" s="230">
        <v>0</v>
      </c>
      <c r="GR22" s="230">
        <v>0</v>
      </c>
      <c r="GS22" s="230">
        <v>0</v>
      </c>
      <c r="GT22" s="230">
        <v>0</v>
      </c>
      <c r="GU22" s="230">
        <v>0</v>
      </c>
      <c r="GV22" s="230">
        <v>0</v>
      </c>
      <c r="GW22" s="230">
        <v>0</v>
      </c>
      <c r="GX22" s="230">
        <v>0</v>
      </c>
      <c r="GY22" s="230">
        <v>0</v>
      </c>
      <c r="GZ22" s="230">
        <v>0</v>
      </c>
      <c r="HA22" s="230">
        <v>0</v>
      </c>
      <c r="HB22" s="230">
        <v>0</v>
      </c>
      <c r="HC22" s="230">
        <v>0</v>
      </c>
      <c r="HD22" s="230">
        <v>0</v>
      </c>
      <c r="HE22" s="230">
        <v>0</v>
      </c>
      <c r="HF22" s="230">
        <v>0</v>
      </c>
      <c r="HG22" s="230">
        <v>0</v>
      </c>
      <c r="HH22" s="230">
        <v>0</v>
      </c>
      <c r="HI22" s="230">
        <v>0</v>
      </c>
      <c r="HJ22" s="230">
        <v>0</v>
      </c>
      <c r="HK22" s="230">
        <v>0</v>
      </c>
      <c r="HL22" s="230">
        <v>0</v>
      </c>
      <c r="HM22" s="230">
        <v>0</v>
      </c>
      <c r="HN22" s="230">
        <v>0</v>
      </c>
      <c r="HO22" s="230">
        <v>0</v>
      </c>
      <c r="HP22" s="230" t="s">
        <v>51</v>
      </c>
      <c r="HQ22" s="230">
        <v>34</v>
      </c>
      <c r="HR22" s="230">
        <v>0</v>
      </c>
      <c r="HS22" s="230">
        <v>0</v>
      </c>
      <c r="HT22" s="230">
        <v>0</v>
      </c>
      <c r="HU22" s="230">
        <v>0</v>
      </c>
      <c r="HV22" s="230">
        <v>0</v>
      </c>
      <c r="HW22" s="797">
        <v>34</v>
      </c>
      <c r="HX22" s="797">
        <v>0</v>
      </c>
      <c r="HY22" s="230">
        <v>68</v>
      </c>
      <c r="HZ22" s="230"/>
      <c r="IA22" s="230"/>
      <c r="IB22" s="230"/>
      <c r="IC22" s="232" t="s">
        <v>773</v>
      </c>
      <c r="ID22" s="233" t="s">
        <v>774</v>
      </c>
      <c r="IE22" s="467" t="s">
        <v>583</v>
      </c>
      <c r="IF22" s="232" t="s">
        <v>364</v>
      </c>
      <c r="IG22" s="467" t="s">
        <v>584</v>
      </c>
      <c r="IH22" s="467" t="s">
        <v>585</v>
      </c>
      <c r="II22" s="546" t="s">
        <v>584</v>
      </c>
      <c r="IJ22" s="467">
        <v>44462</v>
      </c>
      <c r="IK22" s="468">
        <v>3</v>
      </c>
      <c r="IL22" s="469" t="s">
        <v>1210</v>
      </c>
      <c r="IM22" s="469" t="s">
        <v>1195</v>
      </c>
      <c r="IN22" s="469" t="s">
        <v>1195</v>
      </c>
      <c r="IO22" s="469" t="s">
        <v>601</v>
      </c>
      <c r="IP22" s="469" t="s">
        <v>601</v>
      </c>
      <c r="IQ22" s="469" t="s">
        <v>601</v>
      </c>
      <c r="IR22" s="469">
        <v>1</v>
      </c>
      <c r="IS22" s="469">
        <v>2</v>
      </c>
      <c r="IT22" s="469" t="s">
        <v>675</v>
      </c>
      <c r="IU22" s="469" t="s">
        <v>675</v>
      </c>
    </row>
    <row r="23" ht="76.5">
      <c r="A23" s="322">
        <v>22</v>
      </c>
      <c r="B23" s="229" t="s">
        <v>1178</v>
      </c>
      <c r="C23" s="229" t="s">
        <v>1178</v>
      </c>
      <c r="D23" s="797" t="s">
        <v>783</v>
      </c>
      <c r="E23" s="229" t="s">
        <v>777</v>
      </c>
      <c r="F23" s="229" t="s">
        <v>26</v>
      </c>
      <c r="G23" s="797" t="s">
        <v>778</v>
      </c>
      <c r="H23" s="797" t="s">
        <v>779</v>
      </c>
      <c r="I23" s="229">
        <v>2</v>
      </c>
      <c r="J23" s="229" t="s">
        <v>780</v>
      </c>
      <c r="K23" s="231" t="s">
        <v>584</v>
      </c>
      <c r="L23" s="231" t="s">
        <v>1233</v>
      </c>
      <c r="M23" s="229" t="s">
        <v>1197</v>
      </c>
      <c r="N23" s="229" t="s">
        <v>1234</v>
      </c>
      <c r="O23" s="229" t="s">
        <v>1199</v>
      </c>
      <c r="P23" s="229" t="s">
        <v>1200</v>
      </c>
      <c r="Q23" s="229" t="s">
        <v>1213</v>
      </c>
      <c r="R23" s="229" t="s">
        <v>1214</v>
      </c>
      <c r="S23" s="229" t="s">
        <v>1215</v>
      </c>
      <c r="T23" s="229" t="s">
        <v>1235</v>
      </c>
      <c r="U23" s="229">
        <v>1</v>
      </c>
      <c r="V23" s="229"/>
      <c r="W23" s="229" t="b">
        <v>0</v>
      </c>
      <c r="X23" s="229" t="b">
        <v>0</v>
      </c>
      <c r="Y23" s="797">
        <v>0</v>
      </c>
      <c r="Z23" s="229" t="b">
        <v>1</v>
      </c>
      <c r="AA23" s="797">
        <v>23</v>
      </c>
      <c r="AB23" s="229" t="b">
        <v>0</v>
      </c>
      <c r="AC23" s="229" t="b">
        <v>1</v>
      </c>
      <c r="AD23" s="229">
        <v>0</v>
      </c>
      <c r="AE23" s="229"/>
      <c r="AF23" s="229" t="s">
        <v>50</v>
      </c>
      <c r="AG23" s="229">
        <v>0</v>
      </c>
      <c r="AH23" s="230"/>
      <c r="AI23" s="553" t="s">
        <v>576</v>
      </c>
      <c r="AJ23" s="553" t="s">
        <v>576</v>
      </c>
      <c r="AK23" s="229">
        <v>5</v>
      </c>
      <c r="AL23" s="465" t="s">
        <v>1188</v>
      </c>
      <c r="AM23" s="465" t="s">
        <v>1220</v>
      </c>
      <c r="AN23" s="465" t="s">
        <v>1226</v>
      </c>
      <c r="AO23" s="229" t="s">
        <v>25</v>
      </c>
      <c r="AP23" s="230" t="s">
        <v>576</v>
      </c>
      <c r="AQ23" s="230" t="s">
        <v>576</v>
      </c>
      <c r="AR23" s="230">
        <v>0</v>
      </c>
      <c r="AS23" s="230" t="s">
        <v>601</v>
      </c>
      <c r="AT23" s="230" t="s">
        <v>601</v>
      </c>
      <c r="AU23" s="230" t="s">
        <v>601</v>
      </c>
      <c r="AV23" s="230" t="s">
        <v>1178</v>
      </c>
      <c r="AW23" s="230" t="s">
        <v>1178</v>
      </c>
      <c r="AX23" s="230" t="s">
        <v>601</v>
      </c>
      <c r="AY23" s="230" t="s">
        <v>601</v>
      </c>
      <c r="AZ23" s="230" t="s">
        <v>601</v>
      </c>
      <c r="BA23" s="230" t="s">
        <v>601</v>
      </c>
      <c r="BB23" s="230" t="s">
        <v>1206</v>
      </c>
      <c r="BC23" s="230" t="s">
        <v>783</v>
      </c>
      <c r="BD23" s="230" t="s">
        <v>783</v>
      </c>
      <c r="BE23" s="230">
        <v>0</v>
      </c>
      <c r="BF23" s="230" t="s">
        <v>601</v>
      </c>
      <c r="BG23" s="230" t="s">
        <v>601</v>
      </c>
      <c r="BH23" s="230" t="s">
        <v>601</v>
      </c>
      <c r="BI23" s="230" t="s">
        <v>587</v>
      </c>
      <c r="BJ23" s="230" t="s">
        <v>587</v>
      </c>
      <c r="BK23" s="230">
        <v>0</v>
      </c>
      <c r="BL23" s="230" t="s">
        <v>601</v>
      </c>
      <c r="BM23" s="230" t="s">
        <v>601</v>
      </c>
      <c r="BN23" s="230" t="s">
        <v>601</v>
      </c>
      <c r="BO23" s="553">
        <v>3</v>
      </c>
      <c r="BP23" s="553">
        <v>3</v>
      </c>
      <c r="BQ23" s="553">
        <v>0</v>
      </c>
      <c r="BR23" s="553">
        <v>0</v>
      </c>
      <c r="BS23" s="553">
        <v>0</v>
      </c>
      <c r="BT23" s="554">
        <v>0</v>
      </c>
      <c r="BU23" s="230" t="s">
        <v>597</v>
      </c>
      <c r="BV23" s="230" t="s">
        <v>597</v>
      </c>
      <c r="BW23" s="230" t="s">
        <v>601</v>
      </c>
      <c r="BX23" s="230" t="s">
        <v>601</v>
      </c>
      <c r="BY23" s="230" t="s">
        <v>601</v>
      </c>
      <c r="BZ23" s="230" t="s">
        <v>601</v>
      </c>
      <c r="CA23" s="230">
        <v>2</v>
      </c>
      <c r="CB23" s="230">
        <v>2</v>
      </c>
      <c r="CC23" s="230">
        <v>2</v>
      </c>
      <c r="CD23" s="230">
        <v>0</v>
      </c>
      <c r="CE23" s="230">
        <v>0</v>
      </c>
      <c r="CF23" s="230">
        <v>0</v>
      </c>
      <c r="CG23" s="230">
        <v>2</v>
      </c>
      <c r="CH23" s="230">
        <v>2</v>
      </c>
      <c r="CI23" s="230">
        <v>2</v>
      </c>
      <c r="CJ23" s="230">
        <v>0</v>
      </c>
      <c r="CK23" s="230">
        <v>0</v>
      </c>
      <c r="CL23" s="230">
        <v>0</v>
      </c>
      <c r="CM23" s="230">
        <v>0</v>
      </c>
      <c r="CN23" s="230">
        <v>0</v>
      </c>
      <c r="CO23" s="230">
        <v>0</v>
      </c>
      <c r="CP23" s="230">
        <v>0</v>
      </c>
      <c r="CQ23" s="230">
        <v>0</v>
      </c>
      <c r="CR23" s="230">
        <v>0</v>
      </c>
      <c r="CS23" s="230">
        <v>0</v>
      </c>
      <c r="CT23" s="230">
        <v>0</v>
      </c>
      <c r="CU23" s="230">
        <v>0</v>
      </c>
      <c r="CV23" s="230">
        <v>0</v>
      </c>
      <c r="CW23" s="230">
        <v>0</v>
      </c>
      <c r="CX23" s="230">
        <v>0</v>
      </c>
      <c r="CY23" s="230">
        <v>0</v>
      </c>
      <c r="CZ23" s="230">
        <v>0</v>
      </c>
      <c r="DA23" s="230">
        <v>0</v>
      </c>
      <c r="DB23" s="230">
        <v>0</v>
      </c>
      <c r="DC23" s="230">
        <v>0</v>
      </c>
      <c r="DD23" s="230">
        <v>0</v>
      </c>
      <c r="DE23" s="230">
        <v>0</v>
      </c>
      <c r="DF23" s="230">
        <v>0</v>
      </c>
      <c r="DG23" s="230">
        <v>0</v>
      </c>
      <c r="DH23" s="230">
        <v>0</v>
      </c>
      <c r="DI23" s="230">
        <v>0</v>
      </c>
      <c r="DJ23" s="230">
        <v>0</v>
      </c>
      <c r="DK23" s="230" t="s">
        <v>599</v>
      </c>
      <c r="DL23" s="230" t="s">
        <v>599</v>
      </c>
      <c r="DM23" s="230" t="s">
        <v>601</v>
      </c>
      <c r="DN23" s="230" t="s">
        <v>601</v>
      </c>
      <c r="DO23" s="230" t="s">
        <v>601</v>
      </c>
      <c r="DP23" s="230" t="s">
        <v>601</v>
      </c>
      <c r="DQ23" s="230" t="s">
        <v>1193</v>
      </c>
      <c r="DR23" s="230" t="s">
        <v>1193</v>
      </c>
      <c r="DS23" s="230" t="s">
        <v>601</v>
      </c>
      <c r="DT23" s="230" t="s">
        <v>601</v>
      </c>
      <c r="DU23" s="230" t="s">
        <v>601</v>
      </c>
      <c r="DV23" s="230" t="s">
        <v>601</v>
      </c>
      <c r="DW23" s="230">
        <v>40</v>
      </c>
      <c r="DX23" s="230">
        <v>40</v>
      </c>
      <c r="DY23" s="230">
        <v>40</v>
      </c>
      <c r="DZ23" s="230">
        <v>0</v>
      </c>
      <c r="EA23" s="230">
        <v>0</v>
      </c>
      <c r="EB23" s="230">
        <v>0</v>
      </c>
      <c r="EC23" s="230">
        <v>40</v>
      </c>
      <c r="ED23" s="230">
        <v>40</v>
      </c>
      <c r="EE23" s="230">
        <v>40</v>
      </c>
      <c r="EF23" s="230">
        <v>40</v>
      </c>
      <c r="EG23" s="230">
        <v>0</v>
      </c>
      <c r="EH23" s="230">
        <v>0</v>
      </c>
      <c r="EI23" s="230">
        <v>0</v>
      </c>
      <c r="EJ23" s="230">
        <v>40</v>
      </c>
      <c r="EK23" s="230">
        <v>0</v>
      </c>
      <c r="EL23" s="230">
        <v>0</v>
      </c>
      <c r="EM23" s="230">
        <v>0</v>
      </c>
      <c r="EN23" s="230">
        <v>0</v>
      </c>
      <c r="EO23" s="230">
        <v>0</v>
      </c>
      <c r="EP23" s="230">
        <v>0</v>
      </c>
      <c r="EQ23" s="230">
        <v>0</v>
      </c>
      <c r="ER23" s="230">
        <v>0</v>
      </c>
      <c r="ES23" s="230">
        <v>0</v>
      </c>
      <c r="ET23" s="230">
        <v>0</v>
      </c>
      <c r="EU23" s="230">
        <v>0</v>
      </c>
      <c r="EV23" s="230">
        <v>0</v>
      </c>
      <c r="EW23" s="230">
        <v>0</v>
      </c>
      <c r="EX23" s="230">
        <v>0</v>
      </c>
      <c r="EY23" s="230">
        <v>0</v>
      </c>
      <c r="EZ23" s="230">
        <v>0</v>
      </c>
      <c r="FA23" s="230">
        <v>0</v>
      </c>
      <c r="FB23" s="230">
        <v>0</v>
      </c>
      <c r="FC23" s="230">
        <v>0</v>
      </c>
      <c r="FD23" s="230">
        <v>0</v>
      </c>
      <c r="FE23" s="230">
        <v>0</v>
      </c>
      <c r="FF23" s="230">
        <v>0</v>
      </c>
      <c r="FG23" s="230">
        <v>0</v>
      </c>
      <c r="FH23" s="230">
        <v>0</v>
      </c>
      <c r="FI23" s="230">
        <v>0</v>
      </c>
      <c r="FJ23" s="230">
        <v>0</v>
      </c>
      <c r="FK23" s="230">
        <v>0</v>
      </c>
      <c r="FL23" s="230">
        <v>0</v>
      </c>
      <c r="FM23" s="230">
        <v>40</v>
      </c>
      <c r="FN23" s="230" t="s">
        <v>592</v>
      </c>
      <c r="FO23" s="230" t="s">
        <v>600</v>
      </c>
      <c r="FP23" s="230">
        <v>0</v>
      </c>
      <c r="FQ23" s="230" t="s">
        <v>601</v>
      </c>
      <c r="FR23" s="230" t="s">
        <v>601</v>
      </c>
      <c r="FS23" s="230" t="s">
        <v>601</v>
      </c>
      <c r="FT23" s="230" t="s">
        <v>751</v>
      </c>
      <c r="FU23" s="230" t="s">
        <v>593</v>
      </c>
      <c r="FV23" s="230">
        <v>0</v>
      </c>
      <c r="FW23" s="230" t="s">
        <v>601</v>
      </c>
      <c r="FX23" s="230" t="s">
        <v>601</v>
      </c>
      <c r="FY23" s="230" t="s">
        <v>601</v>
      </c>
      <c r="FZ23" s="230" t="s">
        <v>751</v>
      </c>
      <c r="GA23" s="230" t="s">
        <v>593</v>
      </c>
      <c r="GB23" s="230" t="s">
        <v>601</v>
      </c>
      <c r="GC23" s="230" t="s">
        <v>601</v>
      </c>
      <c r="GD23" s="230" t="s">
        <v>601</v>
      </c>
      <c r="GE23" s="230" t="s">
        <v>601</v>
      </c>
      <c r="GF23" s="230">
        <v>23</v>
      </c>
      <c r="GG23" s="230">
        <v>23</v>
      </c>
      <c r="GH23" s="230">
        <v>23</v>
      </c>
      <c r="GI23" s="230">
        <v>0</v>
      </c>
      <c r="GJ23" s="230">
        <v>0</v>
      </c>
      <c r="GK23" s="230">
        <v>0</v>
      </c>
      <c r="GL23" s="230">
        <v>27</v>
      </c>
      <c r="GM23" s="230">
        <v>27</v>
      </c>
      <c r="GN23" s="230">
        <v>27</v>
      </c>
      <c r="GO23" s="230">
        <v>0</v>
      </c>
      <c r="GP23" s="230">
        <v>0</v>
      </c>
      <c r="GQ23" s="230">
        <v>0</v>
      </c>
      <c r="GR23" s="230">
        <v>0</v>
      </c>
      <c r="GS23" s="230">
        <v>0</v>
      </c>
      <c r="GT23" s="230">
        <v>0</v>
      </c>
      <c r="GU23" s="230">
        <v>0</v>
      </c>
      <c r="GV23" s="230">
        <v>0</v>
      </c>
      <c r="GW23" s="230">
        <v>0</v>
      </c>
      <c r="GX23" s="230">
        <v>0</v>
      </c>
      <c r="GY23" s="230">
        <v>0</v>
      </c>
      <c r="GZ23" s="230">
        <v>0</v>
      </c>
      <c r="HA23" s="230">
        <v>0</v>
      </c>
      <c r="HB23" s="230">
        <v>0</v>
      </c>
      <c r="HC23" s="230">
        <v>0</v>
      </c>
      <c r="HD23" s="230">
        <v>0</v>
      </c>
      <c r="HE23" s="230">
        <v>0</v>
      </c>
      <c r="HF23" s="230">
        <v>0</v>
      </c>
      <c r="HG23" s="230">
        <v>0</v>
      </c>
      <c r="HH23" s="230">
        <v>0</v>
      </c>
      <c r="HI23" s="230">
        <v>0</v>
      </c>
      <c r="HJ23" s="230">
        <v>0</v>
      </c>
      <c r="HK23" s="230">
        <v>0</v>
      </c>
      <c r="HL23" s="230">
        <v>0</v>
      </c>
      <c r="HM23" s="230">
        <v>0</v>
      </c>
      <c r="HN23" s="230">
        <v>0</v>
      </c>
      <c r="HO23" s="230">
        <v>0</v>
      </c>
      <c r="HP23" s="230" t="s">
        <v>51</v>
      </c>
      <c r="HQ23" s="230">
        <v>23</v>
      </c>
      <c r="HR23" s="230">
        <v>27</v>
      </c>
      <c r="HS23" s="230">
        <v>0</v>
      </c>
      <c r="HT23" s="230">
        <v>0</v>
      </c>
      <c r="HU23" s="230">
        <v>0</v>
      </c>
      <c r="HV23" s="230">
        <v>0</v>
      </c>
      <c r="HW23" s="797">
        <v>23</v>
      </c>
      <c r="HX23" s="797">
        <v>0</v>
      </c>
      <c r="HY23" s="230">
        <v>68</v>
      </c>
      <c r="HZ23" s="230"/>
      <c r="IA23" s="230"/>
      <c r="IB23" s="230"/>
      <c r="IC23" s="232" t="s">
        <v>781</v>
      </c>
      <c r="ID23" s="233" t="s">
        <v>782</v>
      </c>
      <c r="IE23" s="467" t="s">
        <v>583</v>
      </c>
      <c r="IF23" s="232" t="s">
        <v>364</v>
      </c>
      <c r="IG23" s="467" t="s">
        <v>584</v>
      </c>
      <c r="IH23" s="467" t="s">
        <v>585</v>
      </c>
      <c r="II23" s="546" t="s">
        <v>584</v>
      </c>
      <c r="IJ23" s="467">
        <v>44462</v>
      </c>
      <c r="IK23" s="468">
        <v>3</v>
      </c>
      <c r="IL23" s="469" t="s">
        <v>1207</v>
      </c>
      <c r="IM23" s="469" t="s">
        <v>603</v>
      </c>
      <c r="IN23" s="469" t="s">
        <v>1195</v>
      </c>
      <c r="IO23" s="469" t="s">
        <v>601</v>
      </c>
      <c r="IP23" s="469" t="s">
        <v>601</v>
      </c>
      <c r="IQ23" s="469" t="s">
        <v>601</v>
      </c>
      <c r="IR23" s="469">
        <v>2</v>
      </c>
      <c r="IS23" s="469">
        <v>1</v>
      </c>
      <c r="IT23" s="469" t="s">
        <v>675</v>
      </c>
      <c r="IU23" s="469" t="s">
        <v>675</v>
      </c>
    </row>
    <row r="24" ht="76.5">
      <c r="A24" s="322">
        <v>23</v>
      </c>
      <c r="B24" s="229" t="s">
        <v>1178</v>
      </c>
      <c r="C24" s="229" t="s">
        <v>1178</v>
      </c>
      <c r="D24" s="797" t="s">
        <v>791</v>
      </c>
      <c r="E24" s="229" t="s">
        <v>785</v>
      </c>
      <c r="F24" s="229" t="s">
        <v>26</v>
      </c>
      <c r="G24" s="797" t="s">
        <v>786</v>
      </c>
      <c r="H24" s="797" t="s">
        <v>787</v>
      </c>
      <c r="I24" s="229">
        <v>1</v>
      </c>
      <c r="J24" s="229" t="s">
        <v>788</v>
      </c>
      <c r="K24" s="231" t="s">
        <v>584</v>
      </c>
      <c r="L24" s="231" t="s">
        <v>1233</v>
      </c>
      <c r="M24" s="229" t="s">
        <v>576</v>
      </c>
      <c r="N24" s="229" t="s">
        <v>791</v>
      </c>
      <c r="O24" s="229" t="s">
        <v>587</v>
      </c>
      <c r="P24" s="229" t="s">
        <v>1208</v>
      </c>
      <c r="Q24" s="229" t="s">
        <v>597</v>
      </c>
      <c r="R24" s="229" t="s">
        <v>1193</v>
      </c>
      <c r="S24" s="229" t="s">
        <v>600</v>
      </c>
      <c r="T24" s="229" t="s">
        <v>792</v>
      </c>
      <c r="U24" s="229">
        <v>1</v>
      </c>
      <c r="V24" s="229"/>
      <c r="W24" s="229" t="b">
        <v>0</v>
      </c>
      <c r="X24" s="229" t="b">
        <v>0</v>
      </c>
      <c r="Y24" s="797">
        <v>0</v>
      </c>
      <c r="Z24" s="229" t="b">
        <v>1</v>
      </c>
      <c r="AA24" s="797">
        <v>31</v>
      </c>
      <c r="AB24" s="229" t="b">
        <v>0</v>
      </c>
      <c r="AC24" s="229" t="b">
        <v>1</v>
      </c>
      <c r="AD24" s="229">
        <v>0</v>
      </c>
      <c r="AE24" s="229"/>
      <c r="AF24" s="229" t="s">
        <v>50</v>
      </c>
      <c r="AG24" s="229">
        <v>0</v>
      </c>
      <c r="AH24" s="230"/>
      <c r="AI24" s="553" t="s">
        <v>576</v>
      </c>
      <c r="AJ24" s="553" t="s">
        <v>576</v>
      </c>
      <c r="AK24" s="229">
        <v>5</v>
      </c>
      <c r="AL24" s="465" t="s">
        <v>1188</v>
      </c>
      <c r="AM24" s="465" t="s">
        <v>1220</v>
      </c>
      <c r="AN24" s="465" t="s">
        <v>1229</v>
      </c>
      <c r="AO24" s="229" t="s">
        <v>25</v>
      </c>
      <c r="AP24" s="230" t="s">
        <v>576</v>
      </c>
      <c r="AQ24" s="230">
        <v>0</v>
      </c>
      <c r="AR24" s="230">
        <v>0</v>
      </c>
      <c r="AS24" s="230" t="s">
        <v>601</v>
      </c>
      <c r="AT24" s="230" t="s">
        <v>601</v>
      </c>
      <c r="AU24" s="230" t="s">
        <v>601</v>
      </c>
      <c r="AV24" s="230" t="s">
        <v>1178</v>
      </c>
      <c r="AW24" s="230" t="s">
        <v>601</v>
      </c>
      <c r="AX24" s="230" t="s">
        <v>601</v>
      </c>
      <c r="AY24" s="230" t="s">
        <v>601</v>
      </c>
      <c r="AZ24" s="230" t="s">
        <v>601</v>
      </c>
      <c r="BA24" s="230" t="s">
        <v>601</v>
      </c>
      <c r="BB24" s="230" t="s">
        <v>1178</v>
      </c>
      <c r="BC24" s="230" t="s">
        <v>791</v>
      </c>
      <c r="BD24" s="230">
        <v>0</v>
      </c>
      <c r="BE24" s="230">
        <v>0</v>
      </c>
      <c r="BF24" s="230" t="s">
        <v>601</v>
      </c>
      <c r="BG24" s="230" t="s">
        <v>601</v>
      </c>
      <c r="BH24" s="230" t="s">
        <v>601</v>
      </c>
      <c r="BI24" s="230" t="s">
        <v>587</v>
      </c>
      <c r="BJ24" s="230">
        <v>0</v>
      </c>
      <c r="BK24" s="230">
        <v>0</v>
      </c>
      <c r="BL24" s="230" t="s">
        <v>601</v>
      </c>
      <c r="BM24" s="230" t="s">
        <v>601</v>
      </c>
      <c r="BN24" s="230" t="s">
        <v>601</v>
      </c>
      <c r="BO24" s="553">
        <v>3</v>
      </c>
      <c r="BP24" s="553">
        <v>0</v>
      </c>
      <c r="BQ24" s="553">
        <v>0</v>
      </c>
      <c r="BR24" s="553">
        <v>0</v>
      </c>
      <c r="BS24" s="553">
        <v>0</v>
      </c>
      <c r="BT24" s="554">
        <v>0</v>
      </c>
      <c r="BU24" s="230" t="s">
        <v>597</v>
      </c>
      <c r="BV24" s="230" t="s">
        <v>601</v>
      </c>
      <c r="BW24" s="230" t="s">
        <v>601</v>
      </c>
      <c r="BX24" s="230" t="s">
        <v>601</v>
      </c>
      <c r="BY24" s="230" t="s">
        <v>601</v>
      </c>
      <c r="BZ24" s="230" t="s">
        <v>601</v>
      </c>
      <c r="CA24" s="230">
        <v>2</v>
      </c>
      <c r="CB24" s="230">
        <v>2</v>
      </c>
      <c r="CC24" s="230">
        <v>2</v>
      </c>
      <c r="CD24" s="230">
        <v>0</v>
      </c>
      <c r="CE24" s="230">
        <v>0</v>
      </c>
      <c r="CF24" s="230">
        <v>0</v>
      </c>
      <c r="CG24" s="230">
        <v>0</v>
      </c>
      <c r="CH24" s="230">
        <v>0</v>
      </c>
      <c r="CI24" s="230">
        <v>0</v>
      </c>
      <c r="CJ24" s="230">
        <v>0</v>
      </c>
      <c r="CK24" s="230">
        <v>0</v>
      </c>
      <c r="CL24" s="230">
        <v>0</v>
      </c>
      <c r="CM24" s="230">
        <v>0</v>
      </c>
      <c r="CN24" s="230">
        <v>0</v>
      </c>
      <c r="CO24" s="230">
        <v>0</v>
      </c>
      <c r="CP24" s="230">
        <v>0</v>
      </c>
      <c r="CQ24" s="230">
        <v>0</v>
      </c>
      <c r="CR24" s="230">
        <v>0</v>
      </c>
      <c r="CS24" s="230">
        <v>0</v>
      </c>
      <c r="CT24" s="230">
        <v>0</v>
      </c>
      <c r="CU24" s="230">
        <v>0</v>
      </c>
      <c r="CV24" s="230">
        <v>0</v>
      </c>
      <c r="CW24" s="230">
        <v>0</v>
      </c>
      <c r="CX24" s="230">
        <v>0</v>
      </c>
      <c r="CY24" s="230">
        <v>0</v>
      </c>
      <c r="CZ24" s="230">
        <v>0</v>
      </c>
      <c r="DA24" s="230">
        <v>0</v>
      </c>
      <c r="DB24" s="230">
        <v>0</v>
      </c>
      <c r="DC24" s="230">
        <v>0</v>
      </c>
      <c r="DD24" s="230">
        <v>0</v>
      </c>
      <c r="DE24" s="230">
        <v>0</v>
      </c>
      <c r="DF24" s="230">
        <v>0</v>
      </c>
      <c r="DG24" s="230">
        <v>0</v>
      </c>
      <c r="DH24" s="230">
        <v>0</v>
      </c>
      <c r="DI24" s="230">
        <v>0</v>
      </c>
      <c r="DJ24" s="230">
        <v>0</v>
      </c>
      <c r="DK24" s="230" t="s">
        <v>599</v>
      </c>
      <c r="DL24" s="230" t="s">
        <v>601</v>
      </c>
      <c r="DM24" s="230" t="s">
        <v>601</v>
      </c>
      <c r="DN24" s="230" t="s">
        <v>601</v>
      </c>
      <c r="DO24" s="230" t="s">
        <v>601</v>
      </c>
      <c r="DP24" s="230" t="s">
        <v>601</v>
      </c>
      <c r="DQ24" s="230" t="s">
        <v>1193</v>
      </c>
      <c r="DR24" s="230" t="s">
        <v>601</v>
      </c>
      <c r="DS24" s="230" t="s">
        <v>601</v>
      </c>
      <c r="DT24" s="230" t="s">
        <v>601</v>
      </c>
      <c r="DU24" s="230" t="s">
        <v>601</v>
      </c>
      <c r="DV24" s="230" t="s">
        <v>601</v>
      </c>
      <c r="DW24" s="230">
        <v>40</v>
      </c>
      <c r="DX24" s="230">
        <v>40</v>
      </c>
      <c r="DY24" s="230">
        <v>40</v>
      </c>
      <c r="DZ24" s="230">
        <v>0</v>
      </c>
      <c r="EA24" s="230">
        <v>0</v>
      </c>
      <c r="EB24" s="230">
        <v>0</v>
      </c>
      <c r="EC24" s="230">
        <v>40</v>
      </c>
      <c r="ED24" s="230">
        <v>0</v>
      </c>
      <c r="EE24" s="230">
        <v>0</v>
      </c>
      <c r="EF24" s="230">
        <v>0</v>
      </c>
      <c r="EG24" s="230">
        <v>0</v>
      </c>
      <c r="EH24" s="230">
        <v>0</v>
      </c>
      <c r="EI24" s="230">
        <v>0</v>
      </c>
      <c r="EJ24" s="230">
        <v>0</v>
      </c>
      <c r="EK24" s="230">
        <v>0</v>
      </c>
      <c r="EL24" s="230">
        <v>0</v>
      </c>
      <c r="EM24" s="230">
        <v>0</v>
      </c>
      <c r="EN24" s="230">
        <v>0</v>
      </c>
      <c r="EO24" s="230">
        <v>0</v>
      </c>
      <c r="EP24" s="230">
        <v>0</v>
      </c>
      <c r="EQ24" s="230">
        <v>0</v>
      </c>
      <c r="ER24" s="230">
        <v>0</v>
      </c>
      <c r="ES24" s="230">
        <v>0</v>
      </c>
      <c r="ET24" s="230">
        <v>0</v>
      </c>
      <c r="EU24" s="230">
        <v>0</v>
      </c>
      <c r="EV24" s="230">
        <v>0</v>
      </c>
      <c r="EW24" s="230">
        <v>0</v>
      </c>
      <c r="EX24" s="230">
        <v>0</v>
      </c>
      <c r="EY24" s="230">
        <v>0</v>
      </c>
      <c r="EZ24" s="230">
        <v>0</v>
      </c>
      <c r="FA24" s="230">
        <v>0</v>
      </c>
      <c r="FB24" s="230">
        <v>0</v>
      </c>
      <c r="FC24" s="230">
        <v>0</v>
      </c>
      <c r="FD24" s="230">
        <v>0</v>
      </c>
      <c r="FE24" s="230">
        <v>0</v>
      </c>
      <c r="FF24" s="230">
        <v>0</v>
      </c>
      <c r="FG24" s="230">
        <v>0</v>
      </c>
      <c r="FH24" s="230">
        <v>0</v>
      </c>
      <c r="FI24" s="230">
        <v>0</v>
      </c>
      <c r="FJ24" s="230">
        <v>0</v>
      </c>
      <c r="FK24" s="230">
        <v>0</v>
      </c>
      <c r="FL24" s="230">
        <v>0</v>
      </c>
      <c r="FM24" s="230">
        <v>40</v>
      </c>
      <c r="FN24" s="230">
        <v>2100</v>
      </c>
      <c r="FO24" s="230">
        <v>0</v>
      </c>
      <c r="FP24" s="230">
        <v>0</v>
      </c>
      <c r="FQ24" s="230" t="s">
        <v>601</v>
      </c>
      <c r="FR24" s="230" t="s">
        <v>601</v>
      </c>
      <c r="FS24" s="230" t="s">
        <v>601</v>
      </c>
      <c r="FT24" s="230" t="s">
        <v>792</v>
      </c>
      <c r="FU24" s="230">
        <v>0</v>
      </c>
      <c r="FV24" s="230">
        <v>0</v>
      </c>
      <c r="FW24" s="230" t="s">
        <v>601</v>
      </c>
      <c r="FX24" s="230" t="s">
        <v>601</v>
      </c>
      <c r="FY24" s="230" t="s">
        <v>601</v>
      </c>
      <c r="FZ24" s="230" t="s">
        <v>792</v>
      </c>
      <c r="GA24" s="230" t="s">
        <v>601</v>
      </c>
      <c r="GB24" s="230" t="s">
        <v>601</v>
      </c>
      <c r="GC24" s="230" t="s">
        <v>601</v>
      </c>
      <c r="GD24" s="230" t="s">
        <v>601</v>
      </c>
      <c r="GE24" s="230" t="s">
        <v>601</v>
      </c>
      <c r="GF24" s="230">
        <v>31</v>
      </c>
      <c r="GG24" s="230">
        <v>31</v>
      </c>
      <c r="GH24" s="230">
        <v>31</v>
      </c>
      <c r="GI24" s="230">
        <v>0</v>
      </c>
      <c r="GJ24" s="230">
        <v>0</v>
      </c>
      <c r="GK24" s="230">
        <v>0</v>
      </c>
      <c r="GL24" s="230">
        <v>0</v>
      </c>
      <c r="GM24" s="230">
        <v>0</v>
      </c>
      <c r="GN24" s="230">
        <v>0</v>
      </c>
      <c r="GO24" s="230">
        <v>0</v>
      </c>
      <c r="GP24" s="230">
        <v>0</v>
      </c>
      <c r="GQ24" s="230">
        <v>0</v>
      </c>
      <c r="GR24" s="230">
        <v>0</v>
      </c>
      <c r="GS24" s="230">
        <v>0</v>
      </c>
      <c r="GT24" s="230">
        <v>0</v>
      </c>
      <c r="GU24" s="230">
        <v>0</v>
      </c>
      <c r="GV24" s="230">
        <v>0</v>
      </c>
      <c r="GW24" s="230">
        <v>0</v>
      </c>
      <c r="GX24" s="230">
        <v>0</v>
      </c>
      <c r="GY24" s="230">
        <v>0</v>
      </c>
      <c r="GZ24" s="230">
        <v>0</v>
      </c>
      <c r="HA24" s="230">
        <v>0</v>
      </c>
      <c r="HB24" s="230">
        <v>0</v>
      </c>
      <c r="HC24" s="230">
        <v>0</v>
      </c>
      <c r="HD24" s="230">
        <v>0</v>
      </c>
      <c r="HE24" s="230">
        <v>0</v>
      </c>
      <c r="HF24" s="230">
        <v>0</v>
      </c>
      <c r="HG24" s="230">
        <v>0</v>
      </c>
      <c r="HH24" s="230">
        <v>0</v>
      </c>
      <c r="HI24" s="230">
        <v>0</v>
      </c>
      <c r="HJ24" s="230">
        <v>0</v>
      </c>
      <c r="HK24" s="230">
        <v>0</v>
      </c>
      <c r="HL24" s="230">
        <v>0</v>
      </c>
      <c r="HM24" s="230">
        <v>0</v>
      </c>
      <c r="HN24" s="230">
        <v>0</v>
      </c>
      <c r="HO24" s="230">
        <v>0</v>
      </c>
      <c r="HP24" s="230" t="s">
        <v>51</v>
      </c>
      <c r="HQ24" s="230">
        <v>31</v>
      </c>
      <c r="HR24" s="230">
        <v>0</v>
      </c>
      <c r="HS24" s="230">
        <v>0</v>
      </c>
      <c r="HT24" s="230">
        <v>0</v>
      </c>
      <c r="HU24" s="230">
        <v>0</v>
      </c>
      <c r="HV24" s="230">
        <v>0</v>
      </c>
      <c r="HW24" s="797">
        <v>31</v>
      </c>
      <c r="HX24" s="797">
        <v>0</v>
      </c>
      <c r="HY24" s="230">
        <v>68</v>
      </c>
      <c r="HZ24" s="230"/>
      <c r="IA24" s="230"/>
      <c r="IB24" s="230"/>
      <c r="IC24" s="232" t="s">
        <v>789</v>
      </c>
      <c r="ID24" s="233" t="s">
        <v>790</v>
      </c>
      <c r="IE24" s="467" t="s">
        <v>583</v>
      </c>
      <c r="IF24" s="232" t="s">
        <v>364</v>
      </c>
      <c r="IG24" s="467" t="s">
        <v>584</v>
      </c>
      <c r="IH24" s="467" t="s">
        <v>585</v>
      </c>
      <c r="II24" s="546" t="s">
        <v>584</v>
      </c>
      <c r="IJ24" s="467">
        <v>44462</v>
      </c>
      <c r="IK24" s="468">
        <v>3</v>
      </c>
      <c r="IL24" s="469" t="s">
        <v>1210</v>
      </c>
      <c r="IM24" s="469" t="s">
        <v>1195</v>
      </c>
      <c r="IN24" s="469" t="s">
        <v>1195</v>
      </c>
      <c r="IO24" s="469" t="s">
        <v>601</v>
      </c>
      <c r="IP24" s="469" t="s">
        <v>601</v>
      </c>
      <c r="IQ24" s="469" t="s">
        <v>601</v>
      </c>
      <c r="IR24" s="469">
        <v>1</v>
      </c>
      <c r="IS24" s="469">
        <v>2</v>
      </c>
      <c r="IT24" s="469" t="s">
        <v>675</v>
      </c>
      <c r="IU24" s="469" t="s">
        <v>675</v>
      </c>
    </row>
    <row r="25" ht="76.5">
      <c r="A25" s="322">
        <v>24</v>
      </c>
      <c r="B25" s="229" t="s">
        <v>1178</v>
      </c>
      <c r="C25" s="229" t="s">
        <v>1178</v>
      </c>
      <c r="D25" s="797" t="s">
        <v>648</v>
      </c>
      <c r="E25" s="229" t="s">
        <v>794</v>
      </c>
      <c r="F25" s="229" t="s">
        <v>26</v>
      </c>
      <c r="G25" s="797" t="s">
        <v>795</v>
      </c>
      <c r="H25" s="797" t="s">
        <v>796</v>
      </c>
      <c r="I25" s="229">
        <v>2</v>
      </c>
      <c r="J25" s="229" t="s">
        <v>797</v>
      </c>
      <c r="K25" s="231" t="s">
        <v>584</v>
      </c>
      <c r="L25" s="231" t="s">
        <v>1233</v>
      </c>
      <c r="M25" s="229" t="s">
        <v>1197</v>
      </c>
      <c r="N25" s="229" t="s">
        <v>1236</v>
      </c>
      <c r="O25" s="229" t="s">
        <v>1199</v>
      </c>
      <c r="P25" s="229" t="s">
        <v>1200</v>
      </c>
      <c r="Q25" s="229" t="s">
        <v>1201</v>
      </c>
      <c r="R25" s="229" t="s">
        <v>1202</v>
      </c>
      <c r="S25" s="229" t="s">
        <v>1215</v>
      </c>
      <c r="T25" s="229" t="s">
        <v>1237</v>
      </c>
      <c r="U25" s="229">
        <v>1</v>
      </c>
      <c r="V25" s="229"/>
      <c r="W25" s="229" t="b">
        <v>1</v>
      </c>
      <c r="X25" s="229" t="b">
        <v>1</v>
      </c>
      <c r="Y25" s="797">
        <v>1</v>
      </c>
      <c r="Z25" s="229" t="b">
        <v>1</v>
      </c>
      <c r="AA25" s="797">
        <v>33</v>
      </c>
      <c r="AB25" s="229" t="b">
        <v>0</v>
      </c>
      <c r="AC25" s="229" t="b">
        <v>1</v>
      </c>
      <c r="AD25" s="229">
        <v>0</v>
      </c>
      <c r="AE25" s="229"/>
      <c r="AF25" s="229" t="s">
        <v>50</v>
      </c>
      <c r="AG25" s="229">
        <v>0</v>
      </c>
      <c r="AH25" s="230"/>
      <c r="AI25" s="553" t="s">
        <v>576</v>
      </c>
      <c r="AJ25" s="553" t="s">
        <v>576</v>
      </c>
      <c r="AK25" s="229">
        <v>3</v>
      </c>
      <c r="AL25" s="465" t="s">
        <v>1188</v>
      </c>
      <c r="AM25" s="465" t="s">
        <v>1220</v>
      </c>
      <c r="AN25" s="465" t="s">
        <v>1238</v>
      </c>
      <c r="AO25" s="229" t="s">
        <v>25</v>
      </c>
      <c r="AP25" s="230" t="s">
        <v>576</v>
      </c>
      <c r="AQ25" s="230" t="s">
        <v>576</v>
      </c>
      <c r="AR25" s="230">
        <v>0</v>
      </c>
      <c r="AS25" s="230" t="s">
        <v>601</v>
      </c>
      <c r="AT25" s="230" t="s">
        <v>601</v>
      </c>
      <c r="AU25" s="230" t="s">
        <v>601</v>
      </c>
      <c r="AV25" s="230" t="s">
        <v>1178</v>
      </c>
      <c r="AW25" s="230" t="s">
        <v>1178</v>
      </c>
      <c r="AX25" s="230" t="s">
        <v>601</v>
      </c>
      <c r="AY25" s="230" t="s">
        <v>601</v>
      </c>
      <c r="AZ25" s="230" t="s">
        <v>601</v>
      </c>
      <c r="BA25" s="230" t="s">
        <v>601</v>
      </c>
      <c r="BB25" s="230" t="s">
        <v>1206</v>
      </c>
      <c r="BC25" s="230" t="s">
        <v>648</v>
      </c>
      <c r="BD25" s="230" t="s">
        <v>648</v>
      </c>
      <c r="BE25" s="230">
        <v>0</v>
      </c>
      <c r="BF25" s="230" t="s">
        <v>601</v>
      </c>
      <c r="BG25" s="230" t="s">
        <v>601</v>
      </c>
      <c r="BH25" s="230" t="s">
        <v>601</v>
      </c>
      <c r="BI25" s="230" t="s">
        <v>587</v>
      </c>
      <c r="BJ25" s="230" t="s">
        <v>587</v>
      </c>
      <c r="BK25" s="230">
        <v>0</v>
      </c>
      <c r="BL25" s="230" t="s">
        <v>601</v>
      </c>
      <c r="BM25" s="230" t="s">
        <v>601</v>
      </c>
      <c r="BN25" s="230" t="s">
        <v>601</v>
      </c>
      <c r="BO25" s="553">
        <v>3</v>
      </c>
      <c r="BP25" s="553">
        <v>3</v>
      </c>
      <c r="BQ25" s="553">
        <v>0</v>
      </c>
      <c r="BR25" s="553">
        <v>0</v>
      </c>
      <c r="BS25" s="553">
        <v>0</v>
      </c>
      <c r="BT25" s="554">
        <v>0</v>
      </c>
      <c r="BU25" s="230" t="s">
        <v>589</v>
      </c>
      <c r="BV25" s="230" t="s">
        <v>597</v>
      </c>
      <c r="BW25" s="230" t="s">
        <v>601</v>
      </c>
      <c r="BX25" s="230" t="s">
        <v>601</v>
      </c>
      <c r="BY25" s="230" t="s">
        <v>601</v>
      </c>
      <c r="BZ25" s="230" t="s">
        <v>601</v>
      </c>
      <c r="CA25" s="230">
        <v>4</v>
      </c>
      <c r="CB25" s="230">
        <v>4</v>
      </c>
      <c r="CC25" s="230">
        <v>4</v>
      </c>
      <c r="CD25" s="230">
        <v>0</v>
      </c>
      <c r="CE25" s="230">
        <v>0</v>
      </c>
      <c r="CF25" s="230">
        <v>0</v>
      </c>
      <c r="CG25" s="230">
        <v>2</v>
      </c>
      <c r="CH25" s="230">
        <v>2</v>
      </c>
      <c r="CI25" s="230">
        <v>2</v>
      </c>
      <c r="CJ25" s="230">
        <v>0</v>
      </c>
      <c r="CK25" s="230">
        <v>0</v>
      </c>
      <c r="CL25" s="230">
        <v>0</v>
      </c>
      <c r="CM25" s="230">
        <v>0</v>
      </c>
      <c r="CN25" s="230">
        <v>0</v>
      </c>
      <c r="CO25" s="230">
        <v>0</v>
      </c>
      <c r="CP25" s="230">
        <v>0</v>
      </c>
      <c r="CQ25" s="230">
        <v>0</v>
      </c>
      <c r="CR25" s="230">
        <v>0</v>
      </c>
      <c r="CS25" s="230">
        <v>0</v>
      </c>
      <c r="CT25" s="230">
        <v>0</v>
      </c>
      <c r="CU25" s="230">
        <v>0</v>
      </c>
      <c r="CV25" s="230">
        <v>0</v>
      </c>
      <c r="CW25" s="230">
        <v>0</v>
      </c>
      <c r="CX25" s="230">
        <v>0</v>
      </c>
      <c r="CY25" s="230">
        <v>0</v>
      </c>
      <c r="CZ25" s="230">
        <v>0</v>
      </c>
      <c r="DA25" s="230">
        <v>0</v>
      </c>
      <c r="DB25" s="230">
        <v>0</v>
      </c>
      <c r="DC25" s="230">
        <v>0</v>
      </c>
      <c r="DD25" s="230">
        <v>0</v>
      </c>
      <c r="DE25" s="230">
        <v>0</v>
      </c>
      <c r="DF25" s="230">
        <v>0</v>
      </c>
      <c r="DG25" s="230">
        <v>0</v>
      </c>
      <c r="DH25" s="230">
        <v>0</v>
      </c>
      <c r="DI25" s="230">
        <v>0</v>
      </c>
      <c r="DJ25" s="230">
        <v>0</v>
      </c>
      <c r="DK25" s="230" t="s">
        <v>591</v>
      </c>
      <c r="DL25" s="230" t="s">
        <v>599</v>
      </c>
      <c r="DM25" s="230" t="s">
        <v>601</v>
      </c>
      <c r="DN25" s="230" t="s">
        <v>601</v>
      </c>
      <c r="DO25" s="230" t="s">
        <v>601</v>
      </c>
      <c r="DP25" s="230" t="s">
        <v>601</v>
      </c>
      <c r="DQ25" s="230" t="s">
        <v>1192</v>
      </c>
      <c r="DR25" s="230" t="s">
        <v>1193</v>
      </c>
      <c r="DS25" s="230" t="s">
        <v>601</v>
      </c>
      <c r="DT25" s="230" t="s">
        <v>601</v>
      </c>
      <c r="DU25" s="230" t="s">
        <v>601</v>
      </c>
      <c r="DV25" s="230" t="s">
        <v>601</v>
      </c>
      <c r="DW25" s="230">
        <v>20</v>
      </c>
      <c r="DX25" s="230">
        <v>20</v>
      </c>
      <c r="DY25" s="230">
        <v>20</v>
      </c>
      <c r="DZ25" s="230">
        <v>0</v>
      </c>
      <c r="EA25" s="230">
        <v>0</v>
      </c>
      <c r="EB25" s="230">
        <v>0</v>
      </c>
      <c r="EC25" s="230">
        <v>20</v>
      </c>
      <c r="ED25" s="230">
        <v>40</v>
      </c>
      <c r="EE25" s="230">
        <v>40</v>
      </c>
      <c r="EF25" s="230">
        <v>40</v>
      </c>
      <c r="EG25" s="230">
        <v>0</v>
      </c>
      <c r="EH25" s="230">
        <v>0</v>
      </c>
      <c r="EI25" s="230">
        <v>0</v>
      </c>
      <c r="EJ25" s="230">
        <v>40</v>
      </c>
      <c r="EK25" s="230">
        <v>0</v>
      </c>
      <c r="EL25" s="230">
        <v>0</v>
      </c>
      <c r="EM25" s="230">
        <v>0</v>
      </c>
      <c r="EN25" s="230">
        <v>0</v>
      </c>
      <c r="EO25" s="230">
        <v>0</v>
      </c>
      <c r="EP25" s="230">
        <v>0</v>
      </c>
      <c r="EQ25" s="230">
        <v>0</v>
      </c>
      <c r="ER25" s="230">
        <v>0</v>
      </c>
      <c r="ES25" s="230">
        <v>0</v>
      </c>
      <c r="ET25" s="230">
        <v>0</v>
      </c>
      <c r="EU25" s="230">
        <v>0</v>
      </c>
      <c r="EV25" s="230">
        <v>0</v>
      </c>
      <c r="EW25" s="230">
        <v>0</v>
      </c>
      <c r="EX25" s="230">
        <v>0</v>
      </c>
      <c r="EY25" s="230">
        <v>0</v>
      </c>
      <c r="EZ25" s="230">
        <v>0</v>
      </c>
      <c r="FA25" s="230">
        <v>0</v>
      </c>
      <c r="FB25" s="230">
        <v>0</v>
      </c>
      <c r="FC25" s="230">
        <v>0</v>
      </c>
      <c r="FD25" s="230">
        <v>0</v>
      </c>
      <c r="FE25" s="230">
        <v>0</v>
      </c>
      <c r="FF25" s="230">
        <v>0</v>
      </c>
      <c r="FG25" s="230">
        <v>0</v>
      </c>
      <c r="FH25" s="230">
        <v>0</v>
      </c>
      <c r="FI25" s="230">
        <v>0</v>
      </c>
      <c r="FJ25" s="230">
        <v>0</v>
      </c>
      <c r="FK25" s="230">
        <v>0</v>
      </c>
      <c r="FL25" s="230">
        <v>0</v>
      </c>
      <c r="FM25" s="230">
        <v>40</v>
      </c>
      <c r="FN25" s="230" t="s">
        <v>592</v>
      </c>
      <c r="FO25" s="230" t="s">
        <v>600</v>
      </c>
      <c r="FP25" s="230">
        <v>0</v>
      </c>
      <c r="FQ25" s="230" t="s">
        <v>601</v>
      </c>
      <c r="FR25" s="230" t="s">
        <v>601</v>
      </c>
      <c r="FS25" s="230" t="s">
        <v>601</v>
      </c>
      <c r="FT25" s="230" t="s">
        <v>800</v>
      </c>
      <c r="FU25" s="230" t="s">
        <v>801</v>
      </c>
      <c r="FV25" s="230">
        <v>0</v>
      </c>
      <c r="FW25" s="230" t="s">
        <v>601</v>
      </c>
      <c r="FX25" s="230" t="s">
        <v>601</v>
      </c>
      <c r="FY25" s="230" t="s">
        <v>601</v>
      </c>
      <c r="FZ25" s="230" t="s">
        <v>800</v>
      </c>
      <c r="GA25" s="230" t="s">
        <v>801</v>
      </c>
      <c r="GB25" s="230" t="s">
        <v>601</v>
      </c>
      <c r="GC25" s="230" t="s">
        <v>601</v>
      </c>
      <c r="GD25" s="230" t="s">
        <v>601</v>
      </c>
      <c r="GE25" s="230" t="s">
        <v>601</v>
      </c>
      <c r="GF25" s="230">
        <v>33</v>
      </c>
      <c r="GG25" s="230">
        <v>33</v>
      </c>
      <c r="GH25" s="230">
        <v>33</v>
      </c>
      <c r="GI25" s="230">
        <v>0</v>
      </c>
      <c r="GJ25" s="230">
        <v>0</v>
      </c>
      <c r="GK25" s="230">
        <v>0</v>
      </c>
      <c r="GL25" s="230">
        <v>40</v>
      </c>
      <c r="GM25" s="230">
        <v>40</v>
      </c>
      <c r="GN25" s="230">
        <v>40</v>
      </c>
      <c r="GO25" s="230">
        <v>0</v>
      </c>
      <c r="GP25" s="230">
        <v>0</v>
      </c>
      <c r="GQ25" s="230">
        <v>0</v>
      </c>
      <c r="GR25" s="230">
        <v>0</v>
      </c>
      <c r="GS25" s="230">
        <v>0</v>
      </c>
      <c r="GT25" s="230">
        <v>0</v>
      </c>
      <c r="GU25" s="230">
        <v>0</v>
      </c>
      <c r="GV25" s="230">
        <v>0</v>
      </c>
      <c r="GW25" s="230">
        <v>0</v>
      </c>
      <c r="GX25" s="230">
        <v>0</v>
      </c>
      <c r="GY25" s="230">
        <v>0</v>
      </c>
      <c r="GZ25" s="230">
        <v>0</v>
      </c>
      <c r="HA25" s="230">
        <v>0</v>
      </c>
      <c r="HB25" s="230">
        <v>0</v>
      </c>
      <c r="HC25" s="230">
        <v>0</v>
      </c>
      <c r="HD25" s="230">
        <v>0</v>
      </c>
      <c r="HE25" s="230">
        <v>0</v>
      </c>
      <c r="HF25" s="230">
        <v>0</v>
      </c>
      <c r="HG25" s="230">
        <v>0</v>
      </c>
      <c r="HH25" s="230">
        <v>0</v>
      </c>
      <c r="HI25" s="230">
        <v>0</v>
      </c>
      <c r="HJ25" s="230">
        <v>0</v>
      </c>
      <c r="HK25" s="230">
        <v>0</v>
      </c>
      <c r="HL25" s="230">
        <v>0</v>
      </c>
      <c r="HM25" s="230">
        <v>0</v>
      </c>
      <c r="HN25" s="230">
        <v>0</v>
      </c>
      <c r="HO25" s="230">
        <v>0</v>
      </c>
      <c r="HP25" s="230" t="s">
        <v>51</v>
      </c>
      <c r="HQ25" s="230">
        <v>33</v>
      </c>
      <c r="HR25" s="230">
        <v>40</v>
      </c>
      <c r="HS25" s="230">
        <v>0</v>
      </c>
      <c r="HT25" s="230">
        <v>0</v>
      </c>
      <c r="HU25" s="230">
        <v>0</v>
      </c>
      <c r="HV25" s="230">
        <v>0</v>
      </c>
      <c r="HW25" s="797">
        <v>33</v>
      </c>
      <c r="HX25" s="797">
        <v>0</v>
      </c>
      <c r="HY25" s="230">
        <v>68</v>
      </c>
      <c r="HZ25" s="230"/>
      <c r="IA25" s="230"/>
      <c r="IB25" s="230"/>
      <c r="IC25" s="232" t="s">
        <v>798</v>
      </c>
      <c r="ID25" s="233" t="s">
        <v>799</v>
      </c>
      <c r="IE25" s="467" t="s">
        <v>583</v>
      </c>
      <c r="IF25" s="232" t="s">
        <v>364</v>
      </c>
      <c r="IG25" s="467" t="s">
        <v>584</v>
      </c>
      <c r="IH25" s="467" t="s">
        <v>585</v>
      </c>
      <c r="II25" s="546" t="s">
        <v>584</v>
      </c>
      <c r="IJ25" s="467">
        <v>44462</v>
      </c>
      <c r="IK25" s="468">
        <v>3</v>
      </c>
      <c r="IL25" s="469" t="s">
        <v>1207</v>
      </c>
      <c r="IM25" s="469" t="s">
        <v>603</v>
      </c>
      <c r="IN25" s="469" t="s">
        <v>1195</v>
      </c>
      <c r="IO25" s="469" t="s">
        <v>601</v>
      </c>
      <c r="IP25" s="469" t="s">
        <v>601</v>
      </c>
      <c r="IQ25" s="469" t="s">
        <v>601</v>
      </c>
      <c r="IR25" s="469">
        <v>2</v>
      </c>
      <c r="IS25" s="469">
        <v>1</v>
      </c>
      <c r="IT25" s="469" t="s">
        <v>675</v>
      </c>
      <c r="IU25" s="469" t="s">
        <v>675</v>
      </c>
    </row>
    <row r="26" ht="76.5">
      <c r="A26" s="322">
        <v>25</v>
      </c>
      <c r="B26" s="229" t="s">
        <v>1178</v>
      </c>
      <c r="C26" s="229" t="s">
        <v>1178</v>
      </c>
      <c r="D26" s="797" t="s">
        <v>659</v>
      </c>
      <c r="E26" s="229" t="s">
        <v>803</v>
      </c>
      <c r="F26" s="229" t="s">
        <v>26</v>
      </c>
      <c r="G26" s="797" t="s">
        <v>804</v>
      </c>
      <c r="H26" s="797" t="s">
        <v>805</v>
      </c>
      <c r="I26" s="229">
        <v>2</v>
      </c>
      <c r="J26" s="229" t="s">
        <v>806</v>
      </c>
      <c r="K26" s="231" t="s">
        <v>584</v>
      </c>
      <c r="L26" s="231" t="s">
        <v>1233</v>
      </c>
      <c r="M26" s="229" t="s">
        <v>1197</v>
      </c>
      <c r="N26" s="229" t="s">
        <v>1239</v>
      </c>
      <c r="O26" s="229" t="s">
        <v>1199</v>
      </c>
      <c r="P26" s="229" t="s">
        <v>1200</v>
      </c>
      <c r="Q26" s="229" t="s">
        <v>1201</v>
      </c>
      <c r="R26" s="229" t="s">
        <v>1202</v>
      </c>
      <c r="S26" s="229" t="s">
        <v>1215</v>
      </c>
      <c r="T26" s="229" t="s">
        <v>1240</v>
      </c>
      <c r="U26" s="229">
        <v>1</v>
      </c>
      <c r="V26" s="229"/>
      <c r="W26" s="229" t="b">
        <v>0</v>
      </c>
      <c r="X26" s="229" t="b">
        <v>0</v>
      </c>
      <c r="Y26" s="797">
        <v>0</v>
      </c>
      <c r="Z26" s="229" t="b">
        <v>1</v>
      </c>
      <c r="AA26" s="797">
        <v>29</v>
      </c>
      <c r="AB26" s="229" t="b">
        <v>0</v>
      </c>
      <c r="AC26" s="229" t="b">
        <v>1</v>
      </c>
      <c r="AD26" s="229">
        <v>0</v>
      </c>
      <c r="AE26" s="229"/>
      <c r="AF26" s="229" t="s">
        <v>50</v>
      </c>
      <c r="AG26" s="229">
        <v>0</v>
      </c>
      <c r="AH26" s="230"/>
      <c r="AI26" s="553" t="s">
        <v>576</v>
      </c>
      <c r="AJ26" s="553" t="s">
        <v>576</v>
      </c>
      <c r="AK26" s="229">
        <v>4</v>
      </c>
      <c r="AL26" s="465" t="s">
        <v>1188</v>
      </c>
      <c r="AM26" s="465" t="s">
        <v>1241</v>
      </c>
      <c r="AN26" s="465" t="s">
        <v>1242</v>
      </c>
      <c r="AO26" s="229" t="s">
        <v>25</v>
      </c>
      <c r="AP26" s="230" t="s">
        <v>576</v>
      </c>
      <c r="AQ26" s="230" t="s">
        <v>576</v>
      </c>
      <c r="AR26" s="230">
        <v>0</v>
      </c>
      <c r="AS26" s="230" t="s">
        <v>601</v>
      </c>
      <c r="AT26" s="230" t="s">
        <v>601</v>
      </c>
      <c r="AU26" s="230" t="s">
        <v>601</v>
      </c>
      <c r="AV26" s="230" t="s">
        <v>1178</v>
      </c>
      <c r="AW26" s="230" t="s">
        <v>1178</v>
      </c>
      <c r="AX26" s="230" t="s">
        <v>601</v>
      </c>
      <c r="AY26" s="230" t="s">
        <v>601</v>
      </c>
      <c r="AZ26" s="230" t="s">
        <v>601</v>
      </c>
      <c r="BA26" s="230" t="s">
        <v>601</v>
      </c>
      <c r="BB26" s="230" t="s">
        <v>1206</v>
      </c>
      <c r="BC26" s="230" t="s">
        <v>659</v>
      </c>
      <c r="BD26" s="230" t="s">
        <v>659</v>
      </c>
      <c r="BE26" s="230">
        <v>0</v>
      </c>
      <c r="BF26" s="230" t="s">
        <v>601</v>
      </c>
      <c r="BG26" s="230" t="s">
        <v>601</v>
      </c>
      <c r="BH26" s="230" t="s">
        <v>601</v>
      </c>
      <c r="BI26" s="230" t="s">
        <v>587</v>
      </c>
      <c r="BJ26" s="230" t="s">
        <v>587</v>
      </c>
      <c r="BK26" s="230">
        <v>0</v>
      </c>
      <c r="BL26" s="230" t="s">
        <v>601</v>
      </c>
      <c r="BM26" s="230" t="s">
        <v>601</v>
      </c>
      <c r="BN26" s="230" t="s">
        <v>601</v>
      </c>
      <c r="BO26" s="553">
        <v>3</v>
      </c>
      <c r="BP26" s="553">
        <v>3</v>
      </c>
      <c r="BQ26" s="553">
        <v>0</v>
      </c>
      <c r="BR26" s="553">
        <v>0</v>
      </c>
      <c r="BS26" s="553">
        <v>0</v>
      </c>
      <c r="BT26" s="554">
        <v>0</v>
      </c>
      <c r="BU26" s="230" t="s">
        <v>589</v>
      </c>
      <c r="BV26" s="230" t="s">
        <v>597</v>
      </c>
      <c r="BW26" s="230" t="s">
        <v>601</v>
      </c>
      <c r="BX26" s="230" t="s">
        <v>601</v>
      </c>
      <c r="BY26" s="230" t="s">
        <v>601</v>
      </c>
      <c r="BZ26" s="230" t="s">
        <v>601</v>
      </c>
      <c r="CA26" s="230">
        <v>4</v>
      </c>
      <c r="CB26" s="230">
        <v>4</v>
      </c>
      <c r="CC26" s="230">
        <v>4</v>
      </c>
      <c r="CD26" s="230">
        <v>0</v>
      </c>
      <c r="CE26" s="230">
        <v>0</v>
      </c>
      <c r="CF26" s="230">
        <v>0</v>
      </c>
      <c r="CG26" s="230">
        <v>2</v>
      </c>
      <c r="CH26" s="230">
        <v>2</v>
      </c>
      <c r="CI26" s="230">
        <v>2</v>
      </c>
      <c r="CJ26" s="230">
        <v>0</v>
      </c>
      <c r="CK26" s="230">
        <v>0</v>
      </c>
      <c r="CL26" s="230">
        <v>0</v>
      </c>
      <c r="CM26" s="230">
        <v>0</v>
      </c>
      <c r="CN26" s="230">
        <v>0</v>
      </c>
      <c r="CO26" s="230">
        <v>0</v>
      </c>
      <c r="CP26" s="230">
        <v>0</v>
      </c>
      <c r="CQ26" s="230">
        <v>0</v>
      </c>
      <c r="CR26" s="230">
        <v>0</v>
      </c>
      <c r="CS26" s="230">
        <v>0</v>
      </c>
      <c r="CT26" s="230">
        <v>0</v>
      </c>
      <c r="CU26" s="230">
        <v>0</v>
      </c>
      <c r="CV26" s="230">
        <v>0</v>
      </c>
      <c r="CW26" s="230">
        <v>0</v>
      </c>
      <c r="CX26" s="230">
        <v>0</v>
      </c>
      <c r="CY26" s="230">
        <v>0</v>
      </c>
      <c r="CZ26" s="230">
        <v>0</v>
      </c>
      <c r="DA26" s="230">
        <v>0</v>
      </c>
      <c r="DB26" s="230">
        <v>0</v>
      </c>
      <c r="DC26" s="230">
        <v>0</v>
      </c>
      <c r="DD26" s="230">
        <v>0</v>
      </c>
      <c r="DE26" s="230">
        <v>0</v>
      </c>
      <c r="DF26" s="230">
        <v>0</v>
      </c>
      <c r="DG26" s="230">
        <v>0</v>
      </c>
      <c r="DH26" s="230">
        <v>0</v>
      </c>
      <c r="DI26" s="230">
        <v>0</v>
      </c>
      <c r="DJ26" s="230">
        <v>0</v>
      </c>
      <c r="DK26" s="230" t="s">
        <v>591</v>
      </c>
      <c r="DL26" s="230" t="s">
        <v>599</v>
      </c>
      <c r="DM26" s="230" t="s">
        <v>601</v>
      </c>
      <c r="DN26" s="230" t="s">
        <v>601</v>
      </c>
      <c r="DO26" s="230" t="s">
        <v>601</v>
      </c>
      <c r="DP26" s="230" t="s">
        <v>601</v>
      </c>
      <c r="DQ26" s="230" t="s">
        <v>1192</v>
      </c>
      <c r="DR26" s="230" t="s">
        <v>1193</v>
      </c>
      <c r="DS26" s="230" t="s">
        <v>601</v>
      </c>
      <c r="DT26" s="230" t="s">
        <v>601</v>
      </c>
      <c r="DU26" s="230" t="s">
        <v>601</v>
      </c>
      <c r="DV26" s="230" t="s">
        <v>601</v>
      </c>
      <c r="DW26" s="230">
        <v>20</v>
      </c>
      <c r="DX26" s="230">
        <v>20</v>
      </c>
      <c r="DY26" s="230">
        <v>20</v>
      </c>
      <c r="DZ26" s="230">
        <v>0</v>
      </c>
      <c r="EA26" s="230">
        <v>0</v>
      </c>
      <c r="EB26" s="230">
        <v>0</v>
      </c>
      <c r="EC26" s="230">
        <v>20</v>
      </c>
      <c r="ED26" s="230">
        <v>40</v>
      </c>
      <c r="EE26" s="230">
        <v>40</v>
      </c>
      <c r="EF26" s="230">
        <v>40</v>
      </c>
      <c r="EG26" s="230">
        <v>0</v>
      </c>
      <c r="EH26" s="230">
        <v>0</v>
      </c>
      <c r="EI26" s="230">
        <v>0</v>
      </c>
      <c r="EJ26" s="230">
        <v>40</v>
      </c>
      <c r="EK26" s="230">
        <v>0</v>
      </c>
      <c r="EL26" s="230">
        <v>0</v>
      </c>
      <c r="EM26" s="230">
        <v>0</v>
      </c>
      <c r="EN26" s="230">
        <v>0</v>
      </c>
      <c r="EO26" s="230">
        <v>0</v>
      </c>
      <c r="EP26" s="230">
        <v>0</v>
      </c>
      <c r="EQ26" s="230">
        <v>0</v>
      </c>
      <c r="ER26" s="230">
        <v>0</v>
      </c>
      <c r="ES26" s="230">
        <v>0</v>
      </c>
      <c r="ET26" s="230">
        <v>0</v>
      </c>
      <c r="EU26" s="230">
        <v>0</v>
      </c>
      <c r="EV26" s="230">
        <v>0</v>
      </c>
      <c r="EW26" s="230">
        <v>0</v>
      </c>
      <c r="EX26" s="230">
        <v>0</v>
      </c>
      <c r="EY26" s="230">
        <v>0</v>
      </c>
      <c r="EZ26" s="230">
        <v>0</v>
      </c>
      <c r="FA26" s="230">
        <v>0</v>
      </c>
      <c r="FB26" s="230">
        <v>0</v>
      </c>
      <c r="FC26" s="230">
        <v>0</v>
      </c>
      <c r="FD26" s="230">
        <v>0</v>
      </c>
      <c r="FE26" s="230">
        <v>0</v>
      </c>
      <c r="FF26" s="230">
        <v>0</v>
      </c>
      <c r="FG26" s="230">
        <v>0</v>
      </c>
      <c r="FH26" s="230">
        <v>0</v>
      </c>
      <c r="FI26" s="230">
        <v>0</v>
      </c>
      <c r="FJ26" s="230">
        <v>0</v>
      </c>
      <c r="FK26" s="230">
        <v>0</v>
      </c>
      <c r="FL26" s="230">
        <v>0</v>
      </c>
      <c r="FM26" s="230">
        <v>40</v>
      </c>
      <c r="FN26" s="230" t="s">
        <v>592</v>
      </c>
      <c r="FO26" s="230" t="s">
        <v>600</v>
      </c>
      <c r="FP26" s="230">
        <v>0</v>
      </c>
      <c r="FQ26" s="230" t="s">
        <v>601</v>
      </c>
      <c r="FR26" s="230" t="s">
        <v>601</v>
      </c>
      <c r="FS26" s="230" t="s">
        <v>601</v>
      </c>
      <c r="FT26" s="230" t="s">
        <v>809</v>
      </c>
      <c r="FU26" s="230" t="s">
        <v>649</v>
      </c>
      <c r="FV26" s="230">
        <v>0</v>
      </c>
      <c r="FW26" s="230" t="s">
        <v>601</v>
      </c>
      <c r="FX26" s="230" t="s">
        <v>601</v>
      </c>
      <c r="FY26" s="230" t="s">
        <v>601</v>
      </c>
      <c r="FZ26" s="230" t="s">
        <v>809</v>
      </c>
      <c r="GA26" s="230" t="s">
        <v>649</v>
      </c>
      <c r="GB26" s="230" t="s">
        <v>601</v>
      </c>
      <c r="GC26" s="230" t="s">
        <v>601</v>
      </c>
      <c r="GD26" s="230" t="s">
        <v>601</v>
      </c>
      <c r="GE26" s="230" t="s">
        <v>601</v>
      </c>
      <c r="GF26" s="230">
        <v>29</v>
      </c>
      <c r="GG26" s="230">
        <v>29</v>
      </c>
      <c r="GH26" s="230">
        <v>29</v>
      </c>
      <c r="GI26" s="230">
        <v>0</v>
      </c>
      <c r="GJ26" s="230">
        <v>0</v>
      </c>
      <c r="GK26" s="230">
        <v>0</v>
      </c>
      <c r="GL26" s="230">
        <v>34</v>
      </c>
      <c r="GM26" s="230">
        <v>34</v>
      </c>
      <c r="GN26" s="230">
        <v>34</v>
      </c>
      <c r="GO26" s="230">
        <v>0</v>
      </c>
      <c r="GP26" s="230">
        <v>0</v>
      </c>
      <c r="GQ26" s="230">
        <v>0</v>
      </c>
      <c r="GR26" s="230">
        <v>0</v>
      </c>
      <c r="GS26" s="230">
        <v>0</v>
      </c>
      <c r="GT26" s="230">
        <v>0</v>
      </c>
      <c r="GU26" s="230">
        <v>0</v>
      </c>
      <c r="GV26" s="230">
        <v>0</v>
      </c>
      <c r="GW26" s="230">
        <v>0</v>
      </c>
      <c r="GX26" s="230">
        <v>0</v>
      </c>
      <c r="GY26" s="230">
        <v>0</v>
      </c>
      <c r="GZ26" s="230">
        <v>0</v>
      </c>
      <c r="HA26" s="230">
        <v>0</v>
      </c>
      <c r="HB26" s="230">
        <v>0</v>
      </c>
      <c r="HC26" s="230">
        <v>0</v>
      </c>
      <c r="HD26" s="230">
        <v>0</v>
      </c>
      <c r="HE26" s="230">
        <v>0</v>
      </c>
      <c r="HF26" s="230">
        <v>0</v>
      </c>
      <c r="HG26" s="230">
        <v>0</v>
      </c>
      <c r="HH26" s="230">
        <v>0</v>
      </c>
      <c r="HI26" s="230">
        <v>0</v>
      </c>
      <c r="HJ26" s="230">
        <v>0</v>
      </c>
      <c r="HK26" s="230">
        <v>0</v>
      </c>
      <c r="HL26" s="230">
        <v>0</v>
      </c>
      <c r="HM26" s="230">
        <v>0</v>
      </c>
      <c r="HN26" s="230">
        <v>0</v>
      </c>
      <c r="HO26" s="230">
        <v>0</v>
      </c>
      <c r="HP26" s="230" t="s">
        <v>51</v>
      </c>
      <c r="HQ26" s="230">
        <v>29</v>
      </c>
      <c r="HR26" s="230">
        <v>34</v>
      </c>
      <c r="HS26" s="230">
        <v>0</v>
      </c>
      <c r="HT26" s="230">
        <v>0</v>
      </c>
      <c r="HU26" s="230">
        <v>0</v>
      </c>
      <c r="HV26" s="230">
        <v>0</v>
      </c>
      <c r="HW26" s="797">
        <v>29</v>
      </c>
      <c r="HX26" s="797">
        <v>0</v>
      </c>
      <c r="HY26" s="230">
        <v>68</v>
      </c>
      <c r="HZ26" s="230"/>
      <c r="IA26" s="230"/>
      <c r="IB26" s="230"/>
      <c r="IC26" s="232" t="s">
        <v>807</v>
      </c>
      <c r="ID26" s="233" t="s">
        <v>808</v>
      </c>
      <c r="IE26" s="467" t="s">
        <v>583</v>
      </c>
      <c r="IF26" s="232" t="s">
        <v>364</v>
      </c>
      <c r="IG26" s="467" t="s">
        <v>584</v>
      </c>
      <c r="IH26" s="467" t="s">
        <v>585</v>
      </c>
      <c r="II26" s="546" t="s">
        <v>584</v>
      </c>
      <c r="IJ26" s="467">
        <v>44462</v>
      </c>
      <c r="IK26" s="468">
        <v>3</v>
      </c>
      <c r="IL26" s="469" t="s">
        <v>1207</v>
      </c>
      <c r="IM26" s="469" t="s">
        <v>603</v>
      </c>
      <c r="IN26" s="469" t="s">
        <v>1195</v>
      </c>
      <c r="IO26" s="469" t="s">
        <v>601</v>
      </c>
      <c r="IP26" s="469" t="s">
        <v>601</v>
      </c>
      <c r="IQ26" s="469" t="s">
        <v>601</v>
      </c>
      <c r="IR26" s="469">
        <v>2</v>
      </c>
      <c r="IS26" s="469">
        <v>1</v>
      </c>
      <c r="IT26" s="469" t="s">
        <v>675</v>
      </c>
      <c r="IU26" s="469" t="s">
        <v>675</v>
      </c>
    </row>
    <row r="27" ht="76.5">
      <c r="A27" s="322">
        <v>26</v>
      </c>
      <c r="B27" s="229" t="s">
        <v>1178</v>
      </c>
      <c r="C27" s="229" t="s">
        <v>1178</v>
      </c>
      <c r="D27" s="797" t="s">
        <v>817</v>
      </c>
      <c r="E27" s="229" t="s">
        <v>811</v>
      </c>
      <c r="F27" s="229" t="s">
        <v>26</v>
      </c>
      <c r="G27" s="797" t="s">
        <v>812</v>
      </c>
      <c r="H27" s="797" t="s">
        <v>813</v>
      </c>
      <c r="I27" s="229">
        <v>1</v>
      </c>
      <c r="J27" s="229" t="s">
        <v>814</v>
      </c>
      <c r="K27" s="231" t="s">
        <v>584</v>
      </c>
      <c r="L27" s="231" t="s">
        <v>1233</v>
      </c>
      <c r="M27" s="229" t="s">
        <v>576</v>
      </c>
      <c r="N27" s="229" t="s">
        <v>817</v>
      </c>
      <c r="O27" s="229" t="s">
        <v>587</v>
      </c>
      <c r="P27" s="229" t="s">
        <v>1208</v>
      </c>
      <c r="Q27" s="229" t="s">
        <v>597</v>
      </c>
      <c r="R27" s="229" t="s">
        <v>1193</v>
      </c>
      <c r="S27" s="229" t="s">
        <v>600</v>
      </c>
      <c r="T27" s="229" t="s">
        <v>818</v>
      </c>
      <c r="U27" s="229">
        <v>1</v>
      </c>
      <c r="V27" s="229"/>
      <c r="W27" s="229" t="b">
        <v>0</v>
      </c>
      <c r="X27" s="229" t="b">
        <v>0</v>
      </c>
      <c r="Y27" s="797">
        <v>0</v>
      </c>
      <c r="Z27" s="229" t="b">
        <v>1</v>
      </c>
      <c r="AA27" s="797">
        <v>25</v>
      </c>
      <c r="AB27" s="229" t="b">
        <v>0</v>
      </c>
      <c r="AC27" s="229" t="b">
        <v>1</v>
      </c>
      <c r="AD27" s="229">
        <v>0</v>
      </c>
      <c r="AE27" s="229"/>
      <c r="AF27" s="229" t="s">
        <v>50</v>
      </c>
      <c r="AG27" s="229">
        <v>0</v>
      </c>
      <c r="AH27" s="230"/>
      <c r="AI27" s="553" t="s">
        <v>576</v>
      </c>
      <c r="AJ27" s="553" t="s">
        <v>576</v>
      </c>
      <c r="AK27" s="229">
        <v>4</v>
      </c>
      <c r="AL27" s="465" t="s">
        <v>1188</v>
      </c>
      <c r="AM27" s="465" t="s">
        <v>1241</v>
      </c>
      <c r="AN27" s="465" t="s">
        <v>1243</v>
      </c>
      <c r="AO27" s="229" t="s">
        <v>25</v>
      </c>
      <c r="AP27" s="230" t="s">
        <v>576</v>
      </c>
      <c r="AQ27" s="230">
        <v>0</v>
      </c>
      <c r="AR27" s="230">
        <v>0</v>
      </c>
      <c r="AS27" s="230" t="s">
        <v>601</v>
      </c>
      <c r="AT27" s="230" t="s">
        <v>601</v>
      </c>
      <c r="AU27" s="230" t="s">
        <v>601</v>
      </c>
      <c r="AV27" s="230" t="s">
        <v>1178</v>
      </c>
      <c r="AW27" s="230" t="s">
        <v>601</v>
      </c>
      <c r="AX27" s="230" t="s">
        <v>601</v>
      </c>
      <c r="AY27" s="230" t="s">
        <v>601</v>
      </c>
      <c r="AZ27" s="230" t="s">
        <v>601</v>
      </c>
      <c r="BA27" s="230" t="s">
        <v>601</v>
      </c>
      <c r="BB27" s="230" t="s">
        <v>1178</v>
      </c>
      <c r="BC27" s="230" t="s">
        <v>817</v>
      </c>
      <c r="BD27" s="230">
        <v>0</v>
      </c>
      <c r="BE27" s="230">
        <v>0</v>
      </c>
      <c r="BF27" s="230" t="s">
        <v>601</v>
      </c>
      <c r="BG27" s="230" t="s">
        <v>601</v>
      </c>
      <c r="BH27" s="230" t="s">
        <v>601</v>
      </c>
      <c r="BI27" s="230" t="s">
        <v>587</v>
      </c>
      <c r="BJ27" s="230">
        <v>0</v>
      </c>
      <c r="BK27" s="230">
        <v>0</v>
      </c>
      <c r="BL27" s="230" t="s">
        <v>601</v>
      </c>
      <c r="BM27" s="230" t="s">
        <v>601</v>
      </c>
      <c r="BN27" s="230" t="s">
        <v>601</v>
      </c>
      <c r="BO27" s="553">
        <v>3</v>
      </c>
      <c r="BP27" s="553">
        <v>0</v>
      </c>
      <c r="BQ27" s="553">
        <v>0</v>
      </c>
      <c r="BR27" s="553">
        <v>0</v>
      </c>
      <c r="BS27" s="553">
        <v>0</v>
      </c>
      <c r="BT27" s="554">
        <v>0</v>
      </c>
      <c r="BU27" s="230" t="s">
        <v>597</v>
      </c>
      <c r="BV27" s="230" t="s">
        <v>601</v>
      </c>
      <c r="BW27" s="230" t="s">
        <v>601</v>
      </c>
      <c r="BX27" s="230" t="s">
        <v>601</v>
      </c>
      <c r="BY27" s="230" t="s">
        <v>601</v>
      </c>
      <c r="BZ27" s="230" t="s">
        <v>601</v>
      </c>
      <c r="CA27" s="230">
        <v>2</v>
      </c>
      <c r="CB27" s="230">
        <v>2</v>
      </c>
      <c r="CC27" s="230">
        <v>2</v>
      </c>
      <c r="CD27" s="230">
        <v>0</v>
      </c>
      <c r="CE27" s="230">
        <v>0</v>
      </c>
      <c r="CF27" s="230">
        <v>0</v>
      </c>
      <c r="CG27" s="230">
        <v>0</v>
      </c>
      <c r="CH27" s="230">
        <v>0</v>
      </c>
      <c r="CI27" s="230">
        <v>0</v>
      </c>
      <c r="CJ27" s="230">
        <v>0</v>
      </c>
      <c r="CK27" s="230">
        <v>0</v>
      </c>
      <c r="CL27" s="230">
        <v>0</v>
      </c>
      <c r="CM27" s="230">
        <v>0</v>
      </c>
      <c r="CN27" s="230">
        <v>0</v>
      </c>
      <c r="CO27" s="230">
        <v>0</v>
      </c>
      <c r="CP27" s="230">
        <v>0</v>
      </c>
      <c r="CQ27" s="230">
        <v>0</v>
      </c>
      <c r="CR27" s="230">
        <v>0</v>
      </c>
      <c r="CS27" s="230">
        <v>0</v>
      </c>
      <c r="CT27" s="230">
        <v>0</v>
      </c>
      <c r="CU27" s="230">
        <v>0</v>
      </c>
      <c r="CV27" s="230">
        <v>0</v>
      </c>
      <c r="CW27" s="230">
        <v>0</v>
      </c>
      <c r="CX27" s="230">
        <v>0</v>
      </c>
      <c r="CY27" s="230">
        <v>0</v>
      </c>
      <c r="CZ27" s="230">
        <v>0</v>
      </c>
      <c r="DA27" s="230">
        <v>0</v>
      </c>
      <c r="DB27" s="230">
        <v>0</v>
      </c>
      <c r="DC27" s="230">
        <v>0</v>
      </c>
      <c r="DD27" s="230">
        <v>0</v>
      </c>
      <c r="DE27" s="230">
        <v>0</v>
      </c>
      <c r="DF27" s="230">
        <v>0</v>
      </c>
      <c r="DG27" s="230">
        <v>0</v>
      </c>
      <c r="DH27" s="230">
        <v>0</v>
      </c>
      <c r="DI27" s="230">
        <v>0</v>
      </c>
      <c r="DJ27" s="230">
        <v>0</v>
      </c>
      <c r="DK27" s="230" t="s">
        <v>599</v>
      </c>
      <c r="DL27" s="230" t="s">
        <v>601</v>
      </c>
      <c r="DM27" s="230" t="s">
        <v>601</v>
      </c>
      <c r="DN27" s="230" t="s">
        <v>601</v>
      </c>
      <c r="DO27" s="230" t="s">
        <v>601</v>
      </c>
      <c r="DP27" s="230" t="s">
        <v>601</v>
      </c>
      <c r="DQ27" s="230" t="s">
        <v>1193</v>
      </c>
      <c r="DR27" s="230" t="s">
        <v>601</v>
      </c>
      <c r="DS27" s="230" t="s">
        <v>601</v>
      </c>
      <c r="DT27" s="230" t="s">
        <v>601</v>
      </c>
      <c r="DU27" s="230" t="s">
        <v>601</v>
      </c>
      <c r="DV27" s="230" t="s">
        <v>601</v>
      </c>
      <c r="DW27" s="230">
        <v>40</v>
      </c>
      <c r="DX27" s="230">
        <v>40</v>
      </c>
      <c r="DY27" s="230">
        <v>40</v>
      </c>
      <c r="DZ27" s="230">
        <v>0</v>
      </c>
      <c r="EA27" s="230">
        <v>0</v>
      </c>
      <c r="EB27" s="230">
        <v>0</v>
      </c>
      <c r="EC27" s="230">
        <v>40</v>
      </c>
      <c r="ED27" s="230">
        <v>0</v>
      </c>
      <c r="EE27" s="230">
        <v>0</v>
      </c>
      <c r="EF27" s="230">
        <v>0</v>
      </c>
      <c r="EG27" s="230">
        <v>0</v>
      </c>
      <c r="EH27" s="230">
        <v>0</v>
      </c>
      <c r="EI27" s="230">
        <v>0</v>
      </c>
      <c r="EJ27" s="230">
        <v>0</v>
      </c>
      <c r="EK27" s="230">
        <v>0</v>
      </c>
      <c r="EL27" s="230">
        <v>0</v>
      </c>
      <c r="EM27" s="230">
        <v>0</v>
      </c>
      <c r="EN27" s="230">
        <v>0</v>
      </c>
      <c r="EO27" s="230">
        <v>0</v>
      </c>
      <c r="EP27" s="230">
        <v>0</v>
      </c>
      <c r="EQ27" s="230">
        <v>0</v>
      </c>
      <c r="ER27" s="230">
        <v>0</v>
      </c>
      <c r="ES27" s="230">
        <v>0</v>
      </c>
      <c r="ET27" s="230">
        <v>0</v>
      </c>
      <c r="EU27" s="230">
        <v>0</v>
      </c>
      <c r="EV27" s="230">
        <v>0</v>
      </c>
      <c r="EW27" s="230">
        <v>0</v>
      </c>
      <c r="EX27" s="230">
        <v>0</v>
      </c>
      <c r="EY27" s="230">
        <v>0</v>
      </c>
      <c r="EZ27" s="230">
        <v>0</v>
      </c>
      <c r="FA27" s="230">
        <v>0</v>
      </c>
      <c r="FB27" s="230">
        <v>0</v>
      </c>
      <c r="FC27" s="230">
        <v>0</v>
      </c>
      <c r="FD27" s="230">
        <v>0</v>
      </c>
      <c r="FE27" s="230">
        <v>0</v>
      </c>
      <c r="FF27" s="230">
        <v>0</v>
      </c>
      <c r="FG27" s="230">
        <v>0</v>
      </c>
      <c r="FH27" s="230">
        <v>0</v>
      </c>
      <c r="FI27" s="230">
        <v>0</v>
      </c>
      <c r="FJ27" s="230">
        <v>0</v>
      </c>
      <c r="FK27" s="230">
        <v>0</v>
      </c>
      <c r="FL27" s="230">
        <v>0</v>
      </c>
      <c r="FM27" s="230">
        <v>40</v>
      </c>
      <c r="FN27" s="230">
        <v>2100</v>
      </c>
      <c r="FO27" s="230">
        <v>0</v>
      </c>
      <c r="FP27" s="230">
        <v>0</v>
      </c>
      <c r="FQ27" s="230" t="s">
        <v>601</v>
      </c>
      <c r="FR27" s="230" t="s">
        <v>601</v>
      </c>
      <c r="FS27" s="230" t="s">
        <v>601</v>
      </c>
      <c r="FT27" s="230" t="s">
        <v>818</v>
      </c>
      <c r="FU27" s="230">
        <v>0</v>
      </c>
      <c r="FV27" s="230">
        <v>0</v>
      </c>
      <c r="FW27" s="230" t="s">
        <v>601</v>
      </c>
      <c r="FX27" s="230" t="s">
        <v>601</v>
      </c>
      <c r="FY27" s="230" t="s">
        <v>601</v>
      </c>
      <c r="FZ27" s="230" t="s">
        <v>818</v>
      </c>
      <c r="GA27" s="230" t="s">
        <v>601</v>
      </c>
      <c r="GB27" s="230" t="s">
        <v>601</v>
      </c>
      <c r="GC27" s="230" t="s">
        <v>601</v>
      </c>
      <c r="GD27" s="230" t="s">
        <v>601</v>
      </c>
      <c r="GE27" s="230" t="s">
        <v>601</v>
      </c>
      <c r="GF27" s="230">
        <v>25</v>
      </c>
      <c r="GG27" s="230">
        <v>25</v>
      </c>
      <c r="GH27" s="230">
        <v>25</v>
      </c>
      <c r="GI27" s="230">
        <v>0</v>
      </c>
      <c r="GJ27" s="230">
        <v>0</v>
      </c>
      <c r="GK27" s="230">
        <v>0</v>
      </c>
      <c r="GL27" s="230">
        <v>0</v>
      </c>
      <c r="GM27" s="230">
        <v>0</v>
      </c>
      <c r="GN27" s="230">
        <v>0</v>
      </c>
      <c r="GO27" s="230">
        <v>0</v>
      </c>
      <c r="GP27" s="230">
        <v>0</v>
      </c>
      <c r="GQ27" s="230">
        <v>0</v>
      </c>
      <c r="GR27" s="230">
        <v>0</v>
      </c>
      <c r="GS27" s="230">
        <v>0</v>
      </c>
      <c r="GT27" s="230">
        <v>0</v>
      </c>
      <c r="GU27" s="230">
        <v>0</v>
      </c>
      <c r="GV27" s="230">
        <v>0</v>
      </c>
      <c r="GW27" s="230">
        <v>0</v>
      </c>
      <c r="GX27" s="230">
        <v>0</v>
      </c>
      <c r="GY27" s="230">
        <v>0</v>
      </c>
      <c r="GZ27" s="230">
        <v>0</v>
      </c>
      <c r="HA27" s="230">
        <v>0</v>
      </c>
      <c r="HB27" s="230">
        <v>0</v>
      </c>
      <c r="HC27" s="230">
        <v>0</v>
      </c>
      <c r="HD27" s="230">
        <v>0</v>
      </c>
      <c r="HE27" s="230">
        <v>0</v>
      </c>
      <c r="HF27" s="230">
        <v>0</v>
      </c>
      <c r="HG27" s="230">
        <v>0</v>
      </c>
      <c r="HH27" s="230">
        <v>0</v>
      </c>
      <c r="HI27" s="230">
        <v>0</v>
      </c>
      <c r="HJ27" s="230">
        <v>0</v>
      </c>
      <c r="HK27" s="230">
        <v>0</v>
      </c>
      <c r="HL27" s="230">
        <v>0</v>
      </c>
      <c r="HM27" s="230">
        <v>0</v>
      </c>
      <c r="HN27" s="230">
        <v>0</v>
      </c>
      <c r="HO27" s="230">
        <v>0</v>
      </c>
      <c r="HP27" s="230" t="s">
        <v>51</v>
      </c>
      <c r="HQ27" s="230">
        <v>25</v>
      </c>
      <c r="HR27" s="230">
        <v>0</v>
      </c>
      <c r="HS27" s="230">
        <v>0</v>
      </c>
      <c r="HT27" s="230">
        <v>0</v>
      </c>
      <c r="HU27" s="230">
        <v>0</v>
      </c>
      <c r="HV27" s="230">
        <v>0</v>
      </c>
      <c r="HW27" s="797">
        <v>25</v>
      </c>
      <c r="HX27" s="797">
        <v>0</v>
      </c>
      <c r="HY27" s="230">
        <v>68</v>
      </c>
      <c r="HZ27" s="230"/>
      <c r="IA27" s="230"/>
      <c r="IB27" s="230"/>
      <c r="IC27" s="232" t="s">
        <v>815</v>
      </c>
      <c r="ID27" s="233" t="s">
        <v>816</v>
      </c>
      <c r="IE27" s="467" t="s">
        <v>583</v>
      </c>
      <c r="IF27" s="232" t="s">
        <v>364</v>
      </c>
      <c r="IG27" s="467" t="s">
        <v>584</v>
      </c>
      <c r="IH27" s="467" t="s">
        <v>585</v>
      </c>
      <c r="II27" s="546" t="s">
        <v>584</v>
      </c>
      <c r="IJ27" s="467">
        <v>44462</v>
      </c>
      <c r="IK27" s="468">
        <v>3</v>
      </c>
      <c r="IL27" s="469" t="s">
        <v>1210</v>
      </c>
      <c r="IM27" s="469" t="s">
        <v>1195</v>
      </c>
      <c r="IN27" s="469" t="s">
        <v>1195</v>
      </c>
      <c r="IO27" s="469" t="s">
        <v>601</v>
      </c>
      <c r="IP27" s="469" t="s">
        <v>601</v>
      </c>
      <c r="IQ27" s="469" t="s">
        <v>601</v>
      </c>
      <c r="IR27" s="469">
        <v>1</v>
      </c>
      <c r="IS27" s="469">
        <v>2</v>
      </c>
      <c r="IT27" s="469" t="s">
        <v>675</v>
      </c>
      <c r="IU27" s="469" t="s">
        <v>675</v>
      </c>
    </row>
    <row r="28" ht="76.5">
      <c r="A28" s="322">
        <v>27</v>
      </c>
      <c r="B28" s="229" t="s">
        <v>1178</v>
      </c>
      <c r="C28" s="229" t="s">
        <v>1178</v>
      </c>
      <c r="D28" s="797" t="s">
        <v>826</v>
      </c>
      <c r="E28" s="229" t="s">
        <v>820</v>
      </c>
      <c r="F28" s="229" t="s">
        <v>26</v>
      </c>
      <c r="G28" s="797" t="s">
        <v>821</v>
      </c>
      <c r="H28" s="797" t="s">
        <v>822</v>
      </c>
      <c r="I28" s="229">
        <v>1</v>
      </c>
      <c r="J28" s="229" t="s">
        <v>823</v>
      </c>
      <c r="K28" s="231" t="s">
        <v>584</v>
      </c>
      <c r="L28" s="231" t="s">
        <v>1233</v>
      </c>
      <c r="M28" s="229" t="s">
        <v>576</v>
      </c>
      <c r="N28" s="229" t="s">
        <v>826</v>
      </c>
      <c r="O28" s="229" t="s">
        <v>587</v>
      </c>
      <c r="P28" s="229" t="s">
        <v>1208</v>
      </c>
      <c r="Q28" s="229" t="s">
        <v>597</v>
      </c>
      <c r="R28" s="229" t="s">
        <v>1193</v>
      </c>
      <c r="S28" s="229" t="s">
        <v>600</v>
      </c>
      <c r="T28" s="229" t="s">
        <v>649</v>
      </c>
      <c r="U28" s="229">
        <v>1</v>
      </c>
      <c r="V28" s="229"/>
      <c r="W28" s="229" t="b">
        <v>0</v>
      </c>
      <c r="X28" s="229" t="b">
        <v>0</v>
      </c>
      <c r="Y28" s="797">
        <v>0</v>
      </c>
      <c r="Z28" s="229" t="b">
        <v>1</v>
      </c>
      <c r="AA28" s="797">
        <v>34</v>
      </c>
      <c r="AB28" s="229" t="b">
        <v>0</v>
      </c>
      <c r="AC28" s="229" t="b">
        <v>1</v>
      </c>
      <c r="AD28" s="229">
        <v>0</v>
      </c>
      <c r="AE28" s="229"/>
      <c r="AF28" s="229" t="s">
        <v>50</v>
      </c>
      <c r="AG28" s="229">
        <v>0</v>
      </c>
      <c r="AH28" s="230"/>
      <c r="AI28" s="553" t="s">
        <v>576</v>
      </c>
      <c r="AJ28" s="553" t="s">
        <v>576</v>
      </c>
      <c r="AK28" s="229">
        <v>4</v>
      </c>
      <c r="AL28" s="465" t="s">
        <v>1188</v>
      </c>
      <c r="AM28" s="465" t="s">
        <v>1241</v>
      </c>
      <c r="AN28" s="465" t="s">
        <v>1243</v>
      </c>
      <c r="AO28" s="229" t="s">
        <v>25</v>
      </c>
      <c r="AP28" s="230" t="s">
        <v>576</v>
      </c>
      <c r="AQ28" s="230">
        <v>0</v>
      </c>
      <c r="AR28" s="230">
        <v>0</v>
      </c>
      <c r="AS28" s="230" t="s">
        <v>601</v>
      </c>
      <c r="AT28" s="230" t="s">
        <v>601</v>
      </c>
      <c r="AU28" s="230" t="s">
        <v>601</v>
      </c>
      <c r="AV28" s="230" t="s">
        <v>1178</v>
      </c>
      <c r="AW28" s="230" t="s">
        <v>601</v>
      </c>
      <c r="AX28" s="230" t="s">
        <v>601</v>
      </c>
      <c r="AY28" s="230" t="s">
        <v>601</v>
      </c>
      <c r="AZ28" s="230" t="s">
        <v>601</v>
      </c>
      <c r="BA28" s="230" t="s">
        <v>601</v>
      </c>
      <c r="BB28" s="230" t="s">
        <v>1178</v>
      </c>
      <c r="BC28" s="230" t="s">
        <v>826</v>
      </c>
      <c r="BD28" s="230">
        <v>0</v>
      </c>
      <c r="BE28" s="230">
        <v>0</v>
      </c>
      <c r="BF28" s="230" t="s">
        <v>601</v>
      </c>
      <c r="BG28" s="230" t="s">
        <v>601</v>
      </c>
      <c r="BH28" s="230" t="s">
        <v>601</v>
      </c>
      <c r="BI28" s="230" t="s">
        <v>587</v>
      </c>
      <c r="BJ28" s="230">
        <v>0</v>
      </c>
      <c r="BK28" s="230">
        <v>0</v>
      </c>
      <c r="BL28" s="230" t="s">
        <v>601</v>
      </c>
      <c r="BM28" s="230" t="s">
        <v>601</v>
      </c>
      <c r="BN28" s="230" t="s">
        <v>601</v>
      </c>
      <c r="BO28" s="553">
        <v>3</v>
      </c>
      <c r="BP28" s="553">
        <v>0</v>
      </c>
      <c r="BQ28" s="553">
        <v>0</v>
      </c>
      <c r="BR28" s="553">
        <v>0</v>
      </c>
      <c r="BS28" s="553">
        <v>0</v>
      </c>
      <c r="BT28" s="554">
        <v>0</v>
      </c>
      <c r="BU28" s="230" t="s">
        <v>597</v>
      </c>
      <c r="BV28" s="230" t="s">
        <v>601</v>
      </c>
      <c r="BW28" s="230" t="s">
        <v>601</v>
      </c>
      <c r="BX28" s="230" t="s">
        <v>601</v>
      </c>
      <c r="BY28" s="230" t="s">
        <v>601</v>
      </c>
      <c r="BZ28" s="230" t="s">
        <v>601</v>
      </c>
      <c r="CA28" s="230">
        <v>2</v>
      </c>
      <c r="CB28" s="230">
        <v>2</v>
      </c>
      <c r="CC28" s="230">
        <v>2</v>
      </c>
      <c r="CD28" s="230">
        <v>0</v>
      </c>
      <c r="CE28" s="230">
        <v>0</v>
      </c>
      <c r="CF28" s="230">
        <v>0</v>
      </c>
      <c r="CG28" s="230">
        <v>0</v>
      </c>
      <c r="CH28" s="230">
        <v>0</v>
      </c>
      <c r="CI28" s="230">
        <v>0</v>
      </c>
      <c r="CJ28" s="230">
        <v>0</v>
      </c>
      <c r="CK28" s="230">
        <v>0</v>
      </c>
      <c r="CL28" s="230">
        <v>0</v>
      </c>
      <c r="CM28" s="230">
        <v>0</v>
      </c>
      <c r="CN28" s="230">
        <v>0</v>
      </c>
      <c r="CO28" s="230">
        <v>0</v>
      </c>
      <c r="CP28" s="230">
        <v>0</v>
      </c>
      <c r="CQ28" s="230">
        <v>0</v>
      </c>
      <c r="CR28" s="230">
        <v>0</v>
      </c>
      <c r="CS28" s="230">
        <v>0</v>
      </c>
      <c r="CT28" s="230">
        <v>0</v>
      </c>
      <c r="CU28" s="230">
        <v>0</v>
      </c>
      <c r="CV28" s="230">
        <v>0</v>
      </c>
      <c r="CW28" s="230">
        <v>0</v>
      </c>
      <c r="CX28" s="230">
        <v>0</v>
      </c>
      <c r="CY28" s="230">
        <v>0</v>
      </c>
      <c r="CZ28" s="230">
        <v>0</v>
      </c>
      <c r="DA28" s="230">
        <v>0</v>
      </c>
      <c r="DB28" s="230">
        <v>0</v>
      </c>
      <c r="DC28" s="230">
        <v>0</v>
      </c>
      <c r="DD28" s="230">
        <v>0</v>
      </c>
      <c r="DE28" s="230">
        <v>0</v>
      </c>
      <c r="DF28" s="230">
        <v>0</v>
      </c>
      <c r="DG28" s="230">
        <v>0</v>
      </c>
      <c r="DH28" s="230">
        <v>0</v>
      </c>
      <c r="DI28" s="230">
        <v>0</v>
      </c>
      <c r="DJ28" s="230">
        <v>0</v>
      </c>
      <c r="DK28" s="230" t="s">
        <v>599</v>
      </c>
      <c r="DL28" s="230" t="s">
        <v>601</v>
      </c>
      <c r="DM28" s="230" t="s">
        <v>601</v>
      </c>
      <c r="DN28" s="230" t="s">
        <v>601</v>
      </c>
      <c r="DO28" s="230" t="s">
        <v>601</v>
      </c>
      <c r="DP28" s="230" t="s">
        <v>601</v>
      </c>
      <c r="DQ28" s="230" t="s">
        <v>1193</v>
      </c>
      <c r="DR28" s="230" t="s">
        <v>601</v>
      </c>
      <c r="DS28" s="230" t="s">
        <v>601</v>
      </c>
      <c r="DT28" s="230" t="s">
        <v>601</v>
      </c>
      <c r="DU28" s="230" t="s">
        <v>601</v>
      </c>
      <c r="DV28" s="230" t="s">
        <v>601</v>
      </c>
      <c r="DW28" s="230">
        <v>40</v>
      </c>
      <c r="DX28" s="230">
        <v>40</v>
      </c>
      <c r="DY28" s="230">
        <v>40</v>
      </c>
      <c r="DZ28" s="230">
        <v>0</v>
      </c>
      <c r="EA28" s="230">
        <v>0</v>
      </c>
      <c r="EB28" s="230">
        <v>0</v>
      </c>
      <c r="EC28" s="230">
        <v>40</v>
      </c>
      <c r="ED28" s="230">
        <v>0</v>
      </c>
      <c r="EE28" s="230">
        <v>0</v>
      </c>
      <c r="EF28" s="230">
        <v>0</v>
      </c>
      <c r="EG28" s="230">
        <v>0</v>
      </c>
      <c r="EH28" s="230">
        <v>0</v>
      </c>
      <c r="EI28" s="230">
        <v>0</v>
      </c>
      <c r="EJ28" s="230">
        <v>0</v>
      </c>
      <c r="EK28" s="230">
        <v>0</v>
      </c>
      <c r="EL28" s="230">
        <v>0</v>
      </c>
      <c r="EM28" s="230">
        <v>0</v>
      </c>
      <c r="EN28" s="230">
        <v>0</v>
      </c>
      <c r="EO28" s="230">
        <v>0</v>
      </c>
      <c r="EP28" s="230">
        <v>0</v>
      </c>
      <c r="EQ28" s="230">
        <v>0</v>
      </c>
      <c r="ER28" s="230">
        <v>0</v>
      </c>
      <c r="ES28" s="230">
        <v>0</v>
      </c>
      <c r="ET28" s="230">
        <v>0</v>
      </c>
      <c r="EU28" s="230">
        <v>0</v>
      </c>
      <c r="EV28" s="230">
        <v>0</v>
      </c>
      <c r="EW28" s="230">
        <v>0</v>
      </c>
      <c r="EX28" s="230">
        <v>0</v>
      </c>
      <c r="EY28" s="230">
        <v>0</v>
      </c>
      <c r="EZ28" s="230">
        <v>0</v>
      </c>
      <c r="FA28" s="230">
        <v>0</v>
      </c>
      <c r="FB28" s="230">
        <v>0</v>
      </c>
      <c r="FC28" s="230">
        <v>0</v>
      </c>
      <c r="FD28" s="230">
        <v>0</v>
      </c>
      <c r="FE28" s="230">
        <v>0</v>
      </c>
      <c r="FF28" s="230">
        <v>0</v>
      </c>
      <c r="FG28" s="230">
        <v>0</v>
      </c>
      <c r="FH28" s="230">
        <v>0</v>
      </c>
      <c r="FI28" s="230">
        <v>0</v>
      </c>
      <c r="FJ28" s="230">
        <v>0</v>
      </c>
      <c r="FK28" s="230">
        <v>0</v>
      </c>
      <c r="FL28" s="230">
        <v>0</v>
      </c>
      <c r="FM28" s="230">
        <v>40</v>
      </c>
      <c r="FN28" s="230">
        <v>2100</v>
      </c>
      <c r="FO28" s="230">
        <v>0</v>
      </c>
      <c r="FP28" s="230">
        <v>0</v>
      </c>
      <c r="FQ28" s="230" t="s">
        <v>601</v>
      </c>
      <c r="FR28" s="230" t="s">
        <v>601</v>
      </c>
      <c r="FS28" s="230" t="s">
        <v>601</v>
      </c>
      <c r="FT28" s="230" t="s">
        <v>649</v>
      </c>
      <c r="FU28" s="230">
        <v>0</v>
      </c>
      <c r="FV28" s="230">
        <v>0</v>
      </c>
      <c r="FW28" s="230" t="s">
        <v>601</v>
      </c>
      <c r="FX28" s="230" t="s">
        <v>601</v>
      </c>
      <c r="FY28" s="230" t="s">
        <v>601</v>
      </c>
      <c r="FZ28" s="230" t="s">
        <v>649</v>
      </c>
      <c r="GA28" s="230" t="s">
        <v>601</v>
      </c>
      <c r="GB28" s="230" t="s">
        <v>601</v>
      </c>
      <c r="GC28" s="230" t="s">
        <v>601</v>
      </c>
      <c r="GD28" s="230" t="s">
        <v>601</v>
      </c>
      <c r="GE28" s="230" t="s">
        <v>601</v>
      </c>
      <c r="GF28" s="230">
        <v>34</v>
      </c>
      <c r="GG28" s="230">
        <v>34</v>
      </c>
      <c r="GH28" s="230">
        <v>34</v>
      </c>
      <c r="GI28" s="230">
        <v>0</v>
      </c>
      <c r="GJ28" s="230">
        <v>0</v>
      </c>
      <c r="GK28" s="230">
        <v>0</v>
      </c>
      <c r="GL28" s="230">
        <v>0</v>
      </c>
      <c r="GM28" s="230">
        <v>0</v>
      </c>
      <c r="GN28" s="230">
        <v>0</v>
      </c>
      <c r="GO28" s="230">
        <v>0</v>
      </c>
      <c r="GP28" s="230">
        <v>0</v>
      </c>
      <c r="GQ28" s="230">
        <v>0</v>
      </c>
      <c r="GR28" s="230">
        <v>0</v>
      </c>
      <c r="GS28" s="230">
        <v>0</v>
      </c>
      <c r="GT28" s="230">
        <v>0</v>
      </c>
      <c r="GU28" s="230">
        <v>0</v>
      </c>
      <c r="GV28" s="230">
        <v>0</v>
      </c>
      <c r="GW28" s="230">
        <v>0</v>
      </c>
      <c r="GX28" s="230">
        <v>0</v>
      </c>
      <c r="GY28" s="230">
        <v>0</v>
      </c>
      <c r="GZ28" s="230">
        <v>0</v>
      </c>
      <c r="HA28" s="230">
        <v>0</v>
      </c>
      <c r="HB28" s="230">
        <v>0</v>
      </c>
      <c r="HC28" s="230">
        <v>0</v>
      </c>
      <c r="HD28" s="230">
        <v>0</v>
      </c>
      <c r="HE28" s="230">
        <v>0</v>
      </c>
      <c r="HF28" s="230">
        <v>0</v>
      </c>
      <c r="HG28" s="230">
        <v>0</v>
      </c>
      <c r="HH28" s="230">
        <v>0</v>
      </c>
      <c r="HI28" s="230">
        <v>0</v>
      </c>
      <c r="HJ28" s="230">
        <v>0</v>
      </c>
      <c r="HK28" s="230">
        <v>0</v>
      </c>
      <c r="HL28" s="230">
        <v>0</v>
      </c>
      <c r="HM28" s="230">
        <v>0</v>
      </c>
      <c r="HN28" s="230">
        <v>0</v>
      </c>
      <c r="HO28" s="230">
        <v>0</v>
      </c>
      <c r="HP28" s="230" t="s">
        <v>51</v>
      </c>
      <c r="HQ28" s="230">
        <v>34</v>
      </c>
      <c r="HR28" s="230">
        <v>0</v>
      </c>
      <c r="HS28" s="230">
        <v>0</v>
      </c>
      <c r="HT28" s="230">
        <v>0</v>
      </c>
      <c r="HU28" s="230">
        <v>0</v>
      </c>
      <c r="HV28" s="230">
        <v>0</v>
      </c>
      <c r="HW28" s="797">
        <v>34</v>
      </c>
      <c r="HX28" s="797">
        <v>0</v>
      </c>
      <c r="HY28" s="230">
        <v>68</v>
      </c>
      <c r="HZ28" s="230"/>
      <c r="IA28" s="230"/>
      <c r="IB28" s="230"/>
      <c r="IC28" s="232" t="s">
        <v>824</v>
      </c>
      <c r="ID28" s="233" t="s">
        <v>825</v>
      </c>
      <c r="IE28" s="467" t="s">
        <v>583</v>
      </c>
      <c r="IF28" s="232" t="s">
        <v>364</v>
      </c>
      <c r="IG28" s="467" t="s">
        <v>584</v>
      </c>
      <c r="IH28" s="467" t="s">
        <v>585</v>
      </c>
      <c r="II28" s="546" t="s">
        <v>584</v>
      </c>
      <c r="IJ28" s="467">
        <v>44462</v>
      </c>
      <c r="IK28" s="468">
        <v>3</v>
      </c>
      <c r="IL28" s="469" t="s">
        <v>1210</v>
      </c>
      <c r="IM28" s="469" t="s">
        <v>1195</v>
      </c>
      <c r="IN28" s="469" t="s">
        <v>1195</v>
      </c>
      <c r="IO28" s="469" t="s">
        <v>601</v>
      </c>
      <c r="IP28" s="469" t="s">
        <v>601</v>
      </c>
      <c r="IQ28" s="469" t="s">
        <v>601</v>
      </c>
      <c r="IR28" s="469">
        <v>1</v>
      </c>
      <c r="IS28" s="469">
        <v>2</v>
      </c>
      <c r="IT28" s="469" t="s">
        <v>675</v>
      </c>
      <c r="IU28" s="469" t="s">
        <v>675</v>
      </c>
    </row>
    <row r="29" ht="76.5">
      <c r="A29" s="322">
        <v>28</v>
      </c>
      <c r="B29" s="229" t="s">
        <v>1178</v>
      </c>
      <c r="C29" s="229" t="s">
        <v>1178</v>
      </c>
      <c r="D29" s="797" t="s">
        <v>834</v>
      </c>
      <c r="E29" s="229" t="s">
        <v>828</v>
      </c>
      <c r="F29" s="229" t="s">
        <v>26</v>
      </c>
      <c r="G29" s="797" t="s">
        <v>829</v>
      </c>
      <c r="H29" s="797" t="s">
        <v>830</v>
      </c>
      <c r="I29" s="229">
        <v>1</v>
      </c>
      <c r="J29" s="229" t="s">
        <v>831</v>
      </c>
      <c r="K29" s="231" t="s">
        <v>584</v>
      </c>
      <c r="L29" s="231" t="s">
        <v>1244</v>
      </c>
      <c r="M29" s="229" t="s">
        <v>576</v>
      </c>
      <c r="N29" s="229" t="s">
        <v>834</v>
      </c>
      <c r="O29" s="229" t="s">
        <v>587</v>
      </c>
      <c r="P29" s="229" t="s">
        <v>1208</v>
      </c>
      <c r="Q29" s="229" t="s">
        <v>597</v>
      </c>
      <c r="R29" s="229" t="s">
        <v>1193</v>
      </c>
      <c r="S29" s="229" t="s">
        <v>600</v>
      </c>
      <c r="T29" s="229" t="s">
        <v>709</v>
      </c>
      <c r="U29" s="229">
        <v>1</v>
      </c>
      <c r="V29" s="229"/>
      <c r="W29" s="229" t="b">
        <v>0</v>
      </c>
      <c r="X29" s="229" t="b">
        <v>0</v>
      </c>
      <c r="Y29" s="797">
        <v>0</v>
      </c>
      <c r="Z29" s="229" t="b">
        <v>1</v>
      </c>
      <c r="AA29" s="797">
        <v>28</v>
      </c>
      <c r="AB29" s="229" t="b">
        <v>0</v>
      </c>
      <c r="AC29" s="229" t="b">
        <v>1</v>
      </c>
      <c r="AD29" s="229">
        <v>0</v>
      </c>
      <c r="AE29" s="229"/>
      <c r="AF29" s="229" t="s">
        <v>50</v>
      </c>
      <c r="AG29" s="229">
        <v>0</v>
      </c>
      <c r="AH29" s="230"/>
      <c r="AI29" s="553" t="s">
        <v>576</v>
      </c>
      <c r="AJ29" s="553" t="s">
        <v>576</v>
      </c>
      <c r="AK29" s="229">
        <v>4</v>
      </c>
      <c r="AL29" s="465" t="s">
        <v>1188</v>
      </c>
      <c r="AM29" s="465" t="s">
        <v>1241</v>
      </c>
      <c r="AN29" s="465" t="s">
        <v>1243</v>
      </c>
      <c r="AO29" s="229" t="s">
        <v>25</v>
      </c>
      <c r="AP29" s="230" t="s">
        <v>576</v>
      </c>
      <c r="AQ29" s="230">
        <v>0</v>
      </c>
      <c r="AR29" s="230">
        <v>0</v>
      </c>
      <c r="AS29" s="230" t="s">
        <v>601</v>
      </c>
      <c r="AT29" s="230" t="s">
        <v>601</v>
      </c>
      <c r="AU29" s="230" t="s">
        <v>601</v>
      </c>
      <c r="AV29" s="230" t="s">
        <v>1178</v>
      </c>
      <c r="AW29" s="230" t="s">
        <v>601</v>
      </c>
      <c r="AX29" s="230" t="s">
        <v>601</v>
      </c>
      <c r="AY29" s="230" t="s">
        <v>601</v>
      </c>
      <c r="AZ29" s="230" t="s">
        <v>601</v>
      </c>
      <c r="BA29" s="230" t="s">
        <v>601</v>
      </c>
      <c r="BB29" s="230" t="s">
        <v>1178</v>
      </c>
      <c r="BC29" s="230" t="s">
        <v>834</v>
      </c>
      <c r="BD29" s="230">
        <v>0</v>
      </c>
      <c r="BE29" s="230">
        <v>0</v>
      </c>
      <c r="BF29" s="230" t="s">
        <v>601</v>
      </c>
      <c r="BG29" s="230" t="s">
        <v>601</v>
      </c>
      <c r="BH29" s="230" t="s">
        <v>601</v>
      </c>
      <c r="BI29" s="230" t="s">
        <v>587</v>
      </c>
      <c r="BJ29" s="230">
        <v>0</v>
      </c>
      <c r="BK29" s="230">
        <v>0</v>
      </c>
      <c r="BL29" s="230" t="s">
        <v>601</v>
      </c>
      <c r="BM29" s="230" t="s">
        <v>601</v>
      </c>
      <c r="BN29" s="230" t="s">
        <v>601</v>
      </c>
      <c r="BO29" s="553">
        <v>3</v>
      </c>
      <c r="BP29" s="553">
        <v>0</v>
      </c>
      <c r="BQ29" s="553">
        <v>0</v>
      </c>
      <c r="BR29" s="553">
        <v>0</v>
      </c>
      <c r="BS29" s="553">
        <v>0</v>
      </c>
      <c r="BT29" s="554">
        <v>0</v>
      </c>
      <c r="BU29" s="230" t="s">
        <v>597</v>
      </c>
      <c r="BV29" s="230" t="s">
        <v>601</v>
      </c>
      <c r="BW29" s="230" t="s">
        <v>601</v>
      </c>
      <c r="BX29" s="230" t="s">
        <v>601</v>
      </c>
      <c r="BY29" s="230" t="s">
        <v>601</v>
      </c>
      <c r="BZ29" s="230" t="s">
        <v>601</v>
      </c>
      <c r="CA29" s="230">
        <v>2</v>
      </c>
      <c r="CB29" s="230">
        <v>2</v>
      </c>
      <c r="CC29" s="230">
        <v>2</v>
      </c>
      <c r="CD29" s="230">
        <v>0</v>
      </c>
      <c r="CE29" s="230">
        <v>0</v>
      </c>
      <c r="CF29" s="230">
        <v>0</v>
      </c>
      <c r="CG29" s="230">
        <v>0</v>
      </c>
      <c r="CH29" s="230">
        <v>0</v>
      </c>
      <c r="CI29" s="230">
        <v>0</v>
      </c>
      <c r="CJ29" s="230">
        <v>0</v>
      </c>
      <c r="CK29" s="230">
        <v>0</v>
      </c>
      <c r="CL29" s="230">
        <v>0</v>
      </c>
      <c r="CM29" s="230">
        <v>0</v>
      </c>
      <c r="CN29" s="230">
        <v>0</v>
      </c>
      <c r="CO29" s="230">
        <v>0</v>
      </c>
      <c r="CP29" s="230">
        <v>0</v>
      </c>
      <c r="CQ29" s="230">
        <v>0</v>
      </c>
      <c r="CR29" s="230">
        <v>0</v>
      </c>
      <c r="CS29" s="230">
        <v>0</v>
      </c>
      <c r="CT29" s="230">
        <v>0</v>
      </c>
      <c r="CU29" s="230">
        <v>0</v>
      </c>
      <c r="CV29" s="230">
        <v>0</v>
      </c>
      <c r="CW29" s="230">
        <v>0</v>
      </c>
      <c r="CX29" s="230">
        <v>0</v>
      </c>
      <c r="CY29" s="230">
        <v>0</v>
      </c>
      <c r="CZ29" s="230">
        <v>0</v>
      </c>
      <c r="DA29" s="230">
        <v>0</v>
      </c>
      <c r="DB29" s="230">
        <v>0</v>
      </c>
      <c r="DC29" s="230">
        <v>0</v>
      </c>
      <c r="DD29" s="230">
        <v>0</v>
      </c>
      <c r="DE29" s="230">
        <v>0</v>
      </c>
      <c r="DF29" s="230">
        <v>0</v>
      </c>
      <c r="DG29" s="230">
        <v>0</v>
      </c>
      <c r="DH29" s="230">
        <v>0</v>
      </c>
      <c r="DI29" s="230">
        <v>0</v>
      </c>
      <c r="DJ29" s="230">
        <v>0</v>
      </c>
      <c r="DK29" s="230" t="s">
        <v>599</v>
      </c>
      <c r="DL29" s="230" t="s">
        <v>601</v>
      </c>
      <c r="DM29" s="230" t="s">
        <v>601</v>
      </c>
      <c r="DN29" s="230" t="s">
        <v>601</v>
      </c>
      <c r="DO29" s="230" t="s">
        <v>601</v>
      </c>
      <c r="DP29" s="230" t="s">
        <v>601</v>
      </c>
      <c r="DQ29" s="230" t="s">
        <v>1193</v>
      </c>
      <c r="DR29" s="230" t="s">
        <v>601</v>
      </c>
      <c r="DS29" s="230" t="s">
        <v>601</v>
      </c>
      <c r="DT29" s="230" t="s">
        <v>601</v>
      </c>
      <c r="DU29" s="230" t="s">
        <v>601</v>
      </c>
      <c r="DV29" s="230" t="s">
        <v>601</v>
      </c>
      <c r="DW29" s="230">
        <v>40</v>
      </c>
      <c r="DX29" s="230">
        <v>40</v>
      </c>
      <c r="DY29" s="230">
        <v>40</v>
      </c>
      <c r="DZ29" s="230">
        <v>0</v>
      </c>
      <c r="EA29" s="230">
        <v>0</v>
      </c>
      <c r="EB29" s="230">
        <v>0</v>
      </c>
      <c r="EC29" s="230">
        <v>40</v>
      </c>
      <c r="ED29" s="230">
        <v>0</v>
      </c>
      <c r="EE29" s="230">
        <v>0</v>
      </c>
      <c r="EF29" s="230">
        <v>0</v>
      </c>
      <c r="EG29" s="230">
        <v>0</v>
      </c>
      <c r="EH29" s="230">
        <v>0</v>
      </c>
      <c r="EI29" s="230">
        <v>0</v>
      </c>
      <c r="EJ29" s="230">
        <v>0</v>
      </c>
      <c r="EK29" s="230">
        <v>0</v>
      </c>
      <c r="EL29" s="230">
        <v>0</v>
      </c>
      <c r="EM29" s="230">
        <v>0</v>
      </c>
      <c r="EN29" s="230">
        <v>0</v>
      </c>
      <c r="EO29" s="230">
        <v>0</v>
      </c>
      <c r="EP29" s="230">
        <v>0</v>
      </c>
      <c r="EQ29" s="230">
        <v>0</v>
      </c>
      <c r="ER29" s="230">
        <v>0</v>
      </c>
      <c r="ES29" s="230">
        <v>0</v>
      </c>
      <c r="ET29" s="230">
        <v>0</v>
      </c>
      <c r="EU29" s="230">
        <v>0</v>
      </c>
      <c r="EV29" s="230">
        <v>0</v>
      </c>
      <c r="EW29" s="230">
        <v>0</v>
      </c>
      <c r="EX29" s="230">
        <v>0</v>
      </c>
      <c r="EY29" s="230">
        <v>0</v>
      </c>
      <c r="EZ29" s="230">
        <v>0</v>
      </c>
      <c r="FA29" s="230">
        <v>0</v>
      </c>
      <c r="FB29" s="230">
        <v>0</v>
      </c>
      <c r="FC29" s="230">
        <v>0</v>
      </c>
      <c r="FD29" s="230">
        <v>0</v>
      </c>
      <c r="FE29" s="230">
        <v>0</v>
      </c>
      <c r="FF29" s="230">
        <v>0</v>
      </c>
      <c r="FG29" s="230">
        <v>0</v>
      </c>
      <c r="FH29" s="230">
        <v>0</v>
      </c>
      <c r="FI29" s="230">
        <v>0</v>
      </c>
      <c r="FJ29" s="230">
        <v>0</v>
      </c>
      <c r="FK29" s="230">
        <v>0</v>
      </c>
      <c r="FL29" s="230">
        <v>0</v>
      </c>
      <c r="FM29" s="230">
        <v>40</v>
      </c>
      <c r="FN29" s="230">
        <v>2100</v>
      </c>
      <c r="FO29" s="230">
        <v>0</v>
      </c>
      <c r="FP29" s="230">
        <v>0</v>
      </c>
      <c r="FQ29" s="230" t="s">
        <v>601</v>
      </c>
      <c r="FR29" s="230" t="s">
        <v>601</v>
      </c>
      <c r="FS29" s="230" t="s">
        <v>601</v>
      </c>
      <c r="FT29" s="230" t="s">
        <v>709</v>
      </c>
      <c r="FU29" s="230">
        <v>0</v>
      </c>
      <c r="FV29" s="230">
        <v>0</v>
      </c>
      <c r="FW29" s="230" t="s">
        <v>601</v>
      </c>
      <c r="FX29" s="230" t="s">
        <v>601</v>
      </c>
      <c r="FY29" s="230" t="s">
        <v>601</v>
      </c>
      <c r="FZ29" s="230" t="s">
        <v>709</v>
      </c>
      <c r="GA29" s="230" t="s">
        <v>601</v>
      </c>
      <c r="GB29" s="230" t="s">
        <v>601</v>
      </c>
      <c r="GC29" s="230" t="s">
        <v>601</v>
      </c>
      <c r="GD29" s="230" t="s">
        <v>601</v>
      </c>
      <c r="GE29" s="230" t="s">
        <v>601</v>
      </c>
      <c r="GF29" s="230">
        <v>28</v>
      </c>
      <c r="GG29" s="230">
        <v>28</v>
      </c>
      <c r="GH29" s="230">
        <v>28</v>
      </c>
      <c r="GI29" s="230">
        <v>0</v>
      </c>
      <c r="GJ29" s="230">
        <v>0</v>
      </c>
      <c r="GK29" s="230">
        <v>0</v>
      </c>
      <c r="GL29" s="230">
        <v>0</v>
      </c>
      <c r="GM29" s="230">
        <v>0</v>
      </c>
      <c r="GN29" s="230">
        <v>0</v>
      </c>
      <c r="GO29" s="230">
        <v>0</v>
      </c>
      <c r="GP29" s="230">
        <v>0</v>
      </c>
      <c r="GQ29" s="230">
        <v>0</v>
      </c>
      <c r="GR29" s="230">
        <v>0</v>
      </c>
      <c r="GS29" s="230">
        <v>0</v>
      </c>
      <c r="GT29" s="230">
        <v>0</v>
      </c>
      <c r="GU29" s="230">
        <v>0</v>
      </c>
      <c r="GV29" s="230">
        <v>0</v>
      </c>
      <c r="GW29" s="230">
        <v>0</v>
      </c>
      <c r="GX29" s="230">
        <v>0</v>
      </c>
      <c r="GY29" s="230">
        <v>0</v>
      </c>
      <c r="GZ29" s="230">
        <v>0</v>
      </c>
      <c r="HA29" s="230">
        <v>0</v>
      </c>
      <c r="HB29" s="230">
        <v>0</v>
      </c>
      <c r="HC29" s="230">
        <v>0</v>
      </c>
      <c r="HD29" s="230">
        <v>0</v>
      </c>
      <c r="HE29" s="230">
        <v>0</v>
      </c>
      <c r="HF29" s="230">
        <v>0</v>
      </c>
      <c r="HG29" s="230">
        <v>0</v>
      </c>
      <c r="HH29" s="230">
        <v>0</v>
      </c>
      <c r="HI29" s="230">
        <v>0</v>
      </c>
      <c r="HJ29" s="230">
        <v>0</v>
      </c>
      <c r="HK29" s="230">
        <v>0</v>
      </c>
      <c r="HL29" s="230">
        <v>0</v>
      </c>
      <c r="HM29" s="230">
        <v>0</v>
      </c>
      <c r="HN29" s="230">
        <v>0</v>
      </c>
      <c r="HO29" s="230">
        <v>0</v>
      </c>
      <c r="HP29" s="230" t="s">
        <v>51</v>
      </c>
      <c r="HQ29" s="230">
        <v>28</v>
      </c>
      <c r="HR29" s="230">
        <v>0</v>
      </c>
      <c r="HS29" s="230">
        <v>0</v>
      </c>
      <c r="HT29" s="230">
        <v>0</v>
      </c>
      <c r="HU29" s="230">
        <v>0</v>
      </c>
      <c r="HV29" s="230">
        <v>0</v>
      </c>
      <c r="HW29" s="797">
        <v>28</v>
      </c>
      <c r="HX29" s="797">
        <v>0</v>
      </c>
      <c r="HY29" s="230">
        <v>68</v>
      </c>
      <c r="HZ29" s="230"/>
      <c r="IA29" s="230"/>
      <c r="IB29" s="230"/>
      <c r="IC29" s="232" t="s">
        <v>832</v>
      </c>
      <c r="ID29" s="233" t="s">
        <v>833</v>
      </c>
      <c r="IE29" s="467" t="s">
        <v>583</v>
      </c>
      <c r="IF29" s="232" t="s">
        <v>364</v>
      </c>
      <c r="IG29" s="467" t="s">
        <v>584</v>
      </c>
      <c r="IH29" s="467" t="s">
        <v>585</v>
      </c>
      <c r="II29" s="546" t="s">
        <v>584</v>
      </c>
      <c r="IJ29" s="467">
        <v>44462</v>
      </c>
      <c r="IK29" s="468">
        <v>3</v>
      </c>
      <c r="IL29" s="469" t="s">
        <v>1210</v>
      </c>
      <c r="IM29" s="469" t="s">
        <v>1195</v>
      </c>
      <c r="IN29" s="469" t="s">
        <v>1195</v>
      </c>
      <c r="IO29" s="469" t="s">
        <v>601</v>
      </c>
      <c r="IP29" s="469" t="s">
        <v>601</v>
      </c>
      <c r="IQ29" s="469" t="s">
        <v>601</v>
      </c>
      <c r="IR29" s="469">
        <v>1</v>
      </c>
      <c r="IS29" s="469">
        <v>2</v>
      </c>
      <c r="IT29" s="469" t="s">
        <v>675</v>
      </c>
      <c r="IU29" s="469" t="s">
        <v>675</v>
      </c>
    </row>
    <row r="30" ht="76.5">
      <c r="A30" s="322">
        <v>29</v>
      </c>
      <c r="B30" s="229" t="s">
        <v>1178</v>
      </c>
      <c r="C30" s="229" t="s">
        <v>1178</v>
      </c>
      <c r="D30" s="797" t="s">
        <v>842</v>
      </c>
      <c r="E30" s="229" t="s">
        <v>836</v>
      </c>
      <c r="F30" s="229" t="s">
        <v>26</v>
      </c>
      <c r="G30" s="797" t="s">
        <v>837</v>
      </c>
      <c r="H30" s="797" t="s">
        <v>838</v>
      </c>
      <c r="I30" s="229">
        <v>1</v>
      </c>
      <c r="J30" s="229" t="s">
        <v>839</v>
      </c>
      <c r="K30" s="231" t="s">
        <v>584</v>
      </c>
      <c r="L30" s="231" t="s">
        <v>1244</v>
      </c>
      <c r="M30" s="229" t="s">
        <v>576</v>
      </c>
      <c r="N30" s="229" t="s">
        <v>842</v>
      </c>
      <c r="O30" s="229" t="s">
        <v>587</v>
      </c>
      <c r="P30" s="229" t="s">
        <v>1208</v>
      </c>
      <c r="Q30" s="229" t="s">
        <v>597</v>
      </c>
      <c r="R30" s="229" t="s">
        <v>1193</v>
      </c>
      <c r="S30" s="229" t="s">
        <v>600</v>
      </c>
      <c r="T30" s="229" t="s">
        <v>593</v>
      </c>
      <c r="U30" s="229">
        <v>1</v>
      </c>
      <c r="V30" s="229"/>
      <c r="W30" s="229" t="b">
        <v>0</v>
      </c>
      <c r="X30" s="229" t="b">
        <v>0</v>
      </c>
      <c r="Y30" s="797">
        <v>0</v>
      </c>
      <c r="Z30" s="229" t="b">
        <v>1</v>
      </c>
      <c r="AA30" s="797">
        <v>27</v>
      </c>
      <c r="AB30" s="229" t="b">
        <v>0</v>
      </c>
      <c r="AC30" s="229" t="b">
        <v>1</v>
      </c>
      <c r="AD30" s="229">
        <v>0</v>
      </c>
      <c r="AE30" s="229"/>
      <c r="AF30" s="229" t="s">
        <v>50</v>
      </c>
      <c r="AG30" s="229">
        <v>0</v>
      </c>
      <c r="AH30" s="230"/>
      <c r="AI30" s="553" t="s">
        <v>576</v>
      </c>
      <c r="AJ30" s="553" t="s">
        <v>576</v>
      </c>
      <c r="AK30" s="229">
        <v>4</v>
      </c>
      <c r="AL30" s="465" t="s">
        <v>1188</v>
      </c>
      <c r="AM30" s="465" t="s">
        <v>1241</v>
      </c>
      <c r="AN30" s="465" t="s">
        <v>1243</v>
      </c>
      <c r="AO30" s="229" t="s">
        <v>25</v>
      </c>
      <c r="AP30" s="230" t="s">
        <v>576</v>
      </c>
      <c r="AQ30" s="230">
        <v>0</v>
      </c>
      <c r="AR30" s="230">
        <v>0</v>
      </c>
      <c r="AS30" s="230" t="s">
        <v>601</v>
      </c>
      <c r="AT30" s="230" t="s">
        <v>601</v>
      </c>
      <c r="AU30" s="230" t="s">
        <v>601</v>
      </c>
      <c r="AV30" s="230" t="s">
        <v>1178</v>
      </c>
      <c r="AW30" s="230" t="s">
        <v>601</v>
      </c>
      <c r="AX30" s="230" t="s">
        <v>601</v>
      </c>
      <c r="AY30" s="230" t="s">
        <v>601</v>
      </c>
      <c r="AZ30" s="230" t="s">
        <v>601</v>
      </c>
      <c r="BA30" s="230" t="s">
        <v>601</v>
      </c>
      <c r="BB30" s="230" t="s">
        <v>1178</v>
      </c>
      <c r="BC30" s="230" t="s">
        <v>842</v>
      </c>
      <c r="BD30" s="230">
        <v>0</v>
      </c>
      <c r="BE30" s="230">
        <v>0</v>
      </c>
      <c r="BF30" s="230" t="s">
        <v>601</v>
      </c>
      <c r="BG30" s="230" t="s">
        <v>601</v>
      </c>
      <c r="BH30" s="230" t="s">
        <v>601</v>
      </c>
      <c r="BI30" s="230" t="s">
        <v>587</v>
      </c>
      <c r="BJ30" s="230">
        <v>0</v>
      </c>
      <c r="BK30" s="230">
        <v>0</v>
      </c>
      <c r="BL30" s="230" t="s">
        <v>601</v>
      </c>
      <c r="BM30" s="230" t="s">
        <v>601</v>
      </c>
      <c r="BN30" s="230" t="s">
        <v>601</v>
      </c>
      <c r="BO30" s="553">
        <v>3</v>
      </c>
      <c r="BP30" s="553">
        <v>0</v>
      </c>
      <c r="BQ30" s="553">
        <v>0</v>
      </c>
      <c r="BR30" s="553">
        <v>0</v>
      </c>
      <c r="BS30" s="553">
        <v>0</v>
      </c>
      <c r="BT30" s="554">
        <v>0</v>
      </c>
      <c r="BU30" s="230" t="s">
        <v>597</v>
      </c>
      <c r="BV30" s="230" t="s">
        <v>601</v>
      </c>
      <c r="BW30" s="230" t="s">
        <v>601</v>
      </c>
      <c r="BX30" s="230" t="s">
        <v>601</v>
      </c>
      <c r="BY30" s="230" t="s">
        <v>601</v>
      </c>
      <c r="BZ30" s="230" t="s">
        <v>601</v>
      </c>
      <c r="CA30" s="230">
        <v>2</v>
      </c>
      <c r="CB30" s="230">
        <v>2</v>
      </c>
      <c r="CC30" s="230">
        <v>2</v>
      </c>
      <c r="CD30" s="230">
        <v>0</v>
      </c>
      <c r="CE30" s="230">
        <v>0</v>
      </c>
      <c r="CF30" s="230">
        <v>0</v>
      </c>
      <c r="CG30" s="230">
        <v>0</v>
      </c>
      <c r="CH30" s="230">
        <v>0</v>
      </c>
      <c r="CI30" s="230">
        <v>0</v>
      </c>
      <c r="CJ30" s="230">
        <v>0</v>
      </c>
      <c r="CK30" s="230">
        <v>0</v>
      </c>
      <c r="CL30" s="230">
        <v>0</v>
      </c>
      <c r="CM30" s="230">
        <v>0</v>
      </c>
      <c r="CN30" s="230">
        <v>0</v>
      </c>
      <c r="CO30" s="230">
        <v>0</v>
      </c>
      <c r="CP30" s="230">
        <v>0</v>
      </c>
      <c r="CQ30" s="230">
        <v>0</v>
      </c>
      <c r="CR30" s="230">
        <v>0</v>
      </c>
      <c r="CS30" s="230">
        <v>0</v>
      </c>
      <c r="CT30" s="230">
        <v>0</v>
      </c>
      <c r="CU30" s="230">
        <v>0</v>
      </c>
      <c r="CV30" s="230">
        <v>0</v>
      </c>
      <c r="CW30" s="230">
        <v>0</v>
      </c>
      <c r="CX30" s="230">
        <v>0</v>
      </c>
      <c r="CY30" s="230">
        <v>0</v>
      </c>
      <c r="CZ30" s="230">
        <v>0</v>
      </c>
      <c r="DA30" s="230">
        <v>0</v>
      </c>
      <c r="DB30" s="230">
        <v>0</v>
      </c>
      <c r="DC30" s="230">
        <v>0</v>
      </c>
      <c r="DD30" s="230">
        <v>0</v>
      </c>
      <c r="DE30" s="230">
        <v>0</v>
      </c>
      <c r="DF30" s="230">
        <v>0</v>
      </c>
      <c r="DG30" s="230">
        <v>0</v>
      </c>
      <c r="DH30" s="230">
        <v>0</v>
      </c>
      <c r="DI30" s="230">
        <v>0</v>
      </c>
      <c r="DJ30" s="230">
        <v>0</v>
      </c>
      <c r="DK30" s="230" t="s">
        <v>599</v>
      </c>
      <c r="DL30" s="230" t="s">
        <v>601</v>
      </c>
      <c r="DM30" s="230" t="s">
        <v>601</v>
      </c>
      <c r="DN30" s="230" t="s">
        <v>601</v>
      </c>
      <c r="DO30" s="230" t="s">
        <v>601</v>
      </c>
      <c r="DP30" s="230" t="s">
        <v>601</v>
      </c>
      <c r="DQ30" s="230" t="s">
        <v>1193</v>
      </c>
      <c r="DR30" s="230" t="s">
        <v>601</v>
      </c>
      <c r="DS30" s="230" t="s">
        <v>601</v>
      </c>
      <c r="DT30" s="230" t="s">
        <v>601</v>
      </c>
      <c r="DU30" s="230" t="s">
        <v>601</v>
      </c>
      <c r="DV30" s="230" t="s">
        <v>601</v>
      </c>
      <c r="DW30" s="230">
        <v>40</v>
      </c>
      <c r="DX30" s="230">
        <v>40</v>
      </c>
      <c r="DY30" s="230">
        <v>40</v>
      </c>
      <c r="DZ30" s="230">
        <v>0</v>
      </c>
      <c r="EA30" s="230">
        <v>0</v>
      </c>
      <c r="EB30" s="230">
        <v>0</v>
      </c>
      <c r="EC30" s="230">
        <v>40</v>
      </c>
      <c r="ED30" s="230">
        <v>0</v>
      </c>
      <c r="EE30" s="230">
        <v>0</v>
      </c>
      <c r="EF30" s="230">
        <v>0</v>
      </c>
      <c r="EG30" s="230">
        <v>0</v>
      </c>
      <c r="EH30" s="230">
        <v>0</v>
      </c>
      <c r="EI30" s="230">
        <v>0</v>
      </c>
      <c r="EJ30" s="230">
        <v>0</v>
      </c>
      <c r="EK30" s="230">
        <v>0</v>
      </c>
      <c r="EL30" s="230">
        <v>0</v>
      </c>
      <c r="EM30" s="230">
        <v>0</v>
      </c>
      <c r="EN30" s="230">
        <v>0</v>
      </c>
      <c r="EO30" s="230">
        <v>0</v>
      </c>
      <c r="EP30" s="230">
        <v>0</v>
      </c>
      <c r="EQ30" s="230">
        <v>0</v>
      </c>
      <c r="ER30" s="230">
        <v>0</v>
      </c>
      <c r="ES30" s="230">
        <v>0</v>
      </c>
      <c r="ET30" s="230">
        <v>0</v>
      </c>
      <c r="EU30" s="230">
        <v>0</v>
      </c>
      <c r="EV30" s="230">
        <v>0</v>
      </c>
      <c r="EW30" s="230">
        <v>0</v>
      </c>
      <c r="EX30" s="230">
        <v>0</v>
      </c>
      <c r="EY30" s="230">
        <v>0</v>
      </c>
      <c r="EZ30" s="230">
        <v>0</v>
      </c>
      <c r="FA30" s="230">
        <v>0</v>
      </c>
      <c r="FB30" s="230">
        <v>0</v>
      </c>
      <c r="FC30" s="230">
        <v>0</v>
      </c>
      <c r="FD30" s="230">
        <v>0</v>
      </c>
      <c r="FE30" s="230">
        <v>0</v>
      </c>
      <c r="FF30" s="230">
        <v>0</v>
      </c>
      <c r="FG30" s="230">
        <v>0</v>
      </c>
      <c r="FH30" s="230">
        <v>0</v>
      </c>
      <c r="FI30" s="230">
        <v>0</v>
      </c>
      <c r="FJ30" s="230">
        <v>0</v>
      </c>
      <c r="FK30" s="230">
        <v>0</v>
      </c>
      <c r="FL30" s="230">
        <v>0</v>
      </c>
      <c r="FM30" s="230">
        <v>40</v>
      </c>
      <c r="FN30" s="230">
        <v>2100</v>
      </c>
      <c r="FO30" s="230">
        <v>0</v>
      </c>
      <c r="FP30" s="230">
        <v>0</v>
      </c>
      <c r="FQ30" s="230" t="s">
        <v>601</v>
      </c>
      <c r="FR30" s="230" t="s">
        <v>601</v>
      </c>
      <c r="FS30" s="230" t="s">
        <v>601</v>
      </c>
      <c r="FT30" s="230" t="s">
        <v>593</v>
      </c>
      <c r="FU30" s="230">
        <v>0</v>
      </c>
      <c r="FV30" s="230">
        <v>0</v>
      </c>
      <c r="FW30" s="230" t="s">
        <v>601</v>
      </c>
      <c r="FX30" s="230" t="s">
        <v>601</v>
      </c>
      <c r="FY30" s="230" t="s">
        <v>601</v>
      </c>
      <c r="FZ30" s="230" t="s">
        <v>593</v>
      </c>
      <c r="GA30" s="230" t="s">
        <v>601</v>
      </c>
      <c r="GB30" s="230" t="s">
        <v>601</v>
      </c>
      <c r="GC30" s="230" t="s">
        <v>601</v>
      </c>
      <c r="GD30" s="230" t="s">
        <v>601</v>
      </c>
      <c r="GE30" s="230" t="s">
        <v>601</v>
      </c>
      <c r="GF30" s="230">
        <v>27</v>
      </c>
      <c r="GG30" s="230">
        <v>27</v>
      </c>
      <c r="GH30" s="230">
        <v>27</v>
      </c>
      <c r="GI30" s="230">
        <v>0</v>
      </c>
      <c r="GJ30" s="230">
        <v>0</v>
      </c>
      <c r="GK30" s="230">
        <v>0</v>
      </c>
      <c r="GL30" s="230">
        <v>0</v>
      </c>
      <c r="GM30" s="230">
        <v>0</v>
      </c>
      <c r="GN30" s="230">
        <v>0</v>
      </c>
      <c r="GO30" s="230">
        <v>0</v>
      </c>
      <c r="GP30" s="230">
        <v>0</v>
      </c>
      <c r="GQ30" s="230">
        <v>0</v>
      </c>
      <c r="GR30" s="230">
        <v>0</v>
      </c>
      <c r="GS30" s="230">
        <v>0</v>
      </c>
      <c r="GT30" s="230">
        <v>0</v>
      </c>
      <c r="GU30" s="230">
        <v>0</v>
      </c>
      <c r="GV30" s="230">
        <v>0</v>
      </c>
      <c r="GW30" s="230">
        <v>0</v>
      </c>
      <c r="GX30" s="230">
        <v>0</v>
      </c>
      <c r="GY30" s="230">
        <v>0</v>
      </c>
      <c r="GZ30" s="230">
        <v>0</v>
      </c>
      <c r="HA30" s="230">
        <v>0</v>
      </c>
      <c r="HB30" s="230">
        <v>0</v>
      </c>
      <c r="HC30" s="230">
        <v>0</v>
      </c>
      <c r="HD30" s="230">
        <v>0</v>
      </c>
      <c r="HE30" s="230">
        <v>0</v>
      </c>
      <c r="HF30" s="230">
        <v>0</v>
      </c>
      <c r="HG30" s="230">
        <v>0</v>
      </c>
      <c r="HH30" s="230">
        <v>0</v>
      </c>
      <c r="HI30" s="230">
        <v>0</v>
      </c>
      <c r="HJ30" s="230">
        <v>0</v>
      </c>
      <c r="HK30" s="230">
        <v>0</v>
      </c>
      <c r="HL30" s="230">
        <v>0</v>
      </c>
      <c r="HM30" s="230">
        <v>0</v>
      </c>
      <c r="HN30" s="230">
        <v>0</v>
      </c>
      <c r="HO30" s="230">
        <v>0</v>
      </c>
      <c r="HP30" s="230" t="s">
        <v>51</v>
      </c>
      <c r="HQ30" s="230">
        <v>27</v>
      </c>
      <c r="HR30" s="230">
        <v>0</v>
      </c>
      <c r="HS30" s="230">
        <v>0</v>
      </c>
      <c r="HT30" s="230">
        <v>0</v>
      </c>
      <c r="HU30" s="230">
        <v>0</v>
      </c>
      <c r="HV30" s="230">
        <v>0</v>
      </c>
      <c r="HW30" s="797">
        <v>27</v>
      </c>
      <c r="HX30" s="797">
        <v>0</v>
      </c>
      <c r="HY30" s="230">
        <v>68</v>
      </c>
      <c r="HZ30" s="230"/>
      <c r="IA30" s="230"/>
      <c r="IB30" s="230"/>
      <c r="IC30" s="232" t="s">
        <v>840</v>
      </c>
      <c r="ID30" s="233" t="s">
        <v>841</v>
      </c>
      <c r="IE30" s="467" t="s">
        <v>583</v>
      </c>
      <c r="IF30" s="232" t="s">
        <v>364</v>
      </c>
      <c r="IG30" s="467" t="s">
        <v>584</v>
      </c>
      <c r="IH30" s="467" t="s">
        <v>585</v>
      </c>
      <c r="II30" s="546" t="s">
        <v>584</v>
      </c>
      <c r="IJ30" s="467">
        <v>44462</v>
      </c>
      <c r="IK30" s="468">
        <v>3</v>
      </c>
      <c r="IL30" s="469" t="s">
        <v>1210</v>
      </c>
      <c r="IM30" s="469" t="s">
        <v>1195</v>
      </c>
      <c r="IN30" s="469" t="s">
        <v>1195</v>
      </c>
      <c r="IO30" s="469" t="s">
        <v>601</v>
      </c>
      <c r="IP30" s="469" t="s">
        <v>601</v>
      </c>
      <c r="IQ30" s="469" t="s">
        <v>601</v>
      </c>
      <c r="IR30" s="469">
        <v>1</v>
      </c>
      <c r="IS30" s="469">
        <v>2</v>
      </c>
      <c r="IT30" s="469" t="s">
        <v>675</v>
      </c>
      <c r="IU30" s="469" t="s">
        <v>675</v>
      </c>
    </row>
    <row r="31" ht="76.5">
      <c r="A31" s="322">
        <v>30</v>
      </c>
      <c r="B31" s="229" t="s">
        <v>1178</v>
      </c>
      <c r="C31" s="229" t="s">
        <v>1178</v>
      </c>
      <c r="D31" s="797" t="s">
        <v>850</v>
      </c>
      <c r="E31" s="229" t="s">
        <v>844</v>
      </c>
      <c r="F31" s="229" t="s">
        <v>26</v>
      </c>
      <c r="G31" s="797" t="s">
        <v>845</v>
      </c>
      <c r="H31" s="797" t="s">
        <v>846</v>
      </c>
      <c r="I31" s="229">
        <v>1</v>
      </c>
      <c r="J31" s="229" t="s">
        <v>847</v>
      </c>
      <c r="K31" s="231" t="s">
        <v>584</v>
      </c>
      <c r="L31" s="231" t="s">
        <v>1244</v>
      </c>
      <c r="M31" s="229" t="s">
        <v>576</v>
      </c>
      <c r="N31" s="229" t="s">
        <v>850</v>
      </c>
      <c r="O31" s="229" t="s">
        <v>587</v>
      </c>
      <c r="P31" s="229" t="s">
        <v>1208</v>
      </c>
      <c r="Q31" s="229" t="s">
        <v>597</v>
      </c>
      <c r="R31" s="229" t="s">
        <v>1193</v>
      </c>
      <c r="S31" s="229" t="s">
        <v>600</v>
      </c>
      <c r="T31" s="229" t="s">
        <v>595</v>
      </c>
      <c r="U31" s="229">
        <v>1</v>
      </c>
      <c r="V31" s="229"/>
      <c r="W31" s="229" t="b">
        <v>0</v>
      </c>
      <c r="X31" s="229" t="b">
        <v>0</v>
      </c>
      <c r="Y31" s="797">
        <v>0</v>
      </c>
      <c r="Z31" s="229" t="b">
        <v>1</v>
      </c>
      <c r="AA31" s="797">
        <v>30</v>
      </c>
      <c r="AB31" s="229" t="b">
        <v>0</v>
      </c>
      <c r="AC31" s="229" t="b">
        <v>1</v>
      </c>
      <c r="AD31" s="229">
        <v>0</v>
      </c>
      <c r="AE31" s="229"/>
      <c r="AF31" s="229" t="s">
        <v>50</v>
      </c>
      <c r="AG31" s="229">
        <v>0</v>
      </c>
      <c r="AH31" s="230"/>
      <c r="AI31" s="553" t="s">
        <v>576</v>
      </c>
      <c r="AJ31" s="553" t="s">
        <v>576</v>
      </c>
      <c r="AK31" s="229">
        <v>4</v>
      </c>
      <c r="AL31" s="465" t="s">
        <v>1188</v>
      </c>
      <c r="AM31" s="465" t="s">
        <v>1241</v>
      </c>
      <c r="AN31" s="465" t="s">
        <v>1245</v>
      </c>
      <c r="AO31" s="229" t="s">
        <v>25</v>
      </c>
      <c r="AP31" s="230" t="s">
        <v>576</v>
      </c>
      <c r="AQ31" s="230">
        <v>0</v>
      </c>
      <c r="AR31" s="230">
        <v>0</v>
      </c>
      <c r="AS31" s="230" t="s">
        <v>601</v>
      </c>
      <c r="AT31" s="230" t="s">
        <v>601</v>
      </c>
      <c r="AU31" s="230" t="s">
        <v>601</v>
      </c>
      <c r="AV31" s="230" t="s">
        <v>1178</v>
      </c>
      <c r="AW31" s="230" t="s">
        <v>601</v>
      </c>
      <c r="AX31" s="230" t="s">
        <v>601</v>
      </c>
      <c r="AY31" s="230" t="s">
        <v>601</v>
      </c>
      <c r="AZ31" s="230" t="s">
        <v>601</v>
      </c>
      <c r="BA31" s="230" t="s">
        <v>601</v>
      </c>
      <c r="BB31" s="230" t="s">
        <v>1178</v>
      </c>
      <c r="BC31" s="230" t="s">
        <v>850</v>
      </c>
      <c r="BD31" s="230">
        <v>0</v>
      </c>
      <c r="BE31" s="230">
        <v>0</v>
      </c>
      <c r="BF31" s="230" t="s">
        <v>601</v>
      </c>
      <c r="BG31" s="230" t="s">
        <v>601</v>
      </c>
      <c r="BH31" s="230" t="s">
        <v>601</v>
      </c>
      <c r="BI31" s="230" t="s">
        <v>587</v>
      </c>
      <c r="BJ31" s="230">
        <v>0</v>
      </c>
      <c r="BK31" s="230">
        <v>0</v>
      </c>
      <c r="BL31" s="230" t="s">
        <v>601</v>
      </c>
      <c r="BM31" s="230" t="s">
        <v>601</v>
      </c>
      <c r="BN31" s="230" t="s">
        <v>601</v>
      </c>
      <c r="BO31" s="553">
        <v>3</v>
      </c>
      <c r="BP31" s="553">
        <v>0</v>
      </c>
      <c r="BQ31" s="553">
        <v>0</v>
      </c>
      <c r="BR31" s="553">
        <v>0</v>
      </c>
      <c r="BS31" s="553">
        <v>0</v>
      </c>
      <c r="BT31" s="554">
        <v>0</v>
      </c>
      <c r="BU31" s="230" t="s">
        <v>597</v>
      </c>
      <c r="BV31" s="230" t="s">
        <v>601</v>
      </c>
      <c r="BW31" s="230" t="s">
        <v>601</v>
      </c>
      <c r="BX31" s="230" t="s">
        <v>601</v>
      </c>
      <c r="BY31" s="230" t="s">
        <v>601</v>
      </c>
      <c r="BZ31" s="230" t="s">
        <v>601</v>
      </c>
      <c r="CA31" s="230">
        <v>2</v>
      </c>
      <c r="CB31" s="230">
        <v>2</v>
      </c>
      <c r="CC31" s="230">
        <v>2</v>
      </c>
      <c r="CD31" s="230">
        <v>0</v>
      </c>
      <c r="CE31" s="230">
        <v>0</v>
      </c>
      <c r="CF31" s="230">
        <v>0</v>
      </c>
      <c r="CG31" s="230">
        <v>0</v>
      </c>
      <c r="CH31" s="230">
        <v>0</v>
      </c>
      <c r="CI31" s="230">
        <v>0</v>
      </c>
      <c r="CJ31" s="230">
        <v>0</v>
      </c>
      <c r="CK31" s="230">
        <v>0</v>
      </c>
      <c r="CL31" s="230">
        <v>0</v>
      </c>
      <c r="CM31" s="230">
        <v>0</v>
      </c>
      <c r="CN31" s="230">
        <v>0</v>
      </c>
      <c r="CO31" s="230">
        <v>0</v>
      </c>
      <c r="CP31" s="230">
        <v>0</v>
      </c>
      <c r="CQ31" s="230">
        <v>0</v>
      </c>
      <c r="CR31" s="230">
        <v>0</v>
      </c>
      <c r="CS31" s="230">
        <v>0</v>
      </c>
      <c r="CT31" s="230">
        <v>0</v>
      </c>
      <c r="CU31" s="230">
        <v>0</v>
      </c>
      <c r="CV31" s="230">
        <v>0</v>
      </c>
      <c r="CW31" s="230">
        <v>0</v>
      </c>
      <c r="CX31" s="230">
        <v>0</v>
      </c>
      <c r="CY31" s="230">
        <v>0</v>
      </c>
      <c r="CZ31" s="230">
        <v>0</v>
      </c>
      <c r="DA31" s="230">
        <v>0</v>
      </c>
      <c r="DB31" s="230">
        <v>0</v>
      </c>
      <c r="DC31" s="230">
        <v>0</v>
      </c>
      <c r="DD31" s="230">
        <v>0</v>
      </c>
      <c r="DE31" s="230">
        <v>0</v>
      </c>
      <c r="DF31" s="230">
        <v>0</v>
      </c>
      <c r="DG31" s="230">
        <v>0</v>
      </c>
      <c r="DH31" s="230">
        <v>0</v>
      </c>
      <c r="DI31" s="230">
        <v>0</v>
      </c>
      <c r="DJ31" s="230">
        <v>0</v>
      </c>
      <c r="DK31" s="230" t="s">
        <v>599</v>
      </c>
      <c r="DL31" s="230" t="s">
        <v>601</v>
      </c>
      <c r="DM31" s="230" t="s">
        <v>601</v>
      </c>
      <c r="DN31" s="230" t="s">
        <v>601</v>
      </c>
      <c r="DO31" s="230" t="s">
        <v>601</v>
      </c>
      <c r="DP31" s="230" t="s">
        <v>601</v>
      </c>
      <c r="DQ31" s="230" t="s">
        <v>1193</v>
      </c>
      <c r="DR31" s="230" t="s">
        <v>601</v>
      </c>
      <c r="DS31" s="230" t="s">
        <v>601</v>
      </c>
      <c r="DT31" s="230" t="s">
        <v>601</v>
      </c>
      <c r="DU31" s="230" t="s">
        <v>601</v>
      </c>
      <c r="DV31" s="230" t="s">
        <v>601</v>
      </c>
      <c r="DW31" s="230">
        <v>40</v>
      </c>
      <c r="DX31" s="230">
        <v>40</v>
      </c>
      <c r="DY31" s="230">
        <v>40</v>
      </c>
      <c r="DZ31" s="230">
        <v>0</v>
      </c>
      <c r="EA31" s="230">
        <v>0</v>
      </c>
      <c r="EB31" s="230">
        <v>0</v>
      </c>
      <c r="EC31" s="230">
        <v>40</v>
      </c>
      <c r="ED31" s="230">
        <v>0</v>
      </c>
      <c r="EE31" s="230">
        <v>0</v>
      </c>
      <c r="EF31" s="230">
        <v>0</v>
      </c>
      <c r="EG31" s="230">
        <v>0</v>
      </c>
      <c r="EH31" s="230">
        <v>0</v>
      </c>
      <c r="EI31" s="230">
        <v>0</v>
      </c>
      <c r="EJ31" s="230">
        <v>0</v>
      </c>
      <c r="EK31" s="230">
        <v>0</v>
      </c>
      <c r="EL31" s="230">
        <v>0</v>
      </c>
      <c r="EM31" s="230">
        <v>0</v>
      </c>
      <c r="EN31" s="230">
        <v>0</v>
      </c>
      <c r="EO31" s="230">
        <v>0</v>
      </c>
      <c r="EP31" s="230">
        <v>0</v>
      </c>
      <c r="EQ31" s="230">
        <v>0</v>
      </c>
      <c r="ER31" s="230">
        <v>0</v>
      </c>
      <c r="ES31" s="230">
        <v>0</v>
      </c>
      <c r="ET31" s="230">
        <v>0</v>
      </c>
      <c r="EU31" s="230">
        <v>0</v>
      </c>
      <c r="EV31" s="230">
        <v>0</v>
      </c>
      <c r="EW31" s="230">
        <v>0</v>
      </c>
      <c r="EX31" s="230">
        <v>0</v>
      </c>
      <c r="EY31" s="230">
        <v>0</v>
      </c>
      <c r="EZ31" s="230">
        <v>0</v>
      </c>
      <c r="FA31" s="230">
        <v>0</v>
      </c>
      <c r="FB31" s="230">
        <v>0</v>
      </c>
      <c r="FC31" s="230">
        <v>0</v>
      </c>
      <c r="FD31" s="230">
        <v>0</v>
      </c>
      <c r="FE31" s="230">
        <v>0</v>
      </c>
      <c r="FF31" s="230">
        <v>0</v>
      </c>
      <c r="FG31" s="230">
        <v>0</v>
      </c>
      <c r="FH31" s="230">
        <v>0</v>
      </c>
      <c r="FI31" s="230">
        <v>0</v>
      </c>
      <c r="FJ31" s="230">
        <v>0</v>
      </c>
      <c r="FK31" s="230">
        <v>0</v>
      </c>
      <c r="FL31" s="230">
        <v>0</v>
      </c>
      <c r="FM31" s="230">
        <v>40</v>
      </c>
      <c r="FN31" s="230">
        <v>2100</v>
      </c>
      <c r="FO31" s="230">
        <v>0</v>
      </c>
      <c r="FP31" s="230">
        <v>0</v>
      </c>
      <c r="FQ31" s="230" t="s">
        <v>601</v>
      </c>
      <c r="FR31" s="230" t="s">
        <v>601</v>
      </c>
      <c r="FS31" s="230" t="s">
        <v>601</v>
      </c>
      <c r="FT31" s="230" t="s">
        <v>595</v>
      </c>
      <c r="FU31" s="230">
        <v>0</v>
      </c>
      <c r="FV31" s="230">
        <v>0</v>
      </c>
      <c r="FW31" s="230" t="s">
        <v>601</v>
      </c>
      <c r="FX31" s="230" t="s">
        <v>601</v>
      </c>
      <c r="FY31" s="230" t="s">
        <v>601</v>
      </c>
      <c r="FZ31" s="230" t="s">
        <v>595</v>
      </c>
      <c r="GA31" s="230" t="s">
        <v>601</v>
      </c>
      <c r="GB31" s="230" t="s">
        <v>601</v>
      </c>
      <c r="GC31" s="230" t="s">
        <v>601</v>
      </c>
      <c r="GD31" s="230" t="s">
        <v>601</v>
      </c>
      <c r="GE31" s="230" t="s">
        <v>601</v>
      </c>
      <c r="GF31" s="230">
        <v>30</v>
      </c>
      <c r="GG31" s="230">
        <v>30</v>
      </c>
      <c r="GH31" s="230">
        <v>30</v>
      </c>
      <c r="GI31" s="230">
        <v>0</v>
      </c>
      <c r="GJ31" s="230">
        <v>0</v>
      </c>
      <c r="GK31" s="230">
        <v>0</v>
      </c>
      <c r="GL31" s="230">
        <v>0</v>
      </c>
      <c r="GM31" s="230">
        <v>0</v>
      </c>
      <c r="GN31" s="230">
        <v>0</v>
      </c>
      <c r="GO31" s="230">
        <v>0</v>
      </c>
      <c r="GP31" s="230">
        <v>0</v>
      </c>
      <c r="GQ31" s="230">
        <v>0</v>
      </c>
      <c r="GR31" s="230">
        <v>0</v>
      </c>
      <c r="GS31" s="230">
        <v>0</v>
      </c>
      <c r="GT31" s="230">
        <v>0</v>
      </c>
      <c r="GU31" s="230">
        <v>0</v>
      </c>
      <c r="GV31" s="230">
        <v>0</v>
      </c>
      <c r="GW31" s="230">
        <v>0</v>
      </c>
      <c r="GX31" s="230">
        <v>0</v>
      </c>
      <c r="GY31" s="230">
        <v>0</v>
      </c>
      <c r="GZ31" s="230">
        <v>0</v>
      </c>
      <c r="HA31" s="230">
        <v>0</v>
      </c>
      <c r="HB31" s="230">
        <v>0</v>
      </c>
      <c r="HC31" s="230">
        <v>0</v>
      </c>
      <c r="HD31" s="230">
        <v>0</v>
      </c>
      <c r="HE31" s="230">
        <v>0</v>
      </c>
      <c r="HF31" s="230">
        <v>0</v>
      </c>
      <c r="HG31" s="230">
        <v>0</v>
      </c>
      <c r="HH31" s="230">
        <v>0</v>
      </c>
      <c r="HI31" s="230">
        <v>0</v>
      </c>
      <c r="HJ31" s="230">
        <v>0</v>
      </c>
      <c r="HK31" s="230">
        <v>0</v>
      </c>
      <c r="HL31" s="230">
        <v>0</v>
      </c>
      <c r="HM31" s="230">
        <v>0</v>
      </c>
      <c r="HN31" s="230">
        <v>0</v>
      </c>
      <c r="HO31" s="230">
        <v>0</v>
      </c>
      <c r="HP31" s="230" t="s">
        <v>51</v>
      </c>
      <c r="HQ31" s="230">
        <v>30</v>
      </c>
      <c r="HR31" s="230">
        <v>0</v>
      </c>
      <c r="HS31" s="230">
        <v>0</v>
      </c>
      <c r="HT31" s="230">
        <v>0</v>
      </c>
      <c r="HU31" s="230">
        <v>0</v>
      </c>
      <c r="HV31" s="230">
        <v>0</v>
      </c>
      <c r="HW31" s="797">
        <v>30</v>
      </c>
      <c r="HX31" s="797">
        <v>0</v>
      </c>
      <c r="HY31" s="230">
        <v>68</v>
      </c>
      <c r="HZ31" s="230"/>
      <c r="IA31" s="230"/>
      <c r="IB31" s="230"/>
      <c r="IC31" s="232" t="s">
        <v>848</v>
      </c>
      <c r="ID31" s="233" t="s">
        <v>849</v>
      </c>
      <c r="IE31" s="467" t="s">
        <v>583</v>
      </c>
      <c r="IF31" s="232" t="s">
        <v>364</v>
      </c>
      <c r="IG31" s="467" t="s">
        <v>584</v>
      </c>
      <c r="IH31" s="467" t="s">
        <v>585</v>
      </c>
      <c r="II31" s="546" t="s">
        <v>584</v>
      </c>
      <c r="IJ31" s="467">
        <v>44462</v>
      </c>
      <c r="IK31" s="468">
        <v>3</v>
      </c>
      <c r="IL31" s="469" t="s">
        <v>1210</v>
      </c>
      <c r="IM31" s="469" t="s">
        <v>1195</v>
      </c>
      <c r="IN31" s="469" t="s">
        <v>1195</v>
      </c>
      <c r="IO31" s="469" t="s">
        <v>601</v>
      </c>
      <c r="IP31" s="469" t="s">
        <v>601</v>
      </c>
      <c r="IQ31" s="469" t="s">
        <v>601</v>
      </c>
      <c r="IR31" s="469">
        <v>1</v>
      </c>
      <c r="IS31" s="469">
        <v>2</v>
      </c>
      <c r="IT31" s="469" t="s">
        <v>675</v>
      </c>
      <c r="IU31" s="469" t="s">
        <v>675</v>
      </c>
    </row>
    <row r="32" ht="76.5">
      <c r="A32" s="322">
        <v>31</v>
      </c>
      <c r="B32" s="229" t="s">
        <v>1178</v>
      </c>
      <c r="C32" s="229" t="s">
        <v>1178</v>
      </c>
      <c r="D32" s="797" t="s">
        <v>858</v>
      </c>
      <c r="E32" s="229" t="s">
        <v>852</v>
      </c>
      <c r="F32" s="229" t="s">
        <v>26</v>
      </c>
      <c r="G32" s="797" t="s">
        <v>853</v>
      </c>
      <c r="H32" s="797" t="s">
        <v>854</v>
      </c>
      <c r="I32" s="229">
        <v>1</v>
      </c>
      <c r="J32" s="229" t="s">
        <v>855</v>
      </c>
      <c r="K32" s="231" t="s">
        <v>584</v>
      </c>
      <c r="L32" s="231" t="s">
        <v>1244</v>
      </c>
      <c r="M32" s="229" t="s">
        <v>576</v>
      </c>
      <c r="N32" s="229" t="s">
        <v>858</v>
      </c>
      <c r="O32" s="229" t="s">
        <v>587</v>
      </c>
      <c r="P32" s="229" t="s">
        <v>1208</v>
      </c>
      <c r="Q32" s="229" t="s">
        <v>597</v>
      </c>
      <c r="R32" s="229" t="s">
        <v>1193</v>
      </c>
      <c r="S32" s="229" t="s">
        <v>600</v>
      </c>
      <c r="T32" s="229" t="s">
        <v>801</v>
      </c>
      <c r="U32" s="229">
        <v>1</v>
      </c>
      <c r="V32" s="229"/>
      <c r="W32" s="229" t="b">
        <v>1</v>
      </c>
      <c r="X32" s="229" t="b">
        <v>1</v>
      </c>
      <c r="Y32" s="797">
        <v>1</v>
      </c>
      <c r="Z32" s="229" t="b">
        <v>1</v>
      </c>
      <c r="AA32" s="797">
        <v>40</v>
      </c>
      <c r="AB32" s="229" t="b">
        <v>0</v>
      </c>
      <c r="AC32" s="229" t="b">
        <v>1</v>
      </c>
      <c r="AD32" s="229">
        <v>0</v>
      </c>
      <c r="AE32" s="229"/>
      <c r="AF32" s="229" t="s">
        <v>50</v>
      </c>
      <c r="AG32" s="229">
        <v>0</v>
      </c>
      <c r="AH32" s="230"/>
      <c r="AI32" s="553" t="s">
        <v>576</v>
      </c>
      <c r="AJ32" s="553" t="s">
        <v>576</v>
      </c>
      <c r="AK32" s="229">
        <v>4</v>
      </c>
      <c r="AL32" s="465" t="s">
        <v>1188</v>
      </c>
      <c r="AM32" s="465" t="s">
        <v>1241</v>
      </c>
      <c r="AN32" s="465" t="s">
        <v>1246</v>
      </c>
      <c r="AO32" s="229" t="s">
        <v>25</v>
      </c>
      <c r="AP32" s="230" t="s">
        <v>576</v>
      </c>
      <c r="AQ32" s="230">
        <v>0</v>
      </c>
      <c r="AR32" s="230">
        <v>0</v>
      </c>
      <c r="AS32" s="230" t="s">
        <v>601</v>
      </c>
      <c r="AT32" s="230" t="s">
        <v>601</v>
      </c>
      <c r="AU32" s="230" t="s">
        <v>601</v>
      </c>
      <c r="AV32" s="230" t="s">
        <v>1178</v>
      </c>
      <c r="AW32" s="230" t="s">
        <v>601</v>
      </c>
      <c r="AX32" s="230" t="s">
        <v>601</v>
      </c>
      <c r="AY32" s="230" t="s">
        <v>601</v>
      </c>
      <c r="AZ32" s="230" t="s">
        <v>601</v>
      </c>
      <c r="BA32" s="230" t="s">
        <v>601</v>
      </c>
      <c r="BB32" s="230" t="s">
        <v>1178</v>
      </c>
      <c r="BC32" s="230" t="s">
        <v>858</v>
      </c>
      <c r="BD32" s="230">
        <v>0</v>
      </c>
      <c r="BE32" s="230">
        <v>0</v>
      </c>
      <c r="BF32" s="230" t="s">
        <v>601</v>
      </c>
      <c r="BG32" s="230" t="s">
        <v>601</v>
      </c>
      <c r="BH32" s="230" t="s">
        <v>601</v>
      </c>
      <c r="BI32" s="230" t="s">
        <v>587</v>
      </c>
      <c r="BJ32" s="230">
        <v>0</v>
      </c>
      <c r="BK32" s="230">
        <v>0</v>
      </c>
      <c r="BL32" s="230" t="s">
        <v>601</v>
      </c>
      <c r="BM32" s="230" t="s">
        <v>601</v>
      </c>
      <c r="BN32" s="230" t="s">
        <v>601</v>
      </c>
      <c r="BO32" s="553">
        <v>3</v>
      </c>
      <c r="BP32" s="553">
        <v>0</v>
      </c>
      <c r="BQ32" s="553">
        <v>0</v>
      </c>
      <c r="BR32" s="553">
        <v>0</v>
      </c>
      <c r="BS32" s="553">
        <v>0</v>
      </c>
      <c r="BT32" s="554">
        <v>0</v>
      </c>
      <c r="BU32" s="230" t="s">
        <v>597</v>
      </c>
      <c r="BV32" s="230" t="s">
        <v>601</v>
      </c>
      <c r="BW32" s="230" t="s">
        <v>601</v>
      </c>
      <c r="BX32" s="230" t="s">
        <v>601</v>
      </c>
      <c r="BY32" s="230" t="s">
        <v>601</v>
      </c>
      <c r="BZ32" s="230" t="s">
        <v>601</v>
      </c>
      <c r="CA32" s="230">
        <v>2</v>
      </c>
      <c r="CB32" s="230">
        <v>2</v>
      </c>
      <c r="CC32" s="230">
        <v>2</v>
      </c>
      <c r="CD32" s="230">
        <v>0</v>
      </c>
      <c r="CE32" s="230">
        <v>0</v>
      </c>
      <c r="CF32" s="230">
        <v>0</v>
      </c>
      <c r="CG32" s="230">
        <v>0</v>
      </c>
      <c r="CH32" s="230">
        <v>0</v>
      </c>
      <c r="CI32" s="230">
        <v>0</v>
      </c>
      <c r="CJ32" s="230">
        <v>0</v>
      </c>
      <c r="CK32" s="230">
        <v>0</v>
      </c>
      <c r="CL32" s="230">
        <v>0</v>
      </c>
      <c r="CM32" s="230">
        <v>0</v>
      </c>
      <c r="CN32" s="230">
        <v>0</v>
      </c>
      <c r="CO32" s="230">
        <v>0</v>
      </c>
      <c r="CP32" s="230">
        <v>0</v>
      </c>
      <c r="CQ32" s="230">
        <v>0</v>
      </c>
      <c r="CR32" s="230">
        <v>0</v>
      </c>
      <c r="CS32" s="230">
        <v>0</v>
      </c>
      <c r="CT32" s="230">
        <v>0</v>
      </c>
      <c r="CU32" s="230">
        <v>0</v>
      </c>
      <c r="CV32" s="230">
        <v>0</v>
      </c>
      <c r="CW32" s="230">
        <v>0</v>
      </c>
      <c r="CX32" s="230">
        <v>0</v>
      </c>
      <c r="CY32" s="230">
        <v>0</v>
      </c>
      <c r="CZ32" s="230">
        <v>0</v>
      </c>
      <c r="DA32" s="230">
        <v>0</v>
      </c>
      <c r="DB32" s="230">
        <v>0</v>
      </c>
      <c r="DC32" s="230">
        <v>0</v>
      </c>
      <c r="DD32" s="230">
        <v>0</v>
      </c>
      <c r="DE32" s="230">
        <v>0</v>
      </c>
      <c r="DF32" s="230">
        <v>0</v>
      </c>
      <c r="DG32" s="230">
        <v>0</v>
      </c>
      <c r="DH32" s="230">
        <v>0</v>
      </c>
      <c r="DI32" s="230">
        <v>0</v>
      </c>
      <c r="DJ32" s="230">
        <v>0</v>
      </c>
      <c r="DK32" s="230" t="s">
        <v>599</v>
      </c>
      <c r="DL32" s="230" t="s">
        <v>601</v>
      </c>
      <c r="DM32" s="230" t="s">
        <v>601</v>
      </c>
      <c r="DN32" s="230" t="s">
        <v>601</v>
      </c>
      <c r="DO32" s="230" t="s">
        <v>601</v>
      </c>
      <c r="DP32" s="230" t="s">
        <v>601</v>
      </c>
      <c r="DQ32" s="230" t="s">
        <v>1193</v>
      </c>
      <c r="DR32" s="230" t="s">
        <v>601</v>
      </c>
      <c r="DS32" s="230" t="s">
        <v>601</v>
      </c>
      <c r="DT32" s="230" t="s">
        <v>601</v>
      </c>
      <c r="DU32" s="230" t="s">
        <v>601</v>
      </c>
      <c r="DV32" s="230" t="s">
        <v>601</v>
      </c>
      <c r="DW32" s="230">
        <v>40</v>
      </c>
      <c r="DX32" s="230">
        <v>40</v>
      </c>
      <c r="DY32" s="230">
        <v>40</v>
      </c>
      <c r="DZ32" s="230">
        <v>0</v>
      </c>
      <c r="EA32" s="230">
        <v>0</v>
      </c>
      <c r="EB32" s="230">
        <v>0</v>
      </c>
      <c r="EC32" s="230">
        <v>40</v>
      </c>
      <c r="ED32" s="230">
        <v>0</v>
      </c>
      <c r="EE32" s="230">
        <v>0</v>
      </c>
      <c r="EF32" s="230">
        <v>0</v>
      </c>
      <c r="EG32" s="230">
        <v>0</v>
      </c>
      <c r="EH32" s="230">
        <v>0</v>
      </c>
      <c r="EI32" s="230">
        <v>0</v>
      </c>
      <c r="EJ32" s="230">
        <v>0</v>
      </c>
      <c r="EK32" s="230">
        <v>0</v>
      </c>
      <c r="EL32" s="230">
        <v>0</v>
      </c>
      <c r="EM32" s="230">
        <v>0</v>
      </c>
      <c r="EN32" s="230">
        <v>0</v>
      </c>
      <c r="EO32" s="230">
        <v>0</v>
      </c>
      <c r="EP32" s="230">
        <v>0</v>
      </c>
      <c r="EQ32" s="230">
        <v>0</v>
      </c>
      <c r="ER32" s="230">
        <v>0</v>
      </c>
      <c r="ES32" s="230">
        <v>0</v>
      </c>
      <c r="ET32" s="230">
        <v>0</v>
      </c>
      <c r="EU32" s="230">
        <v>0</v>
      </c>
      <c r="EV32" s="230">
        <v>0</v>
      </c>
      <c r="EW32" s="230">
        <v>0</v>
      </c>
      <c r="EX32" s="230">
        <v>0</v>
      </c>
      <c r="EY32" s="230">
        <v>0</v>
      </c>
      <c r="EZ32" s="230">
        <v>0</v>
      </c>
      <c r="FA32" s="230">
        <v>0</v>
      </c>
      <c r="FB32" s="230">
        <v>0</v>
      </c>
      <c r="FC32" s="230">
        <v>0</v>
      </c>
      <c r="FD32" s="230">
        <v>0</v>
      </c>
      <c r="FE32" s="230">
        <v>0</v>
      </c>
      <c r="FF32" s="230">
        <v>0</v>
      </c>
      <c r="FG32" s="230">
        <v>0</v>
      </c>
      <c r="FH32" s="230">
        <v>0</v>
      </c>
      <c r="FI32" s="230">
        <v>0</v>
      </c>
      <c r="FJ32" s="230">
        <v>0</v>
      </c>
      <c r="FK32" s="230">
        <v>0</v>
      </c>
      <c r="FL32" s="230">
        <v>0</v>
      </c>
      <c r="FM32" s="230">
        <v>40</v>
      </c>
      <c r="FN32" s="230">
        <v>2100</v>
      </c>
      <c r="FO32" s="230">
        <v>0</v>
      </c>
      <c r="FP32" s="230">
        <v>0</v>
      </c>
      <c r="FQ32" s="230" t="s">
        <v>601</v>
      </c>
      <c r="FR32" s="230" t="s">
        <v>601</v>
      </c>
      <c r="FS32" s="230" t="s">
        <v>601</v>
      </c>
      <c r="FT32" s="230" t="s">
        <v>801</v>
      </c>
      <c r="FU32" s="230">
        <v>0</v>
      </c>
      <c r="FV32" s="230">
        <v>0</v>
      </c>
      <c r="FW32" s="230" t="s">
        <v>601</v>
      </c>
      <c r="FX32" s="230" t="s">
        <v>601</v>
      </c>
      <c r="FY32" s="230" t="s">
        <v>601</v>
      </c>
      <c r="FZ32" s="230" t="s">
        <v>801</v>
      </c>
      <c r="GA32" s="230" t="s">
        <v>601</v>
      </c>
      <c r="GB32" s="230" t="s">
        <v>601</v>
      </c>
      <c r="GC32" s="230" t="s">
        <v>601</v>
      </c>
      <c r="GD32" s="230" t="s">
        <v>601</v>
      </c>
      <c r="GE32" s="230" t="s">
        <v>601</v>
      </c>
      <c r="GF32" s="230">
        <v>40</v>
      </c>
      <c r="GG32" s="230">
        <v>40</v>
      </c>
      <c r="GH32" s="230">
        <v>40</v>
      </c>
      <c r="GI32" s="230">
        <v>0</v>
      </c>
      <c r="GJ32" s="230">
        <v>0</v>
      </c>
      <c r="GK32" s="230">
        <v>0</v>
      </c>
      <c r="GL32" s="230">
        <v>0</v>
      </c>
      <c r="GM32" s="230">
        <v>0</v>
      </c>
      <c r="GN32" s="230">
        <v>0</v>
      </c>
      <c r="GO32" s="230">
        <v>0</v>
      </c>
      <c r="GP32" s="230">
        <v>0</v>
      </c>
      <c r="GQ32" s="230">
        <v>0</v>
      </c>
      <c r="GR32" s="230">
        <v>0</v>
      </c>
      <c r="GS32" s="230">
        <v>0</v>
      </c>
      <c r="GT32" s="230">
        <v>0</v>
      </c>
      <c r="GU32" s="230">
        <v>0</v>
      </c>
      <c r="GV32" s="230">
        <v>0</v>
      </c>
      <c r="GW32" s="230">
        <v>0</v>
      </c>
      <c r="GX32" s="230">
        <v>0</v>
      </c>
      <c r="GY32" s="230">
        <v>0</v>
      </c>
      <c r="GZ32" s="230">
        <v>0</v>
      </c>
      <c r="HA32" s="230">
        <v>0</v>
      </c>
      <c r="HB32" s="230">
        <v>0</v>
      </c>
      <c r="HC32" s="230">
        <v>0</v>
      </c>
      <c r="HD32" s="230">
        <v>0</v>
      </c>
      <c r="HE32" s="230">
        <v>0</v>
      </c>
      <c r="HF32" s="230">
        <v>0</v>
      </c>
      <c r="HG32" s="230">
        <v>0</v>
      </c>
      <c r="HH32" s="230">
        <v>0</v>
      </c>
      <c r="HI32" s="230">
        <v>0</v>
      </c>
      <c r="HJ32" s="230">
        <v>0</v>
      </c>
      <c r="HK32" s="230">
        <v>0</v>
      </c>
      <c r="HL32" s="230">
        <v>0</v>
      </c>
      <c r="HM32" s="230">
        <v>0</v>
      </c>
      <c r="HN32" s="230">
        <v>0</v>
      </c>
      <c r="HO32" s="230">
        <v>0</v>
      </c>
      <c r="HP32" s="230" t="s">
        <v>51</v>
      </c>
      <c r="HQ32" s="230">
        <v>40</v>
      </c>
      <c r="HR32" s="230">
        <v>0</v>
      </c>
      <c r="HS32" s="230">
        <v>0</v>
      </c>
      <c r="HT32" s="230">
        <v>0</v>
      </c>
      <c r="HU32" s="230">
        <v>0</v>
      </c>
      <c r="HV32" s="230">
        <v>0</v>
      </c>
      <c r="HW32" s="797">
        <v>40</v>
      </c>
      <c r="HX32" s="797">
        <v>0</v>
      </c>
      <c r="HY32" s="230">
        <v>68</v>
      </c>
      <c r="HZ32" s="230"/>
      <c r="IA32" s="230"/>
      <c r="IB32" s="230"/>
      <c r="IC32" s="232" t="s">
        <v>856</v>
      </c>
      <c r="ID32" s="233" t="s">
        <v>857</v>
      </c>
      <c r="IE32" s="467" t="s">
        <v>583</v>
      </c>
      <c r="IF32" s="232" t="s">
        <v>364</v>
      </c>
      <c r="IG32" s="467" t="s">
        <v>584</v>
      </c>
      <c r="IH32" s="467" t="s">
        <v>585</v>
      </c>
      <c r="II32" s="546" t="s">
        <v>584</v>
      </c>
      <c r="IJ32" s="467">
        <v>44462</v>
      </c>
      <c r="IK32" s="468">
        <v>3</v>
      </c>
      <c r="IL32" s="469" t="s">
        <v>1210</v>
      </c>
      <c r="IM32" s="469" t="s">
        <v>1195</v>
      </c>
      <c r="IN32" s="469" t="s">
        <v>1195</v>
      </c>
      <c r="IO32" s="469" t="s">
        <v>601</v>
      </c>
      <c r="IP32" s="469" t="s">
        <v>601</v>
      </c>
      <c r="IQ32" s="469" t="s">
        <v>601</v>
      </c>
      <c r="IR32" s="469">
        <v>1</v>
      </c>
      <c r="IS32" s="469">
        <v>2</v>
      </c>
      <c r="IT32" s="469" t="s">
        <v>675</v>
      </c>
      <c r="IU32" s="469" t="s">
        <v>675</v>
      </c>
    </row>
    <row r="33" ht="76.5">
      <c r="A33" s="322">
        <v>32</v>
      </c>
      <c r="B33" s="229" t="s">
        <v>1178</v>
      </c>
      <c r="C33" s="229" t="s">
        <v>1178</v>
      </c>
      <c r="D33" s="797" t="s">
        <v>866</v>
      </c>
      <c r="E33" s="229" t="s">
        <v>860</v>
      </c>
      <c r="F33" s="229" t="s">
        <v>26</v>
      </c>
      <c r="G33" s="797" t="s">
        <v>861</v>
      </c>
      <c r="H33" s="797" t="s">
        <v>862</v>
      </c>
      <c r="I33" s="229">
        <v>2</v>
      </c>
      <c r="J33" s="229" t="s">
        <v>863</v>
      </c>
      <c r="K33" s="231" t="s">
        <v>584</v>
      </c>
      <c r="L33" s="231" t="s">
        <v>1244</v>
      </c>
      <c r="M33" s="229" t="s">
        <v>1197</v>
      </c>
      <c r="N33" s="229" t="s">
        <v>1247</v>
      </c>
      <c r="O33" s="229" t="s">
        <v>1199</v>
      </c>
      <c r="P33" s="229" t="s">
        <v>1200</v>
      </c>
      <c r="Q33" s="229" t="s">
        <v>1213</v>
      </c>
      <c r="R33" s="229" t="s">
        <v>1214</v>
      </c>
      <c r="S33" s="229" t="s">
        <v>1215</v>
      </c>
      <c r="T33" s="229" t="s">
        <v>1248</v>
      </c>
      <c r="U33" s="229">
        <v>1</v>
      </c>
      <c r="V33" s="229"/>
      <c r="W33" s="229" t="b">
        <v>0</v>
      </c>
      <c r="X33" s="229" t="b">
        <v>0</v>
      </c>
      <c r="Y33" s="797">
        <v>0</v>
      </c>
      <c r="Z33" s="229" t="b">
        <v>1</v>
      </c>
      <c r="AA33" s="797">
        <v>28</v>
      </c>
      <c r="AB33" s="229" t="b">
        <v>0</v>
      </c>
      <c r="AC33" s="229" t="b">
        <v>1</v>
      </c>
      <c r="AD33" s="229">
        <v>0</v>
      </c>
      <c r="AE33" s="229"/>
      <c r="AF33" s="229" t="s">
        <v>50</v>
      </c>
      <c r="AG33" s="229">
        <v>0</v>
      </c>
      <c r="AH33" s="230"/>
      <c r="AI33" s="553" t="s">
        <v>576</v>
      </c>
      <c r="AJ33" s="553" t="s">
        <v>576</v>
      </c>
      <c r="AK33" s="229">
        <v>5</v>
      </c>
      <c r="AL33" s="465" t="s">
        <v>1188</v>
      </c>
      <c r="AM33" s="465" t="s">
        <v>1241</v>
      </c>
      <c r="AN33" s="465" t="s">
        <v>1242</v>
      </c>
      <c r="AO33" s="229" t="s">
        <v>25</v>
      </c>
      <c r="AP33" s="230" t="s">
        <v>576</v>
      </c>
      <c r="AQ33" s="230" t="s">
        <v>576</v>
      </c>
      <c r="AR33" s="230">
        <v>0</v>
      </c>
      <c r="AS33" s="230" t="s">
        <v>601</v>
      </c>
      <c r="AT33" s="230" t="s">
        <v>601</v>
      </c>
      <c r="AU33" s="230" t="s">
        <v>601</v>
      </c>
      <c r="AV33" s="230" t="s">
        <v>1178</v>
      </c>
      <c r="AW33" s="230" t="s">
        <v>1178</v>
      </c>
      <c r="AX33" s="230" t="s">
        <v>601</v>
      </c>
      <c r="AY33" s="230" t="s">
        <v>601</v>
      </c>
      <c r="AZ33" s="230" t="s">
        <v>601</v>
      </c>
      <c r="BA33" s="230" t="s">
        <v>601</v>
      </c>
      <c r="BB33" s="230" t="s">
        <v>1206</v>
      </c>
      <c r="BC33" s="230" t="s">
        <v>866</v>
      </c>
      <c r="BD33" s="230" t="s">
        <v>866</v>
      </c>
      <c r="BE33" s="230">
        <v>0</v>
      </c>
      <c r="BF33" s="230" t="s">
        <v>601</v>
      </c>
      <c r="BG33" s="230" t="s">
        <v>601</v>
      </c>
      <c r="BH33" s="230" t="s">
        <v>601</v>
      </c>
      <c r="BI33" s="230" t="s">
        <v>587</v>
      </c>
      <c r="BJ33" s="230" t="s">
        <v>587</v>
      </c>
      <c r="BK33" s="230">
        <v>0</v>
      </c>
      <c r="BL33" s="230" t="s">
        <v>601</v>
      </c>
      <c r="BM33" s="230" t="s">
        <v>601</v>
      </c>
      <c r="BN33" s="230" t="s">
        <v>601</v>
      </c>
      <c r="BO33" s="553">
        <v>3</v>
      </c>
      <c r="BP33" s="553">
        <v>3</v>
      </c>
      <c r="BQ33" s="553">
        <v>0</v>
      </c>
      <c r="BR33" s="553">
        <v>0</v>
      </c>
      <c r="BS33" s="553">
        <v>0</v>
      </c>
      <c r="BT33" s="554">
        <v>0</v>
      </c>
      <c r="BU33" s="230" t="s">
        <v>597</v>
      </c>
      <c r="BV33" s="230" t="s">
        <v>597</v>
      </c>
      <c r="BW33" s="230" t="s">
        <v>601</v>
      </c>
      <c r="BX33" s="230" t="s">
        <v>601</v>
      </c>
      <c r="BY33" s="230" t="s">
        <v>601</v>
      </c>
      <c r="BZ33" s="230" t="s">
        <v>601</v>
      </c>
      <c r="CA33" s="230">
        <v>2</v>
      </c>
      <c r="CB33" s="230">
        <v>2</v>
      </c>
      <c r="CC33" s="230">
        <v>2</v>
      </c>
      <c r="CD33" s="230">
        <v>0</v>
      </c>
      <c r="CE33" s="230">
        <v>0</v>
      </c>
      <c r="CF33" s="230">
        <v>0</v>
      </c>
      <c r="CG33" s="230">
        <v>2</v>
      </c>
      <c r="CH33" s="230">
        <v>2</v>
      </c>
      <c r="CI33" s="230">
        <v>2</v>
      </c>
      <c r="CJ33" s="230">
        <v>0</v>
      </c>
      <c r="CK33" s="230">
        <v>0</v>
      </c>
      <c r="CL33" s="230">
        <v>0</v>
      </c>
      <c r="CM33" s="230">
        <v>0</v>
      </c>
      <c r="CN33" s="230">
        <v>0</v>
      </c>
      <c r="CO33" s="230">
        <v>0</v>
      </c>
      <c r="CP33" s="230">
        <v>0</v>
      </c>
      <c r="CQ33" s="230">
        <v>0</v>
      </c>
      <c r="CR33" s="230">
        <v>0</v>
      </c>
      <c r="CS33" s="230">
        <v>0</v>
      </c>
      <c r="CT33" s="230">
        <v>0</v>
      </c>
      <c r="CU33" s="230">
        <v>0</v>
      </c>
      <c r="CV33" s="230">
        <v>0</v>
      </c>
      <c r="CW33" s="230">
        <v>0</v>
      </c>
      <c r="CX33" s="230">
        <v>0</v>
      </c>
      <c r="CY33" s="230">
        <v>0</v>
      </c>
      <c r="CZ33" s="230">
        <v>0</v>
      </c>
      <c r="DA33" s="230">
        <v>0</v>
      </c>
      <c r="DB33" s="230">
        <v>0</v>
      </c>
      <c r="DC33" s="230">
        <v>0</v>
      </c>
      <c r="DD33" s="230">
        <v>0</v>
      </c>
      <c r="DE33" s="230">
        <v>0</v>
      </c>
      <c r="DF33" s="230">
        <v>0</v>
      </c>
      <c r="DG33" s="230">
        <v>0</v>
      </c>
      <c r="DH33" s="230">
        <v>0</v>
      </c>
      <c r="DI33" s="230">
        <v>0</v>
      </c>
      <c r="DJ33" s="230">
        <v>0</v>
      </c>
      <c r="DK33" s="230" t="s">
        <v>599</v>
      </c>
      <c r="DL33" s="230" t="s">
        <v>599</v>
      </c>
      <c r="DM33" s="230" t="s">
        <v>601</v>
      </c>
      <c r="DN33" s="230" t="s">
        <v>601</v>
      </c>
      <c r="DO33" s="230" t="s">
        <v>601</v>
      </c>
      <c r="DP33" s="230" t="s">
        <v>601</v>
      </c>
      <c r="DQ33" s="230" t="s">
        <v>1193</v>
      </c>
      <c r="DR33" s="230" t="s">
        <v>1193</v>
      </c>
      <c r="DS33" s="230" t="s">
        <v>601</v>
      </c>
      <c r="DT33" s="230" t="s">
        <v>601</v>
      </c>
      <c r="DU33" s="230" t="s">
        <v>601</v>
      </c>
      <c r="DV33" s="230" t="s">
        <v>601</v>
      </c>
      <c r="DW33" s="230">
        <v>40</v>
      </c>
      <c r="DX33" s="230">
        <v>40</v>
      </c>
      <c r="DY33" s="230">
        <v>40</v>
      </c>
      <c r="DZ33" s="230">
        <v>0</v>
      </c>
      <c r="EA33" s="230">
        <v>0</v>
      </c>
      <c r="EB33" s="230">
        <v>0</v>
      </c>
      <c r="EC33" s="230">
        <v>40</v>
      </c>
      <c r="ED33" s="230">
        <v>40</v>
      </c>
      <c r="EE33" s="230">
        <v>40</v>
      </c>
      <c r="EF33" s="230">
        <v>40</v>
      </c>
      <c r="EG33" s="230">
        <v>0</v>
      </c>
      <c r="EH33" s="230">
        <v>0</v>
      </c>
      <c r="EI33" s="230">
        <v>0</v>
      </c>
      <c r="EJ33" s="230">
        <v>40</v>
      </c>
      <c r="EK33" s="230">
        <v>0</v>
      </c>
      <c r="EL33" s="230">
        <v>0</v>
      </c>
      <c r="EM33" s="230">
        <v>0</v>
      </c>
      <c r="EN33" s="230">
        <v>0</v>
      </c>
      <c r="EO33" s="230">
        <v>0</v>
      </c>
      <c r="EP33" s="230">
        <v>0</v>
      </c>
      <c r="EQ33" s="230">
        <v>0</v>
      </c>
      <c r="ER33" s="230">
        <v>0</v>
      </c>
      <c r="ES33" s="230">
        <v>0</v>
      </c>
      <c r="ET33" s="230">
        <v>0</v>
      </c>
      <c r="EU33" s="230">
        <v>0</v>
      </c>
      <c r="EV33" s="230">
        <v>0</v>
      </c>
      <c r="EW33" s="230">
        <v>0</v>
      </c>
      <c r="EX33" s="230">
        <v>0</v>
      </c>
      <c r="EY33" s="230">
        <v>0</v>
      </c>
      <c r="EZ33" s="230">
        <v>0</v>
      </c>
      <c r="FA33" s="230">
        <v>0</v>
      </c>
      <c r="FB33" s="230">
        <v>0</v>
      </c>
      <c r="FC33" s="230">
        <v>0</v>
      </c>
      <c r="FD33" s="230">
        <v>0</v>
      </c>
      <c r="FE33" s="230">
        <v>0</v>
      </c>
      <c r="FF33" s="230">
        <v>0</v>
      </c>
      <c r="FG33" s="230">
        <v>0</v>
      </c>
      <c r="FH33" s="230">
        <v>0</v>
      </c>
      <c r="FI33" s="230">
        <v>0</v>
      </c>
      <c r="FJ33" s="230">
        <v>0</v>
      </c>
      <c r="FK33" s="230">
        <v>0</v>
      </c>
      <c r="FL33" s="230">
        <v>0</v>
      </c>
      <c r="FM33" s="230">
        <v>40</v>
      </c>
      <c r="FN33" s="230" t="s">
        <v>592</v>
      </c>
      <c r="FO33" s="230" t="s">
        <v>600</v>
      </c>
      <c r="FP33" s="230">
        <v>0</v>
      </c>
      <c r="FQ33" s="230" t="s">
        <v>601</v>
      </c>
      <c r="FR33" s="230" t="s">
        <v>601</v>
      </c>
      <c r="FS33" s="230" t="s">
        <v>601</v>
      </c>
      <c r="FT33" s="230" t="s">
        <v>709</v>
      </c>
      <c r="FU33" s="230" t="s">
        <v>649</v>
      </c>
      <c r="FV33" s="230">
        <v>0</v>
      </c>
      <c r="FW33" s="230" t="s">
        <v>601</v>
      </c>
      <c r="FX33" s="230" t="s">
        <v>601</v>
      </c>
      <c r="FY33" s="230" t="s">
        <v>601</v>
      </c>
      <c r="FZ33" s="230" t="s">
        <v>709</v>
      </c>
      <c r="GA33" s="230" t="s">
        <v>649</v>
      </c>
      <c r="GB33" s="230" t="s">
        <v>601</v>
      </c>
      <c r="GC33" s="230" t="s">
        <v>601</v>
      </c>
      <c r="GD33" s="230" t="s">
        <v>601</v>
      </c>
      <c r="GE33" s="230" t="s">
        <v>601</v>
      </c>
      <c r="GF33" s="230">
        <v>28</v>
      </c>
      <c r="GG33" s="230">
        <v>28</v>
      </c>
      <c r="GH33" s="230">
        <v>28</v>
      </c>
      <c r="GI33" s="230">
        <v>0</v>
      </c>
      <c r="GJ33" s="230">
        <v>0</v>
      </c>
      <c r="GK33" s="230">
        <v>0</v>
      </c>
      <c r="GL33" s="230">
        <v>34</v>
      </c>
      <c r="GM33" s="230">
        <v>34</v>
      </c>
      <c r="GN33" s="230">
        <v>34</v>
      </c>
      <c r="GO33" s="230">
        <v>0</v>
      </c>
      <c r="GP33" s="230">
        <v>0</v>
      </c>
      <c r="GQ33" s="230">
        <v>0</v>
      </c>
      <c r="GR33" s="230">
        <v>0</v>
      </c>
      <c r="GS33" s="230">
        <v>0</v>
      </c>
      <c r="GT33" s="230">
        <v>0</v>
      </c>
      <c r="GU33" s="230">
        <v>0</v>
      </c>
      <c r="GV33" s="230">
        <v>0</v>
      </c>
      <c r="GW33" s="230">
        <v>0</v>
      </c>
      <c r="GX33" s="230">
        <v>0</v>
      </c>
      <c r="GY33" s="230">
        <v>0</v>
      </c>
      <c r="GZ33" s="230">
        <v>0</v>
      </c>
      <c r="HA33" s="230">
        <v>0</v>
      </c>
      <c r="HB33" s="230">
        <v>0</v>
      </c>
      <c r="HC33" s="230">
        <v>0</v>
      </c>
      <c r="HD33" s="230">
        <v>0</v>
      </c>
      <c r="HE33" s="230">
        <v>0</v>
      </c>
      <c r="HF33" s="230">
        <v>0</v>
      </c>
      <c r="HG33" s="230">
        <v>0</v>
      </c>
      <c r="HH33" s="230">
        <v>0</v>
      </c>
      <c r="HI33" s="230">
        <v>0</v>
      </c>
      <c r="HJ33" s="230">
        <v>0</v>
      </c>
      <c r="HK33" s="230">
        <v>0</v>
      </c>
      <c r="HL33" s="230">
        <v>0</v>
      </c>
      <c r="HM33" s="230">
        <v>0</v>
      </c>
      <c r="HN33" s="230">
        <v>0</v>
      </c>
      <c r="HO33" s="230">
        <v>0</v>
      </c>
      <c r="HP33" s="230" t="s">
        <v>51</v>
      </c>
      <c r="HQ33" s="230">
        <v>28</v>
      </c>
      <c r="HR33" s="230">
        <v>34</v>
      </c>
      <c r="HS33" s="230">
        <v>0</v>
      </c>
      <c r="HT33" s="230">
        <v>0</v>
      </c>
      <c r="HU33" s="230">
        <v>0</v>
      </c>
      <c r="HV33" s="230">
        <v>0</v>
      </c>
      <c r="HW33" s="797">
        <v>28</v>
      </c>
      <c r="HX33" s="797">
        <v>0</v>
      </c>
      <c r="HY33" s="230">
        <v>68</v>
      </c>
      <c r="HZ33" s="230"/>
      <c r="IA33" s="230"/>
      <c r="IB33" s="230"/>
      <c r="IC33" s="232" t="s">
        <v>864</v>
      </c>
      <c r="ID33" s="233" t="s">
        <v>865</v>
      </c>
      <c r="IE33" s="467" t="s">
        <v>583</v>
      </c>
      <c r="IF33" s="232" t="s">
        <v>364</v>
      </c>
      <c r="IG33" s="467" t="s">
        <v>584</v>
      </c>
      <c r="IH33" s="467" t="s">
        <v>585</v>
      </c>
      <c r="II33" s="546" t="s">
        <v>584</v>
      </c>
      <c r="IJ33" s="467">
        <v>44462</v>
      </c>
      <c r="IK33" s="468">
        <v>3</v>
      </c>
      <c r="IL33" s="469" t="s">
        <v>1207</v>
      </c>
      <c r="IM33" s="469" t="s">
        <v>603</v>
      </c>
      <c r="IN33" s="469" t="s">
        <v>1195</v>
      </c>
      <c r="IO33" s="469" t="s">
        <v>601</v>
      </c>
      <c r="IP33" s="469" t="s">
        <v>601</v>
      </c>
      <c r="IQ33" s="469" t="s">
        <v>601</v>
      </c>
      <c r="IR33" s="469">
        <v>2</v>
      </c>
      <c r="IS33" s="469">
        <v>1</v>
      </c>
      <c r="IT33" s="469" t="s">
        <v>675</v>
      </c>
      <c r="IU33" s="469" t="s">
        <v>675</v>
      </c>
    </row>
    <row r="34" ht="76.5">
      <c r="A34" s="322">
        <v>33</v>
      </c>
      <c r="B34" s="229" t="s">
        <v>1178</v>
      </c>
      <c r="C34" s="229" t="s">
        <v>1178</v>
      </c>
      <c r="D34" s="797" t="s">
        <v>874</v>
      </c>
      <c r="E34" s="229" t="s">
        <v>868</v>
      </c>
      <c r="F34" s="229" t="s">
        <v>26</v>
      </c>
      <c r="G34" s="797" t="s">
        <v>869</v>
      </c>
      <c r="H34" s="797" t="s">
        <v>870</v>
      </c>
      <c r="I34" s="229">
        <v>1</v>
      </c>
      <c r="J34" s="229" t="s">
        <v>871</v>
      </c>
      <c r="K34" s="231" t="s">
        <v>584</v>
      </c>
      <c r="L34" s="231" t="s">
        <v>1244</v>
      </c>
      <c r="M34" s="229" t="s">
        <v>576</v>
      </c>
      <c r="N34" s="229" t="s">
        <v>874</v>
      </c>
      <c r="O34" s="229" t="s">
        <v>587</v>
      </c>
      <c r="P34" s="229" t="s">
        <v>1208</v>
      </c>
      <c r="Q34" s="229" t="s">
        <v>597</v>
      </c>
      <c r="R34" s="229" t="s">
        <v>1193</v>
      </c>
      <c r="S34" s="229" t="s">
        <v>600</v>
      </c>
      <c r="T34" s="229" t="s">
        <v>613</v>
      </c>
      <c r="U34" s="229">
        <v>1</v>
      </c>
      <c r="V34" s="229"/>
      <c r="W34" s="229" t="b">
        <v>0</v>
      </c>
      <c r="X34" s="229" t="b">
        <v>0</v>
      </c>
      <c r="Y34" s="797">
        <v>0</v>
      </c>
      <c r="Z34" s="229" t="b">
        <v>1</v>
      </c>
      <c r="AA34" s="797">
        <v>24</v>
      </c>
      <c r="AB34" s="229" t="b">
        <v>0</v>
      </c>
      <c r="AC34" s="229" t="b">
        <v>1</v>
      </c>
      <c r="AD34" s="229">
        <v>0</v>
      </c>
      <c r="AE34" s="229"/>
      <c r="AF34" s="229" t="s">
        <v>50</v>
      </c>
      <c r="AG34" s="229">
        <v>0</v>
      </c>
      <c r="AH34" s="230"/>
      <c r="AI34" s="553" t="s">
        <v>576</v>
      </c>
      <c r="AJ34" s="553" t="s">
        <v>576</v>
      </c>
      <c r="AK34" s="229">
        <v>4</v>
      </c>
      <c r="AL34" s="465" t="s">
        <v>1188</v>
      </c>
      <c r="AM34" s="465" t="s">
        <v>1249</v>
      </c>
      <c r="AN34" s="465" t="s">
        <v>1250</v>
      </c>
      <c r="AO34" s="229" t="s">
        <v>25</v>
      </c>
      <c r="AP34" s="230" t="s">
        <v>576</v>
      </c>
      <c r="AQ34" s="230">
        <v>0</v>
      </c>
      <c r="AR34" s="230">
        <v>0</v>
      </c>
      <c r="AS34" s="230" t="s">
        <v>601</v>
      </c>
      <c r="AT34" s="230" t="s">
        <v>601</v>
      </c>
      <c r="AU34" s="230" t="s">
        <v>601</v>
      </c>
      <c r="AV34" s="230" t="s">
        <v>1178</v>
      </c>
      <c r="AW34" s="230" t="s">
        <v>601</v>
      </c>
      <c r="AX34" s="230" t="s">
        <v>601</v>
      </c>
      <c r="AY34" s="230" t="s">
        <v>601</v>
      </c>
      <c r="AZ34" s="230" t="s">
        <v>601</v>
      </c>
      <c r="BA34" s="230" t="s">
        <v>601</v>
      </c>
      <c r="BB34" s="230" t="s">
        <v>1178</v>
      </c>
      <c r="BC34" s="230" t="s">
        <v>874</v>
      </c>
      <c r="BD34" s="230">
        <v>0</v>
      </c>
      <c r="BE34" s="230">
        <v>0</v>
      </c>
      <c r="BF34" s="230" t="s">
        <v>601</v>
      </c>
      <c r="BG34" s="230" t="s">
        <v>601</v>
      </c>
      <c r="BH34" s="230" t="s">
        <v>601</v>
      </c>
      <c r="BI34" s="230" t="s">
        <v>587</v>
      </c>
      <c r="BJ34" s="230">
        <v>0</v>
      </c>
      <c r="BK34" s="230">
        <v>0</v>
      </c>
      <c r="BL34" s="230" t="s">
        <v>601</v>
      </c>
      <c r="BM34" s="230" t="s">
        <v>601</v>
      </c>
      <c r="BN34" s="230" t="s">
        <v>601</v>
      </c>
      <c r="BO34" s="553">
        <v>3</v>
      </c>
      <c r="BP34" s="553">
        <v>0</v>
      </c>
      <c r="BQ34" s="553">
        <v>0</v>
      </c>
      <c r="BR34" s="553">
        <v>0</v>
      </c>
      <c r="BS34" s="553">
        <v>0</v>
      </c>
      <c r="BT34" s="554">
        <v>0</v>
      </c>
      <c r="BU34" s="230" t="s">
        <v>597</v>
      </c>
      <c r="BV34" s="230" t="s">
        <v>601</v>
      </c>
      <c r="BW34" s="230" t="s">
        <v>601</v>
      </c>
      <c r="BX34" s="230" t="s">
        <v>601</v>
      </c>
      <c r="BY34" s="230" t="s">
        <v>601</v>
      </c>
      <c r="BZ34" s="230" t="s">
        <v>601</v>
      </c>
      <c r="CA34" s="230">
        <v>2</v>
      </c>
      <c r="CB34" s="230">
        <v>2</v>
      </c>
      <c r="CC34" s="230">
        <v>2</v>
      </c>
      <c r="CD34" s="230">
        <v>0</v>
      </c>
      <c r="CE34" s="230">
        <v>0</v>
      </c>
      <c r="CF34" s="230">
        <v>0</v>
      </c>
      <c r="CG34" s="230">
        <v>0</v>
      </c>
      <c r="CH34" s="230">
        <v>0</v>
      </c>
      <c r="CI34" s="230">
        <v>0</v>
      </c>
      <c r="CJ34" s="230">
        <v>0</v>
      </c>
      <c r="CK34" s="230">
        <v>0</v>
      </c>
      <c r="CL34" s="230">
        <v>0</v>
      </c>
      <c r="CM34" s="230">
        <v>0</v>
      </c>
      <c r="CN34" s="230">
        <v>0</v>
      </c>
      <c r="CO34" s="230">
        <v>0</v>
      </c>
      <c r="CP34" s="230">
        <v>0</v>
      </c>
      <c r="CQ34" s="230">
        <v>0</v>
      </c>
      <c r="CR34" s="230">
        <v>0</v>
      </c>
      <c r="CS34" s="230">
        <v>0</v>
      </c>
      <c r="CT34" s="230">
        <v>0</v>
      </c>
      <c r="CU34" s="230">
        <v>0</v>
      </c>
      <c r="CV34" s="230">
        <v>0</v>
      </c>
      <c r="CW34" s="230">
        <v>0</v>
      </c>
      <c r="CX34" s="230">
        <v>0</v>
      </c>
      <c r="CY34" s="230">
        <v>0</v>
      </c>
      <c r="CZ34" s="230">
        <v>0</v>
      </c>
      <c r="DA34" s="230">
        <v>0</v>
      </c>
      <c r="DB34" s="230">
        <v>0</v>
      </c>
      <c r="DC34" s="230">
        <v>0</v>
      </c>
      <c r="DD34" s="230">
        <v>0</v>
      </c>
      <c r="DE34" s="230">
        <v>0</v>
      </c>
      <c r="DF34" s="230">
        <v>0</v>
      </c>
      <c r="DG34" s="230">
        <v>0</v>
      </c>
      <c r="DH34" s="230">
        <v>0</v>
      </c>
      <c r="DI34" s="230">
        <v>0</v>
      </c>
      <c r="DJ34" s="230">
        <v>0</v>
      </c>
      <c r="DK34" s="230" t="s">
        <v>599</v>
      </c>
      <c r="DL34" s="230" t="s">
        <v>601</v>
      </c>
      <c r="DM34" s="230" t="s">
        <v>601</v>
      </c>
      <c r="DN34" s="230" t="s">
        <v>601</v>
      </c>
      <c r="DO34" s="230" t="s">
        <v>601</v>
      </c>
      <c r="DP34" s="230" t="s">
        <v>601</v>
      </c>
      <c r="DQ34" s="230" t="s">
        <v>1193</v>
      </c>
      <c r="DR34" s="230" t="s">
        <v>601</v>
      </c>
      <c r="DS34" s="230" t="s">
        <v>601</v>
      </c>
      <c r="DT34" s="230" t="s">
        <v>601</v>
      </c>
      <c r="DU34" s="230" t="s">
        <v>601</v>
      </c>
      <c r="DV34" s="230" t="s">
        <v>601</v>
      </c>
      <c r="DW34" s="230">
        <v>40</v>
      </c>
      <c r="DX34" s="230">
        <v>40</v>
      </c>
      <c r="DY34" s="230">
        <v>40</v>
      </c>
      <c r="DZ34" s="230">
        <v>0</v>
      </c>
      <c r="EA34" s="230">
        <v>0</v>
      </c>
      <c r="EB34" s="230">
        <v>0</v>
      </c>
      <c r="EC34" s="230">
        <v>40</v>
      </c>
      <c r="ED34" s="230">
        <v>0</v>
      </c>
      <c r="EE34" s="230">
        <v>0</v>
      </c>
      <c r="EF34" s="230">
        <v>0</v>
      </c>
      <c r="EG34" s="230">
        <v>0</v>
      </c>
      <c r="EH34" s="230">
        <v>0</v>
      </c>
      <c r="EI34" s="230">
        <v>0</v>
      </c>
      <c r="EJ34" s="230">
        <v>0</v>
      </c>
      <c r="EK34" s="230">
        <v>0</v>
      </c>
      <c r="EL34" s="230">
        <v>0</v>
      </c>
      <c r="EM34" s="230">
        <v>0</v>
      </c>
      <c r="EN34" s="230">
        <v>0</v>
      </c>
      <c r="EO34" s="230">
        <v>0</v>
      </c>
      <c r="EP34" s="230">
        <v>0</v>
      </c>
      <c r="EQ34" s="230">
        <v>0</v>
      </c>
      <c r="ER34" s="230">
        <v>0</v>
      </c>
      <c r="ES34" s="230">
        <v>0</v>
      </c>
      <c r="ET34" s="230">
        <v>0</v>
      </c>
      <c r="EU34" s="230">
        <v>0</v>
      </c>
      <c r="EV34" s="230">
        <v>0</v>
      </c>
      <c r="EW34" s="230">
        <v>0</v>
      </c>
      <c r="EX34" s="230">
        <v>0</v>
      </c>
      <c r="EY34" s="230">
        <v>0</v>
      </c>
      <c r="EZ34" s="230">
        <v>0</v>
      </c>
      <c r="FA34" s="230">
        <v>0</v>
      </c>
      <c r="FB34" s="230">
        <v>0</v>
      </c>
      <c r="FC34" s="230">
        <v>0</v>
      </c>
      <c r="FD34" s="230">
        <v>0</v>
      </c>
      <c r="FE34" s="230">
        <v>0</v>
      </c>
      <c r="FF34" s="230">
        <v>0</v>
      </c>
      <c r="FG34" s="230">
        <v>0</v>
      </c>
      <c r="FH34" s="230">
        <v>0</v>
      </c>
      <c r="FI34" s="230">
        <v>0</v>
      </c>
      <c r="FJ34" s="230">
        <v>0</v>
      </c>
      <c r="FK34" s="230">
        <v>0</v>
      </c>
      <c r="FL34" s="230">
        <v>0</v>
      </c>
      <c r="FM34" s="230">
        <v>40</v>
      </c>
      <c r="FN34" s="230">
        <v>2100</v>
      </c>
      <c r="FO34" s="230">
        <v>0</v>
      </c>
      <c r="FP34" s="230">
        <v>0</v>
      </c>
      <c r="FQ34" s="230" t="s">
        <v>601</v>
      </c>
      <c r="FR34" s="230" t="s">
        <v>601</v>
      </c>
      <c r="FS34" s="230" t="s">
        <v>601</v>
      </c>
      <c r="FT34" s="230" t="s">
        <v>613</v>
      </c>
      <c r="FU34" s="230">
        <v>0</v>
      </c>
      <c r="FV34" s="230">
        <v>0</v>
      </c>
      <c r="FW34" s="230" t="s">
        <v>601</v>
      </c>
      <c r="FX34" s="230" t="s">
        <v>601</v>
      </c>
      <c r="FY34" s="230" t="s">
        <v>601</v>
      </c>
      <c r="FZ34" s="230" t="s">
        <v>613</v>
      </c>
      <c r="GA34" s="230" t="s">
        <v>601</v>
      </c>
      <c r="GB34" s="230" t="s">
        <v>601</v>
      </c>
      <c r="GC34" s="230" t="s">
        <v>601</v>
      </c>
      <c r="GD34" s="230" t="s">
        <v>601</v>
      </c>
      <c r="GE34" s="230" t="s">
        <v>601</v>
      </c>
      <c r="GF34" s="230">
        <v>24</v>
      </c>
      <c r="GG34" s="230">
        <v>24</v>
      </c>
      <c r="GH34" s="230">
        <v>24</v>
      </c>
      <c r="GI34" s="230">
        <v>0</v>
      </c>
      <c r="GJ34" s="230">
        <v>0</v>
      </c>
      <c r="GK34" s="230">
        <v>0</v>
      </c>
      <c r="GL34" s="230">
        <v>0</v>
      </c>
      <c r="GM34" s="230">
        <v>0</v>
      </c>
      <c r="GN34" s="230">
        <v>0</v>
      </c>
      <c r="GO34" s="230">
        <v>0</v>
      </c>
      <c r="GP34" s="230">
        <v>0</v>
      </c>
      <c r="GQ34" s="230">
        <v>0</v>
      </c>
      <c r="GR34" s="230">
        <v>0</v>
      </c>
      <c r="GS34" s="230">
        <v>0</v>
      </c>
      <c r="GT34" s="230">
        <v>0</v>
      </c>
      <c r="GU34" s="230">
        <v>0</v>
      </c>
      <c r="GV34" s="230">
        <v>0</v>
      </c>
      <c r="GW34" s="230">
        <v>0</v>
      </c>
      <c r="GX34" s="230">
        <v>0</v>
      </c>
      <c r="GY34" s="230">
        <v>0</v>
      </c>
      <c r="GZ34" s="230">
        <v>0</v>
      </c>
      <c r="HA34" s="230">
        <v>0</v>
      </c>
      <c r="HB34" s="230">
        <v>0</v>
      </c>
      <c r="HC34" s="230">
        <v>0</v>
      </c>
      <c r="HD34" s="230">
        <v>0</v>
      </c>
      <c r="HE34" s="230">
        <v>0</v>
      </c>
      <c r="HF34" s="230">
        <v>0</v>
      </c>
      <c r="HG34" s="230">
        <v>0</v>
      </c>
      <c r="HH34" s="230">
        <v>0</v>
      </c>
      <c r="HI34" s="230">
        <v>0</v>
      </c>
      <c r="HJ34" s="230">
        <v>0</v>
      </c>
      <c r="HK34" s="230">
        <v>0</v>
      </c>
      <c r="HL34" s="230">
        <v>0</v>
      </c>
      <c r="HM34" s="230">
        <v>0</v>
      </c>
      <c r="HN34" s="230">
        <v>0</v>
      </c>
      <c r="HO34" s="230">
        <v>0</v>
      </c>
      <c r="HP34" s="230" t="s">
        <v>51</v>
      </c>
      <c r="HQ34" s="230">
        <v>24</v>
      </c>
      <c r="HR34" s="230">
        <v>0</v>
      </c>
      <c r="HS34" s="230">
        <v>0</v>
      </c>
      <c r="HT34" s="230">
        <v>0</v>
      </c>
      <c r="HU34" s="230">
        <v>0</v>
      </c>
      <c r="HV34" s="230">
        <v>0</v>
      </c>
      <c r="HW34" s="797">
        <v>24</v>
      </c>
      <c r="HX34" s="797">
        <v>0</v>
      </c>
      <c r="HY34" s="230">
        <v>68</v>
      </c>
      <c r="HZ34" s="230"/>
      <c r="IA34" s="230"/>
      <c r="IB34" s="230"/>
      <c r="IC34" s="232" t="s">
        <v>872</v>
      </c>
      <c r="ID34" s="233" t="s">
        <v>873</v>
      </c>
      <c r="IE34" s="467" t="s">
        <v>583</v>
      </c>
      <c r="IF34" s="232" t="s">
        <v>364</v>
      </c>
      <c r="IG34" s="467" t="s">
        <v>584</v>
      </c>
      <c r="IH34" s="467" t="s">
        <v>585</v>
      </c>
      <c r="II34" s="546" t="s">
        <v>584</v>
      </c>
      <c r="IJ34" s="467">
        <v>44462</v>
      </c>
      <c r="IK34" s="468">
        <v>3</v>
      </c>
      <c r="IL34" s="469" t="s">
        <v>1210</v>
      </c>
      <c r="IM34" s="469" t="s">
        <v>1195</v>
      </c>
      <c r="IN34" s="469" t="s">
        <v>1195</v>
      </c>
      <c r="IO34" s="469" t="s">
        <v>601</v>
      </c>
      <c r="IP34" s="469" t="s">
        <v>601</v>
      </c>
      <c r="IQ34" s="469" t="s">
        <v>601</v>
      </c>
      <c r="IR34" s="469">
        <v>1</v>
      </c>
      <c r="IS34" s="469">
        <v>2</v>
      </c>
      <c r="IT34" s="469" t="s">
        <v>675</v>
      </c>
      <c r="IU34" s="469" t="s">
        <v>675</v>
      </c>
    </row>
    <row r="35" ht="76.5">
      <c r="A35" s="322">
        <v>34</v>
      </c>
      <c r="B35" s="229" t="s">
        <v>1178</v>
      </c>
      <c r="C35" s="229" t="s">
        <v>1178</v>
      </c>
      <c r="D35" s="797" t="s">
        <v>882</v>
      </c>
      <c r="E35" s="229" t="s">
        <v>876</v>
      </c>
      <c r="F35" s="229" t="s">
        <v>26</v>
      </c>
      <c r="G35" s="797" t="s">
        <v>877</v>
      </c>
      <c r="H35" s="797" t="s">
        <v>878</v>
      </c>
      <c r="I35" s="229">
        <v>1</v>
      </c>
      <c r="J35" s="229" t="s">
        <v>879</v>
      </c>
      <c r="K35" s="231" t="s">
        <v>584</v>
      </c>
      <c r="L35" s="231" t="s">
        <v>1251</v>
      </c>
      <c r="M35" s="229" t="s">
        <v>576</v>
      </c>
      <c r="N35" s="229" t="s">
        <v>882</v>
      </c>
      <c r="O35" s="229" t="s">
        <v>587</v>
      </c>
      <c r="P35" s="229" t="s">
        <v>1208</v>
      </c>
      <c r="Q35" s="229" t="s">
        <v>597</v>
      </c>
      <c r="R35" s="229" t="s">
        <v>1193</v>
      </c>
      <c r="S35" s="229" t="s">
        <v>600</v>
      </c>
      <c r="T35" s="229" t="s">
        <v>649</v>
      </c>
      <c r="U35" s="229">
        <v>1</v>
      </c>
      <c r="V35" s="229"/>
      <c r="W35" s="229" t="b">
        <v>1</v>
      </c>
      <c r="X35" s="229" t="b">
        <v>1</v>
      </c>
      <c r="Y35" s="797">
        <v>1</v>
      </c>
      <c r="Z35" s="229" t="b">
        <v>1</v>
      </c>
      <c r="AA35" s="797">
        <v>34</v>
      </c>
      <c r="AB35" s="229" t="b">
        <v>0</v>
      </c>
      <c r="AC35" s="229" t="b">
        <v>1</v>
      </c>
      <c r="AD35" s="229">
        <v>0</v>
      </c>
      <c r="AE35" s="229"/>
      <c r="AF35" s="229" t="s">
        <v>50</v>
      </c>
      <c r="AG35" s="229">
        <v>0</v>
      </c>
      <c r="AH35" s="230"/>
      <c r="AI35" s="553" t="s">
        <v>576</v>
      </c>
      <c r="AJ35" s="553" t="s">
        <v>576</v>
      </c>
      <c r="AK35" s="229">
        <v>4</v>
      </c>
      <c r="AL35" s="465" t="s">
        <v>1188</v>
      </c>
      <c r="AM35" s="465" t="s">
        <v>1249</v>
      </c>
      <c r="AN35" s="465" t="s">
        <v>1252</v>
      </c>
      <c r="AO35" s="229" t="s">
        <v>25</v>
      </c>
      <c r="AP35" s="230" t="s">
        <v>576</v>
      </c>
      <c r="AQ35" s="230">
        <v>0</v>
      </c>
      <c r="AR35" s="230">
        <v>0</v>
      </c>
      <c r="AS35" s="230" t="s">
        <v>601</v>
      </c>
      <c r="AT35" s="230" t="s">
        <v>601</v>
      </c>
      <c r="AU35" s="230" t="s">
        <v>601</v>
      </c>
      <c r="AV35" s="230" t="s">
        <v>1178</v>
      </c>
      <c r="AW35" s="230" t="s">
        <v>601</v>
      </c>
      <c r="AX35" s="230" t="s">
        <v>601</v>
      </c>
      <c r="AY35" s="230" t="s">
        <v>601</v>
      </c>
      <c r="AZ35" s="230" t="s">
        <v>601</v>
      </c>
      <c r="BA35" s="230" t="s">
        <v>601</v>
      </c>
      <c r="BB35" s="230" t="s">
        <v>1178</v>
      </c>
      <c r="BC35" s="230" t="s">
        <v>882</v>
      </c>
      <c r="BD35" s="230">
        <v>0</v>
      </c>
      <c r="BE35" s="230">
        <v>0</v>
      </c>
      <c r="BF35" s="230" t="s">
        <v>601</v>
      </c>
      <c r="BG35" s="230" t="s">
        <v>601</v>
      </c>
      <c r="BH35" s="230" t="s">
        <v>601</v>
      </c>
      <c r="BI35" s="230" t="s">
        <v>587</v>
      </c>
      <c r="BJ35" s="230">
        <v>0</v>
      </c>
      <c r="BK35" s="230">
        <v>0</v>
      </c>
      <c r="BL35" s="230" t="s">
        <v>601</v>
      </c>
      <c r="BM35" s="230" t="s">
        <v>601</v>
      </c>
      <c r="BN35" s="230" t="s">
        <v>601</v>
      </c>
      <c r="BO35" s="553">
        <v>3</v>
      </c>
      <c r="BP35" s="553">
        <v>0</v>
      </c>
      <c r="BQ35" s="553">
        <v>0</v>
      </c>
      <c r="BR35" s="553">
        <v>0</v>
      </c>
      <c r="BS35" s="553">
        <v>0</v>
      </c>
      <c r="BT35" s="554">
        <v>0</v>
      </c>
      <c r="BU35" s="230" t="s">
        <v>597</v>
      </c>
      <c r="BV35" s="230" t="s">
        <v>601</v>
      </c>
      <c r="BW35" s="230" t="s">
        <v>601</v>
      </c>
      <c r="BX35" s="230" t="s">
        <v>601</v>
      </c>
      <c r="BY35" s="230" t="s">
        <v>601</v>
      </c>
      <c r="BZ35" s="230" t="s">
        <v>601</v>
      </c>
      <c r="CA35" s="230">
        <v>2</v>
      </c>
      <c r="CB35" s="230">
        <v>2</v>
      </c>
      <c r="CC35" s="230">
        <v>2</v>
      </c>
      <c r="CD35" s="230">
        <v>0</v>
      </c>
      <c r="CE35" s="230">
        <v>0</v>
      </c>
      <c r="CF35" s="230">
        <v>0</v>
      </c>
      <c r="CG35" s="230">
        <v>0</v>
      </c>
      <c r="CH35" s="230">
        <v>0</v>
      </c>
      <c r="CI35" s="230">
        <v>0</v>
      </c>
      <c r="CJ35" s="230">
        <v>0</v>
      </c>
      <c r="CK35" s="230">
        <v>0</v>
      </c>
      <c r="CL35" s="230">
        <v>0</v>
      </c>
      <c r="CM35" s="230">
        <v>0</v>
      </c>
      <c r="CN35" s="230">
        <v>0</v>
      </c>
      <c r="CO35" s="230">
        <v>0</v>
      </c>
      <c r="CP35" s="230">
        <v>0</v>
      </c>
      <c r="CQ35" s="230">
        <v>0</v>
      </c>
      <c r="CR35" s="230">
        <v>0</v>
      </c>
      <c r="CS35" s="230">
        <v>0</v>
      </c>
      <c r="CT35" s="230">
        <v>0</v>
      </c>
      <c r="CU35" s="230">
        <v>0</v>
      </c>
      <c r="CV35" s="230">
        <v>0</v>
      </c>
      <c r="CW35" s="230">
        <v>0</v>
      </c>
      <c r="CX35" s="230">
        <v>0</v>
      </c>
      <c r="CY35" s="230">
        <v>0</v>
      </c>
      <c r="CZ35" s="230">
        <v>0</v>
      </c>
      <c r="DA35" s="230">
        <v>0</v>
      </c>
      <c r="DB35" s="230">
        <v>0</v>
      </c>
      <c r="DC35" s="230">
        <v>0</v>
      </c>
      <c r="DD35" s="230">
        <v>0</v>
      </c>
      <c r="DE35" s="230">
        <v>0</v>
      </c>
      <c r="DF35" s="230">
        <v>0</v>
      </c>
      <c r="DG35" s="230">
        <v>0</v>
      </c>
      <c r="DH35" s="230">
        <v>0</v>
      </c>
      <c r="DI35" s="230">
        <v>0</v>
      </c>
      <c r="DJ35" s="230">
        <v>0</v>
      </c>
      <c r="DK35" s="230" t="s">
        <v>599</v>
      </c>
      <c r="DL35" s="230" t="s">
        <v>601</v>
      </c>
      <c r="DM35" s="230" t="s">
        <v>601</v>
      </c>
      <c r="DN35" s="230" t="s">
        <v>601</v>
      </c>
      <c r="DO35" s="230" t="s">
        <v>601</v>
      </c>
      <c r="DP35" s="230" t="s">
        <v>601</v>
      </c>
      <c r="DQ35" s="230" t="s">
        <v>1193</v>
      </c>
      <c r="DR35" s="230" t="s">
        <v>601</v>
      </c>
      <c r="DS35" s="230" t="s">
        <v>601</v>
      </c>
      <c r="DT35" s="230" t="s">
        <v>601</v>
      </c>
      <c r="DU35" s="230" t="s">
        <v>601</v>
      </c>
      <c r="DV35" s="230" t="s">
        <v>601</v>
      </c>
      <c r="DW35" s="230">
        <v>40</v>
      </c>
      <c r="DX35" s="230">
        <v>40</v>
      </c>
      <c r="DY35" s="230">
        <v>40</v>
      </c>
      <c r="DZ35" s="230">
        <v>0</v>
      </c>
      <c r="EA35" s="230">
        <v>0</v>
      </c>
      <c r="EB35" s="230">
        <v>0</v>
      </c>
      <c r="EC35" s="230">
        <v>40</v>
      </c>
      <c r="ED35" s="230">
        <v>0</v>
      </c>
      <c r="EE35" s="230">
        <v>0</v>
      </c>
      <c r="EF35" s="230">
        <v>0</v>
      </c>
      <c r="EG35" s="230">
        <v>0</v>
      </c>
      <c r="EH35" s="230">
        <v>0</v>
      </c>
      <c r="EI35" s="230">
        <v>0</v>
      </c>
      <c r="EJ35" s="230">
        <v>0</v>
      </c>
      <c r="EK35" s="230">
        <v>0</v>
      </c>
      <c r="EL35" s="230">
        <v>0</v>
      </c>
      <c r="EM35" s="230">
        <v>0</v>
      </c>
      <c r="EN35" s="230">
        <v>0</v>
      </c>
      <c r="EO35" s="230">
        <v>0</v>
      </c>
      <c r="EP35" s="230">
        <v>0</v>
      </c>
      <c r="EQ35" s="230">
        <v>0</v>
      </c>
      <c r="ER35" s="230">
        <v>0</v>
      </c>
      <c r="ES35" s="230">
        <v>0</v>
      </c>
      <c r="ET35" s="230">
        <v>0</v>
      </c>
      <c r="EU35" s="230">
        <v>0</v>
      </c>
      <c r="EV35" s="230">
        <v>0</v>
      </c>
      <c r="EW35" s="230">
        <v>0</v>
      </c>
      <c r="EX35" s="230">
        <v>0</v>
      </c>
      <c r="EY35" s="230">
        <v>0</v>
      </c>
      <c r="EZ35" s="230">
        <v>0</v>
      </c>
      <c r="FA35" s="230">
        <v>0</v>
      </c>
      <c r="FB35" s="230">
        <v>0</v>
      </c>
      <c r="FC35" s="230">
        <v>0</v>
      </c>
      <c r="FD35" s="230">
        <v>0</v>
      </c>
      <c r="FE35" s="230">
        <v>0</v>
      </c>
      <c r="FF35" s="230">
        <v>0</v>
      </c>
      <c r="FG35" s="230">
        <v>0</v>
      </c>
      <c r="FH35" s="230">
        <v>0</v>
      </c>
      <c r="FI35" s="230">
        <v>0</v>
      </c>
      <c r="FJ35" s="230">
        <v>0</v>
      </c>
      <c r="FK35" s="230">
        <v>0</v>
      </c>
      <c r="FL35" s="230">
        <v>0</v>
      </c>
      <c r="FM35" s="230">
        <v>40</v>
      </c>
      <c r="FN35" s="230">
        <v>2100</v>
      </c>
      <c r="FO35" s="230">
        <v>0</v>
      </c>
      <c r="FP35" s="230">
        <v>0</v>
      </c>
      <c r="FQ35" s="230" t="s">
        <v>601</v>
      </c>
      <c r="FR35" s="230" t="s">
        <v>601</v>
      </c>
      <c r="FS35" s="230" t="s">
        <v>601</v>
      </c>
      <c r="FT35" s="230" t="s">
        <v>649</v>
      </c>
      <c r="FU35" s="230">
        <v>0</v>
      </c>
      <c r="FV35" s="230">
        <v>0</v>
      </c>
      <c r="FW35" s="230" t="s">
        <v>601</v>
      </c>
      <c r="FX35" s="230" t="s">
        <v>601</v>
      </c>
      <c r="FY35" s="230" t="s">
        <v>601</v>
      </c>
      <c r="FZ35" s="230" t="s">
        <v>649</v>
      </c>
      <c r="GA35" s="230" t="s">
        <v>601</v>
      </c>
      <c r="GB35" s="230" t="s">
        <v>601</v>
      </c>
      <c r="GC35" s="230" t="s">
        <v>601</v>
      </c>
      <c r="GD35" s="230" t="s">
        <v>601</v>
      </c>
      <c r="GE35" s="230" t="s">
        <v>601</v>
      </c>
      <c r="GF35" s="230">
        <v>34</v>
      </c>
      <c r="GG35" s="230">
        <v>34</v>
      </c>
      <c r="GH35" s="230">
        <v>34</v>
      </c>
      <c r="GI35" s="230">
        <v>0</v>
      </c>
      <c r="GJ35" s="230">
        <v>0</v>
      </c>
      <c r="GK35" s="230">
        <v>0</v>
      </c>
      <c r="GL35" s="230">
        <v>0</v>
      </c>
      <c r="GM35" s="230">
        <v>0</v>
      </c>
      <c r="GN35" s="230">
        <v>0</v>
      </c>
      <c r="GO35" s="230">
        <v>0</v>
      </c>
      <c r="GP35" s="230">
        <v>0</v>
      </c>
      <c r="GQ35" s="230">
        <v>0</v>
      </c>
      <c r="GR35" s="230">
        <v>0</v>
      </c>
      <c r="GS35" s="230">
        <v>0</v>
      </c>
      <c r="GT35" s="230">
        <v>0</v>
      </c>
      <c r="GU35" s="230">
        <v>0</v>
      </c>
      <c r="GV35" s="230">
        <v>0</v>
      </c>
      <c r="GW35" s="230">
        <v>0</v>
      </c>
      <c r="GX35" s="230">
        <v>0</v>
      </c>
      <c r="GY35" s="230">
        <v>0</v>
      </c>
      <c r="GZ35" s="230">
        <v>0</v>
      </c>
      <c r="HA35" s="230">
        <v>0</v>
      </c>
      <c r="HB35" s="230">
        <v>0</v>
      </c>
      <c r="HC35" s="230">
        <v>0</v>
      </c>
      <c r="HD35" s="230">
        <v>0</v>
      </c>
      <c r="HE35" s="230">
        <v>0</v>
      </c>
      <c r="HF35" s="230">
        <v>0</v>
      </c>
      <c r="HG35" s="230">
        <v>0</v>
      </c>
      <c r="HH35" s="230">
        <v>0</v>
      </c>
      <c r="HI35" s="230">
        <v>0</v>
      </c>
      <c r="HJ35" s="230">
        <v>0</v>
      </c>
      <c r="HK35" s="230">
        <v>0</v>
      </c>
      <c r="HL35" s="230">
        <v>0</v>
      </c>
      <c r="HM35" s="230">
        <v>0</v>
      </c>
      <c r="HN35" s="230">
        <v>0</v>
      </c>
      <c r="HO35" s="230">
        <v>0</v>
      </c>
      <c r="HP35" s="230" t="s">
        <v>51</v>
      </c>
      <c r="HQ35" s="230">
        <v>34</v>
      </c>
      <c r="HR35" s="230">
        <v>0</v>
      </c>
      <c r="HS35" s="230">
        <v>0</v>
      </c>
      <c r="HT35" s="230">
        <v>0</v>
      </c>
      <c r="HU35" s="230">
        <v>0</v>
      </c>
      <c r="HV35" s="230">
        <v>0</v>
      </c>
      <c r="HW35" s="797">
        <v>34</v>
      </c>
      <c r="HX35" s="797">
        <v>0</v>
      </c>
      <c r="HY35" s="230">
        <v>68</v>
      </c>
      <c r="HZ35" s="230"/>
      <c r="IA35" s="230"/>
      <c r="IB35" s="230"/>
      <c r="IC35" s="232" t="s">
        <v>880</v>
      </c>
      <c r="ID35" s="233" t="s">
        <v>881</v>
      </c>
      <c r="IE35" s="467" t="s">
        <v>583</v>
      </c>
      <c r="IF35" s="232" t="s">
        <v>364</v>
      </c>
      <c r="IG35" s="467" t="s">
        <v>584</v>
      </c>
      <c r="IH35" s="467" t="s">
        <v>585</v>
      </c>
      <c r="II35" s="546" t="s">
        <v>584</v>
      </c>
      <c r="IJ35" s="467">
        <v>44462</v>
      </c>
      <c r="IK35" s="468">
        <v>3</v>
      </c>
      <c r="IL35" s="469" t="s">
        <v>1210</v>
      </c>
      <c r="IM35" s="469" t="s">
        <v>1195</v>
      </c>
      <c r="IN35" s="469" t="s">
        <v>1195</v>
      </c>
      <c r="IO35" s="469" t="s">
        <v>601</v>
      </c>
      <c r="IP35" s="469" t="s">
        <v>601</v>
      </c>
      <c r="IQ35" s="469" t="s">
        <v>601</v>
      </c>
      <c r="IR35" s="469">
        <v>1</v>
      </c>
      <c r="IS35" s="469">
        <v>2</v>
      </c>
      <c r="IT35" s="469" t="s">
        <v>675</v>
      </c>
      <c r="IU35" s="469" t="s">
        <v>675</v>
      </c>
    </row>
    <row r="36" ht="76.5">
      <c r="A36" s="322">
        <v>35</v>
      </c>
      <c r="B36" s="229" t="s">
        <v>1178</v>
      </c>
      <c r="C36" s="229" t="s">
        <v>1178</v>
      </c>
      <c r="D36" s="797" t="s">
        <v>890</v>
      </c>
      <c r="E36" s="229" t="s">
        <v>884</v>
      </c>
      <c r="F36" s="229" t="s">
        <v>26</v>
      </c>
      <c r="G36" s="797" t="s">
        <v>885</v>
      </c>
      <c r="H36" s="797" t="s">
        <v>886</v>
      </c>
      <c r="I36" s="229">
        <v>1</v>
      </c>
      <c r="J36" s="229" t="s">
        <v>887</v>
      </c>
      <c r="K36" s="231" t="s">
        <v>584</v>
      </c>
      <c r="L36" s="231" t="s">
        <v>1251</v>
      </c>
      <c r="M36" s="229" t="s">
        <v>576</v>
      </c>
      <c r="N36" s="229" t="s">
        <v>890</v>
      </c>
      <c r="O36" s="229" t="s">
        <v>587</v>
      </c>
      <c r="P36" s="229" t="s">
        <v>1208</v>
      </c>
      <c r="Q36" s="229" t="s">
        <v>597</v>
      </c>
      <c r="R36" s="229" t="s">
        <v>1193</v>
      </c>
      <c r="S36" s="229" t="s">
        <v>600</v>
      </c>
      <c r="T36" s="229" t="s">
        <v>891</v>
      </c>
      <c r="U36" s="229">
        <v>1</v>
      </c>
      <c r="V36" s="229"/>
      <c r="W36" s="229" t="b">
        <v>1</v>
      </c>
      <c r="X36" s="229" t="b">
        <v>1</v>
      </c>
      <c r="Y36" s="797">
        <v>1</v>
      </c>
      <c r="Z36" s="229" t="b">
        <v>1</v>
      </c>
      <c r="AA36" s="797">
        <v>66</v>
      </c>
      <c r="AB36" s="229" t="b">
        <v>0</v>
      </c>
      <c r="AC36" s="229" t="b">
        <v>1</v>
      </c>
      <c r="AD36" s="229">
        <v>0</v>
      </c>
      <c r="AE36" s="229"/>
      <c r="AF36" s="229" t="s">
        <v>50</v>
      </c>
      <c r="AG36" s="229">
        <v>0</v>
      </c>
      <c r="AH36" s="230"/>
      <c r="AI36" s="553" t="s">
        <v>576</v>
      </c>
      <c r="AJ36" s="553" t="s">
        <v>576</v>
      </c>
      <c r="AK36" s="229">
        <v>4</v>
      </c>
      <c r="AL36" s="465" t="s">
        <v>1188</v>
      </c>
      <c r="AM36" s="465" t="s">
        <v>1249</v>
      </c>
      <c r="AN36" s="465" t="s">
        <v>1250</v>
      </c>
      <c r="AO36" s="229" t="s">
        <v>25</v>
      </c>
      <c r="AP36" s="230" t="s">
        <v>576</v>
      </c>
      <c r="AQ36" s="230">
        <v>0</v>
      </c>
      <c r="AR36" s="230">
        <v>0</v>
      </c>
      <c r="AS36" s="230" t="s">
        <v>601</v>
      </c>
      <c r="AT36" s="230" t="s">
        <v>601</v>
      </c>
      <c r="AU36" s="230" t="s">
        <v>601</v>
      </c>
      <c r="AV36" s="230" t="s">
        <v>1178</v>
      </c>
      <c r="AW36" s="230" t="s">
        <v>601</v>
      </c>
      <c r="AX36" s="230" t="s">
        <v>601</v>
      </c>
      <c r="AY36" s="230" t="s">
        <v>601</v>
      </c>
      <c r="AZ36" s="230" t="s">
        <v>601</v>
      </c>
      <c r="BA36" s="230" t="s">
        <v>601</v>
      </c>
      <c r="BB36" s="230" t="s">
        <v>1178</v>
      </c>
      <c r="BC36" s="230" t="s">
        <v>890</v>
      </c>
      <c r="BD36" s="230">
        <v>0</v>
      </c>
      <c r="BE36" s="230">
        <v>0</v>
      </c>
      <c r="BF36" s="230" t="s">
        <v>601</v>
      </c>
      <c r="BG36" s="230" t="s">
        <v>601</v>
      </c>
      <c r="BH36" s="230" t="s">
        <v>601</v>
      </c>
      <c r="BI36" s="230" t="s">
        <v>587</v>
      </c>
      <c r="BJ36" s="230">
        <v>0</v>
      </c>
      <c r="BK36" s="230">
        <v>0</v>
      </c>
      <c r="BL36" s="230" t="s">
        <v>601</v>
      </c>
      <c r="BM36" s="230" t="s">
        <v>601</v>
      </c>
      <c r="BN36" s="230" t="s">
        <v>601</v>
      </c>
      <c r="BO36" s="553">
        <v>3</v>
      </c>
      <c r="BP36" s="553">
        <v>0</v>
      </c>
      <c r="BQ36" s="553">
        <v>0</v>
      </c>
      <c r="BR36" s="553">
        <v>0</v>
      </c>
      <c r="BS36" s="553">
        <v>0</v>
      </c>
      <c r="BT36" s="554">
        <v>0</v>
      </c>
      <c r="BU36" s="230" t="s">
        <v>597</v>
      </c>
      <c r="BV36" s="230" t="s">
        <v>601</v>
      </c>
      <c r="BW36" s="230" t="s">
        <v>601</v>
      </c>
      <c r="BX36" s="230" t="s">
        <v>601</v>
      </c>
      <c r="BY36" s="230" t="s">
        <v>601</v>
      </c>
      <c r="BZ36" s="230" t="s">
        <v>601</v>
      </c>
      <c r="CA36" s="230">
        <v>2</v>
      </c>
      <c r="CB36" s="230">
        <v>2</v>
      </c>
      <c r="CC36" s="230">
        <v>2</v>
      </c>
      <c r="CD36" s="230">
        <v>0</v>
      </c>
      <c r="CE36" s="230">
        <v>0</v>
      </c>
      <c r="CF36" s="230">
        <v>0</v>
      </c>
      <c r="CG36" s="230">
        <v>0</v>
      </c>
      <c r="CH36" s="230">
        <v>0</v>
      </c>
      <c r="CI36" s="230">
        <v>0</v>
      </c>
      <c r="CJ36" s="230">
        <v>0</v>
      </c>
      <c r="CK36" s="230">
        <v>0</v>
      </c>
      <c r="CL36" s="230">
        <v>0</v>
      </c>
      <c r="CM36" s="230">
        <v>0</v>
      </c>
      <c r="CN36" s="230">
        <v>0</v>
      </c>
      <c r="CO36" s="230">
        <v>0</v>
      </c>
      <c r="CP36" s="230">
        <v>0</v>
      </c>
      <c r="CQ36" s="230">
        <v>0</v>
      </c>
      <c r="CR36" s="230">
        <v>0</v>
      </c>
      <c r="CS36" s="230">
        <v>0</v>
      </c>
      <c r="CT36" s="230">
        <v>0</v>
      </c>
      <c r="CU36" s="230">
        <v>0</v>
      </c>
      <c r="CV36" s="230">
        <v>0</v>
      </c>
      <c r="CW36" s="230">
        <v>0</v>
      </c>
      <c r="CX36" s="230">
        <v>0</v>
      </c>
      <c r="CY36" s="230">
        <v>0</v>
      </c>
      <c r="CZ36" s="230">
        <v>0</v>
      </c>
      <c r="DA36" s="230">
        <v>0</v>
      </c>
      <c r="DB36" s="230">
        <v>0</v>
      </c>
      <c r="DC36" s="230">
        <v>0</v>
      </c>
      <c r="DD36" s="230">
        <v>0</v>
      </c>
      <c r="DE36" s="230">
        <v>0</v>
      </c>
      <c r="DF36" s="230">
        <v>0</v>
      </c>
      <c r="DG36" s="230">
        <v>0</v>
      </c>
      <c r="DH36" s="230">
        <v>0</v>
      </c>
      <c r="DI36" s="230">
        <v>0</v>
      </c>
      <c r="DJ36" s="230">
        <v>0</v>
      </c>
      <c r="DK36" s="230" t="s">
        <v>599</v>
      </c>
      <c r="DL36" s="230" t="s">
        <v>601</v>
      </c>
      <c r="DM36" s="230" t="s">
        <v>601</v>
      </c>
      <c r="DN36" s="230" t="s">
        <v>601</v>
      </c>
      <c r="DO36" s="230" t="s">
        <v>601</v>
      </c>
      <c r="DP36" s="230" t="s">
        <v>601</v>
      </c>
      <c r="DQ36" s="230" t="s">
        <v>1193</v>
      </c>
      <c r="DR36" s="230" t="s">
        <v>601</v>
      </c>
      <c r="DS36" s="230" t="s">
        <v>601</v>
      </c>
      <c r="DT36" s="230" t="s">
        <v>601</v>
      </c>
      <c r="DU36" s="230" t="s">
        <v>601</v>
      </c>
      <c r="DV36" s="230" t="s">
        <v>601</v>
      </c>
      <c r="DW36" s="230">
        <v>40</v>
      </c>
      <c r="DX36" s="230">
        <v>40</v>
      </c>
      <c r="DY36" s="230">
        <v>40</v>
      </c>
      <c r="DZ36" s="230">
        <v>0</v>
      </c>
      <c r="EA36" s="230">
        <v>0</v>
      </c>
      <c r="EB36" s="230">
        <v>0</v>
      </c>
      <c r="EC36" s="230">
        <v>40</v>
      </c>
      <c r="ED36" s="230">
        <v>0</v>
      </c>
      <c r="EE36" s="230">
        <v>0</v>
      </c>
      <c r="EF36" s="230">
        <v>0</v>
      </c>
      <c r="EG36" s="230">
        <v>0</v>
      </c>
      <c r="EH36" s="230">
        <v>0</v>
      </c>
      <c r="EI36" s="230">
        <v>0</v>
      </c>
      <c r="EJ36" s="230">
        <v>0</v>
      </c>
      <c r="EK36" s="230">
        <v>0</v>
      </c>
      <c r="EL36" s="230">
        <v>0</v>
      </c>
      <c r="EM36" s="230">
        <v>0</v>
      </c>
      <c r="EN36" s="230">
        <v>0</v>
      </c>
      <c r="EO36" s="230">
        <v>0</v>
      </c>
      <c r="EP36" s="230">
        <v>0</v>
      </c>
      <c r="EQ36" s="230">
        <v>0</v>
      </c>
      <c r="ER36" s="230">
        <v>0</v>
      </c>
      <c r="ES36" s="230">
        <v>0</v>
      </c>
      <c r="ET36" s="230">
        <v>0</v>
      </c>
      <c r="EU36" s="230">
        <v>0</v>
      </c>
      <c r="EV36" s="230">
        <v>0</v>
      </c>
      <c r="EW36" s="230">
        <v>0</v>
      </c>
      <c r="EX36" s="230">
        <v>0</v>
      </c>
      <c r="EY36" s="230">
        <v>0</v>
      </c>
      <c r="EZ36" s="230">
        <v>0</v>
      </c>
      <c r="FA36" s="230">
        <v>0</v>
      </c>
      <c r="FB36" s="230">
        <v>0</v>
      </c>
      <c r="FC36" s="230">
        <v>0</v>
      </c>
      <c r="FD36" s="230">
        <v>0</v>
      </c>
      <c r="FE36" s="230">
        <v>0</v>
      </c>
      <c r="FF36" s="230">
        <v>0</v>
      </c>
      <c r="FG36" s="230">
        <v>0</v>
      </c>
      <c r="FH36" s="230">
        <v>0</v>
      </c>
      <c r="FI36" s="230">
        <v>0</v>
      </c>
      <c r="FJ36" s="230">
        <v>0</v>
      </c>
      <c r="FK36" s="230">
        <v>0</v>
      </c>
      <c r="FL36" s="230">
        <v>0</v>
      </c>
      <c r="FM36" s="230">
        <v>40</v>
      </c>
      <c r="FN36" s="230">
        <v>2100</v>
      </c>
      <c r="FO36" s="230">
        <v>0</v>
      </c>
      <c r="FP36" s="230">
        <v>0</v>
      </c>
      <c r="FQ36" s="230" t="s">
        <v>601</v>
      </c>
      <c r="FR36" s="230" t="s">
        <v>601</v>
      </c>
      <c r="FS36" s="230" t="s">
        <v>601</v>
      </c>
      <c r="FT36" s="230" t="s">
        <v>891</v>
      </c>
      <c r="FU36" s="230">
        <v>0</v>
      </c>
      <c r="FV36" s="230">
        <v>0</v>
      </c>
      <c r="FW36" s="230" t="s">
        <v>601</v>
      </c>
      <c r="FX36" s="230" t="s">
        <v>601</v>
      </c>
      <c r="FY36" s="230" t="s">
        <v>601</v>
      </c>
      <c r="FZ36" s="230" t="s">
        <v>891</v>
      </c>
      <c r="GA36" s="230" t="s">
        <v>601</v>
      </c>
      <c r="GB36" s="230" t="s">
        <v>601</v>
      </c>
      <c r="GC36" s="230" t="s">
        <v>601</v>
      </c>
      <c r="GD36" s="230" t="s">
        <v>601</v>
      </c>
      <c r="GE36" s="230" t="s">
        <v>601</v>
      </c>
      <c r="GF36" s="230">
        <v>66</v>
      </c>
      <c r="GG36" s="230">
        <v>66</v>
      </c>
      <c r="GH36" s="230">
        <v>66</v>
      </c>
      <c r="GI36" s="230">
        <v>0</v>
      </c>
      <c r="GJ36" s="230">
        <v>0</v>
      </c>
      <c r="GK36" s="230">
        <v>0</v>
      </c>
      <c r="GL36" s="230">
        <v>0</v>
      </c>
      <c r="GM36" s="230">
        <v>0</v>
      </c>
      <c r="GN36" s="230">
        <v>0</v>
      </c>
      <c r="GO36" s="230">
        <v>0</v>
      </c>
      <c r="GP36" s="230">
        <v>0</v>
      </c>
      <c r="GQ36" s="230">
        <v>0</v>
      </c>
      <c r="GR36" s="230">
        <v>0</v>
      </c>
      <c r="GS36" s="230">
        <v>0</v>
      </c>
      <c r="GT36" s="230">
        <v>0</v>
      </c>
      <c r="GU36" s="230">
        <v>0</v>
      </c>
      <c r="GV36" s="230">
        <v>0</v>
      </c>
      <c r="GW36" s="230">
        <v>0</v>
      </c>
      <c r="GX36" s="230">
        <v>0</v>
      </c>
      <c r="GY36" s="230">
        <v>0</v>
      </c>
      <c r="GZ36" s="230">
        <v>0</v>
      </c>
      <c r="HA36" s="230">
        <v>0</v>
      </c>
      <c r="HB36" s="230">
        <v>0</v>
      </c>
      <c r="HC36" s="230">
        <v>0</v>
      </c>
      <c r="HD36" s="230">
        <v>0</v>
      </c>
      <c r="HE36" s="230">
        <v>0</v>
      </c>
      <c r="HF36" s="230">
        <v>0</v>
      </c>
      <c r="HG36" s="230">
        <v>0</v>
      </c>
      <c r="HH36" s="230">
        <v>0</v>
      </c>
      <c r="HI36" s="230">
        <v>0</v>
      </c>
      <c r="HJ36" s="230">
        <v>0</v>
      </c>
      <c r="HK36" s="230">
        <v>0</v>
      </c>
      <c r="HL36" s="230">
        <v>0</v>
      </c>
      <c r="HM36" s="230">
        <v>0</v>
      </c>
      <c r="HN36" s="230">
        <v>0</v>
      </c>
      <c r="HO36" s="230">
        <v>0</v>
      </c>
      <c r="HP36" s="230" t="s">
        <v>51</v>
      </c>
      <c r="HQ36" s="230">
        <v>66</v>
      </c>
      <c r="HR36" s="230">
        <v>0</v>
      </c>
      <c r="HS36" s="230">
        <v>0</v>
      </c>
      <c r="HT36" s="230">
        <v>0</v>
      </c>
      <c r="HU36" s="230">
        <v>0</v>
      </c>
      <c r="HV36" s="230">
        <v>0</v>
      </c>
      <c r="HW36" s="797">
        <v>66</v>
      </c>
      <c r="HX36" s="797">
        <v>0</v>
      </c>
      <c r="HY36" s="230">
        <v>68</v>
      </c>
      <c r="HZ36" s="230"/>
      <c r="IA36" s="230"/>
      <c r="IB36" s="230"/>
      <c r="IC36" s="232" t="s">
        <v>888</v>
      </c>
      <c r="ID36" s="233" t="s">
        <v>889</v>
      </c>
      <c r="IE36" s="467" t="s">
        <v>583</v>
      </c>
      <c r="IF36" s="232" t="s">
        <v>364</v>
      </c>
      <c r="IG36" s="467" t="s">
        <v>584</v>
      </c>
      <c r="IH36" s="467" t="s">
        <v>585</v>
      </c>
      <c r="II36" s="546" t="s">
        <v>584</v>
      </c>
      <c r="IJ36" s="467">
        <v>44462</v>
      </c>
      <c r="IK36" s="468">
        <v>3</v>
      </c>
      <c r="IL36" s="469" t="s">
        <v>1210</v>
      </c>
      <c r="IM36" s="469" t="s">
        <v>1195</v>
      </c>
      <c r="IN36" s="469" t="s">
        <v>1195</v>
      </c>
      <c r="IO36" s="469" t="s">
        <v>601</v>
      </c>
      <c r="IP36" s="469" t="s">
        <v>601</v>
      </c>
      <c r="IQ36" s="469" t="s">
        <v>601</v>
      </c>
      <c r="IR36" s="469">
        <v>1</v>
      </c>
      <c r="IS36" s="469">
        <v>2</v>
      </c>
      <c r="IT36" s="469" t="s">
        <v>675</v>
      </c>
      <c r="IU36" s="469" t="s">
        <v>675</v>
      </c>
    </row>
    <row r="37" ht="76.5">
      <c r="A37" s="322">
        <v>36</v>
      </c>
      <c r="B37" s="229" t="s">
        <v>1178</v>
      </c>
      <c r="C37" s="229" t="s">
        <v>1178</v>
      </c>
      <c r="D37" s="797" t="s">
        <v>899</v>
      </c>
      <c r="E37" s="229" t="s">
        <v>893</v>
      </c>
      <c r="F37" s="229" t="s">
        <v>26</v>
      </c>
      <c r="G37" s="797" t="s">
        <v>894</v>
      </c>
      <c r="H37" s="797" t="s">
        <v>895</v>
      </c>
      <c r="I37" s="229">
        <v>1</v>
      </c>
      <c r="J37" s="229" t="s">
        <v>896</v>
      </c>
      <c r="K37" s="231" t="s">
        <v>584</v>
      </c>
      <c r="L37" s="231" t="s">
        <v>1251</v>
      </c>
      <c r="M37" s="229" t="s">
        <v>576</v>
      </c>
      <c r="N37" s="229" t="s">
        <v>899</v>
      </c>
      <c r="O37" s="229" t="s">
        <v>587</v>
      </c>
      <c r="P37" s="229" t="s">
        <v>1208</v>
      </c>
      <c r="Q37" s="229" t="s">
        <v>597</v>
      </c>
      <c r="R37" s="229" t="s">
        <v>1193</v>
      </c>
      <c r="S37" s="229" t="s">
        <v>600</v>
      </c>
      <c r="T37" s="229" t="s">
        <v>613</v>
      </c>
      <c r="U37" s="229">
        <v>1</v>
      </c>
      <c r="V37" s="229"/>
      <c r="W37" s="229" t="b">
        <v>0</v>
      </c>
      <c r="X37" s="229" t="b">
        <v>0</v>
      </c>
      <c r="Y37" s="797">
        <v>0</v>
      </c>
      <c r="Z37" s="229" t="b">
        <v>1</v>
      </c>
      <c r="AA37" s="797">
        <v>24</v>
      </c>
      <c r="AB37" s="229" t="b">
        <v>0</v>
      </c>
      <c r="AC37" s="229" t="b">
        <v>1</v>
      </c>
      <c r="AD37" s="229">
        <v>0</v>
      </c>
      <c r="AE37" s="229"/>
      <c r="AF37" s="229" t="s">
        <v>50</v>
      </c>
      <c r="AG37" s="229">
        <v>0</v>
      </c>
      <c r="AH37" s="230"/>
      <c r="AI37" s="553" t="s">
        <v>576</v>
      </c>
      <c r="AJ37" s="553" t="s">
        <v>576</v>
      </c>
      <c r="AK37" s="229">
        <v>4</v>
      </c>
      <c r="AL37" s="465" t="s">
        <v>1188</v>
      </c>
      <c r="AM37" s="465" t="s">
        <v>1253</v>
      </c>
      <c r="AN37" s="465" t="s">
        <v>1254</v>
      </c>
      <c r="AO37" s="229" t="s">
        <v>25</v>
      </c>
      <c r="AP37" s="230" t="s">
        <v>576</v>
      </c>
      <c r="AQ37" s="230">
        <v>0</v>
      </c>
      <c r="AR37" s="230">
        <v>0</v>
      </c>
      <c r="AS37" s="230" t="s">
        <v>601</v>
      </c>
      <c r="AT37" s="230" t="s">
        <v>601</v>
      </c>
      <c r="AU37" s="230" t="s">
        <v>601</v>
      </c>
      <c r="AV37" s="230" t="s">
        <v>1178</v>
      </c>
      <c r="AW37" s="230" t="s">
        <v>601</v>
      </c>
      <c r="AX37" s="230" t="s">
        <v>601</v>
      </c>
      <c r="AY37" s="230" t="s">
        <v>601</v>
      </c>
      <c r="AZ37" s="230" t="s">
        <v>601</v>
      </c>
      <c r="BA37" s="230" t="s">
        <v>601</v>
      </c>
      <c r="BB37" s="230" t="s">
        <v>1178</v>
      </c>
      <c r="BC37" s="230" t="s">
        <v>899</v>
      </c>
      <c r="BD37" s="230">
        <v>0</v>
      </c>
      <c r="BE37" s="230">
        <v>0</v>
      </c>
      <c r="BF37" s="230" t="s">
        <v>601</v>
      </c>
      <c r="BG37" s="230" t="s">
        <v>601</v>
      </c>
      <c r="BH37" s="230" t="s">
        <v>601</v>
      </c>
      <c r="BI37" s="230" t="s">
        <v>587</v>
      </c>
      <c r="BJ37" s="230">
        <v>0</v>
      </c>
      <c r="BK37" s="230">
        <v>0</v>
      </c>
      <c r="BL37" s="230" t="s">
        <v>601</v>
      </c>
      <c r="BM37" s="230" t="s">
        <v>601</v>
      </c>
      <c r="BN37" s="230" t="s">
        <v>601</v>
      </c>
      <c r="BO37" s="553">
        <v>3</v>
      </c>
      <c r="BP37" s="553">
        <v>0</v>
      </c>
      <c r="BQ37" s="553">
        <v>0</v>
      </c>
      <c r="BR37" s="553">
        <v>0</v>
      </c>
      <c r="BS37" s="553">
        <v>0</v>
      </c>
      <c r="BT37" s="554">
        <v>0</v>
      </c>
      <c r="BU37" s="230" t="s">
        <v>597</v>
      </c>
      <c r="BV37" s="230" t="s">
        <v>601</v>
      </c>
      <c r="BW37" s="230" t="s">
        <v>601</v>
      </c>
      <c r="BX37" s="230" t="s">
        <v>601</v>
      </c>
      <c r="BY37" s="230" t="s">
        <v>601</v>
      </c>
      <c r="BZ37" s="230" t="s">
        <v>601</v>
      </c>
      <c r="CA37" s="230">
        <v>2</v>
      </c>
      <c r="CB37" s="230">
        <v>2</v>
      </c>
      <c r="CC37" s="230">
        <v>2</v>
      </c>
      <c r="CD37" s="230">
        <v>0</v>
      </c>
      <c r="CE37" s="230">
        <v>0</v>
      </c>
      <c r="CF37" s="230">
        <v>0</v>
      </c>
      <c r="CG37" s="230">
        <v>0</v>
      </c>
      <c r="CH37" s="230">
        <v>0</v>
      </c>
      <c r="CI37" s="230">
        <v>0</v>
      </c>
      <c r="CJ37" s="230">
        <v>0</v>
      </c>
      <c r="CK37" s="230">
        <v>0</v>
      </c>
      <c r="CL37" s="230">
        <v>0</v>
      </c>
      <c r="CM37" s="230">
        <v>0</v>
      </c>
      <c r="CN37" s="230">
        <v>0</v>
      </c>
      <c r="CO37" s="230">
        <v>0</v>
      </c>
      <c r="CP37" s="230">
        <v>0</v>
      </c>
      <c r="CQ37" s="230">
        <v>0</v>
      </c>
      <c r="CR37" s="230">
        <v>0</v>
      </c>
      <c r="CS37" s="230">
        <v>0</v>
      </c>
      <c r="CT37" s="230">
        <v>0</v>
      </c>
      <c r="CU37" s="230">
        <v>0</v>
      </c>
      <c r="CV37" s="230">
        <v>0</v>
      </c>
      <c r="CW37" s="230">
        <v>0</v>
      </c>
      <c r="CX37" s="230">
        <v>0</v>
      </c>
      <c r="CY37" s="230">
        <v>0</v>
      </c>
      <c r="CZ37" s="230">
        <v>0</v>
      </c>
      <c r="DA37" s="230">
        <v>0</v>
      </c>
      <c r="DB37" s="230">
        <v>0</v>
      </c>
      <c r="DC37" s="230">
        <v>0</v>
      </c>
      <c r="DD37" s="230">
        <v>0</v>
      </c>
      <c r="DE37" s="230">
        <v>0</v>
      </c>
      <c r="DF37" s="230">
        <v>0</v>
      </c>
      <c r="DG37" s="230">
        <v>0</v>
      </c>
      <c r="DH37" s="230">
        <v>0</v>
      </c>
      <c r="DI37" s="230">
        <v>0</v>
      </c>
      <c r="DJ37" s="230">
        <v>0</v>
      </c>
      <c r="DK37" s="230" t="s">
        <v>599</v>
      </c>
      <c r="DL37" s="230" t="s">
        <v>601</v>
      </c>
      <c r="DM37" s="230" t="s">
        <v>601</v>
      </c>
      <c r="DN37" s="230" t="s">
        <v>601</v>
      </c>
      <c r="DO37" s="230" t="s">
        <v>601</v>
      </c>
      <c r="DP37" s="230" t="s">
        <v>601</v>
      </c>
      <c r="DQ37" s="230" t="s">
        <v>1193</v>
      </c>
      <c r="DR37" s="230" t="s">
        <v>601</v>
      </c>
      <c r="DS37" s="230" t="s">
        <v>601</v>
      </c>
      <c r="DT37" s="230" t="s">
        <v>601</v>
      </c>
      <c r="DU37" s="230" t="s">
        <v>601</v>
      </c>
      <c r="DV37" s="230" t="s">
        <v>601</v>
      </c>
      <c r="DW37" s="230">
        <v>40</v>
      </c>
      <c r="DX37" s="230">
        <v>40</v>
      </c>
      <c r="DY37" s="230">
        <v>40</v>
      </c>
      <c r="DZ37" s="230">
        <v>0</v>
      </c>
      <c r="EA37" s="230">
        <v>0</v>
      </c>
      <c r="EB37" s="230">
        <v>0</v>
      </c>
      <c r="EC37" s="230">
        <v>40</v>
      </c>
      <c r="ED37" s="230">
        <v>0</v>
      </c>
      <c r="EE37" s="230">
        <v>0</v>
      </c>
      <c r="EF37" s="230">
        <v>0</v>
      </c>
      <c r="EG37" s="230">
        <v>0</v>
      </c>
      <c r="EH37" s="230">
        <v>0</v>
      </c>
      <c r="EI37" s="230">
        <v>0</v>
      </c>
      <c r="EJ37" s="230">
        <v>0</v>
      </c>
      <c r="EK37" s="230">
        <v>0</v>
      </c>
      <c r="EL37" s="230">
        <v>0</v>
      </c>
      <c r="EM37" s="230">
        <v>0</v>
      </c>
      <c r="EN37" s="230">
        <v>0</v>
      </c>
      <c r="EO37" s="230">
        <v>0</v>
      </c>
      <c r="EP37" s="230">
        <v>0</v>
      </c>
      <c r="EQ37" s="230">
        <v>0</v>
      </c>
      <c r="ER37" s="230">
        <v>0</v>
      </c>
      <c r="ES37" s="230">
        <v>0</v>
      </c>
      <c r="ET37" s="230">
        <v>0</v>
      </c>
      <c r="EU37" s="230">
        <v>0</v>
      </c>
      <c r="EV37" s="230">
        <v>0</v>
      </c>
      <c r="EW37" s="230">
        <v>0</v>
      </c>
      <c r="EX37" s="230">
        <v>0</v>
      </c>
      <c r="EY37" s="230">
        <v>0</v>
      </c>
      <c r="EZ37" s="230">
        <v>0</v>
      </c>
      <c r="FA37" s="230">
        <v>0</v>
      </c>
      <c r="FB37" s="230">
        <v>0</v>
      </c>
      <c r="FC37" s="230">
        <v>0</v>
      </c>
      <c r="FD37" s="230">
        <v>0</v>
      </c>
      <c r="FE37" s="230">
        <v>0</v>
      </c>
      <c r="FF37" s="230">
        <v>0</v>
      </c>
      <c r="FG37" s="230">
        <v>0</v>
      </c>
      <c r="FH37" s="230">
        <v>0</v>
      </c>
      <c r="FI37" s="230">
        <v>0</v>
      </c>
      <c r="FJ37" s="230">
        <v>0</v>
      </c>
      <c r="FK37" s="230">
        <v>0</v>
      </c>
      <c r="FL37" s="230">
        <v>0</v>
      </c>
      <c r="FM37" s="230">
        <v>40</v>
      </c>
      <c r="FN37" s="230">
        <v>2100</v>
      </c>
      <c r="FO37" s="230">
        <v>0</v>
      </c>
      <c r="FP37" s="230">
        <v>0</v>
      </c>
      <c r="FQ37" s="230" t="s">
        <v>601</v>
      </c>
      <c r="FR37" s="230" t="s">
        <v>601</v>
      </c>
      <c r="FS37" s="230" t="s">
        <v>601</v>
      </c>
      <c r="FT37" s="230" t="s">
        <v>613</v>
      </c>
      <c r="FU37" s="230">
        <v>0</v>
      </c>
      <c r="FV37" s="230">
        <v>0</v>
      </c>
      <c r="FW37" s="230" t="s">
        <v>601</v>
      </c>
      <c r="FX37" s="230" t="s">
        <v>601</v>
      </c>
      <c r="FY37" s="230" t="s">
        <v>601</v>
      </c>
      <c r="FZ37" s="230" t="s">
        <v>613</v>
      </c>
      <c r="GA37" s="230" t="s">
        <v>601</v>
      </c>
      <c r="GB37" s="230" t="s">
        <v>601</v>
      </c>
      <c r="GC37" s="230" t="s">
        <v>601</v>
      </c>
      <c r="GD37" s="230" t="s">
        <v>601</v>
      </c>
      <c r="GE37" s="230" t="s">
        <v>601</v>
      </c>
      <c r="GF37" s="230">
        <v>24</v>
      </c>
      <c r="GG37" s="230">
        <v>24</v>
      </c>
      <c r="GH37" s="230">
        <v>24</v>
      </c>
      <c r="GI37" s="230">
        <v>0</v>
      </c>
      <c r="GJ37" s="230">
        <v>0</v>
      </c>
      <c r="GK37" s="230">
        <v>0</v>
      </c>
      <c r="GL37" s="230">
        <v>0</v>
      </c>
      <c r="GM37" s="230">
        <v>0</v>
      </c>
      <c r="GN37" s="230">
        <v>0</v>
      </c>
      <c r="GO37" s="230">
        <v>0</v>
      </c>
      <c r="GP37" s="230">
        <v>0</v>
      </c>
      <c r="GQ37" s="230">
        <v>0</v>
      </c>
      <c r="GR37" s="230">
        <v>0</v>
      </c>
      <c r="GS37" s="230">
        <v>0</v>
      </c>
      <c r="GT37" s="230">
        <v>0</v>
      </c>
      <c r="GU37" s="230">
        <v>0</v>
      </c>
      <c r="GV37" s="230">
        <v>0</v>
      </c>
      <c r="GW37" s="230">
        <v>0</v>
      </c>
      <c r="GX37" s="230">
        <v>0</v>
      </c>
      <c r="GY37" s="230">
        <v>0</v>
      </c>
      <c r="GZ37" s="230">
        <v>0</v>
      </c>
      <c r="HA37" s="230">
        <v>0</v>
      </c>
      <c r="HB37" s="230">
        <v>0</v>
      </c>
      <c r="HC37" s="230">
        <v>0</v>
      </c>
      <c r="HD37" s="230">
        <v>0</v>
      </c>
      <c r="HE37" s="230">
        <v>0</v>
      </c>
      <c r="HF37" s="230">
        <v>0</v>
      </c>
      <c r="HG37" s="230">
        <v>0</v>
      </c>
      <c r="HH37" s="230">
        <v>0</v>
      </c>
      <c r="HI37" s="230">
        <v>0</v>
      </c>
      <c r="HJ37" s="230">
        <v>0</v>
      </c>
      <c r="HK37" s="230">
        <v>0</v>
      </c>
      <c r="HL37" s="230">
        <v>0</v>
      </c>
      <c r="HM37" s="230">
        <v>0</v>
      </c>
      <c r="HN37" s="230">
        <v>0</v>
      </c>
      <c r="HO37" s="230">
        <v>0</v>
      </c>
      <c r="HP37" s="230" t="s">
        <v>51</v>
      </c>
      <c r="HQ37" s="230">
        <v>24</v>
      </c>
      <c r="HR37" s="230">
        <v>0</v>
      </c>
      <c r="HS37" s="230">
        <v>0</v>
      </c>
      <c r="HT37" s="230">
        <v>0</v>
      </c>
      <c r="HU37" s="230">
        <v>0</v>
      </c>
      <c r="HV37" s="230">
        <v>0</v>
      </c>
      <c r="HW37" s="797">
        <v>24</v>
      </c>
      <c r="HX37" s="797">
        <v>0</v>
      </c>
      <c r="HY37" s="230">
        <v>68</v>
      </c>
      <c r="HZ37" s="230"/>
      <c r="IA37" s="230"/>
      <c r="IB37" s="230"/>
      <c r="IC37" s="232" t="s">
        <v>897</v>
      </c>
      <c r="ID37" s="233" t="s">
        <v>898</v>
      </c>
      <c r="IE37" s="467" t="s">
        <v>583</v>
      </c>
      <c r="IF37" s="232" t="s">
        <v>364</v>
      </c>
      <c r="IG37" s="467" t="s">
        <v>584</v>
      </c>
      <c r="IH37" s="467" t="s">
        <v>585</v>
      </c>
      <c r="II37" s="546" t="s">
        <v>584</v>
      </c>
      <c r="IJ37" s="467">
        <v>44462</v>
      </c>
      <c r="IK37" s="468">
        <v>3</v>
      </c>
      <c r="IL37" s="469" t="s">
        <v>1210</v>
      </c>
      <c r="IM37" s="469" t="s">
        <v>1195</v>
      </c>
      <c r="IN37" s="469" t="s">
        <v>1195</v>
      </c>
      <c r="IO37" s="469" t="s">
        <v>601</v>
      </c>
      <c r="IP37" s="469" t="s">
        <v>601</v>
      </c>
      <c r="IQ37" s="469" t="s">
        <v>601</v>
      </c>
      <c r="IR37" s="469">
        <v>1</v>
      </c>
      <c r="IS37" s="469">
        <v>2</v>
      </c>
      <c r="IT37" s="469" t="s">
        <v>675</v>
      </c>
      <c r="IU37" s="469" t="s">
        <v>675</v>
      </c>
    </row>
    <row r="38" ht="76.5">
      <c r="A38" s="322">
        <v>37</v>
      </c>
      <c r="B38" s="229" t="s">
        <v>1178</v>
      </c>
      <c r="C38" s="229" t="s">
        <v>1178</v>
      </c>
      <c r="D38" s="797" t="s">
        <v>907</v>
      </c>
      <c r="E38" s="229" t="s">
        <v>901</v>
      </c>
      <c r="F38" s="229" t="s">
        <v>26</v>
      </c>
      <c r="G38" s="797" t="s">
        <v>902</v>
      </c>
      <c r="H38" s="797" t="s">
        <v>903</v>
      </c>
      <c r="I38" s="229">
        <v>1</v>
      </c>
      <c r="J38" s="229" t="s">
        <v>904</v>
      </c>
      <c r="K38" s="231" t="s">
        <v>584</v>
      </c>
      <c r="L38" s="231" t="s">
        <v>1251</v>
      </c>
      <c r="M38" s="229" t="s">
        <v>576</v>
      </c>
      <c r="N38" s="229" t="s">
        <v>907</v>
      </c>
      <c r="O38" s="229" t="s">
        <v>587</v>
      </c>
      <c r="P38" s="229" t="s">
        <v>1208</v>
      </c>
      <c r="Q38" s="229" t="s">
        <v>597</v>
      </c>
      <c r="R38" s="229" t="s">
        <v>1193</v>
      </c>
      <c r="S38" s="229" t="s">
        <v>600</v>
      </c>
      <c r="T38" s="229" t="s">
        <v>593</v>
      </c>
      <c r="U38" s="229">
        <v>1</v>
      </c>
      <c r="V38" s="229"/>
      <c r="W38" s="229" t="b">
        <v>0</v>
      </c>
      <c r="X38" s="229" t="b">
        <v>0</v>
      </c>
      <c r="Y38" s="797">
        <v>0</v>
      </c>
      <c r="Z38" s="229" t="b">
        <v>1</v>
      </c>
      <c r="AA38" s="797">
        <v>27</v>
      </c>
      <c r="AB38" s="229" t="b">
        <v>0</v>
      </c>
      <c r="AC38" s="229" t="b">
        <v>1</v>
      </c>
      <c r="AD38" s="229">
        <v>0</v>
      </c>
      <c r="AE38" s="229"/>
      <c r="AF38" s="229" t="s">
        <v>50</v>
      </c>
      <c r="AG38" s="229">
        <v>0</v>
      </c>
      <c r="AH38" s="230"/>
      <c r="AI38" s="553" t="s">
        <v>576</v>
      </c>
      <c r="AJ38" s="553" t="s">
        <v>576</v>
      </c>
      <c r="AK38" s="229">
        <v>4</v>
      </c>
      <c r="AL38" s="465" t="s">
        <v>1188</v>
      </c>
      <c r="AM38" s="465" t="s">
        <v>1253</v>
      </c>
      <c r="AN38" s="465" t="s">
        <v>1255</v>
      </c>
      <c r="AO38" s="229" t="s">
        <v>25</v>
      </c>
      <c r="AP38" s="230" t="s">
        <v>576</v>
      </c>
      <c r="AQ38" s="230">
        <v>0</v>
      </c>
      <c r="AR38" s="230">
        <v>0</v>
      </c>
      <c r="AS38" s="230" t="s">
        <v>601</v>
      </c>
      <c r="AT38" s="230" t="s">
        <v>601</v>
      </c>
      <c r="AU38" s="230" t="s">
        <v>601</v>
      </c>
      <c r="AV38" s="230" t="s">
        <v>1178</v>
      </c>
      <c r="AW38" s="230" t="s">
        <v>601</v>
      </c>
      <c r="AX38" s="230" t="s">
        <v>601</v>
      </c>
      <c r="AY38" s="230" t="s">
        <v>601</v>
      </c>
      <c r="AZ38" s="230" t="s">
        <v>601</v>
      </c>
      <c r="BA38" s="230" t="s">
        <v>601</v>
      </c>
      <c r="BB38" s="230" t="s">
        <v>1178</v>
      </c>
      <c r="BC38" s="230" t="s">
        <v>907</v>
      </c>
      <c r="BD38" s="230">
        <v>0</v>
      </c>
      <c r="BE38" s="230">
        <v>0</v>
      </c>
      <c r="BF38" s="230" t="s">
        <v>601</v>
      </c>
      <c r="BG38" s="230" t="s">
        <v>601</v>
      </c>
      <c r="BH38" s="230" t="s">
        <v>601</v>
      </c>
      <c r="BI38" s="230" t="s">
        <v>587</v>
      </c>
      <c r="BJ38" s="230">
        <v>0</v>
      </c>
      <c r="BK38" s="230">
        <v>0</v>
      </c>
      <c r="BL38" s="230" t="s">
        <v>601</v>
      </c>
      <c r="BM38" s="230" t="s">
        <v>601</v>
      </c>
      <c r="BN38" s="230" t="s">
        <v>601</v>
      </c>
      <c r="BO38" s="553">
        <v>3</v>
      </c>
      <c r="BP38" s="553">
        <v>0</v>
      </c>
      <c r="BQ38" s="553">
        <v>0</v>
      </c>
      <c r="BR38" s="553">
        <v>0</v>
      </c>
      <c r="BS38" s="553">
        <v>0</v>
      </c>
      <c r="BT38" s="554">
        <v>0</v>
      </c>
      <c r="BU38" s="230" t="s">
        <v>597</v>
      </c>
      <c r="BV38" s="230" t="s">
        <v>601</v>
      </c>
      <c r="BW38" s="230" t="s">
        <v>601</v>
      </c>
      <c r="BX38" s="230" t="s">
        <v>601</v>
      </c>
      <c r="BY38" s="230" t="s">
        <v>601</v>
      </c>
      <c r="BZ38" s="230" t="s">
        <v>601</v>
      </c>
      <c r="CA38" s="230">
        <v>2</v>
      </c>
      <c r="CB38" s="230">
        <v>2</v>
      </c>
      <c r="CC38" s="230">
        <v>2</v>
      </c>
      <c r="CD38" s="230">
        <v>0</v>
      </c>
      <c r="CE38" s="230">
        <v>0</v>
      </c>
      <c r="CF38" s="230">
        <v>0</v>
      </c>
      <c r="CG38" s="230">
        <v>0</v>
      </c>
      <c r="CH38" s="230">
        <v>0</v>
      </c>
      <c r="CI38" s="230">
        <v>0</v>
      </c>
      <c r="CJ38" s="230">
        <v>0</v>
      </c>
      <c r="CK38" s="230">
        <v>0</v>
      </c>
      <c r="CL38" s="230">
        <v>0</v>
      </c>
      <c r="CM38" s="230">
        <v>0</v>
      </c>
      <c r="CN38" s="230">
        <v>0</v>
      </c>
      <c r="CO38" s="230">
        <v>0</v>
      </c>
      <c r="CP38" s="230">
        <v>0</v>
      </c>
      <c r="CQ38" s="230">
        <v>0</v>
      </c>
      <c r="CR38" s="230">
        <v>0</v>
      </c>
      <c r="CS38" s="230">
        <v>0</v>
      </c>
      <c r="CT38" s="230">
        <v>0</v>
      </c>
      <c r="CU38" s="230">
        <v>0</v>
      </c>
      <c r="CV38" s="230">
        <v>0</v>
      </c>
      <c r="CW38" s="230">
        <v>0</v>
      </c>
      <c r="CX38" s="230">
        <v>0</v>
      </c>
      <c r="CY38" s="230">
        <v>0</v>
      </c>
      <c r="CZ38" s="230">
        <v>0</v>
      </c>
      <c r="DA38" s="230">
        <v>0</v>
      </c>
      <c r="DB38" s="230">
        <v>0</v>
      </c>
      <c r="DC38" s="230">
        <v>0</v>
      </c>
      <c r="DD38" s="230">
        <v>0</v>
      </c>
      <c r="DE38" s="230">
        <v>0</v>
      </c>
      <c r="DF38" s="230">
        <v>0</v>
      </c>
      <c r="DG38" s="230">
        <v>0</v>
      </c>
      <c r="DH38" s="230">
        <v>0</v>
      </c>
      <c r="DI38" s="230">
        <v>0</v>
      </c>
      <c r="DJ38" s="230">
        <v>0</v>
      </c>
      <c r="DK38" s="230" t="s">
        <v>599</v>
      </c>
      <c r="DL38" s="230" t="s">
        <v>601</v>
      </c>
      <c r="DM38" s="230" t="s">
        <v>601</v>
      </c>
      <c r="DN38" s="230" t="s">
        <v>601</v>
      </c>
      <c r="DO38" s="230" t="s">
        <v>601</v>
      </c>
      <c r="DP38" s="230" t="s">
        <v>601</v>
      </c>
      <c r="DQ38" s="230" t="s">
        <v>1193</v>
      </c>
      <c r="DR38" s="230" t="s">
        <v>601</v>
      </c>
      <c r="DS38" s="230" t="s">
        <v>601</v>
      </c>
      <c r="DT38" s="230" t="s">
        <v>601</v>
      </c>
      <c r="DU38" s="230" t="s">
        <v>601</v>
      </c>
      <c r="DV38" s="230" t="s">
        <v>601</v>
      </c>
      <c r="DW38" s="230">
        <v>40</v>
      </c>
      <c r="DX38" s="230">
        <v>40</v>
      </c>
      <c r="DY38" s="230">
        <v>40</v>
      </c>
      <c r="DZ38" s="230">
        <v>0</v>
      </c>
      <c r="EA38" s="230">
        <v>0</v>
      </c>
      <c r="EB38" s="230">
        <v>0</v>
      </c>
      <c r="EC38" s="230">
        <v>40</v>
      </c>
      <c r="ED38" s="230">
        <v>0</v>
      </c>
      <c r="EE38" s="230">
        <v>0</v>
      </c>
      <c r="EF38" s="230">
        <v>0</v>
      </c>
      <c r="EG38" s="230">
        <v>0</v>
      </c>
      <c r="EH38" s="230">
        <v>0</v>
      </c>
      <c r="EI38" s="230">
        <v>0</v>
      </c>
      <c r="EJ38" s="230">
        <v>0</v>
      </c>
      <c r="EK38" s="230">
        <v>0</v>
      </c>
      <c r="EL38" s="230">
        <v>0</v>
      </c>
      <c r="EM38" s="230">
        <v>0</v>
      </c>
      <c r="EN38" s="230">
        <v>0</v>
      </c>
      <c r="EO38" s="230">
        <v>0</v>
      </c>
      <c r="EP38" s="230">
        <v>0</v>
      </c>
      <c r="EQ38" s="230">
        <v>0</v>
      </c>
      <c r="ER38" s="230">
        <v>0</v>
      </c>
      <c r="ES38" s="230">
        <v>0</v>
      </c>
      <c r="ET38" s="230">
        <v>0</v>
      </c>
      <c r="EU38" s="230">
        <v>0</v>
      </c>
      <c r="EV38" s="230">
        <v>0</v>
      </c>
      <c r="EW38" s="230">
        <v>0</v>
      </c>
      <c r="EX38" s="230">
        <v>0</v>
      </c>
      <c r="EY38" s="230">
        <v>0</v>
      </c>
      <c r="EZ38" s="230">
        <v>0</v>
      </c>
      <c r="FA38" s="230">
        <v>0</v>
      </c>
      <c r="FB38" s="230">
        <v>0</v>
      </c>
      <c r="FC38" s="230">
        <v>0</v>
      </c>
      <c r="FD38" s="230">
        <v>0</v>
      </c>
      <c r="FE38" s="230">
        <v>0</v>
      </c>
      <c r="FF38" s="230">
        <v>0</v>
      </c>
      <c r="FG38" s="230">
        <v>0</v>
      </c>
      <c r="FH38" s="230">
        <v>0</v>
      </c>
      <c r="FI38" s="230">
        <v>0</v>
      </c>
      <c r="FJ38" s="230">
        <v>0</v>
      </c>
      <c r="FK38" s="230">
        <v>0</v>
      </c>
      <c r="FL38" s="230">
        <v>0</v>
      </c>
      <c r="FM38" s="230">
        <v>40</v>
      </c>
      <c r="FN38" s="230">
        <v>2100</v>
      </c>
      <c r="FO38" s="230">
        <v>0</v>
      </c>
      <c r="FP38" s="230">
        <v>0</v>
      </c>
      <c r="FQ38" s="230" t="s">
        <v>601</v>
      </c>
      <c r="FR38" s="230" t="s">
        <v>601</v>
      </c>
      <c r="FS38" s="230" t="s">
        <v>601</v>
      </c>
      <c r="FT38" s="230" t="s">
        <v>593</v>
      </c>
      <c r="FU38" s="230">
        <v>0</v>
      </c>
      <c r="FV38" s="230">
        <v>0</v>
      </c>
      <c r="FW38" s="230" t="s">
        <v>601</v>
      </c>
      <c r="FX38" s="230" t="s">
        <v>601</v>
      </c>
      <c r="FY38" s="230" t="s">
        <v>601</v>
      </c>
      <c r="FZ38" s="230" t="s">
        <v>593</v>
      </c>
      <c r="GA38" s="230" t="s">
        <v>601</v>
      </c>
      <c r="GB38" s="230" t="s">
        <v>601</v>
      </c>
      <c r="GC38" s="230" t="s">
        <v>601</v>
      </c>
      <c r="GD38" s="230" t="s">
        <v>601</v>
      </c>
      <c r="GE38" s="230" t="s">
        <v>601</v>
      </c>
      <c r="GF38" s="230">
        <v>27</v>
      </c>
      <c r="GG38" s="230">
        <v>27</v>
      </c>
      <c r="GH38" s="230">
        <v>27</v>
      </c>
      <c r="GI38" s="230">
        <v>0</v>
      </c>
      <c r="GJ38" s="230">
        <v>0</v>
      </c>
      <c r="GK38" s="230">
        <v>0</v>
      </c>
      <c r="GL38" s="230">
        <v>0</v>
      </c>
      <c r="GM38" s="230">
        <v>0</v>
      </c>
      <c r="GN38" s="230">
        <v>0</v>
      </c>
      <c r="GO38" s="230">
        <v>0</v>
      </c>
      <c r="GP38" s="230">
        <v>0</v>
      </c>
      <c r="GQ38" s="230">
        <v>0</v>
      </c>
      <c r="GR38" s="230">
        <v>0</v>
      </c>
      <c r="GS38" s="230">
        <v>0</v>
      </c>
      <c r="GT38" s="230">
        <v>0</v>
      </c>
      <c r="GU38" s="230">
        <v>0</v>
      </c>
      <c r="GV38" s="230">
        <v>0</v>
      </c>
      <c r="GW38" s="230">
        <v>0</v>
      </c>
      <c r="GX38" s="230">
        <v>0</v>
      </c>
      <c r="GY38" s="230">
        <v>0</v>
      </c>
      <c r="GZ38" s="230">
        <v>0</v>
      </c>
      <c r="HA38" s="230">
        <v>0</v>
      </c>
      <c r="HB38" s="230">
        <v>0</v>
      </c>
      <c r="HC38" s="230">
        <v>0</v>
      </c>
      <c r="HD38" s="230">
        <v>0</v>
      </c>
      <c r="HE38" s="230">
        <v>0</v>
      </c>
      <c r="HF38" s="230">
        <v>0</v>
      </c>
      <c r="HG38" s="230">
        <v>0</v>
      </c>
      <c r="HH38" s="230">
        <v>0</v>
      </c>
      <c r="HI38" s="230">
        <v>0</v>
      </c>
      <c r="HJ38" s="230">
        <v>0</v>
      </c>
      <c r="HK38" s="230">
        <v>0</v>
      </c>
      <c r="HL38" s="230">
        <v>0</v>
      </c>
      <c r="HM38" s="230">
        <v>0</v>
      </c>
      <c r="HN38" s="230">
        <v>0</v>
      </c>
      <c r="HO38" s="230">
        <v>0</v>
      </c>
      <c r="HP38" s="230" t="s">
        <v>51</v>
      </c>
      <c r="HQ38" s="230">
        <v>27</v>
      </c>
      <c r="HR38" s="230">
        <v>0</v>
      </c>
      <c r="HS38" s="230">
        <v>0</v>
      </c>
      <c r="HT38" s="230">
        <v>0</v>
      </c>
      <c r="HU38" s="230">
        <v>0</v>
      </c>
      <c r="HV38" s="230">
        <v>0</v>
      </c>
      <c r="HW38" s="797">
        <v>27</v>
      </c>
      <c r="HX38" s="797">
        <v>0</v>
      </c>
      <c r="HY38" s="230">
        <v>68</v>
      </c>
      <c r="HZ38" s="230"/>
      <c r="IA38" s="230"/>
      <c r="IB38" s="230"/>
      <c r="IC38" s="232" t="s">
        <v>905</v>
      </c>
      <c r="ID38" s="233" t="s">
        <v>906</v>
      </c>
      <c r="IE38" s="467" t="s">
        <v>583</v>
      </c>
      <c r="IF38" s="232" t="s">
        <v>364</v>
      </c>
      <c r="IG38" s="467" t="s">
        <v>584</v>
      </c>
      <c r="IH38" s="467" t="s">
        <v>585</v>
      </c>
      <c r="II38" s="546" t="s">
        <v>584</v>
      </c>
      <c r="IJ38" s="467">
        <v>44462</v>
      </c>
      <c r="IK38" s="468">
        <v>3</v>
      </c>
      <c r="IL38" s="469" t="s">
        <v>1210</v>
      </c>
      <c r="IM38" s="469" t="s">
        <v>1195</v>
      </c>
      <c r="IN38" s="469" t="s">
        <v>1195</v>
      </c>
      <c r="IO38" s="469" t="s">
        <v>601</v>
      </c>
      <c r="IP38" s="469" t="s">
        <v>601</v>
      </c>
      <c r="IQ38" s="469" t="s">
        <v>601</v>
      </c>
      <c r="IR38" s="469">
        <v>1</v>
      </c>
      <c r="IS38" s="469">
        <v>2</v>
      </c>
      <c r="IT38" s="469" t="s">
        <v>675</v>
      </c>
      <c r="IU38" s="469" t="s">
        <v>675</v>
      </c>
    </row>
    <row r="39" ht="76.5">
      <c r="A39" s="322">
        <v>38</v>
      </c>
      <c r="B39" s="229" t="s">
        <v>1178</v>
      </c>
      <c r="C39" s="229" t="s">
        <v>1178</v>
      </c>
      <c r="D39" s="797" t="s">
        <v>915</v>
      </c>
      <c r="E39" s="229" t="s">
        <v>909</v>
      </c>
      <c r="F39" s="229" t="s">
        <v>26</v>
      </c>
      <c r="G39" s="797" t="s">
        <v>910</v>
      </c>
      <c r="H39" s="797" t="s">
        <v>911</v>
      </c>
      <c r="I39" s="229">
        <v>1</v>
      </c>
      <c r="J39" s="229" t="s">
        <v>912</v>
      </c>
      <c r="K39" s="231" t="s">
        <v>584</v>
      </c>
      <c r="L39" s="231" t="s">
        <v>1251</v>
      </c>
      <c r="M39" s="229" t="s">
        <v>576</v>
      </c>
      <c r="N39" s="229" t="s">
        <v>915</v>
      </c>
      <c r="O39" s="229" t="s">
        <v>587</v>
      </c>
      <c r="P39" s="229" t="s">
        <v>1208</v>
      </c>
      <c r="Q39" s="229" t="s">
        <v>917</v>
      </c>
      <c r="R39" s="229" t="s">
        <v>1192</v>
      </c>
      <c r="S39" s="229" t="s">
        <v>600</v>
      </c>
      <c r="T39" s="229" t="s">
        <v>593</v>
      </c>
      <c r="U39" s="229">
        <v>1</v>
      </c>
      <c r="V39" s="229"/>
      <c r="W39" s="229" t="b">
        <v>0</v>
      </c>
      <c r="X39" s="229" t="b">
        <v>0</v>
      </c>
      <c r="Y39" s="797">
        <v>0</v>
      </c>
      <c r="Z39" s="229" t="b">
        <v>1</v>
      </c>
      <c r="AA39" s="797">
        <v>27</v>
      </c>
      <c r="AB39" s="229" t="b">
        <v>0</v>
      </c>
      <c r="AC39" s="229" t="b">
        <v>1</v>
      </c>
      <c r="AD39" s="229">
        <v>0</v>
      </c>
      <c r="AE39" s="229"/>
      <c r="AF39" s="229" t="s">
        <v>50</v>
      </c>
      <c r="AG39" s="229">
        <v>0</v>
      </c>
      <c r="AH39" s="230"/>
      <c r="AI39" s="553" t="s">
        <v>576</v>
      </c>
      <c r="AJ39" s="553" t="s">
        <v>576</v>
      </c>
      <c r="AK39" s="229">
        <v>4</v>
      </c>
      <c r="AL39" s="465" t="s">
        <v>1188</v>
      </c>
      <c r="AM39" s="465" t="s">
        <v>1253</v>
      </c>
      <c r="AN39" s="465" t="s">
        <v>1256</v>
      </c>
      <c r="AO39" s="229" t="s">
        <v>25</v>
      </c>
      <c r="AP39" s="230" t="s">
        <v>576</v>
      </c>
      <c r="AQ39" s="230">
        <v>0</v>
      </c>
      <c r="AR39" s="230">
        <v>0</v>
      </c>
      <c r="AS39" s="230" t="s">
        <v>601</v>
      </c>
      <c r="AT39" s="230" t="s">
        <v>601</v>
      </c>
      <c r="AU39" s="230" t="s">
        <v>601</v>
      </c>
      <c r="AV39" s="230" t="s">
        <v>1178</v>
      </c>
      <c r="AW39" s="230" t="s">
        <v>601</v>
      </c>
      <c r="AX39" s="230" t="s">
        <v>601</v>
      </c>
      <c r="AY39" s="230" t="s">
        <v>601</v>
      </c>
      <c r="AZ39" s="230" t="s">
        <v>601</v>
      </c>
      <c r="BA39" s="230" t="s">
        <v>601</v>
      </c>
      <c r="BB39" s="230" t="s">
        <v>1178</v>
      </c>
      <c r="BC39" s="230" t="s">
        <v>915</v>
      </c>
      <c r="BD39" s="230">
        <v>0</v>
      </c>
      <c r="BE39" s="230">
        <v>0</v>
      </c>
      <c r="BF39" s="230" t="s">
        <v>601</v>
      </c>
      <c r="BG39" s="230" t="s">
        <v>601</v>
      </c>
      <c r="BH39" s="230" t="s">
        <v>601</v>
      </c>
      <c r="BI39" s="230" t="s">
        <v>587</v>
      </c>
      <c r="BJ39" s="230">
        <v>0</v>
      </c>
      <c r="BK39" s="230">
        <v>0</v>
      </c>
      <c r="BL39" s="230" t="s">
        <v>601</v>
      </c>
      <c r="BM39" s="230" t="s">
        <v>601</v>
      </c>
      <c r="BN39" s="230" t="s">
        <v>601</v>
      </c>
      <c r="BO39" s="553">
        <v>3</v>
      </c>
      <c r="BP39" s="553">
        <v>0</v>
      </c>
      <c r="BQ39" s="553">
        <v>0</v>
      </c>
      <c r="BR39" s="553">
        <v>0</v>
      </c>
      <c r="BS39" s="553">
        <v>0</v>
      </c>
      <c r="BT39" s="554">
        <v>0</v>
      </c>
      <c r="BU39" s="230" t="s">
        <v>917</v>
      </c>
      <c r="BV39" s="230" t="s">
        <v>601</v>
      </c>
      <c r="BW39" s="230" t="s">
        <v>601</v>
      </c>
      <c r="BX39" s="230" t="s">
        <v>601</v>
      </c>
      <c r="BY39" s="230" t="s">
        <v>601</v>
      </c>
      <c r="BZ39" s="230" t="s">
        <v>601</v>
      </c>
      <c r="CA39" s="230">
        <v>1</v>
      </c>
      <c r="CB39" s="230">
        <v>1</v>
      </c>
      <c r="CC39" s="230">
        <v>1</v>
      </c>
      <c r="CD39" s="230">
        <v>0</v>
      </c>
      <c r="CE39" s="230">
        <v>0</v>
      </c>
      <c r="CF39" s="230">
        <v>0</v>
      </c>
      <c r="CG39" s="230">
        <v>0</v>
      </c>
      <c r="CH39" s="230">
        <v>0</v>
      </c>
      <c r="CI39" s="230">
        <v>0</v>
      </c>
      <c r="CJ39" s="230">
        <v>0</v>
      </c>
      <c r="CK39" s="230">
        <v>0</v>
      </c>
      <c r="CL39" s="230">
        <v>0</v>
      </c>
      <c r="CM39" s="230">
        <v>0</v>
      </c>
      <c r="CN39" s="230">
        <v>0</v>
      </c>
      <c r="CO39" s="230">
        <v>0</v>
      </c>
      <c r="CP39" s="230">
        <v>0</v>
      </c>
      <c r="CQ39" s="230">
        <v>0</v>
      </c>
      <c r="CR39" s="230">
        <v>0</v>
      </c>
      <c r="CS39" s="230">
        <v>0</v>
      </c>
      <c r="CT39" s="230">
        <v>0</v>
      </c>
      <c r="CU39" s="230">
        <v>0</v>
      </c>
      <c r="CV39" s="230">
        <v>0</v>
      </c>
      <c r="CW39" s="230">
        <v>0</v>
      </c>
      <c r="CX39" s="230">
        <v>0</v>
      </c>
      <c r="CY39" s="230">
        <v>0</v>
      </c>
      <c r="CZ39" s="230">
        <v>0</v>
      </c>
      <c r="DA39" s="230">
        <v>0</v>
      </c>
      <c r="DB39" s="230">
        <v>0</v>
      </c>
      <c r="DC39" s="230">
        <v>0</v>
      </c>
      <c r="DD39" s="230">
        <v>0</v>
      </c>
      <c r="DE39" s="230">
        <v>0</v>
      </c>
      <c r="DF39" s="230">
        <v>0</v>
      </c>
      <c r="DG39" s="230">
        <v>0</v>
      </c>
      <c r="DH39" s="230">
        <v>0</v>
      </c>
      <c r="DI39" s="230">
        <v>0</v>
      </c>
      <c r="DJ39" s="230">
        <v>0</v>
      </c>
      <c r="DK39" s="230" t="s">
        <v>591</v>
      </c>
      <c r="DL39" s="230" t="s">
        <v>601</v>
      </c>
      <c r="DM39" s="230" t="s">
        <v>601</v>
      </c>
      <c r="DN39" s="230" t="s">
        <v>601</v>
      </c>
      <c r="DO39" s="230" t="s">
        <v>601</v>
      </c>
      <c r="DP39" s="230" t="s">
        <v>601</v>
      </c>
      <c r="DQ39" s="230" t="s">
        <v>1192</v>
      </c>
      <c r="DR39" s="230" t="s">
        <v>601</v>
      </c>
      <c r="DS39" s="230" t="s">
        <v>601</v>
      </c>
      <c r="DT39" s="230" t="s">
        <v>601</v>
      </c>
      <c r="DU39" s="230" t="s">
        <v>601</v>
      </c>
      <c r="DV39" s="230" t="s">
        <v>601</v>
      </c>
      <c r="DW39" s="230">
        <v>20</v>
      </c>
      <c r="DX39" s="230">
        <v>20</v>
      </c>
      <c r="DY39" s="230">
        <v>20</v>
      </c>
      <c r="DZ39" s="230">
        <v>0</v>
      </c>
      <c r="EA39" s="230">
        <v>0</v>
      </c>
      <c r="EB39" s="230">
        <v>0</v>
      </c>
      <c r="EC39" s="230">
        <v>20</v>
      </c>
      <c r="ED39" s="230">
        <v>0</v>
      </c>
      <c r="EE39" s="230">
        <v>0</v>
      </c>
      <c r="EF39" s="230">
        <v>0</v>
      </c>
      <c r="EG39" s="230">
        <v>0</v>
      </c>
      <c r="EH39" s="230">
        <v>0</v>
      </c>
      <c r="EI39" s="230">
        <v>0</v>
      </c>
      <c r="EJ39" s="230">
        <v>0</v>
      </c>
      <c r="EK39" s="230">
        <v>0</v>
      </c>
      <c r="EL39" s="230">
        <v>0</v>
      </c>
      <c r="EM39" s="230">
        <v>0</v>
      </c>
      <c r="EN39" s="230">
        <v>0</v>
      </c>
      <c r="EO39" s="230">
        <v>0</v>
      </c>
      <c r="EP39" s="230">
        <v>0</v>
      </c>
      <c r="EQ39" s="230">
        <v>0</v>
      </c>
      <c r="ER39" s="230">
        <v>0</v>
      </c>
      <c r="ES39" s="230">
        <v>0</v>
      </c>
      <c r="ET39" s="230">
        <v>0</v>
      </c>
      <c r="EU39" s="230">
        <v>0</v>
      </c>
      <c r="EV39" s="230">
        <v>0</v>
      </c>
      <c r="EW39" s="230">
        <v>0</v>
      </c>
      <c r="EX39" s="230">
        <v>0</v>
      </c>
      <c r="EY39" s="230">
        <v>0</v>
      </c>
      <c r="EZ39" s="230">
        <v>0</v>
      </c>
      <c r="FA39" s="230">
        <v>0</v>
      </c>
      <c r="FB39" s="230">
        <v>0</v>
      </c>
      <c r="FC39" s="230">
        <v>0</v>
      </c>
      <c r="FD39" s="230">
        <v>0</v>
      </c>
      <c r="FE39" s="230">
        <v>0</v>
      </c>
      <c r="FF39" s="230">
        <v>0</v>
      </c>
      <c r="FG39" s="230">
        <v>0</v>
      </c>
      <c r="FH39" s="230">
        <v>0</v>
      </c>
      <c r="FI39" s="230">
        <v>0</v>
      </c>
      <c r="FJ39" s="230">
        <v>0</v>
      </c>
      <c r="FK39" s="230">
        <v>0</v>
      </c>
      <c r="FL39" s="230">
        <v>0</v>
      </c>
      <c r="FM39" s="230">
        <v>20</v>
      </c>
      <c r="FN39" s="230">
        <v>2100</v>
      </c>
      <c r="FO39" s="230">
        <v>0</v>
      </c>
      <c r="FP39" s="230">
        <v>0</v>
      </c>
      <c r="FQ39" s="230" t="s">
        <v>601</v>
      </c>
      <c r="FR39" s="230" t="s">
        <v>601</v>
      </c>
      <c r="FS39" s="230" t="s">
        <v>601</v>
      </c>
      <c r="FT39" s="230" t="s">
        <v>593</v>
      </c>
      <c r="FU39" s="230">
        <v>0</v>
      </c>
      <c r="FV39" s="230">
        <v>0</v>
      </c>
      <c r="FW39" s="230" t="s">
        <v>601</v>
      </c>
      <c r="FX39" s="230" t="s">
        <v>601</v>
      </c>
      <c r="FY39" s="230" t="s">
        <v>601</v>
      </c>
      <c r="FZ39" s="230" t="s">
        <v>593</v>
      </c>
      <c r="GA39" s="230" t="s">
        <v>601</v>
      </c>
      <c r="GB39" s="230" t="s">
        <v>601</v>
      </c>
      <c r="GC39" s="230" t="s">
        <v>601</v>
      </c>
      <c r="GD39" s="230" t="s">
        <v>601</v>
      </c>
      <c r="GE39" s="230" t="s">
        <v>601</v>
      </c>
      <c r="GF39" s="230">
        <v>27</v>
      </c>
      <c r="GG39" s="230">
        <v>27</v>
      </c>
      <c r="GH39" s="230">
        <v>27</v>
      </c>
      <c r="GI39" s="230">
        <v>0</v>
      </c>
      <c r="GJ39" s="230">
        <v>0</v>
      </c>
      <c r="GK39" s="230">
        <v>0</v>
      </c>
      <c r="GL39" s="230">
        <v>0</v>
      </c>
      <c r="GM39" s="230">
        <v>0</v>
      </c>
      <c r="GN39" s="230">
        <v>0</v>
      </c>
      <c r="GO39" s="230">
        <v>0</v>
      </c>
      <c r="GP39" s="230">
        <v>0</v>
      </c>
      <c r="GQ39" s="230">
        <v>0</v>
      </c>
      <c r="GR39" s="230">
        <v>0</v>
      </c>
      <c r="GS39" s="230">
        <v>0</v>
      </c>
      <c r="GT39" s="230">
        <v>0</v>
      </c>
      <c r="GU39" s="230">
        <v>0</v>
      </c>
      <c r="GV39" s="230">
        <v>0</v>
      </c>
      <c r="GW39" s="230">
        <v>0</v>
      </c>
      <c r="GX39" s="230">
        <v>0</v>
      </c>
      <c r="GY39" s="230">
        <v>0</v>
      </c>
      <c r="GZ39" s="230">
        <v>0</v>
      </c>
      <c r="HA39" s="230">
        <v>0</v>
      </c>
      <c r="HB39" s="230">
        <v>0</v>
      </c>
      <c r="HC39" s="230">
        <v>0</v>
      </c>
      <c r="HD39" s="230">
        <v>0</v>
      </c>
      <c r="HE39" s="230">
        <v>0</v>
      </c>
      <c r="HF39" s="230">
        <v>0</v>
      </c>
      <c r="HG39" s="230">
        <v>0</v>
      </c>
      <c r="HH39" s="230">
        <v>0</v>
      </c>
      <c r="HI39" s="230">
        <v>0</v>
      </c>
      <c r="HJ39" s="230">
        <v>0</v>
      </c>
      <c r="HK39" s="230">
        <v>0</v>
      </c>
      <c r="HL39" s="230">
        <v>0</v>
      </c>
      <c r="HM39" s="230">
        <v>0</v>
      </c>
      <c r="HN39" s="230">
        <v>0</v>
      </c>
      <c r="HO39" s="230">
        <v>0</v>
      </c>
      <c r="HP39" s="230" t="s">
        <v>51</v>
      </c>
      <c r="HQ39" s="230">
        <v>27</v>
      </c>
      <c r="HR39" s="230">
        <v>0</v>
      </c>
      <c r="HS39" s="230">
        <v>0</v>
      </c>
      <c r="HT39" s="230">
        <v>0</v>
      </c>
      <c r="HU39" s="230">
        <v>0</v>
      </c>
      <c r="HV39" s="230">
        <v>0</v>
      </c>
      <c r="HW39" s="797">
        <v>27</v>
      </c>
      <c r="HX39" s="797">
        <v>0</v>
      </c>
      <c r="HY39" s="230">
        <v>68</v>
      </c>
      <c r="HZ39" s="230"/>
      <c r="IA39" s="230"/>
      <c r="IB39" s="230"/>
      <c r="IC39" s="232" t="s">
        <v>913</v>
      </c>
      <c r="ID39" s="233" t="s">
        <v>914</v>
      </c>
      <c r="IE39" s="467" t="s">
        <v>583</v>
      </c>
      <c r="IF39" s="232" t="s">
        <v>364</v>
      </c>
      <c r="IG39" s="467" t="s">
        <v>584</v>
      </c>
      <c r="IH39" s="467" t="s">
        <v>585</v>
      </c>
      <c r="II39" s="546" t="s">
        <v>584</v>
      </c>
      <c r="IJ39" s="467">
        <v>44462</v>
      </c>
      <c r="IK39" s="468">
        <v>3</v>
      </c>
      <c r="IL39" s="469" t="s">
        <v>1210</v>
      </c>
      <c r="IM39" s="469" t="s">
        <v>1195</v>
      </c>
      <c r="IN39" s="469" t="s">
        <v>1195</v>
      </c>
      <c r="IO39" s="469" t="s">
        <v>601</v>
      </c>
      <c r="IP39" s="469" t="s">
        <v>601</v>
      </c>
      <c r="IQ39" s="469" t="s">
        <v>601</v>
      </c>
      <c r="IR39" s="469">
        <v>1</v>
      </c>
      <c r="IS39" s="469">
        <v>2</v>
      </c>
      <c r="IT39" s="469" t="s">
        <v>675</v>
      </c>
      <c r="IU39" s="469" t="s">
        <v>675</v>
      </c>
    </row>
    <row r="40" ht="76.5">
      <c r="A40" s="322">
        <v>39</v>
      </c>
      <c r="B40" s="229" t="s">
        <v>1178</v>
      </c>
      <c r="C40" s="229" t="s">
        <v>1178</v>
      </c>
      <c r="D40" s="797" t="s">
        <v>925</v>
      </c>
      <c r="E40" s="229" t="s">
        <v>919</v>
      </c>
      <c r="F40" s="229" t="s">
        <v>26</v>
      </c>
      <c r="G40" s="797" t="s">
        <v>920</v>
      </c>
      <c r="H40" s="797" t="s">
        <v>921</v>
      </c>
      <c r="I40" s="229">
        <v>1</v>
      </c>
      <c r="J40" s="229" t="s">
        <v>922</v>
      </c>
      <c r="K40" s="231" t="s">
        <v>584</v>
      </c>
      <c r="L40" s="231" t="s">
        <v>1257</v>
      </c>
      <c r="M40" s="229" t="s">
        <v>576</v>
      </c>
      <c r="N40" s="229" t="s">
        <v>925</v>
      </c>
      <c r="O40" s="229" t="s">
        <v>587</v>
      </c>
      <c r="P40" s="229" t="s">
        <v>1208</v>
      </c>
      <c r="Q40" s="229" t="s">
        <v>597</v>
      </c>
      <c r="R40" s="229" t="s">
        <v>1193</v>
      </c>
      <c r="S40" s="229" t="s">
        <v>600</v>
      </c>
      <c r="T40" s="229" t="s">
        <v>593</v>
      </c>
      <c r="U40" s="229">
        <v>1</v>
      </c>
      <c r="V40" s="229"/>
      <c r="W40" s="229" t="b">
        <v>0</v>
      </c>
      <c r="X40" s="229" t="b">
        <v>0</v>
      </c>
      <c r="Y40" s="797">
        <v>0</v>
      </c>
      <c r="Z40" s="229" t="b">
        <v>1</v>
      </c>
      <c r="AA40" s="797">
        <v>27</v>
      </c>
      <c r="AB40" s="229" t="b">
        <v>0</v>
      </c>
      <c r="AC40" s="229" t="b">
        <v>1</v>
      </c>
      <c r="AD40" s="229">
        <v>0</v>
      </c>
      <c r="AE40" s="229"/>
      <c r="AF40" s="229" t="s">
        <v>50</v>
      </c>
      <c r="AG40" s="229">
        <v>0</v>
      </c>
      <c r="AH40" s="230"/>
      <c r="AI40" s="553" t="s">
        <v>576</v>
      </c>
      <c r="AJ40" s="553" t="s">
        <v>576</v>
      </c>
      <c r="AK40" s="229">
        <v>4</v>
      </c>
      <c r="AL40" s="465" t="s">
        <v>1188</v>
      </c>
      <c r="AM40" s="465" t="s">
        <v>1253</v>
      </c>
      <c r="AN40" s="465" t="s">
        <v>1258</v>
      </c>
      <c r="AO40" s="229" t="s">
        <v>25</v>
      </c>
      <c r="AP40" s="230" t="s">
        <v>576</v>
      </c>
      <c r="AQ40" s="230">
        <v>0</v>
      </c>
      <c r="AR40" s="230">
        <v>0</v>
      </c>
      <c r="AS40" s="230" t="s">
        <v>601</v>
      </c>
      <c r="AT40" s="230" t="s">
        <v>601</v>
      </c>
      <c r="AU40" s="230" t="s">
        <v>601</v>
      </c>
      <c r="AV40" s="230" t="s">
        <v>1178</v>
      </c>
      <c r="AW40" s="230" t="s">
        <v>601</v>
      </c>
      <c r="AX40" s="230" t="s">
        <v>601</v>
      </c>
      <c r="AY40" s="230" t="s">
        <v>601</v>
      </c>
      <c r="AZ40" s="230" t="s">
        <v>601</v>
      </c>
      <c r="BA40" s="230" t="s">
        <v>601</v>
      </c>
      <c r="BB40" s="230" t="s">
        <v>1178</v>
      </c>
      <c r="BC40" s="230" t="s">
        <v>925</v>
      </c>
      <c r="BD40" s="230">
        <v>0</v>
      </c>
      <c r="BE40" s="230">
        <v>0</v>
      </c>
      <c r="BF40" s="230" t="s">
        <v>601</v>
      </c>
      <c r="BG40" s="230" t="s">
        <v>601</v>
      </c>
      <c r="BH40" s="230" t="s">
        <v>601</v>
      </c>
      <c r="BI40" s="230" t="s">
        <v>587</v>
      </c>
      <c r="BJ40" s="230">
        <v>0</v>
      </c>
      <c r="BK40" s="230">
        <v>0</v>
      </c>
      <c r="BL40" s="230" t="s">
        <v>601</v>
      </c>
      <c r="BM40" s="230" t="s">
        <v>601</v>
      </c>
      <c r="BN40" s="230" t="s">
        <v>601</v>
      </c>
      <c r="BO40" s="553">
        <v>3</v>
      </c>
      <c r="BP40" s="553">
        <v>0</v>
      </c>
      <c r="BQ40" s="553">
        <v>0</v>
      </c>
      <c r="BR40" s="553">
        <v>0</v>
      </c>
      <c r="BS40" s="553">
        <v>0</v>
      </c>
      <c r="BT40" s="554">
        <v>0</v>
      </c>
      <c r="BU40" s="230" t="s">
        <v>597</v>
      </c>
      <c r="BV40" s="230" t="s">
        <v>601</v>
      </c>
      <c r="BW40" s="230" t="s">
        <v>601</v>
      </c>
      <c r="BX40" s="230" t="s">
        <v>601</v>
      </c>
      <c r="BY40" s="230" t="s">
        <v>601</v>
      </c>
      <c r="BZ40" s="230" t="s">
        <v>601</v>
      </c>
      <c r="CA40" s="230">
        <v>2</v>
      </c>
      <c r="CB40" s="230">
        <v>2</v>
      </c>
      <c r="CC40" s="230">
        <v>2</v>
      </c>
      <c r="CD40" s="230">
        <v>0</v>
      </c>
      <c r="CE40" s="230">
        <v>0</v>
      </c>
      <c r="CF40" s="230">
        <v>0</v>
      </c>
      <c r="CG40" s="230">
        <v>0</v>
      </c>
      <c r="CH40" s="230">
        <v>0</v>
      </c>
      <c r="CI40" s="230">
        <v>0</v>
      </c>
      <c r="CJ40" s="230">
        <v>0</v>
      </c>
      <c r="CK40" s="230">
        <v>0</v>
      </c>
      <c r="CL40" s="230">
        <v>0</v>
      </c>
      <c r="CM40" s="230">
        <v>0</v>
      </c>
      <c r="CN40" s="230">
        <v>0</v>
      </c>
      <c r="CO40" s="230">
        <v>0</v>
      </c>
      <c r="CP40" s="230">
        <v>0</v>
      </c>
      <c r="CQ40" s="230">
        <v>0</v>
      </c>
      <c r="CR40" s="230">
        <v>0</v>
      </c>
      <c r="CS40" s="230">
        <v>0</v>
      </c>
      <c r="CT40" s="230">
        <v>0</v>
      </c>
      <c r="CU40" s="230">
        <v>0</v>
      </c>
      <c r="CV40" s="230">
        <v>0</v>
      </c>
      <c r="CW40" s="230">
        <v>0</v>
      </c>
      <c r="CX40" s="230">
        <v>0</v>
      </c>
      <c r="CY40" s="230">
        <v>0</v>
      </c>
      <c r="CZ40" s="230">
        <v>0</v>
      </c>
      <c r="DA40" s="230">
        <v>0</v>
      </c>
      <c r="DB40" s="230">
        <v>0</v>
      </c>
      <c r="DC40" s="230">
        <v>0</v>
      </c>
      <c r="DD40" s="230">
        <v>0</v>
      </c>
      <c r="DE40" s="230">
        <v>0</v>
      </c>
      <c r="DF40" s="230">
        <v>0</v>
      </c>
      <c r="DG40" s="230">
        <v>0</v>
      </c>
      <c r="DH40" s="230">
        <v>0</v>
      </c>
      <c r="DI40" s="230">
        <v>0</v>
      </c>
      <c r="DJ40" s="230">
        <v>0</v>
      </c>
      <c r="DK40" s="230" t="s">
        <v>599</v>
      </c>
      <c r="DL40" s="230" t="s">
        <v>601</v>
      </c>
      <c r="DM40" s="230" t="s">
        <v>601</v>
      </c>
      <c r="DN40" s="230" t="s">
        <v>601</v>
      </c>
      <c r="DO40" s="230" t="s">
        <v>601</v>
      </c>
      <c r="DP40" s="230" t="s">
        <v>601</v>
      </c>
      <c r="DQ40" s="230" t="s">
        <v>1193</v>
      </c>
      <c r="DR40" s="230" t="s">
        <v>601</v>
      </c>
      <c r="DS40" s="230" t="s">
        <v>601</v>
      </c>
      <c r="DT40" s="230" t="s">
        <v>601</v>
      </c>
      <c r="DU40" s="230" t="s">
        <v>601</v>
      </c>
      <c r="DV40" s="230" t="s">
        <v>601</v>
      </c>
      <c r="DW40" s="230">
        <v>40</v>
      </c>
      <c r="DX40" s="230">
        <v>40</v>
      </c>
      <c r="DY40" s="230">
        <v>40</v>
      </c>
      <c r="DZ40" s="230">
        <v>0</v>
      </c>
      <c r="EA40" s="230">
        <v>0</v>
      </c>
      <c r="EB40" s="230">
        <v>0</v>
      </c>
      <c r="EC40" s="230">
        <v>40</v>
      </c>
      <c r="ED40" s="230">
        <v>0</v>
      </c>
      <c r="EE40" s="230">
        <v>0</v>
      </c>
      <c r="EF40" s="230">
        <v>0</v>
      </c>
      <c r="EG40" s="230">
        <v>0</v>
      </c>
      <c r="EH40" s="230">
        <v>0</v>
      </c>
      <c r="EI40" s="230">
        <v>0</v>
      </c>
      <c r="EJ40" s="230">
        <v>0</v>
      </c>
      <c r="EK40" s="230">
        <v>0</v>
      </c>
      <c r="EL40" s="230">
        <v>0</v>
      </c>
      <c r="EM40" s="230">
        <v>0</v>
      </c>
      <c r="EN40" s="230">
        <v>0</v>
      </c>
      <c r="EO40" s="230">
        <v>0</v>
      </c>
      <c r="EP40" s="230">
        <v>0</v>
      </c>
      <c r="EQ40" s="230">
        <v>0</v>
      </c>
      <c r="ER40" s="230">
        <v>0</v>
      </c>
      <c r="ES40" s="230">
        <v>0</v>
      </c>
      <c r="ET40" s="230">
        <v>0</v>
      </c>
      <c r="EU40" s="230">
        <v>0</v>
      </c>
      <c r="EV40" s="230">
        <v>0</v>
      </c>
      <c r="EW40" s="230">
        <v>0</v>
      </c>
      <c r="EX40" s="230">
        <v>0</v>
      </c>
      <c r="EY40" s="230">
        <v>0</v>
      </c>
      <c r="EZ40" s="230">
        <v>0</v>
      </c>
      <c r="FA40" s="230">
        <v>0</v>
      </c>
      <c r="FB40" s="230">
        <v>0</v>
      </c>
      <c r="FC40" s="230">
        <v>0</v>
      </c>
      <c r="FD40" s="230">
        <v>0</v>
      </c>
      <c r="FE40" s="230">
        <v>0</v>
      </c>
      <c r="FF40" s="230">
        <v>0</v>
      </c>
      <c r="FG40" s="230">
        <v>0</v>
      </c>
      <c r="FH40" s="230">
        <v>0</v>
      </c>
      <c r="FI40" s="230">
        <v>0</v>
      </c>
      <c r="FJ40" s="230">
        <v>0</v>
      </c>
      <c r="FK40" s="230">
        <v>0</v>
      </c>
      <c r="FL40" s="230">
        <v>0</v>
      </c>
      <c r="FM40" s="230">
        <v>40</v>
      </c>
      <c r="FN40" s="230">
        <v>2100</v>
      </c>
      <c r="FO40" s="230">
        <v>0</v>
      </c>
      <c r="FP40" s="230">
        <v>0</v>
      </c>
      <c r="FQ40" s="230" t="s">
        <v>601</v>
      </c>
      <c r="FR40" s="230" t="s">
        <v>601</v>
      </c>
      <c r="FS40" s="230" t="s">
        <v>601</v>
      </c>
      <c r="FT40" s="230" t="s">
        <v>593</v>
      </c>
      <c r="FU40" s="230">
        <v>0</v>
      </c>
      <c r="FV40" s="230">
        <v>0</v>
      </c>
      <c r="FW40" s="230" t="s">
        <v>601</v>
      </c>
      <c r="FX40" s="230" t="s">
        <v>601</v>
      </c>
      <c r="FY40" s="230" t="s">
        <v>601</v>
      </c>
      <c r="FZ40" s="230" t="s">
        <v>593</v>
      </c>
      <c r="GA40" s="230" t="s">
        <v>601</v>
      </c>
      <c r="GB40" s="230" t="s">
        <v>601</v>
      </c>
      <c r="GC40" s="230" t="s">
        <v>601</v>
      </c>
      <c r="GD40" s="230" t="s">
        <v>601</v>
      </c>
      <c r="GE40" s="230" t="s">
        <v>601</v>
      </c>
      <c r="GF40" s="230">
        <v>27</v>
      </c>
      <c r="GG40" s="230">
        <v>27</v>
      </c>
      <c r="GH40" s="230">
        <v>27</v>
      </c>
      <c r="GI40" s="230">
        <v>0</v>
      </c>
      <c r="GJ40" s="230">
        <v>0</v>
      </c>
      <c r="GK40" s="230">
        <v>0</v>
      </c>
      <c r="GL40" s="230">
        <v>0</v>
      </c>
      <c r="GM40" s="230">
        <v>0</v>
      </c>
      <c r="GN40" s="230">
        <v>0</v>
      </c>
      <c r="GO40" s="230">
        <v>0</v>
      </c>
      <c r="GP40" s="230">
        <v>0</v>
      </c>
      <c r="GQ40" s="230">
        <v>0</v>
      </c>
      <c r="GR40" s="230">
        <v>0</v>
      </c>
      <c r="GS40" s="230">
        <v>0</v>
      </c>
      <c r="GT40" s="230">
        <v>0</v>
      </c>
      <c r="GU40" s="230">
        <v>0</v>
      </c>
      <c r="GV40" s="230">
        <v>0</v>
      </c>
      <c r="GW40" s="230">
        <v>0</v>
      </c>
      <c r="GX40" s="230">
        <v>0</v>
      </c>
      <c r="GY40" s="230">
        <v>0</v>
      </c>
      <c r="GZ40" s="230">
        <v>0</v>
      </c>
      <c r="HA40" s="230">
        <v>0</v>
      </c>
      <c r="HB40" s="230">
        <v>0</v>
      </c>
      <c r="HC40" s="230">
        <v>0</v>
      </c>
      <c r="HD40" s="230">
        <v>0</v>
      </c>
      <c r="HE40" s="230">
        <v>0</v>
      </c>
      <c r="HF40" s="230">
        <v>0</v>
      </c>
      <c r="HG40" s="230">
        <v>0</v>
      </c>
      <c r="HH40" s="230">
        <v>0</v>
      </c>
      <c r="HI40" s="230">
        <v>0</v>
      </c>
      <c r="HJ40" s="230">
        <v>0</v>
      </c>
      <c r="HK40" s="230">
        <v>0</v>
      </c>
      <c r="HL40" s="230">
        <v>0</v>
      </c>
      <c r="HM40" s="230">
        <v>0</v>
      </c>
      <c r="HN40" s="230">
        <v>0</v>
      </c>
      <c r="HO40" s="230">
        <v>0</v>
      </c>
      <c r="HP40" s="230" t="s">
        <v>51</v>
      </c>
      <c r="HQ40" s="230">
        <v>27</v>
      </c>
      <c r="HR40" s="230">
        <v>0</v>
      </c>
      <c r="HS40" s="230">
        <v>0</v>
      </c>
      <c r="HT40" s="230">
        <v>0</v>
      </c>
      <c r="HU40" s="230">
        <v>0</v>
      </c>
      <c r="HV40" s="230">
        <v>0</v>
      </c>
      <c r="HW40" s="797">
        <v>27</v>
      </c>
      <c r="HX40" s="797">
        <v>0</v>
      </c>
      <c r="HY40" s="230">
        <v>68</v>
      </c>
      <c r="HZ40" s="230"/>
      <c r="IA40" s="230"/>
      <c r="IB40" s="230"/>
      <c r="IC40" s="232" t="s">
        <v>923</v>
      </c>
      <c r="ID40" s="233" t="s">
        <v>924</v>
      </c>
      <c r="IE40" s="467" t="s">
        <v>583</v>
      </c>
      <c r="IF40" s="232" t="s">
        <v>364</v>
      </c>
      <c r="IG40" s="467" t="s">
        <v>584</v>
      </c>
      <c r="IH40" s="467" t="s">
        <v>585</v>
      </c>
      <c r="II40" s="546" t="s">
        <v>584</v>
      </c>
      <c r="IJ40" s="467">
        <v>44462</v>
      </c>
      <c r="IK40" s="468">
        <v>3</v>
      </c>
      <c r="IL40" s="469" t="s">
        <v>1210</v>
      </c>
      <c r="IM40" s="469" t="s">
        <v>1195</v>
      </c>
      <c r="IN40" s="469" t="s">
        <v>1195</v>
      </c>
      <c r="IO40" s="469" t="s">
        <v>601</v>
      </c>
      <c r="IP40" s="469" t="s">
        <v>601</v>
      </c>
      <c r="IQ40" s="469" t="s">
        <v>601</v>
      </c>
      <c r="IR40" s="469">
        <v>1</v>
      </c>
      <c r="IS40" s="469">
        <v>2</v>
      </c>
      <c r="IT40" s="469" t="s">
        <v>675</v>
      </c>
      <c r="IU40" s="469" t="s">
        <v>675</v>
      </c>
    </row>
    <row r="41" ht="76.5">
      <c r="A41" s="322">
        <v>40</v>
      </c>
      <c r="B41" s="229" t="s">
        <v>1178</v>
      </c>
      <c r="C41" s="229" t="s">
        <v>1178</v>
      </c>
      <c r="D41" s="797" t="s">
        <v>933</v>
      </c>
      <c r="E41" s="229" t="s">
        <v>927</v>
      </c>
      <c r="F41" s="229" t="s">
        <v>26</v>
      </c>
      <c r="G41" s="797" t="s">
        <v>928</v>
      </c>
      <c r="H41" s="797" t="s">
        <v>929</v>
      </c>
      <c r="I41" s="229">
        <v>1</v>
      </c>
      <c r="J41" s="229" t="s">
        <v>930</v>
      </c>
      <c r="K41" s="231" t="s">
        <v>584</v>
      </c>
      <c r="L41" s="231" t="s">
        <v>1257</v>
      </c>
      <c r="M41" s="229" t="s">
        <v>576</v>
      </c>
      <c r="N41" s="229" t="s">
        <v>933</v>
      </c>
      <c r="O41" s="229" t="s">
        <v>587</v>
      </c>
      <c r="P41" s="229" t="s">
        <v>1208</v>
      </c>
      <c r="Q41" s="229" t="s">
        <v>597</v>
      </c>
      <c r="R41" s="229" t="s">
        <v>1193</v>
      </c>
      <c r="S41" s="229" t="s">
        <v>600</v>
      </c>
      <c r="T41" s="229" t="s">
        <v>593</v>
      </c>
      <c r="U41" s="229">
        <v>1</v>
      </c>
      <c r="V41" s="229"/>
      <c r="W41" s="229" t="b">
        <v>0</v>
      </c>
      <c r="X41" s="229" t="b">
        <v>0</v>
      </c>
      <c r="Y41" s="797">
        <v>0</v>
      </c>
      <c r="Z41" s="229" t="b">
        <v>1</v>
      </c>
      <c r="AA41" s="797">
        <v>27</v>
      </c>
      <c r="AB41" s="229" t="b">
        <v>0</v>
      </c>
      <c r="AC41" s="229" t="b">
        <v>1</v>
      </c>
      <c r="AD41" s="229">
        <v>0</v>
      </c>
      <c r="AE41" s="229"/>
      <c r="AF41" s="229" t="s">
        <v>50</v>
      </c>
      <c r="AG41" s="229">
        <v>0</v>
      </c>
      <c r="AH41" s="230"/>
      <c r="AI41" s="553" t="s">
        <v>576</v>
      </c>
      <c r="AJ41" s="553" t="s">
        <v>576</v>
      </c>
      <c r="AK41" s="229">
        <v>4</v>
      </c>
      <c r="AL41" s="465" t="s">
        <v>1188</v>
      </c>
      <c r="AM41" s="465" t="s">
        <v>1253</v>
      </c>
      <c r="AN41" s="465" t="s">
        <v>1259</v>
      </c>
      <c r="AO41" s="229" t="s">
        <v>25</v>
      </c>
      <c r="AP41" s="230" t="s">
        <v>576</v>
      </c>
      <c r="AQ41" s="230">
        <v>0</v>
      </c>
      <c r="AR41" s="230">
        <v>0</v>
      </c>
      <c r="AS41" s="230" t="s">
        <v>601</v>
      </c>
      <c r="AT41" s="230" t="s">
        <v>601</v>
      </c>
      <c r="AU41" s="230" t="s">
        <v>601</v>
      </c>
      <c r="AV41" s="230" t="s">
        <v>1178</v>
      </c>
      <c r="AW41" s="230" t="s">
        <v>601</v>
      </c>
      <c r="AX41" s="230" t="s">
        <v>601</v>
      </c>
      <c r="AY41" s="230" t="s">
        <v>601</v>
      </c>
      <c r="AZ41" s="230" t="s">
        <v>601</v>
      </c>
      <c r="BA41" s="230" t="s">
        <v>601</v>
      </c>
      <c r="BB41" s="230" t="s">
        <v>1178</v>
      </c>
      <c r="BC41" s="230" t="s">
        <v>933</v>
      </c>
      <c r="BD41" s="230">
        <v>0</v>
      </c>
      <c r="BE41" s="230">
        <v>0</v>
      </c>
      <c r="BF41" s="230" t="s">
        <v>601</v>
      </c>
      <c r="BG41" s="230" t="s">
        <v>601</v>
      </c>
      <c r="BH41" s="230" t="s">
        <v>601</v>
      </c>
      <c r="BI41" s="230" t="s">
        <v>587</v>
      </c>
      <c r="BJ41" s="230">
        <v>0</v>
      </c>
      <c r="BK41" s="230">
        <v>0</v>
      </c>
      <c r="BL41" s="230" t="s">
        <v>601</v>
      </c>
      <c r="BM41" s="230" t="s">
        <v>601</v>
      </c>
      <c r="BN41" s="230" t="s">
        <v>601</v>
      </c>
      <c r="BO41" s="553">
        <v>3</v>
      </c>
      <c r="BP41" s="553">
        <v>0</v>
      </c>
      <c r="BQ41" s="553">
        <v>0</v>
      </c>
      <c r="BR41" s="553">
        <v>0</v>
      </c>
      <c r="BS41" s="553">
        <v>0</v>
      </c>
      <c r="BT41" s="554">
        <v>0</v>
      </c>
      <c r="BU41" s="230" t="s">
        <v>597</v>
      </c>
      <c r="BV41" s="230" t="s">
        <v>601</v>
      </c>
      <c r="BW41" s="230" t="s">
        <v>601</v>
      </c>
      <c r="BX41" s="230" t="s">
        <v>601</v>
      </c>
      <c r="BY41" s="230" t="s">
        <v>601</v>
      </c>
      <c r="BZ41" s="230" t="s">
        <v>601</v>
      </c>
      <c r="CA41" s="230">
        <v>2</v>
      </c>
      <c r="CB41" s="230">
        <v>2</v>
      </c>
      <c r="CC41" s="230">
        <v>2</v>
      </c>
      <c r="CD41" s="230">
        <v>0</v>
      </c>
      <c r="CE41" s="230">
        <v>0</v>
      </c>
      <c r="CF41" s="230">
        <v>0</v>
      </c>
      <c r="CG41" s="230">
        <v>0</v>
      </c>
      <c r="CH41" s="230">
        <v>0</v>
      </c>
      <c r="CI41" s="230">
        <v>0</v>
      </c>
      <c r="CJ41" s="230">
        <v>0</v>
      </c>
      <c r="CK41" s="230">
        <v>0</v>
      </c>
      <c r="CL41" s="230">
        <v>0</v>
      </c>
      <c r="CM41" s="230">
        <v>0</v>
      </c>
      <c r="CN41" s="230">
        <v>0</v>
      </c>
      <c r="CO41" s="230">
        <v>0</v>
      </c>
      <c r="CP41" s="230">
        <v>0</v>
      </c>
      <c r="CQ41" s="230">
        <v>0</v>
      </c>
      <c r="CR41" s="230">
        <v>0</v>
      </c>
      <c r="CS41" s="230">
        <v>0</v>
      </c>
      <c r="CT41" s="230">
        <v>0</v>
      </c>
      <c r="CU41" s="230">
        <v>0</v>
      </c>
      <c r="CV41" s="230">
        <v>0</v>
      </c>
      <c r="CW41" s="230">
        <v>0</v>
      </c>
      <c r="CX41" s="230">
        <v>0</v>
      </c>
      <c r="CY41" s="230">
        <v>0</v>
      </c>
      <c r="CZ41" s="230">
        <v>0</v>
      </c>
      <c r="DA41" s="230">
        <v>0</v>
      </c>
      <c r="DB41" s="230">
        <v>0</v>
      </c>
      <c r="DC41" s="230">
        <v>0</v>
      </c>
      <c r="DD41" s="230">
        <v>0</v>
      </c>
      <c r="DE41" s="230">
        <v>0</v>
      </c>
      <c r="DF41" s="230">
        <v>0</v>
      </c>
      <c r="DG41" s="230">
        <v>0</v>
      </c>
      <c r="DH41" s="230">
        <v>0</v>
      </c>
      <c r="DI41" s="230">
        <v>0</v>
      </c>
      <c r="DJ41" s="230">
        <v>0</v>
      </c>
      <c r="DK41" s="230" t="s">
        <v>599</v>
      </c>
      <c r="DL41" s="230" t="s">
        <v>601</v>
      </c>
      <c r="DM41" s="230" t="s">
        <v>601</v>
      </c>
      <c r="DN41" s="230" t="s">
        <v>601</v>
      </c>
      <c r="DO41" s="230" t="s">
        <v>601</v>
      </c>
      <c r="DP41" s="230" t="s">
        <v>601</v>
      </c>
      <c r="DQ41" s="230" t="s">
        <v>1193</v>
      </c>
      <c r="DR41" s="230" t="s">
        <v>601</v>
      </c>
      <c r="DS41" s="230" t="s">
        <v>601</v>
      </c>
      <c r="DT41" s="230" t="s">
        <v>601</v>
      </c>
      <c r="DU41" s="230" t="s">
        <v>601</v>
      </c>
      <c r="DV41" s="230" t="s">
        <v>601</v>
      </c>
      <c r="DW41" s="230">
        <v>40</v>
      </c>
      <c r="DX41" s="230">
        <v>40</v>
      </c>
      <c r="DY41" s="230">
        <v>40</v>
      </c>
      <c r="DZ41" s="230">
        <v>0</v>
      </c>
      <c r="EA41" s="230">
        <v>0</v>
      </c>
      <c r="EB41" s="230">
        <v>0</v>
      </c>
      <c r="EC41" s="230">
        <v>40</v>
      </c>
      <c r="ED41" s="230">
        <v>0</v>
      </c>
      <c r="EE41" s="230">
        <v>0</v>
      </c>
      <c r="EF41" s="230">
        <v>0</v>
      </c>
      <c r="EG41" s="230">
        <v>0</v>
      </c>
      <c r="EH41" s="230">
        <v>0</v>
      </c>
      <c r="EI41" s="230">
        <v>0</v>
      </c>
      <c r="EJ41" s="230">
        <v>0</v>
      </c>
      <c r="EK41" s="230">
        <v>0</v>
      </c>
      <c r="EL41" s="230">
        <v>0</v>
      </c>
      <c r="EM41" s="230">
        <v>0</v>
      </c>
      <c r="EN41" s="230">
        <v>0</v>
      </c>
      <c r="EO41" s="230">
        <v>0</v>
      </c>
      <c r="EP41" s="230">
        <v>0</v>
      </c>
      <c r="EQ41" s="230">
        <v>0</v>
      </c>
      <c r="ER41" s="230">
        <v>0</v>
      </c>
      <c r="ES41" s="230">
        <v>0</v>
      </c>
      <c r="ET41" s="230">
        <v>0</v>
      </c>
      <c r="EU41" s="230">
        <v>0</v>
      </c>
      <c r="EV41" s="230">
        <v>0</v>
      </c>
      <c r="EW41" s="230">
        <v>0</v>
      </c>
      <c r="EX41" s="230">
        <v>0</v>
      </c>
      <c r="EY41" s="230">
        <v>0</v>
      </c>
      <c r="EZ41" s="230">
        <v>0</v>
      </c>
      <c r="FA41" s="230">
        <v>0</v>
      </c>
      <c r="FB41" s="230">
        <v>0</v>
      </c>
      <c r="FC41" s="230">
        <v>0</v>
      </c>
      <c r="FD41" s="230">
        <v>0</v>
      </c>
      <c r="FE41" s="230">
        <v>0</v>
      </c>
      <c r="FF41" s="230">
        <v>0</v>
      </c>
      <c r="FG41" s="230">
        <v>0</v>
      </c>
      <c r="FH41" s="230">
        <v>0</v>
      </c>
      <c r="FI41" s="230">
        <v>0</v>
      </c>
      <c r="FJ41" s="230">
        <v>0</v>
      </c>
      <c r="FK41" s="230">
        <v>0</v>
      </c>
      <c r="FL41" s="230">
        <v>0</v>
      </c>
      <c r="FM41" s="230">
        <v>40</v>
      </c>
      <c r="FN41" s="230">
        <v>2100</v>
      </c>
      <c r="FO41" s="230">
        <v>0</v>
      </c>
      <c r="FP41" s="230">
        <v>0</v>
      </c>
      <c r="FQ41" s="230" t="s">
        <v>601</v>
      </c>
      <c r="FR41" s="230" t="s">
        <v>601</v>
      </c>
      <c r="FS41" s="230" t="s">
        <v>601</v>
      </c>
      <c r="FT41" s="230" t="s">
        <v>593</v>
      </c>
      <c r="FU41" s="230">
        <v>0</v>
      </c>
      <c r="FV41" s="230">
        <v>0</v>
      </c>
      <c r="FW41" s="230" t="s">
        <v>601</v>
      </c>
      <c r="FX41" s="230" t="s">
        <v>601</v>
      </c>
      <c r="FY41" s="230" t="s">
        <v>601</v>
      </c>
      <c r="FZ41" s="230" t="s">
        <v>593</v>
      </c>
      <c r="GA41" s="230" t="s">
        <v>601</v>
      </c>
      <c r="GB41" s="230" t="s">
        <v>601</v>
      </c>
      <c r="GC41" s="230" t="s">
        <v>601</v>
      </c>
      <c r="GD41" s="230" t="s">
        <v>601</v>
      </c>
      <c r="GE41" s="230" t="s">
        <v>601</v>
      </c>
      <c r="GF41" s="230">
        <v>27</v>
      </c>
      <c r="GG41" s="230">
        <v>27</v>
      </c>
      <c r="GH41" s="230">
        <v>27</v>
      </c>
      <c r="GI41" s="230">
        <v>0</v>
      </c>
      <c r="GJ41" s="230">
        <v>0</v>
      </c>
      <c r="GK41" s="230">
        <v>0</v>
      </c>
      <c r="GL41" s="230">
        <v>0</v>
      </c>
      <c r="GM41" s="230">
        <v>0</v>
      </c>
      <c r="GN41" s="230">
        <v>0</v>
      </c>
      <c r="GO41" s="230">
        <v>0</v>
      </c>
      <c r="GP41" s="230">
        <v>0</v>
      </c>
      <c r="GQ41" s="230">
        <v>0</v>
      </c>
      <c r="GR41" s="230">
        <v>0</v>
      </c>
      <c r="GS41" s="230">
        <v>0</v>
      </c>
      <c r="GT41" s="230">
        <v>0</v>
      </c>
      <c r="GU41" s="230">
        <v>0</v>
      </c>
      <c r="GV41" s="230">
        <v>0</v>
      </c>
      <c r="GW41" s="230">
        <v>0</v>
      </c>
      <c r="GX41" s="230">
        <v>0</v>
      </c>
      <c r="GY41" s="230">
        <v>0</v>
      </c>
      <c r="GZ41" s="230">
        <v>0</v>
      </c>
      <c r="HA41" s="230">
        <v>0</v>
      </c>
      <c r="HB41" s="230">
        <v>0</v>
      </c>
      <c r="HC41" s="230">
        <v>0</v>
      </c>
      <c r="HD41" s="230">
        <v>0</v>
      </c>
      <c r="HE41" s="230">
        <v>0</v>
      </c>
      <c r="HF41" s="230">
        <v>0</v>
      </c>
      <c r="HG41" s="230">
        <v>0</v>
      </c>
      <c r="HH41" s="230">
        <v>0</v>
      </c>
      <c r="HI41" s="230">
        <v>0</v>
      </c>
      <c r="HJ41" s="230">
        <v>0</v>
      </c>
      <c r="HK41" s="230">
        <v>0</v>
      </c>
      <c r="HL41" s="230">
        <v>0</v>
      </c>
      <c r="HM41" s="230">
        <v>0</v>
      </c>
      <c r="HN41" s="230">
        <v>0</v>
      </c>
      <c r="HO41" s="230">
        <v>0</v>
      </c>
      <c r="HP41" s="230" t="s">
        <v>51</v>
      </c>
      <c r="HQ41" s="230">
        <v>27</v>
      </c>
      <c r="HR41" s="230">
        <v>0</v>
      </c>
      <c r="HS41" s="230">
        <v>0</v>
      </c>
      <c r="HT41" s="230">
        <v>0</v>
      </c>
      <c r="HU41" s="230">
        <v>0</v>
      </c>
      <c r="HV41" s="230">
        <v>0</v>
      </c>
      <c r="HW41" s="797">
        <v>27</v>
      </c>
      <c r="HX41" s="797">
        <v>0</v>
      </c>
      <c r="HY41" s="230">
        <v>68</v>
      </c>
      <c r="HZ41" s="230"/>
      <c r="IA41" s="230"/>
      <c r="IB41" s="230"/>
      <c r="IC41" s="232" t="s">
        <v>931</v>
      </c>
      <c r="ID41" s="233" t="s">
        <v>932</v>
      </c>
      <c r="IE41" s="467" t="s">
        <v>583</v>
      </c>
      <c r="IF41" s="232" t="s">
        <v>364</v>
      </c>
      <c r="IG41" s="467" t="s">
        <v>584</v>
      </c>
      <c r="IH41" s="467" t="s">
        <v>585</v>
      </c>
      <c r="II41" s="546" t="s">
        <v>584</v>
      </c>
      <c r="IJ41" s="467">
        <v>44462</v>
      </c>
      <c r="IK41" s="468">
        <v>3</v>
      </c>
      <c r="IL41" s="469" t="s">
        <v>1210</v>
      </c>
      <c r="IM41" s="469" t="s">
        <v>1195</v>
      </c>
      <c r="IN41" s="469" t="s">
        <v>1195</v>
      </c>
      <c r="IO41" s="469" t="s">
        <v>601</v>
      </c>
      <c r="IP41" s="469" t="s">
        <v>601</v>
      </c>
      <c r="IQ41" s="469" t="s">
        <v>601</v>
      </c>
      <c r="IR41" s="469">
        <v>1</v>
      </c>
      <c r="IS41" s="469">
        <v>2</v>
      </c>
      <c r="IT41" s="469" t="s">
        <v>675</v>
      </c>
      <c r="IU41" s="469" t="s">
        <v>675</v>
      </c>
    </row>
    <row r="42" ht="76.5">
      <c r="A42" s="322">
        <v>41</v>
      </c>
      <c r="B42" s="229" t="s">
        <v>1178</v>
      </c>
      <c r="C42" s="229" t="s">
        <v>1178</v>
      </c>
      <c r="D42" s="797" t="s">
        <v>941</v>
      </c>
      <c r="E42" s="229" t="s">
        <v>935</v>
      </c>
      <c r="F42" s="229" t="s">
        <v>26</v>
      </c>
      <c r="G42" s="797" t="s">
        <v>936</v>
      </c>
      <c r="H42" s="797" t="s">
        <v>937</v>
      </c>
      <c r="I42" s="229">
        <v>1</v>
      </c>
      <c r="J42" s="229" t="s">
        <v>938</v>
      </c>
      <c r="K42" s="231" t="s">
        <v>584</v>
      </c>
      <c r="L42" s="231" t="s">
        <v>1257</v>
      </c>
      <c r="M42" s="229" t="s">
        <v>576</v>
      </c>
      <c r="N42" s="229" t="s">
        <v>941</v>
      </c>
      <c r="O42" s="229" t="s">
        <v>587</v>
      </c>
      <c r="P42" s="229" t="s">
        <v>1208</v>
      </c>
      <c r="Q42" s="229" t="s">
        <v>597</v>
      </c>
      <c r="R42" s="229" t="s">
        <v>1193</v>
      </c>
      <c r="S42" s="229" t="s">
        <v>600</v>
      </c>
      <c r="T42" s="229" t="s">
        <v>593</v>
      </c>
      <c r="U42" s="229">
        <v>1</v>
      </c>
      <c r="V42" s="229"/>
      <c r="W42" s="229" t="b">
        <v>0</v>
      </c>
      <c r="X42" s="229" t="b">
        <v>0</v>
      </c>
      <c r="Y42" s="797">
        <v>0</v>
      </c>
      <c r="Z42" s="229" t="b">
        <v>1</v>
      </c>
      <c r="AA42" s="797">
        <v>27</v>
      </c>
      <c r="AB42" s="229" t="b">
        <v>0</v>
      </c>
      <c r="AC42" s="229" t="b">
        <v>1</v>
      </c>
      <c r="AD42" s="229">
        <v>0</v>
      </c>
      <c r="AE42" s="229"/>
      <c r="AF42" s="229" t="s">
        <v>50</v>
      </c>
      <c r="AG42" s="229">
        <v>0</v>
      </c>
      <c r="AH42" s="230"/>
      <c r="AI42" s="553" t="s">
        <v>576</v>
      </c>
      <c r="AJ42" s="553" t="s">
        <v>576</v>
      </c>
      <c r="AK42" s="229">
        <v>4</v>
      </c>
      <c r="AL42" s="465" t="s">
        <v>1188</v>
      </c>
      <c r="AM42" s="465" t="s">
        <v>1253</v>
      </c>
      <c r="AN42" s="465" t="s">
        <v>1260</v>
      </c>
      <c r="AO42" s="229" t="s">
        <v>25</v>
      </c>
      <c r="AP42" s="230" t="s">
        <v>576</v>
      </c>
      <c r="AQ42" s="230">
        <v>0</v>
      </c>
      <c r="AR42" s="230">
        <v>0</v>
      </c>
      <c r="AS42" s="230" t="s">
        <v>601</v>
      </c>
      <c r="AT42" s="230" t="s">
        <v>601</v>
      </c>
      <c r="AU42" s="230" t="s">
        <v>601</v>
      </c>
      <c r="AV42" s="230" t="s">
        <v>1178</v>
      </c>
      <c r="AW42" s="230" t="s">
        <v>601</v>
      </c>
      <c r="AX42" s="230" t="s">
        <v>601</v>
      </c>
      <c r="AY42" s="230" t="s">
        <v>601</v>
      </c>
      <c r="AZ42" s="230" t="s">
        <v>601</v>
      </c>
      <c r="BA42" s="230" t="s">
        <v>601</v>
      </c>
      <c r="BB42" s="230" t="s">
        <v>1178</v>
      </c>
      <c r="BC42" s="230" t="s">
        <v>941</v>
      </c>
      <c r="BD42" s="230">
        <v>0</v>
      </c>
      <c r="BE42" s="230">
        <v>0</v>
      </c>
      <c r="BF42" s="230" t="s">
        <v>601</v>
      </c>
      <c r="BG42" s="230" t="s">
        <v>601</v>
      </c>
      <c r="BH42" s="230" t="s">
        <v>601</v>
      </c>
      <c r="BI42" s="230" t="s">
        <v>587</v>
      </c>
      <c r="BJ42" s="230">
        <v>0</v>
      </c>
      <c r="BK42" s="230">
        <v>0</v>
      </c>
      <c r="BL42" s="230" t="s">
        <v>601</v>
      </c>
      <c r="BM42" s="230" t="s">
        <v>601</v>
      </c>
      <c r="BN42" s="230" t="s">
        <v>601</v>
      </c>
      <c r="BO42" s="553">
        <v>3</v>
      </c>
      <c r="BP42" s="553">
        <v>0</v>
      </c>
      <c r="BQ42" s="553">
        <v>0</v>
      </c>
      <c r="BR42" s="553">
        <v>0</v>
      </c>
      <c r="BS42" s="553">
        <v>0</v>
      </c>
      <c r="BT42" s="554">
        <v>0</v>
      </c>
      <c r="BU42" s="230" t="s">
        <v>597</v>
      </c>
      <c r="BV42" s="230" t="s">
        <v>601</v>
      </c>
      <c r="BW42" s="230" t="s">
        <v>601</v>
      </c>
      <c r="BX42" s="230" t="s">
        <v>601</v>
      </c>
      <c r="BY42" s="230" t="s">
        <v>601</v>
      </c>
      <c r="BZ42" s="230" t="s">
        <v>601</v>
      </c>
      <c r="CA42" s="230">
        <v>2</v>
      </c>
      <c r="CB42" s="230">
        <v>2</v>
      </c>
      <c r="CC42" s="230">
        <v>2</v>
      </c>
      <c r="CD42" s="230">
        <v>0</v>
      </c>
      <c r="CE42" s="230">
        <v>0</v>
      </c>
      <c r="CF42" s="230">
        <v>0</v>
      </c>
      <c r="CG42" s="230">
        <v>0</v>
      </c>
      <c r="CH42" s="230">
        <v>0</v>
      </c>
      <c r="CI42" s="230">
        <v>0</v>
      </c>
      <c r="CJ42" s="230">
        <v>0</v>
      </c>
      <c r="CK42" s="230">
        <v>0</v>
      </c>
      <c r="CL42" s="230">
        <v>0</v>
      </c>
      <c r="CM42" s="230">
        <v>0</v>
      </c>
      <c r="CN42" s="230">
        <v>0</v>
      </c>
      <c r="CO42" s="230">
        <v>0</v>
      </c>
      <c r="CP42" s="230">
        <v>0</v>
      </c>
      <c r="CQ42" s="230">
        <v>0</v>
      </c>
      <c r="CR42" s="230">
        <v>0</v>
      </c>
      <c r="CS42" s="230">
        <v>0</v>
      </c>
      <c r="CT42" s="230">
        <v>0</v>
      </c>
      <c r="CU42" s="230">
        <v>0</v>
      </c>
      <c r="CV42" s="230">
        <v>0</v>
      </c>
      <c r="CW42" s="230">
        <v>0</v>
      </c>
      <c r="CX42" s="230">
        <v>0</v>
      </c>
      <c r="CY42" s="230">
        <v>0</v>
      </c>
      <c r="CZ42" s="230">
        <v>0</v>
      </c>
      <c r="DA42" s="230">
        <v>0</v>
      </c>
      <c r="DB42" s="230">
        <v>0</v>
      </c>
      <c r="DC42" s="230">
        <v>0</v>
      </c>
      <c r="DD42" s="230">
        <v>0</v>
      </c>
      <c r="DE42" s="230">
        <v>0</v>
      </c>
      <c r="DF42" s="230">
        <v>0</v>
      </c>
      <c r="DG42" s="230">
        <v>0</v>
      </c>
      <c r="DH42" s="230">
        <v>0</v>
      </c>
      <c r="DI42" s="230">
        <v>0</v>
      </c>
      <c r="DJ42" s="230">
        <v>0</v>
      </c>
      <c r="DK42" s="230" t="s">
        <v>599</v>
      </c>
      <c r="DL42" s="230" t="s">
        <v>601</v>
      </c>
      <c r="DM42" s="230" t="s">
        <v>601</v>
      </c>
      <c r="DN42" s="230" t="s">
        <v>601</v>
      </c>
      <c r="DO42" s="230" t="s">
        <v>601</v>
      </c>
      <c r="DP42" s="230" t="s">
        <v>601</v>
      </c>
      <c r="DQ42" s="230" t="s">
        <v>1193</v>
      </c>
      <c r="DR42" s="230" t="s">
        <v>601</v>
      </c>
      <c r="DS42" s="230" t="s">
        <v>601</v>
      </c>
      <c r="DT42" s="230" t="s">
        <v>601</v>
      </c>
      <c r="DU42" s="230" t="s">
        <v>601</v>
      </c>
      <c r="DV42" s="230" t="s">
        <v>601</v>
      </c>
      <c r="DW42" s="230">
        <v>40</v>
      </c>
      <c r="DX42" s="230">
        <v>40</v>
      </c>
      <c r="DY42" s="230">
        <v>40</v>
      </c>
      <c r="DZ42" s="230">
        <v>0</v>
      </c>
      <c r="EA42" s="230">
        <v>0</v>
      </c>
      <c r="EB42" s="230">
        <v>0</v>
      </c>
      <c r="EC42" s="230">
        <v>40</v>
      </c>
      <c r="ED42" s="230">
        <v>0</v>
      </c>
      <c r="EE42" s="230">
        <v>0</v>
      </c>
      <c r="EF42" s="230">
        <v>0</v>
      </c>
      <c r="EG42" s="230">
        <v>0</v>
      </c>
      <c r="EH42" s="230">
        <v>0</v>
      </c>
      <c r="EI42" s="230">
        <v>0</v>
      </c>
      <c r="EJ42" s="230">
        <v>0</v>
      </c>
      <c r="EK42" s="230">
        <v>0</v>
      </c>
      <c r="EL42" s="230">
        <v>0</v>
      </c>
      <c r="EM42" s="230">
        <v>0</v>
      </c>
      <c r="EN42" s="230">
        <v>0</v>
      </c>
      <c r="EO42" s="230">
        <v>0</v>
      </c>
      <c r="EP42" s="230">
        <v>0</v>
      </c>
      <c r="EQ42" s="230">
        <v>0</v>
      </c>
      <c r="ER42" s="230">
        <v>0</v>
      </c>
      <c r="ES42" s="230">
        <v>0</v>
      </c>
      <c r="ET42" s="230">
        <v>0</v>
      </c>
      <c r="EU42" s="230">
        <v>0</v>
      </c>
      <c r="EV42" s="230">
        <v>0</v>
      </c>
      <c r="EW42" s="230">
        <v>0</v>
      </c>
      <c r="EX42" s="230">
        <v>0</v>
      </c>
      <c r="EY42" s="230">
        <v>0</v>
      </c>
      <c r="EZ42" s="230">
        <v>0</v>
      </c>
      <c r="FA42" s="230">
        <v>0</v>
      </c>
      <c r="FB42" s="230">
        <v>0</v>
      </c>
      <c r="FC42" s="230">
        <v>0</v>
      </c>
      <c r="FD42" s="230">
        <v>0</v>
      </c>
      <c r="FE42" s="230">
        <v>0</v>
      </c>
      <c r="FF42" s="230">
        <v>0</v>
      </c>
      <c r="FG42" s="230">
        <v>0</v>
      </c>
      <c r="FH42" s="230">
        <v>0</v>
      </c>
      <c r="FI42" s="230">
        <v>0</v>
      </c>
      <c r="FJ42" s="230">
        <v>0</v>
      </c>
      <c r="FK42" s="230">
        <v>0</v>
      </c>
      <c r="FL42" s="230">
        <v>0</v>
      </c>
      <c r="FM42" s="230">
        <v>40</v>
      </c>
      <c r="FN42" s="230">
        <v>2100</v>
      </c>
      <c r="FO42" s="230">
        <v>0</v>
      </c>
      <c r="FP42" s="230">
        <v>0</v>
      </c>
      <c r="FQ42" s="230" t="s">
        <v>601</v>
      </c>
      <c r="FR42" s="230" t="s">
        <v>601</v>
      </c>
      <c r="FS42" s="230" t="s">
        <v>601</v>
      </c>
      <c r="FT42" s="230" t="s">
        <v>593</v>
      </c>
      <c r="FU42" s="230">
        <v>0</v>
      </c>
      <c r="FV42" s="230">
        <v>0</v>
      </c>
      <c r="FW42" s="230" t="s">
        <v>601</v>
      </c>
      <c r="FX42" s="230" t="s">
        <v>601</v>
      </c>
      <c r="FY42" s="230" t="s">
        <v>601</v>
      </c>
      <c r="FZ42" s="230" t="s">
        <v>593</v>
      </c>
      <c r="GA42" s="230" t="s">
        <v>601</v>
      </c>
      <c r="GB42" s="230" t="s">
        <v>601</v>
      </c>
      <c r="GC42" s="230" t="s">
        <v>601</v>
      </c>
      <c r="GD42" s="230" t="s">
        <v>601</v>
      </c>
      <c r="GE42" s="230" t="s">
        <v>601</v>
      </c>
      <c r="GF42" s="230">
        <v>27</v>
      </c>
      <c r="GG42" s="230">
        <v>27</v>
      </c>
      <c r="GH42" s="230">
        <v>27</v>
      </c>
      <c r="GI42" s="230">
        <v>0</v>
      </c>
      <c r="GJ42" s="230">
        <v>0</v>
      </c>
      <c r="GK42" s="230">
        <v>0</v>
      </c>
      <c r="GL42" s="230">
        <v>0</v>
      </c>
      <c r="GM42" s="230">
        <v>0</v>
      </c>
      <c r="GN42" s="230">
        <v>0</v>
      </c>
      <c r="GO42" s="230">
        <v>0</v>
      </c>
      <c r="GP42" s="230">
        <v>0</v>
      </c>
      <c r="GQ42" s="230">
        <v>0</v>
      </c>
      <c r="GR42" s="230">
        <v>0</v>
      </c>
      <c r="GS42" s="230">
        <v>0</v>
      </c>
      <c r="GT42" s="230">
        <v>0</v>
      </c>
      <c r="GU42" s="230">
        <v>0</v>
      </c>
      <c r="GV42" s="230">
        <v>0</v>
      </c>
      <c r="GW42" s="230">
        <v>0</v>
      </c>
      <c r="GX42" s="230">
        <v>0</v>
      </c>
      <c r="GY42" s="230">
        <v>0</v>
      </c>
      <c r="GZ42" s="230">
        <v>0</v>
      </c>
      <c r="HA42" s="230">
        <v>0</v>
      </c>
      <c r="HB42" s="230">
        <v>0</v>
      </c>
      <c r="HC42" s="230">
        <v>0</v>
      </c>
      <c r="HD42" s="230">
        <v>0</v>
      </c>
      <c r="HE42" s="230">
        <v>0</v>
      </c>
      <c r="HF42" s="230">
        <v>0</v>
      </c>
      <c r="HG42" s="230">
        <v>0</v>
      </c>
      <c r="HH42" s="230">
        <v>0</v>
      </c>
      <c r="HI42" s="230">
        <v>0</v>
      </c>
      <c r="HJ42" s="230">
        <v>0</v>
      </c>
      <c r="HK42" s="230">
        <v>0</v>
      </c>
      <c r="HL42" s="230">
        <v>0</v>
      </c>
      <c r="HM42" s="230">
        <v>0</v>
      </c>
      <c r="HN42" s="230">
        <v>0</v>
      </c>
      <c r="HO42" s="230">
        <v>0</v>
      </c>
      <c r="HP42" s="230" t="s">
        <v>51</v>
      </c>
      <c r="HQ42" s="230">
        <v>27</v>
      </c>
      <c r="HR42" s="230">
        <v>0</v>
      </c>
      <c r="HS42" s="230">
        <v>0</v>
      </c>
      <c r="HT42" s="230">
        <v>0</v>
      </c>
      <c r="HU42" s="230">
        <v>0</v>
      </c>
      <c r="HV42" s="230">
        <v>0</v>
      </c>
      <c r="HW42" s="797">
        <v>27</v>
      </c>
      <c r="HX42" s="797">
        <v>0</v>
      </c>
      <c r="HY42" s="230">
        <v>68</v>
      </c>
      <c r="HZ42" s="230"/>
      <c r="IA42" s="230"/>
      <c r="IB42" s="230"/>
      <c r="IC42" s="232" t="s">
        <v>939</v>
      </c>
      <c r="ID42" s="233" t="s">
        <v>940</v>
      </c>
      <c r="IE42" s="467" t="s">
        <v>583</v>
      </c>
      <c r="IF42" s="232" t="s">
        <v>364</v>
      </c>
      <c r="IG42" s="467" t="s">
        <v>584</v>
      </c>
      <c r="IH42" s="467" t="s">
        <v>585</v>
      </c>
      <c r="II42" s="546" t="s">
        <v>584</v>
      </c>
      <c r="IJ42" s="467">
        <v>44462</v>
      </c>
      <c r="IK42" s="468">
        <v>3</v>
      </c>
      <c r="IL42" s="469" t="s">
        <v>1210</v>
      </c>
      <c r="IM42" s="469" t="s">
        <v>1195</v>
      </c>
      <c r="IN42" s="469" t="s">
        <v>1195</v>
      </c>
      <c r="IO42" s="469" t="s">
        <v>601</v>
      </c>
      <c r="IP42" s="469" t="s">
        <v>601</v>
      </c>
      <c r="IQ42" s="469" t="s">
        <v>601</v>
      </c>
      <c r="IR42" s="469">
        <v>1</v>
      </c>
      <c r="IS42" s="469">
        <v>2</v>
      </c>
      <c r="IT42" s="469" t="s">
        <v>675</v>
      </c>
      <c r="IU42" s="469" t="s">
        <v>675</v>
      </c>
    </row>
    <row r="43" ht="76.5">
      <c r="A43" s="322">
        <v>42</v>
      </c>
      <c r="B43" s="229" t="s">
        <v>1178</v>
      </c>
      <c r="C43" s="229" t="s">
        <v>1178</v>
      </c>
      <c r="D43" s="797" t="s">
        <v>949</v>
      </c>
      <c r="E43" s="229" t="s">
        <v>943</v>
      </c>
      <c r="F43" s="229" t="s">
        <v>26</v>
      </c>
      <c r="G43" s="797" t="s">
        <v>944</v>
      </c>
      <c r="H43" s="797" t="s">
        <v>945</v>
      </c>
      <c r="I43" s="229">
        <v>1</v>
      </c>
      <c r="J43" s="229" t="s">
        <v>946</v>
      </c>
      <c r="K43" s="231" t="s">
        <v>584</v>
      </c>
      <c r="L43" s="231" t="s">
        <v>1257</v>
      </c>
      <c r="M43" s="229" t="s">
        <v>576</v>
      </c>
      <c r="N43" s="229" t="s">
        <v>949</v>
      </c>
      <c r="O43" s="229" t="s">
        <v>587</v>
      </c>
      <c r="P43" s="229" t="s">
        <v>1208</v>
      </c>
      <c r="Q43" s="229" t="s">
        <v>597</v>
      </c>
      <c r="R43" s="229" t="s">
        <v>1193</v>
      </c>
      <c r="S43" s="229" t="s">
        <v>600</v>
      </c>
      <c r="T43" s="229" t="s">
        <v>658</v>
      </c>
      <c r="U43" s="229">
        <v>1</v>
      </c>
      <c r="V43" s="229"/>
      <c r="W43" s="229" t="b">
        <v>0</v>
      </c>
      <c r="X43" s="229" t="b">
        <v>0</v>
      </c>
      <c r="Y43" s="797">
        <v>0</v>
      </c>
      <c r="Z43" s="229" t="b">
        <v>1</v>
      </c>
      <c r="AA43" s="797">
        <v>20</v>
      </c>
      <c r="AB43" s="229" t="b">
        <v>0</v>
      </c>
      <c r="AC43" s="229" t="b">
        <v>1</v>
      </c>
      <c r="AD43" s="229">
        <v>0</v>
      </c>
      <c r="AE43" s="229"/>
      <c r="AF43" s="229" t="s">
        <v>50</v>
      </c>
      <c r="AG43" s="229">
        <v>0</v>
      </c>
      <c r="AH43" s="230"/>
      <c r="AI43" s="553" t="s">
        <v>576</v>
      </c>
      <c r="AJ43" s="553" t="s">
        <v>576</v>
      </c>
      <c r="AK43" s="229">
        <v>5</v>
      </c>
      <c r="AL43" s="465" t="s">
        <v>1188</v>
      </c>
      <c r="AM43" s="465" t="s">
        <v>1253</v>
      </c>
      <c r="AN43" s="465" t="s">
        <v>1258</v>
      </c>
      <c r="AO43" s="229" t="s">
        <v>25</v>
      </c>
      <c r="AP43" s="230" t="s">
        <v>576</v>
      </c>
      <c r="AQ43" s="230">
        <v>0</v>
      </c>
      <c r="AR43" s="230">
        <v>0</v>
      </c>
      <c r="AS43" s="230" t="s">
        <v>601</v>
      </c>
      <c r="AT43" s="230" t="s">
        <v>601</v>
      </c>
      <c r="AU43" s="230" t="s">
        <v>601</v>
      </c>
      <c r="AV43" s="230" t="s">
        <v>1178</v>
      </c>
      <c r="AW43" s="230" t="s">
        <v>601</v>
      </c>
      <c r="AX43" s="230" t="s">
        <v>601</v>
      </c>
      <c r="AY43" s="230" t="s">
        <v>601</v>
      </c>
      <c r="AZ43" s="230" t="s">
        <v>601</v>
      </c>
      <c r="BA43" s="230" t="s">
        <v>601</v>
      </c>
      <c r="BB43" s="230" t="s">
        <v>1178</v>
      </c>
      <c r="BC43" s="230" t="s">
        <v>949</v>
      </c>
      <c r="BD43" s="230">
        <v>0</v>
      </c>
      <c r="BE43" s="230">
        <v>0</v>
      </c>
      <c r="BF43" s="230" t="s">
        <v>601</v>
      </c>
      <c r="BG43" s="230" t="s">
        <v>601</v>
      </c>
      <c r="BH43" s="230" t="s">
        <v>601</v>
      </c>
      <c r="BI43" s="230" t="s">
        <v>587</v>
      </c>
      <c r="BJ43" s="230">
        <v>0</v>
      </c>
      <c r="BK43" s="230">
        <v>0</v>
      </c>
      <c r="BL43" s="230" t="s">
        <v>601</v>
      </c>
      <c r="BM43" s="230" t="s">
        <v>601</v>
      </c>
      <c r="BN43" s="230" t="s">
        <v>601</v>
      </c>
      <c r="BO43" s="553">
        <v>3</v>
      </c>
      <c r="BP43" s="553">
        <v>0</v>
      </c>
      <c r="BQ43" s="553">
        <v>0</v>
      </c>
      <c r="BR43" s="553">
        <v>0</v>
      </c>
      <c r="BS43" s="553">
        <v>0</v>
      </c>
      <c r="BT43" s="554">
        <v>0</v>
      </c>
      <c r="BU43" s="230" t="s">
        <v>597</v>
      </c>
      <c r="BV43" s="230" t="s">
        <v>601</v>
      </c>
      <c r="BW43" s="230" t="s">
        <v>601</v>
      </c>
      <c r="BX43" s="230" t="s">
        <v>601</v>
      </c>
      <c r="BY43" s="230" t="s">
        <v>601</v>
      </c>
      <c r="BZ43" s="230" t="s">
        <v>601</v>
      </c>
      <c r="CA43" s="230">
        <v>2</v>
      </c>
      <c r="CB43" s="230">
        <v>2</v>
      </c>
      <c r="CC43" s="230">
        <v>2</v>
      </c>
      <c r="CD43" s="230">
        <v>0</v>
      </c>
      <c r="CE43" s="230">
        <v>0</v>
      </c>
      <c r="CF43" s="230">
        <v>0</v>
      </c>
      <c r="CG43" s="230">
        <v>0</v>
      </c>
      <c r="CH43" s="230">
        <v>0</v>
      </c>
      <c r="CI43" s="230">
        <v>0</v>
      </c>
      <c r="CJ43" s="230">
        <v>0</v>
      </c>
      <c r="CK43" s="230">
        <v>0</v>
      </c>
      <c r="CL43" s="230">
        <v>0</v>
      </c>
      <c r="CM43" s="230">
        <v>0</v>
      </c>
      <c r="CN43" s="230">
        <v>0</v>
      </c>
      <c r="CO43" s="230">
        <v>0</v>
      </c>
      <c r="CP43" s="230">
        <v>0</v>
      </c>
      <c r="CQ43" s="230">
        <v>0</v>
      </c>
      <c r="CR43" s="230">
        <v>0</v>
      </c>
      <c r="CS43" s="230">
        <v>0</v>
      </c>
      <c r="CT43" s="230">
        <v>0</v>
      </c>
      <c r="CU43" s="230">
        <v>0</v>
      </c>
      <c r="CV43" s="230">
        <v>0</v>
      </c>
      <c r="CW43" s="230">
        <v>0</v>
      </c>
      <c r="CX43" s="230">
        <v>0</v>
      </c>
      <c r="CY43" s="230">
        <v>0</v>
      </c>
      <c r="CZ43" s="230">
        <v>0</v>
      </c>
      <c r="DA43" s="230">
        <v>0</v>
      </c>
      <c r="DB43" s="230">
        <v>0</v>
      </c>
      <c r="DC43" s="230">
        <v>0</v>
      </c>
      <c r="DD43" s="230">
        <v>0</v>
      </c>
      <c r="DE43" s="230">
        <v>0</v>
      </c>
      <c r="DF43" s="230">
        <v>0</v>
      </c>
      <c r="DG43" s="230">
        <v>0</v>
      </c>
      <c r="DH43" s="230">
        <v>0</v>
      </c>
      <c r="DI43" s="230">
        <v>0</v>
      </c>
      <c r="DJ43" s="230">
        <v>0</v>
      </c>
      <c r="DK43" s="230" t="s">
        <v>599</v>
      </c>
      <c r="DL43" s="230" t="s">
        <v>601</v>
      </c>
      <c r="DM43" s="230" t="s">
        <v>601</v>
      </c>
      <c r="DN43" s="230" t="s">
        <v>601</v>
      </c>
      <c r="DO43" s="230" t="s">
        <v>601</v>
      </c>
      <c r="DP43" s="230" t="s">
        <v>601</v>
      </c>
      <c r="DQ43" s="230" t="s">
        <v>1193</v>
      </c>
      <c r="DR43" s="230" t="s">
        <v>601</v>
      </c>
      <c r="DS43" s="230" t="s">
        <v>601</v>
      </c>
      <c r="DT43" s="230" t="s">
        <v>601</v>
      </c>
      <c r="DU43" s="230" t="s">
        <v>601</v>
      </c>
      <c r="DV43" s="230" t="s">
        <v>601</v>
      </c>
      <c r="DW43" s="230">
        <v>40</v>
      </c>
      <c r="DX43" s="230">
        <v>40</v>
      </c>
      <c r="DY43" s="230">
        <v>40</v>
      </c>
      <c r="DZ43" s="230">
        <v>0</v>
      </c>
      <c r="EA43" s="230">
        <v>0</v>
      </c>
      <c r="EB43" s="230">
        <v>0</v>
      </c>
      <c r="EC43" s="230">
        <v>40</v>
      </c>
      <c r="ED43" s="230">
        <v>0</v>
      </c>
      <c r="EE43" s="230">
        <v>0</v>
      </c>
      <c r="EF43" s="230">
        <v>0</v>
      </c>
      <c r="EG43" s="230">
        <v>0</v>
      </c>
      <c r="EH43" s="230">
        <v>0</v>
      </c>
      <c r="EI43" s="230">
        <v>0</v>
      </c>
      <c r="EJ43" s="230">
        <v>0</v>
      </c>
      <c r="EK43" s="230">
        <v>0</v>
      </c>
      <c r="EL43" s="230">
        <v>0</v>
      </c>
      <c r="EM43" s="230">
        <v>0</v>
      </c>
      <c r="EN43" s="230">
        <v>0</v>
      </c>
      <c r="EO43" s="230">
        <v>0</v>
      </c>
      <c r="EP43" s="230">
        <v>0</v>
      </c>
      <c r="EQ43" s="230">
        <v>0</v>
      </c>
      <c r="ER43" s="230">
        <v>0</v>
      </c>
      <c r="ES43" s="230">
        <v>0</v>
      </c>
      <c r="ET43" s="230">
        <v>0</v>
      </c>
      <c r="EU43" s="230">
        <v>0</v>
      </c>
      <c r="EV43" s="230">
        <v>0</v>
      </c>
      <c r="EW43" s="230">
        <v>0</v>
      </c>
      <c r="EX43" s="230">
        <v>0</v>
      </c>
      <c r="EY43" s="230">
        <v>0</v>
      </c>
      <c r="EZ43" s="230">
        <v>0</v>
      </c>
      <c r="FA43" s="230">
        <v>0</v>
      </c>
      <c r="FB43" s="230">
        <v>0</v>
      </c>
      <c r="FC43" s="230">
        <v>0</v>
      </c>
      <c r="FD43" s="230">
        <v>0</v>
      </c>
      <c r="FE43" s="230">
        <v>0</v>
      </c>
      <c r="FF43" s="230">
        <v>0</v>
      </c>
      <c r="FG43" s="230">
        <v>0</v>
      </c>
      <c r="FH43" s="230">
        <v>0</v>
      </c>
      <c r="FI43" s="230">
        <v>0</v>
      </c>
      <c r="FJ43" s="230">
        <v>0</v>
      </c>
      <c r="FK43" s="230">
        <v>0</v>
      </c>
      <c r="FL43" s="230">
        <v>0</v>
      </c>
      <c r="FM43" s="230">
        <v>40</v>
      </c>
      <c r="FN43" s="230">
        <v>2100</v>
      </c>
      <c r="FO43" s="230">
        <v>0</v>
      </c>
      <c r="FP43" s="230">
        <v>0</v>
      </c>
      <c r="FQ43" s="230" t="s">
        <v>601</v>
      </c>
      <c r="FR43" s="230" t="s">
        <v>601</v>
      </c>
      <c r="FS43" s="230" t="s">
        <v>601</v>
      </c>
      <c r="FT43" s="230" t="s">
        <v>658</v>
      </c>
      <c r="FU43" s="230">
        <v>0</v>
      </c>
      <c r="FV43" s="230">
        <v>0</v>
      </c>
      <c r="FW43" s="230" t="s">
        <v>601</v>
      </c>
      <c r="FX43" s="230" t="s">
        <v>601</v>
      </c>
      <c r="FY43" s="230" t="s">
        <v>601</v>
      </c>
      <c r="FZ43" s="230" t="s">
        <v>658</v>
      </c>
      <c r="GA43" s="230" t="s">
        <v>601</v>
      </c>
      <c r="GB43" s="230" t="s">
        <v>601</v>
      </c>
      <c r="GC43" s="230" t="s">
        <v>601</v>
      </c>
      <c r="GD43" s="230" t="s">
        <v>601</v>
      </c>
      <c r="GE43" s="230" t="s">
        <v>601</v>
      </c>
      <c r="GF43" s="230">
        <v>20</v>
      </c>
      <c r="GG43" s="230">
        <v>20</v>
      </c>
      <c r="GH43" s="230">
        <v>20</v>
      </c>
      <c r="GI43" s="230">
        <v>0</v>
      </c>
      <c r="GJ43" s="230">
        <v>0</v>
      </c>
      <c r="GK43" s="230">
        <v>0</v>
      </c>
      <c r="GL43" s="230">
        <v>0</v>
      </c>
      <c r="GM43" s="230">
        <v>0</v>
      </c>
      <c r="GN43" s="230">
        <v>0</v>
      </c>
      <c r="GO43" s="230">
        <v>0</v>
      </c>
      <c r="GP43" s="230">
        <v>0</v>
      </c>
      <c r="GQ43" s="230">
        <v>0</v>
      </c>
      <c r="GR43" s="230">
        <v>0</v>
      </c>
      <c r="GS43" s="230">
        <v>0</v>
      </c>
      <c r="GT43" s="230">
        <v>0</v>
      </c>
      <c r="GU43" s="230">
        <v>0</v>
      </c>
      <c r="GV43" s="230">
        <v>0</v>
      </c>
      <c r="GW43" s="230">
        <v>0</v>
      </c>
      <c r="GX43" s="230">
        <v>0</v>
      </c>
      <c r="GY43" s="230">
        <v>0</v>
      </c>
      <c r="GZ43" s="230">
        <v>0</v>
      </c>
      <c r="HA43" s="230">
        <v>0</v>
      </c>
      <c r="HB43" s="230">
        <v>0</v>
      </c>
      <c r="HC43" s="230">
        <v>0</v>
      </c>
      <c r="HD43" s="230">
        <v>0</v>
      </c>
      <c r="HE43" s="230">
        <v>0</v>
      </c>
      <c r="HF43" s="230">
        <v>0</v>
      </c>
      <c r="HG43" s="230">
        <v>0</v>
      </c>
      <c r="HH43" s="230">
        <v>0</v>
      </c>
      <c r="HI43" s="230">
        <v>0</v>
      </c>
      <c r="HJ43" s="230">
        <v>0</v>
      </c>
      <c r="HK43" s="230">
        <v>0</v>
      </c>
      <c r="HL43" s="230">
        <v>0</v>
      </c>
      <c r="HM43" s="230">
        <v>0</v>
      </c>
      <c r="HN43" s="230">
        <v>0</v>
      </c>
      <c r="HO43" s="230">
        <v>0</v>
      </c>
      <c r="HP43" s="230" t="s">
        <v>51</v>
      </c>
      <c r="HQ43" s="230">
        <v>20</v>
      </c>
      <c r="HR43" s="230">
        <v>0</v>
      </c>
      <c r="HS43" s="230">
        <v>0</v>
      </c>
      <c r="HT43" s="230">
        <v>0</v>
      </c>
      <c r="HU43" s="230">
        <v>0</v>
      </c>
      <c r="HV43" s="230">
        <v>0</v>
      </c>
      <c r="HW43" s="797">
        <v>20</v>
      </c>
      <c r="HX43" s="797">
        <v>0</v>
      </c>
      <c r="HY43" s="230">
        <v>68</v>
      </c>
      <c r="HZ43" s="230"/>
      <c r="IA43" s="230"/>
      <c r="IB43" s="230"/>
      <c r="IC43" s="232" t="s">
        <v>947</v>
      </c>
      <c r="ID43" s="233" t="s">
        <v>948</v>
      </c>
      <c r="IE43" s="467" t="s">
        <v>583</v>
      </c>
      <c r="IF43" s="232" t="s">
        <v>364</v>
      </c>
      <c r="IG43" s="467" t="s">
        <v>584</v>
      </c>
      <c r="IH43" s="467" t="s">
        <v>585</v>
      </c>
      <c r="II43" s="546" t="s">
        <v>584</v>
      </c>
      <c r="IJ43" s="467">
        <v>44462</v>
      </c>
      <c r="IK43" s="468">
        <v>3</v>
      </c>
      <c r="IL43" s="469" t="s">
        <v>1210</v>
      </c>
      <c r="IM43" s="469" t="s">
        <v>1195</v>
      </c>
      <c r="IN43" s="469" t="s">
        <v>1195</v>
      </c>
      <c r="IO43" s="469" t="s">
        <v>601</v>
      </c>
      <c r="IP43" s="469" t="s">
        <v>601</v>
      </c>
      <c r="IQ43" s="469" t="s">
        <v>601</v>
      </c>
      <c r="IR43" s="469">
        <v>1</v>
      </c>
      <c r="IS43" s="469">
        <v>2</v>
      </c>
      <c r="IT43" s="469" t="s">
        <v>675</v>
      </c>
      <c r="IU43" s="469" t="s">
        <v>675</v>
      </c>
    </row>
    <row r="44" ht="76.5">
      <c r="A44" s="322">
        <v>43</v>
      </c>
      <c r="B44" s="229" t="s">
        <v>1178</v>
      </c>
      <c r="C44" s="229" t="s">
        <v>1178</v>
      </c>
      <c r="D44" s="797" t="s">
        <v>957</v>
      </c>
      <c r="E44" s="229" t="s">
        <v>951</v>
      </c>
      <c r="F44" s="229" t="s">
        <v>26</v>
      </c>
      <c r="G44" s="797" t="s">
        <v>952</v>
      </c>
      <c r="H44" s="797" t="s">
        <v>953</v>
      </c>
      <c r="I44" s="229">
        <v>2</v>
      </c>
      <c r="J44" s="229" t="s">
        <v>954</v>
      </c>
      <c r="K44" s="231" t="s">
        <v>584</v>
      </c>
      <c r="L44" s="231" t="s">
        <v>1261</v>
      </c>
      <c r="M44" s="229" t="s">
        <v>1197</v>
      </c>
      <c r="N44" s="229" t="s">
        <v>1262</v>
      </c>
      <c r="O44" s="229" t="s">
        <v>1199</v>
      </c>
      <c r="P44" s="229" t="s">
        <v>1200</v>
      </c>
      <c r="Q44" s="229" t="s">
        <v>1213</v>
      </c>
      <c r="R44" s="229" t="s">
        <v>1214</v>
      </c>
      <c r="S44" s="229" t="s">
        <v>1215</v>
      </c>
      <c r="T44" s="229" t="s">
        <v>1263</v>
      </c>
      <c r="U44" s="229">
        <v>1</v>
      </c>
      <c r="V44" s="229"/>
      <c r="W44" s="229" t="b">
        <v>0</v>
      </c>
      <c r="X44" s="229" t="b">
        <v>0</v>
      </c>
      <c r="Y44" s="797">
        <v>0</v>
      </c>
      <c r="Z44" s="229" t="b">
        <v>1</v>
      </c>
      <c r="AA44" s="797">
        <v>18</v>
      </c>
      <c r="AB44" s="229" t="b">
        <v>0</v>
      </c>
      <c r="AC44" s="229" t="b">
        <v>1</v>
      </c>
      <c r="AD44" s="229">
        <v>0</v>
      </c>
      <c r="AE44" s="229"/>
      <c r="AF44" s="229" t="s">
        <v>50</v>
      </c>
      <c r="AG44" s="229">
        <v>0</v>
      </c>
      <c r="AH44" s="230"/>
      <c r="AI44" s="553" t="s">
        <v>576</v>
      </c>
      <c r="AJ44" s="553" t="s">
        <v>576</v>
      </c>
      <c r="AK44" s="229">
        <v>5</v>
      </c>
      <c r="AL44" s="465" t="s">
        <v>1188</v>
      </c>
      <c r="AM44" s="465" t="s">
        <v>1253</v>
      </c>
      <c r="AN44" s="465" t="s">
        <v>1260</v>
      </c>
      <c r="AO44" s="229" t="s">
        <v>25</v>
      </c>
      <c r="AP44" s="230" t="s">
        <v>576</v>
      </c>
      <c r="AQ44" s="230" t="s">
        <v>576</v>
      </c>
      <c r="AR44" s="230">
        <v>0</v>
      </c>
      <c r="AS44" s="230" t="s">
        <v>601</v>
      </c>
      <c r="AT44" s="230" t="s">
        <v>601</v>
      </c>
      <c r="AU44" s="230" t="s">
        <v>601</v>
      </c>
      <c r="AV44" s="230" t="s">
        <v>1178</v>
      </c>
      <c r="AW44" s="230" t="s">
        <v>1178</v>
      </c>
      <c r="AX44" s="230" t="s">
        <v>601</v>
      </c>
      <c r="AY44" s="230" t="s">
        <v>601</v>
      </c>
      <c r="AZ44" s="230" t="s">
        <v>601</v>
      </c>
      <c r="BA44" s="230" t="s">
        <v>601</v>
      </c>
      <c r="BB44" s="230" t="s">
        <v>1206</v>
      </c>
      <c r="BC44" s="230" t="s">
        <v>957</v>
      </c>
      <c r="BD44" s="230" t="s">
        <v>957</v>
      </c>
      <c r="BE44" s="230">
        <v>0</v>
      </c>
      <c r="BF44" s="230" t="s">
        <v>601</v>
      </c>
      <c r="BG44" s="230" t="s">
        <v>601</v>
      </c>
      <c r="BH44" s="230" t="s">
        <v>601</v>
      </c>
      <c r="BI44" s="230" t="s">
        <v>587</v>
      </c>
      <c r="BJ44" s="230" t="s">
        <v>587</v>
      </c>
      <c r="BK44" s="230">
        <v>0</v>
      </c>
      <c r="BL44" s="230" t="s">
        <v>601</v>
      </c>
      <c r="BM44" s="230" t="s">
        <v>601</v>
      </c>
      <c r="BN44" s="230" t="s">
        <v>601</v>
      </c>
      <c r="BO44" s="553">
        <v>3</v>
      </c>
      <c r="BP44" s="553">
        <v>3</v>
      </c>
      <c r="BQ44" s="553">
        <v>0</v>
      </c>
      <c r="BR44" s="553">
        <v>0</v>
      </c>
      <c r="BS44" s="553">
        <v>0</v>
      </c>
      <c r="BT44" s="554">
        <v>0</v>
      </c>
      <c r="BU44" s="230" t="s">
        <v>597</v>
      </c>
      <c r="BV44" s="230" t="s">
        <v>597</v>
      </c>
      <c r="BW44" s="230" t="s">
        <v>601</v>
      </c>
      <c r="BX44" s="230" t="s">
        <v>601</v>
      </c>
      <c r="BY44" s="230" t="s">
        <v>601</v>
      </c>
      <c r="BZ44" s="230" t="s">
        <v>601</v>
      </c>
      <c r="CA44" s="230">
        <v>2</v>
      </c>
      <c r="CB44" s="230">
        <v>2</v>
      </c>
      <c r="CC44" s="230">
        <v>2</v>
      </c>
      <c r="CD44" s="230">
        <v>0</v>
      </c>
      <c r="CE44" s="230">
        <v>0</v>
      </c>
      <c r="CF44" s="230">
        <v>0</v>
      </c>
      <c r="CG44" s="230">
        <v>2</v>
      </c>
      <c r="CH44" s="230">
        <v>2</v>
      </c>
      <c r="CI44" s="230">
        <v>2</v>
      </c>
      <c r="CJ44" s="230">
        <v>0</v>
      </c>
      <c r="CK44" s="230">
        <v>0</v>
      </c>
      <c r="CL44" s="230">
        <v>0</v>
      </c>
      <c r="CM44" s="230">
        <v>0</v>
      </c>
      <c r="CN44" s="230">
        <v>0</v>
      </c>
      <c r="CO44" s="230">
        <v>0</v>
      </c>
      <c r="CP44" s="230">
        <v>0</v>
      </c>
      <c r="CQ44" s="230">
        <v>0</v>
      </c>
      <c r="CR44" s="230">
        <v>0</v>
      </c>
      <c r="CS44" s="230">
        <v>0</v>
      </c>
      <c r="CT44" s="230">
        <v>0</v>
      </c>
      <c r="CU44" s="230">
        <v>0</v>
      </c>
      <c r="CV44" s="230">
        <v>0</v>
      </c>
      <c r="CW44" s="230">
        <v>0</v>
      </c>
      <c r="CX44" s="230">
        <v>0</v>
      </c>
      <c r="CY44" s="230">
        <v>0</v>
      </c>
      <c r="CZ44" s="230">
        <v>0</v>
      </c>
      <c r="DA44" s="230">
        <v>0</v>
      </c>
      <c r="DB44" s="230">
        <v>0</v>
      </c>
      <c r="DC44" s="230">
        <v>0</v>
      </c>
      <c r="DD44" s="230">
        <v>0</v>
      </c>
      <c r="DE44" s="230">
        <v>0</v>
      </c>
      <c r="DF44" s="230">
        <v>0</v>
      </c>
      <c r="DG44" s="230">
        <v>0</v>
      </c>
      <c r="DH44" s="230">
        <v>0</v>
      </c>
      <c r="DI44" s="230">
        <v>0</v>
      </c>
      <c r="DJ44" s="230">
        <v>0</v>
      </c>
      <c r="DK44" s="230" t="s">
        <v>599</v>
      </c>
      <c r="DL44" s="230" t="s">
        <v>599</v>
      </c>
      <c r="DM44" s="230" t="s">
        <v>601</v>
      </c>
      <c r="DN44" s="230" t="s">
        <v>601</v>
      </c>
      <c r="DO44" s="230" t="s">
        <v>601</v>
      </c>
      <c r="DP44" s="230" t="s">
        <v>601</v>
      </c>
      <c r="DQ44" s="230" t="s">
        <v>1193</v>
      </c>
      <c r="DR44" s="230" t="s">
        <v>1193</v>
      </c>
      <c r="DS44" s="230" t="s">
        <v>601</v>
      </c>
      <c r="DT44" s="230" t="s">
        <v>601</v>
      </c>
      <c r="DU44" s="230" t="s">
        <v>601</v>
      </c>
      <c r="DV44" s="230" t="s">
        <v>601</v>
      </c>
      <c r="DW44" s="230">
        <v>40</v>
      </c>
      <c r="DX44" s="230">
        <v>40</v>
      </c>
      <c r="DY44" s="230">
        <v>40</v>
      </c>
      <c r="DZ44" s="230">
        <v>0</v>
      </c>
      <c r="EA44" s="230">
        <v>0</v>
      </c>
      <c r="EB44" s="230">
        <v>0</v>
      </c>
      <c r="EC44" s="230">
        <v>40</v>
      </c>
      <c r="ED44" s="230">
        <v>40</v>
      </c>
      <c r="EE44" s="230">
        <v>40</v>
      </c>
      <c r="EF44" s="230">
        <v>40</v>
      </c>
      <c r="EG44" s="230">
        <v>0</v>
      </c>
      <c r="EH44" s="230">
        <v>0</v>
      </c>
      <c r="EI44" s="230">
        <v>0</v>
      </c>
      <c r="EJ44" s="230">
        <v>40</v>
      </c>
      <c r="EK44" s="230">
        <v>0</v>
      </c>
      <c r="EL44" s="230">
        <v>0</v>
      </c>
      <c r="EM44" s="230">
        <v>0</v>
      </c>
      <c r="EN44" s="230">
        <v>0</v>
      </c>
      <c r="EO44" s="230">
        <v>0</v>
      </c>
      <c r="EP44" s="230">
        <v>0</v>
      </c>
      <c r="EQ44" s="230">
        <v>0</v>
      </c>
      <c r="ER44" s="230">
        <v>0</v>
      </c>
      <c r="ES44" s="230">
        <v>0</v>
      </c>
      <c r="ET44" s="230">
        <v>0</v>
      </c>
      <c r="EU44" s="230">
        <v>0</v>
      </c>
      <c r="EV44" s="230">
        <v>0</v>
      </c>
      <c r="EW44" s="230">
        <v>0</v>
      </c>
      <c r="EX44" s="230">
        <v>0</v>
      </c>
      <c r="EY44" s="230">
        <v>0</v>
      </c>
      <c r="EZ44" s="230">
        <v>0</v>
      </c>
      <c r="FA44" s="230">
        <v>0</v>
      </c>
      <c r="FB44" s="230">
        <v>0</v>
      </c>
      <c r="FC44" s="230">
        <v>0</v>
      </c>
      <c r="FD44" s="230">
        <v>0</v>
      </c>
      <c r="FE44" s="230">
        <v>0</v>
      </c>
      <c r="FF44" s="230">
        <v>0</v>
      </c>
      <c r="FG44" s="230">
        <v>0</v>
      </c>
      <c r="FH44" s="230">
        <v>0</v>
      </c>
      <c r="FI44" s="230">
        <v>0</v>
      </c>
      <c r="FJ44" s="230">
        <v>0</v>
      </c>
      <c r="FK44" s="230">
        <v>0</v>
      </c>
      <c r="FL44" s="230">
        <v>0</v>
      </c>
      <c r="FM44" s="230">
        <v>40</v>
      </c>
      <c r="FN44" s="230" t="s">
        <v>592</v>
      </c>
      <c r="FO44" s="230" t="s">
        <v>600</v>
      </c>
      <c r="FP44" s="230">
        <v>0</v>
      </c>
      <c r="FQ44" s="230" t="s">
        <v>601</v>
      </c>
      <c r="FR44" s="230" t="s">
        <v>601</v>
      </c>
      <c r="FS44" s="230" t="s">
        <v>601</v>
      </c>
      <c r="FT44" s="230" t="s">
        <v>958</v>
      </c>
      <c r="FU44" s="230" t="s">
        <v>959</v>
      </c>
      <c r="FV44" s="230">
        <v>0</v>
      </c>
      <c r="FW44" s="230" t="s">
        <v>601</v>
      </c>
      <c r="FX44" s="230" t="s">
        <v>601</v>
      </c>
      <c r="FY44" s="230" t="s">
        <v>601</v>
      </c>
      <c r="FZ44" s="230" t="s">
        <v>958</v>
      </c>
      <c r="GA44" s="230" t="s">
        <v>959</v>
      </c>
      <c r="GB44" s="230" t="s">
        <v>601</v>
      </c>
      <c r="GC44" s="230" t="s">
        <v>601</v>
      </c>
      <c r="GD44" s="230" t="s">
        <v>601</v>
      </c>
      <c r="GE44" s="230" t="s">
        <v>601</v>
      </c>
      <c r="GF44" s="230">
        <v>18</v>
      </c>
      <c r="GG44" s="230">
        <v>18</v>
      </c>
      <c r="GH44" s="230">
        <v>18</v>
      </c>
      <c r="GI44" s="230">
        <v>0</v>
      </c>
      <c r="GJ44" s="230">
        <v>0</v>
      </c>
      <c r="GK44" s="230">
        <v>0</v>
      </c>
      <c r="GL44" s="230">
        <v>19</v>
      </c>
      <c r="GM44" s="230">
        <v>19</v>
      </c>
      <c r="GN44" s="230">
        <v>19</v>
      </c>
      <c r="GO44" s="230">
        <v>0</v>
      </c>
      <c r="GP44" s="230">
        <v>0</v>
      </c>
      <c r="GQ44" s="230">
        <v>0</v>
      </c>
      <c r="GR44" s="230">
        <v>0</v>
      </c>
      <c r="GS44" s="230">
        <v>0</v>
      </c>
      <c r="GT44" s="230">
        <v>0</v>
      </c>
      <c r="GU44" s="230">
        <v>0</v>
      </c>
      <c r="GV44" s="230">
        <v>0</v>
      </c>
      <c r="GW44" s="230">
        <v>0</v>
      </c>
      <c r="GX44" s="230">
        <v>0</v>
      </c>
      <c r="GY44" s="230">
        <v>0</v>
      </c>
      <c r="GZ44" s="230">
        <v>0</v>
      </c>
      <c r="HA44" s="230">
        <v>0</v>
      </c>
      <c r="HB44" s="230">
        <v>0</v>
      </c>
      <c r="HC44" s="230">
        <v>0</v>
      </c>
      <c r="HD44" s="230">
        <v>0</v>
      </c>
      <c r="HE44" s="230">
        <v>0</v>
      </c>
      <c r="HF44" s="230">
        <v>0</v>
      </c>
      <c r="HG44" s="230">
        <v>0</v>
      </c>
      <c r="HH44" s="230">
        <v>0</v>
      </c>
      <c r="HI44" s="230">
        <v>0</v>
      </c>
      <c r="HJ44" s="230">
        <v>0</v>
      </c>
      <c r="HK44" s="230">
        <v>0</v>
      </c>
      <c r="HL44" s="230">
        <v>0</v>
      </c>
      <c r="HM44" s="230">
        <v>0</v>
      </c>
      <c r="HN44" s="230">
        <v>0</v>
      </c>
      <c r="HO44" s="230">
        <v>0</v>
      </c>
      <c r="HP44" s="230" t="s">
        <v>51</v>
      </c>
      <c r="HQ44" s="230">
        <v>18</v>
      </c>
      <c r="HR44" s="230">
        <v>19</v>
      </c>
      <c r="HS44" s="230">
        <v>0</v>
      </c>
      <c r="HT44" s="230">
        <v>0</v>
      </c>
      <c r="HU44" s="230">
        <v>0</v>
      </c>
      <c r="HV44" s="230">
        <v>0</v>
      </c>
      <c r="HW44" s="797">
        <v>18</v>
      </c>
      <c r="HX44" s="797">
        <v>0</v>
      </c>
      <c r="HY44" s="230">
        <v>68</v>
      </c>
      <c r="HZ44" s="230"/>
      <c r="IA44" s="230"/>
      <c r="IB44" s="230"/>
      <c r="IC44" s="232" t="s">
        <v>955</v>
      </c>
      <c r="ID44" s="233" t="s">
        <v>956</v>
      </c>
      <c r="IE44" s="467" t="s">
        <v>583</v>
      </c>
      <c r="IF44" s="232" t="s">
        <v>364</v>
      </c>
      <c r="IG44" s="467" t="s">
        <v>584</v>
      </c>
      <c r="IH44" s="467" t="s">
        <v>585</v>
      </c>
      <c r="II44" s="546" t="s">
        <v>584</v>
      </c>
      <c r="IJ44" s="467">
        <v>44462</v>
      </c>
      <c r="IK44" s="468">
        <v>3</v>
      </c>
      <c r="IL44" s="469" t="s">
        <v>1207</v>
      </c>
      <c r="IM44" s="469" t="s">
        <v>603</v>
      </c>
      <c r="IN44" s="469" t="s">
        <v>1195</v>
      </c>
      <c r="IO44" s="469" t="s">
        <v>601</v>
      </c>
      <c r="IP44" s="469" t="s">
        <v>601</v>
      </c>
      <c r="IQ44" s="469" t="s">
        <v>601</v>
      </c>
      <c r="IR44" s="469">
        <v>2</v>
      </c>
      <c r="IS44" s="469">
        <v>1</v>
      </c>
      <c r="IT44" s="469" t="s">
        <v>675</v>
      </c>
      <c r="IU44" s="469" t="s">
        <v>675</v>
      </c>
    </row>
    <row r="45" ht="76.5">
      <c r="A45" s="322">
        <v>44</v>
      </c>
      <c r="B45" s="229" t="s">
        <v>1178</v>
      </c>
      <c r="C45" s="229" t="s">
        <v>1178</v>
      </c>
      <c r="D45" s="797" t="s">
        <v>967</v>
      </c>
      <c r="E45" s="229" t="s">
        <v>961</v>
      </c>
      <c r="F45" s="229" t="s">
        <v>26</v>
      </c>
      <c r="G45" s="797" t="s">
        <v>962</v>
      </c>
      <c r="H45" s="797" t="s">
        <v>963</v>
      </c>
      <c r="I45" s="229">
        <v>1</v>
      </c>
      <c r="J45" s="229" t="s">
        <v>964</v>
      </c>
      <c r="K45" s="231" t="s">
        <v>584</v>
      </c>
      <c r="L45" s="231" t="s">
        <v>1261</v>
      </c>
      <c r="M45" s="229" t="s">
        <v>576</v>
      </c>
      <c r="N45" s="229" t="s">
        <v>967</v>
      </c>
      <c r="O45" s="229" t="s">
        <v>587</v>
      </c>
      <c r="P45" s="229" t="s">
        <v>596</v>
      </c>
      <c r="Q45" s="229" t="s">
        <v>968</v>
      </c>
      <c r="R45" s="229" t="s">
        <v>1264</v>
      </c>
      <c r="S45" s="229" t="s">
        <v>600</v>
      </c>
      <c r="T45" s="229" t="s">
        <v>970</v>
      </c>
      <c r="U45" s="229">
        <v>1</v>
      </c>
      <c r="V45" s="229"/>
      <c r="W45" s="229" t="b">
        <v>0</v>
      </c>
      <c r="X45" s="229" t="b">
        <v>0</v>
      </c>
      <c r="Y45" s="797">
        <v>0</v>
      </c>
      <c r="Z45" s="229" t="b">
        <v>1</v>
      </c>
      <c r="AA45" s="797">
        <v>25</v>
      </c>
      <c r="AB45" s="229" t="b">
        <v>0</v>
      </c>
      <c r="AC45" s="229" t="b">
        <v>1</v>
      </c>
      <c r="AD45" s="229">
        <v>0</v>
      </c>
      <c r="AE45" s="229"/>
      <c r="AF45" s="229" t="s">
        <v>50</v>
      </c>
      <c r="AG45" s="229">
        <v>0</v>
      </c>
      <c r="AH45" s="230"/>
      <c r="AI45" s="553" t="s">
        <v>576</v>
      </c>
      <c r="AJ45" s="553" t="s">
        <v>576</v>
      </c>
      <c r="AK45" s="229">
        <v>4</v>
      </c>
      <c r="AL45" s="465" t="s">
        <v>1188</v>
      </c>
      <c r="AM45" s="465" t="s">
        <v>1265</v>
      </c>
      <c r="AN45" s="465" t="s">
        <v>1266</v>
      </c>
      <c r="AO45" s="229" t="s">
        <v>25</v>
      </c>
      <c r="AP45" s="230" t="s">
        <v>576</v>
      </c>
      <c r="AQ45" s="230">
        <v>0</v>
      </c>
      <c r="AR45" s="230">
        <v>0</v>
      </c>
      <c r="AS45" s="230" t="s">
        <v>601</v>
      </c>
      <c r="AT45" s="230" t="s">
        <v>601</v>
      </c>
      <c r="AU45" s="230" t="s">
        <v>601</v>
      </c>
      <c r="AV45" s="230" t="s">
        <v>1178</v>
      </c>
      <c r="AW45" s="230" t="s">
        <v>601</v>
      </c>
      <c r="AX45" s="230" t="s">
        <v>601</v>
      </c>
      <c r="AY45" s="230" t="s">
        <v>601</v>
      </c>
      <c r="AZ45" s="230" t="s">
        <v>601</v>
      </c>
      <c r="BA45" s="230" t="s">
        <v>601</v>
      </c>
      <c r="BB45" s="230" t="s">
        <v>1178</v>
      </c>
      <c r="BC45" s="230" t="s">
        <v>967</v>
      </c>
      <c r="BD45" s="230">
        <v>0</v>
      </c>
      <c r="BE45" s="230">
        <v>0</v>
      </c>
      <c r="BF45" s="230" t="s">
        <v>601</v>
      </c>
      <c r="BG45" s="230" t="s">
        <v>601</v>
      </c>
      <c r="BH45" s="230" t="s">
        <v>601</v>
      </c>
      <c r="BI45" s="230" t="s">
        <v>587</v>
      </c>
      <c r="BJ45" s="230">
        <v>0</v>
      </c>
      <c r="BK45" s="230">
        <v>0</v>
      </c>
      <c r="BL45" s="230" t="s">
        <v>601</v>
      </c>
      <c r="BM45" s="230" t="s">
        <v>601</v>
      </c>
      <c r="BN45" s="230" t="s">
        <v>601</v>
      </c>
      <c r="BO45" s="553">
        <v>2</v>
      </c>
      <c r="BP45" s="553">
        <v>0</v>
      </c>
      <c r="BQ45" s="553">
        <v>0</v>
      </c>
      <c r="BR45" s="553">
        <v>0</v>
      </c>
      <c r="BS45" s="553">
        <v>0</v>
      </c>
      <c r="BT45" s="554">
        <v>0</v>
      </c>
      <c r="BU45" s="230" t="s">
        <v>968</v>
      </c>
      <c r="BV45" s="230" t="s">
        <v>601</v>
      </c>
      <c r="BW45" s="230" t="s">
        <v>601</v>
      </c>
      <c r="BX45" s="230" t="s">
        <v>601</v>
      </c>
      <c r="BY45" s="230" t="s">
        <v>601</v>
      </c>
      <c r="BZ45" s="230" t="s">
        <v>601</v>
      </c>
      <c r="CA45" s="230">
        <v>2</v>
      </c>
      <c r="CB45" s="230">
        <v>2</v>
      </c>
      <c r="CC45" s="230">
        <v>0</v>
      </c>
      <c r="CD45" s="230">
        <v>0</v>
      </c>
      <c r="CE45" s="230">
        <v>0</v>
      </c>
      <c r="CF45" s="230">
        <v>0</v>
      </c>
      <c r="CG45" s="230">
        <v>0</v>
      </c>
      <c r="CH45" s="230">
        <v>0</v>
      </c>
      <c r="CI45" s="230">
        <v>0</v>
      </c>
      <c r="CJ45" s="230">
        <v>0</v>
      </c>
      <c r="CK45" s="230">
        <v>0</v>
      </c>
      <c r="CL45" s="230">
        <v>0</v>
      </c>
      <c r="CM45" s="230">
        <v>0</v>
      </c>
      <c r="CN45" s="230">
        <v>0</v>
      </c>
      <c r="CO45" s="230">
        <v>0</v>
      </c>
      <c r="CP45" s="230">
        <v>0</v>
      </c>
      <c r="CQ45" s="230">
        <v>0</v>
      </c>
      <c r="CR45" s="230">
        <v>0</v>
      </c>
      <c r="CS45" s="230">
        <v>0</v>
      </c>
      <c r="CT45" s="230">
        <v>0</v>
      </c>
      <c r="CU45" s="230">
        <v>0</v>
      </c>
      <c r="CV45" s="230">
        <v>0</v>
      </c>
      <c r="CW45" s="230">
        <v>0</v>
      </c>
      <c r="CX45" s="230">
        <v>0</v>
      </c>
      <c r="CY45" s="230">
        <v>0</v>
      </c>
      <c r="CZ45" s="230">
        <v>0</v>
      </c>
      <c r="DA45" s="230">
        <v>0</v>
      </c>
      <c r="DB45" s="230">
        <v>0</v>
      </c>
      <c r="DC45" s="230">
        <v>0</v>
      </c>
      <c r="DD45" s="230">
        <v>0</v>
      </c>
      <c r="DE45" s="230">
        <v>0</v>
      </c>
      <c r="DF45" s="230">
        <v>0</v>
      </c>
      <c r="DG45" s="230">
        <v>0</v>
      </c>
      <c r="DH45" s="230">
        <v>0</v>
      </c>
      <c r="DI45" s="230">
        <v>0</v>
      </c>
      <c r="DJ45" s="230">
        <v>0</v>
      </c>
      <c r="DK45" s="230" t="s">
        <v>969</v>
      </c>
      <c r="DL45" s="230" t="s">
        <v>601</v>
      </c>
      <c r="DM45" s="230" t="s">
        <v>601</v>
      </c>
      <c r="DN45" s="230" t="s">
        <v>601</v>
      </c>
      <c r="DO45" s="230" t="s">
        <v>601</v>
      </c>
      <c r="DP45" s="230" t="s">
        <v>601</v>
      </c>
      <c r="DQ45" s="230" t="s">
        <v>1264</v>
      </c>
      <c r="DR45" s="230" t="s">
        <v>601</v>
      </c>
      <c r="DS45" s="230" t="s">
        <v>601</v>
      </c>
      <c r="DT45" s="230" t="s">
        <v>601</v>
      </c>
      <c r="DU45" s="230" t="s">
        <v>601</v>
      </c>
      <c r="DV45" s="230" t="s">
        <v>601</v>
      </c>
      <c r="DW45" s="230">
        <v>40</v>
      </c>
      <c r="DX45" s="230">
        <v>40</v>
      </c>
      <c r="DY45" s="230">
        <v>0</v>
      </c>
      <c r="DZ45" s="230">
        <v>0</v>
      </c>
      <c r="EA45" s="230">
        <v>0</v>
      </c>
      <c r="EB45" s="230">
        <v>0</v>
      </c>
      <c r="EC45" s="230">
        <v>40</v>
      </c>
      <c r="ED45" s="230">
        <v>0</v>
      </c>
      <c r="EE45" s="230">
        <v>0</v>
      </c>
      <c r="EF45" s="230">
        <v>0</v>
      </c>
      <c r="EG45" s="230">
        <v>0</v>
      </c>
      <c r="EH45" s="230">
        <v>0</v>
      </c>
      <c r="EI45" s="230">
        <v>0</v>
      </c>
      <c r="EJ45" s="230">
        <v>0</v>
      </c>
      <c r="EK45" s="230">
        <v>0</v>
      </c>
      <c r="EL45" s="230">
        <v>0</v>
      </c>
      <c r="EM45" s="230">
        <v>0</v>
      </c>
      <c r="EN45" s="230">
        <v>0</v>
      </c>
      <c r="EO45" s="230">
        <v>0</v>
      </c>
      <c r="EP45" s="230">
        <v>0</v>
      </c>
      <c r="EQ45" s="230">
        <v>0</v>
      </c>
      <c r="ER45" s="230">
        <v>0</v>
      </c>
      <c r="ES45" s="230">
        <v>0</v>
      </c>
      <c r="ET45" s="230">
        <v>0</v>
      </c>
      <c r="EU45" s="230">
        <v>0</v>
      </c>
      <c r="EV45" s="230">
        <v>0</v>
      </c>
      <c r="EW45" s="230">
        <v>0</v>
      </c>
      <c r="EX45" s="230">
        <v>0</v>
      </c>
      <c r="EY45" s="230">
        <v>0</v>
      </c>
      <c r="EZ45" s="230">
        <v>0</v>
      </c>
      <c r="FA45" s="230">
        <v>0</v>
      </c>
      <c r="FB45" s="230">
        <v>0</v>
      </c>
      <c r="FC45" s="230">
        <v>0</v>
      </c>
      <c r="FD45" s="230">
        <v>0</v>
      </c>
      <c r="FE45" s="230">
        <v>0</v>
      </c>
      <c r="FF45" s="230">
        <v>0</v>
      </c>
      <c r="FG45" s="230">
        <v>0</v>
      </c>
      <c r="FH45" s="230">
        <v>0</v>
      </c>
      <c r="FI45" s="230">
        <v>0</v>
      </c>
      <c r="FJ45" s="230">
        <v>0</v>
      </c>
      <c r="FK45" s="230">
        <v>0</v>
      </c>
      <c r="FL45" s="230">
        <v>0</v>
      </c>
      <c r="FM45" s="230">
        <v>40</v>
      </c>
      <c r="FN45" s="230">
        <v>2100</v>
      </c>
      <c r="FO45" s="230">
        <v>0</v>
      </c>
      <c r="FP45" s="230">
        <v>0</v>
      </c>
      <c r="FQ45" s="230" t="s">
        <v>601</v>
      </c>
      <c r="FR45" s="230" t="s">
        <v>601</v>
      </c>
      <c r="FS45" s="230" t="s">
        <v>601</v>
      </c>
      <c r="FT45" s="230" t="s">
        <v>970</v>
      </c>
      <c r="FU45" s="230">
        <v>0</v>
      </c>
      <c r="FV45" s="230">
        <v>0</v>
      </c>
      <c r="FW45" s="230" t="s">
        <v>601</v>
      </c>
      <c r="FX45" s="230" t="s">
        <v>601</v>
      </c>
      <c r="FY45" s="230" t="s">
        <v>601</v>
      </c>
      <c r="FZ45" s="230" t="s">
        <v>970</v>
      </c>
      <c r="GA45" s="230" t="s">
        <v>601</v>
      </c>
      <c r="GB45" s="230" t="s">
        <v>601</v>
      </c>
      <c r="GC45" s="230" t="s">
        <v>601</v>
      </c>
      <c r="GD45" s="230" t="s">
        <v>601</v>
      </c>
      <c r="GE45" s="230" t="s">
        <v>601</v>
      </c>
      <c r="GF45" s="230">
        <v>25</v>
      </c>
      <c r="GG45" s="230">
        <v>25</v>
      </c>
      <c r="GH45" s="230">
        <v>0</v>
      </c>
      <c r="GI45" s="230">
        <v>0</v>
      </c>
      <c r="GJ45" s="230">
        <v>0</v>
      </c>
      <c r="GK45" s="230">
        <v>0</v>
      </c>
      <c r="GL45" s="230">
        <v>0</v>
      </c>
      <c r="GM45" s="230">
        <v>0</v>
      </c>
      <c r="GN45" s="230">
        <v>0</v>
      </c>
      <c r="GO45" s="230">
        <v>0</v>
      </c>
      <c r="GP45" s="230">
        <v>0</v>
      </c>
      <c r="GQ45" s="230">
        <v>0</v>
      </c>
      <c r="GR45" s="230">
        <v>0</v>
      </c>
      <c r="GS45" s="230">
        <v>0</v>
      </c>
      <c r="GT45" s="230">
        <v>0</v>
      </c>
      <c r="GU45" s="230">
        <v>0</v>
      </c>
      <c r="GV45" s="230">
        <v>0</v>
      </c>
      <c r="GW45" s="230">
        <v>0</v>
      </c>
      <c r="GX45" s="230">
        <v>0</v>
      </c>
      <c r="GY45" s="230">
        <v>0</v>
      </c>
      <c r="GZ45" s="230">
        <v>0</v>
      </c>
      <c r="HA45" s="230">
        <v>0</v>
      </c>
      <c r="HB45" s="230">
        <v>0</v>
      </c>
      <c r="HC45" s="230">
        <v>0</v>
      </c>
      <c r="HD45" s="230">
        <v>0</v>
      </c>
      <c r="HE45" s="230">
        <v>0</v>
      </c>
      <c r="HF45" s="230">
        <v>0</v>
      </c>
      <c r="HG45" s="230">
        <v>0</v>
      </c>
      <c r="HH45" s="230">
        <v>0</v>
      </c>
      <c r="HI45" s="230">
        <v>0</v>
      </c>
      <c r="HJ45" s="230">
        <v>0</v>
      </c>
      <c r="HK45" s="230">
        <v>0</v>
      </c>
      <c r="HL45" s="230">
        <v>0</v>
      </c>
      <c r="HM45" s="230">
        <v>0</v>
      </c>
      <c r="HN45" s="230">
        <v>0</v>
      </c>
      <c r="HO45" s="230">
        <v>0</v>
      </c>
      <c r="HP45" s="230" t="s">
        <v>51</v>
      </c>
      <c r="HQ45" s="230">
        <v>25</v>
      </c>
      <c r="HR45" s="230">
        <v>0</v>
      </c>
      <c r="HS45" s="230">
        <v>0</v>
      </c>
      <c r="HT45" s="230">
        <v>0</v>
      </c>
      <c r="HU45" s="230">
        <v>0</v>
      </c>
      <c r="HV45" s="230">
        <v>0</v>
      </c>
      <c r="HW45" s="797">
        <v>25</v>
      </c>
      <c r="HX45" s="797">
        <v>0</v>
      </c>
      <c r="HY45" s="230">
        <v>68</v>
      </c>
      <c r="HZ45" s="230"/>
      <c r="IA45" s="230"/>
      <c r="IB45" s="230"/>
      <c r="IC45" s="232" t="s">
        <v>965</v>
      </c>
      <c r="ID45" s="233" t="s">
        <v>966</v>
      </c>
      <c r="IE45" s="467" t="s">
        <v>583</v>
      </c>
      <c r="IF45" s="232" t="s">
        <v>364</v>
      </c>
      <c r="IG45" s="467" t="s">
        <v>584</v>
      </c>
      <c r="IH45" s="467" t="s">
        <v>585</v>
      </c>
      <c r="II45" s="546" t="s">
        <v>584</v>
      </c>
      <c r="IJ45" s="467">
        <v>44462</v>
      </c>
      <c r="IK45" s="468">
        <v>3</v>
      </c>
      <c r="IL45" s="469" t="s">
        <v>1210</v>
      </c>
      <c r="IM45" s="469" t="s">
        <v>1195</v>
      </c>
      <c r="IN45" s="469" t="s">
        <v>1195</v>
      </c>
      <c r="IO45" s="469" t="s">
        <v>601</v>
      </c>
      <c r="IP45" s="469" t="s">
        <v>601</v>
      </c>
      <c r="IQ45" s="469" t="s">
        <v>601</v>
      </c>
      <c r="IR45" s="469">
        <v>1</v>
      </c>
      <c r="IS45" s="469">
        <v>2</v>
      </c>
      <c r="IT45" s="469" t="s">
        <v>675</v>
      </c>
      <c r="IU45" s="469" t="s">
        <v>675</v>
      </c>
    </row>
    <row r="46" ht="76.5">
      <c r="A46" s="322">
        <v>45</v>
      </c>
      <c r="B46" s="229" t="s">
        <v>1178</v>
      </c>
      <c r="C46" s="229" t="s">
        <v>1178</v>
      </c>
      <c r="D46" s="797" t="s">
        <v>978</v>
      </c>
      <c r="E46" s="229" t="s">
        <v>972</v>
      </c>
      <c r="F46" s="229" t="s">
        <v>26</v>
      </c>
      <c r="G46" s="797" t="s">
        <v>973</v>
      </c>
      <c r="H46" s="797" t="s">
        <v>974</v>
      </c>
      <c r="I46" s="229">
        <v>1</v>
      </c>
      <c r="J46" s="229" t="s">
        <v>975</v>
      </c>
      <c r="K46" s="231" t="s">
        <v>584</v>
      </c>
      <c r="L46" s="231" t="s">
        <v>1261</v>
      </c>
      <c r="M46" s="229" t="s">
        <v>576</v>
      </c>
      <c r="N46" s="229" t="s">
        <v>978</v>
      </c>
      <c r="O46" s="229" t="s">
        <v>587</v>
      </c>
      <c r="P46" s="229" t="s">
        <v>916</v>
      </c>
      <c r="Q46" s="229" t="s">
        <v>596</v>
      </c>
      <c r="R46" s="229" t="s">
        <v>1267</v>
      </c>
      <c r="S46" s="229" t="s">
        <v>600</v>
      </c>
      <c r="T46" s="229" t="s">
        <v>980</v>
      </c>
      <c r="U46" s="229">
        <v>1</v>
      </c>
      <c r="V46" s="229"/>
      <c r="W46" s="229" t="b">
        <v>0</v>
      </c>
      <c r="X46" s="229" t="b">
        <v>0</v>
      </c>
      <c r="Y46" s="797">
        <v>0</v>
      </c>
      <c r="Z46" s="229" t="b">
        <v>1</v>
      </c>
      <c r="AA46" s="797">
        <v>32</v>
      </c>
      <c r="AB46" s="229" t="b">
        <v>0</v>
      </c>
      <c r="AC46" s="229" t="b">
        <v>1</v>
      </c>
      <c r="AD46" s="229">
        <v>0</v>
      </c>
      <c r="AE46" s="229"/>
      <c r="AF46" s="229" t="s">
        <v>50</v>
      </c>
      <c r="AG46" s="229">
        <v>0</v>
      </c>
      <c r="AH46" s="230"/>
      <c r="AI46" s="553" t="s">
        <v>576</v>
      </c>
      <c r="AJ46" s="553" t="s">
        <v>576</v>
      </c>
      <c r="AK46" s="229">
        <v>4</v>
      </c>
      <c r="AL46" s="465" t="s">
        <v>1188</v>
      </c>
      <c r="AM46" s="465" t="s">
        <v>1268</v>
      </c>
      <c r="AN46" s="465" t="s">
        <v>1269</v>
      </c>
      <c r="AO46" s="229" t="s">
        <v>25</v>
      </c>
      <c r="AP46" s="230" t="s">
        <v>576</v>
      </c>
      <c r="AQ46" s="230">
        <v>0</v>
      </c>
      <c r="AR46" s="230">
        <v>0</v>
      </c>
      <c r="AS46" s="230" t="s">
        <v>601</v>
      </c>
      <c r="AT46" s="230" t="s">
        <v>601</v>
      </c>
      <c r="AU46" s="230" t="s">
        <v>601</v>
      </c>
      <c r="AV46" s="230" t="s">
        <v>1178</v>
      </c>
      <c r="AW46" s="230" t="s">
        <v>601</v>
      </c>
      <c r="AX46" s="230" t="s">
        <v>601</v>
      </c>
      <c r="AY46" s="230" t="s">
        <v>601</v>
      </c>
      <c r="AZ46" s="230" t="s">
        <v>601</v>
      </c>
      <c r="BA46" s="230" t="s">
        <v>601</v>
      </c>
      <c r="BB46" s="230" t="s">
        <v>1178</v>
      </c>
      <c r="BC46" s="230" t="s">
        <v>978</v>
      </c>
      <c r="BD46" s="230">
        <v>0</v>
      </c>
      <c r="BE46" s="230">
        <v>0</v>
      </c>
      <c r="BF46" s="230" t="s">
        <v>601</v>
      </c>
      <c r="BG46" s="230" t="s">
        <v>601</v>
      </c>
      <c r="BH46" s="230" t="s">
        <v>601</v>
      </c>
      <c r="BI46" s="230" t="s">
        <v>587</v>
      </c>
      <c r="BJ46" s="230">
        <v>0</v>
      </c>
      <c r="BK46" s="230">
        <v>0</v>
      </c>
      <c r="BL46" s="230" t="s">
        <v>601</v>
      </c>
      <c r="BM46" s="230" t="s">
        <v>601</v>
      </c>
      <c r="BN46" s="230" t="s">
        <v>601</v>
      </c>
      <c r="BO46" s="553">
        <v>1</v>
      </c>
      <c r="BP46" s="553">
        <v>0</v>
      </c>
      <c r="BQ46" s="553">
        <v>0</v>
      </c>
      <c r="BR46" s="553">
        <v>0</v>
      </c>
      <c r="BS46" s="553">
        <v>0</v>
      </c>
      <c r="BT46" s="554">
        <v>0</v>
      </c>
      <c r="BU46" s="230" t="s">
        <v>596</v>
      </c>
      <c r="BV46" s="230" t="s">
        <v>601</v>
      </c>
      <c r="BW46" s="230" t="s">
        <v>601</v>
      </c>
      <c r="BX46" s="230" t="s">
        <v>601</v>
      </c>
      <c r="BY46" s="230" t="s">
        <v>601</v>
      </c>
      <c r="BZ46" s="230" t="s">
        <v>601</v>
      </c>
      <c r="CA46" s="230">
        <v>2</v>
      </c>
      <c r="CB46" s="230">
        <v>0</v>
      </c>
      <c r="CC46" s="230">
        <v>0</v>
      </c>
      <c r="CD46" s="230">
        <v>0</v>
      </c>
      <c r="CE46" s="230">
        <v>0</v>
      </c>
      <c r="CF46" s="230">
        <v>0</v>
      </c>
      <c r="CG46" s="230">
        <v>0</v>
      </c>
      <c r="CH46" s="230">
        <v>0</v>
      </c>
      <c r="CI46" s="230">
        <v>0</v>
      </c>
      <c r="CJ46" s="230">
        <v>0</v>
      </c>
      <c r="CK46" s="230">
        <v>0</v>
      </c>
      <c r="CL46" s="230">
        <v>0</v>
      </c>
      <c r="CM46" s="230">
        <v>0</v>
      </c>
      <c r="CN46" s="230">
        <v>0</v>
      </c>
      <c r="CO46" s="230">
        <v>0</v>
      </c>
      <c r="CP46" s="230">
        <v>0</v>
      </c>
      <c r="CQ46" s="230">
        <v>0</v>
      </c>
      <c r="CR46" s="230">
        <v>0</v>
      </c>
      <c r="CS46" s="230">
        <v>0</v>
      </c>
      <c r="CT46" s="230">
        <v>0</v>
      </c>
      <c r="CU46" s="230">
        <v>0</v>
      </c>
      <c r="CV46" s="230">
        <v>0</v>
      </c>
      <c r="CW46" s="230">
        <v>0</v>
      </c>
      <c r="CX46" s="230">
        <v>0</v>
      </c>
      <c r="CY46" s="230">
        <v>0</v>
      </c>
      <c r="CZ46" s="230">
        <v>0</v>
      </c>
      <c r="DA46" s="230">
        <v>0</v>
      </c>
      <c r="DB46" s="230">
        <v>0</v>
      </c>
      <c r="DC46" s="230">
        <v>0</v>
      </c>
      <c r="DD46" s="230">
        <v>0</v>
      </c>
      <c r="DE46" s="230">
        <v>0</v>
      </c>
      <c r="DF46" s="230">
        <v>0</v>
      </c>
      <c r="DG46" s="230">
        <v>0</v>
      </c>
      <c r="DH46" s="230">
        <v>0</v>
      </c>
      <c r="DI46" s="230">
        <v>0</v>
      </c>
      <c r="DJ46" s="230">
        <v>0</v>
      </c>
      <c r="DK46" s="230" t="s">
        <v>979</v>
      </c>
      <c r="DL46" s="230" t="s">
        <v>601</v>
      </c>
      <c r="DM46" s="230" t="s">
        <v>601</v>
      </c>
      <c r="DN46" s="230" t="s">
        <v>601</v>
      </c>
      <c r="DO46" s="230" t="s">
        <v>601</v>
      </c>
      <c r="DP46" s="230" t="s">
        <v>601</v>
      </c>
      <c r="DQ46" s="230" t="s">
        <v>1267</v>
      </c>
      <c r="DR46" s="230" t="s">
        <v>601</v>
      </c>
      <c r="DS46" s="230" t="s">
        <v>601</v>
      </c>
      <c r="DT46" s="230" t="s">
        <v>601</v>
      </c>
      <c r="DU46" s="230" t="s">
        <v>601</v>
      </c>
      <c r="DV46" s="230" t="s">
        <v>601</v>
      </c>
      <c r="DW46" s="230">
        <v>40</v>
      </c>
      <c r="DX46" s="230">
        <v>0</v>
      </c>
      <c r="DY46" s="230">
        <v>0</v>
      </c>
      <c r="DZ46" s="230">
        <v>0</v>
      </c>
      <c r="EA46" s="230">
        <v>0</v>
      </c>
      <c r="EB46" s="230">
        <v>0</v>
      </c>
      <c r="EC46" s="230">
        <v>40</v>
      </c>
      <c r="ED46" s="230">
        <v>0</v>
      </c>
      <c r="EE46" s="230">
        <v>0</v>
      </c>
      <c r="EF46" s="230">
        <v>0</v>
      </c>
      <c r="EG46" s="230">
        <v>0</v>
      </c>
      <c r="EH46" s="230">
        <v>0</v>
      </c>
      <c r="EI46" s="230">
        <v>0</v>
      </c>
      <c r="EJ46" s="230">
        <v>0</v>
      </c>
      <c r="EK46" s="230">
        <v>0</v>
      </c>
      <c r="EL46" s="230">
        <v>0</v>
      </c>
      <c r="EM46" s="230">
        <v>0</v>
      </c>
      <c r="EN46" s="230">
        <v>0</v>
      </c>
      <c r="EO46" s="230">
        <v>0</v>
      </c>
      <c r="EP46" s="230">
        <v>0</v>
      </c>
      <c r="EQ46" s="230">
        <v>0</v>
      </c>
      <c r="ER46" s="230">
        <v>0</v>
      </c>
      <c r="ES46" s="230">
        <v>0</v>
      </c>
      <c r="ET46" s="230">
        <v>0</v>
      </c>
      <c r="EU46" s="230">
        <v>0</v>
      </c>
      <c r="EV46" s="230">
        <v>0</v>
      </c>
      <c r="EW46" s="230">
        <v>0</v>
      </c>
      <c r="EX46" s="230">
        <v>0</v>
      </c>
      <c r="EY46" s="230">
        <v>0</v>
      </c>
      <c r="EZ46" s="230">
        <v>0</v>
      </c>
      <c r="FA46" s="230">
        <v>0</v>
      </c>
      <c r="FB46" s="230">
        <v>0</v>
      </c>
      <c r="FC46" s="230">
        <v>0</v>
      </c>
      <c r="FD46" s="230">
        <v>0</v>
      </c>
      <c r="FE46" s="230">
        <v>0</v>
      </c>
      <c r="FF46" s="230">
        <v>0</v>
      </c>
      <c r="FG46" s="230">
        <v>0</v>
      </c>
      <c r="FH46" s="230">
        <v>0</v>
      </c>
      <c r="FI46" s="230">
        <v>0</v>
      </c>
      <c r="FJ46" s="230">
        <v>0</v>
      </c>
      <c r="FK46" s="230">
        <v>0</v>
      </c>
      <c r="FL46" s="230">
        <v>0</v>
      </c>
      <c r="FM46" s="230">
        <v>40</v>
      </c>
      <c r="FN46" s="230">
        <v>2100</v>
      </c>
      <c r="FO46" s="230">
        <v>0</v>
      </c>
      <c r="FP46" s="230">
        <v>0</v>
      </c>
      <c r="FQ46" s="230" t="s">
        <v>601</v>
      </c>
      <c r="FR46" s="230" t="s">
        <v>601</v>
      </c>
      <c r="FS46" s="230" t="s">
        <v>601</v>
      </c>
      <c r="FT46" s="230" t="s">
        <v>980</v>
      </c>
      <c r="FU46" s="230">
        <v>0</v>
      </c>
      <c r="FV46" s="230">
        <v>0</v>
      </c>
      <c r="FW46" s="230" t="s">
        <v>601</v>
      </c>
      <c r="FX46" s="230" t="s">
        <v>601</v>
      </c>
      <c r="FY46" s="230" t="s">
        <v>601</v>
      </c>
      <c r="FZ46" s="230" t="s">
        <v>980</v>
      </c>
      <c r="GA46" s="230" t="s">
        <v>601</v>
      </c>
      <c r="GB46" s="230" t="s">
        <v>601</v>
      </c>
      <c r="GC46" s="230" t="s">
        <v>601</v>
      </c>
      <c r="GD46" s="230" t="s">
        <v>601</v>
      </c>
      <c r="GE46" s="230" t="s">
        <v>601</v>
      </c>
      <c r="GF46" s="230">
        <v>32</v>
      </c>
      <c r="GG46" s="230">
        <v>0</v>
      </c>
      <c r="GH46" s="230">
        <v>0</v>
      </c>
      <c r="GI46" s="230">
        <v>0</v>
      </c>
      <c r="GJ46" s="230">
        <v>0</v>
      </c>
      <c r="GK46" s="230">
        <v>0</v>
      </c>
      <c r="GL46" s="230">
        <v>0</v>
      </c>
      <c r="GM46" s="230">
        <v>0</v>
      </c>
      <c r="GN46" s="230">
        <v>0</v>
      </c>
      <c r="GO46" s="230">
        <v>0</v>
      </c>
      <c r="GP46" s="230">
        <v>0</v>
      </c>
      <c r="GQ46" s="230">
        <v>0</v>
      </c>
      <c r="GR46" s="230">
        <v>0</v>
      </c>
      <c r="GS46" s="230">
        <v>0</v>
      </c>
      <c r="GT46" s="230">
        <v>0</v>
      </c>
      <c r="GU46" s="230">
        <v>0</v>
      </c>
      <c r="GV46" s="230">
        <v>0</v>
      </c>
      <c r="GW46" s="230">
        <v>0</v>
      </c>
      <c r="GX46" s="230">
        <v>0</v>
      </c>
      <c r="GY46" s="230">
        <v>0</v>
      </c>
      <c r="GZ46" s="230">
        <v>0</v>
      </c>
      <c r="HA46" s="230">
        <v>0</v>
      </c>
      <c r="HB46" s="230">
        <v>0</v>
      </c>
      <c r="HC46" s="230">
        <v>0</v>
      </c>
      <c r="HD46" s="230">
        <v>0</v>
      </c>
      <c r="HE46" s="230">
        <v>0</v>
      </c>
      <c r="HF46" s="230">
        <v>0</v>
      </c>
      <c r="HG46" s="230">
        <v>0</v>
      </c>
      <c r="HH46" s="230">
        <v>0</v>
      </c>
      <c r="HI46" s="230">
        <v>0</v>
      </c>
      <c r="HJ46" s="230">
        <v>0</v>
      </c>
      <c r="HK46" s="230">
        <v>0</v>
      </c>
      <c r="HL46" s="230">
        <v>0</v>
      </c>
      <c r="HM46" s="230">
        <v>0</v>
      </c>
      <c r="HN46" s="230">
        <v>0</v>
      </c>
      <c r="HO46" s="230">
        <v>0</v>
      </c>
      <c r="HP46" s="230" t="s">
        <v>51</v>
      </c>
      <c r="HQ46" s="230">
        <v>32</v>
      </c>
      <c r="HR46" s="230">
        <v>0</v>
      </c>
      <c r="HS46" s="230">
        <v>0</v>
      </c>
      <c r="HT46" s="230">
        <v>0</v>
      </c>
      <c r="HU46" s="230">
        <v>0</v>
      </c>
      <c r="HV46" s="230">
        <v>0</v>
      </c>
      <c r="HW46" s="797">
        <v>32</v>
      </c>
      <c r="HX46" s="797">
        <v>0</v>
      </c>
      <c r="HY46" s="230">
        <v>68</v>
      </c>
      <c r="HZ46" s="230"/>
      <c r="IA46" s="230"/>
      <c r="IB46" s="230"/>
      <c r="IC46" s="232" t="s">
        <v>976</v>
      </c>
      <c r="ID46" s="233" t="s">
        <v>977</v>
      </c>
      <c r="IE46" s="467" t="s">
        <v>583</v>
      </c>
      <c r="IF46" s="232" t="s">
        <v>364</v>
      </c>
      <c r="IG46" s="467" t="s">
        <v>584</v>
      </c>
      <c r="IH46" s="467" t="s">
        <v>585</v>
      </c>
      <c r="II46" s="546" t="s">
        <v>584</v>
      </c>
      <c r="IJ46" s="467">
        <v>44462</v>
      </c>
      <c r="IK46" s="468">
        <v>3</v>
      </c>
      <c r="IL46" s="469" t="s">
        <v>1210</v>
      </c>
      <c r="IM46" s="469" t="s">
        <v>1195</v>
      </c>
      <c r="IN46" s="469" t="s">
        <v>1195</v>
      </c>
      <c r="IO46" s="469" t="s">
        <v>601</v>
      </c>
      <c r="IP46" s="469" t="s">
        <v>601</v>
      </c>
      <c r="IQ46" s="469" t="s">
        <v>601</v>
      </c>
      <c r="IR46" s="469">
        <v>1</v>
      </c>
      <c r="IS46" s="469">
        <v>2</v>
      </c>
      <c r="IT46" s="469" t="s">
        <v>675</v>
      </c>
      <c r="IU46" s="469" t="s">
        <v>675</v>
      </c>
    </row>
    <row r="47" ht="76.5">
      <c r="A47" s="322">
        <v>46</v>
      </c>
      <c r="B47" s="229" t="s">
        <v>1178</v>
      </c>
      <c r="C47" s="229" t="s">
        <v>1178</v>
      </c>
      <c r="D47" s="797" t="s">
        <v>988</v>
      </c>
      <c r="E47" s="229" t="s">
        <v>982</v>
      </c>
      <c r="F47" s="229" t="s">
        <v>26</v>
      </c>
      <c r="G47" s="797" t="s">
        <v>983</v>
      </c>
      <c r="H47" s="797" t="s">
        <v>984</v>
      </c>
      <c r="I47" s="229">
        <v>1</v>
      </c>
      <c r="J47" s="229" t="s">
        <v>985</v>
      </c>
      <c r="K47" s="231" t="s">
        <v>584</v>
      </c>
      <c r="L47" s="231" t="s">
        <v>1261</v>
      </c>
      <c r="M47" s="229" t="s">
        <v>576</v>
      </c>
      <c r="N47" s="229" t="s">
        <v>988</v>
      </c>
      <c r="O47" s="229" t="s">
        <v>587</v>
      </c>
      <c r="P47" s="229" t="s">
        <v>916</v>
      </c>
      <c r="Q47" s="229" t="s">
        <v>596</v>
      </c>
      <c r="R47" s="229" t="s">
        <v>1267</v>
      </c>
      <c r="S47" s="229" t="s">
        <v>600</v>
      </c>
      <c r="T47" s="229" t="s">
        <v>989</v>
      </c>
      <c r="U47" s="229">
        <v>1</v>
      </c>
      <c r="V47" s="229"/>
      <c r="W47" s="229" t="b">
        <v>0</v>
      </c>
      <c r="X47" s="229" t="b">
        <v>0</v>
      </c>
      <c r="Y47" s="797">
        <v>0</v>
      </c>
      <c r="Z47" s="229" t="b">
        <v>1</v>
      </c>
      <c r="AA47" s="797">
        <v>18</v>
      </c>
      <c r="AB47" s="229" t="b">
        <v>0</v>
      </c>
      <c r="AC47" s="229" t="b">
        <v>1</v>
      </c>
      <c r="AD47" s="229">
        <v>0</v>
      </c>
      <c r="AE47" s="229"/>
      <c r="AF47" s="229" t="s">
        <v>50</v>
      </c>
      <c r="AG47" s="229">
        <v>0</v>
      </c>
      <c r="AH47" s="230"/>
      <c r="AI47" s="553" t="s">
        <v>576</v>
      </c>
      <c r="AJ47" s="553" t="s">
        <v>576</v>
      </c>
      <c r="AK47" s="229">
        <v>4</v>
      </c>
      <c r="AL47" s="465" t="s">
        <v>1188</v>
      </c>
      <c r="AM47" s="465" t="s">
        <v>1268</v>
      </c>
      <c r="AN47" s="465" t="s">
        <v>1270</v>
      </c>
      <c r="AO47" s="229" t="s">
        <v>25</v>
      </c>
      <c r="AP47" s="230" t="s">
        <v>576</v>
      </c>
      <c r="AQ47" s="230">
        <v>0</v>
      </c>
      <c r="AR47" s="230">
        <v>0</v>
      </c>
      <c r="AS47" s="230" t="s">
        <v>601</v>
      </c>
      <c r="AT47" s="230" t="s">
        <v>601</v>
      </c>
      <c r="AU47" s="230" t="s">
        <v>601</v>
      </c>
      <c r="AV47" s="230" t="s">
        <v>1178</v>
      </c>
      <c r="AW47" s="230" t="s">
        <v>601</v>
      </c>
      <c r="AX47" s="230" t="s">
        <v>601</v>
      </c>
      <c r="AY47" s="230" t="s">
        <v>601</v>
      </c>
      <c r="AZ47" s="230" t="s">
        <v>601</v>
      </c>
      <c r="BA47" s="230" t="s">
        <v>601</v>
      </c>
      <c r="BB47" s="230" t="s">
        <v>1178</v>
      </c>
      <c r="BC47" s="230" t="s">
        <v>988</v>
      </c>
      <c r="BD47" s="230">
        <v>0</v>
      </c>
      <c r="BE47" s="230">
        <v>0</v>
      </c>
      <c r="BF47" s="230" t="s">
        <v>601</v>
      </c>
      <c r="BG47" s="230" t="s">
        <v>601</v>
      </c>
      <c r="BH47" s="230" t="s">
        <v>601</v>
      </c>
      <c r="BI47" s="230" t="s">
        <v>587</v>
      </c>
      <c r="BJ47" s="230">
        <v>0</v>
      </c>
      <c r="BK47" s="230">
        <v>0</v>
      </c>
      <c r="BL47" s="230" t="s">
        <v>601</v>
      </c>
      <c r="BM47" s="230" t="s">
        <v>601</v>
      </c>
      <c r="BN47" s="230" t="s">
        <v>601</v>
      </c>
      <c r="BO47" s="553">
        <v>1</v>
      </c>
      <c r="BP47" s="553">
        <v>0</v>
      </c>
      <c r="BQ47" s="553">
        <v>0</v>
      </c>
      <c r="BR47" s="553">
        <v>0</v>
      </c>
      <c r="BS47" s="553">
        <v>0</v>
      </c>
      <c r="BT47" s="554">
        <v>0</v>
      </c>
      <c r="BU47" s="230" t="s">
        <v>596</v>
      </c>
      <c r="BV47" s="230" t="s">
        <v>601</v>
      </c>
      <c r="BW47" s="230" t="s">
        <v>601</v>
      </c>
      <c r="BX47" s="230" t="s">
        <v>601</v>
      </c>
      <c r="BY47" s="230" t="s">
        <v>601</v>
      </c>
      <c r="BZ47" s="230" t="s">
        <v>601</v>
      </c>
      <c r="CA47" s="230">
        <v>2</v>
      </c>
      <c r="CB47" s="230">
        <v>0</v>
      </c>
      <c r="CC47" s="230">
        <v>0</v>
      </c>
      <c r="CD47" s="230">
        <v>0</v>
      </c>
      <c r="CE47" s="230">
        <v>0</v>
      </c>
      <c r="CF47" s="230">
        <v>0</v>
      </c>
      <c r="CG47" s="230">
        <v>0</v>
      </c>
      <c r="CH47" s="230">
        <v>0</v>
      </c>
      <c r="CI47" s="230">
        <v>0</v>
      </c>
      <c r="CJ47" s="230">
        <v>0</v>
      </c>
      <c r="CK47" s="230">
        <v>0</v>
      </c>
      <c r="CL47" s="230">
        <v>0</v>
      </c>
      <c r="CM47" s="230">
        <v>0</v>
      </c>
      <c r="CN47" s="230">
        <v>0</v>
      </c>
      <c r="CO47" s="230">
        <v>0</v>
      </c>
      <c r="CP47" s="230">
        <v>0</v>
      </c>
      <c r="CQ47" s="230">
        <v>0</v>
      </c>
      <c r="CR47" s="230">
        <v>0</v>
      </c>
      <c r="CS47" s="230">
        <v>0</v>
      </c>
      <c r="CT47" s="230">
        <v>0</v>
      </c>
      <c r="CU47" s="230">
        <v>0</v>
      </c>
      <c r="CV47" s="230">
        <v>0</v>
      </c>
      <c r="CW47" s="230">
        <v>0</v>
      </c>
      <c r="CX47" s="230">
        <v>0</v>
      </c>
      <c r="CY47" s="230">
        <v>0</v>
      </c>
      <c r="CZ47" s="230">
        <v>0</v>
      </c>
      <c r="DA47" s="230">
        <v>0</v>
      </c>
      <c r="DB47" s="230">
        <v>0</v>
      </c>
      <c r="DC47" s="230">
        <v>0</v>
      </c>
      <c r="DD47" s="230">
        <v>0</v>
      </c>
      <c r="DE47" s="230">
        <v>0</v>
      </c>
      <c r="DF47" s="230">
        <v>0</v>
      </c>
      <c r="DG47" s="230">
        <v>0</v>
      </c>
      <c r="DH47" s="230">
        <v>0</v>
      </c>
      <c r="DI47" s="230">
        <v>0</v>
      </c>
      <c r="DJ47" s="230">
        <v>0</v>
      </c>
      <c r="DK47" s="230" t="s">
        <v>979</v>
      </c>
      <c r="DL47" s="230" t="s">
        <v>601</v>
      </c>
      <c r="DM47" s="230" t="s">
        <v>601</v>
      </c>
      <c r="DN47" s="230" t="s">
        <v>601</v>
      </c>
      <c r="DO47" s="230" t="s">
        <v>601</v>
      </c>
      <c r="DP47" s="230" t="s">
        <v>601</v>
      </c>
      <c r="DQ47" s="230" t="s">
        <v>1267</v>
      </c>
      <c r="DR47" s="230" t="s">
        <v>601</v>
      </c>
      <c r="DS47" s="230" t="s">
        <v>601</v>
      </c>
      <c r="DT47" s="230" t="s">
        <v>601</v>
      </c>
      <c r="DU47" s="230" t="s">
        <v>601</v>
      </c>
      <c r="DV47" s="230" t="s">
        <v>601</v>
      </c>
      <c r="DW47" s="230">
        <v>40</v>
      </c>
      <c r="DX47" s="230">
        <v>0</v>
      </c>
      <c r="DY47" s="230">
        <v>0</v>
      </c>
      <c r="DZ47" s="230">
        <v>0</v>
      </c>
      <c r="EA47" s="230">
        <v>0</v>
      </c>
      <c r="EB47" s="230">
        <v>0</v>
      </c>
      <c r="EC47" s="230">
        <v>40</v>
      </c>
      <c r="ED47" s="230">
        <v>0</v>
      </c>
      <c r="EE47" s="230">
        <v>0</v>
      </c>
      <c r="EF47" s="230">
        <v>0</v>
      </c>
      <c r="EG47" s="230">
        <v>0</v>
      </c>
      <c r="EH47" s="230">
        <v>0</v>
      </c>
      <c r="EI47" s="230">
        <v>0</v>
      </c>
      <c r="EJ47" s="230">
        <v>0</v>
      </c>
      <c r="EK47" s="230">
        <v>0</v>
      </c>
      <c r="EL47" s="230">
        <v>0</v>
      </c>
      <c r="EM47" s="230">
        <v>0</v>
      </c>
      <c r="EN47" s="230">
        <v>0</v>
      </c>
      <c r="EO47" s="230">
        <v>0</v>
      </c>
      <c r="EP47" s="230">
        <v>0</v>
      </c>
      <c r="EQ47" s="230">
        <v>0</v>
      </c>
      <c r="ER47" s="230">
        <v>0</v>
      </c>
      <c r="ES47" s="230">
        <v>0</v>
      </c>
      <c r="ET47" s="230">
        <v>0</v>
      </c>
      <c r="EU47" s="230">
        <v>0</v>
      </c>
      <c r="EV47" s="230">
        <v>0</v>
      </c>
      <c r="EW47" s="230">
        <v>0</v>
      </c>
      <c r="EX47" s="230">
        <v>0</v>
      </c>
      <c r="EY47" s="230">
        <v>0</v>
      </c>
      <c r="EZ47" s="230">
        <v>0</v>
      </c>
      <c r="FA47" s="230">
        <v>0</v>
      </c>
      <c r="FB47" s="230">
        <v>0</v>
      </c>
      <c r="FC47" s="230">
        <v>0</v>
      </c>
      <c r="FD47" s="230">
        <v>0</v>
      </c>
      <c r="FE47" s="230">
        <v>0</v>
      </c>
      <c r="FF47" s="230">
        <v>0</v>
      </c>
      <c r="FG47" s="230">
        <v>0</v>
      </c>
      <c r="FH47" s="230">
        <v>0</v>
      </c>
      <c r="FI47" s="230">
        <v>0</v>
      </c>
      <c r="FJ47" s="230">
        <v>0</v>
      </c>
      <c r="FK47" s="230">
        <v>0</v>
      </c>
      <c r="FL47" s="230">
        <v>0</v>
      </c>
      <c r="FM47" s="230">
        <v>40</v>
      </c>
      <c r="FN47" s="230">
        <v>2100</v>
      </c>
      <c r="FO47" s="230">
        <v>0</v>
      </c>
      <c r="FP47" s="230">
        <v>0</v>
      </c>
      <c r="FQ47" s="230" t="s">
        <v>601</v>
      </c>
      <c r="FR47" s="230" t="s">
        <v>601</v>
      </c>
      <c r="FS47" s="230" t="s">
        <v>601</v>
      </c>
      <c r="FT47" s="230" t="s">
        <v>989</v>
      </c>
      <c r="FU47" s="230">
        <v>0</v>
      </c>
      <c r="FV47" s="230">
        <v>0</v>
      </c>
      <c r="FW47" s="230" t="s">
        <v>601</v>
      </c>
      <c r="FX47" s="230" t="s">
        <v>601</v>
      </c>
      <c r="FY47" s="230" t="s">
        <v>601</v>
      </c>
      <c r="FZ47" s="230" t="s">
        <v>989</v>
      </c>
      <c r="GA47" s="230" t="s">
        <v>601</v>
      </c>
      <c r="GB47" s="230" t="s">
        <v>601</v>
      </c>
      <c r="GC47" s="230" t="s">
        <v>601</v>
      </c>
      <c r="GD47" s="230" t="s">
        <v>601</v>
      </c>
      <c r="GE47" s="230" t="s">
        <v>601</v>
      </c>
      <c r="GF47" s="230">
        <v>18</v>
      </c>
      <c r="GG47" s="230">
        <v>0</v>
      </c>
      <c r="GH47" s="230">
        <v>0</v>
      </c>
      <c r="GI47" s="230">
        <v>0</v>
      </c>
      <c r="GJ47" s="230">
        <v>0</v>
      </c>
      <c r="GK47" s="230">
        <v>0</v>
      </c>
      <c r="GL47" s="230">
        <v>0</v>
      </c>
      <c r="GM47" s="230">
        <v>0</v>
      </c>
      <c r="GN47" s="230">
        <v>0</v>
      </c>
      <c r="GO47" s="230">
        <v>0</v>
      </c>
      <c r="GP47" s="230">
        <v>0</v>
      </c>
      <c r="GQ47" s="230">
        <v>0</v>
      </c>
      <c r="GR47" s="230">
        <v>0</v>
      </c>
      <c r="GS47" s="230">
        <v>0</v>
      </c>
      <c r="GT47" s="230">
        <v>0</v>
      </c>
      <c r="GU47" s="230">
        <v>0</v>
      </c>
      <c r="GV47" s="230">
        <v>0</v>
      </c>
      <c r="GW47" s="230">
        <v>0</v>
      </c>
      <c r="GX47" s="230">
        <v>0</v>
      </c>
      <c r="GY47" s="230">
        <v>0</v>
      </c>
      <c r="GZ47" s="230">
        <v>0</v>
      </c>
      <c r="HA47" s="230">
        <v>0</v>
      </c>
      <c r="HB47" s="230">
        <v>0</v>
      </c>
      <c r="HC47" s="230">
        <v>0</v>
      </c>
      <c r="HD47" s="230">
        <v>0</v>
      </c>
      <c r="HE47" s="230">
        <v>0</v>
      </c>
      <c r="HF47" s="230">
        <v>0</v>
      </c>
      <c r="HG47" s="230">
        <v>0</v>
      </c>
      <c r="HH47" s="230">
        <v>0</v>
      </c>
      <c r="HI47" s="230">
        <v>0</v>
      </c>
      <c r="HJ47" s="230">
        <v>0</v>
      </c>
      <c r="HK47" s="230">
        <v>0</v>
      </c>
      <c r="HL47" s="230">
        <v>0</v>
      </c>
      <c r="HM47" s="230">
        <v>0</v>
      </c>
      <c r="HN47" s="230">
        <v>0</v>
      </c>
      <c r="HO47" s="230">
        <v>0</v>
      </c>
      <c r="HP47" s="230" t="s">
        <v>51</v>
      </c>
      <c r="HQ47" s="230">
        <v>18</v>
      </c>
      <c r="HR47" s="230">
        <v>0</v>
      </c>
      <c r="HS47" s="230">
        <v>0</v>
      </c>
      <c r="HT47" s="230">
        <v>0</v>
      </c>
      <c r="HU47" s="230">
        <v>0</v>
      </c>
      <c r="HV47" s="230">
        <v>0</v>
      </c>
      <c r="HW47" s="797">
        <v>18</v>
      </c>
      <c r="HX47" s="797">
        <v>0</v>
      </c>
      <c r="HY47" s="230">
        <v>68</v>
      </c>
      <c r="HZ47" s="230"/>
      <c r="IA47" s="230"/>
      <c r="IB47" s="230"/>
      <c r="IC47" s="232" t="s">
        <v>986</v>
      </c>
      <c r="ID47" s="233" t="s">
        <v>987</v>
      </c>
      <c r="IE47" s="467" t="s">
        <v>583</v>
      </c>
      <c r="IF47" s="232" t="s">
        <v>364</v>
      </c>
      <c r="IG47" s="467" t="s">
        <v>584</v>
      </c>
      <c r="IH47" s="467" t="s">
        <v>585</v>
      </c>
      <c r="II47" s="546" t="s">
        <v>584</v>
      </c>
      <c r="IJ47" s="467">
        <v>44462</v>
      </c>
      <c r="IK47" s="468">
        <v>3</v>
      </c>
      <c r="IL47" s="469" t="s">
        <v>1210</v>
      </c>
      <c r="IM47" s="469" t="s">
        <v>1195</v>
      </c>
      <c r="IN47" s="469" t="s">
        <v>1195</v>
      </c>
      <c r="IO47" s="469" t="s">
        <v>601</v>
      </c>
      <c r="IP47" s="469" t="s">
        <v>601</v>
      </c>
      <c r="IQ47" s="469" t="s">
        <v>601</v>
      </c>
      <c r="IR47" s="469">
        <v>1</v>
      </c>
      <c r="IS47" s="469">
        <v>2</v>
      </c>
      <c r="IT47" s="469" t="s">
        <v>675</v>
      </c>
      <c r="IU47" s="469" t="s">
        <v>675</v>
      </c>
    </row>
    <row r="48" ht="76.5">
      <c r="A48" s="322">
        <v>47</v>
      </c>
      <c r="B48" s="229" t="s">
        <v>1178</v>
      </c>
      <c r="C48" s="229" t="s">
        <v>1178</v>
      </c>
      <c r="D48" s="797" t="s">
        <v>997</v>
      </c>
      <c r="E48" s="229" t="s">
        <v>991</v>
      </c>
      <c r="F48" s="229" t="s">
        <v>26</v>
      </c>
      <c r="G48" s="797" t="s">
        <v>992</v>
      </c>
      <c r="H48" s="797" t="s">
        <v>993</v>
      </c>
      <c r="I48" s="229">
        <v>1</v>
      </c>
      <c r="J48" s="229" t="s">
        <v>994</v>
      </c>
      <c r="K48" s="231" t="s">
        <v>584</v>
      </c>
      <c r="L48" s="231" t="s">
        <v>1261</v>
      </c>
      <c r="M48" s="229" t="s">
        <v>576</v>
      </c>
      <c r="N48" s="229" t="s">
        <v>997</v>
      </c>
      <c r="O48" s="229" t="s">
        <v>587</v>
      </c>
      <c r="P48" s="229" t="s">
        <v>1208</v>
      </c>
      <c r="Q48" s="229" t="s">
        <v>597</v>
      </c>
      <c r="R48" s="229" t="s">
        <v>1193</v>
      </c>
      <c r="S48" s="229" t="s">
        <v>600</v>
      </c>
      <c r="T48" s="229" t="s">
        <v>613</v>
      </c>
      <c r="U48" s="229">
        <v>1</v>
      </c>
      <c r="V48" s="229"/>
      <c r="W48" s="229" t="b">
        <v>0</v>
      </c>
      <c r="X48" s="229" t="b">
        <v>0</v>
      </c>
      <c r="Y48" s="797">
        <v>0</v>
      </c>
      <c r="Z48" s="229" t="b">
        <v>1</v>
      </c>
      <c r="AA48" s="797">
        <v>24</v>
      </c>
      <c r="AB48" s="229" t="b">
        <v>0</v>
      </c>
      <c r="AC48" s="229" t="b">
        <v>1</v>
      </c>
      <c r="AD48" s="229">
        <v>0</v>
      </c>
      <c r="AE48" s="229"/>
      <c r="AF48" s="229" t="s">
        <v>50</v>
      </c>
      <c r="AG48" s="229">
        <v>0</v>
      </c>
      <c r="AH48" s="230"/>
      <c r="AI48" s="553" t="s">
        <v>576</v>
      </c>
      <c r="AJ48" s="553" t="s">
        <v>576</v>
      </c>
      <c r="AK48" s="229">
        <v>4</v>
      </c>
      <c r="AL48" s="465" t="s">
        <v>1188</v>
      </c>
      <c r="AM48" s="465" t="s">
        <v>1268</v>
      </c>
      <c r="AN48" s="465" t="s">
        <v>1266</v>
      </c>
      <c r="AO48" s="229" t="s">
        <v>25</v>
      </c>
      <c r="AP48" s="230" t="s">
        <v>576</v>
      </c>
      <c r="AQ48" s="230">
        <v>0</v>
      </c>
      <c r="AR48" s="230">
        <v>0</v>
      </c>
      <c r="AS48" s="230" t="s">
        <v>601</v>
      </c>
      <c r="AT48" s="230" t="s">
        <v>601</v>
      </c>
      <c r="AU48" s="230" t="s">
        <v>601</v>
      </c>
      <c r="AV48" s="230" t="s">
        <v>1178</v>
      </c>
      <c r="AW48" s="230" t="s">
        <v>601</v>
      </c>
      <c r="AX48" s="230" t="s">
        <v>601</v>
      </c>
      <c r="AY48" s="230" t="s">
        <v>601</v>
      </c>
      <c r="AZ48" s="230" t="s">
        <v>601</v>
      </c>
      <c r="BA48" s="230" t="s">
        <v>601</v>
      </c>
      <c r="BB48" s="230" t="s">
        <v>1178</v>
      </c>
      <c r="BC48" s="230" t="s">
        <v>997</v>
      </c>
      <c r="BD48" s="230">
        <v>0</v>
      </c>
      <c r="BE48" s="230">
        <v>0</v>
      </c>
      <c r="BF48" s="230" t="s">
        <v>601</v>
      </c>
      <c r="BG48" s="230" t="s">
        <v>601</v>
      </c>
      <c r="BH48" s="230" t="s">
        <v>601</v>
      </c>
      <c r="BI48" s="230" t="s">
        <v>587</v>
      </c>
      <c r="BJ48" s="230">
        <v>0</v>
      </c>
      <c r="BK48" s="230">
        <v>0</v>
      </c>
      <c r="BL48" s="230" t="s">
        <v>601</v>
      </c>
      <c r="BM48" s="230" t="s">
        <v>601</v>
      </c>
      <c r="BN48" s="230" t="s">
        <v>601</v>
      </c>
      <c r="BO48" s="553">
        <v>3</v>
      </c>
      <c r="BP48" s="553">
        <v>0</v>
      </c>
      <c r="BQ48" s="553">
        <v>0</v>
      </c>
      <c r="BR48" s="553">
        <v>0</v>
      </c>
      <c r="BS48" s="553">
        <v>0</v>
      </c>
      <c r="BT48" s="554">
        <v>0</v>
      </c>
      <c r="BU48" s="230" t="s">
        <v>597</v>
      </c>
      <c r="BV48" s="230" t="s">
        <v>601</v>
      </c>
      <c r="BW48" s="230" t="s">
        <v>601</v>
      </c>
      <c r="BX48" s="230" t="s">
        <v>601</v>
      </c>
      <c r="BY48" s="230" t="s">
        <v>601</v>
      </c>
      <c r="BZ48" s="230" t="s">
        <v>601</v>
      </c>
      <c r="CA48" s="230">
        <v>2</v>
      </c>
      <c r="CB48" s="230">
        <v>2</v>
      </c>
      <c r="CC48" s="230">
        <v>2</v>
      </c>
      <c r="CD48" s="230">
        <v>0</v>
      </c>
      <c r="CE48" s="230">
        <v>0</v>
      </c>
      <c r="CF48" s="230">
        <v>0</v>
      </c>
      <c r="CG48" s="230">
        <v>0</v>
      </c>
      <c r="CH48" s="230">
        <v>0</v>
      </c>
      <c r="CI48" s="230">
        <v>0</v>
      </c>
      <c r="CJ48" s="230">
        <v>0</v>
      </c>
      <c r="CK48" s="230">
        <v>0</v>
      </c>
      <c r="CL48" s="230">
        <v>0</v>
      </c>
      <c r="CM48" s="230">
        <v>0</v>
      </c>
      <c r="CN48" s="230">
        <v>0</v>
      </c>
      <c r="CO48" s="230">
        <v>0</v>
      </c>
      <c r="CP48" s="230">
        <v>0</v>
      </c>
      <c r="CQ48" s="230">
        <v>0</v>
      </c>
      <c r="CR48" s="230">
        <v>0</v>
      </c>
      <c r="CS48" s="230">
        <v>0</v>
      </c>
      <c r="CT48" s="230">
        <v>0</v>
      </c>
      <c r="CU48" s="230">
        <v>0</v>
      </c>
      <c r="CV48" s="230">
        <v>0</v>
      </c>
      <c r="CW48" s="230">
        <v>0</v>
      </c>
      <c r="CX48" s="230">
        <v>0</v>
      </c>
      <c r="CY48" s="230">
        <v>0</v>
      </c>
      <c r="CZ48" s="230">
        <v>0</v>
      </c>
      <c r="DA48" s="230">
        <v>0</v>
      </c>
      <c r="DB48" s="230">
        <v>0</v>
      </c>
      <c r="DC48" s="230">
        <v>0</v>
      </c>
      <c r="DD48" s="230">
        <v>0</v>
      </c>
      <c r="DE48" s="230">
        <v>0</v>
      </c>
      <c r="DF48" s="230">
        <v>0</v>
      </c>
      <c r="DG48" s="230">
        <v>0</v>
      </c>
      <c r="DH48" s="230">
        <v>0</v>
      </c>
      <c r="DI48" s="230">
        <v>0</v>
      </c>
      <c r="DJ48" s="230">
        <v>0</v>
      </c>
      <c r="DK48" s="230" t="s">
        <v>599</v>
      </c>
      <c r="DL48" s="230" t="s">
        <v>601</v>
      </c>
      <c r="DM48" s="230" t="s">
        <v>601</v>
      </c>
      <c r="DN48" s="230" t="s">
        <v>601</v>
      </c>
      <c r="DO48" s="230" t="s">
        <v>601</v>
      </c>
      <c r="DP48" s="230" t="s">
        <v>601</v>
      </c>
      <c r="DQ48" s="230" t="s">
        <v>1193</v>
      </c>
      <c r="DR48" s="230" t="s">
        <v>601</v>
      </c>
      <c r="DS48" s="230" t="s">
        <v>601</v>
      </c>
      <c r="DT48" s="230" t="s">
        <v>601</v>
      </c>
      <c r="DU48" s="230" t="s">
        <v>601</v>
      </c>
      <c r="DV48" s="230" t="s">
        <v>601</v>
      </c>
      <c r="DW48" s="230">
        <v>40</v>
      </c>
      <c r="DX48" s="230">
        <v>40</v>
      </c>
      <c r="DY48" s="230">
        <v>40</v>
      </c>
      <c r="DZ48" s="230">
        <v>0</v>
      </c>
      <c r="EA48" s="230">
        <v>0</v>
      </c>
      <c r="EB48" s="230">
        <v>0</v>
      </c>
      <c r="EC48" s="230">
        <v>40</v>
      </c>
      <c r="ED48" s="230">
        <v>0</v>
      </c>
      <c r="EE48" s="230">
        <v>0</v>
      </c>
      <c r="EF48" s="230">
        <v>0</v>
      </c>
      <c r="EG48" s="230">
        <v>0</v>
      </c>
      <c r="EH48" s="230">
        <v>0</v>
      </c>
      <c r="EI48" s="230">
        <v>0</v>
      </c>
      <c r="EJ48" s="230">
        <v>0</v>
      </c>
      <c r="EK48" s="230">
        <v>0</v>
      </c>
      <c r="EL48" s="230">
        <v>0</v>
      </c>
      <c r="EM48" s="230">
        <v>0</v>
      </c>
      <c r="EN48" s="230">
        <v>0</v>
      </c>
      <c r="EO48" s="230">
        <v>0</v>
      </c>
      <c r="EP48" s="230">
        <v>0</v>
      </c>
      <c r="EQ48" s="230">
        <v>0</v>
      </c>
      <c r="ER48" s="230">
        <v>0</v>
      </c>
      <c r="ES48" s="230">
        <v>0</v>
      </c>
      <c r="ET48" s="230">
        <v>0</v>
      </c>
      <c r="EU48" s="230">
        <v>0</v>
      </c>
      <c r="EV48" s="230">
        <v>0</v>
      </c>
      <c r="EW48" s="230">
        <v>0</v>
      </c>
      <c r="EX48" s="230">
        <v>0</v>
      </c>
      <c r="EY48" s="230">
        <v>0</v>
      </c>
      <c r="EZ48" s="230">
        <v>0</v>
      </c>
      <c r="FA48" s="230">
        <v>0</v>
      </c>
      <c r="FB48" s="230">
        <v>0</v>
      </c>
      <c r="FC48" s="230">
        <v>0</v>
      </c>
      <c r="FD48" s="230">
        <v>0</v>
      </c>
      <c r="FE48" s="230">
        <v>0</v>
      </c>
      <c r="FF48" s="230">
        <v>0</v>
      </c>
      <c r="FG48" s="230">
        <v>0</v>
      </c>
      <c r="FH48" s="230">
        <v>0</v>
      </c>
      <c r="FI48" s="230">
        <v>0</v>
      </c>
      <c r="FJ48" s="230">
        <v>0</v>
      </c>
      <c r="FK48" s="230">
        <v>0</v>
      </c>
      <c r="FL48" s="230">
        <v>0</v>
      </c>
      <c r="FM48" s="230">
        <v>40</v>
      </c>
      <c r="FN48" s="230">
        <v>2100</v>
      </c>
      <c r="FO48" s="230">
        <v>0</v>
      </c>
      <c r="FP48" s="230">
        <v>0</v>
      </c>
      <c r="FQ48" s="230" t="s">
        <v>601</v>
      </c>
      <c r="FR48" s="230" t="s">
        <v>601</v>
      </c>
      <c r="FS48" s="230" t="s">
        <v>601</v>
      </c>
      <c r="FT48" s="230" t="s">
        <v>613</v>
      </c>
      <c r="FU48" s="230">
        <v>0</v>
      </c>
      <c r="FV48" s="230">
        <v>0</v>
      </c>
      <c r="FW48" s="230" t="s">
        <v>601</v>
      </c>
      <c r="FX48" s="230" t="s">
        <v>601</v>
      </c>
      <c r="FY48" s="230" t="s">
        <v>601</v>
      </c>
      <c r="FZ48" s="230" t="s">
        <v>613</v>
      </c>
      <c r="GA48" s="230" t="s">
        <v>601</v>
      </c>
      <c r="GB48" s="230" t="s">
        <v>601</v>
      </c>
      <c r="GC48" s="230" t="s">
        <v>601</v>
      </c>
      <c r="GD48" s="230" t="s">
        <v>601</v>
      </c>
      <c r="GE48" s="230" t="s">
        <v>601</v>
      </c>
      <c r="GF48" s="230">
        <v>24</v>
      </c>
      <c r="GG48" s="230">
        <v>24</v>
      </c>
      <c r="GH48" s="230">
        <v>24</v>
      </c>
      <c r="GI48" s="230">
        <v>0</v>
      </c>
      <c r="GJ48" s="230">
        <v>0</v>
      </c>
      <c r="GK48" s="230">
        <v>0</v>
      </c>
      <c r="GL48" s="230">
        <v>0</v>
      </c>
      <c r="GM48" s="230">
        <v>0</v>
      </c>
      <c r="GN48" s="230">
        <v>0</v>
      </c>
      <c r="GO48" s="230">
        <v>0</v>
      </c>
      <c r="GP48" s="230">
        <v>0</v>
      </c>
      <c r="GQ48" s="230">
        <v>0</v>
      </c>
      <c r="GR48" s="230">
        <v>0</v>
      </c>
      <c r="GS48" s="230">
        <v>0</v>
      </c>
      <c r="GT48" s="230">
        <v>0</v>
      </c>
      <c r="GU48" s="230">
        <v>0</v>
      </c>
      <c r="GV48" s="230">
        <v>0</v>
      </c>
      <c r="GW48" s="230">
        <v>0</v>
      </c>
      <c r="GX48" s="230">
        <v>0</v>
      </c>
      <c r="GY48" s="230">
        <v>0</v>
      </c>
      <c r="GZ48" s="230">
        <v>0</v>
      </c>
      <c r="HA48" s="230">
        <v>0</v>
      </c>
      <c r="HB48" s="230">
        <v>0</v>
      </c>
      <c r="HC48" s="230">
        <v>0</v>
      </c>
      <c r="HD48" s="230">
        <v>0</v>
      </c>
      <c r="HE48" s="230">
        <v>0</v>
      </c>
      <c r="HF48" s="230">
        <v>0</v>
      </c>
      <c r="HG48" s="230">
        <v>0</v>
      </c>
      <c r="HH48" s="230">
        <v>0</v>
      </c>
      <c r="HI48" s="230">
        <v>0</v>
      </c>
      <c r="HJ48" s="230">
        <v>0</v>
      </c>
      <c r="HK48" s="230">
        <v>0</v>
      </c>
      <c r="HL48" s="230">
        <v>0</v>
      </c>
      <c r="HM48" s="230">
        <v>0</v>
      </c>
      <c r="HN48" s="230">
        <v>0</v>
      </c>
      <c r="HO48" s="230">
        <v>0</v>
      </c>
      <c r="HP48" s="230" t="s">
        <v>51</v>
      </c>
      <c r="HQ48" s="230">
        <v>24</v>
      </c>
      <c r="HR48" s="230">
        <v>0</v>
      </c>
      <c r="HS48" s="230">
        <v>0</v>
      </c>
      <c r="HT48" s="230">
        <v>0</v>
      </c>
      <c r="HU48" s="230">
        <v>0</v>
      </c>
      <c r="HV48" s="230">
        <v>0</v>
      </c>
      <c r="HW48" s="797">
        <v>24</v>
      </c>
      <c r="HX48" s="797">
        <v>0</v>
      </c>
      <c r="HY48" s="230">
        <v>68</v>
      </c>
      <c r="HZ48" s="230"/>
      <c r="IA48" s="230"/>
      <c r="IB48" s="230"/>
      <c r="IC48" s="232" t="s">
        <v>995</v>
      </c>
      <c r="ID48" s="233" t="s">
        <v>996</v>
      </c>
      <c r="IE48" s="467" t="s">
        <v>583</v>
      </c>
      <c r="IF48" s="232" t="s">
        <v>364</v>
      </c>
      <c r="IG48" s="467" t="s">
        <v>584</v>
      </c>
      <c r="IH48" s="467" t="s">
        <v>585</v>
      </c>
      <c r="II48" s="546" t="s">
        <v>584</v>
      </c>
      <c r="IJ48" s="467">
        <v>44462</v>
      </c>
      <c r="IK48" s="468">
        <v>3</v>
      </c>
      <c r="IL48" s="469" t="s">
        <v>1210</v>
      </c>
      <c r="IM48" s="469" t="s">
        <v>1195</v>
      </c>
      <c r="IN48" s="469" t="s">
        <v>1195</v>
      </c>
      <c r="IO48" s="469" t="s">
        <v>601</v>
      </c>
      <c r="IP48" s="469" t="s">
        <v>601</v>
      </c>
      <c r="IQ48" s="469" t="s">
        <v>601</v>
      </c>
      <c r="IR48" s="469">
        <v>1</v>
      </c>
      <c r="IS48" s="469">
        <v>2</v>
      </c>
      <c r="IT48" s="469" t="s">
        <v>675</v>
      </c>
      <c r="IU48" s="469" t="s">
        <v>675</v>
      </c>
    </row>
    <row r="49" ht="76.5">
      <c r="A49" s="322">
        <v>48</v>
      </c>
      <c r="B49" s="229" t="s">
        <v>1178</v>
      </c>
      <c r="C49" s="229" t="s">
        <v>1178</v>
      </c>
      <c r="D49" s="797" t="s">
        <v>1005</v>
      </c>
      <c r="E49" s="229" t="s">
        <v>999</v>
      </c>
      <c r="F49" s="229" t="s">
        <v>26</v>
      </c>
      <c r="G49" s="797" t="s">
        <v>1000</v>
      </c>
      <c r="H49" s="797" t="s">
        <v>1001</v>
      </c>
      <c r="I49" s="229">
        <v>1</v>
      </c>
      <c r="J49" s="229" t="s">
        <v>1002</v>
      </c>
      <c r="K49" s="231" t="s">
        <v>584</v>
      </c>
      <c r="L49" s="231" t="s">
        <v>1271</v>
      </c>
      <c r="M49" s="229" t="s">
        <v>576</v>
      </c>
      <c r="N49" s="229" t="s">
        <v>1005</v>
      </c>
      <c r="O49" s="229" t="s">
        <v>587</v>
      </c>
      <c r="P49" s="229" t="s">
        <v>1208</v>
      </c>
      <c r="Q49" s="229" t="s">
        <v>597</v>
      </c>
      <c r="R49" s="229" t="s">
        <v>1193</v>
      </c>
      <c r="S49" s="229" t="s">
        <v>600</v>
      </c>
      <c r="T49" s="229" t="s">
        <v>658</v>
      </c>
      <c r="U49" s="229">
        <v>1</v>
      </c>
      <c r="V49" s="229"/>
      <c r="W49" s="229" t="b">
        <v>0</v>
      </c>
      <c r="X49" s="229" t="b">
        <v>0</v>
      </c>
      <c r="Y49" s="797">
        <v>0</v>
      </c>
      <c r="Z49" s="229" t="b">
        <v>1</v>
      </c>
      <c r="AA49" s="797">
        <v>20</v>
      </c>
      <c r="AB49" s="229" t="b">
        <v>0</v>
      </c>
      <c r="AC49" s="229" t="b">
        <v>1</v>
      </c>
      <c r="AD49" s="229">
        <v>0</v>
      </c>
      <c r="AE49" s="229"/>
      <c r="AF49" s="229" t="s">
        <v>50</v>
      </c>
      <c r="AG49" s="229">
        <v>0</v>
      </c>
      <c r="AH49" s="230"/>
      <c r="AI49" s="553" t="s">
        <v>576</v>
      </c>
      <c r="AJ49" s="553" t="s">
        <v>576</v>
      </c>
      <c r="AK49" s="229">
        <v>4</v>
      </c>
      <c r="AL49" s="465" t="s">
        <v>1188</v>
      </c>
      <c r="AM49" s="465" t="s">
        <v>1272</v>
      </c>
      <c r="AN49" s="465" t="s">
        <v>1273</v>
      </c>
      <c r="AO49" s="229" t="s">
        <v>25</v>
      </c>
      <c r="AP49" s="230" t="s">
        <v>576</v>
      </c>
      <c r="AQ49" s="230">
        <v>0</v>
      </c>
      <c r="AR49" s="230">
        <v>0</v>
      </c>
      <c r="AS49" s="230" t="s">
        <v>601</v>
      </c>
      <c r="AT49" s="230" t="s">
        <v>601</v>
      </c>
      <c r="AU49" s="230" t="s">
        <v>601</v>
      </c>
      <c r="AV49" s="230" t="s">
        <v>1178</v>
      </c>
      <c r="AW49" s="230" t="s">
        <v>601</v>
      </c>
      <c r="AX49" s="230" t="s">
        <v>601</v>
      </c>
      <c r="AY49" s="230" t="s">
        <v>601</v>
      </c>
      <c r="AZ49" s="230" t="s">
        <v>601</v>
      </c>
      <c r="BA49" s="230" t="s">
        <v>601</v>
      </c>
      <c r="BB49" s="230" t="s">
        <v>1178</v>
      </c>
      <c r="BC49" s="230" t="s">
        <v>1005</v>
      </c>
      <c r="BD49" s="230">
        <v>0</v>
      </c>
      <c r="BE49" s="230">
        <v>0</v>
      </c>
      <c r="BF49" s="230" t="s">
        <v>601</v>
      </c>
      <c r="BG49" s="230" t="s">
        <v>601</v>
      </c>
      <c r="BH49" s="230" t="s">
        <v>601</v>
      </c>
      <c r="BI49" s="230" t="s">
        <v>587</v>
      </c>
      <c r="BJ49" s="230">
        <v>0</v>
      </c>
      <c r="BK49" s="230">
        <v>0</v>
      </c>
      <c r="BL49" s="230" t="s">
        <v>601</v>
      </c>
      <c r="BM49" s="230" t="s">
        <v>601</v>
      </c>
      <c r="BN49" s="230" t="s">
        <v>601</v>
      </c>
      <c r="BO49" s="553">
        <v>3</v>
      </c>
      <c r="BP49" s="553">
        <v>0</v>
      </c>
      <c r="BQ49" s="553">
        <v>0</v>
      </c>
      <c r="BR49" s="553">
        <v>0</v>
      </c>
      <c r="BS49" s="553">
        <v>0</v>
      </c>
      <c r="BT49" s="554">
        <v>0</v>
      </c>
      <c r="BU49" s="230" t="s">
        <v>597</v>
      </c>
      <c r="BV49" s="230" t="s">
        <v>601</v>
      </c>
      <c r="BW49" s="230" t="s">
        <v>601</v>
      </c>
      <c r="BX49" s="230" t="s">
        <v>601</v>
      </c>
      <c r="BY49" s="230" t="s">
        <v>601</v>
      </c>
      <c r="BZ49" s="230" t="s">
        <v>601</v>
      </c>
      <c r="CA49" s="230">
        <v>2</v>
      </c>
      <c r="CB49" s="230">
        <v>2</v>
      </c>
      <c r="CC49" s="230">
        <v>2</v>
      </c>
      <c r="CD49" s="230">
        <v>0</v>
      </c>
      <c r="CE49" s="230">
        <v>0</v>
      </c>
      <c r="CF49" s="230">
        <v>0</v>
      </c>
      <c r="CG49" s="230">
        <v>0</v>
      </c>
      <c r="CH49" s="230">
        <v>0</v>
      </c>
      <c r="CI49" s="230">
        <v>0</v>
      </c>
      <c r="CJ49" s="230">
        <v>0</v>
      </c>
      <c r="CK49" s="230">
        <v>0</v>
      </c>
      <c r="CL49" s="230">
        <v>0</v>
      </c>
      <c r="CM49" s="230">
        <v>0</v>
      </c>
      <c r="CN49" s="230">
        <v>0</v>
      </c>
      <c r="CO49" s="230">
        <v>0</v>
      </c>
      <c r="CP49" s="230">
        <v>0</v>
      </c>
      <c r="CQ49" s="230">
        <v>0</v>
      </c>
      <c r="CR49" s="230">
        <v>0</v>
      </c>
      <c r="CS49" s="230">
        <v>0</v>
      </c>
      <c r="CT49" s="230">
        <v>0</v>
      </c>
      <c r="CU49" s="230">
        <v>0</v>
      </c>
      <c r="CV49" s="230">
        <v>0</v>
      </c>
      <c r="CW49" s="230">
        <v>0</v>
      </c>
      <c r="CX49" s="230">
        <v>0</v>
      </c>
      <c r="CY49" s="230">
        <v>0</v>
      </c>
      <c r="CZ49" s="230">
        <v>0</v>
      </c>
      <c r="DA49" s="230">
        <v>0</v>
      </c>
      <c r="DB49" s="230">
        <v>0</v>
      </c>
      <c r="DC49" s="230">
        <v>0</v>
      </c>
      <c r="DD49" s="230">
        <v>0</v>
      </c>
      <c r="DE49" s="230">
        <v>0</v>
      </c>
      <c r="DF49" s="230">
        <v>0</v>
      </c>
      <c r="DG49" s="230">
        <v>0</v>
      </c>
      <c r="DH49" s="230">
        <v>0</v>
      </c>
      <c r="DI49" s="230">
        <v>0</v>
      </c>
      <c r="DJ49" s="230">
        <v>0</v>
      </c>
      <c r="DK49" s="230" t="s">
        <v>599</v>
      </c>
      <c r="DL49" s="230" t="s">
        <v>601</v>
      </c>
      <c r="DM49" s="230" t="s">
        <v>601</v>
      </c>
      <c r="DN49" s="230" t="s">
        <v>601</v>
      </c>
      <c r="DO49" s="230" t="s">
        <v>601</v>
      </c>
      <c r="DP49" s="230" t="s">
        <v>601</v>
      </c>
      <c r="DQ49" s="230" t="s">
        <v>1193</v>
      </c>
      <c r="DR49" s="230" t="s">
        <v>601</v>
      </c>
      <c r="DS49" s="230" t="s">
        <v>601</v>
      </c>
      <c r="DT49" s="230" t="s">
        <v>601</v>
      </c>
      <c r="DU49" s="230" t="s">
        <v>601</v>
      </c>
      <c r="DV49" s="230" t="s">
        <v>601</v>
      </c>
      <c r="DW49" s="230">
        <v>40</v>
      </c>
      <c r="DX49" s="230">
        <v>40</v>
      </c>
      <c r="DY49" s="230">
        <v>40</v>
      </c>
      <c r="DZ49" s="230">
        <v>0</v>
      </c>
      <c r="EA49" s="230">
        <v>0</v>
      </c>
      <c r="EB49" s="230">
        <v>0</v>
      </c>
      <c r="EC49" s="230">
        <v>40</v>
      </c>
      <c r="ED49" s="230">
        <v>0</v>
      </c>
      <c r="EE49" s="230">
        <v>0</v>
      </c>
      <c r="EF49" s="230">
        <v>0</v>
      </c>
      <c r="EG49" s="230">
        <v>0</v>
      </c>
      <c r="EH49" s="230">
        <v>0</v>
      </c>
      <c r="EI49" s="230">
        <v>0</v>
      </c>
      <c r="EJ49" s="230">
        <v>0</v>
      </c>
      <c r="EK49" s="230">
        <v>0</v>
      </c>
      <c r="EL49" s="230">
        <v>0</v>
      </c>
      <c r="EM49" s="230">
        <v>0</v>
      </c>
      <c r="EN49" s="230">
        <v>0</v>
      </c>
      <c r="EO49" s="230">
        <v>0</v>
      </c>
      <c r="EP49" s="230">
        <v>0</v>
      </c>
      <c r="EQ49" s="230">
        <v>0</v>
      </c>
      <c r="ER49" s="230">
        <v>0</v>
      </c>
      <c r="ES49" s="230">
        <v>0</v>
      </c>
      <c r="ET49" s="230">
        <v>0</v>
      </c>
      <c r="EU49" s="230">
        <v>0</v>
      </c>
      <c r="EV49" s="230">
        <v>0</v>
      </c>
      <c r="EW49" s="230">
        <v>0</v>
      </c>
      <c r="EX49" s="230">
        <v>0</v>
      </c>
      <c r="EY49" s="230">
        <v>0</v>
      </c>
      <c r="EZ49" s="230">
        <v>0</v>
      </c>
      <c r="FA49" s="230">
        <v>0</v>
      </c>
      <c r="FB49" s="230">
        <v>0</v>
      </c>
      <c r="FC49" s="230">
        <v>0</v>
      </c>
      <c r="FD49" s="230">
        <v>0</v>
      </c>
      <c r="FE49" s="230">
        <v>0</v>
      </c>
      <c r="FF49" s="230">
        <v>0</v>
      </c>
      <c r="FG49" s="230">
        <v>0</v>
      </c>
      <c r="FH49" s="230">
        <v>0</v>
      </c>
      <c r="FI49" s="230">
        <v>0</v>
      </c>
      <c r="FJ49" s="230">
        <v>0</v>
      </c>
      <c r="FK49" s="230">
        <v>0</v>
      </c>
      <c r="FL49" s="230">
        <v>0</v>
      </c>
      <c r="FM49" s="230">
        <v>40</v>
      </c>
      <c r="FN49" s="230">
        <v>2100</v>
      </c>
      <c r="FO49" s="230">
        <v>0</v>
      </c>
      <c r="FP49" s="230">
        <v>0</v>
      </c>
      <c r="FQ49" s="230" t="s">
        <v>601</v>
      </c>
      <c r="FR49" s="230" t="s">
        <v>601</v>
      </c>
      <c r="FS49" s="230" t="s">
        <v>601</v>
      </c>
      <c r="FT49" s="230" t="s">
        <v>658</v>
      </c>
      <c r="FU49" s="230">
        <v>0</v>
      </c>
      <c r="FV49" s="230">
        <v>0</v>
      </c>
      <c r="FW49" s="230" t="s">
        <v>601</v>
      </c>
      <c r="FX49" s="230" t="s">
        <v>601</v>
      </c>
      <c r="FY49" s="230" t="s">
        <v>601</v>
      </c>
      <c r="FZ49" s="230" t="s">
        <v>658</v>
      </c>
      <c r="GA49" s="230" t="s">
        <v>601</v>
      </c>
      <c r="GB49" s="230" t="s">
        <v>601</v>
      </c>
      <c r="GC49" s="230" t="s">
        <v>601</v>
      </c>
      <c r="GD49" s="230" t="s">
        <v>601</v>
      </c>
      <c r="GE49" s="230" t="s">
        <v>601</v>
      </c>
      <c r="GF49" s="230">
        <v>20</v>
      </c>
      <c r="GG49" s="230">
        <v>20</v>
      </c>
      <c r="GH49" s="230">
        <v>20</v>
      </c>
      <c r="GI49" s="230">
        <v>0</v>
      </c>
      <c r="GJ49" s="230">
        <v>0</v>
      </c>
      <c r="GK49" s="230">
        <v>0</v>
      </c>
      <c r="GL49" s="230">
        <v>0</v>
      </c>
      <c r="GM49" s="230">
        <v>0</v>
      </c>
      <c r="GN49" s="230">
        <v>0</v>
      </c>
      <c r="GO49" s="230">
        <v>0</v>
      </c>
      <c r="GP49" s="230">
        <v>0</v>
      </c>
      <c r="GQ49" s="230">
        <v>0</v>
      </c>
      <c r="GR49" s="230">
        <v>0</v>
      </c>
      <c r="GS49" s="230">
        <v>0</v>
      </c>
      <c r="GT49" s="230">
        <v>0</v>
      </c>
      <c r="GU49" s="230">
        <v>0</v>
      </c>
      <c r="GV49" s="230">
        <v>0</v>
      </c>
      <c r="GW49" s="230">
        <v>0</v>
      </c>
      <c r="GX49" s="230">
        <v>0</v>
      </c>
      <c r="GY49" s="230">
        <v>0</v>
      </c>
      <c r="GZ49" s="230">
        <v>0</v>
      </c>
      <c r="HA49" s="230">
        <v>0</v>
      </c>
      <c r="HB49" s="230">
        <v>0</v>
      </c>
      <c r="HC49" s="230">
        <v>0</v>
      </c>
      <c r="HD49" s="230">
        <v>0</v>
      </c>
      <c r="HE49" s="230">
        <v>0</v>
      </c>
      <c r="HF49" s="230">
        <v>0</v>
      </c>
      <c r="HG49" s="230">
        <v>0</v>
      </c>
      <c r="HH49" s="230">
        <v>0</v>
      </c>
      <c r="HI49" s="230">
        <v>0</v>
      </c>
      <c r="HJ49" s="230">
        <v>0</v>
      </c>
      <c r="HK49" s="230">
        <v>0</v>
      </c>
      <c r="HL49" s="230">
        <v>0</v>
      </c>
      <c r="HM49" s="230">
        <v>0</v>
      </c>
      <c r="HN49" s="230">
        <v>0</v>
      </c>
      <c r="HO49" s="230">
        <v>0</v>
      </c>
      <c r="HP49" s="230" t="s">
        <v>51</v>
      </c>
      <c r="HQ49" s="230">
        <v>20</v>
      </c>
      <c r="HR49" s="230">
        <v>0</v>
      </c>
      <c r="HS49" s="230">
        <v>0</v>
      </c>
      <c r="HT49" s="230">
        <v>0</v>
      </c>
      <c r="HU49" s="230">
        <v>0</v>
      </c>
      <c r="HV49" s="230">
        <v>0</v>
      </c>
      <c r="HW49" s="797">
        <v>20</v>
      </c>
      <c r="HX49" s="797">
        <v>0</v>
      </c>
      <c r="HY49" s="230">
        <v>68</v>
      </c>
      <c r="HZ49" s="230"/>
      <c r="IA49" s="230"/>
      <c r="IB49" s="230"/>
      <c r="IC49" s="232" t="s">
        <v>1003</v>
      </c>
      <c r="ID49" s="233" t="s">
        <v>1004</v>
      </c>
      <c r="IE49" s="467" t="s">
        <v>583</v>
      </c>
      <c r="IF49" s="232" t="s">
        <v>364</v>
      </c>
      <c r="IG49" s="467" t="s">
        <v>584</v>
      </c>
      <c r="IH49" s="467" t="s">
        <v>585</v>
      </c>
      <c r="II49" s="546" t="s">
        <v>584</v>
      </c>
      <c r="IJ49" s="467">
        <v>44462</v>
      </c>
      <c r="IK49" s="468">
        <v>3</v>
      </c>
      <c r="IL49" s="469" t="s">
        <v>1210</v>
      </c>
      <c r="IM49" s="469" t="s">
        <v>1195</v>
      </c>
      <c r="IN49" s="469" t="s">
        <v>1195</v>
      </c>
      <c r="IO49" s="469" t="s">
        <v>601</v>
      </c>
      <c r="IP49" s="469" t="s">
        <v>601</v>
      </c>
      <c r="IQ49" s="469" t="s">
        <v>601</v>
      </c>
      <c r="IR49" s="469">
        <v>1</v>
      </c>
      <c r="IS49" s="469">
        <v>2</v>
      </c>
      <c r="IT49" s="469" t="s">
        <v>675</v>
      </c>
      <c r="IU49" s="469" t="s">
        <v>675</v>
      </c>
    </row>
    <row r="50" ht="76.5">
      <c r="A50" s="322">
        <v>49</v>
      </c>
      <c r="B50" s="229" t="s">
        <v>1178</v>
      </c>
      <c r="C50" s="229" t="s">
        <v>1178</v>
      </c>
      <c r="D50" s="797" t="s">
        <v>1013</v>
      </c>
      <c r="E50" s="229" t="s">
        <v>1007</v>
      </c>
      <c r="F50" s="229" t="s">
        <v>26</v>
      </c>
      <c r="G50" s="797" t="s">
        <v>1008</v>
      </c>
      <c r="H50" s="797" t="s">
        <v>1009</v>
      </c>
      <c r="I50" s="229">
        <v>1</v>
      </c>
      <c r="J50" s="229" t="s">
        <v>1010</v>
      </c>
      <c r="K50" s="231" t="s">
        <v>584</v>
      </c>
      <c r="L50" s="231" t="s">
        <v>1271</v>
      </c>
      <c r="M50" s="229" t="s">
        <v>576</v>
      </c>
      <c r="N50" s="229" t="s">
        <v>1013</v>
      </c>
      <c r="O50" s="229" t="s">
        <v>587</v>
      </c>
      <c r="P50" s="229" t="s">
        <v>596</v>
      </c>
      <c r="Q50" s="229" t="s">
        <v>968</v>
      </c>
      <c r="R50" s="229" t="s">
        <v>1264</v>
      </c>
      <c r="S50" s="229" t="s">
        <v>600</v>
      </c>
      <c r="T50" s="229" t="s">
        <v>1014</v>
      </c>
      <c r="U50" s="229">
        <v>1</v>
      </c>
      <c r="V50" s="229"/>
      <c r="W50" s="229" t="b">
        <v>0</v>
      </c>
      <c r="X50" s="229" t="b">
        <v>0</v>
      </c>
      <c r="Y50" s="797">
        <v>0</v>
      </c>
      <c r="Z50" s="229" t="b">
        <v>1</v>
      </c>
      <c r="AA50" s="797">
        <v>21</v>
      </c>
      <c r="AB50" s="229" t="b">
        <v>0</v>
      </c>
      <c r="AC50" s="229" t="b">
        <v>1</v>
      </c>
      <c r="AD50" s="229">
        <v>0</v>
      </c>
      <c r="AE50" s="229"/>
      <c r="AF50" s="229" t="s">
        <v>50</v>
      </c>
      <c r="AG50" s="229">
        <v>0</v>
      </c>
      <c r="AH50" s="230"/>
      <c r="AI50" s="553" t="s">
        <v>576</v>
      </c>
      <c r="AJ50" s="553" t="s">
        <v>576</v>
      </c>
      <c r="AK50" s="229">
        <v>4</v>
      </c>
      <c r="AL50" s="465" t="s">
        <v>1188</v>
      </c>
      <c r="AM50" s="465" t="s">
        <v>1272</v>
      </c>
      <c r="AN50" s="465" t="s">
        <v>1274</v>
      </c>
      <c r="AO50" s="229" t="s">
        <v>25</v>
      </c>
      <c r="AP50" s="230" t="s">
        <v>576</v>
      </c>
      <c r="AQ50" s="230">
        <v>0</v>
      </c>
      <c r="AR50" s="230">
        <v>0</v>
      </c>
      <c r="AS50" s="230" t="s">
        <v>601</v>
      </c>
      <c r="AT50" s="230" t="s">
        <v>601</v>
      </c>
      <c r="AU50" s="230" t="s">
        <v>601</v>
      </c>
      <c r="AV50" s="230" t="s">
        <v>1178</v>
      </c>
      <c r="AW50" s="230" t="s">
        <v>601</v>
      </c>
      <c r="AX50" s="230" t="s">
        <v>601</v>
      </c>
      <c r="AY50" s="230" t="s">
        <v>601</v>
      </c>
      <c r="AZ50" s="230" t="s">
        <v>601</v>
      </c>
      <c r="BA50" s="230" t="s">
        <v>601</v>
      </c>
      <c r="BB50" s="230" t="s">
        <v>1178</v>
      </c>
      <c r="BC50" s="230" t="s">
        <v>1013</v>
      </c>
      <c r="BD50" s="230">
        <v>0</v>
      </c>
      <c r="BE50" s="230">
        <v>0</v>
      </c>
      <c r="BF50" s="230" t="s">
        <v>601</v>
      </c>
      <c r="BG50" s="230" t="s">
        <v>601</v>
      </c>
      <c r="BH50" s="230" t="s">
        <v>601</v>
      </c>
      <c r="BI50" s="230" t="s">
        <v>587</v>
      </c>
      <c r="BJ50" s="230">
        <v>0</v>
      </c>
      <c r="BK50" s="230">
        <v>0</v>
      </c>
      <c r="BL50" s="230" t="s">
        <v>601</v>
      </c>
      <c r="BM50" s="230" t="s">
        <v>601</v>
      </c>
      <c r="BN50" s="230" t="s">
        <v>601</v>
      </c>
      <c r="BO50" s="553">
        <v>2</v>
      </c>
      <c r="BP50" s="553">
        <v>0</v>
      </c>
      <c r="BQ50" s="553">
        <v>0</v>
      </c>
      <c r="BR50" s="553">
        <v>0</v>
      </c>
      <c r="BS50" s="553">
        <v>0</v>
      </c>
      <c r="BT50" s="554">
        <v>0</v>
      </c>
      <c r="BU50" s="230" t="s">
        <v>968</v>
      </c>
      <c r="BV50" s="230" t="s">
        <v>601</v>
      </c>
      <c r="BW50" s="230" t="s">
        <v>601</v>
      </c>
      <c r="BX50" s="230" t="s">
        <v>601</v>
      </c>
      <c r="BY50" s="230" t="s">
        <v>601</v>
      </c>
      <c r="BZ50" s="230" t="s">
        <v>601</v>
      </c>
      <c r="CA50" s="230">
        <v>2</v>
      </c>
      <c r="CB50" s="230">
        <v>2</v>
      </c>
      <c r="CC50" s="230">
        <v>0</v>
      </c>
      <c r="CD50" s="230">
        <v>0</v>
      </c>
      <c r="CE50" s="230">
        <v>0</v>
      </c>
      <c r="CF50" s="230">
        <v>0</v>
      </c>
      <c r="CG50" s="230">
        <v>0</v>
      </c>
      <c r="CH50" s="230">
        <v>0</v>
      </c>
      <c r="CI50" s="230">
        <v>0</v>
      </c>
      <c r="CJ50" s="230">
        <v>0</v>
      </c>
      <c r="CK50" s="230">
        <v>0</v>
      </c>
      <c r="CL50" s="230">
        <v>0</v>
      </c>
      <c r="CM50" s="230">
        <v>0</v>
      </c>
      <c r="CN50" s="230">
        <v>0</v>
      </c>
      <c r="CO50" s="230">
        <v>0</v>
      </c>
      <c r="CP50" s="230">
        <v>0</v>
      </c>
      <c r="CQ50" s="230">
        <v>0</v>
      </c>
      <c r="CR50" s="230">
        <v>0</v>
      </c>
      <c r="CS50" s="230">
        <v>0</v>
      </c>
      <c r="CT50" s="230">
        <v>0</v>
      </c>
      <c r="CU50" s="230">
        <v>0</v>
      </c>
      <c r="CV50" s="230">
        <v>0</v>
      </c>
      <c r="CW50" s="230">
        <v>0</v>
      </c>
      <c r="CX50" s="230">
        <v>0</v>
      </c>
      <c r="CY50" s="230">
        <v>0</v>
      </c>
      <c r="CZ50" s="230">
        <v>0</v>
      </c>
      <c r="DA50" s="230">
        <v>0</v>
      </c>
      <c r="DB50" s="230">
        <v>0</v>
      </c>
      <c r="DC50" s="230">
        <v>0</v>
      </c>
      <c r="DD50" s="230">
        <v>0</v>
      </c>
      <c r="DE50" s="230">
        <v>0</v>
      </c>
      <c r="DF50" s="230">
        <v>0</v>
      </c>
      <c r="DG50" s="230">
        <v>0</v>
      </c>
      <c r="DH50" s="230">
        <v>0</v>
      </c>
      <c r="DI50" s="230">
        <v>0</v>
      </c>
      <c r="DJ50" s="230">
        <v>0</v>
      </c>
      <c r="DK50" s="230" t="s">
        <v>969</v>
      </c>
      <c r="DL50" s="230" t="s">
        <v>601</v>
      </c>
      <c r="DM50" s="230" t="s">
        <v>601</v>
      </c>
      <c r="DN50" s="230" t="s">
        <v>601</v>
      </c>
      <c r="DO50" s="230" t="s">
        <v>601</v>
      </c>
      <c r="DP50" s="230" t="s">
        <v>601</v>
      </c>
      <c r="DQ50" s="230" t="s">
        <v>1264</v>
      </c>
      <c r="DR50" s="230" t="s">
        <v>601</v>
      </c>
      <c r="DS50" s="230" t="s">
        <v>601</v>
      </c>
      <c r="DT50" s="230" t="s">
        <v>601</v>
      </c>
      <c r="DU50" s="230" t="s">
        <v>601</v>
      </c>
      <c r="DV50" s="230" t="s">
        <v>601</v>
      </c>
      <c r="DW50" s="230">
        <v>40</v>
      </c>
      <c r="DX50" s="230">
        <v>40</v>
      </c>
      <c r="DY50" s="230">
        <v>0</v>
      </c>
      <c r="DZ50" s="230">
        <v>0</v>
      </c>
      <c r="EA50" s="230">
        <v>0</v>
      </c>
      <c r="EB50" s="230">
        <v>0</v>
      </c>
      <c r="EC50" s="230">
        <v>40</v>
      </c>
      <c r="ED50" s="230">
        <v>0</v>
      </c>
      <c r="EE50" s="230">
        <v>0</v>
      </c>
      <c r="EF50" s="230">
        <v>0</v>
      </c>
      <c r="EG50" s="230">
        <v>0</v>
      </c>
      <c r="EH50" s="230">
        <v>0</v>
      </c>
      <c r="EI50" s="230">
        <v>0</v>
      </c>
      <c r="EJ50" s="230">
        <v>0</v>
      </c>
      <c r="EK50" s="230">
        <v>0</v>
      </c>
      <c r="EL50" s="230">
        <v>0</v>
      </c>
      <c r="EM50" s="230">
        <v>0</v>
      </c>
      <c r="EN50" s="230">
        <v>0</v>
      </c>
      <c r="EO50" s="230">
        <v>0</v>
      </c>
      <c r="EP50" s="230">
        <v>0</v>
      </c>
      <c r="EQ50" s="230">
        <v>0</v>
      </c>
      <c r="ER50" s="230">
        <v>0</v>
      </c>
      <c r="ES50" s="230">
        <v>0</v>
      </c>
      <c r="ET50" s="230">
        <v>0</v>
      </c>
      <c r="EU50" s="230">
        <v>0</v>
      </c>
      <c r="EV50" s="230">
        <v>0</v>
      </c>
      <c r="EW50" s="230">
        <v>0</v>
      </c>
      <c r="EX50" s="230">
        <v>0</v>
      </c>
      <c r="EY50" s="230">
        <v>0</v>
      </c>
      <c r="EZ50" s="230">
        <v>0</v>
      </c>
      <c r="FA50" s="230">
        <v>0</v>
      </c>
      <c r="FB50" s="230">
        <v>0</v>
      </c>
      <c r="FC50" s="230">
        <v>0</v>
      </c>
      <c r="FD50" s="230">
        <v>0</v>
      </c>
      <c r="FE50" s="230">
        <v>0</v>
      </c>
      <c r="FF50" s="230">
        <v>0</v>
      </c>
      <c r="FG50" s="230">
        <v>0</v>
      </c>
      <c r="FH50" s="230">
        <v>0</v>
      </c>
      <c r="FI50" s="230">
        <v>0</v>
      </c>
      <c r="FJ50" s="230">
        <v>0</v>
      </c>
      <c r="FK50" s="230">
        <v>0</v>
      </c>
      <c r="FL50" s="230">
        <v>0</v>
      </c>
      <c r="FM50" s="230">
        <v>40</v>
      </c>
      <c r="FN50" s="230">
        <v>2100</v>
      </c>
      <c r="FO50" s="230">
        <v>0</v>
      </c>
      <c r="FP50" s="230">
        <v>0</v>
      </c>
      <c r="FQ50" s="230" t="s">
        <v>601</v>
      </c>
      <c r="FR50" s="230" t="s">
        <v>601</v>
      </c>
      <c r="FS50" s="230" t="s">
        <v>601</v>
      </c>
      <c r="FT50" s="230" t="s">
        <v>1014</v>
      </c>
      <c r="FU50" s="230">
        <v>0</v>
      </c>
      <c r="FV50" s="230">
        <v>0</v>
      </c>
      <c r="FW50" s="230" t="s">
        <v>601</v>
      </c>
      <c r="FX50" s="230" t="s">
        <v>601</v>
      </c>
      <c r="FY50" s="230" t="s">
        <v>601</v>
      </c>
      <c r="FZ50" s="230" t="s">
        <v>1014</v>
      </c>
      <c r="GA50" s="230" t="s">
        <v>601</v>
      </c>
      <c r="GB50" s="230" t="s">
        <v>601</v>
      </c>
      <c r="GC50" s="230" t="s">
        <v>601</v>
      </c>
      <c r="GD50" s="230" t="s">
        <v>601</v>
      </c>
      <c r="GE50" s="230" t="s">
        <v>601</v>
      </c>
      <c r="GF50" s="230">
        <v>21</v>
      </c>
      <c r="GG50" s="230">
        <v>21</v>
      </c>
      <c r="GH50" s="230">
        <v>0</v>
      </c>
      <c r="GI50" s="230">
        <v>0</v>
      </c>
      <c r="GJ50" s="230">
        <v>0</v>
      </c>
      <c r="GK50" s="230">
        <v>0</v>
      </c>
      <c r="GL50" s="230">
        <v>0</v>
      </c>
      <c r="GM50" s="230">
        <v>0</v>
      </c>
      <c r="GN50" s="230">
        <v>0</v>
      </c>
      <c r="GO50" s="230">
        <v>0</v>
      </c>
      <c r="GP50" s="230">
        <v>0</v>
      </c>
      <c r="GQ50" s="230">
        <v>0</v>
      </c>
      <c r="GR50" s="230">
        <v>0</v>
      </c>
      <c r="GS50" s="230">
        <v>0</v>
      </c>
      <c r="GT50" s="230">
        <v>0</v>
      </c>
      <c r="GU50" s="230">
        <v>0</v>
      </c>
      <c r="GV50" s="230">
        <v>0</v>
      </c>
      <c r="GW50" s="230">
        <v>0</v>
      </c>
      <c r="GX50" s="230">
        <v>0</v>
      </c>
      <c r="GY50" s="230">
        <v>0</v>
      </c>
      <c r="GZ50" s="230">
        <v>0</v>
      </c>
      <c r="HA50" s="230">
        <v>0</v>
      </c>
      <c r="HB50" s="230">
        <v>0</v>
      </c>
      <c r="HC50" s="230">
        <v>0</v>
      </c>
      <c r="HD50" s="230">
        <v>0</v>
      </c>
      <c r="HE50" s="230">
        <v>0</v>
      </c>
      <c r="HF50" s="230">
        <v>0</v>
      </c>
      <c r="HG50" s="230">
        <v>0</v>
      </c>
      <c r="HH50" s="230">
        <v>0</v>
      </c>
      <c r="HI50" s="230">
        <v>0</v>
      </c>
      <c r="HJ50" s="230">
        <v>0</v>
      </c>
      <c r="HK50" s="230">
        <v>0</v>
      </c>
      <c r="HL50" s="230">
        <v>0</v>
      </c>
      <c r="HM50" s="230">
        <v>0</v>
      </c>
      <c r="HN50" s="230">
        <v>0</v>
      </c>
      <c r="HO50" s="230">
        <v>0</v>
      </c>
      <c r="HP50" s="230" t="s">
        <v>51</v>
      </c>
      <c r="HQ50" s="230">
        <v>21</v>
      </c>
      <c r="HR50" s="230">
        <v>0</v>
      </c>
      <c r="HS50" s="230">
        <v>0</v>
      </c>
      <c r="HT50" s="230">
        <v>0</v>
      </c>
      <c r="HU50" s="230">
        <v>0</v>
      </c>
      <c r="HV50" s="230">
        <v>0</v>
      </c>
      <c r="HW50" s="797">
        <v>21</v>
      </c>
      <c r="HX50" s="797">
        <v>0</v>
      </c>
      <c r="HY50" s="230">
        <v>68</v>
      </c>
      <c r="HZ50" s="230"/>
      <c r="IA50" s="230"/>
      <c r="IB50" s="230"/>
      <c r="IC50" s="232" t="s">
        <v>1011</v>
      </c>
      <c r="ID50" s="233" t="s">
        <v>1012</v>
      </c>
      <c r="IE50" s="467" t="s">
        <v>583</v>
      </c>
      <c r="IF50" s="232" t="s">
        <v>364</v>
      </c>
      <c r="IG50" s="467" t="s">
        <v>584</v>
      </c>
      <c r="IH50" s="467" t="s">
        <v>585</v>
      </c>
      <c r="II50" s="546" t="s">
        <v>584</v>
      </c>
      <c r="IJ50" s="467">
        <v>44462</v>
      </c>
      <c r="IK50" s="468">
        <v>3</v>
      </c>
      <c r="IL50" s="469" t="s">
        <v>1210</v>
      </c>
      <c r="IM50" s="469" t="s">
        <v>1195</v>
      </c>
      <c r="IN50" s="469" t="s">
        <v>1195</v>
      </c>
      <c r="IO50" s="469" t="s">
        <v>601</v>
      </c>
      <c r="IP50" s="469" t="s">
        <v>601</v>
      </c>
      <c r="IQ50" s="469" t="s">
        <v>601</v>
      </c>
      <c r="IR50" s="469">
        <v>1</v>
      </c>
      <c r="IS50" s="469">
        <v>2</v>
      </c>
      <c r="IT50" s="469" t="s">
        <v>675</v>
      </c>
      <c r="IU50" s="469" t="s">
        <v>675</v>
      </c>
    </row>
    <row r="51" ht="76.5">
      <c r="A51" s="322">
        <v>50</v>
      </c>
      <c r="B51" s="229" t="s">
        <v>1178</v>
      </c>
      <c r="C51" s="229" t="s">
        <v>1178</v>
      </c>
      <c r="D51" s="797" t="s">
        <v>1022</v>
      </c>
      <c r="E51" s="229" t="s">
        <v>1016</v>
      </c>
      <c r="F51" s="229" t="s">
        <v>26</v>
      </c>
      <c r="G51" s="797" t="s">
        <v>1017</v>
      </c>
      <c r="H51" s="797" t="s">
        <v>1018</v>
      </c>
      <c r="I51" s="229">
        <v>1</v>
      </c>
      <c r="J51" s="229" t="s">
        <v>1019</v>
      </c>
      <c r="K51" s="231" t="s">
        <v>584</v>
      </c>
      <c r="L51" s="231" t="s">
        <v>1271</v>
      </c>
      <c r="M51" s="229" t="s">
        <v>576</v>
      </c>
      <c r="N51" s="229" t="s">
        <v>1022</v>
      </c>
      <c r="O51" s="229" t="s">
        <v>587</v>
      </c>
      <c r="P51" s="229" t="s">
        <v>1208</v>
      </c>
      <c r="Q51" s="229" t="s">
        <v>597</v>
      </c>
      <c r="R51" s="229" t="s">
        <v>1193</v>
      </c>
      <c r="S51" s="229" t="s">
        <v>600</v>
      </c>
      <c r="T51" s="229" t="s">
        <v>593</v>
      </c>
      <c r="U51" s="229">
        <v>1</v>
      </c>
      <c r="V51" s="229"/>
      <c r="W51" s="229" t="b">
        <v>0</v>
      </c>
      <c r="X51" s="229" t="b">
        <v>0</v>
      </c>
      <c r="Y51" s="797">
        <v>0</v>
      </c>
      <c r="Z51" s="229" t="b">
        <v>1</v>
      </c>
      <c r="AA51" s="797">
        <v>27</v>
      </c>
      <c r="AB51" s="229" t="b">
        <v>0</v>
      </c>
      <c r="AC51" s="229" t="b">
        <v>1</v>
      </c>
      <c r="AD51" s="229">
        <v>0</v>
      </c>
      <c r="AE51" s="229"/>
      <c r="AF51" s="229" t="s">
        <v>50</v>
      </c>
      <c r="AG51" s="229">
        <v>0</v>
      </c>
      <c r="AH51" s="230"/>
      <c r="AI51" s="553" t="s">
        <v>576</v>
      </c>
      <c r="AJ51" s="553" t="s">
        <v>576</v>
      </c>
      <c r="AK51" s="229">
        <v>4</v>
      </c>
      <c r="AL51" s="465" t="s">
        <v>1188</v>
      </c>
      <c r="AM51" s="465" t="s">
        <v>1275</v>
      </c>
      <c r="AN51" s="465" t="s">
        <v>1270</v>
      </c>
      <c r="AO51" s="229" t="s">
        <v>25</v>
      </c>
      <c r="AP51" s="230" t="s">
        <v>576</v>
      </c>
      <c r="AQ51" s="230">
        <v>0</v>
      </c>
      <c r="AR51" s="230">
        <v>0</v>
      </c>
      <c r="AS51" s="230" t="s">
        <v>601</v>
      </c>
      <c r="AT51" s="230" t="s">
        <v>601</v>
      </c>
      <c r="AU51" s="230" t="s">
        <v>601</v>
      </c>
      <c r="AV51" s="230" t="s">
        <v>1178</v>
      </c>
      <c r="AW51" s="230" t="s">
        <v>601</v>
      </c>
      <c r="AX51" s="230" t="s">
        <v>601</v>
      </c>
      <c r="AY51" s="230" t="s">
        <v>601</v>
      </c>
      <c r="AZ51" s="230" t="s">
        <v>601</v>
      </c>
      <c r="BA51" s="230" t="s">
        <v>601</v>
      </c>
      <c r="BB51" s="230" t="s">
        <v>1178</v>
      </c>
      <c r="BC51" s="230" t="s">
        <v>1022</v>
      </c>
      <c r="BD51" s="230">
        <v>0</v>
      </c>
      <c r="BE51" s="230">
        <v>0</v>
      </c>
      <c r="BF51" s="230" t="s">
        <v>601</v>
      </c>
      <c r="BG51" s="230" t="s">
        <v>601</v>
      </c>
      <c r="BH51" s="230" t="s">
        <v>601</v>
      </c>
      <c r="BI51" s="230" t="s">
        <v>587</v>
      </c>
      <c r="BJ51" s="230">
        <v>0</v>
      </c>
      <c r="BK51" s="230">
        <v>0</v>
      </c>
      <c r="BL51" s="230" t="s">
        <v>601</v>
      </c>
      <c r="BM51" s="230" t="s">
        <v>601</v>
      </c>
      <c r="BN51" s="230" t="s">
        <v>601</v>
      </c>
      <c r="BO51" s="553">
        <v>3</v>
      </c>
      <c r="BP51" s="553">
        <v>0</v>
      </c>
      <c r="BQ51" s="553">
        <v>0</v>
      </c>
      <c r="BR51" s="553">
        <v>0</v>
      </c>
      <c r="BS51" s="553">
        <v>0</v>
      </c>
      <c r="BT51" s="554">
        <v>0</v>
      </c>
      <c r="BU51" s="230" t="s">
        <v>597</v>
      </c>
      <c r="BV51" s="230" t="s">
        <v>601</v>
      </c>
      <c r="BW51" s="230" t="s">
        <v>601</v>
      </c>
      <c r="BX51" s="230" t="s">
        <v>601</v>
      </c>
      <c r="BY51" s="230" t="s">
        <v>601</v>
      </c>
      <c r="BZ51" s="230" t="s">
        <v>601</v>
      </c>
      <c r="CA51" s="230">
        <v>2</v>
      </c>
      <c r="CB51" s="230">
        <v>2</v>
      </c>
      <c r="CC51" s="230">
        <v>2</v>
      </c>
      <c r="CD51" s="230">
        <v>0</v>
      </c>
      <c r="CE51" s="230">
        <v>0</v>
      </c>
      <c r="CF51" s="230">
        <v>0</v>
      </c>
      <c r="CG51" s="230">
        <v>0</v>
      </c>
      <c r="CH51" s="230">
        <v>0</v>
      </c>
      <c r="CI51" s="230">
        <v>0</v>
      </c>
      <c r="CJ51" s="230">
        <v>0</v>
      </c>
      <c r="CK51" s="230">
        <v>0</v>
      </c>
      <c r="CL51" s="230">
        <v>0</v>
      </c>
      <c r="CM51" s="230">
        <v>0</v>
      </c>
      <c r="CN51" s="230">
        <v>0</v>
      </c>
      <c r="CO51" s="230">
        <v>0</v>
      </c>
      <c r="CP51" s="230">
        <v>0</v>
      </c>
      <c r="CQ51" s="230">
        <v>0</v>
      </c>
      <c r="CR51" s="230">
        <v>0</v>
      </c>
      <c r="CS51" s="230">
        <v>0</v>
      </c>
      <c r="CT51" s="230">
        <v>0</v>
      </c>
      <c r="CU51" s="230">
        <v>0</v>
      </c>
      <c r="CV51" s="230">
        <v>0</v>
      </c>
      <c r="CW51" s="230">
        <v>0</v>
      </c>
      <c r="CX51" s="230">
        <v>0</v>
      </c>
      <c r="CY51" s="230">
        <v>0</v>
      </c>
      <c r="CZ51" s="230">
        <v>0</v>
      </c>
      <c r="DA51" s="230">
        <v>0</v>
      </c>
      <c r="DB51" s="230">
        <v>0</v>
      </c>
      <c r="DC51" s="230">
        <v>0</v>
      </c>
      <c r="DD51" s="230">
        <v>0</v>
      </c>
      <c r="DE51" s="230">
        <v>0</v>
      </c>
      <c r="DF51" s="230">
        <v>0</v>
      </c>
      <c r="DG51" s="230">
        <v>0</v>
      </c>
      <c r="DH51" s="230">
        <v>0</v>
      </c>
      <c r="DI51" s="230">
        <v>0</v>
      </c>
      <c r="DJ51" s="230">
        <v>0</v>
      </c>
      <c r="DK51" s="230" t="s">
        <v>599</v>
      </c>
      <c r="DL51" s="230" t="s">
        <v>601</v>
      </c>
      <c r="DM51" s="230" t="s">
        <v>601</v>
      </c>
      <c r="DN51" s="230" t="s">
        <v>601</v>
      </c>
      <c r="DO51" s="230" t="s">
        <v>601</v>
      </c>
      <c r="DP51" s="230" t="s">
        <v>601</v>
      </c>
      <c r="DQ51" s="230" t="s">
        <v>1193</v>
      </c>
      <c r="DR51" s="230" t="s">
        <v>601</v>
      </c>
      <c r="DS51" s="230" t="s">
        <v>601</v>
      </c>
      <c r="DT51" s="230" t="s">
        <v>601</v>
      </c>
      <c r="DU51" s="230" t="s">
        <v>601</v>
      </c>
      <c r="DV51" s="230" t="s">
        <v>601</v>
      </c>
      <c r="DW51" s="230">
        <v>40</v>
      </c>
      <c r="DX51" s="230">
        <v>40</v>
      </c>
      <c r="DY51" s="230">
        <v>40</v>
      </c>
      <c r="DZ51" s="230">
        <v>0</v>
      </c>
      <c r="EA51" s="230">
        <v>0</v>
      </c>
      <c r="EB51" s="230">
        <v>0</v>
      </c>
      <c r="EC51" s="230">
        <v>40</v>
      </c>
      <c r="ED51" s="230">
        <v>0</v>
      </c>
      <c r="EE51" s="230">
        <v>0</v>
      </c>
      <c r="EF51" s="230">
        <v>0</v>
      </c>
      <c r="EG51" s="230">
        <v>0</v>
      </c>
      <c r="EH51" s="230">
        <v>0</v>
      </c>
      <c r="EI51" s="230">
        <v>0</v>
      </c>
      <c r="EJ51" s="230">
        <v>0</v>
      </c>
      <c r="EK51" s="230">
        <v>0</v>
      </c>
      <c r="EL51" s="230">
        <v>0</v>
      </c>
      <c r="EM51" s="230">
        <v>0</v>
      </c>
      <c r="EN51" s="230">
        <v>0</v>
      </c>
      <c r="EO51" s="230">
        <v>0</v>
      </c>
      <c r="EP51" s="230">
        <v>0</v>
      </c>
      <c r="EQ51" s="230">
        <v>0</v>
      </c>
      <c r="ER51" s="230">
        <v>0</v>
      </c>
      <c r="ES51" s="230">
        <v>0</v>
      </c>
      <c r="ET51" s="230">
        <v>0</v>
      </c>
      <c r="EU51" s="230">
        <v>0</v>
      </c>
      <c r="EV51" s="230">
        <v>0</v>
      </c>
      <c r="EW51" s="230">
        <v>0</v>
      </c>
      <c r="EX51" s="230">
        <v>0</v>
      </c>
      <c r="EY51" s="230">
        <v>0</v>
      </c>
      <c r="EZ51" s="230">
        <v>0</v>
      </c>
      <c r="FA51" s="230">
        <v>0</v>
      </c>
      <c r="FB51" s="230">
        <v>0</v>
      </c>
      <c r="FC51" s="230">
        <v>0</v>
      </c>
      <c r="FD51" s="230">
        <v>0</v>
      </c>
      <c r="FE51" s="230">
        <v>0</v>
      </c>
      <c r="FF51" s="230">
        <v>0</v>
      </c>
      <c r="FG51" s="230">
        <v>0</v>
      </c>
      <c r="FH51" s="230">
        <v>0</v>
      </c>
      <c r="FI51" s="230">
        <v>0</v>
      </c>
      <c r="FJ51" s="230">
        <v>0</v>
      </c>
      <c r="FK51" s="230">
        <v>0</v>
      </c>
      <c r="FL51" s="230">
        <v>0</v>
      </c>
      <c r="FM51" s="230">
        <v>40</v>
      </c>
      <c r="FN51" s="230">
        <v>2100</v>
      </c>
      <c r="FO51" s="230">
        <v>0</v>
      </c>
      <c r="FP51" s="230">
        <v>0</v>
      </c>
      <c r="FQ51" s="230" t="s">
        <v>601</v>
      </c>
      <c r="FR51" s="230" t="s">
        <v>601</v>
      </c>
      <c r="FS51" s="230" t="s">
        <v>601</v>
      </c>
      <c r="FT51" s="230" t="s">
        <v>593</v>
      </c>
      <c r="FU51" s="230">
        <v>0</v>
      </c>
      <c r="FV51" s="230">
        <v>0</v>
      </c>
      <c r="FW51" s="230" t="s">
        <v>601</v>
      </c>
      <c r="FX51" s="230" t="s">
        <v>601</v>
      </c>
      <c r="FY51" s="230" t="s">
        <v>601</v>
      </c>
      <c r="FZ51" s="230" t="s">
        <v>593</v>
      </c>
      <c r="GA51" s="230" t="s">
        <v>601</v>
      </c>
      <c r="GB51" s="230" t="s">
        <v>601</v>
      </c>
      <c r="GC51" s="230" t="s">
        <v>601</v>
      </c>
      <c r="GD51" s="230" t="s">
        <v>601</v>
      </c>
      <c r="GE51" s="230" t="s">
        <v>601</v>
      </c>
      <c r="GF51" s="230">
        <v>27</v>
      </c>
      <c r="GG51" s="230">
        <v>27</v>
      </c>
      <c r="GH51" s="230">
        <v>27</v>
      </c>
      <c r="GI51" s="230">
        <v>0</v>
      </c>
      <c r="GJ51" s="230">
        <v>0</v>
      </c>
      <c r="GK51" s="230">
        <v>0</v>
      </c>
      <c r="GL51" s="230">
        <v>0</v>
      </c>
      <c r="GM51" s="230">
        <v>0</v>
      </c>
      <c r="GN51" s="230">
        <v>0</v>
      </c>
      <c r="GO51" s="230">
        <v>0</v>
      </c>
      <c r="GP51" s="230">
        <v>0</v>
      </c>
      <c r="GQ51" s="230">
        <v>0</v>
      </c>
      <c r="GR51" s="230">
        <v>0</v>
      </c>
      <c r="GS51" s="230">
        <v>0</v>
      </c>
      <c r="GT51" s="230">
        <v>0</v>
      </c>
      <c r="GU51" s="230">
        <v>0</v>
      </c>
      <c r="GV51" s="230">
        <v>0</v>
      </c>
      <c r="GW51" s="230">
        <v>0</v>
      </c>
      <c r="GX51" s="230">
        <v>0</v>
      </c>
      <c r="GY51" s="230">
        <v>0</v>
      </c>
      <c r="GZ51" s="230">
        <v>0</v>
      </c>
      <c r="HA51" s="230">
        <v>0</v>
      </c>
      <c r="HB51" s="230">
        <v>0</v>
      </c>
      <c r="HC51" s="230">
        <v>0</v>
      </c>
      <c r="HD51" s="230">
        <v>0</v>
      </c>
      <c r="HE51" s="230">
        <v>0</v>
      </c>
      <c r="HF51" s="230">
        <v>0</v>
      </c>
      <c r="HG51" s="230">
        <v>0</v>
      </c>
      <c r="HH51" s="230">
        <v>0</v>
      </c>
      <c r="HI51" s="230">
        <v>0</v>
      </c>
      <c r="HJ51" s="230">
        <v>0</v>
      </c>
      <c r="HK51" s="230">
        <v>0</v>
      </c>
      <c r="HL51" s="230">
        <v>0</v>
      </c>
      <c r="HM51" s="230">
        <v>0</v>
      </c>
      <c r="HN51" s="230">
        <v>0</v>
      </c>
      <c r="HO51" s="230">
        <v>0</v>
      </c>
      <c r="HP51" s="230" t="s">
        <v>51</v>
      </c>
      <c r="HQ51" s="230">
        <v>27</v>
      </c>
      <c r="HR51" s="230">
        <v>0</v>
      </c>
      <c r="HS51" s="230">
        <v>0</v>
      </c>
      <c r="HT51" s="230">
        <v>0</v>
      </c>
      <c r="HU51" s="230">
        <v>0</v>
      </c>
      <c r="HV51" s="230">
        <v>0</v>
      </c>
      <c r="HW51" s="797">
        <v>27</v>
      </c>
      <c r="HX51" s="797">
        <v>0</v>
      </c>
      <c r="HY51" s="230">
        <v>68</v>
      </c>
      <c r="HZ51" s="230"/>
      <c r="IA51" s="230"/>
      <c r="IB51" s="230"/>
      <c r="IC51" s="232" t="s">
        <v>1020</v>
      </c>
      <c r="ID51" s="233" t="s">
        <v>1021</v>
      </c>
      <c r="IE51" s="467" t="s">
        <v>583</v>
      </c>
      <c r="IF51" s="232" t="s">
        <v>364</v>
      </c>
      <c r="IG51" s="467" t="s">
        <v>584</v>
      </c>
      <c r="IH51" s="467" t="s">
        <v>585</v>
      </c>
      <c r="II51" s="546" t="s">
        <v>584</v>
      </c>
      <c r="IJ51" s="467">
        <v>44462</v>
      </c>
      <c r="IK51" s="468">
        <v>3</v>
      </c>
      <c r="IL51" s="469" t="s">
        <v>1210</v>
      </c>
      <c r="IM51" s="469" t="s">
        <v>1195</v>
      </c>
      <c r="IN51" s="469" t="s">
        <v>1195</v>
      </c>
      <c r="IO51" s="469" t="s">
        <v>601</v>
      </c>
      <c r="IP51" s="469" t="s">
        <v>601</v>
      </c>
      <c r="IQ51" s="469" t="s">
        <v>601</v>
      </c>
      <c r="IR51" s="469">
        <v>1</v>
      </c>
      <c r="IS51" s="469">
        <v>2</v>
      </c>
      <c r="IT51" s="469" t="s">
        <v>675</v>
      </c>
      <c r="IU51" s="469" t="s">
        <v>675</v>
      </c>
    </row>
    <row r="52" ht="76.5">
      <c r="A52" s="322">
        <v>51</v>
      </c>
      <c r="B52" s="229" t="s">
        <v>1178</v>
      </c>
      <c r="C52" s="229" t="s">
        <v>1178</v>
      </c>
      <c r="D52" s="797" t="s">
        <v>1030</v>
      </c>
      <c r="E52" s="229" t="s">
        <v>1024</v>
      </c>
      <c r="F52" s="229" t="s">
        <v>26</v>
      </c>
      <c r="G52" s="797" t="s">
        <v>1025</v>
      </c>
      <c r="H52" s="797" t="s">
        <v>1026</v>
      </c>
      <c r="I52" s="229">
        <v>1</v>
      </c>
      <c r="J52" s="229" t="s">
        <v>1027</v>
      </c>
      <c r="K52" s="231" t="s">
        <v>584</v>
      </c>
      <c r="L52" s="231" t="s">
        <v>1276</v>
      </c>
      <c r="M52" s="229" t="s">
        <v>576</v>
      </c>
      <c r="N52" s="229" t="s">
        <v>1030</v>
      </c>
      <c r="O52" s="229" t="s">
        <v>587</v>
      </c>
      <c r="P52" s="229" t="s">
        <v>1208</v>
      </c>
      <c r="Q52" s="229" t="s">
        <v>597</v>
      </c>
      <c r="R52" s="229" t="s">
        <v>1193</v>
      </c>
      <c r="S52" s="229" t="s">
        <v>600</v>
      </c>
      <c r="T52" s="229" t="s">
        <v>593</v>
      </c>
      <c r="U52" s="229">
        <v>1</v>
      </c>
      <c r="V52" s="229"/>
      <c r="W52" s="229" t="b">
        <v>0</v>
      </c>
      <c r="X52" s="229" t="b">
        <v>0</v>
      </c>
      <c r="Y52" s="797">
        <v>0</v>
      </c>
      <c r="Z52" s="229" t="b">
        <v>1</v>
      </c>
      <c r="AA52" s="797">
        <v>27</v>
      </c>
      <c r="AB52" s="229" t="b">
        <v>0</v>
      </c>
      <c r="AC52" s="229" t="b">
        <v>1</v>
      </c>
      <c r="AD52" s="229">
        <v>0</v>
      </c>
      <c r="AE52" s="229"/>
      <c r="AF52" s="229" t="s">
        <v>50</v>
      </c>
      <c r="AG52" s="229">
        <v>0</v>
      </c>
      <c r="AH52" s="230"/>
      <c r="AI52" s="553" t="s">
        <v>576</v>
      </c>
      <c r="AJ52" s="553" t="s">
        <v>576</v>
      </c>
      <c r="AK52" s="229">
        <v>4</v>
      </c>
      <c r="AL52" s="465" t="s">
        <v>1188</v>
      </c>
      <c r="AM52" s="465" t="s">
        <v>1277</v>
      </c>
      <c r="AN52" s="465" t="s">
        <v>1278</v>
      </c>
      <c r="AO52" s="229" t="s">
        <v>25</v>
      </c>
      <c r="AP52" s="230" t="s">
        <v>576</v>
      </c>
      <c r="AQ52" s="230">
        <v>0</v>
      </c>
      <c r="AR52" s="230">
        <v>0</v>
      </c>
      <c r="AS52" s="230" t="s">
        <v>601</v>
      </c>
      <c r="AT52" s="230" t="s">
        <v>601</v>
      </c>
      <c r="AU52" s="230" t="s">
        <v>601</v>
      </c>
      <c r="AV52" s="230" t="s">
        <v>1178</v>
      </c>
      <c r="AW52" s="230" t="s">
        <v>601</v>
      </c>
      <c r="AX52" s="230" t="s">
        <v>601</v>
      </c>
      <c r="AY52" s="230" t="s">
        <v>601</v>
      </c>
      <c r="AZ52" s="230" t="s">
        <v>601</v>
      </c>
      <c r="BA52" s="230" t="s">
        <v>601</v>
      </c>
      <c r="BB52" s="230" t="s">
        <v>1178</v>
      </c>
      <c r="BC52" s="230" t="s">
        <v>1030</v>
      </c>
      <c r="BD52" s="230">
        <v>0</v>
      </c>
      <c r="BE52" s="230">
        <v>0</v>
      </c>
      <c r="BF52" s="230" t="s">
        <v>601</v>
      </c>
      <c r="BG52" s="230" t="s">
        <v>601</v>
      </c>
      <c r="BH52" s="230" t="s">
        <v>601</v>
      </c>
      <c r="BI52" s="230" t="s">
        <v>587</v>
      </c>
      <c r="BJ52" s="230">
        <v>0</v>
      </c>
      <c r="BK52" s="230">
        <v>0</v>
      </c>
      <c r="BL52" s="230" t="s">
        <v>601</v>
      </c>
      <c r="BM52" s="230" t="s">
        <v>601</v>
      </c>
      <c r="BN52" s="230" t="s">
        <v>601</v>
      </c>
      <c r="BO52" s="553">
        <v>3</v>
      </c>
      <c r="BP52" s="553">
        <v>0</v>
      </c>
      <c r="BQ52" s="553">
        <v>0</v>
      </c>
      <c r="BR52" s="553">
        <v>0</v>
      </c>
      <c r="BS52" s="553">
        <v>0</v>
      </c>
      <c r="BT52" s="554">
        <v>0</v>
      </c>
      <c r="BU52" s="230" t="s">
        <v>597</v>
      </c>
      <c r="BV52" s="230" t="s">
        <v>601</v>
      </c>
      <c r="BW52" s="230" t="s">
        <v>601</v>
      </c>
      <c r="BX52" s="230" t="s">
        <v>601</v>
      </c>
      <c r="BY52" s="230" t="s">
        <v>601</v>
      </c>
      <c r="BZ52" s="230" t="s">
        <v>601</v>
      </c>
      <c r="CA52" s="230">
        <v>2</v>
      </c>
      <c r="CB52" s="230">
        <v>2</v>
      </c>
      <c r="CC52" s="230">
        <v>2</v>
      </c>
      <c r="CD52" s="230">
        <v>0</v>
      </c>
      <c r="CE52" s="230">
        <v>0</v>
      </c>
      <c r="CF52" s="230">
        <v>0</v>
      </c>
      <c r="CG52" s="230">
        <v>0</v>
      </c>
      <c r="CH52" s="230">
        <v>0</v>
      </c>
      <c r="CI52" s="230">
        <v>0</v>
      </c>
      <c r="CJ52" s="230">
        <v>0</v>
      </c>
      <c r="CK52" s="230">
        <v>0</v>
      </c>
      <c r="CL52" s="230">
        <v>0</v>
      </c>
      <c r="CM52" s="230">
        <v>0</v>
      </c>
      <c r="CN52" s="230">
        <v>0</v>
      </c>
      <c r="CO52" s="230">
        <v>0</v>
      </c>
      <c r="CP52" s="230">
        <v>0</v>
      </c>
      <c r="CQ52" s="230">
        <v>0</v>
      </c>
      <c r="CR52" s="230">
        <v>0</v>
      </c>
      <c r="CS52" s="230">
        <v>0</v>
      </c>
      <c r="CT52" s="230">
        <v>0</v>
      </c>
      <c r="CU52" s="230">
        <v>0</v>
      </c>
      <c r="CV52" s="230">
        <v>0</v>
      </c>
      <c r="CW52" s="230">
        <v>0</v>
      </c>
      <c r="CX52" s="230">
        <v>0</v>
      </c>
      <c r="CY52" s="230">
        <v>0</v>
      </c>
      <c r="CZ52" s="230">
        <v>0</v>
      </c>
      <c r="DA52" s="230">
        <v>0</v>
      </c>
      <c r="DB52" s="230">
        <v>0</v>
      </c>
      <c r="DC52" s="230">
        <v>0</v>
      </c>
      <c r="DD52" s="230">
        <v>0</v>
      </c>
      <c r="DE52" s="230">
        <v>0</v>
      </c>
      <c r="DF52" s="230">
        <v>0</v>
      </c>
      <c r="DG52" s="230">
        <v>0</v>
      </c>
      <c r="DH52" s="230">
        <v>0</v>
      </c>
      <c r="DI52" s="230">
        <v>0</v>
      </c>
      <c r="DJ52" s="230">
        <v>0</v>
      </c>
      <c r="DK52" s="230" t="s">
        <v>599</v>
      </c>
      <c r="DL52" s="230" t="s">
        <v>601</v>
      </c>
      <c r="DM52" s="230" t="s">
        <v>601</v>
      </c>
      <c r="DN52" s="230" t="s">
        <v>601</v>
      </c>
      <c r="DO52" s="230" t="s">
        <v>601</v>
      </c>
      <c r="DP52" s="230" t="s">
        <v>601</v>
      </c>
      <c r="DQ52" s="230" t="s">
        <v>1193</v>
      </c>
      <c r="DR52" s="230" t="s">
        <v>601</v>
      </c>
      <c r="DS52" s="230" t="s">
        <v>601</v>
      </c>
      <c r="DT52" s="230" t="s">
        <v>601</v>
      </c>
      <c r="DU52" s="230" t="s">
        <v>601</v>
      </c>
      <c r="DV52" s="230" t="s">
        <v>601</v>
      </c>
      <c r="DW52" s="230">
        <v>40</v>
      </c>
      <c r="DX52" s="230">
        <v>40</v>
      </c>
      <c r="DY52" s="230">
        <v>40</v>
      </c>
      <c r="DZ52" s="230">
        <v>0</v>
      </c>
      <c r="EA52" s="230">
        <v>0</v>
      </c>
      <c r="EB52" s="230">
        <v>0</v>
      </c>
      <c r="EC52" s="230">
        <v>40</v>
      </c>
      <c r="ED52" s="230">
        <v>0</v>
      </c>
      <c r="EE52" s="230">
        <v>0</v>
      </c>
      <c r="EF52" s="230">
        <v>0</v>
      </c>
      <c r="EG52" s="230">
        <v>0</v>
      </c>
      <c r="EH52" s="230">
        <v>0</v>
      </c>
      <c r="EI52" s="230">
        <v>0</v>
      </c>
      <c r="EJ52" s="230">
        <v>0</v>
      </c>
      <c r="EK52" s="230">
        <v>0</v>
      </c>
      <c r="EL52" s="230">
        <v>0</v>
      </c>
      <c r="EM52" s="230">
        <v>0</v>
      </c>
      <c r="EN52" s="230">
        <v>0</v>
      </c>
      <c r="EO52" s="230">
        <v>0</v>
      </c>
      <c r="EP52" s="230">
        <v>0</v>
      </c>
      <c r="EQ52" s="230">
        <v>0</v>
      </c>
      <c r="ER52" s="230">
        <v>0</v>
      </c>
      <c r="ES52" s="230">
        <v>0</v>
      </c>
      <c r="ET52" s="230">
        <v>0</v>
      </c>
      <c r="EU52" s="230">
        <v>0</v>
      </c>
      <c r="EV52" s="230">
        <v>0</v>
      </c>
      <c r="EW52" s="230">
        <v>0</v>
      </c>
      <c r="EX52" s="230">
        <v>0</v>
      </c>
      <c r="EY52" s="230">
        <v>0</v>
      </c>
      <c r="EZ52" s="230">
        <v>0</v>
      </c>
      <c r="FA52" s="230">
        <v>0</v>
      </c>
      <c r="FB52" s="230">
        <v>0</v>
      </c>
      <c r="FC52" s="230">
        <v>0</v>
      </c>
      <c r="FD52" s="230">
        <v>0</v>
      </c>
      <c r="FE52" s="230">
        <v>0</v>
      </c>
      <c r="FF52" s="230">
        <v>0</v>
      </c>
      <c r="FG52" s="230">
        <v>0</v>
      </c>
      <c r="FH52" s="230">
        <v>0</v>
      </c>
      <c r="FI52" s="230">
        <v>0</v>
      </c>
      <c r="FJ52" s="230">
        <v>0</v>
      </c>
      <c r="FK52" s="230">
        <v>0</v>
      </c>
      <c r="FL52" s="230">
        <v>0</v>
      </c>
      <c r="FM52" s="230">
        <v>40</v>
      </c>
      <c r="FN52" s="230">
        <v>2100</v>
      </c>
      <c r="FO52" s="230">
        <v>0</v>
      </c>
      <c r="FP52" s="230">
        <v>0</v>
      </c>
      <c r="FQ52" s="230" t="s">
        <v>601</v>
      </c>
      <c r="FR52" s="230" t="s">
        <v>601</v>
      </c>
      <c r="FS52" s="230" t="s">
        <v>601</v>
      </c>
      <c r="FT52" s="230" t="s">
        <v>593</v>
      </c>
      <c r="FU52" s="230">
        <v>0</v>
      </c>
      <c r="FV52" s="230">
        <v>0</v>
      </c>
      <c r="FW52" s="230" t="s">
        <v>601</v>
      </c>
      <c r="FX52" s="230" t="s">
        <v>601</v>
      </c>
      <c r="FY52" s="230" t="s">
        <v>601</v>
      </c>
      <c r="FZ52" s="230" t="s">
        <v>593</v>
      </c>
      <c r="GA52" s="230" t="s">
        <v>601</v>
      </c>
      <c r="GB52" s="230" t="s">
        <v>601</v>
      </c>
      <c r="GC52" s="230" t="s">
        <v>601</v>
      </c>
      <c r="GD52" s="230" t="s">
        <v>601</v>
      </c>
      <c r="GE52" s="230" t="s">
        <v>601</v>
      </c>
      <c r="GF52" s="230">
        <v>27</v>
      </c>
      <c r="GG52" s="230">
        <v>27</v>
      </c>
      <c r="GH52" s="230">
        <v>27</v>
      </c>
      <c r="GI52" s="230">
        <v>0</v>
      </c>
      <c r="GJ52" s="230">
        <v>0</v>
      </c>
      <c r="GK52" s="230">
        <v>0</v>
      </c>
      <c r="GL52" s="230">
        <v>0</v>
      </c>
      <c r="GM52" s="230">
        <v>0</v>
      </c>
      <c r="GN52" s="230">
        <v>0</v>
      </c>
      <c r="GO52" s="230">
        <v>0</v>
      </c>
      <c r="GP52" s="230">
        <v>0</v>
      </c>
      <c r="GQ52" s="230">
        <v>0</v>
      </c>
      <c r="GR52" s="230">
        <v>0</v>
      </c>
      <c r="GS52" s="230">
        <v>0</v>
      </c>
      <c r="GT52" s="230">
        <v>0</v>
      </c>
      <c r="GU52" s="230">
        <v>0</v>
      </c>
      <c r="GV52" s="230">
        <v>0</v>
      </c>
      <c r="GW52" s="230">
        <v>0</v>
      </c>
      <c r="GX52" s="230">
        <v>0</v>
      </c>
      <c r="GY52" s="230">
        <v>0</v>
      </c>
      <c r="GZ52" s="230">
        <v>0</v>
      </c>
      <c r="HA52" s="230">
        <v>0</v>
      </c>
      <c r="HB52" s="230">
        <v>0</v>
      </c>
      <c r="HC52" s="230">
        <v>0</v>
      </c>
      <c r="HD52" s="230">
        <v>0</v>
      </c>
      <c r="HE52" s="230">
        <v>0</v>
      </c>
      <c r="HF52" s="230">
        <v>0</v>
      </c>
      <c r="HG52" s="230">
        <v>0</v>
      </c>
      <c r="HH52" s="230">
        <v>0</v>
      </c>
      <c r="HI52" s="230">
        <v>0</v>
      </c>
      <c r="HJ52" s="230">
        <v>0</v>
      </c>
      <c r="HK52" s="230">
        <v>0</v>
      </c>
      <c r="HL52" s="230">
        <v>0</v>
      </c>
      <c r="HM52" s="230">
        <v>0</v>
      </c>
      <c r="HN52" s="230">
        <v>0</v>
      </c>
      <c r="HO52" s="230">
        <v>0</v>
      </c>
      <c r="HP52" s="230" t="s">
        <v>51</v>
      </c>
      <c r="HQ52" s="230">
        <v>27</v>
      </c>
      <c r="HR52" s="230">
        <v>0</v>
      </c>
      <c r="HS52" s="230">
        <v>0</v>
      </c>
      <c r="HT52" s="230">
        <v>0</v>
      </c>
      <c r="HU52" s="230">
        <v>0</v>
      </c>
      <c r="HV52" s="230">
        <v>0</v>
      </c>
      <c r="HW52" s="797">
        <v>27</v>
      </c>
      <c r="HX52" s="797">
        <v>0</v>
      </c>
      <c r="HY52" s="230">
        <v>68</v>
      </c>
      <c r="HZ52" s="230"/>
      <c r="IA52" s="230"/>
      <c r="IB52" s="230"/>
      <c r="IC52" s="232" t="s">
        <v>1028</v>
      </c>
      <c r="ID52" s="233" t="s">
        <v>1029</v>
      </c>
      <c r="IE52" s="467" t="s">
        <v>583</v>
      </c>
      <c r="IF52" s="232" t="s">
        <v>364</v>
      </c>
      <c r="IG52" s="467" t="s">
        <v>584</v>
      </c>
      <c r="IH52" s="467" t="s">
        <v>585</v>
      </c>
      <c r="II52" s="546" t="s">
        <v>584</v>
      </c>
      <c r="IJ52" s="467">
        <v>44462</v>
      </c>
      <c r="IK52" s="468">
        <v>3</v>
      </c>
      <c r="IL52" s="469" t="s">
        <v>1210</v>
      </c>
      <c r="IM52" s="469" t="s">
        <v>1195</v>
      </c>
      <c r="IN52" s="469" t="s">
        <v>1195</v>
      </c>
      <c r="IO52" s="469" t="s">
        <v>601</v>
      </c>
      <c r="IP52" s="469" t="s">
        <v>601</v>
      </c>
      <c r="IQ52" s="469" t="s">
        <v>601</v>
      </c>
      <c r="IR52" s="469">
        <v>1</v>
      </c>
      <c r="IS52" s="469">
        <v>2</v>
      </c>
      <c r="IT52" s="469" t="s">
        <v>675</v>
      </c>
      <c r="IU52" s="469" t="s">
        <v>675</v>
      </c>
    </row>
    <row r="53" ht="76.5">
      <c r="A53" s="322">
        <v>52</v>
      </c>
      <c r="B53" s="229" t="s">
        <v>1178</v>
      </c>
      <c r="C53" s="229" t="s">
        <v>1178</v>
      </c>
      <c r="D53" s="797" t="s">
        <v>1038</v>
      </c>
      <c r="E53" s="229" t="s">
        <v>1032</v>
      </c>
      <c r="F53" s="229" t="s">
        <v>26</v>
      </c>
      <c r="G53" s="797" t="s">
        <v>1033</v>
      </c>
      <c r="H53" s="797" t="s">
        <v>1034</v>
      </c>
      <c r="I53" s="229">
        <v>1</v>
      </c>
      <c r="J53" s="229" t="s">
        <v>1035</v>
      </c>
      <c r="K53" s="231" t="s">
        <v>584</v>
      </c>
      <c r="L53" s="231" t="s">
        <v>1276</v>
      </c>
      <c r="M53" s="229" t="s">
        <v>576</v>
      </c>
      <c r="N53" s="229" t="s">
        <v>1038</v>
      </c>
      <c r="O53" s="229" t="s">
        <v>587</v>
      </c>
      <c r="P53" s="229" t="s">
        <v>1208</v>
      </c>
      <c r="Q53" s="229" t="s">
        <v>597</v>
      </c>
      <c r="R53" s="229" t="s">
        <v>1193</v>
      </c>
      <c r="S53" s="229" t="s">
        <v>600</v>
      </c>
      <c r="T53" s="229" t="s">
        <v>593</v>
      </c>
      <c r="U53" s="229">
        <v>1</v>
      </c>
      <c r="V53" s="229"/>
      <c r="W53" s="229" t="b">
        <v>0</v>
      </c>
      <c r="X53" s="229" t="b">
        <v>0</v>
      </c>
      <c r="Y53" s="797">
        <v>0</v>
      </c>
      <c r="Z53" s="229" t="b">
        <v>1</v>
      </c>
      <c r="AA53" s="797">
        <v>27</v>
      </c>
      <c r="AB53" s="229" t="b">
        <v>0</v>
      </c>
      <c r="AC53" s="229" t="b">
        <v>1</v>
      </c>
      <c r="AD53" s="229">
        <v>0</v>
      </c>
      <c r="AE53" s="229"/>
      <c r="AF53" s="229" t="s">
        <v>50</v>
      </c>
      <c r="AG53" s="229">
        <v>0</v>
      </c>
      <c r="AH53" s="230"/>
      <c r="AI53" s="553" t="s">
        <v>576</v>
      </c>
      <c r="AJ53" s="553" t="s">
        <v>576</v>
      </c>
      <c r="AK53" s="229">
        <v>4</v>
      </c>
      <c r="AL53" s="465" t="s">
        <v>1188</v>
      </c>
      <c r="AM53" s="465" t="s">
        <v>1277</v>
      </c>
      <c r="AN53" s="465" t="s">
        <v>1279</v>
      </c>
      <c r="AO53" s="229" t="s">
        <v>25</v>
      </c>
      <c r="AP53" s="230" t="s">
        <v>576</v>
      </c>
      <c r="AQ53" s="230">
        <v>0</v>
      </c>
      <c r="AR53" s="230">
        <v>0</v>
      </c>
      <c r="AS53" s="230" t="s">
        <v>601</v>
      </c>
      <c r="AT53" s="230" t="s">
        <v>601</v>
      </c>
      <c r="AU53" s="230" t="s">
        <v>601</v>
      </c>
      <c r="AV53" s="230" t="s">
        <v>1178</v>
      </c>
      <c r="AW53" s="230" t="s">
        <v>601</v>
      </c>
      <c r="AX53" s="230" t="s">
        <v>601</v>
      </c>
      <c r="AY53" s="230" t="s">
        <v>601</v>
      </c>
      <c r="AZ53" s="230" t="s">
        <v>601</v>
      </c>
      <c r="BA53" s="230" t="s">
        <v>601</v>
      </c>
      <c r="BB53" s="230" t="s">
        <v>1178</v>
      </c>
      <c r="BC53" s="230" t="s">
        <v>1038</v>
      </c>
      <c r="BD53" s="230">
        <v>0</v>
      </c>
      <c r="BE53" s="230">
        <v>0</v>
      </c>
      <c r="BF53" s="230" t="s">
        <v>601</v>
      </c>
      <c r="BG53" s="230" t="s">
        <v>601</v>
      </c>
      <c r="BH53" s="230" t="s">
        <v>601</v>
      </c>
      <c r="BI53" s="230" t="s">
        <v>587</v>
      </c>
      <c r="BJ53" s="230">
        <v>0</v>
      </c>
      <c r="BK53" s="230">
        <v>0</v>
      </c>
      <c r="BL53" s="230" t="s">
        <v>601</v>
      </c>
      <c r="BM53" s="230" t="s">
        <v>601</v>
      </c>
      <c r="BN53" s="230" t="s">
        <v>601</v>
      </c>
      <c r="BO53" s="553">
        <v>3</v>
      </c>
      <c r="BP53" s="553">
        <v>0</v>
      </c>
      <c r="BQ53" s="553">
        <v>0</v>
      </c>
      <c r="BR53" s="553">
        <v>0</v>
      </c>
      <c r="BS53" s="553">
        <v>0</v>
      </c>
      <c r="BT53" s="554">
        <v>0</v>
      </c>
      <c r="BU53" s="230" t="s">
        <v>597</v>
      </c>
      <c r="BV53" s="230" t="s">
        <v>601</v>
      </c>
      <c r="BW53" s="230" t="s">
        <v>601</v>
      </c>
      <c r="BX53" s="230" t="s">
        <v>601</v>
      </c>
      <c r="BY53" s="230" t="s">
        <v>601</v>
      </c>
      <c r="BZ53" s="230" t="s">
        <v>601</v>
      </c>
      <c r="CA53" s="230">
        <v>2</v>
      </c>
      <c r="CB53" s="230">
        <v>2</v>
      </c>
      <c r="CC53" s="230">
        <v>2</v>
      </c>
      <c r="CD53" s="230">
        <v>0</v>
      </c>
      <c r="CE53" s="230">
        <v>0</v>
      </c>
      <c r="CF53" s="230">
        <v>0</v>
      </c>
      <c r="CG53" s="230">
        <v>0</v>
      </c>
      <c r="CH53" s="230">
        <v>0</v>
      </c>
      <c r="CI53" s="230">
        <v>0</v>
      </c>
      <c r="CJ53" s="230">
        <v>0</v>
      </c>
      <c r="CK53" s="230">
        <v>0</v>
      </c>
      <c r="CL53" s="230">
        <v>0</v>
      </c>
      <c r="CM53" s="230">
        <v>0</v>
      </c>
      <c r="CN53" s="230">
        <v>0</v>
      </c>
      <c r="CO53" s="230">
        <v>0</v>
      </c>
      <c r="CP53" s="230">
        <v>0</v>
      </c>
      <c r="CQ53" s="230">
        <v>0</v>
      </c>
      <c r="CR53" s="230">
        <v>0</v>
      </c>
      <c r="CS53" s="230">
        <v>0</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t="s">
        <v>599</v>
      </c>
      <c r="DL53" s="230" t="s">
        <v>601</v>
      </c>
      <c r="DM53" s="230" t="s">
        <v>601</v>
      </c>
      <c r="DN53" s="230" t="s">
        <v>601</v>
      </c>
      <c r="DO53" s="230" t="s">
        <v>601</v>
      </c>
      <c r="DP53" s="230" t="s">
        <v>601</v>
      </c>
      <c r="DQ53" s="230" t="s">
        <v>1193</v>
      </c>
      <c r="DR53" s="230" t="s">
        <v>601</v>
      </c>
      <c r="DS53" s="230" t="s">
        <v>601</v>
      </c>
      <c r="DT53" s="230" t="s">
        <v>601</v>
      </c>
      <c r="DU53" s="230" t="s">
        <v>601</v>
      </c>
      <c r="DV53" s="230" t="s">
        <v>601</v>
      </c>
      <c r="DW53" s="230">
        <v>40</v>
      </c>
      <c r="DX53" s="230">
        <v>40</v>
      </c>
      <c r="DY53" s="230">
        <v>40</v>
      </c>
      <c r="DZ53" s="230">
        <v>0</v>
      </c>
      <c r="EA53" s="230">
        <v>0</v>
      </c>
      <c r="EB53" s="230">
        <v>0</v>
      </c>
      <c r="EC53" s="230">
        <v>40</v>
      </c>
      <c r="ED53" s="230">
        <v>0</v>
      </c>
      <c r="EE53" s="230">
        <v>0</v>
      </c>
      <c r="EF53" s="230">
        <v>0</v>
      </c>
      <c r="EG53" s="230">
        <v>0</v>
      </c>
      <c r="EH53" s="230">
        <v>0</v>
      </c>
      <c r="EI53" s="230">
        <v>0</v>
      </c>
      <c r="EJ53" s="230">
        <v>0</v>
      </c>
      <c r="EK53" s="230">
        <v>0</v>
      </c>
      <c r="EL53" s="230">
        <v>0</v>
      </c>
      <c r="EM53" s="230">
        <v>0</v>
      </c>
      <c r="EN53" s="230">
        <v>0</v>
      </c>
      <c r="EO53" s="230">
        <v>0</v>
      </c>
      <c r="EP53" s="230">
        <v>0</v>
      </c>
      <c r="EQ53" s="230">
        <v>0</v>
      </c>
      <c r="ER53" s="230">
        <v>0</v>
      </c>
      <c r="ES53" s="230">
        <v>0</v>
      </c>
      <c r="ET53" s="230">
        <v>0</v>
      </c>
      <c r="EU53" s="230">
        <v>0</v>
      </c>
      <c r="EV53" s="230">
        <v>0</v>
      </c>
      <c r="EW53" s="230">
        <v>0</v>
      </c>
      <c r="EX53" s="230">
        <v>0</v>
      </c>
      <c r="EY53" s="230">
        <v>0</v>
      </c>
      <c r="EZ53" s="230">
        <v>0</v>
      </c>
      <c r="FA53" s="230">
        <v>0</v>
      </c>
      <c r="FB53" s="230">
        <v>0</v>
      </c>
      <c r="FC53" s="230">
        <v>0</v>
      </c>
      <c r="FD53" s="230">
        <v>0</v>
      </c>
      <c r="FE53" s="230">
        <v>0</v>
      </c>
      <c r="FF53" s="230">
        <v>0</v>
      </c>
      <c r="FG53" s="230">
        <v>0</v>
      </c>
      <c r="FH53" s="230">
        <v>0</v>
      </c>
      <c r="FI53" s="230">
        <v>0</v>
      </c>
      <c r="FJ53" s="230">
        <v>0</v>
      </c>
      <c r="FK53" s="230">
        <v>0</v>
      </c>
      <c r="FL53" s="230">
        <v>0</v>
      </c>
      <c r="FM53" s="230">
        <v>40</v>
      </c>
      <c r="FN53" s="230">
        <v>2100</v>
      </c>
      <c r="FO53" s="230">
        <v>0</v>
      </c>
      <c r="FP53" s="230">
        <v>0</v>
      </c>
      <c r="FQ53" s="230" t="s">
        <v>601</v>
      </c>
      <c r="FR53" s="230" t="s">
        <v>601</v>
      </c>
      <c r="FS53" s="230" t="s">
        <v>601</v>
      </c>
      <c r="FT53" s="230" t="s">
        <v>593</v>
      </c>
      <c r="FU53" s="230">
        <v>0</v>
      </c>
      <c r="FV53" s="230">
        <v>0</v>
      </c>
      <c r="FW53" s="230" t="s">
        <v>601</v>
      </c>
      <c r="FX53" s="230" t="s">
        <v>601</v>
      </c>
      <c r="FY53" s="230" t="s">
        <v>601</v>
      </c>
      <c r="FZ53" s="230" t="s">
        <v>593</v>
      </c>
      <c r="GA53" s="230" t="s">
        <v>601</v>
      </c>
      <c r="GB53" s="230" t="s">
        <v>601</v>
      </c>
      <c r="GC53" s="230" t="s">
        <v>601</v>
      </c>
      <c r="GD53" s="230" t="s">
        <v>601</v>
      </c>
      <c r="GE53" s="230" t="s">
        <v>601</v>
      </c>
      <c r="GF53" s="230">
        <v>27</v>
      </c>
      <c r="GG53" s="230">
        <v>27</v>
      </c>
      <c r="GH53" s="230">
        <v>27</v>
      </c>
      <c r="GI53" s="230">
        <v>0</v>
      </c>
      <c r="GJ53" s="230">
        <v>0</v>
      </c>
      <c r="GK53" s="230">
        <v>0</v>
      </c>
      <c r="GL53" s="230">
        <v>0</v>
      </c>
      <c r="GM53" s="230">
        <v>0</v>
      </c>
      <c r="GN53" s="230">
        <v>0</v>
      </c>
      <c r="GO53" s="230">
        <v>0</v>
      </c>
      <c r="GP53" s="230">
        <v>0</v>
      </c>
      <c r="GQ53" s="230">
        <v>0</v>
      </c>
      <c r="GR53" s="230">
        <v>0</v>
      </c>
      <c r="GS53" s="230">
        <v>0</v>
      </c>
      <c r="GT53" s="230">
        <v>0</v>
      </c>
      <c r="GU53" s="230">
        <v>0</v>
      </c>
      <c r="GV53" s="230">
        <v>0</v>
      </c>
      <c r="GW53" s="230">
        <v>0</v>
      </c>
      <c r="GX53" s="230">
        <v>0</v>
      </c>
      <c r="GY53" s="230">
        <v>0</v>
      </c>
      <c r="GZ53" s="230">
        <v>0</v>
      </c>
      <c r="HA53" s="230">
        <v>0</v>
      </c>
      <c r="HB53" s="230">
        <v>0</v>
      </c>
      <c r="HC53" s="230">
        <v>0</v>
      </c>
      <c r="HD53" s="230">
        <v>0</v>
      </c>
      <c r="HE53" s="230">
        <v>0</v>
      </c>
      <c r="HF53" s="230">
        <v>0</v>
      </c>
      <c r="HG53" s="230">
        <v>0</v>
      </c>
      <c r="HH53" s="230">
        <v>0</v>
      </c>
      <c r="HI53" s="230">
        <v>0</v>
      </c>
      <c r="HJ53" s="230">
        <v>0</v>
      </c>
      <c r="HK53" s="230">
        <v>0</v>
      </c>
      <c r="HL53" s="230">
        <v>0</v>
      </c>
      <c r="HM53" s="230">
        <v>0</v>
      </c>
      <c r="HN53" s="230">
        <v>0</v>
      </c>
      <c r="HO53" s="230">
        <v>0</v>
      </c>
      <c r="HP53" s="230" t="s">
        <v>51</v>
      </c>
      <c r="HQ53" s="230">
        <v>27</v>
      </c>
      <c r="HR53" s="230">
        <v>0</v>
      </c>
      <c r="HS53" s="230">
        <v>0</v>
      </c>
      <c r="HT53" s="230">
        <v>0</v>
      </c>
      <c r="HU53" s="230">
        <v>0</v>
      </c>
      <c r="HV53" s="230">
        <v>0</v>
      </c>
      <c r="HW53" s="797">
        <v>27</v>
      </c>
      <c r="HX53" s="797">
        <v>0</v>
      </c>
      <c r="HY53" s="230">
        <v>68</v>
      </c>
      <c r="HZ53" s="230"/>
      <c r="IA53" s="230"/>
      <c r="IB53" s="230"/>
      <c r="IC53" s="232" t="s">
        <v>1036</v>
      </c>
      <c r="ID53" s="233" t="s">
        <v>1037</v>
      </c>
      <c r="IE53" s="467" t="s">
        <v>583</v>
      </c>
      <c r="IF53" s="232" t="s">
        <v>364</v>
      </c>
      <c r="IG53" s="467" t="s">
        <v>584</v>
      </c>
      <c r="IH53" s="467" t="s">
        <v>585</v>
      </c>
      <c r="II53" s="546" t="s">
        <v>584</v>
      </c>
      <c r="IJ53" s="467">
        <v>44462</v>
      </c>
      <c r="IK53" s="468">
        <v>3</v>
      </c>
      <c r="IL53" s="469" t="s">
        <v>1210</v>
      </c>
      <c r="IM53" s="469" t="s">
        <v>1195</v>
      </c>
      <c r="IN53" s="469" t="s">
        <v>1195</v>
      </c>
      <c r="IO53" s="469" t="s">
        <v>601</v>
      </c>
      <c r="IP53" s="469" t="s">
        <v>601</v>
      </c>
      <c r="IQ53" s="469" t="s">
        <v>601</v>
      </c>
      <c r="IR53" s="469">
        <v>1</v>
      </c>
      <c r="IS53" s="469">
        <v>2</v>
      </c>
      <c r="IT53" s="469" t="s">
        <v>675</v>
      </c>
      <c r="IU53" s="469" t="s">
        <v>675</v>
      </c>
    </row>
    <row r="54" ht="76.5">
      <c r="A54" s="322">
        <v>53</v>
      </c>
      <c r="B54" s="229" t="s">
        <v>1178</v>
      </c>
      <c r="C54" s="229" t="s">
        <v>1178</v>
      </c>
      <c r="D54" s="797" t="s">
        <v>1046</v>
      </c>
      <c r="E54" s="229" t="s">
        <v>1040</v>
      </c>
      <c r="F54" s="229" t="s">
        <v>26</v>
      </c>
      <c r="G54" s="797" t="s">
        <v>1041</v>
      </c>
      <c r="H54" s="797" t="s">
        <v>1042</v>
      </c>
      <c r="I54" s="229">
        <v>1</v>
      </c>
      <c r="J54" s="229" t="s">
        <v>1043</v>
      </c>
      <c r="K54" s="231" t="s">
        <v>584</v>
      </c>
      <c r="L54" s="231" t="s">
        <v>1276</v>
      </c>
      <c r="M54" s="229" t="s">
        <v>576</v>
      </c>
      <c r="N54" s="229" t="s">
        <v>1046</v>
      </c>
      <c r="O54" s="229" t="s">
        <v>587</v>
      </c>
      <c r="P54" s="229" t="s">
        <v>1208</v>
      </c>
      <c r="Q54" s="229" t="s">
        <v>597</v>
      </c>
      <c r="R54" s="229" t="s">
        <v>1193</v>
      </c>
      <c r="S54" s="229" t="s">
        <v>600</v>
      </c>
      <c r="T54" s="229" t="s">
        <v>593</v>
      </c>
      <c r="U54" s="229">
        <v>1</v>
      </c>
      <c r="V54" s="229"/>
      <c r="W54" s="229" t="b">
        <v>0</v>
      </c>
      <c r="X54" s="229" t="b">
        <v>0</v>
      </c>
      <c r="Y54" s="797">
        <v>0</v>
      </c>
      <c r="Z54" s="229" t="b">
        <v>1</v>
      </c>
      <c r="AA54" s="797">
        <v>27</v>
      </c>
      <c r="AB54" s="229" t="b">
        <v>0</v>
      </c>
      <c r="AC54" s="229" t="b">
        <v>1</v>
      </c>
      <c r="AD54" s="229">
        <v>0</v>
      </c>
      <c r="AE54" s="229"/>
      <c r="AF54" s="229" t="s">
        <v>50</v>
      </c>
      <c r="AG54" s="229">
        <v>0</v>
      </c>
      <c r="AH54" s="230"/>
      <c r="AI54" s="553" t="s">
        <v>576</v>
      </c>
      <c r="AJ54" s="553" t="s">
        <v>576</v>
      </c>
      <c r="AK54" s="229">
        <v>4</v>
      </c>
      <c r="AL54" s="465" t="s">
        <v>1188</v>
      </c>
      <c r="AM54" s="465" t="s">
        <v>1280</v>
      </c>
      <c r="AN54" s="465" t="s">
        <v>1279</v>
      </c>
      <c r="AO54" s="229" t="s">
        <v>25</v>
      </c>
      <c r="AP54" s="230" t="s">
        <v>576</v>
      </c>
      <c r="AQ54" s="230">
        <v>0</v>
      </c>
      <c r="AR54" s="230">
        <v>0</v>
      </c>
      <c r="AS54" s="230" t="s">
        <v>601</v>
      </c>
      <c r="AT54" s="230" t="s">
        <v>601</v>
      </c>
      <c r="AU54" s="230" t="s">
        <v>601</v>
      </c>
      <c r="AV54" s="230" t="s">
        <v>1178</v>
      </c>
      <c r="AW54" s="230" t="s">
        <v>601</v>
      </c>
      <c r="AX54" s="230" t="s">
        <v>601</v>
      </c>
      <c r="AY54" s="230" t="s">
        <v>601</v>
      </c>
      <c r="AZ54" s="230" t="s">
        <v>601</v>
      </c>
      <c r="BA54" s="230" t="s">
        <v>601</v>
      </c>
      <c r="BB54" s="230" t="s">
        <v>1178</v>
      </c>
      <c r="BC54" s="230" t="s">
        <v>1046</v>
      </c>
      <c r="BD54" s="230">
        <v>0</v>
      </c>
      <c r="BE54" s="230">
        <v>0</v>
      </c>
      <c r="BF54" s="230" t="s">
        <v>601</v>
      </c>
      <c r="BG54" s="230" t="s">
        <v>601</v>
      </c>
      <c r="BH54" s="230" t="s">
        <v>601</v>
      </c>
      <c r="BI54" s="230" t="s">
        <v>587</v>
      </c>
      <c r="BJ54" s="230">
        <v>0</v>
      </c>
      <c r="BK54" s="230">
        <v>0</v>
      </c>
      <c r="BL54" s="230" t="s">
        <v>601</v>
      </c>
      <c r="BM54" s="230" t="s">
        <v>601</v>
      </c>
      <c r="BN54" s="230" t="s">
        <v>601</v>
      </c>
      <c r="BO54" s="553">
        <v>3</v>
      </c>
      <c r="BP54" s="553">
        <v>0</v>
      </c>
      <c r="BQ54" s="553">
        <v>0</v>
      </c>
      <c r="BR54" s="553">
        <v>0</v>
      </c>
      <c r="BS54" s="553">
        <v>0</v>
      </c>
      <c r="BT54" s="554">
        <v>0</v>
      </c>
      <c r="BU54" s="230" t="s">
        <v>597</v>
      </c>
      <c r="BV54" s="230" t="s">
        <v>601</v>
      </c>
      <c r="BW54" s="230" t="s">
        <v>601</v>
      </c>
      <c r="BX54" s="230" t="s">
        <v>601</v>
      </c>
      <c r="BY54" s="230" t="s">
        <v>601</v>
      </c>
      <c r="BZ54" s="230" t="s">
        <v>601</v>
      </c>
      <c r="CA54" s="230">
        <v>2</v>
      </c>
      <c r="CB54" s="230">
        <v>2</v>
      </c>
      <c r="CC54" s="230">
        <v>2</v>
      </c>
      <c r="CD54" s="230">
        <v>0</v>
      </c>
      <c r="CE54" s="230">
        <v>0</v>
      </c>
      <c r="CF54" s="230">
        <v>0</v>
      </c>
      <c r="CG54" s="230">
        <v>0</v>
      </c>
      <c r="CH54" s="230">
        <v>0</v>
      </c>
      <c r="CI54" s="230">
        <v>0</v>
      </c>
      <c r="CJ54" s="230">
        <v>0</v>
      </c>
      <c r="CK54" s="230">
        <v>0</v>
      </c>
      <c r="CL54" s="230">
        <v>0</v>
      </c>
      <c r="CM54" s="230">
        <v>0</v>
      </c>
      <c r="CN54" s="230">
        <v>0</v>
      </c>
      <c r="CO54" s="230">
        <v>0</v>
      </c>
      <c r="CP54" s="230">
        <v>0</v>
      </c>
      <c r="CQ54" s="230">
        <v>0</v>
      </c>
      <c r="CR54" s="230">
        <v>0</v>
      </c>
      <c r="CS54" s="230">
        <v>0</v>
      </c>
      <c r="CT54" s="230">
        <v>0</v>
      </c>
      <c r="CU54" s="230">
        <v>0</v>
      </c>
      <c r="CV54" s="230">
        <v>0</v>
      </c>
      <c r="CW54" s="230">
        <v>0</v>
      </c>
      <c r="CX54" s="230">
        <v>0</v>
      </c>
      <c r="CY54" s="230">
        <v>0</v>
      </c>
      <c r="CZ54" s="230">
        <v>0</v>
      </c>
      <c r="DA54" s="230">
        <v>0</v>
      </c>
      <c r="DB54" s="230">
        <v>0</v>
      </c>
      <c r="DC54" s="230">
        <v>0</v>
      </c>
      <c r="DD54" s="230">
        <v>0</v>
      </c>
      <c r="DE54" s="230">
        <v>0</v>
      </c>
      <c r="DF54" s="230">
        <v>0</v>
      </c>
      <c r="DG54" s="230">
        <v>0</v>
      </c>
      <c r="DH54" s="230">
        <v>0</v>
      </c>
      <c r="DI54" s="230">
        <v>0</v>
      </c>
      <c r="DJ54" s="230">
        <v>0</v>
      </c>
      <c r="DK54" s="230" t="s">
        <v>599</v>
      </c>
      <c r="DL54" s="230" t="s">
        <v>601</v>
      </c>
      <c r="DM54" s="230" t="s">
        <v>601</v>
      </c>
      <c r="DN54" s="230" t="s">
        <v>601</v>
      </c>
      <c r="DO54" s="230" t="s">
        <v>601</v>
      </c>
      <c r="DP54" s="230" t="s">
        <v>601</v>
      </c>
      <c r="DQ54" s="230" t="s">
        <v>1193</v>
      </c>
      <c r="DR54" s="230" t="s">
        <v>601</v>
      </c>
      <c r="DS54" s="230" t="s">
        <v>601</v>
      </c>
      <c r="DT54" s="230" t="s">
        <v>601</v>
      </c>
      <c r="DU54" s="230" t="s">
        <v>601</v>
      </c>
      <c r="DV54" s="230" t="s">
        <v>601</v>
      </c>
      <c r="DW54" s="230">
        <v>40</v>
      </c>
      <c r="DX54" s="230">
        <v>40</v>
      </c>
      <c r="DY54" s="230">
        <v>40</v>
      </c>
      <c r="DZ54" s="230">
        <v>0</v>
      </c>
      <c r="EA54" s="230">
        <v>0</v>
      </c>
      <c r="EB54" s="230">
        <v>0</v>
      </c>
      <c r="EC54" s="230">
        <v>40</v>
      </c>
      <c r="ED54" s="230">
        <v>0</v>
      </c>
      <c r="EE54" s="230">
        <v>0</v>
      </c>
      <c r="EF54" s="230">
        <v>0</v>
      </c>
      <c r="EG54" s="230">
        <v>0</v>
      </c>
      <c r="EH54" s="230">
        <v>0</v>
      </c>
      <c r="EI54" s="230">
        <v>0</v>
      </c>
      <c r="EJ54" s="230">
        <v>0</v>
      </c>
      <c r="EK54" s="230">
        <v>0</v>
      </c>
      <c r="EL54" s="230">
        <v>0</v>
      </c>
      <c r="EM54" s="230">
        <v>0</v>
      </c>
      <c r="EN54" s="230">
        <v>0</v>
      </c>
      <c r="EO54" s="230">
        <v>0</v>
      </c>
      <c r="EP54" s="230">
        <v>0</v>
      </c>
      <c r="EQ54" s="230">
        <v>0</v>
      </c>
      <c r="ER54" s="230">
        <v>0</v>
      </c>
      <c r="ES54" s="230">
        <v>0</v>
      </c>
      <c r="ET54" s="230">
        <v>0</v>
      </c>
      <c r="EU54" s="230">
        <v>0</v>
      </c>
      <c r="EV54" s="230">
        <v>0</v>
      </c>
      <c r="EW54" s="230">
        <v>0</v>
      </c>
      <c r="EX54" s="230">
        <v>0</v>
      </c>
      <c r="EY54" s="230">
        <v>0</v>
      </c>
      <c r="EZ54" s="230">
        <v>0</v>
      </c>
      <c r="FA54" s="230">
        <v>0</v>
      </c>
      <c r="FB54" s="230">
        <v>0</v>
      </c>
      <c r="FC54" s="230">
        <v>0</v>
      </c>
      <c r="FD54" s="230">
        <v>0</v>
      </c>
      <c r="FE54" s="230">
        <v>0</v>
      </c>
      <c r="FF54" s="230">
        <v>0</v>
      </c>
      <c r="FG54" s="230">
        <v>0</v>
      </c>
      <c r="FH54" s="230">
        <v>0</v>
      </c>
      <c r="FI54" s="230">
        <v>0</v>
      </c>
      <c r="FJ54" s="230">
        <v>0</v>
      </c>
      <c r="FK54" s="230">
        <v>0</v>
      </c>
      <c r="FL54" s="230">
        <v>0</v>
      </c>
      <c r="FM54" s="230">
        <v>40</v>
      </c>
      <c r="FN54" s="230">
        <v>2100</v>
      </c>
      <c r="FO54" s="230">
        <v>0</v>
      </c>
      <c r="FP54" s="230">
        <v>0</v>
      </c>
      <c r="FQ54" s="230" t="s">
        <v>601</v>
      </c>
      <c r="FR54" s="230" t="s">
        <v>601</v>
      </c>
      <c r="FS54" s="230" t="s">
        <v>601</v>
      </c>
      <c r="FT54" s="230" t="s">
        <v>593</v>
      </c>
      <c r="FU54" s="230">
        <v>0</v>
      </c>
      <c r="FV54" s="230">
        <v>0</v>
      </c>
      <c r="FW54" s="230" t="s">
        <v>601</v>
      </c>
      <c r="FX54" s="230" t="s">
        <v>601</v>
      </c>
      <c r="FY54" s="230" t="s">
        <v>601</v>
      </c>
      <c r="FZ54" s="230" t="s">
        <v>593</v>
      </c>
      <c r="GA54" s="230" t="s">
        <v>601</v>
      </c>
      <c r="GB54" s="230" t="s">
        <v>601</v>
      </c>
      <c r="GC54" s="230" t="s">
        <v>601</v>
      </c>
      <c r="GD54" s="230" t="s">
        <v>601</v>
      </c>
      <c r="GE54" s="230" t="s">
        <v>601</v>
      </c>
      <c r="GF54" s="230">
        <v>27</v>
      </c>
      <c r="GG54" s="230">
        <v>27</v>
      </c>
      <c r="GH54" s="230">
        <v>27</v>
      </c>
      <c r="GI54" s="230">
        <v>0</v>
      </c>
      <c r="GJ54" s="230">
        <v>0</v>
      </c>
      <c r="GK54" s="230">
        <v>0</v>
      </c>
      <c r="GL54" s="230">
        <v>0</v>
      </c>
      <c r="GM54" s="230">
        <v>0</v>
      </c>
      <c r="GN54" s="230">
        <v>0</v>
      </c>
      <c r="GO54" s="230">
        <v>0</v>
      </c>
      <c r="GP54" s="230">
        <v>0</v>
      </c>
      <c r="GQ54" s="230">
        <v>0</v>
      </c>
      <c r="GR54" s="230">
        <v>0</v>
      </c>
      <c r="GS54" s="230">
        <v>0</v>
      </c>
      <c r="GT54" s="230">
        <v>0</v>
      </c>
      <c r="GU54" s="230">
        <v>0</v>
      </c>
      <c r="GV54" s="230">
        <v>0</v>
      </c>
      <c r="GW54" s="230">
        <v>0</v>
      </c>
      <c r="GX54" s="230">
        <v>0</v>
      </c>
      <c r="GY54" s="230">
        <v>0</v>
      </c>
      <c r="GZ54" s="230">
        <v>0</v>
      </c>
      <c r="HA54" s="230">
        <v>0</v>
      </c>
      <c r="HB54" s="230">
        <v>0</v>
      </c>
      <c r="HC54" s="230">
        <v>0</v>
      </c>
      <c r="HD54" s="230">
        <v>0</v>
      </c>
      <c r="HE54" s="230">
        <v>0</v>
      </c>
      <c r="HF54" s="230">
        <v>0</v>
      </c>
      <c r="HG54" s="230">
        <v>0</v>
      </c>
      <c r="HH54" s="230">
        <v>0</v>
      </c>
      <c r="HI54" s="230">
        <v>0</v>
      </c>
      <c r="HJ54" s="230">
        <v>0</v>
      </c>
      <c r="HK54" s="230">
        <v>0</v>
      </c>
      <c r="HL54" s="230">
        <v>0</v>
      </c>
      <c r="HM54" s="230">
        <v>0</v>
      </c>
      <c r="HN54" s="230">
        <v>0</v>
      </c>
      <c r="HO54" s="230">
        <v>0</v>
      </c>
      <c r="HP54" s="230" t="s">
        <v>51</v>
      </c>
      <c r="HQ54" s="230">
        <v>27</v>
      </c>
      <c r="HR54" s="230">
        <v>0</v>
      </c>
      <c r="HS54" s="230">
        <v>0</v>
      </c>
      <c r="HT54" s="230">
        <v>0</v>
      </c>
      <c r="HU54" s="230">
        <v>0</v>
      </c>
      <c r="HV54" s="230">
        <v>0</v>
      </c>
      <c r="HW54" s="797">
        <v>27</v>
      </c>
      <c r="HX54" s="797">
        <v>0</v>
      </c>
      <c r="HY54" s="230">
        <v>68</v>
      </c>
      <c r="HZ54" s="230"/>
      <c r="IA54" s="230"/>
      <c r="IB54" s="230"/>
      <c r="IC54" s="232" t="s">
        <v>1044</v>
      </c>
      <c r="ID54" s="233" t="s">
        <v>1045</v>
      </c>
      <c r="IE54" s="467" t="s">
        <v>583</v>
      </c>
      <c r="IF54" s="232" t="s">
        <v>364</v>
      </c>
      <c r="IG54" s="467" t="s">
        <v>584</v>
      </c>
      <c r="IH54" s="467" t="s">
        <v>585</v>
      </c>
      <c r="II54" s="546" t="s">
        <v>584</v>
      </c>
      <c r="IJ54" s="467">
        <v>44462</v>
      </c>
      <c r="IK54" s="468">
        <v>3</v>
      </c>
      <c r="IL54" s="469" t="s">
        <v>1210</v>
      </c>
      <c r="IM54" s="469" t="s">
        <v>1195</v>
      </c>
      <c r="IN54" s="469" t="s">
        <v>1195</v>
      </c>
      <c r="IO54" s="469" t="s">
        <v>601</v>
      </c>
      <c r="IP54" s="469" t="s">
        <v>601</v>
      </c>
      <c r="IQ54" s="469" t="s">
        <v>601</v>
      </c>
      <c r="IR54" s="469">
        <v>1</v>
      </c>
      <c r="IS54" s="469">
        <v>2</v>
      </c>
      <c r="IT54" s="469" t="s">
        <v>675</v>
      </c>
      <c r="IU54" s="469" t="s">
        <v>675</v>
      </c>
    </row>
    <row r="55" ht="76.5">
      <c r="A55" s="322">
        <v>54</v>
      </c>
      <c r="B55" s="229" t="s">
        <v>1178</v>
      </c>
      <c r="C55" s="229" t="s">
        <v>1178</v>
      </c>
      <c r="D55" s="797" t="s">
        <v>1054</v>
      </c>
      <c r="E55" s="229" t="s">
        <v>1048</v>
      </c>
      <c r="F55" s="229" t="s">
        <v>26</v>
      </c>
      <c r="G55" s="797" t="s">
        <v>1049</v>
      </c>
      <c r="H55" s="797" t="s">
        <v>1050</v>
      </c>
      <c r="I55" s="229">
        <v>1</v>
      </c>
      <c r="J55" s="229" t="s">
        <v>1051</v>
      </c>
      <c r="K55" s="231" t="s">
        <v>584</v>
      </c>
      <c r="L55" s="231" t="s">
        <v>1276</v>
      </c>
      <c r="M55" s="229" t="s">
        <v>576</v>
      </c>
      <c r="N55" s="229" t="s">
        <v>1054</v>
      </c>
      <c r="O55" s="229" t="s">
        <v>587</v>
      </c>
      <c r="P55" s="229" t="s">
        <v>1208</v>
      </c>
      <c r="Q55" s="229" t="s">
        <v>597</v>
      </c>
      <c r="R55" s="229" t="s">
        <v>1193</v>
      </c>
      <c r="S55" s="229" t="s">
        <v>600</v>
      </c>
      <c r="T55" s="229" t="s">
        <v>613</v>
      </c>
      <c r="U55" s="229">
        <v>1</v>
      </c>
      <c r="V55" s="229"/>
      <c r="W55" s="229" t="b">
        <v>0</v>
      </c>
      <c r="X55" s="229" t="b">
        <v>0</v>
      </c>
      <c r="Y55" s="797">
        <v>0</v>
      </c>
      <c r="Z55" s="229" t="b">
        <v>1</v>
      </c>
      <c r="AA55" s="797">
        <v>24</v>
      </c>
      <c r="AB55" s="229" t="b">
        <v>0</v>
      </c>
      <c r="AC55" s="229" t="b">
        <v>1</v>
      </c>
      <c r="AD55" s="229">
        <v>0</v>
      </c>
      <c r="AE55" s="229"/>
      <c r="AF55" s="229" t="s">
        <v>50</v>
      </c>
      <c r="AG55" s="229">
        <v>0</v>
      </c>
      <c r="AH55" s="230"/>
      <c r="AI55" s="553" t="s">
        <v>576</v>
      </c>
      <c r="AJ55" s="553" t="s">
        <v>576</v>
      </c>
      <c r="AK55" s="229">
        <v>4</v>
      </c>
      <c r="AL55" s="465" t="s">
        <v>1188</v>
      </c>
      <c r="AM55" s="465" t="s">
        <v>1280</v>
      </c>
      <c r="AN55" s="465" t="s">
        <v>1281</v>
      </c>
      <c r="AO55" s="229" t="s">
        <v>25</v>
      </c>
      <c r="AP55" s="230" t="s">
        <v>576</v>
      </c>
      <c r="AQ55" s="230">
        <v>0</v>
      </c>
      <c r="AR55" s="230">
        <v>0</v>
      </c>
      <c r="AS55" s="230" t="s">
        <v>601</v>
      </c>
      <c r="AT55" s="230" t="s">
        <v>601</v>
      </c>
      <c r="AU55" s="230" t="s">
        <v>601</v>
      </c>
      <c r="AV55" s="230" t="s">
        <v>1178</v>
      </c>
      <c r="AW55" s="230" t="s">
        <v>601</v>
      </c>
      <c r="AX55" s="230" t="s">
        <v>601</v>
      </c>
      <c r="AY55" s="230" t="s">
        <v>601</v>
      </c>
      <c r="AZ55" s="230" t="s">
        <v>601</v>
      </c>
      <c r="BA55" s="230" t="s">
        <v>601</v>
      </c>
      <c r="BB55" s="230" t="s">
        <v>1178</v>
      </c>
      <c r="BC55" s="230" t="s">
        <v>1054</v>
      </c>
      <c r="BD55" s="230">
        <v>0</v>
      </c>
      <c r="BE55" s="230">
        <v>0</v>
      </c>
      <c r="BF55" s="230" t="s">
        <v>601</v>
      </c>
      <c r="BG55" s="230" t="s">
        <v>601</v>
      </c>
      <c r="BH55" s="230" t="s">
        <v>601</v>
      </c>
      <c r="BI55" s="230" t="s">
        <v>587</v>
      </c>
      <c r="BJ55" s="230">
        <v>0</v>
      </c>
      <c r="BK55" s="230">
        <v>0</v>
      </c>
      <c r="BL55" s="230" t="s">
        <v>601</v>
      </c>
      <c r="BM55" s="230" t="s">
        <v>601</v>
      </c>
      <c r="BN55" s="230" t="s">
        <v>601</v>
      </c>
      <c r="BO55" s="553">
        <v>3</v>
      </c>
      <c r="BP55" s="553">
        <v>0</v>
      </c>
      <c r="BQ55" s="553">
        <v>0</v>
      </c>
      <c r="BR55" s="553">
        <v>0</v>
      </c>
      <c r="BS55" s="553">
        <v>0</v>
      </c>
      <c r="BT55" s="554">
        <v>0</v>
      </c>
      <c r="BU55" s="230" t="s">
        <v>597</v>
      </c>
      <c r="BV55" s="230" t="s">
        <v>601</v>
      </c>
      <c r="BW55" s="230" t="s">
        <v>601</v>
      </c>
      <c r="BX55" s="230" t="s">
        <v>601</v>
      </c>
      <c r="BY55" s="230" t="s">
        <v>601</v>
      </c>
      <c r="BZ55" s="230" t="s">
        <v>601</v>
      </c>
      <c r="CA55" s="230">
        <v>2</v>
      </c>
      <c r="CB55" s="230">
        <v>2</v>
      </c>
      <c r="CC55" s="230">
        <v>2</v>
      </c>
      <c r="CD55" s="230">
        <v>0</v>
      </c>
      <c r="CE55" s="230">
        <v>0</v>
      </c>
      <c r="CF55" s="230">
        <v>0</v>
      </c>
      <c r="CG55" s="230">
        <v>0</v>
      </c>
      <c r="CH55" s="230">
        <v>0</v>
      </c>
      <c r="CI55" s="230">
        <v>0</v>
      </c>
      <c r="CJ55" s="230">
        <v>0</v>
      </c>
      <c r="CK55" s="230">
        <v>0</v>
      </c>
      <c r="CL55" s="230">
        <v>0</v>
      </c>
      <c r="CM55" s="230">
        <v>0</v>
      </c>
      <c r="CN55" s="230">
        <v>0</v>
      </c>
      <c r="CO55" s="230">
        <v>0</v>
      </c>
      <c r="CP55" s="230">
        <v>0</v>
      </c>
      <c r="CQ55" s="230">
        <v>0</v>
      </c>
      <c r="CR55" s="230">
        <v>0</v>
      </c>
      <c r="CS55" s="230">
        <v>0</v>
      </c>
      <c r="CT55" s="230">
        <v>0</v>
      </c>
      <c r="CU55" s="230">
        <v>0</v>
      </c>
      <c r="CV55" s="230">
        <v>0</v>
      </c>
      <c r="CW55" s="230">
        <v>0</v>
      </c>
      <c r="CX55" s="230">
        <v>0</v>
      </c>
      <c r="CY55" s="230">
        <v>0</v>
      </c>
      <c r="CZ55" s="230">
        <v>0</v>
      </c>
      <c r="DA55" s="230">
        <v>0</v>
      </c>
      <c r="DB55" s="230">
        <v>0</v>
      </c>
      <c r="DC55" s="230">
        <v>0</v>
      </c>
      <c r="DD55" s="230">
        <v>0</v>
      </c>
      <c r="DE55" s="230">
        <v>0</v>
      </c>
      <c r="DF55" s="230">
        <v>0</v>
      </c>
      <c r="DG55" s="230">
        <v>0</v>
      </c>
      <c r="DH55" s="230">
        <v>0</v>
      </c>
      <c r="DI55" s="230">
        <v>0</v>
      </c>
      <c r="DJ55" s="230">
        <v>0</v>
      </c>
      <c r="DK55" s="230" t="s">
        <v>599</v>
      </c>
      <c r="DL55" s="230" t="s">
        <v>601</v>
      </c>
      <c r="DM55" s="230" t="s">
        <v>601</v>
      </c>
      <c r="DN55" s="230" t="s">
        <v>601</v>
      </c>
      <c r="DO55" s="230" t="s">
        <v>601</v>
      </c>
      <c r="DP55" s="230" t="s">
        <v>601</v>
      </c>
      <c r="DQ55" s="230" t="s">
        <v>1193</v>
      </c>
      <c r="DR55" s="230" t="s">
        <v>601</v>
      </c>
      <c r="DS55" s="230" t="s">
        <v>601</v>
      </c>
      <c r="DT55" s="230" t="s">
        <v>601</v>
      </c>
      <c r="DU55" s="230" t="s">
        <v>601</v>
      </c>
      <c r="DV55" s="230" t="s">
        <v>601</v>
      </c>
      <c r="DW55" s="230">
        <v>40</v>
      </c>
      <c r="DX55" s="230">
        <v>40</v>
      </c>
      <c r="DY55" s="230">
        <v>40</v>
      </c>
      <c r="DZ55" s="230">
        <v>0</v>
      </c>
      <c r="EA55" s="230">
        <v>0</v>
      </c>
      <c r="EB55" s="230">
        <v>0</v>
      </c>
      <c r="EC55" s="230">
        <v>40</v>
      </c>
      <c r="ED55" s="230">
        <v>0</v>
      </c>
      <c r="EE55" s="230">
        <v>0</v>
      </c>
      <c r="EF55" s="230">
        <v>0</v>
      </c>
      <c r="EG55" s="230">
        <v>0</v>
      </c>
      <c r="EH55" s="230">
        <v>0</v>
      </c>
      <c r="EI55" s="230">
        <v>0</v>
      </c>
      <c r="EJ55" s="230">
        <v>0</v>
      </c>
      <c r="EK55" s="230">
        <v>0</v>
      </c>
      <c r="EL55" s="230">
        <v>0</v>
      </c>
      <c r="EM55" s="230">
        <v>0</v>
      </c>
      <c r="EN55" s="230">
        <v>0</v>
      </c>
      <c r="EO55" s="230">
        <v>0</v>
      </c>
      <c r="EP55" s="230">
        <v>0</v>
      </c>
      <c r="EQ55" s="230">
        <v>0</v>
      </c>
      <c r="ER55" s="230">
        <v>0</v>
      </c>
      <c r="ES55" s="230">
        <v>0</v>
      </c>
      <c r="ET55" s="230">
        <v>0</v>
      </c>
      <c r="EU55" s="230">
        <v>0</v>
      </c>
      <c r="EV55" s="230">
        <v>0</v>
      </c>
      <c r="EW55" s="230">
        <v>0</v>
      </c>
      <c r="EX55" s="230">
        <v>0</v>
      </c>
      <c r="EY55" s="230">
        <v>0</v>
      </c>
      <c r="EZ55" s="230">
        <v>0</v>
      </c>
      <c r="FA55" s="230">
        <v>0</v>
      </c>
      <c r="FB55" s="230">
        <v>0</v>
      </c>
      <c r="FC55" s="230">
        <v>0</v>
      </c>
      <c r="FD55" s="230">
        <v>0</v>
      </c>
      <c r="FE55" s="230">
        <v>0</v>
      </c>
      <c r="FF55" s="230">
        <v>0</v>
      </c>
      <c r="FG55" s="230">
        <v>0</v>
      </c>
      <c r="FH55" s="230">
        <v>0</v>
      </c>
      <c r="FI55" s="230">
        <v>0</v>
      </c>
      <c r="FJ55" s="230">
        <v>0</v>
      </c>
      <c r="FK55" s="230">
        <v>0</v>
      </c>
      <c r="FL55" s="230">
        <v>0</v>
      </c>
      <c r="FM55" s="230">
        <v>40</v>
      </c>
      <c r="FN55" s="230">
        <v>2100</v>
      </c>
      <c r="FO55" s="230">
        <v>0</v>
      </c>
      <c r="FP55" s="230">
        <v>0</v>
      </c>
      <c r="FQ55" s="230" t="s">
        <v>601</v>
      </c>
      <c r="FR55" s="230" t="s">
        <v>601</v>
      </c>
      <c r="FS55" s="230" t="s">
        <v>601</v>
      </c>
      <c r="FT55" s="230" t="s">
        <v>613</v>
      </c>
      <c r="FU55" s="230">
        <v>0</v>
      </c>
      <c r="FV55" s="230">
        <v>0</v>
      </c>
      <c r="FW55" s="230" t="s">
        <v>601</v>
      </c>
      <c r="FX55" s="230" t="s">
        <v>601</v>
      </c>
      <c r="FY55" s="230" t="s">
        <v>601</v>
      </c>
      <c r="FZ55" s="230" t="s">
        <v>613</v>
      </c>
      <c r="GA55" s="230" t="s">
        <v>601</v>
      </c>
      <c r="GB55" s="230" t="s">
        <v>601</v>
      </c>
      <c r="GC55" s="230" t="s">
        <v>601</v>
      </c>
      <c r="GD55" s="230" t="s">
        <v>601</v>
      </c>
      <c r="GE55" s="230" t="s">
        <v>601</v>
      </c>
      <c r="GF55" s="230">
        <v>24</v>
      </c>
      <c r="GG55" s="230">
        <v>24</v>
      </c>
      <c r="GH55" s="230">
        <v>24</v>
      </c>
      <c r="GI55" s="230">
        <v>0</v>
      </c>
      <c r="GJ55" s="230">
        <v>0</v>
      </c>
      <c r="GK55" s="230">
        <v>0</v>
      </c>
      <c r="GL55" s="230">
        <v>0</v>
      </c>
      <c r="GM55" s="230">
        <v>0</v>
      </c>
      <c r="GN55" s="230">
        <v>0</v>
      </c>
      <c r="GO55" s="230">
        <v>0</v>
      </c>
      <c r="GP55" s="230">
        <v>0</v>
      </c>
      <c r="GQ55" s="230">
        <v>0</v>
      </c>
      <c r="GR55" s="230">
        <v>0</v>
      </c>
      <c r="GS55" s="230">
        <v>0</v>
      </c>
      <c r="GT55" s="230">
        <v>0</v>
      </c>
      <c r="GU55" s="230">
        <v>0</v>
      </c>
      <c r="GV55" s="230">
        <v>0</v>
      </c>
      <c r="GW55" s="230">
        <v>0</v>
      </c>
      <c r="GX55" s="230">
        <v>0</v>
      </c>
      <c r="GY55" s="230">
        <v>0</v>
      </c>
      <c r="GZ55" s="230">
        <v>0</v>
      </c>
      <c r="HA55" s="230">
        <v>0</v>
      </c>
      <c r="HB55" s="230">
        <v>0</v>
      </c>
      <c r="HC55" s="230">
        <v>0</v>
      </c>
      <c r="HD55" s="230">
        <v>0</v>
      </c>
      <c r="HE55" s="230">
        <v>0</v>
      </c>
      <c r="HF55" s="230">
        <v>0</v>
      </c>
      <c r="HG55" s="230">
        <v>0</v>
      </c>
      <c r="HH55" s="230">
        <v>0</v>
      </c>
      <c r="HI55" s="230">
        <v>0</v>
      </c>
      <c r="HJ55" s="230">
        <v>0</v>
      </c>
      <c r="HK55" s="230">
        <v>0</v>
      </c>
      <c r="HL55" s="230">
        <v>0</v>
      </c>
      <c r="HM55" s="230">
        <v>0</v>
      </c>
      <c r="HN55" s="230">
        <v>0</v>
      </c>
      <c r="HO55" s="230">
        <v>0</v>
      </c>
      <c r="HP55" s="230" t="s">
        <v>51</v>
      </c>
      <c r="HQ55" s="230">
        <v>24</v>
      </c>
      <c r="HR55" s="230">
        <v>0</v>
      </c>
      <c r="HS55" s="230">
        <v>0</v>
      </c>
      <c r="HT55" s="230">
        <v>0</v>
      </c>
      <c r="HU55" s="230">
        <v>0</v>
      </c>
      <c r="HV55" s="230">
        <v>0</v>
      </c>
      <c r="HW55" s="797">
        <v>24</v>
      </c>
      <c r="HX55" s="797">
        <v>0</v>
      </c>
      <c r="HY55" s="230">
        <v>68</v>
      </c>
      <c r="HZ55" s="230"/>
      <c r="IA55" s="230"/>
      <c r="IB55" s="230"/>
      <c r="IC55" s="232" t="s">
        <v>1052</v>
      </c>
      <c r="ID55" s="233" t="s">
        <v>1053</v>
      </c>
      <c r="IE55" s="467" t="s">
        <v>583</v>
      </c>
      <c r="IF55" s="232" t="s">
        <v>364</v>
      </c>
      <c r="IG55" s="467" t="s">
        <v>584</v>
      </c>
      <c r="IH55" s="467" t="s">
        <v>585</v>
      </c>
      <c r="II55" s="546" t="s">
        <v>584</v>
      </c>
      <c r="IJ55" s="467">
        <v>44462</v>
      </c>
      <c r="IK55" s="468">
        <v>3</v>
      </c>
      <c r="IL55" s="469" t="s">
        <v>1210</v>
      </c>
      <c r="IM55" s="469" t="s">
        <v>1195</v>
      </c>
      <c r="IN55" s="469" t="s">
        <v>1195</v>
      </c>
      <c r="IO55" s="469" t="s">
        <v>601</v>
      </c>
      <c r="IP55" s="469" t="s">
        <v>601</v>
      </c>
      <c r="IQ55" s="469" t="s">
        <v>601</v>
      </c>
      <c r="IR55" s="469">
        <v>1</v>
      </c>
      <c r="IS55" s="469">
        <v>2</v>
      </c>
      <c r="IT55" s="469" t="s">
        <v>675</v>
      </c>
      <c r="IU55" s="469" t="s">
        <v>675</v>
      </c>
    </row>
    <row r="56" ht="76.5">
      <c r="A56" s="322">
        <v>55</v>
      </c>
      <c r="B56" s="229" t="s">
        <v>1178</v>
      </c>
      <c r="C56" s="229" t="s">
        <v>1178</v>
      </c>
      <c r="D56" s="797" t="s">
        <v>1062</v>
      </c>
      <c r="E56" s="229" t="s">
        <v>1056</v>
      </c>
      <c r="F56" s="229" t="s">
        <v>26</v>
      </c>
      <c r="G56" s="797" t="s">
        <v>1057</v>
      </c>
      <c r="H56" s="797" t="s">
        <v>1058</v>
      </c>
      <c r="I56" s="229">
        <v>1</v>
      </c>
      <c r="J56" s="229" t="s">
        <v>1059</v>
      </c>
      <c r="K56" s="231" t="s">
        <v>584</v>
      </c>
      <c r="L56" s="231" t="s">
        <v>1276</v>
      </c>
      <c r="M56" s="229" t="s">
        <v>576</v>
      </c>
      <c r="N56" s="229" t="s">
        <v>1062</v>
      </c>
      <c r="O56" s="229" t="s">
        <v>587</v>
      </c>
      <c r="P56" s="229" t="s">
        <v>1208</v>
      </c>
      <c r="Q56" s="229" t="s">
        <v>597</v>
      </c>
      <c r="R56" s="229" t="s">
        <v>1193</v>
      </c>
      <c r="S56" s="229" t="s">
        <v>600</v>
      </c>
      <c r="T56" s="229" t="s">
        <v>593</v>
      </c>
      <c r="U56" s="229">
        <v>1</v>
      </c>
      <c r="V56" s="229"/>
      <c r="W56" s="229" t="b">
        <v>0</v>
      </c>
      <c r="X56" s="229" t="b">
        <v>0</v>
      </c>
      <c r="Y56" s="797">
        <v>0</v>
      </c>
      <c r="Z56" s="229" t="b">
        <v>1</v>
      </c>
      <c r="AA56" s="797">
        <v>27</v>
      </c>
      <c r="AB56" s="229" t="b">
        <v>0</v>
      </c>
      <c r="AC56" s="229" t="b">
        <v>1</v>
      </c>
      <c r="AD56" s="229">
        <v>0</v>
      </c>
      <c r="AE56" s="229"/>
      <c r="AF56" s="229" t="s">
        <v>50</v>
      </c>
      <c r="AG56" s="229">
        <v>0</v>
      </c>
      <c r="AH56" s="230"/>
      <c r="AI56" s="553" t="s">
        <v>576</v>
      </c>
      <c r="AJ56" s="553" t="s">
        <v>576</v>
      </c>
      <c r="AK56" s="229">
        <v>4</v>
      </c>
      <c r="AL56" s="465" t="s">
        <v>1188</v>
      </c>
      <c r="AM56" s="465" t="s">
        <v>1280</v>
      </c>
      <c r="AN56" s="465" t="s">
        <v>1282</v>
      </c>
      <c r="AO56" s="229" t="s">
        <v>25</v>
      </c>
      <c r="AP56" s="230" t="s">
        <v>576</v>
      </c>
      <c r="AQ56" s="230">
        <v>0</v>
      </c>
      <c r="AR56" s="230">
        <v>0</v>
      </c>
      <c r="AS56" s="230" t="s">
        <v>601</v>
      </c>
      <c r="AT56" s="230" t="s">
        <v>601</v>
      </c>
      <c r="AU56" s="230" t="s">
        <v>601</v>
      </c>
      <c r="AV56" s="230" t="s">
        <v>1178</v>
      </c>
      <c r="AW56" s="230" t="s">
        <v>601</v>
      </c>
      <c r="AX56" s="230" t="s">
        <v>601</v>
      </c>
      <c r="AY56" s="230" t="s">
        <v>601</v>
      </c>
      <c r="AZ56" s="230" t="s">
        <v>601</v>
      </c>
      <c r="BA56" s="230" t="s">
        <v>601</v>
      </c>
      <c r="BB56" s="230" t="s">
        <v>1178</v>
      </c>
      <c r="BC56" s="230" t="s">
        <v>1062</v>
      </c>
      <c r="BD56" s="230">
        <v>0</v>
      </c>
      <c r="BE56" s="230">
        <v>0</v>
      </c>
      <c r="BF56" s="230" t="s">
        <v>601</v>
      </c>
      <c r="BG56" s="230" t="s">
        <v>601</v>
      </c>
      <c r="BH56" s="230" t="s">
        <v>601</v>
      </c>
      <c r="BI56" s="230" t="s">
        <v>587</v>
      </c>
      <c r="BJ56" s="230">
        <v>0</v>
      </c>
      <c r="BK56" s="230">
        <v>0</v>
      </c>
      <c r="BL56" s="230" t="s">
        <v>601</v>
      </c>
      <c r="BM56" s="230" t="s">
        <v>601</v>
      </c>
      <c r="BN56" s="230" t="s">
        <v>601</v>
      </c>
      <c r="BO56" s="553">
        <v>3</v>
      </c>
      <c r="BP56" s="553">
        <v>0</v>
      </c>
      <c r="BQ56" s="553">
        <v>0</v>
      </c>
      <c r="BR56" s="553">
        <v>0</v>
      </c>
      <c r="BS56" s="553">
        <v>0</v>
      </c>
      <c r="BT56" s="554">
        <v>0</v>
      </c>
      <c r="BU56" s="230" t="s">
        <v>597</v>
      </c>
      <c r="BV56" s="230" t="s">
        <v>601</v>
      </c>
      <c r="BW56" s="230" t="s">
        <v>601</v>
      </c>
      <c r="BX56" s="230" t="s">
        <v>601</v>
      </c>
      <c r="BY56" s="230" t="s">
        <v>601</v>
      </c>
      <c r="BZ56" s="230" t="s">
        <v>601</v>
      </c>
      <c r="CA56" s="230">
        <v>2</v>
      </c>
      <c r="CB56" s="230">
        <v>2</v>
      </c>
      <c r="CC56" s="230">
        <v>2</v>
      </c>
      <c r="CD56" s="230">
        <v>0</v>
      </c>
      <c r="CE56" s="230">
        <v>0</v>
      </c>
      <c r="CF56" s="230">
        <v>0</v>
      </c>
      <c r="CG56" s="230">
        <v>0</v>
      </c>
      <c r="CH56" s="230">
        <v>0</v>
      </c>
      <c r="CI56" s="230">
        <v>0</v>
      </c>
      <c r="CJ56" s="230">
        <v>0</v>
      </c>
      <c r="CK56" s="230">
        <v>0</v>
      </c>
      <c r="CL56" s="230">
        <v>0</v>
      </c>
      <c r="CM56" s="230">
        <v>0</v>
      </c>
      <c r="CN56" s="230">
        <v>0</v>
      </c>
      <c r="CO56" s="230">
        <v>0</v>
      </c>
      <c r="CP56" s="230">
        <v>0</v>
      </c>
      <c r="CQ56" s="230">
        <v>0</v>
      </c>
      <c r="CR56" s="230">
        <v>0</v>
      </c>
      <c r="CS56" s="230">
        <v>0</v>
      </c>
      <c r="CT56" s="230">
        <v>0</v>
      </c>
      <c r="CU56" s="230">
        <v>0</v>
      </c>
      <c r="CV56" s="230">
        <v>0</v>
      </c>
      <c r="CW56" s="230">
        <v>0</v>
      </c>
      <c r="CX56" s="230">
        <v>0</v>
      </c>
      <c r="CY56" s="230">
        <v>0</v>
      </c>
      <c r="CZ56" s="230">
        <v>0</v>
      </c>
      <c r="DA56" s="230">
        <v>0</v>
      </c>
      <c r="DB56" s="230">
        <v>0</v>
      </c>
      <c r="DC56" s="230">
        <v>0</v>
      </c>
      <c r="DD56" s="230">
        <v>0</v>
      </c>
      <c r="DE56" s="230">
        <v>0</v>
      </c>
      <c r="DF56" s="230">
        <v>0</v>
      </c>
      <c r="DG56" s="230">
        <v>0</v>
      </c>
      <c r="DH56" s="230">
        <v>0</v>
      </c>
      <c r="DI56" s="230">
        <v>0</v>
      </c>
      <c r="DJ56" s="230">
        <v>0</v>
      </c>
      <c r="DK56" s="230" t="s">
        <v>599</v>
      </c>
      <c r="DL56" s="230" t="s">
        <v>601</v>
      </c>
      <c r="DM56" s="230" t="s">
        <v>601</v>
      </c>
      <c r="DN56" s="230" t="s">
        <v>601</v>
      </c>
      <c r="DO56" s="230" t="s">
        <v>601</v>
      </c>
      <c r="DP56" s="230" t="s">
        <v>601</v>
      </c>
      <c r="DQ56" s="230" t="s">
        <v>1193</v>
      </c>
      <c r="DR56" s="230" t="s">
        <v>601</v>
      </c>
      <c r="DS56" s="230" t="s">
        <v>601</v>
      </c>
      <c r="DT56" s="230" t="s">
        <v>601</v>
      </c>
      <c r="DU56" s="230" t="s">
        <v>601</v>
      </c>
      <c r="DV56" s="230" t="s">
        <v>601</v>
      </c>
      <c r="DW56" s="230">
        <v>40</v>
      </c>
      <c r="DX56" s="230">
        <v>40</v>
      </c>
      <c r="DY56" s="230">
        <v>40</v>
      </c>
      <c r="DZ56" s="230">
        <v>0</v>
      </c>
      <c r="EA56" s="230">
        <v>0</v>
      </c>
      <c r="EB56" s="230">
        <v>0</v>
      </c>
      <c r="EC56" s="230">
        <v>40</v>
      </c>
      <c r="ED56" s="230">
        <v>0</v>
      </c>
      <c r="EE56" s="230">
        <v>0</v>
      </c>
      <c r="EF56" s="230">
        <v>0</v>
      </c>
      <c r="EG56" s="230">
        <v>0</v>
      </c>
      <c r="EH56" s="230">
        <v>0</v>
      </c>
      <c r="EI56" s="230">
        <v>0</v>
      </c>
      <c r="EJ56" s="230">
        <v>0</v>
      </c>
      <c r="EK56" s="230">
        <v>0</v>
      </c>
      <c r="EL56" s="230">
        <v>0</v>
      </c>
      <c r="EM56" s="230">
        <v>0</v>
      </c>
      <c r="EN56" s="230">
        <v>0</v>
      </c>
      <c r="EO56" s="230">
        <v>0</v>
      </c>
      <c r="EP56" s="230">
        <v>0</v>
      </c>
      <c r="EQ56" s="230">
        <v>0</v>
      </c>
      <c r="ER56" s="230">
        <v>0</v>
      </c>
      <c r="ES56" s="230">
        <v>0</v>
      </c>
      <c r="ET56" s="230">
        <v>0</v>
      </c>
      <c r="EU56" s="230">
        <v>0</v>
      </c>
      <c r="EV56" s="230">
        <v>0</v>
      </c>
      <c r="EW56" s="230">
        <v>0</v>
      </c>
      <c r="EX56" s="230">
        <v>0</v>
      </c>
      <c r="EY56" s="230">
        <v>0</v>
      </c>
      <c r="EZ56" s="230">
        <v>0</v>
      </c>
      <c r="FA56" s="230">
        <v>0</v>
      </c>
      <c r="FB56" s="230">
        <v>0</v>
      </c>
      <c r="FC56" s="230">
        <v>0</v>
      </c>
      <c r="FD56" s="230">
        <v>0</v>
      </c>
      <c r="FE56" s="230">
        <v>0</v>
      </c>
      <c r="FF56" s="230">
        <v>0</v>
      </c>
      <c r="FG56" s="230">
        <v>0</v>
      </c>
      <c r="FH56" s="230">
        <v>0</v>
      </c>
      <c r="FI56" s="230">
        <v>0</v>
      </c>
      <c r="FJ56" s="230">
        <v>0</v>
      </c>
      <c r="FK56" s="230">
        <v>0</v>
      </c>
      <c r="FL56" s="230">
        <v>0</v>
      </c>
      <c r="FM56" s="230">
        <v>40</v>
      </c>
      <c r="FN56" s="230">
        <v>2100</v>
      </c>
      <c r="FO56" s="230">
        <v>0</v>
      </c>
      <c r="FP56" s="230">
        <v>0</v>
      </c>
      <c r="FQ56" s="230" t="s">
        <v>601</v>
      </c>
      <c r="FR56" s="230" t="s">
        <v>601</v>
      </c>
      <c r="FS56" s="230" t="s">
        <v>601</v>
      </c>
      <c r="FT56" s="230" t="s">
        <v>593</v>
      </c>
      <c r="FU56" s="230">
        <v>0</v>
      </c>
      <c r="FV56" s="230">
        <v>0</v>
      </c>
      <c r="FW56" s="230" t="s">
        <v>601</v>
      </c>
      <c r="FX56" s="230" t="s">
        <v>601</v>
      </c>
      <c r="FY56" s="230" t="s">
        <v>601</v>
      </c>
      <c r="FZ56" s="230" t="s">
        <v>593</v>
      </c>
      <c r="GA56" s="230" t="s">
        <v>601</v>
      </c>
      <c r="GB56" s="230" t="s">
        <v>601</v>
      </c>
      <c r="GC56" s="230" t="s">
        <v>601</v>
      </c>
      <c r="GD56" s="230" t="s">
        <v>601</v>
      </c>
      <c r="GE56" s="230" t="s">
        <v>601</v>
      </c>
      <c r="GF56" s="230">
        <v>27</v>
      </c>
      <c r="GG56" s="230">
        <v>27</v>
      </c>
      <c r="GH56" s="230">
        <v>27</v>
      </c>
      <c r="GI56" s="230">
        <v>0</v>
      </c>
      <c r="GJ56" s="230">
        <v>0</v>
      </c>
      <c r="GK56" s="230">
        <v>0</v>
      </c>
      <c r="GL56" s="230">
        <v>0</v>
      </c>
      <c r="GM56" s="230">
        <v>0</v>
      </c>
      <c r="GN56" s="230">
        <v>0</v>
      </c>
      <c r="GO56" s="230">
        <v>0</v>
      </c>
      <c r="GP56" s="230">
        <v>0</v>
      </c>
      <c r="GQ56" s="230">
        <v>0</v>
      </c>
      <c r="GR56" s="230">
        <v>0</v>
      </c>
      <c r="GS56" s="230">
        <v>0</v>
      </c>
      <c r="GT56" s="230">
        <v>0</v>
      </c>
      <c r="GU56" s="230">
        <v>0</v>
      </c>
      <c r="GV56" s="230">
        <v>0</v>
      </c>
      <c r="GW56" s="230">
        <v>0</v>
      </c>
      <c r="GX56" s="230">
        <v>0</v>
      </c>
      <c r="GY56" s="230">
        <v>0</v>
      </c>
      <c r="GZ56" s="230">
        <v>0</v>
      </c>
      <c r="HA56" s="230">
        <v>0</v>
      </c>
      <c r="HB56" s="230">
        <v>0</v>
      </c>
      <c r="HC56" s="230">
        <v>0</v>
      </c>
      <c r="HD56" s="230">
        <v>0</v>
      </c>
      <c r="HE56" s="230">
        <v>0</v>
      </c>
      <c r="HF56" s="230">
        <v>0</v>
      </c>
      <c r="HG56" s="230">
        <v>0</v>
      </c>
      <c r="HH56" s="230">
        <v>0</v>
      </c>
      <c r="HI56" s="230">
        <v>0</v>
      </c>
      <c r="HJ56" s="230">
        <v>0</v>
      </c>
      <c r="HK56" s="230">
        <v>0</v>
      </c>
      <c r="HL56" s="230">
        <v>0</v>
      </c>
      <c r="HM56" s="230">
        <v>0</v>
      </c>
      <c r="HN56" s="230">
        <v>0</v>
      </c>
      <c r="HO56" s="230">
        <v>0</v>
      </c>
      <c r="HP56" s="230" t="s">
        <v>51</v>
      </c>
      <c r="HQ56" s="230">
        <v>27</v>
      </c>
      <c r="HR56" s="230">
        <v>0</v>
      </c>
      <c r="HS56" s="230">
        <v>0</v>
      </c>
      <c r="HT56" s="230">
        <v>0</v>
      </c>
      <c r="HU56" s="230">
        <v>0</v>
      </c>
      <c r="HV56" s="230">
        <v>0</v>
      </c>
      <c r="HW56" s="797">
        <v>27</v>
      </c>
      <c r="HX56" s="797">
        <v>0</v>
      </c>
      <c r="HY56" s="230">
        <v>68</v>
      </c>
      <c r="HZ56" s="230"/>
      <c r="IA56" s="230"/>
      <c r="IB56" s="230"/>
      <c r="IC56" s="232" t="s">
        <v>1060</v>
      </c>
      <c r="ID56" s="233" t="s">
        <v>1061</v>
      </c>
      <c r="IE56" s="467" t="s">
        <v>583</v>
      </c>
      <c r="IF56" s="232" t="s">
        <v>364</v>
      </c>
      <c r="IG56" s="467" t="s">
        <v>584</v>
      </c>
      <c r="IH56" s="467" t="s">
        <v>585</v>
      </c>
      <c r="II56" s="546" t="s">
        <v>584</v>
      </c>
      <c r="IJ56" s="467">
        <v>44462</v>
      </c>
      <c r="IK56" s="468">
        <v>3</v>
      </c>
      <c r="IL56" s="469" t="s">
        <v>1210</v>
      </c>
      <c r="IM56" s="469" t="s">
        <v>1195</v>
      </c>
      <c r="IN56" s="469" t="s">
        <v>1195</v>
      </c>
      <c r="IO56" s="469" t="s">
        <v>601</v>
      </c>
      <c r="IP56" s="469" t="s">
        <v>601</v>
      </c>
      <c r="IQ56" s="469" t="s">
        <v>601</v>
      </c>
      <c r="IR56" s="469">
        <v>1</v>
      </c>
      <c r="IS56" s="469">
        <v>2</v>
      </c>
      <c r="IT56" s="469" t="s">
        <v>675</v>
      </c>
      <c r="IU56" s="469" t="s">
        <v>675</v>
      </c>
    </row>
    <row r="57" ht="76.5">
      <c r="A57" s="322">
        <v>56</v>
      </c>
      <c r="B57" s="229" t="s">
        <v>1178</v>
      </c>
      <c r="C57" s="229" t="s">
        <v>1178</v>
      </c>
      <c r="D57" s="797" t="s">
        <v>1070</v>
      </c>
      <c r="E57" s="229" t="s">
        <v>1064</v>
      </c>
      <c r="F57" s="229" t="s">
        <v>26</v>
      </c>
      <c r="G57" s="797" t="s">
        <v>1065</v>
      </c>
      <c r="H57" s="797" t="s">
        <v>1066</v>
      </c>
      <c r="I57" s="229">
        <v>1</v>
      </c>
      <c r="J57" s="229" t="s">
        <v>1067</v>
      </c>
      <c r="K57" s="231" t="s">
        <v>584</v>
      </c>
      <c r="L57" s="231" t="s">
        <v>1283</v>
      </c>
      <c r="M57" s="229" t="s">
        <v>576</v>
      </c>
      <c r="N57" s="229" t="s">
        <v>1070</v>
      </c>
      <c r="O57" s="229" t="s">
        <v>587</v>
      </c>
      <c r="P57" s="229" t="s">
        <v>1208</v>
      </c>
      <c r="Q57" s="229" t="s">
        <v>597</v>
      </c>
      <c r="R57" s="229" t="s">
        <v>1193</v>
      </c>
      <c r="S57" s="229" t="s">
        <v>600</v>
      </c>
      <c r="T57" s="229" t="s">
        <v>709</v>
      </c>
      <c r="U57" s="229">
        <v>1</v>
      </c>
      <c r="V57" s="229"/>
      <c r="W57" s="229" t="b">
        <v>0</v>
      </c>
      <c r="X57" s="229" t="b">
        <v>0</v>
      </c>
      <c r="Y57" s="797">
        <v>0</v>
      </c>
      <c r="Z57" s="229" t="b">
        <v>1</v>
      </c>
      <c r="AA57" s="797">
        <v>28</v>
      </c>
      <c r="AB57" s="229" t="b">
        <v>0</v>
      </c>
      <c r="AC57" s="229" t="b">
        <v>1</v>
      </c>
      <c r="AD57" s="229">
        <v>0</v>
      </c>
      <c r="AE57" s="229"/>
      <c r="AF57" s="229" t="s">
        <v>50</v>
      </c>
      <c r="AG57" s="229">
        <v>0</v>
      </c>
      <c r="AH57" s="230"/>
      <c r="AI57" s="553" t="s">
        <v>576</v>
      </c>
      <c r="AJ57" s="553" t="s">
        <v>576</v>
      </c>
      <c r="AK57" s="229">
        <v>4</v>
      </c>
      <c r="AL57" s="465" t="s">
        <v>1188</v>
      </c>
      <c r="AM57" s="465" t="s">
        <v>1280</v>
      </c>
      <c r="AN57" s="465" t="s">
        <v>1284</v>
      </c>
      <c r="AO57" s="229" t="s">
        <v>25</v>
      </c>
      <c r="AP57" s="230" t="s">
        <v>576</v>
      </c>
      <c r="AQ57" s="230">
        <v>0</v>
      </c>
      <c r="AR57" s="230">
        <v>0</v>
      </c>
      <c r="AS57" s="230" t="s">
        <v>601</v>
      </c>
      <c r="AT57" s="230" t="s">
        <v>601</v>
      </c>
      <c r="AU57" s="230" t="s">
        <v>601</v>
      </c>
      <c r="AV57" s="230" t="s">
        <v>1178</v>
      </c>
      <c r="AW57" s="230" t="s">
        <v>601</v>
      </c>
      <c r="AX57" s="230" t="s">
        <v>601</v>
      </c>
      <c r="AY57" s="230" t="s">
        <v>601</v>
      </c>
      <c r="AZ57" s="230" t="s">
        <v>601</v>
      </c>
      <c r="BA57" s="230" t="s">
        <v>601</v>
      </c>
      <c r="BB57" s="230" t="s">
        <v>1178</v>
      </c>
      <c r="BC57" s="230" t="s">
        <v>1070</v>
      </c>
      <c r="BD57" s="230">
        <v>0</v>
      </c>
      <c r="BE57" s="230">
        <v>0</v>
      </c>
      <c r="BF57" s="230" t="s">
        <v>601</v>
      </c>
      <c r="BG57" s="230" t="s">
        <v>601</v>
      </c>
      <c r="BH57" s="230" t="s">
        <v>601</v>
      </c>
      <c r="BI57" s="230" t="s">
        <v>587</v>
      </c>
      <c r="BJ57" s="230">
        <v>0</v>
      </c>
      <c r="BK57" s="230">
        <v>0</v>
      </c>
      <c r="BL57" s="230" t="s">
        <v>601</v>
      </c>
      <c r="BM57" s="230" t="s">
        <v>601</v>
      </c>
      <c r="BN57" s="230" t="s">
        <v>601</v>
      </c>
      <c r="BO57" s="553">
        <v>3</v>
      </c>
      <c r="BP57" s="553">
        <v>0</v>
      </c>
      <c r="BQ57" s="553">
        <v>0</v>
      </c>
      <c r="BR57" s="553">
        <v>0</v>
      </c>
      <c r="BS57" s="553">
        <v>0</v>
      </c>
      <c r="BT57" s="554">
        <v>0</v>
      </c>
      <c r="BU57" s="230" t="s">
        <v>597</v>
      </c>
      <c r="BV57" s="230" t="s">
        <v>601</v>
      </c>
      <c r="BW57" s="230" t="s">
        <v>601</v>
      </c>
      <c r="BX57" s="230" t="s">
        <v>601</v>
      </c>
      <c r="BY57" s="230" t="s">
        <v>601</v>
      </c>
      <c r="BZ57" s="230" t="s">
        <v>601</v>
      </c>
      <c r="CA57" s="230">
        <v>2</v>
      </c>
      <c r="CB57" s="230">
        <v>2</v>
      </c>
      <c r="CC57" s="230">
        <v>2</v>
      </c>
      <c r="CD57" s="230">
        <v>0</v>
      </c>
      <c r="CE57" s="230">
        <v>0</v>
      </c>
      <c r="CF57" s="230">
        <v>0</v>
      </c>
      <c r="CG57" s="230">
        <v>0</v>
      </c>
      <c r="CH57" s="230">
        <v>0</v>
      </c>
      <c r="CI57" s="230">
        <v>0</v>
      </c>
      <c r="CJ57" s="230">
        <v>0</v>
      </c>
      <c r="CK57" s="230">
        <v>0</v>
      </c>
      <c r="CL57" s="230">
        <v>0</v>
      </c>
      <c r="CM57" s="230">
        <v>0</v>
      </c>
      <c r="CN57" s="230">
        <v>0</v>
      </c>
      <c r="CO57" s="230">
        <v>0</v>
      </c>
      <c r="CP57" s="230">
        <v>0</v>
      </c>
      <c r="CQ57" s="230">
        <v>0</v>
      </c>
      <c r="CR57" s="230">
        <v>0</v>
      </c>
      <c r="CS57" s="230">
        <v>0</v>
      </c>
      <c r="CT57" s="230">
        <v>0</v>
      </c>
      <c r="CU57" s="230">
        <v>0</v>
      </c>
      <c r="CV57" s="230">
        <v>0</v>
      </c>
      <c r="CW57" s="230">
        <v>0</v>
      </c>
      <c r="CX57" s="230">
        <v>0</v>
      </c>
      <c r="CY57" s="230">
        <v>0</v>
      </c>
      <c r="CZ57" s="230">
        <v>0</v>
      </c>
      <c r="DA57" s="230">
        <v>0</v>
      </c>
      <c r="DB57" s="230">
        <v>0</v>
      </c>
      <c r="DC57" s="230">
        <v>0</v>
      </c>
      <c r="DD57" s="230">
        <v>0</v>
      </c>
      <c r="DE57" s="230">
        <v>0</v>
      </c>
      <c r="DF57" s="230">
        <v>0</v>
      </c>
      <c r="DG57" s="230">
        <v>0</v>
      </c>
      <c r="DH57" s="230">
        <v>0</v>
      </c>
      <c r="DI57" s="230">
        <v>0</v>
      </c>
      <c r="DJ57" s="230">
        <v>0</v>
      </c>
      <c r="DK57" s="230" t="s">
        <v>599</v>
      </c>
      <c r="DL57" s="230" t="s">
        <v>601</v>
      </c>
      <c r="DM57" s="230" t="s">
        <v>601</v>
      </c>
      <c r="DN57" s="230" t="s">
        <v>601</v>
      </c>
      <c r="DO57" s="230" t="s">
        <v>601</v>
      </c>
      <c r="DP57" s="230" t="s">
        <v>601</v>
      </c>
      <c r="DQ57" s="230" t="s">
        <v>1193</v>
      </c>
      <c r="DR57" s="230" t="s">
        <v>601</v>
      </c>
      <c r="DS57" s="230" t="s">
        <v>601</v>
      </c>
      <c r="DT57" s="230" t="s">
        <v>601</v>
      </c>
      <c r="DU57" s="230" t="s">
        <v>601</v>
      </c>
      <c r="DV57" s="230" t="s">
        <v>601</v>
      </c>
      <c r="DW57" s="230">
        <v>40</v>
      </c>
      <c r="DX57" s="230">
        <v>40</v>
      </c>
      <c r="DY57" s="230">
        <v>40</v>
      </c>
      <c r="DZ57" s="230">
        <v>0</v>
      </c>
      <c r="EA57" s="230">
        <v>0</v>
      </c>
      <c r="EB57" s="230">
        <v>0</v>
      </c>
      <c r="EC57" s="230">
        <v>40</v>
      </c>
      <c r="ED57" s="230">
        <v>0</v>
      </c>
      <c r="EE57" s="230">
        <v>0</v>
      </c>
      <c r="EF57" s="230">
        <v>0</v>
      </c>
      <c r="EG57" s="230">
        <v>0</v>
      </c>
      <c r="EH57" s="230">
        <v>0</v>
      </c>
      <c r="EI57" s="230">
        <v>0</v>
      </c>
      <c r="EJ57" s="230">
        <v>0</v>
      </c>
      <c r="EK57" s="230">
        <v>0</v>
      </c>
      <c r="EL57" s="230">
        <v>0</v>
      </c>
      <c r="EM57" s="230">
        <v>0</v>
      </c>
      <c r="EN57" s="230">
        <v>0</v>
      </c>
      <c r="EO57" s="230">
        <v>0</v>
      </c>
      <c r="EP57" s="230">
        <v>0</v>
      </c>
      <c r="EQ57" s="230">
        <v>0</v>
      </c>
      <c r="ER57" s="230">
        <v>0</v>
      </c>
      <c r="ES57" s="230">
        <v>0</v>
      </c>
      <c r="ET57" s="230">
        <v>0</v>
      </c>
      <c r="EU57" s="230">
        <v>0</v>
      </c>
      <c r="EV57" s="230">
        <v>0</v>
      </c>
      <c r="EW57" s="230">
        <v>0</v>
      </c>
      <c r="EX57" s="230">
        <v>0</v>
      </c>
      <c r="EY57" s="230">
        <v>0</v>
      </c>
      <c r="EZ57" s="230">
        <v>0</v>
      </c>
      <c r="FA57" s="230">
        <v>0</v>
      </c>
      <c r="FB57" s="230">
        <v>0</v>
      </c>
      <c r="FC57" s="230">
        <v>0</v>
      </c>
      <c r="FD57" s="230">
        <v>0</v>
      </c>
      <c r="FE57" s="230">
        <v>0</v>
      </c>
      <c r="FF57" s="230">
        <v>0</v>
      </c>
      <c r="FG57" s="230">
        <v>0</v>
      </c>
      <c r="FH57" s="230">
        <v>0</v>
      </c>
      <c r="FI57" s="230">
        <v>0</v>
      </c>
      <c r="FJ57" s="230">
        <v>0</v>
      </c>
      <c r="FK57" s="230">
        <v>0</v>
      </c>
      <c r="FL57" s="230">
        <v>0</v>
      </c>
      <c r="FM57" s="230">
        <v>40</v>
      </c>
      <c r="FN57" s="230">
        <v>2100</v>
      </c>
      <c r="FO57" s="230">
        <v>0</v>
      </c>
      <c r="FP57" s="230">
        <v>0</v>
      </c>
      <c r="FQ57" s="230" t="s">
        <v>601</v>
      </c>
      <c r="FR57" s="230" t="s">
        <v>601</v>
      </c>
      <c r="FS57" s="230" t="s">
        <v>601</v>
      </c>
      <c r="FT57" s="230" t="s">
        <v>709</v>
      </c>
      <c r="FU57" s="230">
        <v>0</v>
      </c>
      <c r="FV57" s="230">
        <v>0</v>
      </c>
      <c r="FW57" s="230" t="s">
        <v>601</v>
      </c>
      <c r="FX57" s="230" t="s">
        <v>601</v>
      </c>
      <c r="FY57" s="230" t="s">
        <v>601</v>
      </c>
      <c r="FZ57" s="230" t="s">
        <v>709</v>
      </c>
      <c r="GA57" s="230" t="s">
        <v>601</v>
      </c>
      <c r="GB57" s="230" t="s">
        <v>601</v>
      </c>
      <c r="GC57" s="230" t="s">
        <v>601</v>
      </c>
      <c r="GD57" s="230" t="s">
        <v>601</v>
      </c>
      <c r="GE57" s="230" t="s">
        <v>601</v>
      </c>
      <c r="GF57" s="230">
        <v>28</v>
      </c>
      <c r="GG57" s="230">
        <v>28</v>
      </c>
      <c r="GH57" s="230">
        <v>28</v>
      </c>
      <c r="GI57" s="230">
        <v>0</v>
      </c>
      <c r="GJ57" s="230">
        <v>0</v>
      </c>
      <c r="GK57" s="230">
        <v>0</v>
      </c>
      <c r="GL57" s="230">
        <v>0</v>
      </c>
      <c r="GM57" s="230">
        <v>0</v>
      </c>
      <c r="GN57" s="230">
        <v>0</v>
      </c>
      <c r="GO57" s="230">
        <v>0</v>
      </c>
      <c r="GP57" s="230">
        <v>0</v>
      </c>
      <c r="GQ57" s="230">
        <v>0</v>
      </c>
      <c r="GR57" s="230">
        <v>0</v>
      </c>
      <c r="GS57" s="230">
        <v>0</v>
      </c>
      <c r="GT57" s="230">
        <v>0</v>
      </c>
      <c r="GU57" s="230">
        <v>0</v>
      </c>
      <c r="GV57" s="230">
        <v>0</v>
      </c>
      <c r="GW57" s="230">
        <v>0</v>
      </c>
      <c r="GX57" s="230">
        <v>0</v>
      </c>
      <c r="GY57" s="230">
        <v>0</v>
      </c>
      <c r="GZ57" s="230">
        <v>0</v>
      </c>
      <c r="HA57" s="230">
        <v>0</v>
      </c>
      <c r="HB57" s="230">
        <v>0</v>
      </c>
      <c r="HC57" s="230">
        <v>0</v>
      </c>
      <c r="HD57" s="230">
        <v>0</v>
      </c>
      <c r="HE57" s="230">
        <v>0</v>
      </c>
      <c r="HF57" s="230">
        <v>0</v>
      </c>
      <c r="HG57" s="230">
        <v>0</v>
      </c>
      <c r="HH57" s="230">
        <v>0</v>
      </c>
      <c r="HI57" s="230">
        <v>0</v>
      </c>
      <c r="HJ57" s="230">
        <v>0</v>
      </c>
      <c r="HK57" s="230">
        <v>0</v>
      </c>
      <c r="HL57" s="230">
        <v>0</v>
      </c>
      <c r="HM57" s="230">
        <v>0</v>
      </c>
      <c r="HN57" s="230">
        <v>0</v>
      </c>
      <c r="HO57" s="230">
        <v>0</v>
      </c>
      <c r="HP57" s="230" t="s">
        <v>51</v>
      </c>
      <c r="HQ57" s="230">
        <v>28</v>
      </c>
      <c r="HR57" s="230">
        <v>0</v>
      </c>
      <c r="HS57" s="230">
        <v>0</v>
      </c>
      <c r="HT57" s="230">
        <v>0</v>
      </c>
      <c r="HU57" s="230">
        <v>0</v>
      </c>
      <c r="HV57" s="230">
        <v>0</v>
      </c>
      <c r="HW57" s="797">
        <v>28</v>
      </c>
      <c r="HX57" s="797">
        <v>0</v>
      </c>
      <c r="HY57" s="230">
        <v>68</v>
      </c>
      <c r="HZ57" s="230"/>
      <c r="IA57" s="230"/>
      <c r="IB57" s="230"/>
      <c r="IC57" s="232" t="s">
        <v>1068</v>
      </c>
      <c r="ID57" s="233" t="s">
        <v>1069</v>
      </c>
      <c r="IE57" s="467" t="s">
        <v>583</v>
      </c>
      <c r="IF57" s="232" t="s">
        <v>364</v>
      </c>
      <c r="IG57" s="467" t="s">
        <v>584</v>
      </c>
      <c r="IH57" s="467" t="s">
        <v>585</v>
      </c>
      <c r="II57" s="546" t="s">
        <v>584</v>
      </c>
      <c r="IJ57" s="467">
        <v>44462</v>
      </c>
      <c r="IK57" s="468">
        <v>3</v>
      </c>
      <c r="IL57" s="469" t="s">
        <v>1210</v>
      </c>
      <c r="IM57" s="469" t="s">
        <v>1195</v>
      </c>
      <c r="IN57" s="469" t="s">
        <v>1195</v>
      </c>
      <c r="IO57" s="469" t="s">
        <v>601</v>
      </c>
      <c r="IP57" s="469" t="s">
        <v>601</v>
      </c>
      <c r="IQ57" s="469" t="s">
        <v>601</v>
      </c>
      <c r="IR57" s="469">
        <v>1</v>
      </c>
      <c r="IS57" s="469">
        <v>2</v>
      </c>
      <c r="IT57" s="469" t="s">
        <v>675</v>
      </c>
      <c r="IU57" s="469" t="s">
        <v>675</v>
      </c>
    </row>
    <row r="58" ht="76.5">
      <c r="A58" s="322">
        <v>57</v>
      </c>
      <c r="B58" s="229" t="s">
        <v>1178</v>
      </c>
      <c r="C58" s="229" t="s">
        <v>1178</v>
      </c>
      <c r="D58" s="797" t="s">
        <v>1078</v>
      </c>
      <c r="E58" s="229" t="s">
        <v>1072</v>
      </c>
      <c r="F58" s="229" t="s">
        <v>26</v>
      </c>
      <c r="G58" s="797" t="s">
        <v>1073</v>
      </c>
      <c r="H58" s="797" t="s">
        <v>1074</v>
      </c>
      <c r="I58" s="229">
        <v>1</v>
      </c>
      <c r="J58" s="229" t="s">
        <v>1075</v>
      </c>
      <c r="K58" s="231" t="s">
        <v>584</v>
      </c>
      <c r="L58" s="231" t="s">
        <v>1283</v>
      </c>
      <c r="M58" s="229" t="s">
        <v>576</v>
      </c>
      <c r="N58" s="229" t="s">
        <v>1078</v>
      </c>
      <c r="O58" s="229" t="s">
        <v>587</v>
      </c>
      <c r="P58" s="229" t="s">
        <v>1208</v>
      </c>
      <c r="Q58" s="229" t="s">
        <v>597</v>
      </c>
      <c r="R58" s="229" t="s">
        <v>1193</v>
      </c>
      <c r="S58" s="229" t="s">
        <v>600</v>
      </c>
      <c r="T58" s="229" t="s">
        <v>751</v>
      </c>
      <c r="U58" s="229">
        <v>1</v>
      </c>
      <c r="V58" s="229"/>
      <c r="W58" s="229" t="b">
        <v>0</v>
      </c>
      <c r="X58" s="229" t="b">
        <v>0</v>
      </c>
      <c r="Y58" s="797">
        <v>0</v>
      </c>
      <c r="Z58" s="229" t="b">
        <v>1</v>
      </c>
      <c r="AA58" s="797">
        <v>23</v>
      </c>
      <c r="AB58" s="229" t="b">
        <v>0</v>
      </c>
      <c r="AC58" s="229" t="b">
        <v>1</v>
      </c>
      <c r="AD58" s="229">
        <v>0</v>
      </c>
      <c r="AE58" s="229"/>
      <c r="AF58" s="229" t="s">
        <v>50</v>
      </c>
      <c r="AG58" s="229">
        <v>0</v>
      </c>
      <c r="AH58" s="230"/>
      <c r="AI58" s="553" t="s">
        <v>576</v>
      </c>
      <c r="AJ58" s="553" t="s">
        <v>576</v>
      </c>
      <c r="AK58" s="229">
        <v>4</v>
      </c>
      <c r="AL58" s="465" t="s">
        <v>1188</v>
      </c>
      <c r="AM58" s="465" t="s">
        <v>1280</v>
      </c>
      <c r="AN58" s="465" t="s">
        <v>1281</v>
      </c>
      <c r="AO58" s="229" t="s">
        <v>25</v>
      </c>
      <c r="AP58" s="230" t="s">
        <v>576</v>
      </c>
      <c r="AQ58" s="230">
        <v>0</v>
      </c>
      <c r="AR58" s="230">
        <v>0</v>
      </c>
      <c r="AS58" s="230" t="s">
        <v>601</v>
      </c>
      <c r="AT58" s="230" t="s">
        <v>601</v>
      </c>
      <c r="AU58" s="230" t="s">
        <v>601</v>
      </c>
      <c r="AV58" s="230" t="s">
        <v>1178</v>
      </c>
      <c r="AW58" s="230" t="s">
        <v>601</v>
      </c>
      <c r="AX58" s="230" t="s">
        <v>601</v>
      </c>
      <c r="AY58" s="230" t="s">
        <v>601</v>
      </c>
      <c r="AZ58" s="230" t="s">
        <v>601</v>
      </c>
      <c r="BA58" s="230" t="s">
        <v>601</v>
      </c>
      <c r="BB58" s="230" t="s">
        <v>1178</v>
      </c>
      <c r="BC58" s="230" t="s">
        <v>1078</v>
      </c>
      <c r="BD58" s="230">
        <v>0</v>
      </c>
      <c r="BE58" s="230">
        <v>0</v>
      </c>
      <c r="BF58" s="230" t="s">
        <v>601</v>
      </c>
      <c r="BG58" s="230" t="s">
        <v>601</v>
      </c>
      <c r="BH58" s="230" t="s">
        <v>601</v>
      </c>
      <c r="BI58" s="230" t="s">
        <v>587</v>
      </c>
      <c r="BJ58" s="230">
        <v>0</v>
      </c>
      <c r="BK58" s="230">
        <v>0</v>
      </c>
      <c r="BL58" s="230" t="s">
        <v>601</v>
      </c>
      <c r="BM58" s="230" t="s">
        <v>601</v>
      </c>
      <c r="BN58" s="230" t="s">
        <v>601</v>
      </c>
      <c r="BO58" s="553">
        <v>3</v>
      </c>
      <c r="BP58" s="553">
        <v>0</v>
      </c>
      <c r="BQ58" s="553">
        <v>0</v>
      </c>
      <c r="BR58" s="553">
        <v>0</v>
      </c>
      <c r="BS58" s="553">
        <v>0</v>
      </c>
      <c r="BT58" s="554">
        <v>0</v>
      </c>
      <c r="BU58" s="230" t="s">
        <v>597</v>
      </c>
      <c r="BV58" s="230" t="s">
        <v>601</v>
      </c>
      <c r="BW58" s="230" t="s">
        <v>601</v>
      </c>
      <c r="BX58" s="230" t="s">
        <v>601</v>
      </c>
      <c r="BY58" s="230" t="s">
        <v>601</v>
      </c>
      <c r="BZ58" s="230" t="s">
        <v>601</v>
      </c>
      <c r="CA58" s="230">
        <v>2</v>
      </c>
      <c r="CB58" s="230">
        <v>2</v>
      </c>
      <c r="CC58" s="230">
        <v>2</v>
      </c>
      <c r="CD58" s="230">
        <v>0</v>
      </c>
      <c r="CE58" s="230">
        <v>0</v>
      </c>
      <c r="CF58" s="230">
        <v>0</v>
      </c>
      <c r="CG58" s="230">
        <v>0</v>
      </c>
      <c r="CH58" s="230">
        <v>0</v>
      </c>
      <c r="CI58" s="230">
        <v>0</v>
      </c>
      <c r="CJ58" s="230">
        <v>0</v>
      </c>
      <c r="CK58" s="230">
        <v>0</v>
      </c>
      <c r="CL58" s="230">
        <v>0</v>
      </c>
      <c r="CM58" s="230">
        <v>0</v>
      </c>
      <c r="CN58" s="230">
        <v>0</v>
      </c>
      <c r="CO58" s="230">
        <v>0</v>
      </c>
      <c r="CP58" s="230">
        <v>0</v>
      </c>
      <c r="CQ58" s="230">
        <v>0</v>
      </c>
      <c r="CR58" s="230">
        <v>0</v>
      </c>
      <c r="CS58" s="230">
        <v>0</v>
      </c>
      <c r="CT58" s="230">
        <v>0</v>
      </c>
      <c r="CU58" s="230">
        <v>0</v>
      </c>
      <c r="CV58" s="230">
        <v>0</v>
      </c>
      <c r="CW58" s="230">
        <v>0</v>
      </c>
      <c r="CX58" s="230">
        <v>0</v>
      </c>
      <c r="CY58" s="230">
        <v>0</v>
      </c>
      <c r="CZ58" s="230">
        <v>0</v>
      </c>
      <c r="DA58" s="230">
        <v>0</v>
      </c>
      <c r="DB58" s="230">
        <v>0</v>
      </c>
      <c r="DC58" s="230">
        <v>0</v>
      </c>
      <c r="DD58" s="230">
        <v>0</v>
      </c>
      <c r="DE58" s="230">
        <v>0</v>
      </c>
      <c r="DF58" s="230">
        <v>0</v>
      </c>
      <c r="DG58" s="230">
        <v>0</v>
      </c>
      <c r="DH58" s="230">
        <v>0</v>
      </c>
      <c r="DI58" s="230">
        <v>0</v>
      </c>
      <c r="DJ58" s="230">
        <v>0</v>
      </c>
      <c r="DK58" s="230" t="s">
        <v>599</v>
      </c>
      <c r="DL58" s="230" t="s">
        <v>601</v>
      </c>
      <c r="DM58" s="230" t="s">
        <v>601</v>
      </c>
      <c r="DN58" s="230" t="s">
        <v>601</v>
      </c>
      <c r="DO58" s="230" t="s">
        <v>601</v>
      </c>
      <c r="DP58" s="230" t="s">
        <v>601</v>
      </c>
      <c r="DQ58" s="230" t="s">
        <v>1193</v>
      </c>
      <c r="DR58" s="230" t="s">
        <v>601</v>
      </c>
      <c r="DS58" s="230" t="s">
        <v>601</v>
      </c>
      <c r="DT58" s="230" t="s">
        <v>601</v>
      </c>
      <c r="DU58" s="230" t="s">
        <v>601</v>
      </c>
      <c r="DV58" s="230" t="s">
        <v>601</v>
      </c>
      <c r="DW58" s="230">
        <v>40</v>
      </c>
      <c r="DX58" s="230">
        <v>40</v>
      </c>
      <c r="DY58" s="230">
        <v>40</v>
      </c>
      <c r="DZ58" s="230">
        <v>0</v>
      </c>
      <c r="EA58" s="230">
        <v>0</v>
      </c>
      <c r="EB58" s="230">
        <v>0</v>
      </c>
      <c r="EC58" s="230">
        <v>40</v>
      </c>
      <c r="ED58" s="230">
        <v>0</v>
      </c>
      <c r="EE58" s="230">
        <v>0</v>
      </c>
      <c r="EF58" s="230">
        <v>0</v>
      </c>
      <c r="EG58" s="230">
        <v>0</v>
      </c>
      <c r="EH58" s="230">
        <v>0</v>
      </c>
      <c r="EI58" s="230">
        <v>0</v>
      </c>
      <c r="EJ58" s="230">
        <v>0</v>
      </c>
      <c r="EK58" s="230">
        <v>0</v>
      </c>
      <c r="EL58" s="230">
        <v>0</v>
      </c>
      <c r="EM58" s="230">
        <v>0</v>
      </c>
      <c r="EN58" s="230">
        <v>0</v>
      </c>
      <c r="EO58" s="230">
        <v>0</v>
      </c>
      <c r="EP58" s="230">
        <v>0</v>
      </c>
      <c r="EQ58" s="230">
        <v>0</v>
      </c>
      <c r="ER58" s="230">
        <v>0</v>
      </c>
      <c r="ES58" s="230">
        <v>0</v>
      </c>
      <c r="ET58" s="230">
        <v>0</v>
      </c>
      <c r="EU58" s="230">
        <v>0</v>
      </c>
      <c r="EV58" s="230">
        <v>0</v>
      </c>
      <c r="EW58" s="230">
        <v>0</v>
      </c>
      <c r="EX58" s="230">
        <v>0</v>
      </c>
      <c r="EY58" s="230">
        <v>0</v>
      </c>
      <c r="EZ58" s="230">
        <v>0</v>
      </c>
      <c r="FA58" s="230">
        <v>0</v>
      </c>
      <c r="FB58" s="230">
        <v>0</v>
      </c>
      <c r="FC58" s="230">
        <v>0</v>
      </c>
      <c r="FD58" s="230">
        <v>0</v>
      </c>
      <c r="FE58" s="230">
        <v>0</v>
      </c>
      <c r="FF58" s="230">
        <v>0</v>
      </c>
      <c r="FG58" s="230">
        <v>0</v>
      </c>
      <c r="FH58" s="230">
        <v>0</v>
      </c>
      <c r="FI58" s="230">
        <v>0</v>
      </c>
      <c r="FJ58" s="230">
        <v>0</v>
      </c>
      <c r="FK58" s="230">
        <v>0</v>
      </c>
      <c r="FL58" s="230">
        <v>0</v>
      </c>
      <c r="FM58" s="230">
        <v>40</v>
      </c>
      <c r="FN58" s="230">
        <v>2100</v>
      </c>
      <c r="FO58" s="230">
        <v>0</v>
      </c>
      <c r="FP58" s="230">
        <v>0</v>
      </c>
      <c r="FQ58" s="230" t="s">
        <v>601</v>
      </c>
      <c r="FR58" s="230" t="s">
        <v>601</v>
      </c>
      <c r="FS58" s="230" t="s">
        <v>601</v>
      </c>
      <c r="FT58" s="230" t="s">
        <v>751</v>
      </c>
      <c r="FU58" s="230">
        <v>0</v>
      </c>
      <c r="FV58" s="230">
        <v>0</v>
      </c>
      <c r="FW58" s="230" t="s">
        <v>601</v>
      </c>
      <c r="FX58" s="230" t="s">
        <v>601</v>
      </c>
      <c r="FY58" s="230" t="s">
        <v>601</v>
      </c>
      <c r="FZ58" s="230" t="s">
        <v>751</v>
      </c>
      <c r="GA58" s="230" t="s">
        <v>601</v>
      </c>
      <c r="GB58" s="230" t="s">
        <v>601</v>
      </c>
      <c r="GC58" s="230" t="s">
        <v>601</v>
      </c>
      <c r="GD58" s="230" t="s">
        <v>601</v>
      </c>
      <c r="GE58" s="230" t="s">
        <v>601</v>
      </c>
      <c r="GF58" s="230">
        <v>23</v>
      </c>
      <c r="GG58" s="230">
        <v>23</v>
      </c>
      <c r="GH58" s="230">
        <v>23</v>
      </c>
      <c r="GI58" s="230">
        <v>0</v>
      </c>
      <c r="GJ58" s="230">
        <v>0</v>
      </c>
      <c r="GK58" s="230">
        <v>0</v>
      </c>
      <c r="GL58" s="230">
        <v>0</v>
      </c>
      <c r="GM58" s="230">
        <v>0</v>
      </c>
      <c r="GN58" s="230">
        <v>0</v>
      </c>
      <c r="GO58" s="230">
        <v>0</v>
      </c>
      <c r="GP58" s="230">
        <v>0</v>
      </c>
      <c r="GQ58" s="230">
        <v>0</v>
      </c>
      <c r="GR58" s="230">
        <v>0</v>
      </c>
      <c r="GS58" s="230">
        <v>0</v>
      </c>
      <c r="GT58" s="230">
        <v>0</v>
      </c>
      <c r="GU58" s="230">
        <v>0</v>
      </c>
      <c r="GV58" s="230">
        <v>0</v>
      </c>
      <c r="GW58" s="230">
        <v>0</v>
      </c>
      <c r="GX58" s="230">
        <v>0</v>
      </c>
      <c r="GY58" s="230">
        <v>0</v>
      </c>
      <c r="GZ58" s="230">
        <v>0</v>
      </c>
      <c r="HA58" s="230">
        <v>0</v>
      </c>
      <c r="HB58" s="230">
        <v>0</v>
      </c>
      <c r="HC58" s="230">
        <v>0</v>
      </c>
      <c r="HD58" s="230">
        <v>0</v>
      </c>
      <c r="HE58" s="230">
        <v>0</v>
      </c>
      <c r="HF58" s="230">
        <v>0</v>
      </c>
      <c r="HG58" s="230">
        <v>0</v>
      </c>
      <c r="HH58" s="230">
        <v>0</v>
      </c>
      <c r="HI58" s="230">
        <v>0</v>
      </c>
      <c r="HJ58" s="230">
        <v>0</v>
      </c>
      <c r="HK58" s="230">
        <v>0</v>
      </c>
      <c r="HL58" s="230">
        <v>0</v>
      </c>
      <c r="HM58" s="230">
        <v>0</v>
      </c>
      <c r="HN58" s="230">
        <v>0</v>
      </c>
      <c r="HO58" s="230">
        <v>0</v>
      </c>
      <c r="HP58" s="230" t="s">
        <v>51</v>
      </c>
      <c r="HQ58" s="230">
        <v>23</v>
      </c>
      <c r="HR58" s="230">
        <v>0</v>
      </c>
      <c r="HS58" s="230">
        <v>0</v>
      </c>
      <c r="HT58" s="230">
        <v>0</v>
      </c>
      <c r="HU58" s="230">
        <v>0</v>
      </c>
      <c r="HV58" s="230">
        <v>0</v>
      </c>
      <c r="HW58" s="797">
        <v>23</v>
      </c>
      <c r="HX58" s="797">
        <v>0</v>
      </c>
      <c r="HY58" s="230">
        <v>68</v>
      </c>
      <c r="HZ58" s="230"/>
      <c r="IA58" s="230"/>
      <c r="IB58" s="230"/>
      <c r="IC58" s="232" t="s">
        <v>1076</v>
      </c>
      <c r="ID58" s="233" t="s">
        <v>1077</v>
      </c>
      <c r="IE58" s="467" t="s">
        <v>583</v>
      </c>
      <c r="IF58" s="232" t="s">
        <v>364</v>
      </c>
      <c r="IG58" s="467" t="s">
        <v>584</v>
      </c>
      <c r="IH58" s="467" t="s">
        <v>585</v>
      </c>
      <c r="II58" s="546" t="s">
        <v>584</v>
      </c>
      <c r="IJ58" s="467">
        <v>44462</v>
      </c>
      <c r="IK58" s="468">
        <v>3</v>
      </c>
      <c r="IL58" s="469" t="s">
        <v>1210</v>
      </c>
      <c r="IM58" s="469" t="s">
        <v>1195</v>
      </c>
      <c r="IN58" s="469" t="s">
        <v>1195</v>
      </c>
      <c r="IO58" s="469" t="s">
        <v>601</v>
      </c>
      <c r="IP58" s="469" t="s">
        <v>601</v>
      </c>
      <c r="IQ58" s="469" t="s">
        <v>601</v>
      </c>
      <c r="IR58" s="469">
        <v>1</v>
      </c>
      <c r="IS58" s="469">
        <v>2</v>
      </c>
      <c r="IT58" s="469" t="s">
        <v>675</v>
      </c>
      <c r="IU58" s="469" t="s">
        <v>675</v>
      </c>
    </row>
    <row r="59" ht="76.5">
      <c r="A59" s="322">
        <v>58</v>
      </c>
      <c r="B59" s="229" t="s">
        <v>1178</v>
      </c>
      <c r="C59" s="229" t="s">
        <v>1178</v>
      </c>
      <c r="D59" s="797" t="s">
        <v>1086</v>
      </c>
      <c r="E59" s="229" t="s">
        <v>1080</v>
      </c>
      <c r="F59" s="229" t="s">
        <v>26</v>
      </c>
      <c r="G59" s="797" t="s">
        <v>1081</v>
      </c>
      <c r="H59" s="797" t="s">
        <v>1082</v>
      </c>
      <c r="I59" s="229">
        <v>1</v>
      </c>
      <c r="J59" s="229" t="s">
        <v>1083</v>
      </c>
      <c r="K59" s="231" t="s">
        <v>584</v>
      </c>
      <c r="L59" s="231" t="s">
        <v>1283</v>
      </c>
      <c r="M59" s="229" t="s">
        <v>576</v>
      </c>
      <c r="N59" s="229" t="s">
        <v>1086</v>
      </c>
      <c r="O59" s="229" t="s">
        <v>587</v>
      </c>
      <c r="P59" s="229" t="s">
        <v>1208</v>
      </c>
      <c r="Q59" s="229" t="s">
        <v>597</v>
      </c>
      <c r="R59" s="229" t="s">
        <v>1193</v>
      </c>
      <c r="S59" s="229" t="s">
        <v>600</v>
      </c>
      <c r="T59" s="229" t="s">
        <v>593</v>
      </c>
      <c r="U59" s="229">
        <v>1</v>
      </c>
      <c r="V59" s="229"/>
      <c r="W59" s="229" t="b">
        <v>0</v>
      </c>
      <c r="X59" s="229" t="b">
        <v>0</v>
      </c>
      <c r="Y59" s="797">
        <v>0</v>
      </c>
      <c r="Z59" s="229" t="b">
        <v>1</v>
      </c>
      <c r="AA59" s="797">
        <v>27</v>
      </c>
      <c r="AB59" s="229" t="b">
        <v>0</v>
      </c>
      <c r="AC59" s="229" t="b">
        <v>1</v>
      </c>
      <c r="AD59" s="229">
        <v>0</v>
      </c>
      <c r="AE59" s="229"/>
      <c r="AF59" s="229" t="s">
        <v>50</v>
      </c>
      <c r="AG59" s="229">
        <v>0</v>
      </c>
      <c r="AH59" s="230"/>
      <c r="AI59" s="553" t="s">
        <v>576</v>
      </c>
      <c r="AJ59" s="553" t="s">
        <v>576</v>
      </c>
      <c r="AK59" s="229">
        <v>4</v>
      </c>
      <c r="AL59" s="465" t="s">
        <v>1188</v>
      </c>
      <c r="AM59" s="465" t="s">
        <v>1280</v>
      </c>
      <c r="AN59" s="465" t="s">
        <v>1282</v>
      </c>
      <c r="AO59" s="229" t="s">
        <v>25</v>
      </c>
      <c r="AP59" s="230" t="s">
        <v>576</v>
      </c>
      <c r="AQ59" s="230">
        <v>0</v>
      </c>
      <c r="AR59" s="230">
        <v>0</v>
      </c>
      <c r="AS59" s="230" t="s">
        <v>601</v>
      </c>
      <c r="AT59" s="230" t="s">
        <v>601</v>
      </c>
      <c r="AU59" s="230" t="s">
        <v>601</v>
      </c>
      <c r="AV59" s="230" t="s">
        <v>1178</v>
      </c>
      <c r="AW59" s="230" t="s">
        <v>601</v>
      </c>
      <c r="AX59" s="230" t="s">
        <v>601</v>
      </c>
      <c r="AY59" s="230" t="s">
        <v>601</v>
      </c>
      <c r="AZ59" s="230" t="s">
        <v>601</v>
      </c>
      <c r="BA59" s="230" t="s">
        <v>601</v>
      </c>
      <c r="BB59" s="230" t="s">
        <v>1178</v>
      </c>
      <c r="BC59" s="230" t="s">
        <v>1086</v>
      </c>
      <c r="BD59" s="230">
        <v>0</v>
      </c>
      <c r="BE59" s="230">
        <v>0</v>
      </c>
      <c r="BF59" s="230" t="s">
        <v>601</v>
      </c>
      <c r="BG59" s="230" t="s">
        <v>601</v>
      </c>
      <c r="BH59" s="230" t="s">
        <v>601</v>
      </c>
      <c r="BI59" s="230" t="s">
        <v>587</v>
      </c>
      <c r="BJ59" s="230">
        <v>0</v>
      </c>
      <c r="BK59" s="230">
        <v>0</v>
      </c>
      <c r="BL59" s="230" t="s">
        <v>601</v>
      </c>
      <c r="BM59" s="230" t="s">
        <v>601</v>
      </c>
      <c r="BN59" s="230" t="s">
        <v>601</v>
      </c>
      <c r="BO59" s="553">
        <v>3</v>
      </c>
      <c r="BP59" s="553">
        <v>0</v>
      </c>
      <c r="BQ59" s="553">
        <v>0</v>
      </c>
      <c r="BR59" s="553">
        <v>0</v>
      </c>
      <c r="BS59" s="553">
        <v>0</v>
      </c>
      <c r="BT59" s="554">
        <v>0</v>
      </c>
      <c r="BU59" s="230" t="s">
        <v>597</v>
      </c>
      <c r="BV59" s="230" t="s">
        <v>601</v>
      </c>
      <c r="BW59" s="230" t="s">
        <v>601</v>
      </c>
      <c r="BX59" s="230" t="s">
        <v>601</v>
      </c>
      <c r="BY59" s="230" t="s">
        <v>601</v>
      </c>
      <c r="BZ59" s="230" t="s">
        <v>601</v>
      </c>
      <c r="CA59" s="230">
        <v>2</v>
      </c>
      <c r="CB59" s="230">
        <v>2</v>
      </c>
      <c r="CC59" s="230">
        <v>2</v>
      </c>
      <c r="CD59" s="230">
        <v>0</v>
      </c>
      <c r="CE59" s="230">
        <v>0</v>
      </c>
      <c r="CF59" s="230">
        <v>0</v>
      </c>
      <c r="CG59" s="230">
        <v>0</v>
      </c>
      <c r="CH59" s="230">
        <v>0</v>
      </c>
      <c r="CI59" s="230">
        <v>0</v>
      </c>
      <c r="CJ59" s="230">
        <v>0</v>
      </c>
      <c r="CK59" s="230">
        <v>0</v>
      </c>
      <c r="CL59" s="230">
        <v>0</v>
      </c>
      <c r="CM59" s="230">
        <v>0</v>
      </c>
      <c r="CN59" s="230">
        <v>0</v>
      </c>
      <c r="CO59" s="230">
        <v>0</v>
      </c>
      <c r="CP59" s="230">
        <v>0</v>
      </c>
      <c r="CQ59" s="230">
        <v>0</v>
      </c>
      <c r="CR59" s="230">
        <v>0</v>
      </c>
      <c r="CS59" s="230">
        <v>0</v>
      </c>
      <c r="CT59" s="230">
        <v>0</v>
      </c>
      <c r="CU59" s="230">
        <v>0</v>
      </c>
      <c r="CV59" s="230">
        <v>0</v>
      </c>
      <c r="CW59" s="230">
        <v>0</v>
      </c>
      <c r="CX59" s="230">
        <v>0</v>
      </c>
      <c r="CY59" s="230">
        <v>0</v>
      </c>
      <c r="CZ59" s="230">
        <v>0</v>
      </c>
      <c r="DA59" s="230">
        <v>0</v>
      </c>
      <c r="DB59" s="230">
        <v>0</v>
      </c>
      <c r="DC59" s="230">
        <v>0</v>
      </c>
      <c r="DD59" s="230">
        <v>0</v>
      </c>
      <c r="DE59" s="230">
        <v>0</v>
      </c>
      <c r="DF59" s="230">
        <v>0</v>
      </c>
      <c r="DG59" s="230">
        <v>0</v>
      </c>
      <c r="DH59" s="230">
        <v>0</v>
      </c>
      <c r="DI59" s="230">
        <v>0</v>
      </c>
      <c r="DJ59" s="230">
        <v>0</v>
      </c>
      <c r="DK59" s="230" t="s">
        <v>599</v>
      </c>
      <c r="DL59" s="230" t="s">
        <v>601</v>
      </c>
      <c r="DM59" s="230" t="s">
        <v>601</v>
      </c>
      <c r="DN59" s="230" t="s">
        <v>601</v>
      </c>
      <c r="DO59" s="230" t="s">
        <v>601</v>
      </c>
      <c r="DP59" s="230" t="s">
        <v>601</v>
      </c>
      <c r="DQ59" s="230" t="s">
        <v>1193</v>
      </c>
      <c r="DR59" s="230" t="s">
        <v>601</v>
      </c>
      <c r="DS59" s="230" t="s">
        <v>601</v>
      </c>
      <c r="DT59" s="230" t="s">
        <v>601</v>
      </c>
      <c r="DU59" s="230" t="s">
        <v>601</v>
      </c>
      <c r="DV59" s="230" t="s">
        <v>601</v>
      </c>
      <c r="DW59" s="230">
        <v>40</v>
      </c>
      <c r="DX59" s="230">
        <v>40</v>
      </c>
      <c r="DY59" s="230">
        <v>40</v>
      </c>
      <c r="DZ59" s="230">
        <v>0</v>
      </c>
      <c r="EA59" s="230">
        <v>0</v>
      </c>
      <c r="EB59" s="230">
        <v>0</v>
      </c>
      <c r="EC59" s="230">
        <v>40</v>
      </c>
      <c r="ED59" s="230">
        <v>0</v>
      </c>
      <c r="EE59" s="230">
        <v>0</v>
      </c>
      <c r="EF59" s="230">
        <v>0</v>
      </c>
      <c r="EG59" s="230">
        <v>0</v>
      </c>
      <c r="EH59" s="230">
        <v>0</v>
      </c>
      <c r="EI59" s="230">
        <v>0</v>
      </c>
      <c r="EJ59" s="230">
        <v>0</v>
      </c>
      <c r="EK59" s="230">
        <v>0</v>
      </c>
      <c r="EL59" s="230">
        <v>0</v>
      </c>
      <c r="EM59" s="230">
        <v>0</v>
      </c>
      <c r="EN59" s="230">
        <v>0</v>
      </c>
      <c r="EO59" s="230">
        <v>0</v>
      </c>
      <c r="EP59" s="230">
        <v>0</v>
      </c>
      <c r="EQ59" s="230">
        <v>0</v>
      </c>
      <c r="ER59" s="230">
        <v>0</v>
      </c>
      <c r="ES59" s="230">
        <v>0</v>
      </c>
      <c r="ET59" s="230">
        <v>0</v>
      </c>
      <c r="EU59" s="230">
        <v>0</v>
      </c>
      <c r="EV59" s="230">
        <v>0</v>
      </c>
      <c r="EW59" s="230">
        <v>0</v>
      </c>
      <c r="EX59" s="230">
        <v>0</v>
      </c>
      <c r="EY59" s="230">
        <v>0</v>
      </c>
      <c r="EZ59" s="230">
        <v>0</v>
      </c>
      <c r="FA59" s="230">
        <v>0</v>
      </c>
      <c r="FB59" s="230">
        <v>0</v>
      </c>
      <c r="FC59" s="230">
        <v>0</v>
      </c>
      <c r="FD59" s="230">
        <v>0</v>
      </c>
      <c r="FE59" s="230">
        <v>0</v>
      </c>
      <c r="FF59" s="230">
        <v>0</v>
      </c>
      <c r="FG59" s="230">
        <v>0</v>
      </c>
      <c r="FH59" s="230">
        <v>0</v>
      </c>
      <c r="FI59" s="230">
        <v>0</v>
      </c>
      <c r="FJ59" s="230">
        <v>0</v>
      </c>
      <c r="FK59" s="230">
        <v>0</v>
      </c>
      <c r="FL59" s="230">
        <v>0</v>
      </c>
      <c r="FM59" s="230">
        <v>40</v>
      </c>
      <c r="FN59" s="230">
        <v>2100</v>
      </c>
      <c r="FO59" s="230">
        <v>0</v>
      </c>
      <c r="FP59" s="230">
        <v>0</v>
      </c>
      <c r="FQ59" s="230" t="s">
        <v>601</v>
      </c>
      <c r="FR59" s="230" t="s">
        <v>601</v>
      </c>
      <c r="FS59" s="230" t="s">
        <v>601</v>
      </c>
      <c r="FT59" s="230" t="s">
        <v>593</v>
      </c>
      <c r="FU59" s="230">
        <v>0</v>
      </c>
      <c r="FV59" s="230">
        <v>0</v>
      </c>
      <c r="FW59" s="230" t="s">
        <v>601</v>
      </c>
      <c r="FX59" s="230" t="s">
        <v>601</v>
      </c>
      <c r="FY59" s="230" t="s">
        <v>601</v>
      </c>
      <c r="FZ59" s="230" t="s">
        <v>593</v>
      </c>
      <c r="GA59" s="230" t="s">
        <v>601</v>
      </c>
      <c r="GB59" s="230" t="s">
        <v>601</v>
      </c>
      <c r="GC59" s="230" t="s">
        <v>601</v>
      </c>
      <c r="GD59" s="230" t="s">
        <v>601</v>
      </c>
      <c r="GE59" s="230" t="s">
        <v>601</v>
      </c>
      <c r="GF59" s="230">
        <v>27</v>
      </c>
      <c r="GG59" s="230">
        <v>27</v>
      </c>
      <c r="GH59" s="230">
        <v>27</v>
      </c>
      <c r="GI59" s="230">
        <v>0</v>
      </c>
      <c r="GJ59" s="230">
        <v>0</v>
      </c>
      <c r="GK59" s="230">
        <v>0</v>
      </c>
      <c r="GL59" s="230">
        <v>0</v>
      </c>
      <c r="GM59" s="230">
        <v>0</v>
      </c>
      <c r="GN59" s="230">
        <v>0</v>
      </c>
      <c r="GO59" s="230">
        <v>0</v>
      </c>
      <c r="GP59" s="230">
        <v>0</v>
      </c>
      <c r="GQ59" s="230">
        <v>0</v>
      </c>
      <c r="GR59" s="230">
        <v>0</v>
      </c>
      <c r="GS59" s="230">
        <v>0</v>
      </c>
      <c r="GT59" s="230">
        <v>0</v>
      </c>
      <c r="GU59" s="230">
        <v>0</v>
      </c>
      <c r="GV59" s="230">
        <v>0</v>
      </c>
      <c r="GW59" s="230">
        <v>0</v>
      </c>
      <c r="GX59" s="230">
        <v>0</v>
      </c>
      <c r="GY59" s="230">
        <v>0</v>
      </c>
      <c r="GZ59" s="230">
        <v>0</v>
      </c>
      <c r="HA59" s="230">
        <v>0</v>
      </c>
      <c r="HB59" s="230">
        <v>0</v>
      </c>
      <c r="HC59" s="230">
        <v>0</v>
      </c>
      <c r="HD59" s="230">
        <v>0</v>
      </c>
      <c r="HE59" s="230">
        <v>0</v>
      </c>
      <c r="HF59" s="230">
        <v>0</v>
      </c>
      <c r="HG59" s="230">
        <v>0</v>
      </c>
      <c r="HH59" s="230">
        <v>0</v>
      </c>
      <c r="HI59" s="230">
        <v>0</v>
      </c>
      <c r="HJ59" s="230">
        <v>0</v>
      </c>
      <c r="HK59" s="230">
        <v>0</v>
      </c>
      <c r="HL59" s="230">
        <v>0</v>
      </c>
      <c r="HM59" s="230">
        <v>0</v>
      </c>
      <c r="HN59" s="230">
        <v>0</v>
      </c>
      <c r="HO59" s="230">
        <v>0</v>
      </c>
      <c r="HP59" s="230" t="s">
        <v>51</v>
      </c>
      <c r="HQ59" s="230">
        <v>27</v>
      </c>
      <c r="HR59" s="230">
        <v>0</v>
      </c>
      <c r="HS59" s="230">
        <v>0</v>
      </c>
      <c r="HT59" s="230">
        <v>0</v>
      </c>
      <c r="HU59" s="230">
        <v>0</v>
      </c>
      <c r="HV59" s="230">
        <v>0</v>
      </c>
      <c r="HW59" s="797">
        <v>27</v>
      </c>
      <c r="HX59" s="797">
        <v>0</v>
      </c>
      <c r="HY59" s="230">
        <v>68</v>
      </c>
      <c r="HZ59" s="230"/>
      <c r="IA59" s="230"/>
      <c r="IB59" s="230"/>
      <c r="IC59" s="232" t="s">
        <v>1084</v>
      </c>
      <c r="ID59" s="233" t="s">
        <v>1085</v>
      </c>
      <c r="IE59" s="467" t="s">
        <v>583</v>
      </c>
      <c r="IF59" s="232" t="s">
        <v>364</v>
      </c>
      <c r="IG59" s="467" t="s">
        <v>584</v>
      </c>
      <c r="IH59" s="467" t="s">
        <v>585</v>
      </c>
      <c r="II59" s="546" t="s">
        <v>584</v>
      </c>
      <c r="IJ59" s="467">
        <v>44462</v>
      </c>
      <c r="IK59" s="468">
        <v>3</v>
      </c>
      <c r="IL59" s="469" t="s">
        <v>1210</v>
      </c>
      <c r="IM59" s="469" t="s">
        <v>1195</v>
      </c>
      <c r="IN59" s="469" t="s">
        <v>1195</v>
      </c>
      <c r="IO59" s="469" t="s">
        <v>601</v>
      </c>
      <c r="IP59" s="469" t="s">
        <v>601</v>
      </c>
      <c r="IQ59" s="469" t="s">
        <v>601</v>
      </c>
      <c r="IR59" s="469">
        <v>1</v>
      </c>
      <c r="IS59" s="469">
        <v>2</v>
      </c>
      <c r="IT59" s="469" t="s">
        <v>675</v>
      </c>
      <c r="IU59" s="469" t="s">
        <v>675</v>
      </c>
    </row>
    <row r="60" ht="76.5">
      <c r="A60" s="322">
        <v>59</v>
      </c>
      <c r="B60" s="229" t="s">
        <v>1178</v>
      </c>
      <c r="C60" s="229" t="s">
        <v>1178</v>
      </c>
      <c r="D60" s="797" t="s">
        <v>1094</v>
      </c>
      <c r="E60" s="229" t="s">
        <v>1088</v>
      </c>
      <c r="F60" s="229" t="s">
        <v>26</v>
      </c>
      <c r="G60" s="797" t="s">
        <v>1089</v>
      </c>
      <c r="H60" s="797" t="s">
        <v>1090</v>
      </c>
      <c r="I60" s="229">
        <v>2</v>
      </c>
      <c r="J60" s="229" t="s">
        <v>1091</v>
      </c>
      <c r="K60" s="231" t="s">
        <v>584</v>
      </c>
      <c r="L60" s="231" t="s">
        <v>1283</v>
      </c>
      <c r="M60" s="229" t="s">
        <v>1197</v>
      </c>
      <c r="N60" s="229" t="s">
        <v>1285</v>
      </c>
      <c r="O60" s="229" t="s">
        <v>1199</v>
      </c>
      <c r="P60" s="229" t="s">
        <v>1200</v>
      </c>
      <c r="Q60" s="229" t="s">
        <v>1213</v>
      </c>
      <c r="R60" s="229" t="s">
        <v>1214</v>
      </c>
      <c r="S60" s="229" t="s">
        <v>1203</v>
      </c>
      <c r="T60" s="229" t="s">
        <v>1219</v>
      </c>
      <c r="U60" s="229">
        <v>1</v>
      </c>
      <c r="V60" s="229"/>
      <c r="W60" s="229" t="b">
        <v>0</v>
      </c>
      <c r="X60" s="229" t="b">
        <v>0</v>
      </c>
      <c r="Y60" s="797">
        <v>0</v>
      </c>
      <c r="Z60" s="229" t="b">
        <v>1</v>
      </c>
      <c r="AA60" s="797">
        <v>20</v>
      </c>
      <c r="AB60" s="229" t="b">
        <v>0</v>
      </c>
      <c r="AC60" s="229" t="b">
        <v>1</v>
      </c>
      <c r="AD60" s="229">
        <v>0</v>
      </c>
      <c r="AE60" s="229"/>
      <c r="AF60" s="229" t="s">
        <v>50</v>
      </c>
      <c r="AG60" s="229">
        <v>0</v>
      </c>
      <c r="AH60" s="230"/>
      <c r="AI60" s="553" t="s">
        <v>576</v>
      </c>
      <c r="AJ60" s="553" t="s">
        <v>576</v>
      </c>
      <c r="AK60" s="229">
        <v>4</v>
      </c>
      <c r="AL60" s="465" t="s">
        <v>1188</v>
      </c>
      <c r="AM60" s="465" t="s">
        <v>1280</v>
      </c>
      <c r="AN60" s="465" t="s">
        <v>1281</v>
      </c>
      <c r="AO60" s="229" t="s">
        <v>25</v>
      </c>
      <c r="AP60" s="230" t="s">
        <v>576</v>
      </c>
      <c r="AQ60" s="230" t="s">
        <v>576</v>
      </c>
      <c r="AR60" s="230">
        <v>0</v>
      </c>
      <c r="AS60" s="230" t="s">
        <v>601</v>
      </c>
      <c r="AT60" s="230" t="s">
        <v>601</v>
      </c>
      <c r="AU60" s="230" t="s">
        <v>601</v>
      </c>
      <c r="AV60" s="230" t="s">
        <v>1178</v>
      </c>
      <c r="AW60" s="230" t="s">
        <v>1178</v>
      </c>
      <c r="AX60" s="230" t="s">
        <v>601</v>
      </c>
      <c r="AY60" s="230" t="s">
        <v>601</v>
      </c>
      <c r="AZ60" s="230" t="s">
        <v>601</v>
      </c>
      <c r="BA60" s="230" t="s">
        <v>601</v>
      </c>
      <c r="BB60" s="230" t="s">
        <v>1206</v>
      </c>
      <c r="BC60" s="230" t="s">
        <v>1094</v>
      </c>
      <c r="BD60" s="230" t="s">
        <v>1094</v>
      </c>
      <c r="BE60" s="230">
        <v>0</v>
      </c>
      <c r="BF60" s="230" t="s">
        <v>601</v>
      </c>
      <c r="BG60" s="230" t="s">
        <v>601</v>
      </c>
      <c r="BH60" s="230" t="s">
        <v>601</v>
      </c>
      <c r="BI60" s="230" t="s">
        <v>587</v>
      </c>
      <c r="BJ60" s="230" t="s">
        <v>587</v>
      </c>
      <c r="BK60" s="230">
        <v>0</v>
      </c>
      <c r="BL60" s="230" t="s">
        <v>601</v>
      </c>
      <c r="BM60" s="230" t="s">
        <v>601</v>
      </c>
      <c r="BN60" s="230" t="s">
        <v>601</v>
      </c>
      <c r="BO60" s="553">
        <v>3</v>
      </c>
      <c r="BP60" s="553">
        <v>3</v>
      </c>
      <c r="BQ60" s="553">
        <v>0</v>
      </c>
      <c r="BR60" s="553">
        <v>0</v>
      </c>
      <c r="BS60" s="553">
        <v>0</v>
      </c>
      <c r="BT60" s="554">
        <v>0</v>
      </c>
      <c r="BU60" s="230" t="s">
        <v>597</v>
      </c>
      <c r="BV60" s="230" t="s">
        <v>597</v>
      </c>
      <c r="BW60" s="230" t="s">
        <v>601</v>
      </c>
      <c r="BX60" s="230" t="s">
        <v>601</v>
      </c>
      <c r="BY60" s="230" t="s">
        <v>601</v>
      </c>
      <c r="BZ60" s="230" t="s">
        <v>601</v>
      </c>
      <c r="CA60" s="230">
        <v>2</v>
      </c>
      <c r="CB60" s="230">
        <v>2</v>
      </c>
      <c r="CC60" s="230">
        <v>2</v>
      </c>
      <c r="CD60" s="230">
        <v>0</v>
      </c>
      <c r="CE60" s="230">
        <v>0</v>
      </c>
      <c r="CF60" s="230">
        <v>0</v>
      </c>
      <c r="CG60" s="230">
        <v>2</v>
      </c>
      <c r="CH60" s="230">
        <v>2</v>
      </c>
      <c r="CI60" s="230">
        <v>2</v>
      </c>
      <c r="CJ60" s="230">
        <v>0</v>
      </c>
      <c r="CK60" s="230">
        <v>0</v>
      </c>
      <c r="CL60" s="230">
        <v>0</v>
      </c>
      <c r="CM60" s="230">
        <v>0</v>
      </c>
      <c r="CN60" s="230">
        <v>0</v>
      </c>
      <c r="CO60" s="230">
        <v>0</v>
      </c>
      <c r="CP60" s="230">
        <v>0</v>
      </c>
      <c r="CQ60" s="230">
        <v>0</v>
      </c>
      <c r="CR60" s="230">
        <v>0</v>
      </c>
      <c r="CS60" s="230">
        <v>0</v>
      </c>
      <c r="CT60" s="230">
        <v>0</v>
      </c>
      <c r="CU60" s="230">
        <v>0</v>
      </c>
      <c r="CV60" s="230">
        <v>0</v>
      </c>
      <c r="CW60" s="230">
        <v>0</v>
      </c>
      <c r="CX60" s="230">
        <v>0</v>
      </c>
      <c r="CY60" s="230">
        <v>0</v>
      </c>
      <c r="CZ60" s="230">
        <v>0</v>
      </c>
      <c r="DA60" s="230">
        <v>0</v>
      </c>
      <c r="DB60" s="230">
        <v>0</v>
      </c>
      <c r="DC60" s="230">
        <v>0</v>
      </c>
      <c r="DD60" s="230">
        <v>0</v>
      </c>
      <c r="DE60" s="230">
        <v>0</v>
      </c>
      <c r="DF60" s="230">
        <v>0</v>
      </c>
      <c r="DG60" s="230">
        <v>0</v>
      </c>
      <c r="DH60" s="230">
        <v>0</v>
      </c>
      <c r="DI60" s="230">
        <v>0</v>
      </c>
      <c r="DJ60" s="230">
        <v>0</v>
      </c>
      <c r="DK60" s="230" t="s">
        <v>599</v>
      </c>
      <c r="DL60" s="230" t="s">
        <v>599</v>
      </c>
      <c r="DM60" s="230" t="s">
        <v>601</v>
      </c>
      <c r="DN60" s="230" t="s">
        <v>601</v>
      </c>
      <c r="DO60" s="230" t="s">
        <v>601</v>
      </c>
      <c r="DP60" s="230" t="s">
        <v>601</v>
      </c>
      <c r="DQ60" s="230" t="s">
        <v>1193</v>
      </c>
      <c r="DR60" s="230" t="s">
        <v>1193</v>
      </c>
      <c r="DS60" s="230" t="s">
        <v>601</v>
      </c>
      <c r="DT60" s="230" t="s">
        <v>601</v>
      </c>
      <c r="DU60" s="230" t="s">
        <v>601</v>
      </c>
      <c r="DV60" s="230" t="s">
        <v>601</v>
      </c>
      <c r="DW60" s="230">
        <v>40</v>
      </c>
      <c r="DX60" s="230">
        <v>40</v>
      </c>
      <c r="DY60" s="230">
        <v>40</v>
      </c>
      <c r="DZ60" s="230">
        <v>0</v>
      </c>
      <c r="EA60" s="230">
        <v>0</v>
      </c>
      <c r="EB60" s="230">
        <v>0</v>
      </c>
      <c r="EC60" s="230">
        <v>40</v>
      </c>
      <c r="ED60" s="230">
        <v>40</v>
      </c>
      <c r="EE60" s="230">
        <v>40</v>
      </c>
      <c r="EF60" s="230">
        <v>40</v>
      </c>
      <c r="EG60" s="230">
        <v>0</v>
      </c>
      <c r="EH60" s="230">
        <v>0</v>
      </c>
      <c r="EI60" s="230">
        <v>0</v>
      </c>
      <c r="EJ60" s="230">
        <v>40</v>
      </c>
      <c r="EK60" s="230">
        <v>0</v>
      </c>
      <c r="EL60" s="230">
        <v>0</v>
      </c>
      <c r="EM60" s="230">
        <v>0</v>
      </c>
      <c r="EN60" s="230">
        <v>0</v>
      </c>
      <c r="EO60" s="230">
        <v>0</v>
      </c>
      <c r="EP60" s="230">
        <v>0</v>
      </c>
      <c r="EQ60" s="230">
        <v>0</v>
      </c>
      <c r="ER60" s="230">
        <v>0</v>
      </c>
      <c r="ES60" s="230">
        <v>0</v>
      </c>
      <c r="ET60" s="230">
        <v>0</v>
      </c>
      <c r="EU60" s="230">
        <v>0</v>
      </c>
      <c r="EV60" s="230">
        <v>0</v>
      </c>
      <c r="EW60" s="230">
        <v>0</v>
      </c>
      <c r="EX60" s="230">
        <v>0</v>
      </c>
      <c r="EY60" s="230">
        <v>0</v>
      </c>
      <c r="EZ60" s="230">
        <v>0</v>
      </c>
      <c r="FA60" s="230">
        <v>0</v>
      </c>
      <c r="FB60" s="230">
        <v>0</v>
      </c>
      <c r="FC60" s="230">
        <v>0</v>
      </c>
      <c r="FD60" s="230">
        <v>0</v>
      </c>
      <c r="FE60" s="230">
        <v>0</v>
      </c>
      <c r="FF60" s="230">
        <v>0</v>
      </c>
      <c r="FG60" s="230">
        <v>0</v>
      </c>
      <c r="FH60" s="230">
        <v>0</v>
      </c>
      <c r="FI60" s="230">
        <v>0</v>
      </c>
      <c r="FJ60" s="230">
        <v>0</v>
      </c>
      <c r="FK60" s="230">
        <v>0</v>
      </c>
      <c r="FL60" s="230">
        <v>0</v>
      </c>
      <c r="FM60" s="230">
        <v>40</v>
      </c>
      <c r="FN60" s="230" t="s">
        <v>594</v>
      </c>
      <c r="FO60" s="230" t="s">
        <v>600</v>
      </c>
      <c r="FP60" s="230">
        <v>0</v>
      </c>
      <c r="FQ60" s="230" t="s">
        <v>601</v>
      </c>
      <c r="FR60" s="230" t="s">
        <v>601</v>
      </c>
      <c r="FS60" s="230" t="s">
        <v>601</v>
      </c>
      <c r="FT60" s="230" t="s">
        <v>658</v>
      </c>
      <c r="FU60" s="230" t="s">
        <v>658</v>
      </c>
      <c r="FV60" s="230">
        <v>0</v>
      </c>
      <c r="FW60" s="230" t="s">
        <v>601</v>
      </c>
      <c r="FX60" s="230" t="s">
        <v>601</v>
      </c>
      <c r="FY60" s="230" t="s">
        <v>601</v>
      </c>
      <c r="FZ60" s="230" t="s">
        <v>658</v>
      </c>
      <c r="GA60" s="230" t="s">
        <v>658</v>
      </c>
      <c r="GB60" s="230" t="s">
        <v>601</v>
      </c>
      <c r="GC60" s="230" t="s">
        <v>601</v>
      </c>
      <c r="GD60" s="230" t="s">
        <v>601</v>
      </c>
      <c r="GE60" s="230" t="s">
        <v>601</v>
      </c>
      <c r="GF60" s="230">
        <v>20</v>
      </c>
      <c r="GG60" s="230">
        <v>20</v>
      </c>
      <c r="GH60" s="230">
        <v>20</v>
      </c>
      <c r="GI60" s="230">
        <v>0</v>
      </c>
      <c r="GJ60" s="230">
        <v>0</v>
      </c>
      <c r="GK60" s="230">
        <v>0</v>
      </c>
      <c r="GL60" s="230">
        <v>20</v>
      </c>
      <c r="GM60" s="230">
        <v>20</v>
      </c>
      <c r="GN60" s="230">
        <v>20</v>
      </c>
      <c r="GO60" s="230">
        <v>0</v>
      </c>
      <c r="GP60" s="230">
        <v>0</v>
      </c>
      <c r="GQ60" s="230">
        <v>0</v>
      </c>
      <c r="GR60" s="230">
        <v>0</v>
      </c>
      <c r="GS60" s="230">
        <v>0</v>
      </c>
      <c r="GT60" s="230">
        <v>0</v>
      </c>
      <c r="GU60" s="230">
        <v>0</v>
      </c>
      <c r="GV60" s="230">
        <v>0</v>
      </c>
      <c r="GW60" s="230">
        <v>0</v>
      </c>
      <c r="GX60" s="230">
        <v>0</v>
      </c>
      <c r="GY60" s="230">
        <v>0</v>
      </c>
      <c r="GZ60" s="230">
        <v>0</v>
      </c>
      <c r="HA60" s="230">
        <v>0</v>
      </c>
      <c r="HB60" s="230">
        <v>0</v>
      </c>
      <c r="HC60" s="230">
        <v>0</v>
      </c>
      <c r="HD60" s="230">
        <v>0</v>
      </c>
      <c r="HE60" s="230">
        <v>0</v>
      </c>
      <c r="HF60" s="230">
        <v>0</v>
      </c>
      <c r="HG60" s="230">
        <v>0</v>
      </c>
      <c r="HH60" s="230">
        <v>0</v>
      </c>
      <c r="HI60" s="230">
        <v>0</v>
      </c>
      <c r="HJ60" s="230">
        <v>0</v>
      </c>
      <c r="HK60" s="230">
        <v>0</v>
      </c>
      <c r="HL60" s="230">
        <v>0</v>
      </c>
      <c r="HM60" s="230">
        <v>0</v>
      </c>
      <c r="HN60" s="230">
        <v>0</v>
      </c>
      <c r="HO60" s="230">
        <v>0</v>
      </c>
      <c r="HP60" s="230" t="s">
        <v>51</v>
      </c>
      <c r="HQ60" s="230">
        <v>20</v>
      </c>
      <c r="HR60" s="230">
        <v>20</v>
      </c>
      <c r="HS60" s="230">
        <v>0</v>
      </c>
      <c r="HT60" s="230">
        <v>0</v>
      </c>
      <c r="HU60" s="230">
        <v>0</v>
      </c>
      <c r="HV60" s="230">
        <v>0</v>
      </c>
      <c r="HW60" s="797">
        <v>20</v>
      </c>
      <c r="HX60" s="797">
        <v>0</v>
      </c>
      <c r="HY60" s="230">
        <v>68</v>
      </c>
      <c r="HZ60" s="230"/>
      <c r="IA60" s="230"/>
      <c r="IB60" s="230"/>
      <c r="IC60" s="232" t="s">
        <v>1092</v>
      </c>
      <c r="ID60" s="233" t="s">
        <v>1093</v>
      </c>
      <c r="IE60" s="467" t="s">
        <v>583</v>
      </c>
      <c r="IF60" s="232" t="s">
        <v>364</v>
      </c>
      <c r="IG60" s="467" t="s">
        <v>584</v>
      </c>
      <c r="IH60" s="467" t="s">
        <v>585</v>
      </c>
      <c r="II60" s="546" t="s">
        <v>584</v>
      </c>
      <c r="IJ60" s="467">
        <v>44462</v>
      </c>
      <c r="IK60" s="468">
        <v>3</v>
      </c>
      <c r="IL60" s="469" t="s">
        <v>1207</v>
      </c>
      <c r="IM60" s="469" t="s">
        <v>603</v>
      </c>
      <c r="IN60" s="469" t="s">
        <v>1195</v>
      </c>
      <c r="IO60" s="469" t="s">
        <v>601</v>
      </c>
      <c r="IP60" s="469" t="s">
        <v>601</v>
      </c>
      <c r="IQ60" s="469" t="s">
        <v>601</v>
      </c>
      <c r="IR60" s="469">
        <v>2</v>
      </c>
      <c r="IS60" s="469">
        <v>1</v>
      </c>
      <c r="IT60" s="469" t="s">
        <v>675</v>
      </c>
      <c r="IU60" s="469" t="s">
        <v>675</v>
      </c>
    </row>
    <row r="61" ht="76.5">
      <c r="A61" s="322">
        <v>60</v>
      </c>
      <c r="B61" s="229" t="s">
        <v>1178</v>
      </c>
      <c r="C61" s="229" t="s">
        <v>1178</v>
      </c>
      <c r="D61" s="797" t="s">
        <v>1102</v>
      </c>
      <c r="E61" s="229" t="s">
        <v>1096</v>
      </c>
      <c r="F61" s="229" t="s">
        <v>26</v>
      </c>
      <c r="G61" s="797" t="s">
        <v>1097</v>
      </c>
      <c r="H61" s="797" t="s">
        <v>1098</v>
      </c>
      <c r="I61" s="229">
        <v>1</v>
      </c>
      <c r="J61" s="229" t="s">
        <v>1099</v>
      </c>
      <c r="K61" s="231" t="s">
        <v>584</v>
      </c>
      <c r="L61" s="231" t="s">
        <v>1283</v>
      </c>
      <c r="M61" s="229" t="s">
        <v>576</v>
      </c>
      <c r="N61" s="229" t="s">
        <v>1102</v>
      </c>
      <c r="O61" s="229" t="s">
        <v>587</v>
      </c>
      <c r="P61" s="229" t="s">
        <v>916</v>
      </c>
      <c r="Q61" s="229" t="s">
        <v>596</v>
      </c>
      <c r="R61" s="229" t="s">
        <v>1267</v>
      </c>
      <c r="S61" s="229" t="s">
        <v>600</v>
      </c>
      <c r="T61" s="229" t="s">
        <v>1103</v>
      </c>
      <c r="U61" s="229">
        <v>1</v>
      </c>
      <c r="V61" s="229"/>
      <c r="W61" s="229" t="b">
        <v>0</v>
      </c>
      <c r="X61" s="229" t="b">
        <v>0</v>
      </c>
      <c r="Y61" s="797">
        <v>0</v>
      </c>
      <c r="Z61" s="229" t="b">
        <v>1</v>
      </c>
      <c r="AA61" s="797">
        <v>25</v>
      </c>
      <c r="AB61" s="229" t="b">
        <v>0</v>
      </c>
      <c r="AC61" s="229" t="b">
        <v>1</v>
      </c>
      <c r="AD61" s="229">
        <v>0</v>
      </c>
      <c r="AE61" s="229"/>
      <c r="AF61" s="229" t="s">
        <v>50</v>
      </c>
      <c r="AG61" s="229">
        <v>0</v>
      </c>
      <c r="AH61" s="230"/>
      <c r="AI61" s="553" t="s">
        <v>576</v>
      </c>
      <c r="AJ61" s="553" t="s">
        <v>576</v>
      </c>
      <c r="AK61" s="229">
        <v>4</v>
      </c>
      <c r="AL61" s="465" t="s">
        <v>1188</v>
      </c>
      <c r="AM61" s="465" t="s">
        <v>1286</v>
      </c>
      <c r="AN61" s="465" t="s">
        <v>1287</v>
      </c>
      <c r="AO61" s="229" t="s">
        <v>25</v>
      </c>
      <c r="AP61" s="230" t="s">
        <v>576</v>
      </c>
      <c r="AQ61" s="230">
        <v>0</v>
      </c>
      <c r="AR61" s="230">
        <v>0</v>
      </c>
      <c r="AS61" s="230" t="s">
        <v>601</v>
      </c>
      <c r="AT61" s="230" t="s">
        <v>601</v>
      </c>
      <c r="AU61" s="230" t="s">
        <v>601</v>
      </c>
      <c r="AV61" s="230" t="s">
        <v>1178</v>
      </c>
      <c r="AW61" s="230" t="s">
        <v>601</v>
      </c>
      <c r="AX61" s="230" t="s">
        <v>601</v>
      </c>
      <c r="AY61" s="230" t="s">
        <v>601</v>
      </c>
      <c r="AZ61" s="230" t="s">
        <v>601</v>
      </c>
      <c r="BA61" s="230" t="s">
        <v>601</v>
      </c>
      <c r="BB61" s="230" t="s">
        <v>1178</v>
      </c>
      <c r="BC61" s="230" t="s">
        <v>1102</v>
      </c>
      <c r="BD61" s="230">
        <v>0</v>
      </c>
      <c r="BE61" s="230">
        <v>0</v>
      </c>
      <c r="BF61" s="230" t="s">
        <v>601</v>
      </c>
      <c r="BG61" s="230" t="s">
        <v>601</v>
      </c>
      <c r="BH61" s="230" t="s">
        <v>601</v>
      </c>
      <c r="BI61" s="230" t="s">
        <v>587</v>
      </c>
      <c r="BJ61" s="230">
        <v>0</v>
      </c>
      <c r="BK61" s="230">
        <v>0</v>
      </c>
      <c r="BL61" s="230" t="s">
        <v>601</v>
      </c>
      <c r="BM61" s="230" t="s">
        <v>601</v>
      </c>
      <c r="BN61" s="230" t="s">
        <v>601</v>
      </c>
      <c r="BO61" s="553">
        <v>1</v>
      </c>
      <c r="BP61" s="553">
        <v>0</v>
      </c>
      <c r="BQ61" s="553">
        <v>0</v>
      </c>
      <c r="BR61" s="553">
        <v>0</v>
      </c>
      <c r="BS61" s="553">
        <v>0</v>
      </c>
      <c r="BT61" s="554">
        <v>0</v>
      </c>
      <c r="BU61" s="230" t="s">
        <v>596</v>
      </c>
      <c r="BV61" s="230" t="s">
        <v>601</v>
      </c>
      <c r="BW61" s="230" t="s">
        <v>601</v>
      </c>
      <c r="BX61" s="230" t="s">
        <v>601</v>
      </c>
      <c r="BY61" s="230" t="s">
        <v>601</v>
      </c>
      <c r="BZ61" s="230" t="s">
        <v>601</v>
      </c>
      <c r="CA61" s="230">
        <v>2</v>
      </c>
      <c r="CB61" s="230">
        <v>0</v>
      </c>
      <c r="CC61" s="230">
        <v>0</v>
      </c>
      <c r="CD61" s="230">
        <v>0</v>
      </c>
      <c r="CE61" s="230">
        <v>0</v>
      </c>
      <c r="CF61" s="230">
        <v>0</v>
      </c>
      <c r="CG61" s="230">
        <v>0</v>
      </c>
      <c r="CH61" s="230">
        <v>0</v>
      </c>
      <c r="CI61" s="230">
        <v>0</v>
      </c>
      <c r="CJ61" s="230">
        <v>0</v>
      </c>
      <c r="CK61" s="230">
        <v>0</v>
      </c>
      <c r="CL61" s="230">
        <v>0</v>
      </c>
      <c r="CM61" s="230">
        <v>0</v>
      </c>
      <c r="CN61" s="230">
        <v>0</v>
      </c>
      <c r="CO61" s="230">
        <v>0</v>
      </c>
      <c r="CP61" s="230">
        <v>0</v>
      </c>
      <c r="CQ61" s="230">
        <v>0</v>
      </c>
      <c r="CR61" s="230">
        <v>0</v>
      </c>
      <c r="CS61" s="230">
        <v>0</v>
      </c>
      <c r="CT61" s="230">
        <v>0</v>
      </c>
      <c r="CU61" s="230">
        <v>0</v>
      </c>
      <c r="CV61" s="230">
        <v>0</v>
      </c>
      <c r="CW61" s="230">
        <v>0</v>
      </c>
      <c r="CX61" s="230">
        <v>0</v>
      </c>
      <c r="CY61" s="230">
        <v>0</v>
      </c>
      <c r="CZ61" s="230">
        <v>0</v>
      </c>
      <c r="DA61" s="230">
        <v>0</v>
      </c>
      <c r="DB61" s="230">
        <v>0</v>
      </c>
      <c r="DC61" s="230">
        <v>0</v>
      </c>
      <c r="DD61" s="230">
        <v>0</v>
      </c>
      <c r="DE61" s="230">
        <v>0</v>
      </c>
      <c r="DF61" s="230">
        <v>0</v>
      </c>
      <c r="DG61" s="230">
        <v>0</v>
      </c>
      <c r="DH61" s="230">
        <v>0</v>
      </c>
      <c r="DI61" s="230">
        <v>0</v>
      </c>
      <c r="DJ61" s="230">
        <v>0</v>
      </c>
      <c r="DK61" s="230" t="s">
        <v>979</v>
      </c>
      <c r="DL61" s="230" t="s">
        <v>601</v>
      </c>
      <c r="DM61" s="230" t="s">
        <v>601</v>
      </c>
      <c r="DN61" s="230" t="s">
        <v>601</v>
      </c>
      <c r="DO61" s="230" t="s">
        <v>601</v>
      </c>
      <c r="DP61" s="230" t="s">
        <v>601</v>
      </c>
      <c r="DQ61" s="230" t="s">
        <v>1267</v>
      </c>
      <c r="DR61" s="230" t="s">
        <v>601</v>
      </c>
      <c r="DS61" s="230" t="s">
        <v>601</v>
      </c>
      <c r="DT61" s="230" t="s">
        <v>601</v>
      </c>
      <c r="DU61" s="230" t="s">
        <v>601</v>
      </c>
      <c r="DV61" s="230" t="s">
        <v>601</v>
      </c>
      <c r="DW61" s="230">
        <v>40</v>
      </c>
      <c r="DX61" s="230">
        <v>0</v>
      </c>
      <c r="DY61" s="230">
        <v>0</v>
      </c>
      <c r="DZ61" s="230">
        <v>0</v>
      </c>
      <c r="EA61" s="230">
        <v>0</v>
      </c>
      <c r="EB61" s="230">
        <v>0</v>
      </c>
      <c r="EC61" s="230">
        <v>40</v>
      </c>
      <c r="ED61" s="230">
        <v>0</v>
      </c>
      <c r="EE61" s="230">
        <v>0</v>
      </c>
      <c r="EF61" s="230">
        <v>0</v>
      </c>
      <c r="EG61" s="230">
        <v>0</v>
      </c>
      <c r="EH61" s="230">
        <v>0</v>
      </c>
      <c r="EI61" s="230">
        <v>0</v>
      </c>
      <c r="EJ61" s="230">
        <v>0</v>
      </c>
      <c r="EK61" s="230">
        <v>0</v>
      </c>
      <c r="EL61" s="230">
        <v>0</v>
      </c>
      <c r="EM61" s="230">
        <v>0</v>
      </c>
      <c r="EN61" s="230">
        <v>0</v>
      </c>
      <c r="EO61" s="230">
        <v>0</v>
      </c>
      <c r="EP61" s="230">
        <v>0</v>
      </c>
      <c r="EQ61" s="230">
        <v>0</v>
      </c>
      <c r="ER61" s="230">
        <v>0</v>
      </c>
      <c r="ES61" s="230">
        <v>0</v>
      </c>
      <c r="ET61" s="230">
        <v>0</v>
      </c>
      <c r="EU61" s="230">
        <v>0</v>
      </c>
      <c r="EV61" s="230">
        <v>0</v>
      </c>
      <c r="EW61" s="230">
        <v>0</v>
      </c>
      <c r="EX61" s="230">
        <v>0</v>
      </c>
      <c r="EY61" s="230">
        <v>0</v>
      </c>
      <c r="EZ61" s="230">
        <v>0</v>
      </c>
      <c r="FA61" s="230">
        <v>0</v>
      </c>
      <c r="FB61" s="230">
        <v>0</v>
      </c>
      <c r="FC61" s="230">
        <v>0</v>
      </c>
      <c r="FD61" s="230">
        <v>0</v>
      </c>
      <c r="FE61" s="230">
        <v>0</v>
      </c>
      <c r="FF61" s="230">
        <v>0</v>
      </c>
      <c r="FG61" s="230">
        <v>0</v>
      </c>
      <c r="FH61" s="230">
        <v>0</v>
      </c>
      <c r="FI61" s="230">
        <v>0</v>
      </c>
      <c r="FJ61" s="230">
        <v>0</v>
      </c>
      <c r="FK61" s="230">
        <v>0</v>
      </c>
      <c r="FL61" s="230">
        <v>0</v>
      </c>
      <c r="FM61" s="230">
        <v>40</v>
      </c>
      <c r="FN61" s="230">
        <v>2100</v>
      </c>
      <c r="FO61" s="230">
        <v>0</v>
      </c>
      <c r="FP61" s="230">
        <v>0</v>
      </c>
      <c r="FQ61" s="230" t="s">
        <v>601</v>
      </c>
      <c r="FR61" s="230" t="s">
        <v>601</v>
      </c>
      <c r="FS61" s="230" t="s">
        <v>601</v>
      </c>
      <c r="FT61" s="230" t="s">
        <v>1103</v>
      </c>
      <c r="FU61" s="230">
        <v>0</v>
      </c>
      <c r="FV61" s="230">
        <v>0</v>
      </c>
      <c r="FW61" s="230" t="s">
        <v>601</v>
      </c>
      <c r="FX61" s="230" t="s">
        <v>601</v>
      </c>
      <c r="FY61" s="230" t="s">
        <v>601</v>
      </c>
      <c r="FZ61" s="230" t="s">
        <v>1103</v>
      </c>
      <c r="GA61" s="230" t="s">
        <v>601</v>
      </c>
      <c r="GB61" s="230" t="s">
        <v>601</v>
      </c>
      <c r="GC61" s="230" t="s">
        <v>601</v>
      </c>
      <c r="GD61" s="230" t="s">
        <v>601</v>
      </c>
      <c r="GE61" s="230" t="s">
        <v>601</v>
      </c>
      <c r="GF61" s="230">
        <v>25</v>
      </c>
      <c r="GG61" s="230">
        <v>0</v>
      </c>
      <c r="GH61" s="230">
        <v>0</v>
      </c>
      <c r="GI61" s="230">
        <v>0</v>
      </c>
      <c r="GJ61" s="230">
        <v>0</v>
      </c>
      <c r="GK61" s="230">
        <v>0</v>
      </c>
      <c r="GL61" s="230">
        <v>0</v>
      </c>
      <c r="GM61" s="230">
        <v>0</v>
      </c>
      <c r="GN61" s="230">
        <v>0</v>
      </c>
      <c r="GO61" s="230">
        <v>0</v>
      </c>
      <c r="GP61" s="230">
        <v>0</v>
      </c>
      <c r="GQ61" s="230">
        <v>0</v>
      </c>
      <c r="GR61" s="230">
        <v>0</v>
      </c>
      <c r="GS61" s="230">
        <v>0</v>
      </c>
      <c r="GT61" s="230">
        <v>0</v>
      </c>
      <c r="GU61" s="230">
        <v>0</v>
      </c>
      <c r="GV61" s="230">
        <v>0</v>
      </c>
      <c r="GW61" s="230">
        <v>0</v>
      </c>
      <c r="GX61" s="230">
        <v>0</v>
      </c>
      <c r="GY61" s="230">
        <v>0</v>
      </c>
      <c r="GZ61" s="230">
        <v>0</v>
      </c>
      <c r="HA61" s="230">
        <v>0</v>
      </c>
      <c r="HB61" s="230">
        <v>0</v>
      </c>
      <c r="HC61" s="230">
        <v>0</v>
      </c>
      <c r="HD61" s="230">
        <v>0</v>
      </c>
      <c r="HE61" s="230">
        <v>0</v>
      </c>
      <c r="HF61" s="230">
        <v>0</v>
      </c>
      <c r="HG61" s="230">
        <v>0</v>
      </c>
      <c r="HH61" s="230">
        <v>0</v>
      </c>
      <c r="HI61" s="230">
        <v>0</v>
      </c>
      <c r="HJ61" s="230">
        <v>0</v>
      </c>
      <c r="HK61" s="230">
        <v>0</v>
      </c>
      <c r="HL61" s="230">
        <v>0</v>
      </c>
      <c r="HM61" s="230">
        <v>0</v>
      </c>
      <c r="HN61" s="230">
        <v>0</v>
      </c>
      <c r="HO61" s="230">
        <v>0</v>
      </c>
      <c r="HP61" s="230" t="s">
        <v>51</v>
      </c>
      <c r="HQ61" s="230">
        <v>25</v>
      </c>
      <c r="HR61" s="230">
        <v>0</v>
      </c>
      <c r="HS61" s="230">
        <v>0</v>
      </c>
      <c r="HT61" s="230">
        <v>0</v>
      </c>
      <c r="HU61" s="230">
        <v>0</v>
      </c>
      <c r="HV61" s="230">
        <v>0</v>
      </c>
      <c r="HW61" s="797">
        <v>25</v>
      </c>
      <c r="HX61" s="797">
        <v>0</v>
      </c>
      <c r="HY61" s="230">
        <v>68</v>
      </c>
      <c r="HZ61" s="230"/>
      <c r="IA61" s="230"/>
      <c r="IB61" s="230"/>
      <c r="IC61" s="232" t="s">
        <v>1100</v>
      </c>
      <c r="ID61" s="233" t="s">
        <v>1101</v>
      </c>
      <c r="IE61" s="467" t="s">
        <v>583</v>
      </c>
      <c r="IF61" s="232" t="s">
        <v>364</v>
      </c>
      <c r="IG61" s="467" t="s">
        <v>584</v>
      </c>
      <c r="IH61" s="467" t="s">
        <v>585</v>
      </c>
      <c r="II61" s="546" t="s">
        <v>584</v>
      </c>
      <c r="IJ61" s="467">
        <v>44462</v>
      </c>
      <c r="IK61" s="468">
        <v>3</v>
      </c>
      <c r="IL61" s="469" t="s">
        <v>1210</v>
      </c>
      <c r="IM61" s="469" t="s">
        <v>1195</v>
      </c>
      <c r="IN61" s="469" t="s">
        <v>1195</v>
      </c>
      <c r="IO61" s="469" t="s">
        <v>601</v>
      </c>
      <c r="IP61" s="469" t="s">
        <v>601</v>
      </c>
      <c r="IQ61" s="469" t="s">
        <v>601</v>
      </c>
      <c r="IR61" s="469">
        <v>1</v>
      </c>
      <c r="IS61" s="469">
        <v>2</v>
      </c>
      <c r="IT61" s="469" t="s">
        <v>675</v>
      </c>
      <c r="IU61" s="469" t="s">
        <v>675</v>
      </c>
    </row>
    <row r="62" ht="76.5">
      <c r="A62" s="322">
        <v>61</v>
      </c>
      <c r="B62" s="229" t="s">
        <v>1178</v>
      </c>
      <c r="C62" s="229" t="s">
        <v>1178</v>
      </c>
      <c r="D62" s="797" t="s">
        <v>1111</v>
      </c>
      <c r="E62" s="229" t="s">
        <v>1105</v>
      </c>
      <c r="F62" s="229" t="s">
        <v>26</v>
      </c>
      <c r="G62" s="797" t="s">
        <v>1106</v>
      </c>
      <c r="H62" s="797" t="s">
        <v>1107</v>
      </c>
      <c r="I62" s="229">
        <v>1</v>
      </c>
      <c r="J62" s="229" t="s">
        <v>1108</v>
      </c>
      <c r="K62" s="231" t="s">
        <v>584</v>
      </c>
      <c r="L62" s="231" t="s">
        <v>1283</v>
      </c>
      <c r="M62" s="229" t="s">
        <v>576</v>
      </c>
      <c r="N62" s="229" t="s">
        <v>1111</v>
      </c>
      <c r="O62" s="229" t="s">
        <v>587</v>
      </c>
      <c r="P62" s="229" t="s">
        <v>1208</v>
      </c>
      <c r="Q62" s="229" t="s">
        <v>597</v>
      </c>
      <c r="R62" s="229" t="s">
        <v>1193</v>
      </c>
      <c r="S62" s="229" t="s">
        <v>600</v>
      </c>
      <c r="T62" s="229" t="s">
        <v>595</v>
      </c>
      <c r="U62" s="229">
        <v>1</v>
      </c>
      <c r="V62" s="229"/>
      <c r="W62" s="229" t="b">
        <v>0</v>
      </c>
      <c r="X62" s="229" t="b">
        <v>0</v>
      </c>
      <c r="Y62" s="797">
        <v>0</v>
      </c>
      <c r="Z62" s="229" t="b">
        <v>1</v>
      </c>
      <c r="AA62" s="797">
        <v>30</v>
      </c>
      <c r="AB62" s="229" t="b">
        <v>0</v>
      </c>
      <c r="AC62" s="229" t="b">
        <v>1</v>
      </c>
      <c r="AD62" s="229">
        <v>0</v>
      </c>
      <c r="AE62" s="229"/>
      <c r="AF62" s="229" t="s">
        <v>50</v>
      </c>
      <c r="AG62" s="229">
        <v>0</v>
      </c>
      <c r="AH62" s="230"/>
      <c r="AI62" s="553" t="s">
        <v>576</v>
      </c>
      <c r="AJ62" s="553" t="s">
        <v>576</v>
      </c>
      <c r="AK62" s="229">
        <v>4</v>
      </c>
      <c r="AL62" s="465" t="s">
        <v>1188</v>
      </c>
      <c r="AM62" s="465" t="s">
        <v>1286</v>
      </c>
      <c r="AN62" s="465" t="s">
        <v>1270</v>
      </c>
      <c r="AO62" s="229" t="s">
        <v>25</v>
      </c>
      <c r="AP62" s="230" t="s">
        <v>576</v>
      </c>
      <c r="AQ62" s="230">
        <v>0</v>
      </c>
      <c r="AR62" s="230">
        <v>0</v>
      </c>
      <c r="AS62" s="230" t="s">
        <v>601</v>
      </c>
      <c r="AT62" s="230" t="s">
        <v>601</v>
      </c>
      <c r="AU62" s="230" t="s">
        <v>601</v>
      </c>
      <c r="AV62" s="230" t="s">
        <v>1178</v>
      </c>
      <c r="AW62" s="230" t="s">
        <v>601</v>
      </c>
      <c r="AX62" s="230" t="s">
        <v>601</v>
      </c>
      <c r="AY62" s="230" t="s">
        <v>601</v>
      </c>
      <c r="AZ62" s="230" t="s">
        <v>601</v>
      </c>
      <c r="BA62" s="230" t="s">
        <v>601</v>
      </c>
      <c r="BB62" s="230" t="s">
        <v>1178</v>
      </c>
      <c r="BC62" s="230" t="s">
        <v>1111</v>
      </c>
      <c r="BD62" s="230">
        <v>0</v>
      </c>
      <c r="BE62" s="230">
        <v>0</v>
      </c>
      <c r="BF62" s="230" t="s">
        <v>601</v>
      </c>
      <c r="BG62" s="230" t="s">
        <v>601</v>
      </c>
      <c r="BH62" s="230" t="s">
        <v>601</v>
      </c>
      <c r="BI62" s="230" t="s">
        <v>587</v>
      </c>
      <c r="BJ62" s="230">
        <v>0</v>
      </c>
      <c r="BK62" s="230">
        <v>0</v>
      </c>
      <c r="BL62" s="230" t="s">
        <v>601</v>
      </c>
      <c r="BM62" s="230" t="s">
        <v>601</v>
      </c>
      <c r="BN62" s="230" t="s">
        <v>601</v>
      </c>
      <c r="BO62" s="553">
        <v>3</v>
      </c>
      <c r="BP62" s="553">
        <v>0</v>
      </c>
      <c r="BQ62" s="553">
        <v>0</v>
      </c>
      <c r="BR62" s="553">
        <v>0</v>
      </c>
      <c r="BS62" s="553">
        <v>0</v>
      </c>
      <c r="BT62" s="554">
        <v>0</v>
      </c>
      <c r="BU62" s="230" t="s">
        <v>597</v>
      </c>
      <c r="BV62" s="230" t="s">
        <v>601</v>
      </c>
      <c r="BW62" s="230" t="s">
        <v>601</v>
      </c>
      <c r="BX62" s="230" t="s">
        <v>601</v>
      </c>
      <c r="BY62" s="230" t="s">
        <v>601</v>
      </c>
      <c r="BZ62" s="230" t="s">
        <v>601</v>
      </c>
      <c r="CA62" s="230">
        <v>2</v>
      </c>
      <c r="CB62" s="230">
        <v>2</v>
      </c>
      <c r="CC62" s="230">
        <v>2</v>
      </c>
      <c r="CD62" s="230">
        <v>0</v>
      </c>
      <c r="CE62" s="230">
        <v>0</v>
      </c>
      <c r="CF62" s="230">
        <v>0</v>
      </c>
      <c r="CG62" s="230">
        <v>0</v>
      </c>
      <c r="CH62" s="230">
        <v>0</v>
      </c>
      <c r="CI62" s="230">
        <v>0</v>
      </c>
      <c r="CJ62" s="230">
        <v>0</v>
      </c>
      <c r="CK62" s="230">
        <v>0</v>
      </c>
      <c r="CL62" s="230">
        <v>0</v>
      </c>
      <c r="CM62" s="230">
        <v>0</v>
      </c>
      <c r="CN62" s="230">
        <v>0</v>
      </c>
      <c r="CO62" s="230">
        <v>0</v>
      </c>
      <c r="CP62" s="230">
        <v>0</v>
      </c>
      <c r="CQ62" s="230">
        <v>0</v>
      </c>
      <c r="CR62" s="230">
        <v>0</v>
      </c>
      <c r="CS62" s="230">
        <v>0</v>
      </c>
      <c r="CT62" s="230">
        <v>0</v>
      </c>
      <c r="CU62" s="230">
        <v>0</v>
      </c>
      <c r="CV62" s="230">
        <v>0</v>
      </c>
      <c r="CW62" s="230">
        <v>0</v>
      </c>
      <c r="CX62" s="230">
        <v>0</v>
      </c>
      <c r="CY62" s="230">
        <v>0</v>
      </c>
      <c r="CZ62" s="230">
        <v>0</v>
      </c>
      <c r="DA62" s="230">
        <v>0</v>
      </c>
      <c r="DB62" s="230">
        <v>0</v>
      </c>
      <c r="DC62" s="230">
        <v>0</v>
      </c>
      <c r="DD62" s="230">
        <v>0</v>
      </c>
      <c r="DE62" s="230">
        <v>0</v>
      </c>
      <c r="DF62" s="230">
        <v>0</v>
      </c>
      <c r="DG62" s="230">
        <v>0</v>
      </c>
      <c r="DH62" s="230">
        <v>0</v>
      </c>
      <c r="DI62" s="230">
        <v>0</v>
      </c>
      <c r="DJ62" s="230">
        <v>0</v>
      </c>
      <c r="DK62" s="230" t="s">
        <v>599</v>
      </c>
      <c r="DL62" s="230" t="s">
        <v>601</v>
      </c>
      <c r="DM62" s="230" t="s">
        <v>601</v>
      </c>
      <c r="DN62" s="230" t="s">
        <v>601</v>
      </c>
      <c r="DO62" s="230" t="s">
        <v>601</v>
      </c>
      <c r="DP62" s="230" t="s">
        <v>601</v>
      </c>
      <c r="DQ62" s="230" t="s">
        <v>1193</v>
      </c>
      <c r="DR62" s="230" t="s">
        <v>601</v>
      </c>
      <c r="DS62" s="230" t="s">
        <v>601</v>
      </c>
      <c r="DT62" s="230" t="s">
        <v>601</v>
      </c>
      <c r="DU62" s="230" t="s">
        <v>601</v>
      </c>
      <c r="DV62" s="230" t="s">
        <v>601</v>
      </c>
      <c r="DW62" s="230">
        <v>40</v>
      </c>
      <c r="DX62" s="230">
        <v>40</v>
      </c>
      <c r="DY62" s="230">
        <v>40</v>
      </c>
      <c r="DZ62" s="230">
        <v>0</v>
      </c>
      <c r="EA62" s="230">
        <v>0</v>
      </c>
      <c r="EB62" s="230">
        <v>0</v>
      </c>
      <c r="EC62" s="230">
        <v>40</v>
      </c>
      <c r="ED62" s="230">
        <v>0</v>
      </c>
      <c r="EE62" s="230">
        <v>0</v>
      </c>
      <c r="EF62" s="230">
        <v>0</v>
      </c>
      <c r="EG62" s="230">
        <v>0</v>
      </c>
      <c r="EH62" s="230">
        <v>0</v>
      </c>
      <c r="EI62" s="230">
        <v>0</v>
      </c>
      <c r="EJ62" s="230">
        <v>0</v>
      </c>
      <c r="EK62" s="230">
        <v>0</v>
      </c>
      <c r="EL62" s="230">
        <v>0</v>
      </c>
      <c r="EM62" s="230">
        <v>0</v>
      </c>
      <c r="EN62" s="230">
        <v>0</v>
      </c>
      <c r="EO62" s="230">
        <v>0</v>
      </c>
      <c r="EP62" s="230">
        <v>0</v>
      </c>
      <c r="EQ62" s="230">
        <v>0</v>
      </c>
      <c r="ER62" s="230">
        <v>0</v>
      </c>
      <c r="ES62" s="230">
        <v>0</v>
      </c>
      <c r="ET62" s="230">
        <v>0</v>
      </c>
      <c r="EU62" s="230">
        <v>0</v>
      </c>
      <c r="EV62" s="230">
        <v>0</v>
      </c>
      <c r="EW62" s="230">
        <v>0</v>
      </c>
      <c r="EX62" s="230">
        <v>0</v>
      </c>
      <c r="EY62" s="230">
        <v>0</v>
      </c>
      <c r="EZ62" s="230">
        <v>0</v>
      </c>
      <c r="FA62" s="230">
        <v>0</v>
      </c>
      <c r="FB62" s="230">
        <v>0</v>
      </c>
      <c r="FC62" s="230">
        <v>0</v>
      </c>
      <c r="FD62" s="230">
        <v>0</v>
      </c>
      <c r="FE62" s="230">
        <v>0</v>
      </c>
      <c r="FF62" s="230">
        <v>0</v>
      </c>
      <c r="FG62" s="230">
        <v>0</v>
      </c>
      <c r="FH62" s="230">
        <v>0</v>
      </c>
      <c r="FI62" s="230">
        <v>0</v>
      </c>
      <c r="FJ62" s="230">
        <v>0</v>
      </c>
      <c r="FK62" s="230">
        <v>0</v>
      </c>
      <c r="FL62" s="230">
        <v>0</v>
      </c>
      <c r="FM62" s="230">
        <v>40</v>
      </c>
      <c r="FN62" s="230">
        <v>2100</v>
      </c>
      <c r="FO62" s="230">
        <v>0</v>
      </c>
      <c r="FP62" s="230">
        <v>0</v>
      </c>
      <c r="FQ62" s="230" t="s">
        <v>601</v>
      </c>
      <c r="FR62" s="230" t="s">
        <v>601</v>
      </c>
      <c r="FS62" s="230" t="s">
        <v>601</v>
      </c>
      <c r="FT62" s="230" t="s">
        <v>595</v>
      </c>
      <c r="FU62" s="230">
        <v>0</v>
      </c>
      <c r="FV62" s="230">
        <v>0</v>
      </c>
      <c r="FW62" s="230" t="s">
        <v>601</v>
      </c>
      <c r="FX62" s="230" t="s">
        <v>601</v>
      </c>
      <c r="FY62" s="230" t="s">
        <v>601</v>
      </c>
      <c r="FZ62" s="230" t="s">
        <v>595</v>
      </c>
      <c r="GA62" s="230" t="s">
        <v>601</v>
      </c>
      <c r="GB62" s="230" t="s">
        <v>601</v>
      </c>
      <c r="GC62" s="230" t="s">
        <v>601</v>
      </c>
      <c r="GD62" s="230" t="s">
        <v>601</v>
      </c>
      <c r="GE62" s="230" t="s">
        <v>601</v>
      </c>
      <c r="GF62" s="230">
        <v>30</v>
      </c>
      <c r="GG62" s="230">
        <v>30</v>
      </c>
      <c r="GH62" s="230">
        <v>30</v>
      </c>
      <c r="GI62" s="230">
        <v>0</v>
      </c>
      <c r="GJ62" s="230">
        <v>0</v>
      </c>
      <c r="GK62" s="230">
        <v>0</v>
      </c>
      <c r="GL62" s="230">
        <v>0</v>
      </c>
      <c r="GM62" s="230">
        <v>0</v>
      </c>
      <c r="GN62" s="230">
        <v>0</v>
      </c>
      <c r="GO62" s="230">
        <v>0</v>
      </c>
      <c r="GP62" s="230">
        <v>0</v>
      </c>
      <c r="GQ62" s="230">
        <v>0</v>
      </c>
      <c r="GR62" s="230">
        <v>0</v>
      </c>
      <c r="GS62" s="230">
        <v>0</v>
      </c>
      <c r="GT62" s="230">
        <v>0</v>
      </c>
      <c r="GU62" s="230">
        <v>0</v>
      </c>
      <c r="GV62" s="230">
        <v>0</v>
      </c>
      <c r="GW62" s="230">
        <v>0</v>
      </c>
      <c r="GX62" s="230">
        <v>0</v>
      </c>
      <c r="GY62" s="230">
        <v>0</v>
      </c>
      <c r="GZ62" s="230">
        <v>0</v>
      </c>
      <c r="HA62" s="230">
        <v>0</v>
      </c>
      <c r="HB62" s="230">
        <v>0</v>
      </c>
      <c r="HC62" s="230">
        <v>0</v>
      </c>
      <c r="HD62" s="230">
        <v>0</v>
      </c>
      <c r="HE62" s="230">
        <v>0</v>
      </c>
      <c r="HF62" s="230">
        <v>0</v>
      </c>
      <c r="HG62" s="230">
        <v>0</v>
      </c>
      <c r="HH62" s="230">
        <v>0</v>
      </c>
      <c r="HI62" s="230">
        <v>0</v>
      </c>
      <c r="HJ62" s="230">
        <v>0</v>
      </c>
      <c r="HK62" s="230">
        <v>0</v>
      </c>
      <c r="HL62" s="230">
        <v>0</v>
      </c>
      <c r="HM62" s="230">
        <v>0</v>
      </c>
      <c r="HN62" s="230">
        <v>0</v>
      </c>
      <c r="HO62" s="230">
        <v>0</v>
      </c>
      <c r="HP62" s="230" t="s">
        <v>51</v>
      </c>
      <c r="HQ62" s="230">
        <v>30</v>
      </c>
      <c r="HR62" s="230">
        <v>0</v>
      </c>
      <c r="HS62" s="230">
        <v>0</v>
      </c>
      <c r="HT62" s="230">
        <v>0</v>
      </c>
      <c r="HU62" s="230">
        <v>0</v>
      </c>
      <c r="HV62" s="230">
        <v>0</v>
      </c>
      <c r="HW62" s="797">
        <v>30</v>
      </c>
      <c r="HX62" s="797">
        <v>0</v>
      </c>
      <c r="HY62" s="230">
        <v>68</v>
      </c>
      <c r="HZ62" s="230"/>
      <c r="IA62" s="230"/>
      <c r="IB62" s="230"/>
      <c r="IC62" s="232" t="s">
        <v>1109</v>
      </c>
      <c r="ID62" s="233" t="s">
        <v>1110</v>
      </c>
      <c r="IE62" s="467" t="s">
        <v>583</v>
      </c>
      <c r="IF62" s="232" t="s">
        <v>364</v>
      </c>
      <c r="IG62" s="467" t="s">
        <v>584</v>
      </c>
      <c r="IH62" s="467" t="s">
        <v>585</v>
      </c>
      <c r="II62" s="546" t="s">
        <v>584</v>
      </c>
      <c r="IJ62" s="467">
        <v>44462</v>
      </c>
      <c r="IK62" s="468">
        <v>3</v>
      </c>
      <c r="IL62" s="469" t="s">
        <v>1210</v>
      </c>
      <c r="IM62" s="469" t="s">
        <v>1195</v>
      </c>
      <c r="IN62" s="469" t="s">
        <v>1195</v>
      </c>
      <c r="IO62" s="469" t="s">
        <v>601</v>
      </c>
      <c r="IP62" s="469" t="s">
        <v>601</v>
      </c>
      <c r="IQ62" s="469" t="s">
        <v>601</v>
      </c>
      <c r="IR62" s="469">
        <v>1</v>
      </c>
      <c r="IS62" s="469">
        <v>2</v>
      </c>
      <c r="IT62" s="469" t="s">
        <v>675</v>
      </c>
      <c r="IU62" s="469" t="s">
        <v>675</v>
      </c>
    </row>
    <row r="63" ht="76.5">
      <c r="A63" s="322">
        <v>62</v>
      </c>
      <c r="B63" s="229" t="s">
        <v>1178</v>
      </c>
      <c r="C63" s="229" t="s">
        <v>1178</v>
      </c>
      <c r="D63" s="797" t="s">
        <v>1121</v>
      </c>
      <c r="E63" s="229" t="s">
        <v>1113</v>
      </c>
      <c r="F63" s="229" t="s">
        <v>14</v>
      </c>
      <c r="G63" s="797" t="s">
        <v>1114</v>
      </c>
      <c r="H63" s="797" t="s">
        <v>1115</v>
      </c>
      <c r="I63" s="229">
        <v>1</v>
      </c>
      <c r="J63" s="229" t="s">
        <v>1116</v>
      </c>
      <c r="K63" s="231" t="s">
        <v>1119</v>
      </c>
      <c r="L63" s="231" t="s">
        <v>1288</v>
      </c>
      <c r="M63" s="229" t="s">
        <v>576</v>
      </c>
      <c r="N63" s="229" t="s">
        <v>1121</v>
      </c>
      <c r="O63" s="229" t="s">
        <v>587</v>
      </c>
      <c r="P63" s="229" t="s">
        <v>596</v>
      </c>
      <c r="Q63" s="229" t="s">
        <v>968</v>
      </c>
      <c r="R63" s="229" t="s">
        <v>1264</v>
      </c>
      <c r="S63" s="229" t="s">
        <v>600</v>
      </c>
      <c r="T63" s="229" t="s">
        <v>1122</v>
      </c>
      <c r="U63" s="229">
        <v>1</v>
      </c>
      <c r="V63" s="229"/>
      <c r="W63" s="229" t="b">
        <v>1</v>
      </c>
      <c r="X63" s="229" t="b">
        <v>1</v>
      </c>
      <c r="Y63" s="797">
        <v>1</v>
      </c>
      <c r="Z63" s="229" t="b">
        <v>1</v>
      </c>
      <c r="AA63" s="797">
        <v>46</v>
      </c>
      <c r="AB63" s="229" t="b">
        <v>0</v>
      </c>
      <c r="AC63" s="229" t="b">
        <v>1</v>
      </c>
      <c r="AD63" s="229" t="s">
        <v>604</v>
      </c>
      <c r="AE63" s="229"/>
      <c r="AF63" s="229" t="s">
        <v>50</v>
      </c>
      <c r="AG63" s="229" t="s">
        <v>604</v>
      </c>
      <c r="AH63" s="230"/>
      <c r="AI63" s="553" t="s">
        <v>576</v>
      </c>
      <c r="AJ63" s="553" t="s">
        <v>576</v>
      </c>
      <c r="AK63" s="229">
        <v>3</v>
      </c>
      <c r="AL63" s="465" t="s">
        <v>1289</v>
      </c>
      <c r="AM63" s="465" t="s">
        <v>1290</v>
      </c>
      <c r="AN63" s="465" t="s">
        <v>1291</v>
      </c>
      <c r="AO63" s="229" t="s">
        <v>13</v>
      </c>
      <c r="AP63" s="230" t="s">
        <v>576</v>
      </c>
      <c r="AQ63" s="230">
        <v>0</v>
      </c>
      <c r="AR63" s="230">
        <v>0</v>
      </c>
      <c r="AS63" s="230" t="s">
        <v>601</v>
      </c>
      <c r="AT63" s="230" t="s">
        <v>601</v>
      </c>
      <c r="AU63" s="230" t="s">
        <v>601</v>
      </c>
      <c r="AV63" s="230" t="s">
        <v>1178</v>
      </c>
      <c r="AW63" s="230" t="s">
        <v>601</v>
      </c>
      <c r="AX63" s="230" t="s">
        <v>601</v>
      </c>
      <c r="AY63" s="230" t="s">
        <v>601</v>
      </c>
      <c r="AZ63" s="230" t="s">
        <v>601</v>
      </c>
      <c r="BA63" s="230" t="s">
        <v>601</v>
      </c>
      <c r="BB63" s="230" t="s">
        <v>1178</v>
      </c>
      <c r="BC63" s="230" t="s">
        <v>1121</v>
      </c>
      <c r="BD63" s="230">
        <v>0</v>
      </c>
      <c r="BE63" s="230">
        <v>0</v>
      </c>
      <c r="BF63" s="230">
        <v>0</v>
      </c>
      <c r="BG63" s="230" t="s">
        <v>601</v>
      </c>
      <c r="BH63" s="230" t="s">
        <v>601</v>
      </c>
      <c r="BI63" s="230" t="s">
        <v>587</v>
      </c>
      <c r="BJ63" s="230">
        <v>0</v>
      </c>
      <c r="BK63" s="230">
        <v>0</v>
      </c>
      <c r="BL63" s="230">
        <v>0</v>
      </c>
      <c r="BM63" s="230" t="s">
        <v>601</v>
      </c>
      <c r="BN63" s="230" t="s">
        <v>601</v>
      </c>
      <c r="BO63" s="553">
        <v>2</v>
      </c>
      <c r="BP63" s="553">
        <v>0</v>
      </c>
      <c r="BQ63" s="553">
        <v>0</v>
      </c>
      <c r="BR63" s="553">
        <v>0</v>
      </c>
      <c r="BS63" s="553">
        <v>0</v>
      </c>
      <c r="BT63" s="554">
        <v>0</v>
      </c>
      <c r="BU63" s="230" t="s">
        <v>968</v>
      </c>
      <c r="BV63" s="230">
        <v>0</v>
      </c>
      <c r="BW63" s="230">
        <v>0</v>
      </c>
      <c r="BX63" s="230" t="s">
        <v>601</v>
      </c>
      <c r="BY63" s="230" t="s">
        <v>601</v>
      </c>
      <c r="BZ63" s="230" t="s">
        <v>601</v>
      </c>
      <c r="CA63" s="230">
        <v>2</v>
      </c>
      <c r="CB63" s="230">
        <v>2</v>
      </c>
      <c r="CC63" s="230">
        <v>0</v>
      </c>
      <c r="CD63" s="230">
        <v>0</v>
      </c>
      <c r="CE63" s="230">
        <v>0</v>
      </c>
      <c r="CF63" s="230">
        <v>0</v>
      </c>
      <c r="CG63" s="230">
        <v>0</v>
      </c>
      <c r="CH63" s="230">
        <v>0</v>
      </c>
      <c r="CI63" s="230">
        <v>0</v>
      </c>
      <c r="CJ63" s="230">
        <v>0</v>
      </c>
      <c r="CK63" s="230">
        <v>0</v>
      </c>
      <c r="CL63" s="230">
        <v>0</v>
      </c>
      <c r="CM63" s="230">
        <v>0</v>
      </c>
      <c r="CN63" s="230">
        <v>0</v>
      </c>
      <c r="CO63" s="230">
        <v>0</v>
      </c>
      <c r="CP63" s="230">
        <v>0</v>
      </c>
      <c r="CQ63" s="230">
        <v>0</v>
      </c>
      <c r="CR63" s="230">
        <v>0</v>
      </c>
      <c r="CS63" s="230">
        <v>0</v>
      </c>
      <c r="CT63" s="230">
        <v>0</v>
      </c>
      <c r="CU63" s="230">
        <v>0</v>
      </c>
      <c r="CV63" s="230">
        <v>0</v>
      </c>
      <c r="CW63" s="230">
        <v>0</v>
      </c>
      <c r="CX63" s="230">
        <v>0</v>
      </c>
      <c r="CY63" s="230">
        <v>0</v>
      </c>
      <c r="CZ63" s="230">
        <v>0</v>
      </c>
      <c r="DA63" s="230">
        <v>0</v>
      </c>
      <c r="DB63" s="230">
        <v>0</v>
      </c>
      <c r="DC63" s="230">
        <v>0</v>
      </c>
      <c r="DD63" s="230">
        <v>0</v>
      </c>
      <c r="DE63" s="230">
        <v>0</v>
      </c>
      <c r="DF63" s="230">
        <v>0</v>
      </c>
      <c r="DG63" s="230">
        <v>0</v>
      </c>
      <c r="DH63" s="230">
        <v>0</v>
      </c>
      <c r="DI63" s="230">
        <v>0</v>
      </c>
      <c r="DJ63" s="230">
        <v>0</v>
      </c>
      <c r="DK63" s="230" t="s">
        <v>969</v>
      </c>
      <c r="DL63" s="230">
        <v>0</v>
      </c>
      <c r="DM63" s="230">
        <v>0</v>
      </c>
      <c r="DN63" s="230" t="s">
        <v>601</v>
      </c>
      <c r="DO63" s="230" t="s">
        <v>601</v>
      </c>
      <c r="DP63" s="230" t="s">
        <v>601</v>
      </c>
      <c r="DQ63" s="230" t="s">
        <v>1264</v>
      </c>
      <c r="DR63" s="230" t="s">
        <v>601</v>
      </c>
      <c r="DS63" s="230" t="s">
        <v>601</v>
      </c>
      <c r="DT63" s="230" t="s">
        <v>601</v>
      </c>
      <c r="DU63" s="230" t="s">
        <v>601</v>
      </c>
      <c r="DV63" s="230" t="s">
        <v>601</v>
      </c>
      <c r="DW63" s="230">
        <v>40</v>
      </c>
      <c r="DX63" s="230">
        <v>40</v>
      </c>
      <c r="DY63" s="230">
        <v>0</v>
      </c>
      <c r="DZ63" s="230">
        <v>0</v>
      </c>
      <c r="EA63" s="230">
        <v>0</v>
      </c>
      <c r="EB63" s="230">
        <v>0</v>
      </c>
      <c r="EC63" s="230">
        <v>40</v>
      </c>
      <c r="ED63" s="230">
        <v>0</v>
      </c>
      <c r="EE63" s="230">
        <v>0</v>
      </c>
      <c r="EF63" s="230">
        <v>0</v>
      </c>
      <c r="EG63" s="230">
        <v>0</v>
      </c>
      <c r="EH63" s="230">
        <v>0</v>
      </c>
      <c r="EI63" s="230">
        <v>0</v>
      </c>
      <c r="EJ63" s="230">
        <v>0</v>
      </c>
      <c r="EK63" s="230">
        <v>0</v>
      </c>
      <c r="EL63" s="230">
        <v>0</v>
      </c>
      <c r="EM63" s="230">
        <v>0</v>
      </c>
      <c r="EN63" s="230">
        <v>0</v>
      </c>
      <c r="EO63" s="230">
        <v>0</v>
      </c>
      <c r="EP63" s="230">
        <v>0</v>
      </c>
      <c r="EQ63" s="230">
        <v>0</v>
      </c>
      <c r="ER63" s="230">
        <v>0</v>
      </c>
      <c r="ES63" s="230">
        <v>0</v>
      </c>
      <c r="ET63" s="230">
        <v>0</v>
      </c>
      <c r="EU63" s="230">
        <v>0</v>
      </c>
      <c r="EV63" s="230">
        <v>0</v>
      </c>
      <c r="EW63" s="230">
        <v>0</v>
      </c>
      <c r="EX63" s="230">
        <v>0</v>
      </c>
      <c r="EY63" s="230">
        <v>0</v>
      </c>
      <c r="EZ63" s="230">
        <v>0</v>
      </c>
      <c r="FA63" s="230">
        <v>0</v>
      </c>
      <c r="FB63" s="230">
        <v>0</v>
      </c>
      <c r="FC63" s="230">
        <v>0</v>
      </c>
      <c r="FD63" s="230">
        <v>0</v>
      </c>
      <c r="FE63" s="230">
        <v>0</v>
      </c>
      <c r="FF63" s="230">
        <v>0</v>
      </c>
      <c r="FG63" s="230">
        <v>0</v>
      </c>
      <c r="FH63" s="230">
        <v>0</v>
      </c>
      <c r="FI63" s="230">
        <v>0</v>
      </c>
      <c r="FJ63" s="230">
        <v>0</v>
      </c>
      <c r="FK63" s="230">
        <v>0</v>
      </c>
      <c r="FL63" s="230">
        <v>0</v>
      </c>
      <c r="FM63" s="230">
        <v>40</v>
      </c>
      <c r="FN63" s="230">
        <v>2100</v>
      </c>
      <c r="FO63" s="230">
        <v>0</v>
      </c>
      <c r="FP63" s="230">
        <v>0</v>
      </c>
      <c r="FQ63" s="230" t="s">
        <v>601</v>
      </c>
      <c r="FR63" s="230" t="s">
        <v>601</v>
      </c>
      <c r="FS63" s="230" t="s">
        <v>601</v>
      </c>
      <c r="FT63" s="230" t="s">
        <v>1122</v>
      </c>
      <c r="FU63" s="230">
        <v>0</v>
      </c>
      <c r="FV63" s="230">
        <v>0</v>
      </c>
      <c r="FW63" s="230" t="s">
        <v>601</v>
      </c>
      <c r="FX63" s="230" t="s">
        <v>601</v>
      </c>
      <c r="FY63" s="230" t="s">
        <v>601</v>
      </c>
      <c r="FZ63" s="230" t="s">
        <v>1122</v>
      </c>
      <c r="GA63" s="230" t="s">
        <v>601</v>
      </c>
      <c r="GB63" s="230" t="s">
        <v>601</v>
      </c>
      <c r="GC63" s="230" t="s">
        <v>601</v>
      </c>
      <c r="GD63" s="230" t="s">
        <v>601</v>
      </c>
      <c r="GE63" s="230" t="s">
        <v>601</v>
      </c>
      <c r="GF63" s="230">
        <v>46</v>
      </c>
      <c r="GG63" s="230">
        <v>46</v>
      </c>
      <c r="GH63" s="230">
        <v>0</v>
      </c>
      <c r="GI63" s="230">
        <v>0</v>
      </c>
      <c r="GJ63" s="230">
        <v>0</v>
      </c>
      <c r="GK63" s="230">
        <v>0</v>
      </c>
      <c r="GL63" s="230">
        <v>0</v>
      </c>
      <c r="GM63" s="230">
        <v>0</v>
      </c>
      <c r="GN63" s="230">
        <v>0</v>
      </c>
      <c r="GO63" s="230">
        <v>0</v>
      </c>
      <c r="GP63" s="230">
        <v>0</v>
      </c>
      <c r="GQ63" s="230">
        <v>0</v>
      </c>
      <c r="GR63" s="230">
        <v>0</v>
      </c>
      <c r="GS63" s="230">
        <v>0</v>
      </c>
      <c r="GT63" s="230">
        <v>0</v>
      </c>
      <c r="GU63" s="230">
        <v>0</v>
      </c>
      <c r="GV63" s="230">
        <v>0</v>
      </c>
      <c r="GW63" s="230">
        <v>0</v>
      </c>
      <c r="GX63" s="230">
        <v>0</v>
      </c>
      <c r="GY63" s="230">
        <v>0</v>
      </c>
      <c r="GZ63" s="230">
        <v>0</v>
      </c>
      <c r="HA63" s="230">
        <v>0</v>
      </c>
      <c r="HB63" s="230">
        <v>0</v>
      </c>
      <c r="HC63" s="230">
        <v>0</v>
      </c>
      <c r="HD63" s="230">
        <v>0</v>
      </c>
      <c r="HE63" s="230">
        <v>0</v>
      </c>
      <c r="HF63" s="230">
        <v>0</v>
      </c>
      <c r="HG63" s="230">
        <v>0</v>
      </c>
      <c r="HH63" s="230">
        <v>0</v>
      </c>
      <c r="HI63" s="230">
        <v>0</v>
      </c>
      <c r="HJ63" s="230">
        <v>0</v>
      </c>
      <c r="HK63" s="230">
        <v>0</v>
      </c>
      <c r="HL63" s="230">
        <v>0</v>
      </c>
      <c r="HM63" s="230">
        <v>0</v>
      </c>
      <c r="HN63" s="230">
        <v>0</v>
      </c>
      <c r="HO63" s="230">
        <v>0</v>
      </c>
      <c r="HP63" s="230" t="s">
        <v>51</v>
      </c>
      <c r="HQ63" s="230">
        <v>46</v>
      </c>
      <c r="HR63" s="230">
        <v>0</v>
      </c>
      <c r="HS63" s="230">
        <v>0</v>
      </c>
      <c r="HT63" s="230">
        <v>0</v>
      </c>
      <c r="HU63" s="230">
        <v>0</v>
      </c>
      <c r="HV63" s="230">
        <v>0</v>
      </c>
      <c r="HW63" s="797">
        <v>46</v>
      </c>
      <c r="HX63" s="797">
        <v>0</v>
      </c>
      <c r="HY63" s="230">
        <v>68</v>
      </c>
      <c r="HZ63" s="230"/>
      <c r="IA63" s="230"/>
      <c r="IB63" s="230"/>
      <c r="IC63" s="232" t="s">
        <v>1117</v>
      </c>
      <c r="ID63" s="233">
        <v>2014</v>
      </c>
      <c r="IE63" s="467" t="s">
        <v>1118</v>
      </c>
      <c r="IF63" s="232" t="s">
        <v>364</v>
      </c>
      <c r="IG63" s="467" t="s">
        <v>1119</v>
      </c>
      <c r="IH63" s="467" t="s">
        <v>1120</v>
      </c>
      <c r="II63" s="546" t="s">
        <v>1119</v>
      </c>
      <c r="IJ63" s="467">
        <v>44486</v>
      </c>
      <c r="IK63" s="468">
        <v>3</v>
      </c>
      <c r="IL63" s="469" t="s">
        <v>1210</v>
      </c>
      <c r="IM63" s="469" t="s">
        <v>1195</v>
      </c>
      <c r="IN63" s="469" t="s">
        <v>1195</v>
      </c>
      <c r="IO63" s="469" t="s">
        <v>601</v>
      </c>
      <c r="IP63" s="469" t="s">
        <v>601</v>
      </c>
      <c r="IQ63" s="469" t="s">
        <v>601</v>
      </c>
      <c r="IR63" s="469">
        <v>1</v>
      </c>
      <c r="IS63" s="469">
        <v>2</v>
      </c>
      <c r="IT63" s="469" t="s">
        <v>675</v>
      </c>
      <c r="IU63" s="469" t="s">
        <v>675</v>
      </c>
    </row>
    <row r="64" ht="76.5">
      <c r="A64" s="322">
        <v>63</v>
      </c>
      <c r="B64" s="229" t="s">
        <v>1178</v>
      </c>
      <c r="C64" s="229" t="s">
        <v>1178</v>
      </c>
      <c r="D64" s="797" t="s">
        <v>1129</v>
      </c>
      <c r="E64" s="229" t="s">
        <v>1124</v>
      </c>
      <c r="F64" s="229" t="s">
        <v>14</v>
      </c>
      <c r="G64" s="797" t="s">
        <v>1125</v>
      </c>
      <c r="H64" s="797" t="s">
        <v>1126</v>
      </c>
      <c r="I64" s="229">
        <v>1</v>
      </c>
      <c r="J64" s="229" t="s">
        <v>1127</v>
      </c>
      <c r="K64" s="231" t="s">
        <v>1119</v>
      </c>
      <c r="L64" s="231" t="s">
        <v>1292</v>
      </c>
      <c r="M64" s="229" t="s">
        <v>576</v>
      </c>
      <c r="N64" s="229" t="s">
        <v>1129</v>
      </c>
      <c r="O64" s="229" t="s">
        <v>587</v>
      </c>
      <c r="P64" s="229" t="s">
        <v>596</v>
      </c>
      <c r="Q64" s="229" t="s">
        <v>968</v>
      </c>
      <c r="R64" s="229" t="s">
        <v>1264</v>
      </c>
      <c r="S64" s="229" t="s">
        <v>600</v>
      </c>
      <c r="T64" s="229" t="s">
        <v>1130</v>
      </c>
      <c r="U64" s="229">
        <v>1</v>
      </c>
      <c r="V64" s="229"/>
      <c r="W64" s="229" t="b">
        <v>1</v>
      </c>
      <c r="X64" s="229" t="b">
        <v>1</v>
      </c>
      <c r="Y64" s="797">
        <v>1</v>
      </c>
      <c r="Z64" s="229" t="b">
        <v>1</v>
      </c>
      <c r="AA64" s="797">
        <v>40</v>
      </c>
      <c r="AB64" s="229" t="b">
        <v>0</v>
      </c>
      <c r="AC64" s="229" t="b">
        <v>1</v>
      </c>
      <c r="AD64" s="229" t="s">
        <v>604</v>
      </c>
      <c r="AE64" s="229"/>
      <c r="AF64" s="229" t="s">
        <v>50</v>
      </c>
      <c r="AG64" s="229" t="s">
        <v>604</v>
      </c>
      <c r="AH64" s="230"/>
      <c r="AI64" s="553" t="s">
        <v>576</v>
      </c>
      <c r="AJ64" s="553" t="s">
        <v>576</v>
      </c>
      <c r="AK64" s="229">
        <v>4</v>
      </c>
      <c r="AL64" s="465" t="s">
        <v>1289</v>
      </c>
      <c r="AM64" s="465" t="s">
        <v>1290</v>
      </c>
      <c r="AN64" s="465" t="s">
        <v>1293</v>
      </c>
      <c r="AO64" s="229" t="s">
        <v>13</v>
      </c>
      <c r="AP64" s="230" t="s">
        <v>576</v>
      </c>
      <c r="AQ64" s="230">
        <v>0</v>
      </c>
      <c r="AR64" s="230">
        <v>0</v>
      </c>
      <c r="AS64" s="230" t="s">
        <v>601</v>
      </c>
      <c r="AT64" s="230" t="s">
        <v>601</v>
      </c>
      <c r="AU64" s="230" t="s">
        <v>601</v>
      </c>
      <c r="AV64" s="230" t="s">
        <v>1178</v>
      </c>
      <c r="AW64" s="230" t="s">
        <v>601</v>
      </c>
      <c r="AX64" s="230" t="s">
        <v>601</v>
      </c>
      <c r="AY64" s="230" t="s">
        <v>601</v>
      </c>
      <c r="AZ64" s="230" t="s">
        <v>601</v>
      </c>
      <c r="BA64" s="230" t="s">
        <v>601</v>
      </c>
      <c r="BB64" s="230" t="s">
        <v>1178</v>
      </c>
      <c r="BC64" s="230" t="s">
        <v>1129</v>
      </c>
      <c r="BD64" s="230">
        <v>0</v>
      </c>
      <c r="BE64" s="230">
        <v>0</v>
      </c>
      <c r="BF64" s="230">
        <v>0</v>
      </c>
      <c r="BG64" s="230" t="s">
        <v>601</v>
      </c>
      <c r="BH64" s="230" t="s">
        <v>601</v>
      </c>
      <c r="BI64" s="230" t="s">
        <v>587</v>
      </c>
      <c r="BJ64" s="230">
        <v>0</v>
      </c>
      <c r="BK64" s="230">
        <v>0</v>
      </c>
      <c r="BL64" s="230">
        <v>0</v>
      </c>
      <c r="BM64" s="230" t="s">
        <v>601</v>
      </c>
      <c r="BN64" s="230" t="s">
        <v>601</v>
      </c>
      <c r="BO64" s="553">
        <v>2</v>
      </c>
      <c r="BP64" s="553">
        <v>0</v>
      </c>
      <c r="BQ64" s="553">
        <v>0</v>
      </c>
      <c r="BR64" s="553">
        <v>0</v>
      </c>
      <c r="BS64" s="553">
        <v>0</v>
      </c>
      <c r="BT64" s="554">
        <v>0</v>
      </c>
      <c r="BU64" s="230" t="s">
        <v>968</v>
      </c>
      <c r="BV64" s="230">
        <v>0</v>
      </c>
      <c r="BW64" s="230">
        <v>0</v>
      </c>
      <c r="BX64" s="230" t="s">
        <v>601</v>
      </c>
      <c r="BY64" s="230" t="s">
        <v>601</v>
      </c>
      <c r="BZ64" s="230" t="s">
        <v>601</v>
      </c>
      <c r="CA64" s="230">
        <v>2</v>
      </c>
      <c r="CB64" s="230">
        <v>2</v>
      </c>
      <c r="CC64" s="230">
        <v>0</v>
      </c>
      <c r="CD64" s="230">
        <v>0</v>
      </c>
      <c r="CE64" s="230">
        <v>0</v>
      </c>
      <c r="CF64" s="230">
        <v>0</v>
      </c>
      <c r="CG64" s="230">
        <v>0</v>
      </c>
      <c r="CH64" s="230">
        <v>0</v>
      </c>
      <c r="CI64" s="230">
        <v>0</v>
      </c>
      <c r="CJ64" s="230">
        <v>0</v>
      </c>
      <c r="CK64" s="230">
        <v>0</v>
      </c>
      <c r="CL64" s="230">
        <v>0</v>
      </c>
      <c r="CM64" s="230">
        <v>0</v>
      </c>
      <c r="CN64" s="230">
        <v>0</v>
      </c>
      <c r="CO64" s="230">
        <v>0</v>
      </c>
      <c r="CP64" s="230">
        <v>0</v>
      </c>
      <c r="CQ64" s="230">
        <v>0</v>
      </c>
      <c r="CR64" s="230">
        <v>0</v>
      </c>
      <c r="CS64" s="230">
        <v>0</v>
      </c>
      <c r="CT64" s="230">
        <v>0</v>
      </c>
      <c r="CU64" s="230">
        <v>0</v>
      </c>
      <c r="CV64" s="230">
        <v>0</v>
      </c>
      <c r="CW64" s="230">
        <v>0</v>
      </c>
      <c r="CX64" s="230">
        <v>0</v>
      </c>
      <c r="CY64" s="230">
        <v>0</v>
      </c>
      <c r="CZ64" s="230">
        <v>0</v>
      </c>
      <c r="DA64" s="230">
        <v>0</v>
      </c>
      <c r="DB64" s="230">
        <v>0</v>
      </c>
      <c r="DC64" s="230">
        <v>0</v>
      </c>
      <c r="DD64" s="230">
        <v>0</v>
      </c>
      <c r="DE64" s="230">
        <v>0</v>
      </c>
      <c r="DF64" s="230">
        <v>0</v>
      </c>
      <c r="DG64" s="230">
        <v>0</v>
      </c>
      <c r="DH64" s="230">
        <v>0</v>
      </c>
      <c r="DI64" s="230">
        <v>0</v>
      </c>
      <c r="DJ64" s="230">
        <v>0</v>
      </c>
      <c r="DK64" s="230" t="s">
        <v>969</v>
      </c>
      <c r="DL64" s="230">
        <v>0</v>
      </c>
      <c r="DM64" s="230">
        <v>0</v>
      </c>
      <c r="DN64" s="230" t="s">
        <v>601</v>
      </c>
      <c r="DO64" s="230" t="s">
        <v>601</v>
      </c>
      <c r="DP64" s="230" t="s">
        <v>601</v>
      </c>
      <c r="DQ64" s="230" t="s">
        <v>1264</v>
      </c>
      <c r="DR64" s="230" t="s">
        <v>601</v>
      </c>
      <c r="DS64" s="230" t="s">
        <v>601</v>
      </c>
      <c r="DT64" s="230" t="s">
        <v>601</v>
      </c>
      <c r="DU64" s="230" t="s">
        <v>601</v>
      </c>
      <c r="DV64" s="230" t="s">
        <v>601</v>
      </c>
      <c r="DW64" s="230">
        <v>40</v>
      </c>
      <c r="DX64" s="230">
        <v>40</v>
      </c>
      <c r="DY64" s="230">
        <v>0</v>
      </c>
      <c r="DZ64" s="230">
        <v>0</v>
      </c>
      <c r="EA64" s="230">
        <v>0</v>
      </c>
      <c r="EB64" s="230">
        <v>0</v>
      </c>
      <c r="EC64" s="230">
        <v>40</v>
      </c>
      <c r="ED64" s="230">
        <v>0</v>
      </c>
      <c r="EE64" s="230">
        <v>0</v>
      </c>
      <c r="EF64" s="230">
        <v>0</v>
      </c>
      <c r="EG64" s="230">
        <v>0</v>
      </c>
      <c r="EH64" s="230">
        <v>0</v>
      </c>
      <c r="EI64" s="230">
        <v>0</v>
      </c>
      <c r="EJ64" s="230">
        <v>0</v>
      </c>
      <c r="EK64" s="230">
        <v>0</v>
      </c>
      <c r="EL64" s="230">
        <v>0</v>
      </c>
      <c r="EM64" s="230">
        <v>0</v>
      </c>
      <c r="EN64" s="230">
        <v>0</v>
      </c>
      <c r="EO64" s="230">
        <v>0</v>
      </c>
      <c r="EP64" s="230">
        <v>0</v>
      </c>
      <c r="EQ64" s="230">
        <v>0</v>
      </c>
      <c r="ER64" s="230">
        <v>0</v>
      </c>
      <c r="ES64" s="230">
        <v>0</v>
      </c>
      <c r="ET64" s="230">
        <v>0</v>
      </c>
      <c r="EU64" s="230">
        <v>0</v>
      </c>
      <c r="EV64" s="230">
        <v>0</v>
      </c>
      <c r="EW64" s="230">
        <v>0</v>
      </c>
      <c r="EX64" s="230">
        <v>0</v>
      </c>
      <c r="EY64" s="230">
        <v>0</v>
      </c>
      <c r="EZ64" s="230">
        <v>0</v>
      </c>
      <c r="FA64" s="230">
        <v>0</v>
      </c>
      <c r="FB64" s="230">
        <v>0</v>
      </c>
      <c r="FC64" s="230">
        <v>0</v>
      </c>
      <c r="FD64" s="230">
        <v>0</v>
      </c>
      <c r="FE64" s="230">
        <v>0</v>
      </c>
      <c r="FF64" s="230">
        <v>0</v>
      </c>
      <c r="FG64" s="230">
        <v>0</v>
      </c>
      <c r="FH64" s="230">
        <v>0</v>
      </c>
      <c r="FI64" s="230">
        <v>0</v>
      </c>
      <c r="FJ64" s="230">
        <v>0</v>
      </c>
      <c r="FK64" s="230">
        <v>0</v>
      </c>
      <c r="FL64" s="230">
        <v>0</v>
      </c>
      <c r="FM64" s="230">
        <v>40</v>
      </c>
      <c r="FN64" s="230">
        <v>2100</v>
      </c>
      <c r="FO64" s="230">
        <v>0</v>
      </c>
      <c r="FP64" s="230">
        <v>0</v>
      </c>
      <c r="FQ64" s="230" t="s">
        <v>601</v>
      </c>
      <c r="FR64" s="230" t="s">
        <v>601</v>
      </c>
      <c r="FS64" s="230" t="s">
        <v>601</v>
      </c>
      <c r="FT64" s="230" t="s">
        <v>1130</v>
      </c>
      <c r="FU64" s="230">
        <v>0</v>
      </c>
      <c r="FV64" s="230">
        <v>0</v>
      </c>
      <c r="FW64" s="230" t="s">
        <v>601</v>
      </c>
      <c r="FX64" s="230" t="s">
        <v>601</v>
      </c>
      <c r="FY64" s="230" t="s">
        <v>601</v>
      </c>
      <c r="FZ64" s="230" t="s">
        <v>1130</v>
      </c>
      <c r="GA64" s="230" t="s">
        <v>601</v>
      </c>
      <c r="GB64" s="230" t="s">
        <v>601</v>
      </c>
      <c r="GC64" s="230" t="s">
        <v>601</v>
      </c>
      <c r="GD64" s="230" t="s">
        <v>601</v>
      </c>
      <c r="GE64" s="230" t="s">
        <v>601</v>
      </c>
      <c r="GF64" s="230">
        <v>40</v>
      </c>
      <c r="GG64" s="230">
        <v>40</v>
      </c>
      <c r="GH64" s="230">
        <v>0</v>
      </c>
      <c r="GI64" s="230">
        <v>0</v>
      </c>
      <c r="GJ64" s="230">
        <v>0</v>
      </c>
      <c r="GK64" s="230">
        <v>0</v>
      </c>
      <c r="GL64" s="230">
        <v>0</v>
      </c>
      <c r="GM64" s="230">
        <v>0</v>
      </c>
      <c r="GN64" s="230">
        <v>0</v>
      </c>
      <c r="GO64" s="230">
        <v>0</v>
      </c>
      <c r="GP64" s="230">
        <v>0</v>
      </c>
      <c r="GQ64" s="230">
        <v>0</v>
      </c>
      <c r="GR64" s="230">
        <v>0</v>
      </c>
      <c r="GS64" s="230">
        <v>0</v>
      </c>
      <c r="GT64" s="230">
        <v>0</v>
      </c>
      <c r="GU64" s="230">
        <v>0</v>
      </c>
      <c r="GV64" s="230">
        <v>0</v>
      </c>
      <c r="GW64" s="230">
        <v>0</v>
      </c>
      <c r="GX64" s="230">
        <v>0</v>
      </c>
      <c r="GY64" s="230">
        <v>0</v>
      </c>
      <c r="GZ64" s="230">
        <v>0</v>
      </c>
      <c r="HA64" s="230">
        <v>0</v>
      </c>
      <c r="HB64" s="230">
        <v>0</v>
      </c>
      <c r="HC64" s="230">
        <v>0</v>
      </c>
      <c r="HD64" s="230">
        <v>0</v>
      </c>
      <c r="HE64" s="230">
        <v>0</v>
      </c>
      <c r="HF64" s="230">
        <v>0</v>
      </c>
      <c r="HG64" s="230">
        <v>0</v>
      </c>
      <c r="HH64" s="230">
        <v>0</v>
      </c>
      <c r="HI64" s="230">
        <v>0</v>
      </c>
      <c r="HJ64" s="230">
        <v>0</v>
      </c>
      <c r="HK64" s="230">
        <v>0</v>
      </c>
      <c r="HL64" s="230">
        <v>0</v>
      </c>
      <c r="HM64" s="230">
        <v>0</v>
      </c>
      <c r="HN64" s="230">
        <v>0</v>
      </c>
      <c r="HO64" s="230">
        <v>0</v>
      </c>
      <c r="HP64" s="230" t="s">
        <v>51</v>
      </c>
      <c r="HQ64" s="230">
        <v>40</v>
      </c>
      <c r="HR64" s="230">
        <v>0</v>
      </c>
      <c r="HS64" s="230">
        <v>0</v>
      </c>
      <c r="HT64" s="230">
        <v>0</v>
      </c>
      <c r="HU64" s="230">
        <v>0</v>
      </c>
      <c r="HV64" s="230">
        <v>0</v>
      </c>
      <c r="HW64" s="797">
        <v>40</v>
      </c>
      <c r="HX64" s="797">
        <v>0</v>
      </c>
      <c r="HY64" s="230">
        <v>68</v>
      </c>
      <c r="HZ64" s="230"/>
      <c r="IA64" s="230"/>
      <c r="IB64" s="230"/>
      <c r="IC64" s="232" t="s">
        <v>1128</v>
      </c>
      <c r="ID64" s="233">
        <v>2015</v>
      </c>
      <c r="IE64" s="467" t="s">
        <v>1118</v>
      </c>
      <c r="IF64" s="232" t="s">
        <v>364</v>
      </c>
      <c r="IG64" s="467" t="s">
        <v>1119</v>
      </c>
      <c r="IH64" s="467" t="s">
        <v>1120</v>
      </c>
      <c r="II64" s="546" t="s">
        <v>1119</v>
      </c>
      <c r="IJ64" s="467">
        <v>44486</v>
      </c>
      <c r="IK64" s="468">
        <v>3</v>
      </c>
      <c r="IL64" s="469" t="s">
        <v>1210</v>
      </c>
      <c r="IM64" s="469" t="s">
        <v>1195</v>
      </c>
      <c r="IN64" s="469" t="s">
        <v>1195</v>
      </c>
      <c r="IO64" s="469" t="s">
        <v>601</v>
      </c>
      <c r="IP64" s="469" t="s">
        <v>601</v>
      </c>
      <c r="IQ64" s="469" t="s">
        <v>601</v>
      </c>
      <c r="IR64" s="469">
        <v>1</v>
      </c>
      <c r="IS64" s="469">
        <v>2</v>
      </c>
      <c r="IT64" s="469" t="s">
        <v>675</v>
      </c>
      <c r="IU64" s="469" t="s">
        <v>675</v>
      </c>
    </row>
    <row r="65" ht="76.5">
      <c r="A65" s="322">
        <v>64</v>
      </c>
      <c r="B65" s="229" t="s">
        <v>1178</v>
      </c>
      <c r="C65" s="229" t="s">
        <v>1178</v>
      </c>
      <c r="D65" s="797" t="s">
        <v>1137</v>
      </c>
      <c r="E65" s="229" t="s">
        <v>1132</v>
      </c>
      <c r="F65" s="229" t="s">
        <v>14</v>
      </c>
      <c r="G65" s="797" t="s">
        <v>1133</v>
      </c>
      <c r="H65" s="797" t="s">
        <v>1134</v>
      </c>
      <c r="I65" s="229">
        <v>1</v>
      </c>
      <c r="J65" s="229" t="s">
        <v>1135</v>
      </c>
      <c r="K65" s="231" t="s">
        <v>1119</v>
      </c>
      <c r="L65" s="231" t="s">
        <v>1292</v>
      </c>
      <c r="M65" s="229" t="s">
        <v>576</v>
      </c>
      <c r="N65" s="229" t="s">
        <v>1137</v>
      </c>
      <c r="O65" s="229" t="s">
        <v>587</v>
      </c>
      <c r="P65" s="229" t="s">
        <v>1208</v>
      </c>
      <c r="Q65" s="229" t="s">
        <v>597</v>
      </c>
      <c r="R65" s="229" t="s">
        <v>1193</v>
      </c>
      <c r="S65" s="229" t="s">
        <v>600</v>
      </c>
      <c r="T65" s="229" t="s">
        <v>1138</v>
      </c>
      <c r="U65" s="229">
        <v>1</v>
      </c>
      <c r="V65" s="229"/>
      <c r="W65" s="229" t="b">
        <v>0</v>
      </c>
      <c r="X65" s="229" t="b">
        <v>0</v>
      </c>
      <c r="Y65" s="797" t="s">
        <v>0</v>
      </c>
      <c r="Z65" s="229" t="b">
        <v>1</v>
      </c>
      <c r="AA65" s="797">
        <v>26</v>
      </c>
      <c r="AB65" s="229" t="b">
        <v>0</v>
      </c>
      <c r="AC65" s="229" t="b">
        <v>1</v>
      </c>
      <c r="AD65" s="229" t="s">
        <v>604</v>
      </c>
      <c r="AE65" s="229"/>
      <c r="AF65" s="229" t="s">
        <v>50</v>
      </c>
      <c r="AG65" s="229" t="s">
        <v>604</v>
      </c>
      <c r="AH65" s="230"/>
      <c r="AI65" s="553" t="s">
        <v>576</v>
      </c>
      <c r="AJ65" s="553" t="s">
        <v>576</v>
      </c>
      <c r="AK65" s="229">
        <v>4</v>
      </c>
      <c r="AL65" s="465" t="s">
        <v>1289</v>
      </c>
      <c r="AM65" s="465" t="s">
        <v>1290</v>
      </c>
      <c r="AN65" s="465" t="s">
        <v>1294</v>
      </c>
      <c r="AO65" s="229" t="s">
        <v>13</v>
      </c>
      <c r="AP65" s="230" t="s">
        <v>576</v>
      </c>
      <c r="AQ65" s="230">
        <v>0</v>
      </c>
      <c r="AR65" s="230">
        <v>0</v>
      </c>
      <c r="AS65" s="230" t="s">
        <v>601</v>
      </c>
      <c r="AT65" s="230" t="s">
        <v>601</v>
      </c>
      <c r="AU65" s="230" t="s">
        <v>601</v>
      </c>
      <c r="AV65" s="230" t="s">
        <v>1178</v>
      </c>
      <c r="AW65" s="230" t="s">
        <v>601</v>
      </c>
      <c r="AX65" s="230" t="s">
        <v>601</v>
      </c>
      <c r="AY65" s="230" t="s">
        <v>601</v>
      </c>
      <c r="AZ65" s="230" t="s">
        <v>601</v>
      </c>
      <c r="BA65" s="230" t="s">
        <v>601</v>
      </c>
      <c r="BB65" s="230" t="s">
        <v>1178</v>
      </c>
      <c r="BC65" s="230" t="s">
        <v>1137</v>
      </c>
      <c r="BD65" s="230">
        <v>0</v>
      </c>
      <c r="BE65" s="230">
        <v>0</v>
      </c>
      <c r="BF65" s="230">
        <v>0</v>
      </c>
      <c r="BG65" s="230" t="s">
        <v>601</v>
      </c>
      <c r="BH65" s="230" t="s">
        <v>601</v>
      </c>
      <c r="BI65" s="230" t="s">
        <v>587</v>
      </c>
      <c r="BJ65" s="230">
        <v>0</v>
      </c>
      <c r="BK65" s="230">
        <v>0</v>
      </c>
      <c r="BL65" s="230">
        <v>0</v>
      </c>
      <c r="BM65" s="230" t="s">
        <v>601</v>
      </c>
      <c r="BN65" s="230" t="s">
        <v>601</v>
      </c>
      <c r="BO65" s="553">
        <v>3</v>
      </c>
      <c r="BP65" s="553">
        <v>0</v>
      </c>
      <c r="BQ65" s="553">
        <v>0</v>
      </c>
      <c r="BR65" s="553">
        <v>0</v>
      </c>
      <c r="BS65" s="553">
        <v>0</v>
      </c>
      <c r="BT65" s="554">
        <v>0</v>
      </c>
      <c r="BU65" s="230" t="s">
        <v>597</v>
      </c>
      <c r="BV65" s="230">
        <v>0</v>
      </c>
      <c r="BW65" s="230">
        <v>0</v>
      </c>
      <c r="BX65" s="230" t="s">
        <v>601</v>
      </c>
      <c r="BY65" s="230" t="s">
        <v>601</v>
      </c>
      <c r="BZ65" s="230" t="s">
        <v>601</v>
      </c>
      <c r="CA65" s="230">
        <v>2</v>
      </c>
      <c r="CB65" s="230">
        <v>2</v>
      </c>
      <c r="CC65" s="230">
        <v>2</v>
      </c>
      <c r="CD65" s="230">
        <v>0</v>
      </c>
      <c r="CE65" s="230">
        <v>0</v>
      </c>
      <c r="CF65" s="230">
        <v>0</v>
      </c>
      <c r="CG65" s="230">
        <v>0</v>
      </c>
      <c r="CH65" s="230">
        <v>0</v>
      </c>
      <c r="CI65" s="230">
        <v>0</v>
      </c>
      <c r="CJ65" s="230">
        <v>0</v>
      </c>
      <c r="CK65" s="230">
        <v>0</v>
      </c>
      <c r="CL65" s="230">
        <v>0</v>
      </c>
      <c r="CM65" s="230">
        <v>0</v>
      </c>
      <c r="CN65" s="230">
        <v>0</v>
      </c>
      <c r="CO65" s="230">
        <v>0</v>
      </c>
      <c r="CP65" s="230">
        <v>0</v>
      </c>
      <c r="CQ65" s="230">
        <v>0</v>
      </c>
      <c r="CR65" s="230">
        <v>0</v>
      </c>
      <c r="CS65" s="230">
        <v>0</v>
      </c>
      <c r="CT65" s="230">
        <v>0</v>
      </c>
      <c r="CU65" s="230">
        <v>0</v>
      </c>
      <c r="CV65" s="230">
        <v>0</v>
      </c>
      <c r="CW65" s="230">
        <v>0</v>
      </c>
      <c r="CX65" s="230">
        <v>0</v>
      </c>
      <c r="CY65" s="230">
        <v>0</v>
      </c>
      <c r="CZ65" s="230">
        <v>0</v>
      </c>
      <c r="DA65" s="230">
        <v>0</v>
      </c>
      <c r="DB65" s="230">
        <v>0</v>
      </c>
      <c r="DC65" s="230">
        <v>0</v>
      </c>
      <c r="DD65" s="230">
        <v>0</v>
      </c>
      <c r="DE65" s="230">
        <v>0</v>
      </c>
      <c r="DF65" s="230">
        <v>0</v>
      </c>
      <c r="DG65" s="230">
        <v>0</v>
      </c>
      <c r="DH65" s="230">
        <v>0</v>
      </c>
      <c r="DI65" s="230">
        <v>0</v>
      </c>
      <c r="DJ65" s="230">
        <v>0</v>
      </c>
      <c r="DK65" s="230" t="s">
        <v>599</v>
      </c>
      <c r="DL65" s="230">
        <v>0</v>
      </c>
      <c r="DM65" s="230">
        <v>0</v>
      </c>
      <c r="DN65" s="230" t="s">
        <v>601</v>
      </c>
      <c r="DO65" s="230" t="s">
        <v>601</v>
      </c>
      <c r="DP65" s="230" t="s">
        <v>601</v>
      </c>
      <c r="DQ65" s="230" t="s">
        <v>1193</v>
      </c>
      <c r="DR65" s="230" t="s">
        <v>601</v>
      </c>
      <c r="DS65" s="230" t="s">
        <v>601</v>
      </c>
      <c r="DT65" s="230" t="s">
        <v>601</v>
      </c>
      <c r="DU65" s="230" t="s">
        <v>601</v>
      </c>
      <c r="DV65" s="230" t="s">
        <v>601</v>
      </c>
      <c r="DW65" s="230">
        <v>40</v>
      </c>
      <c r="DX65" s="230">
        <v>40</v>
      </c>
      <c r="DY65" s="230">
        <v>40</v>
      </c>
      <c r="DZ65" s="230">
        <v>0</v>
      </c>
      <c r="EA65" s="230">
        <v>0</v>
      </c>
      <c r="EB65" s="230">
        <v>0</v>
      </c>
      <c r="EC65" s="230">
        <v>40</v>
      </c>
      <c r="ED65" s="230">
        <v>0</v>
      </c>
      <c r="EE65" s="230">
        <v>0</v>
      </c>
      <c r="EF65" s="230">
        <v>0</v>
      </c>
      <c r="EG65" s="230">
        <v>0</v>
      </c>
      <c r="EH65" s="230">
        <v>0</v>
      </c>
      <c r="EI65" s="230">
        <v>0</v>
      </c>
      <c r="EJ65" s="230">
        <v>0</v>
      </c>
      <c r="EK65" s="230">
        <v>0</v>
      </c>
      <c r="EL65" s="230">
        <v>0</v>
      </c>
      <c r="EM65" s="230">
        <v>0</v>
      </c>
      <c r="EN65" s="230">
        <v>0</v>
      </c>
      <c r="EO65" s="230">
        <v>0</v>
      </c>
      <c r="EP65" s="230">
        <v>0</v>
      </c>
      <c r="EQ65" s="230">
        <v>0</v>
      </c>
      <c r="ER65" s="230">
        <v>0</v>
      </c>
      <c r="ES65" s="230">
        <v>0</v>
      </c>
      <c r="ET65" s="230">
        <v>0</v>
      </c>
      <c r="EU65" s="230">
        <v>0</v>
      </c>
      <c r="EV65" s="230">
        <v>0</v>
      </c>
      <c r="EW65" s="230">
        <v>0</v>
      </c>
      <c r="EX65" s="230">
        <v>0</v>
      </c>
      <c r="EY65" s="230">
        <v>0</v>
      </c>
      <c r="EZ65" s="230">
        <v>0</v>
      </c>
      <c r="FA65" s="230">
        <v>0</v>
      </c>
      <c r="FB65" s="230">
        <v>0</v>
      </c>
      <c r="FC65" s="230">
        <v>0</v>
      </c>
      <c r="FD65" s="230">
        <v>0</v>
      </c>
      <c r="FE65" s="230">
        <v>0</v>
      </c>
      <c r="FF65" s="230">
        <v>0</v>
      </c>
      <c r="FG65" s="230">
        <v>0</v>
      </c>
      <c r="FH65" s="230">
        <v>0</v>
      </c>
      <c r="FI65" s="230">
        <v>0</v>
      </c>
      <c r="FJ65" s="230">
        <v>0</v>
      </c>
      <c r="FK65" s="230">
        <v>0</v>
      </c>
      <c r="FL65" s="230">
        <v>0</v>
      </c>
      <c r="FM65" s="230">
        <v>40</v>
      </c>
      <c r="FN65" s="230">
        <v>2100</v>
      </c>
      <c r="FO65" s="230">
        <v>0</v>
      </c>
      <c r="FP65" s="230">
        <v>0</v>
      </c>
      <c r="FQ65" s="230" t="s">
        <v>601</v>
      </c>
      <c r="FR65" s="230" t="s">
        <v>601</v>
      </c>
      <c r="FS65" s="230" t="s">
        <v>601</v>
      </c>
      <c r="FT65" s="230" t="s">
        <v>1138</v>
      </c>
      <c r="FU65" s="230">
        <v>0</v>
      </c>
      <c r="FV65" s="230">
        <v>0</v>
      </c>
      <c r="FW65" s="230" t="s">
        <v>601</v>
      </c>
      <c r="FX65" s="230" t="s">
        <v>601</v>
      </c>
      <c r="FY65" s="230" t="s">
        <v>601</v>
      </c>
      <c r="FZ65" s="230" t="s">
        <v>1138</v>
      </c>
      <c r="GA65" s="230" t="s">
        <v>601</v>
      </c>
      <c r="GB65" s="230" t="s">
        <v>601</v>
      </c>
      <c r="GC65" s="230" t="s">
        <v>601</v>
      </c>
      <c r="GD65" s="230" t="s">
        <v>601</v>
      </c>
      <c r="GE65" s="230" t="s">
        <v>601</v>
      </c>
      <c r="GF65" s="230">
        <v>26</v>
      </c>
      <c r="GG65" s="230">
        <v>26</v>
      </c>
      <c r="GH65" s="230">
        <v>26</v>
      </c>
      <c r="GI65" s="230">
        <v>0</v>
      </c>
      <c r="GJ65" s="230">
        <v>0</v>
      </c>
      <c r="GK65" s="230">
        <v>0</v>
      </c>
      <c r="GL65" s="230">
        <v>0</v>
      </c>
      <c r="GM65" s="230">
        <v>0</v>
      </c>
      <c r="GN65" s="230">
        <v>0</v>
      </c>
      <c r="GO65" s="230">
        <v>0</v>
      </c>
      <c r="GP65" s="230">
        <v>0</v>
      </c>
      <c r="GQ65" s="230">
        <v>0</v>
      </c>
      <c r="GR65" s="230">
        <v>0</v>
      </c>
      <c r="GS65" s="230">
        <v>0</v>
      </c>
      <c r="GT65" s="230">
        <v>0</v>
      </c>
      <c r="GU65" s="230">
        <v>0</v>
      </c>
      <c r="GV65" s="230">
        <v>0</v>
      </c>
      <c r="GW65" s="230">
        <v>0</v>
      </c>
      <c r="GX65" s="230">
        <v>0</v>
      </c>
      <c r="GY65" s="230">
        <v>0</v>
      </c>
      <c r="GZ65" s="230">
        <v>0</v>
      </c>
      <c r="HA65" s="230">
        <v>0</v>
      </c>
      <c r="HB65" s="230">
        <v>0</v>
      </c>
      <c r="HC65" s="230">
        <v>0</v>
      </c>
      <c r="HD65" s="230">
        <v>0</v>
      </c>
      <c r="HE65" s="230">
        <v>0</v>
      </c>
      <c r="HF65" s="230">
        <v>0</v>
      </c>
      <c r="HG65" s="230">
        <v>0</v>
      </c>
      <c r="HH65" s="230">
        <v>0</v>
      </c>
      <c r="HI65" s="230">
        <v>0</v>
      </c>
      <c r="HJ65" s="230">
        <v>0</v>
      </c>
      <c r="HK65" s="230">
        <v>0</v>
      </c>
      <c r="HL65" s="230">
        <v>0</v>
      </c>
      <c r="HM65" s="230">
        <v>0</v>
      </c>
      <c r="HN65" s="230">
        <v>0</v>
      </c>
      <c r="HO65" s="230">
        <v>0</v>
      </c>
      <c r="HP65" s="230" t="s">
        <v>51</v>
      </c>
      <c r="HQ65" s="230">
        <v>26</v>
      </c>
      <c r="HR65" s="230">
        <v>0</v>
      </c>
      <c r="HS65" s="230">
        <v>0</v>
      </c>
      <c r="HT65" s="230">
        <v>0</v>
      </c>
      <c r="HU65" s="230">
        <v>0</v>
      </c>
      <c r="HV65" s="230">
        <v>0</v>
      </c>
      <c r="HW65" s="797">
        <v>26</v>
      </c>
      <c r="HX65" s="797">
        <v>0</v>
      </c>
      <c r="HY65" s="230">
        <v>68</v>
      </c>
      <c r="HZ65" s="230"/>
      <c r="IA65" s="230"/>
      <c r="IB65" s="230"/>
      <c r="IC65" s="232" t="s">
        <v>1136</v>
      </c>
      <c r="ID65" s="233">
        <v>2016</v>
      </c>
      <c r="IE65" s="467" t="s">
        <v>1118</v>
      </c>
      <c r="IF65" s="232" t="s">
        <v>364</v>
      </c>
      <c r="IG65" s="467" t="s">
        <v>1119</v>
      </c>
      <c r="IH65" s="467" t="s">
        <v>1120</v>
      </c>
      <c r="II65" s="546" t="s">
        <v>1119</v>
      </c>
      <c r="IJ65" s="467">
        <v>44486</v>
      </c>
      <c r="IK65" s="468">
        <v>3</v>
      </c>
      <c r="IL65" s="469" t="s">
        <v>1210</v>
      </c>
      <c r="IM65" s="469" t="s">
        <v>1195</v>
      </c>
      <c r="IN65" s="469" t="s">
        <v>1195</v>
      </c>
      <c r="IO65" s="469" t="s">
        <v>601</v>
      </c>
      <c r="IP65" s="469" t="s">
        <v>601</v>
      </c>
      <c r="IQ65" s="469" t="s">
        <v>601</v>
      </c>
      <c r="IR65" s="469">
        <v>1</v>
      </c>
      <c r="IS65" s="469">
        <v>2</v>
      </c>
      <c r="IT65" s="469" t="s">
        <v>675</v>
      </c>
      <c r="IU65" s="469" t="s">
        <v>675</v>
      </c>
    </row>
    <row r="66" ht="76.5">
      <c r="A66" s="322">
        <v>65</v>
      </c>
      <c r="B66" s="229" t="s">
        <v>1178</v>
      </c>
      <c r="C66" s="229" t="s">
        <v>1178</v>
      </c>
      <c r="D66" s="797" t="s">
        <v>1145</v>
      </c>
      <c r="E66" s="229" t="s">
        <v>1140</v>
      </c>
      <c r="F66" s="229" t="s">
        <v>14</v>
      </c>
      <c r="G66" s="797" t="s">
        <v>1141</v>
      </c>
      <c r="H66" s="797" t="s">
        <v>1142</v>
      </c>
      <c r="I66" s="229">
        <v>1</v>
      </c>
      <c r="J66" s="229" t="s">
        <v>1143</v>
      </c>
      <c r="K66" s="231" t="s">
        <v>1119</v>
      </c>
      <c r="L66" s="231" t="s">
        <v>1292</v>
      </c>
      <c r="M66" s="229" t="s">
        <v>576</v>
      </c>
      <c r="N66" s="229" t="s">
        <v>1145</v>
      </c>
      <c r="O66" s="229" t="s">
        <v>587</v>
      </c>
      <c r="P66" s="229" t="s">
        <v>1208</v>
      </c>
      <c r="Q66" s="229" t="s">
        <v>597</v>
      </c>
      <c r="R66" s="229" t="s">
        <v>1193</v>
      </c>
      <c r="S66" s="229" t="s">
        <v>600</v>
      </c>
      <c r="T66" s="229" t="s">
        <v>801</v>
      </c>
      <c r="U66" s="229">
        <v>1</v>
      </c>
      <c r="V66" s="229"/>
      <c r="W66" s="229" t="b">
        <v>1</v>
      </c>
      <c r="X66" s="229" t="b">
        <v>1</v>
      </c>
      <c r="Y66" s="797">
        <v>1</v>
      </c>
      <c r="Z66" s="229" t="b">
        <v>1</v>
      </c>
      <c r="AA66" s="797">
        <v>40</v>
      </c>
      <c r="AB66" s="229" t="b">
        <v>0</v>
      </c>
      <c r="AC66" s="229" t="b">
        <v>1</v>
      </c>
      <c r="AD66" s="229" t="s">
        <v>604</v>
      </c>
      <c r="AE66" s="229"/>
      <c r="AF66" s="229" t="s">
        <v>50</v>
      </c>
      <c r="AG66" s="229" t="s">
        <v>604</v>
      </c>
      <c r="AH66" s="230"/>
      <c r="AI66" s="553" t="s">
        <v>576</v>
      </c>
      <c r="AJ66" s="553" t="s">
        <v>576</v>
      </c>
      <c r="AK66" s="229">
        <v>3</v>
      </c>
      <c r="AL66" s="465" t="s">
        <v>1289</v>
      </c>
      <c r="AM66" s="465" t="s">
        <v>1290</v>
      </c>
      <c r="AN66" s="465" t="s">
        <v>1295</v>
      </c>
      <c r="AO66" s="229" t="s">
        <v>13</v>
      </c>
      <c r="AP66" s="230" t="s">
        <v>576</v>
      </c>
      <c r="AQ66" s="230">
        <v>0</v>
      </c>
      <c r="AR66" s="230">
        <v>0</v>
      </c>
      <c r="AS66" s="230" t="s">
        <v>601</v>
      </c>
      <c r="AT66" s="230" t="s">
        <v>601</v>
      </c>
      <c r="AU66" s="230" t="s">
        <v>601</v>
      </c>
      <c r="AV66" s="230" t="s">
        <v>1178</v>
      </c>
      <c r="AW66" s="230" t="s">
        <v>601</v>
      </c>
      <c r="AX66" s="230" t="s">
        <v>601</v>
      </c>
      <c r="AY66" s="230" t="s">
        <v>601</v>
      </c>
      <c r="AZ66" s="230" t="s">
        <v>601</v>
      </c>
      <c r="BA66" s="230" t="s">
        <v>601</v>
      </c>
      <c r="BB66" s="230" t="s">
        <v>1178</v>
      </c>
      <c r="BC66" s="230" t="s">
        <v>1145</v>
      </c>
      <c r="BD66" s="230">
        <v>0</v>
      </c>
      <c r="BE66" s="230">
        <v>0</v>
      </c>
      <c r="BF66" s="230">
        <v>0</v>
      </c>
      <c r="BG66" s="230" t="s">
        <v>601</v>
      </c>
      <c r="BH66" s="230" t="s">
        <v>601</v>
      </c>
      <c r="BI66" s="230" t="s">
        <v>587</v>
      </c>
      <c r="BJ66" s="230">
        <v>0</v>
      </c>
      <c r="BK66" s="230">
        <v>0</v>
      </c>
      <c r="BL66" s="230">
        <v>0</v>
      </c>
      <c r="BM66" s="230" t="s">
        <v>601</v>
      </c>
      <c r="BN66" s="230" t="s">
        <v>601</v>
      </c>
      <c r="BO66" s="553">
        <v>3</v>
      </c>
      <c r="BP66" s="553">
        <v>0</v>
      </c>
      <c r="BQ66" s="553">
        <v>0</v>
      </c>
      <c r="BR66" s="553">
        <v>0</v>
      </c>
      <c r="BS66" s="553">
        <v>0</v>
      </c>
      <c r="BT66" s="554">
        <v>0</v>
      </c>
      <c r="BU66" s="230" t="s">
        <v>597</v>
      </c>
      <c r="BV66" s="230">
        <v>0</v>
      </c>
      <c r="BW66" s="230">
        <v>0</v>
      </c>
      <c r="BX66" s="230" t="s">
        <v>601</v>
      </c>
      <c r="BY66" s="230" t="s">
        <v>601</v>
      </c>
      <c r="BZ66" s="230" t="s">
        <v>601</v>
      </c>
      <c r="CA66" s="230">
        <v>2</v>
      </c>
      <c r="CB66" s="230">
        <v>2</v>
      </c>
      <c r="CC66" s="230">
        <v>2</v>
      </c>
      <c r="CD66" s="230">
        <v>0</v>
      </c>
      <c r="CE66" s="230">
        <v>0</v>
      </c>
      <c r="CF66" s="230">
        <v>0</v>
      </c>
      <c r="CG66" s="230">
        <v>0</v>
      </c>
      <c r="CH66" s="230">
        <v>0</v>
      </c>
      <c r="CI66" s="230">
        <v>0</v>
      </c>
      <c r="CJ66" s="230">
        <v>0</v>
      </c>
      <c r="CK66" s="230">
        <v>0</v>
      </c>
      <c r="CL66" s="230">
        <v>0</v>
      </c>
      <c r="CM66" s="230">
        <v>0</v>
      </c>
      <c r="CN66" s="230">
        <v>0</v>
      </c>
      <c r="CO66" s="230">
        <v>0</v>
      </c>
      <c r="CP66" s="230">
        <v>0</v>
      </c>
      <c r="CQ66" s="230">
        <v>0</v>
      </c>
      <c r="CR66" s="230">
        <v>0</v>
      </c>
      <c r="CS66" s="230">
        <v>0</v>
      </c>
      <c r="CT66" s="230">
        <v>0</v>
      </c>
      <c r="CU66" s="230">
        <v>0</v>
      </c>
      <c r="CV66" s="230">
        <v>0</v>
      </c>
      <c r="CW66" s="230">
        <v>0</v>
      </c>
      <c r="CX66" s="230">
        <v>0</v>
      </c>
      <c r="CY66" s="230">
        <v>0</v>
      </c>
      <c r="CZ66" s="230">
        <v>0</v>
      </c>
      <c r="DA66" s="230">
        <v>0</v>
      </c>
      <c r="DB66" s="230">
        <v>0</v>
      </c>
      <c r="DC66" s="230">
        <v>0</v>
      </c>
      <c r="DD66" s="230">
        <v>0</v>
      </c>
      <c r="DE66" s="230">
        <v>0</v>
      </c>
      <c r="DF66" s="230">
        <v>0</v>
      </c>
      <c r="DG66" s="230">
        <v>0</v>
      </c>
      <c r="DH66" s="230">
        <v>0</v>
      </c>
      <c r="DI66" s="230">
        <v>0</v>
      </c>
      <c r="DJ66" s="230">
        <v>0</v>
      </c>
      <c r="DK66" s="230" t="s">
        <v>599</v>
      </c>
      <c r="DL66" s="230">
        <v>0</v>
      </c>
      <c r="DM66" s="230">
        <v>0</v>
      </c>
      <c r="DN66" s="230" t="s">
        <v>601</v>
      </c>
      <c r="DO66" s="230" t="s">
        <v>601</v>
      </c>
      <c r="DP66" s="230" t="s">
        <v>601</v>
      </c>
      <c r="DQ66" s="230" t="s">
        <v>1193</v>
      </c>
      <c r="DR66" s="230" t="s">
        <v>601</v>
      </c>
      <c r="DS66" s="230" t="s">
        <v>601</v>
      </c>
      <c r="DT66" s="230" t="s">
        <v>601</v>
      </c>
      <c r="DU66" s="230" t="s">
        <v>601</v>
      </c>
      <c r="DV66" s="230" t="s">
        <v>601</v>
      </c>
      <c r="DW66" s="230">
        <v>40</v>
      </c>
      <c r="DX66" s="230">
        <v>40</v>
      </c>
      <c r="DY66" s="230">
        <v>40</v>
      </c>
      <c r="DZ66" s="230">
        <v>0</v>
      </c>
      <c r="EA66" s="230">
        <v>0</v>
      </c>
      <c r="EB66" s="230">
        <v>0</v>
      </c>
      <c r="EC66" s="230">
        <v>40</v>
      </c>
      <c r="ED66" s="230">
        <v>0</v>
      </c>
      <c r="EE66" s="230">
        <v>0</v>
      </c>
      <c r="EF66" s="230">
        <v>0</v>
      </c>
      <c r="EG66" s="230">
        <v>0</v>
      </c>
      <c r="EH66" s="230">
        <v>0</v>
      </c>
      <c r="EI66" s="230">
        <v>0</v>
      </c>
      <c r="EJ66" s="230">
        <v>0</v>
      </c>
      <c r="EK66" s="230">
        <v>0</v>
      </c>
      <c r="EL66" s="230">
        <v>0</v>
      </c>
      <c r="EM66" s="230">
        <v>0</v>
      </c>
      <c r="EN66" s="230">
        <v>0</v>
      </c>
      <c r="EO66" s="230">
        <v>0</v>
      </c>
      <c r="EP66" s="230">
        <v>0</v>
      </c>
      <c r="EQ66" s="230">
        <v>0</v>
      </c>
      <c r="ER66" s="230">
        <v>0</v>
      </c>
      <c r="ES66" s="230">
        <v>0</v>
      </c>
      <c r="ET66" s="230">
        <v>0</v>
      </c>
      <c r="EU66" s="230">
        <v>0</v>
      </c>
      <c r="EV66" s="230">
        <v>0</v>
      </c>
      <c r="EW66" s="230">
        <v>0</v>
      </c>
      <c r="EX66" s="230">
        <v>0</v>
      </c>
      <c r="EY66" s="230">
        <v>0</v>
      </c>
      <c r="EZ66" s="230">
        <v>0</v>
      </c>
      <c r="FA66" s="230">
        <v>0</v>
      </c>
      <c r="FB66" s="230">
        <v>0</v>
      </c>
      <c r="FC66" s="230">
        <v>0</v>
      </c>
      <c r="FD66" s="230">
        <v>0</v>
      </c>
      <c r="FE66" s="230">
        <v>0</v>
      </c>
      <c r="FF66" s="230">
        <v>0</v>
      </c>
      <c r="FG66" s="230">
        <v>0</v>
      </c>
      <c r="FH66" s="230">
        <v>0</v>
      </c>
      <c r="FI66" s="230">
        <v>0</v>
      </c>
      <c r="FJ66" s="230">
        <v>0</v>
      </c>
      <c r="FK66" s="230">
        <v>0</v>
      </c>
      <c r="FL66" s="230">
        <v>0</v>
      </c>
      <c r="FM66" s="230">
        <v>40</v>
      </c>
      <c r="FN66" s="230">
        <v>2100</v>
      </c>
      <c r="FO66" s="230">
        <v>0</v>
      </c>
      <c r="FP66" s="230">
        <v>0</v>
      </c>
      <c r="FQ66" s="230" t="s">
        <v>601</v>
      </c>
      <c r="FR66" s="230" t="s">
        <v>601</v>
      </c>
      <c r="FS66" s="230" t="s">
        <v>601</v>
      </c>
      <c r="FT66" s="230" t="s">
        <v>801</v>
      </c>
      <c r="FU66" s="230">
        <v>0</v>
      </c>
      <c r="FV66" s="230">
        <v>0</v>
      </c>
      <c r="FW66" s="230" t="s">
        <v>601</v>
      </c>
      <c r="FX66" s="230" t="s">
        <v>601</v>
      </c>
      <c r="FY66" s="230" t="s">
        <v>601</v>
      </c>
      <c r="FZ66" s="230" t="s">
        <v>801</v>
      </c>
      <c r="GA66" s="230" t="s">
        <v>601</v>
      </c>
      <c r="GB66" s="230" t="s">
        <v>601</v>
      </c>
      <c r="GC66" s="230" t="s">
        <v>601</v>
      </c>
      <c r="GD66" s="230" t="s">
        <v>601</v>
      </c>
      <c r="GE66" s="230" t="s">
        <v>601</v>
      </c>
      <c r="GF66" s="230">
        <v>40</v>
      </c>
      <c r="GG66" s="230">
        <v>40</v>
      </c>
      <c r="GH66" s="230">
        <v>40</v>
      </c>
      <c r="GI66" s="230">
        <v>0</v>
      </c>
      <c r="GJ66" s="230">
        <v>0</v>
      </c>
      <c r="GK66" s="230">
        <v>0</v>
      </c>
      <c r="GL66" s="230">
        <v>0</v>
      </c>
      <c r="GM66" s="230">
        <v>0</v>
      </c>
      <c r="GN66" s="230">
        <v>0</v>
      </c>
      <c r="GO66" s="230">
        <v>0</v>
      </c>
      <c r="GP66" s="230">
        <v>0</v>
      </c>
      <c r="GQ66" s="230">
        <v>0</v>
      </c>
      <c r="GR66" s="230">
        <v>0</v>
      </c>
      <c r="GS66" s="230">
        <v>0</v>
      </c>
      <c r="GT66" s="230">
        <v>0</v>
      </c>
      <c r="GU66" s="230">
        <v>0</v>
      </c>
      <c r="GV66" s="230">
        <v>0</v>
      </c>
      <c r="GW66" s="230">
        <v>0</v>
      </c>
      <c r="GX66" s="230">
        <v>0</v>
      </c>
      <c r="GY66" s="230">
        <v>0</v>
      </c>
      <c r="GZ66" s="230">
        <v>0</v>
      </c>
      <c r="HA66" s="230">
        <v>0</v>
      </c>
      <c r="HB66" s="230">
        <v>0</v>
      </c>
      <c r="HC66" s="230">
        <v>0</v>
      </c>
      <c r="HD66" s="230">
        <v>0</v>
      </c>
      <c r="HE66" s="230">
        <v>0</v>
      </c>
      <c r="HF66" s="230">
        <v>0</v>
      </c>
      <c r="HG66" s="230">
        <v>0</v>
      </c>
      <c r="HH66" s="230">
        <v>0</v>
      </c>
      <c r="HI66" s="230">
        <v>0</v>
      </c>
      <c r="HJ66" s="230">
        <v>0</v>
      </c>
      <c r="HK66" s="230">
        <v>0</v>
      </c>
      <c r="HL66" s="230">
        <v>0</v>
      </c>
      <c r="HM66" s="230">
        <v>0</v>
      </c>
      <c r="HN66" s="230">
        <v>0</v>
      </c>
      <c r="HO66" s="230">
        <v>0</v>
      </c>
      <c r="HP66" s="230" t="s">
        <v>51</v>
      </c>
      <c r="HQ66" s="230">
        <v>40</v>
      </c>
      <c r="HR66" s="230">
        <v>0</v>
      </c>
      <c r="HS66" s="230">
        <v>0</v>
      </c>
      <c r="HT66" s="230">
        <v>0</v>
      </c>
      <c r="HU66" s="230">
        <v>0</v>
      </c>
      <c r="HV66" s="230">
        <v>0</v>
      </c>
      <c r="HW66" s="797">
        <v>40</v>
      </c>
      <c r="HX66" s="797">
        <v>0</v>
      </c>
      <c r="HY66" s="230">
        <v>68</v>
      </c>
      <c r="HZ66" s="230"/>
      <c r="IA66" s="230"/>
      <c r="IB66" s="230"/>
      <c r="IC66" s="232" t="s">
        <v>1144</v>
      </c>
      <c r="ID66" s="233">
        <v>2017</v>
      </c>
      <c r="IE66" s="467" t="s">
        <v>1118</v>
      </c>
      <c r="IF66" s="232" t="s">
        <v>364</v>
      </c>
      <c r="IG66" s="467" t="s">
        <v>1119</v>
      </c>
      <c r="IH66" s="467" t="s">
        <v>1120</v>
      </c>
      <c r="II66" s="546" t="s">
        <v>1119</v>
      </c>
      <c r="IJ66" s="467">
        <v>44486</v>
      </c>
      <c r="IK66" s="468">
        <v>3</v>
      </c>
      <c r="IL66" s="469" t="s">
        <v>1210</v>
      </c>
      <c r="IM66" s="469" t="s">
        <v>1195</v>
      </c>
      <c r="IN66" s="469" t="s">
        <v>1195</v>
      </c>
      <c r="IO66" s="469" t="s">
        <v>601</v>
      </c>
      <c r="IP66" s="469" t="s">
        <v>601</v>
      </c>
      <c r="IQ66" s="469" t="s">
        <v>601</v>
      </c>
      <c r="IR66" s="469">
        <v>1</v>
      </c>
      <c r="IS66" s="469">
        <v>2</v>
      </c>
      <c r="IT66" s="469" t="s">
        <v>675</v>
      </c>
      <c r="IU66" s="469" t="s">
        <v>675</v>
      </c>
    </row>
    <row r="67" ht="76.5">
      <c r="A67" s="322">
        <v>66</v>
      </c>
      <c r="B67" s="229" t="s">
        <v>1178</v>
      </c>
      <c r="C67" s="229" t="s">
        <v>1178</v>
      </c>
      <c r="D67" s="797" t="s">
        <v>1152</v>
      </c>
      <c r="E67" s="229" t="s">
        <v>1147</v>
      </c>
      <c r="F67" s="229" t="s">
        <v>14</v>
      </c>
      <c r="G67" s="797" t="s">
        <v>1148</v>
      </c>
      <c r="H67" s="797" t="s">
        <v>1149</v>
      </c>
      <c r="I67" s="229">
        <v>1</v>
      </c>
      <c r="J67" s="229" t="s">
        <v>1150</v>
      </c>
      <c r="K67" s="231" t="s">
        <v>1119</v>
      </c>
      <c r="L67" s="231" t="s">
        <v>1296</v>
      </c>
      <c r="M67" s="229" t="s">
        <v>576</v>
      </c>
      <c r="N67" s="229" t="s">
        <v>1152</v>
      </c>
      <c r="O67" s="229" t="s">
        <v>587</v>
      </c>
      <c r="P67" s="229" t="s">
        <v>596</v>
      </c>
      <c r="Q67" s="229" t="s">
        <v>968</v>
      </c>
      <c r="R67" s="229" t="s">
        <v>1264</v>
      </c>
      <c r="S67" s="229" t="s">
        <v>600</v>
      </c>
      <c r="T67" s="229" t="s">
        <v>1130</v>
      </c>
      <c r="U67" s="229">
        <v>1</v>
      </c>
      <c r="V67" s="229"/>
      <c r="W67" s="229" t="b">
        <v>1</v>
      </c>
      <c r="X67" s="229" t="b">
        <v>1</v>
      </c>
      <c r="Y67" s="797">
        <v>1</v>
      </c>
      <c r="Z67" s="229" t="b">
        <v>1</v>
      </c>
      <c r="AA67" s="797">
        <v>40</v>
      </c>
      <c r="AB67" s="229" t="b">
        <v>0</v>
      </c>
      <c r="AC67" s="229" t="b">
        <v>1</v>
      </c>
      <c r="AD67" s="229" t="s">
        <v>604</v>
      </c>
      <c r="AE67" s="229"/>
      <c r="AF67" s="229" t="s">
        <v>50</v>
      </c>
      <c r="AG67" s="229" t="s">
        <v>604</v>
      </c>
      <c r="AH67" s="230"/>
      <c r="AI67" s="553" t="s">
        <v>576</v>
      </c>
      <c r="AJ67" s="553" t="s">
        <v>576</v>
      </c>
      <c r="AK67" s="229">
        <v>3</v>
      </c>
      <c r="AL67" s="465" t="s">
        <v>1289</v>
      </c>
      <c r="AM67" s="465" t="s">
        <v>1297</v>
      </c>
      <c r="AN67" s="465" t="s">
        <v>1298</v>
      </c>
      <c r="AO67" s="229" t="s">
        <v>13</v>
      </c>
      <c r="AP67" s="230" t="s">
        <v>576</v>
      </c>
      <c r="AQ67" s="230">
        <v>0</v>
      </c>
      <c r="AR67" s="230">
        <v>0</v>
      </c>
      <c r="AS67" s="230" t="s">
        <v>601</v>
      </c>
      <c r="AT67" s="230" t="s">
        <v>601</v>
      </c>
      <c r="AU67" s="230" t="s">
        <v>601</v>
      </c>
      <c r="AV67" s="230" t="s">
        <v>1178</v>
      </c>
      <c r="AW67" s="230" t="s">
        <v>601</v>
      </c>
      <c r="AX67" s="230" t="s">
        <v>601</v>
      </c>
      <c r="AY67" s="230" t="s">
        <v>601</v>
      </c>
      <c r="AZ67" s="230" t="s">
        <v>601</v>
      </c>
      <c r="BA67" s="230" t="s">
        <v>601</v>
      </c>
      <c r="BB67" s="230" t="s">
        <v>1178</v>
      </c>
      <c r="BC67" s="230" t="s">
        <v>1152</v>
      </c>
      <c r="BD67" s="230">
        <v>0</v>
      </c>
      <c r="BE67" s="230">
        <v>0</v>
      </c>
      <c r="BF67" s="230">
        <v>0</v>
      </c>
      <c r="BG67" s="230" t="s">
        <v>601</v>
      </c>
      <c r="BH67" s="230" t="s">
        <v>601</v>
      </c>
      <c r="BI67" s="230" t="s">
        <v>587</v>
      </c>
      <c r="BJ67" s="230">
        <v>0</v>
      </c>
      <c r="BK67" s="230">
        <v>0</v>
      </c>
      <c r="BL67" s="230">
        <v>0</v>
      </c>
      <c r="BM67" s="230" t="s">
        <v>601</v>
      </c>
      <c r="BN67" s="230" t="s">
        <v>601</v>
      </c>
      <c r="BO67" s="553">
        <v>2</v>
      </c>
      <c r="BP67" s="553">
        <v>0</v>
      </c>
      <c r="BQ67" s="553">
        <v>0</v>
      </c>
      <c r="BR67" s="553">
        <v>0</v>
      </c>
      <c r="BS67" s="553">
        <v>0</v>
      </c>
      <c r="BT67" s="554">
        <v>0</v>
      </c>
      <c r="BU67" s="230" t="s">
        <v>968</v>
      </c>
      <c r="BV67" s="230">
        <v>0</v>
      </c>
      <c r="BW67" s="230">
        <v>0</v>
      </c>
      <c r="BX67" s="230" t="s">
        <v>601</v>
      </c>
      <c r="BY67" s="230" t="s">
        <v>601</v>
      </c>
      <c r="BZ67" s="230" t="s">
        <v>601</v>
      </c>
      <c r="CA67" s="230">
        <v>2</v>
      </c>
      <c r="CB67" s="230">
        <v>2</v>
      </c>
      <c r="CC67" s="230">
        <v>0</v>
      </c>
      <c r="CD67" s="230">
        <v>0</v>
      </c>
      <c r="CE67" s="230">
        <v>0</v>
      </c>
      <c r="CF67" s="230">
        <v>0</v>
      </c>
      <c r="CG67" s="230">
        <v>0</v>
      </c>
      <c r="CH67" s="230">
        <v>0</v>
      </c>
      <c r="CI67" s="230">
        <v>0</v>
      </c>
      <c r="CJ67" s="230">
        <v>0</v>
      </c>
      <c r="CK67" s="230">
        <v>0</v>
      </c>
      <c r="CL67" s="230">
        <v>0</v>
      </c>
      <c r="CM67" s="230">
        <v>0</v>
      </c>
      <c r="CN67" s="230">
        <v>0</v>
      </c>
      <c r="CO67" s="230">
        <v>0</v>
      </c>
      <c r="CP67" s="230">
        <v>0</v>
      </c>
      <c r="CQ67" s="230">
        <v>0</v>
      </c>
      <c r="CR67" s="230">
        <v>0</v>
      </c>
      <c r="CS67" s="230">
        <v>0</v>
      </c>
      <c r="CT67" s="230">
        <v>0</v>
      </c>
      <c r="CU67" s="230">
        <v>0</v>
      </c>
      <c r="CV67" s="230">
        <v>0</v>
      </c>
      <c r="CW67" s="230">
        <v>0</v>
      </c>
      <c r="CX67" s="230">
        <v>0</v>
      </c>
      <c r="CY67" s="230">
        <v>0</v>
      </c>
      <c r="CZ67" s="230">
        <v>0</v>
      </c>
      <c r="DA67" s="230">
        <v>0</v>
      </c>
      <c r="DB67" s="230">
        <v>0</v>
      </c>
      <c r="DC67" s="230">
        <v>0</v>
      </c>
      <c r="DD67" s="230">
        <v>0</v>
      </c>
      <c r="DE67" s="230">
        <v>0</v>
      </c>
      <c r="DF67" s="230">
        <v>0</v>
      </c>
      <c r="DG67" s="230">
        <v>0</v>
      </c>
      <c r="DH67" s="230">
        <v>0</v>
      </c>
      <c r="DI67" s="230">
        <v>0</v>
      </c>
      <c r="DJ67" s="230">
        <v>0</v>
      </c>
      <c r="DK67" s="230" t="s">
        <v>969</v>
      </c>
      <c r="DL67" s="230">
        <v>0</v>
      </c>
      <c r="DM67" s="230">
        <v>0</v>
      </c>
      <c r="DN67" s="230" t="s">
        <v>601</v>
      </c>
      <c r="DO67" s="230" t="s">
        <v>601</v>
      </c>
      <c r="DP67" s="230" t="s">
        <v>601</v>
      </c>
      <c r="DQ67" s="230" t="s">
        <v>1264</v>
      </c>
      <c r="DR67" s="230" t="s">
        <v>601</v>
      </c>
      <c r="DS67" s="230" t="s">
        <v>601</v>
      </c>
      <c r="DT67" s="230" t="s">
        <v>601</v>
      </c>
      <c r="DU67" s="230" t="s">
        <v>601</v>
      </c>
      <c r="DV67" s="230" t="s">
        <v>601</v>
      </c>
      <c r="DW67" s="230">
        <v>40</v>
      </c>
      <c r="DX67" s="230">
        <v>40</v>
      </c>
      <c r="DY67" s="230">
        <v>0</v>
      </c>
      <c r="DZ67" s="230">
        <v>0</v>
      </c>
      <c r="EA67" s="230">
        <v>0</v>
      </c>
      <c r="EB67" s="230">
        <v>0</v>
      </c>
      <c r="EC67" s="230">
        <v>40</v>
      </c>
      <c r="ED67" s="230">
        <v>0</v>
      </c>
      <c r="EE67" s="230">
        <v>0</v>
      </c>
      <c r="EF67" s="230">
        <v>0</v>
      </c>
      <c r="EG67" s="230">
        <v>0</v>
      </c>
      <c r="EH67" s="230">
        <v>0</v>
      </c>
      <c r="EI67" s="230">
        <v>0</v>
      </c>
      <c r="EJ67" s="230">
        <v>0</v>
      </c>
      <c r="EK67" s="230">
        <v>0</v>
      </c>
      <c r="EL67" s="230">
        <v>0</v>
      </c>
      <c r="EM67" s="230">
        <v>0</v>
      </c>
      <c r="EN67" s="230">
        <v>0</v>
      </c>
      <c r="EO67" s="230">
        <v>0</v>
      </c>
      <c r="EP67" s="230">
        <v>0</v>
      </c>
      <c r="EQ67" s="230">
        <v>0</v>
      </c>
      <c r="ER67" s="230">
        <v>0</v>
      </c>
      <c r="ES67" s="230">
        <v>0</v>
      </c>
      <c r="ET67" s="230">
        <v>0</v>
      </c>
      <c r="EU67" s="230">
        <v>0</v>
      </c>
      <c r="EV67" s="230">
        <v>0</v>
      </c>
      <c r="EW67" s="230">
        <v>0</v>
      </c>
      <c r="EX67" s="230">
        <v>0</v>
      </c>
      <c r="EY67" s="230">
        <v>0</v>
      </c>
      <c r="EZ67" s="230">
        <v>0</v>
      </c>
      <c r="FA67" s="230">
        <v>0</v>
      </c>
      <c r="FB67" s="230">
        <v>0</v>
      </c>
      <c r="FC67" s="230">
        <v>0</v>
      </c>
      <c r="FD67" s="230">
        <v>0</v>
      </c>
      <c r="FE67" s="230">
        <v>0</v>
      </c>
      <c r="FF67" s="230">
        <v>0</v>
      </c>
      <c r="FG67" s="230">
        <v>0</v>
      </c>
      <c r="FH67" s="230">
        <v>0</v>
      </c>
      <c r="FI67" s="230">
        <v>0</v>
      </c>
      <c r="FJ67" s="230">
        <v>0</v>
      </c>
      <c r="FK67" s="230">
        <v>0</v>
      </c>
      <c r="FL67" s="230">
        <v>0</v>
      </c>
      <c r="FM67" s="230">
        <v>40</v>
      </c>
      <c r="FN67" s="230">
        <v>2100</v>
      </c>
      <c r="FO67" s="230">
        <v>0</v>
      </c>
      <c r="FP67" s="230">
        <v>0</v>
      </c>
      <c r="FQ67" s="230" t="s">
        <v>601</v>
      </c>
      <c r="FR67" s="230" t="s">
        <v>601</v>
      </c>
      <c r="FS67" s="230" t="s">
        <v>601</v>
      </c>
      <c r="FT67" s="230" t="s">
        <v>1130</v>
      </c>
      <c r="FU67" s="230">
        <v>0</v>
      </c>
      <c r="FV67" s="230">
        <v>0</v>
      </c>
      <c r="FW67" s="230" t="s">
        <v>601</v>
      </c>
      <c r="FX67" s="230" t="s">
        <v>601</v>
      </c>
      <c r="FY67" s="230" t="s">
        <v>601</v>
      </c>
      <c r="FZ67" s="230" t="s">
        <v>1130</v>
      </c>
      <c r="GA67" s="230" t="s">
        <v>601</v>
      </c>
      <c r="GB67" s="230" t="s">
        <v>601</v>
      </c>
      <c r="GC67" s="230" t="s">
        <v>601</v>
      </c>
      <c r="GD67" s="230" t="s">
        <v>601</v>
      </c>
      <c r="GE67" s="230" t="s">
        <v>601</v>
      </c>
      <c r="GF67" s="230">
        <v>40</v>
      </c>
      <c r="GG67" s="230">
        <v>40</v>
      </c>
      <c r="GH67" s="230">
        <v>0</v>
      </c>
      <c r="GI67" s="230">
        <v>0</v>
      </c>
      <c r="GJ67" s="230">
        <v>0</v>
      </c>
      <c r="GK67" s="230">
        <v>0</v>
      </c>
      <c r="GL67" s="230">
        <v>0</v>
      </c>
      <c r="GM67" s="230">
        <v>0</v>
      </c>
      <c r="GN67" s="230">
        <v>0</v>
      </c>
      <c r="GO67" s="230">
        <v>0</v>
      </c>
      <c r="GP67" s="230">
        <v>0</v>
      </c>
      <c r="GQ67" s="230">
        <v>0</v>
      </c>
      <c r="GR67" s="230">
        <v>0</v>
      </c>
      <c r="GS67" s="230">
        <v>0</v>
      </c>
      <c r="GT67" s="230">
        <v>0</v>
      </c>
      <c r="GU67" s="230">
        <v>0</v>
      </c>
      <c r="GV67" s="230">
        <v>0</v>
      </c>
      <c r="GW67" s="230">
        <v>0</v>
      </c>
      <c r="GX67" s="230">
        <v>0</v>
      </c>
      <c r="GY67" s="230">
        <v>0</v>
      </c>
      <c r="GZ67" s="230">
        <v>0</v>
      </c>
      <c r="HA67" s="230">
        <v>0</v>
      </c>
      <c r="HB67" s="230">
        <v>0</v>
      </c>
      <c r="HC67" s="230">
        <v>0</v>
      </c>
      <c r="HD67" s="230">
        <v>0</v>
      </c>
      <c r="HE67" s="230">
        <v>0</v>
      </c>
      <c r="HF67" s="230">
        <v>0</v>
      </c>
      <c r="HG67" s="230">
        <v>0</v>
      </c>
      <c r="HH67" s="230">
        <v>0</v>
      </c>
      <c r="HI67" s="230">
        <v>0</v>
      </c>
      <c r="HJ67" s="230">
        <v>0</v>
      </c>
      <c r="HK67" s="230">
        <v>0</v>
      </c>
      <c r="HL67" s="230">
        <v>0</v>
      </c>
      <c r="HM67" s="230">
        <v>0</v>
      </c>
      <c r="HN67" s="230">
        <v>0</v>
      </c>
      <c r="HO67" s="230">
        <v>0</v>
      </c>
      <c r="HP67" s="230" t="s">
        <v>51</v>
      </c>
      <c r="HQ67" s="230">
        <v>40</v>
      </c>
      <c r="HR67" s="230">
        <v>0</v>
      </c>
      <c r="HS67" s="230">
        <v>0</v>
      </c>
      <c r="HT67" s="230">
        <v>0</v>
      </c>
      <c r="HU67" s="230">
        <v>0</v>
      </c>
      <c r="HV67" s="230">
        <v>0</v>
      </c>
      <c r="HW67" s="797">
        <v>40</v>
      </c>
      <c r="HX67" s="797">
        <v>0</v>
      </c>
      <c r="HY67" s="230">
        <v>68</v>
      </c>
      <c r="HZ67" s="230"/>
      <c r="IA67" s="230"/>
      <c r="IB67" s="230"/>
      <c r="IC67" s="232" t="s">
        <v>1151</v>
      </c>
      <c r="ID67" s="233">
        <v>2018</v>
      </c>
      <c r="IE67" s="467" t="s">
        <v>1118</v>
      </c>
      <c r="IF67" s="232" t="s">
        <v>364</v>
      </c>
      <c r="IG67" s="467" t="s">
        <v>1119</v>
      </c>
      <c r="IH67" s="467" t="s">
        <v>1120</v>
      </c>
      <c r="II67" s="546" t="s">
        <v>1119</v>
      </c>
      <c r="IJ67" s="467">
        <v>44486</v>
      </c>
      <c r="IK67" s="468">
        <v>3</v>
      </c>
      <c r="IL67" s="469" t="s">
        <v>1210</v>
      </c>
      <c r="IM67" s="469" t="s">
        <v>1195</v>
      </c>
      <c r="IN67" s="469" t="s">
        <v>1195</v>
      </c>
      <c r="IO67" s="469" t="s">
        <v>601</v>
      </c>
      <c r="IP67" s="469" t="s">
        <v>601</v>
      </c>
      <c r="IQ67" s="469" t="s">
        <v>601</v>
      </c>
      <c r="IR67" s="469">
        <v>1</v>
      </c>
      <c r="IS67" s="469">
        <v>2</v>
      </c>
      <c r="IT67" s="469" t="s">
        <v>675</v>
      </c>
      <c r="IU67" s="469" t="s">
        <v>675</v>
      </c>
    </row>
    <row r="68" ht="76.5">
      <c r="A68" s="322">
        <v>67</v>
      </c>
      <c r="B68" s="229" t="s">
        <v>1178</v>
      </c>
      <c r="C68" s="229" t="s">
        <v>1178</v>
      </c>
      <c r="D68" s="797" t="s">
        <v>1159</v>
      </c>
      <c r="E68" s="229" t="s">
        <v>1154</v>
      </c>
      <c r="F68" s="229" t="s">
        <v>14</v>
      </c>
      <c r="G68" s="797" t="s">
        <v>1155</v>
      </c>
      <c r="H68" s="797" t="s">
        <v>1156</v>
      </c>
      <c r="I68" s="229">
        <v>1</v>
      </c>
      <c r="J68" s="229" t="s">
        <v>1157</v>
      </c>
      <c r="K68" s="231" t="s">
        <v>1119</v>
      </c>
      <c r="L68" s="231" t="s">
        <v>1296</v>
      </c>
      <c r="M68" s="229" t="s">
        <v>576</v>
      </c>
      <c r="N68" s="229" t="s">
        <v>1159</v>
      </c>
      <c r="O68" s="229" t="s">
        <v>587</v>
      </c>
      <c r="P68" s="229" t="s">
        <v>596</v>
      </c>
      <c r="Q68" s="229" t="s">
        <v>968</v>
      </c>
      <c r="R68" s="229" t="s">
        <v>1264</v>
      </c>
      <c r="S68" s="229" t="s">
        <v>600</v>
      </c>
      <c r="T68" s="229" t="s">
        <v>1130</v>
      </c>
      <c r="U68" s="229">
        <v>1</v>
      </c>
      <c r="V68" s="229"/>
      <c r="W68" s="229" t="b">
        <v>1</v>
      </c>
      <c r="X68" s="229" t="b">
        <v>1</v>
      </c>
      <c r="Y68" s="797">
        <v>1</v>
      </c>
      <c r="Z68" s="229" t="b">
        <v>1</v>
      </c>
      <c r="AA68" s="797">
        <v>40</v>
      </c>
      <c r="AB68" s="229" t="b">
        <v>0</v>
      </c>
      <c r="AC68" s="229" t="b">
        <v>1</v>
      </c>
      <c r="AD68" s="229" t="s">
        <v>604</v>
      </c>
      <c r="AE68" s="229"/>
      <c r="AF68" s="229" t="s">
        <v>50</v>
      </c>
      <c r="AG68" s="229" t="s">
        <v>604</v>
      </c>
      <c r="AH68" s="230"/>
      <c r="AI68" s="553" t="s">
        <v>576</v>
      </c>
      <c r="AJ68" s="553" t="s">
        <v>576</v>
      </c>
      <c r="AK68" s="229">
        <v>4</v>
      </c>
      <c r="AL68" s="465" t="s">
        <v>1289</v>
      </c>
      <c r="AM68" s="465" t="s">
        <v>1297</v>
      </c>
      <c r="AN68" s="465" t="s">
        <v>1299</v>
      </c>
      <c r="AO68" s="229" t="s">
        <v>13</v>
      </c>
      <c r="AP68" s="230" t="s">
        <v>576</v>
      </c>
      <c r="AQ68" s="230">
        <v>0</v>
      </c>
      <c r="AR68" s="230">
        <v>0</v>
      </c>
      <c r="AS68" s="230" t="s">
        <v>601</v>
      </c>
      <c r="AT68" s="230" t="s">
        <v>601</v>
      </c>
      <c r="AU68" s="230" t="s">
        <v>601</v>
      </c>
      <c r="AV68" s="230" t="s">
        <v>1178</v>
      </c>
      <c r="AW68" s="230" t="s">
        <v>601</v>
      </c>
      <c r="AX68" s="230" t="s">
        <v>601</v>
      </c>
      <c r="AY68" s="230" t="s">
        <v>601</v>
      </c>
      <c r="AZ68" s="230" t="s">
        <v>601</v>
      </c>
      <c r="BA68" s="230" t="s">
        <v>601</v>
      </c>
      <c r="BB68" s="230" t="s">
        <v>1178</v>
      </c>
      <c r="BC68" s="230" t="s">
        <v>1159</v>
      </c>
      <c r="BD68" s="230">
        <v>0</v>
      </c>
      <c r="BE68" s="230">
        <v>0</v>
      </c>
      <c r="BF68" s="230">
        <v>0</v>
      </c>
      <c r="BG68" s="230" t="s">
        <v>601</v>
      </c>
      <c r="BH68" s="230" t="s">
        <v>601</v>
      </c>
      <c r="BI68" s="230" t="s">
        <v>587</v>
      </c>
      <c r="BJ68" s="230">
        <v>0</v>
      </c>
      <c r="BK68" s="230">
        <v>0</v>
      </c>
      <c r="BL68" s="230">
        <v>0</v>
      </c>
      <c r="BM68" s="230" t="s">
        <v>601</v>
      </c>
      <c r="BN68" s="230" t="s">
        <v>601</v>
      </c>
      <c r="BO68" s="553">
        <v>2</v>
      </c>
      <c r="BP68" s="553">
        <v>0</v>
      </c>
      <c r="BQ68" s="553">
        <v>0</v>
      </c>
      <c r="BR68" s="553">
        <v>0</v>
      </c>
      <c r="BS68" s="553">
        <v>0</v>
      </c>
      <c r="BT68" s="554">
        <v>0</v>
      </c>
      <c r="BU68" s="230" t="s">
        <v>968</v>
      </c>
      <c r="BV68" s="230">
        <v>0</v>
      </c>
      <c r="BW68" s="230">
        <v>0</v>
      </c>
      <c r="BX68" s="230" t="s">
        <v>601</v>
      </c>
      <c r="BY68" s="230" t="s">
        <v>601</v>
      </c>
      <c r="BZ68" s="230" t="s">
        <v>601</v>
      </c>
      <c r="CA68" s="230">
        <v>2</v>
      </c>
      <c r="CB68" s="230">
        <v>2</v>
      </c>
      <c r="CC68" s="230">
        <v>0</v>
      </c>
      <c r="CD68" s="230">
        <v>0</v>
      </c>
      <c r="CE68" s="230">
        <v>0</v>
      </c>
      <c r="CF68" s="230">
        <v>0</v>
      </c>
      <c r="CG68" s="230">
        <v>0</v>
      </c>
      <c r="CH68" s="230">
        <v>0</v>
      </c>
      <c r="CI68" s="230">
        <v>0</v>
      </c>
      <c r="CJ68" s="230">
        <v>0</v>
      </c>
      <c r="CK68" s="230">
        <v>0</v>
      </c>
      <c r="CL68" s="230">
        <v>0</v>
      </c>
      <c r="CM68" s="230">
        <v>0</v>
      </c>
      <c r="CN68" s="230">
        <v>0</v>
      </c>
      <c r="CO68" s="230">
        <v>0</v>
      </c>
      <c r="CP68" s="230">
        <v>0</v>
      </c>
      <c r="CQ68" s="230">
        <v>0</v>
      </c>
      <c r="CR68" s="230">
        <v>0</v>
      </c>
      <c r="CS68" s="230">
        <v>0</v>
      </c>
      <c r="CT68" s="230">
        <v>0</v>
      </c>
      <c r="CU68" s="230">
        <v>0</v>
      </c>
      <c r="CV68" s="230">
        <v>0</v>
      </c>
      <c r="CW68" s="230">
        <v>0</v>
      </c>
      <c r="CX68" s="230">
        <v>0</v>
      </c>
      <c r="CY68" s="230">
        <v>0</v>
      </c>
      <c r="CZ68" s="230">
        <v>0</v>
      </c>
      <c r="DA68" s="230">
        <v>0</v>
      </c>
      <c r="DB68" s="230">
        <v>0</v>
      </c>
      <c r="DC68" s="230">
        <v>0</v>
      </c>
      <c r="DD68" s="230">
        <v>0</v>
      </c>
      <c r="DE68" s="230">
        <v>0</v>
      </c>
      <c r="DF68" s="230">
        <v>0</v>
      </c>
      <c r="DG68" s="230">
        <v>0</v>
      </c>
      <c r="DH68" s="230">
        <v>0</v>
      </c>
      <c r="DI68" s="230">
        <v>0</v>
      </c>
      <c r="DJ68" s="230">
        <v>0</v>
      </c>
      <c r="DK68" s="230" t="s">
        <v>969</v>
      </c>
      <c r="DL68" s="230">
        <v>0</v>
      </c>
      <c r="DM68" s="230">
        <v>0</v>
      </c>
      <c r="DN68" s="230" t="s">
        <v>601</v>
      </c>
      <c r="DO68" s="230" t="s">
        <v>601</v>
      </c>
      <c r="DP68" s="230" t="s">
        <v>601</v>
      </c>
      <c r="DQ68" s="230" t="s">
        <v>1264</v>
      </c>
      <c r="DR68" s="230" t="s">
        <v>601</v>
      </c>
      <c r="DS68" s="230" t="s">
        <v>601</v>
      </c>
      <c r="DT68" s="230" t="s">
        <v>601</v>
      </c>
      <c r="DU68" s="230" t="s">
        <v>601</v>
      </c>
      <c r="DV68" s="230" t="s">
        <v>601</v>
      </c>
      <c r="DW68" s="230">
        <v>40</v>
      </c>
      <c r="DX68" s="230">
        <v>40</v>
      </c>
      <c r="DY68" s="230">
        <v>0</v>
      </c>
      <c r="DZ68" s="230">
        <v>0</v>
      </c>
      <c r="EA68" s="230">
        <v>0</v>
      </c>
      <c r="EB68" s="230">
        <v>0</v>
      </c>
      <c r="EC68" s="230">
        <v>40</v>
      </c>
      <c r="ED68" s="230">
        <v>0</v>
      </c>
      <c r="EE68" s="230">
        <v>0</v>
      </c>
      <c r="EF68" s="230">
        <v>0</v>
      </c>
      <c r="EG68" s="230">
        <v>0</v>
      </c>
      <c r="EH68" s="230">
        <v>0</v>
      </c>
      <c r="EI68" s="230">
        <v>0</v>
      </c>
      <c r="EJ68" s="230">
        <v>0</v>
      </c>
      <c r="EK68" s="230">
        <v>0</v>
      </c>
      <c r="EL68" s="230">
        <v>0</v>
      </c>
      <c r="EM68" s="230">
        <v>0</v>
      </c>
      <c r="EN68" s="230">
        <v>0</v>
      </c>
      <c r="EO68" s="230">
        <v>0</v>
      </c>
      <c r="EP68" s="230">
        <v>0</v>
      </c>
      <c r="EQ68" s="230">
        <v>0</v>
      </c>
      <c r="ER68" s="230">
        <v>0</v>
      </c>
      <c r="ES68" s="230">
        <v>0</v>
      </c>
      <c r="ET68" s="230">
        <v>0</v>
      </c>
      <c r="EU68" s="230">
        <v>0</v>
      </c>
      <c r="EV68" s="230">
        <v>0</v>
      </c>
      <c r="EW68" s="230">
        <v>0</v>
      </c>
      <c r="EX68" s="230">
        <v>0</v>
      </c>
      <c r="EY68" s="230">
        <v>0</v>
      </c>
      <c r="EZ68" s="230">
        <v>0</v>
      </c>
      <c r="FA68" s="230">
        <v>0</v>
      </c>
      <c r="FB68" s="230">
        <v>0</v>
      </c>
      <c r="FC68" s="230">
        <v>0</v>
      </c>
      <c r="FD68" s="230">
        <v>0</v>
      </c>
      <c r="FE68" s="230">
        <v>0</v>
      </c>
      <c r="FF68" s="230">
        <v>0</v>
      </c>
      <c r="FG68" s="230">
        <v>0</v>
      </c>
      <c r="FH68" s="230">
        <v>0</v>
      </c>
      <c r="FI68" s="230">
        <v>0</v>
      </c>
      <c r="FJ68" s="230">
        <v>0</v>
      </c>
      <c r="FK68" s="230">
        <v>0</v>
      </c>
      <c r="FL68" s="230">
        <v>0</v>
      </c>
      <c r="FM68" s="230">
        <v>40</v>
      </c>
      <c r="FN68" s="230">
        <v>2100</v>
      </c>
      <c r="FO68" s="230">
        <v>0</v>
      </c>
      <c r="FP68" s="230">
        <v>0</v>
      </c>
      <c r="FQ68" s="230" t="s">
        <v>601</v>
      </c>
      <c r="FR68" s="230" t="s">
        <v>601</v>
      </c>
      <c r="FS68" s="230" t="s">
        <v>601</v>
      </c>
      <c r="FT68" s="230" t="s">
        <v>1130</v>
      </c>
      <c r="FU68" s="230">
        <v>0</v>
      </c>
      <c r="FV68" s="230">
        <v>0</v>
      </c>
      <c r="FW68" s="230" t="s">
        <v>601</v>
      </c>
      <c r="FX68" s="230" t="s">
        <v>601</v>
      </c>
      <c r="FY68" s="230" t="s">
        <v>601</v>
      </c>
      <c r="FZ68" s="230" t="s">
        <v>1130</v>
      </c>
      <c r="GA68" s="230" t="s">
        <v>601</v>
      </c>
      <c r="GB68" s="230" t="s">
        <v>601</v>
      </c>
      <c r="GC68" s="230" t="s">
        <v>601</v>
      </c>
      <c r="GD68" s="230" t="s">
        <v>601</v>
      </c>
      <c r="GE68" s="230" t="s">
        <v>601</v>
      </c>
      <c r="GF68" s="230">
        <v>40</v>
      </c>
      <c r="GG68" s="230">
        <v>40</v>
      </c>
      <c r="GH68" s="230">
        <v>0</v>
      </c>
      <c r="GI68" s="230">
        <v>0</v>
      </c>
      <c r="GJ68" s="230">
        <v>0</v>
      </c>
      <c r="GK68" s="230">
        <v>0</v>
      </c>
      <c r="GL68" s="230">
        <v>0</v>
      </c>
      <c r="GM68" s="230">
        <v>0</v>
      </c>
      <c r="GN68" s="230">
        <v>0</v>
      </c>
      <c r="GO68" s="230">
        <v>0</v>
      </c>
      <c r="GP68" s="230">
        <v>0</v>
      </c>
      <c r="GQ68" s="230">
        <v>0</v>
      </c>
      <c r="GR68" s="230">
        <v>0</v>
      </c>
      <c r="GS68" s="230">
        <v>0</v>
      </c>
      <c r="GT68" s="230">
        <v>0</v>
      </c>
      <c r="GU68" s="230">
        <v>0</v>
      </c>
      <c r="GV68" s="230">
        <v>0</v>
      </c>
      <c r="GW68" s="230">
        <v>0</v>
      </c>
      <c r="GX68" s="230">
        <v>0</v>
      </c>
      <c r="GY68" s="230">
        <v>0</v>
      </c>
      <c r="GZ68" s="230">
        <v>0</v>
      </c>
      <c r="HA68" s="230">
        <v>0</v>
      </c>
      <c r="HB68" s="230">
        <v>0</v>
      </c>
      <c r="HC68" s="230">
        <v>0</v>
      </c>
      <c r="HD68" s="230">
        <v>0</v>
      </c>
      <c r="HE68" s="230">
        <v>0</v>
      </c>
      <c r="HF68" s="230">
        <v>0</v>
      </c>
      <c r="HG68" s="230">
        <v>0</v>
      </c>
      <c r="HH68" s="230">
        <v>0</v>
      </c>
      <c r="HI68" s="230">
        <v>0</v>
      </c>
      <c r="HJ68" s="230">
        <v>0</v>
      </c>
      <c r="HK68" s="230">
        <v>0</v>
      </c>
      <c r="HL68" s="230">
        <v>0</v>
      </c>
      <c r="HM68" s="230">
        <v>0</v>
      </c>
      <c r="HN68" s="230">
        <v>0</v>
      </c>
      <c r="HO68" s="230">
        <v>0</v>
      </c>
      <c r="HP68" s="230" t="s">
        <v>51</v>
      </c>
      <c r="HQ68" s="230">
        <v>40</v>
      </c>
      <c r="HR68" s="230">
        <v>0</v>
      </c>
      <c r="HS68" s="230">
        <v>0</v>
      </c>
      <c r="HT68" s="230">
        <v>0</v>
      </c>
      <c r="HU68" s="230">
        <v>0</v>
      </c>
      <c r="HV68" s="230">
        <v>0</v>
      </c>
      <c r="HW68" s="797">
        <v>40</v>
      </c>
      <c r="HX68" s="797">
        <v>0</v>
      </c>
      <c r="HY68" s="230">
        <v>68</v>
      </c>
      <c r="HZ68" s="230"/>
      <c r="IA68" s="230"/>
      <c r="IB68" s="230"/>
      <c r="IC68" s="232" t="s">
        <v>1158</v>
      </c>
      <c r="ID68" s="233">
        <v>2019</v>
      </c>
      <c r="IE68" s="467" t="s">
        <v>1118</v>
      </c>
      <c r="IF68" s="232" t="s">
        <v>364</v>
      </c>
      <c r="IG68" s="467" t="s">
        <v>1119</v>
      </c>
      <c r="IH68" s="467" t="s">
        <v>1120</v>
      </c>
      <c r="II68" s="546" t="s">
        <v>1119</v>
      </c>
      <c r="IJ68" s="467">
        <v>44486</v>
      </c>
      <c r="IK68" s="468">
        <v>3</v>
      </c>
      <c r="IL68" s="469" t="s">
        <v>1210</v>
      </c>
      <c r="IM68" s="469" t="s">
        <v>1195</v>
      </c>
      <c r="IN68" s="469" t="s">
        <v>1195</v>
      </c>
      <c r="IO68" s="469" t="s">
        <v>601</v>
      </c>
      <c r="IP68" s="469" t="s">
        <v>601</v>
      </c>
      <c r="IQ68" s="469" t="s">
        <v>601</v>
      </c>
      <c r="IR68" s="469">
        <v>1</v>
      </c>
      <c r="IS68" s="469">
        <v>2</v>
      </c>
      <c r="IT68" s="469" t="s">
        <v>675</v>
      </c>
      <c r="IU68" s="469" t="s">
        <v>675</v>
      </c>
    </row>
    <row r="69" ht="76.5">
      <c r="A69" s="322">
        <v>68</v>
      </c>
      <c r="B69" s="229" t="s">
        <v>1178</v>
      </c>
      <c r="C69" s="229" t="s">
        <v>1178</v>
      </c>
      <c r="D69" s="797" t="s">
        <v>1166</v>
      </c>
      <c r="E69" s="229" t="s">
        <v>1161</v>
      </c>
      <c r="F69" s="229" t="s">
        <v>14</v>
      </c>
      <c r="G69" s="797" t="s">
        <v>1162</v>
      </c>
      <c r="H69" s="797" t="s">
        <v>1163</v>
      </c>
      <c r="I69" s="229">
        <v>1</v>
      </c>
      <c r="J69" s="229" t="s">
        <v>1164</v>
      </c>
      <c r="K69" s="231" t="s">
        <v>1119</v>
      </c>
      <c r="L69" s="231" t="s">
        <v>1300</v>
      </c>
      <c r="M69" s="229" t="s">
        <v>576</v>
      </c>
      <c r="N69" s="229" t="s">
        <v>1166</v>
      </c>
      <c r="O69" s="229" t="s">
        <v>587</v>
      </c>
      <c r="P69" s="229" t="s">
        <v>1208</v>
      </c>
      <c r="Q69" s="229" t="s">
        <v>597</v>
      </c>
      <c r="R69" s="229" t="s">
        <v>1193</v>
      </c>
      <c r="S69" s="229" t="s">
        <v>600</v>
      </c>
      <c r="T69" s="229" t="s">
        <v>801</v>
      </c>
      <c r="U69" s="229">
        <v>1</v>
      </c>
      <c r="V69" s="229"/>
      <c r="W69" s="229" t="b">
        <v>1</v>
      </c>
      <c r="X69" s="229" t="b">
        <v>1</v>
      </c>
      <c r="Y69" s="797">
        <v>1</v>
      </c>
      <c r="Z69" s="229" t="b">
        <v>1</v>
      </c>
      <c r="AA69" s="797">
        <v>40</v>
      </c>
      <c r="AB69" s="229" t="b">
        <v>0</v>
      </c>
      <c r="AC69" s="229" t="b">
        <v>1</v>
      </c>
      <c r="AD69" s="229" t="s">
        <v>604</v>
      </c>
      <c r="AE69" s="229"/>
      <c r="AF69" s="229" t="s">
        <v>50</v>
      </c>
      <c r="AG69" s="229" t="s">
        <v>604</v>
      </c>
      <c r="AH69" s="230"/>
      <c r="AI69" s="553" t="s">
        <v>576</v>
      </c>
      <c r="AJ69" s="553" t="s">
        <v>576</v>
      </c>
      <c r="AK69" s="229">
        <v>4</v>
      </c>
      <c r="AL69" s="465" t="s">
        <v>1289</v>
      </c>
      <c r="AM69" s="465" t="s">
        <v>1301</v>
      </c>
      <c r="AN69" s="465" t="s">
        <v>1302</v>
      </c>
      <c r="AO69" s="229" t="s">
        <v>13</v>
      </c>
      <c r="AP69" s="230" t="s">
        <v>576</v>
      </c>
      <c r="AQ69" s="230">
        <v>0</v>
      </c>
      <c r="AR69" s="230">
        <v>0</v>
      </c>
      <c r="AS69" s="230" t="s">
        <v>601</v>
      </c>
      <c r="AT69" s="230" t="s">
        <v>601</v>
      </c>
      <c r="AU69" s="230" t="s">
        <v>601</v>
      </c>
      <c r="AV69" s="230" t="s">
        <v>1178</v>
      </c>
      <c r="AW69" s="230" t="s">
        <v>601</v>
      </c>
      <c r="AX69" s="230" t="s">
        <v>601</v>
      </c>
      <c r="AY69" s="230" t="s">
        <v>601</v>
      </c>
      <c r="AZ69" s="230" t="s">
        <v>601</v>
      </c>
      <c r="BA69" s="230" t="s">
        <v>601</v>
      </c>
      <c r="BB69" s="230" t="s">
        <v>1178</v>
      </c>
      <c r="BC69" s="230" t="s">
        <v>1166</v>
      </c>
      <c r="BD69" s="230">
        <v>0</v>
      </c>
      <c r="BE69" s="230">
        <v>0</v>
      </c>
      <c r="BF69" s="230">
        <v>0</v>
      </c>
      <c r="BG69" s="230" t="s">
        <v>601</v>
      </c>
      <c r="BH69" s="230" t="s">
        <v>601</v>
      </c>
      <c r="BI69" s="230" t="s">
        <v>587</v>
      </c>
      <c r="BJ69" s="230">
        <v>0</v>
      </c>
      <c r="BK69" s="230">
        <v>0</v>
      </c>
      <c r="BL69" s="230">
        <v>0</v>
      </c>
      <c r="BM69" s="230" t="s">
        <v>601</v>
      </c>
      <c r="BN69" s="230" t="s">
        <v>601</v>
      </c>
      <c r="BO69" s="553">
        <v>3</v>
      </c>
      <c r="BP69" s="553">
        <v>0</v>
      </c>
      <c r="BQ69" s="553">
        <v>0</v>
      </c>
      <c r="BR69" s="553">
        <v>0</v>
      </c>
      <c r="BS69" s="553">
        <v>0</v>
      </c>
      <c r="BT69" s="554">
        <v>0</v>
      </c>
      <c r="BU69" s="230" t="s">
        <v>597</v>
      </c>
      <c r="BV69" s="230">
        <v>0</v>
      </c>
      <c r="BW69" s="230">
        <v>0</v>
      </c>
      <c r="BX69" s="230" t="s">
        <v>601</v>
      </c>
      <c r="BY69" s="230" t="s">
        <v>601</v>
      </c>
      <c r="BZ69" s="230" t="s">
        <v>601</v>
      </c>
      <c r="CA69" s="230">
        <v>2</v>
      </c>
      <c r="CB69" s="230">
        <v>2</v>
      </c>
      <c r="CC69" s="230">
        <v>2</v>
      </c>
      <c r="CD69" s="230">
        <v>0</v>
      </c>
      <c r="CE69" s="230">
        <v>0</v>
      </c>
      <c r="CF69" s="230">
        <v>0</v>
      </c>
      <c r="CG69" s="230">
        <v>0</v>
      </c>
      <c r="CH69" s="230">
        <v>0</v>
      </c>
      <c r="CI69" s="230">
        <v>0</v>
      </c>
      <c r="CJ69" s="230">
        <v>0</v>
      </c>
      <c r="CK69" s="230">
        <v>0</v>
      </c>
      <c r="CL69" s="230">
        <v>0</v>
      </c>
      <c r="CM69" s="230">
        <v>0</v>
      </c>
      <c r="CN69" s="230">
        <v>0</v>
      </c>
      <c r="CO69" s="230">
        <v>0</v>
      </c>
      <c r="CP69" s="230">
        <v>0</v>
      </c>
      <c r="CQ69" s="230">
        <v>0</v>
      </c>
      <c r="CR69" s="230">
        <v>0</v>
      </c>
      <c r="CS69" s="230">
        <v>0</v>
      </c>
      <c r="CT69" s="230">
        <v>0</v>
      </c>
      <c r="CU69" s="230">
        <v>0</v>
      </c>
      <c r="CV69" s="230">
        <v>0</v>
      </c>
      <c r="CW69" s="230">
        <v>0</v>
      </c>
      <c r="CX69" s="230">
        <v>0</v>
      </c>
      <c r="CY69" s="230">
        <v>0</v>
      </c>
      <c r="CZ69" s="230">
        <v>0</v>
      </c>
      <c r="DA69" s="230">
        <v>0</v>
      </c>
      <c r="DB69" s="230">
        <v>0</v>
      </c>
      <c r="DC69" s="230">
        <v>0</v>
      </c>
      <c r="DD69" s="230">
        <v>0</v>
      </c>
      <c r="DE69" s="230">
        <v>0</v>
      </c>
      <c r="DF69" s="230">
        <v>0</v>
      </c>
      <c r="DG69" s="230">
        <v>0</v>
      </c>
      <c r="DH69" s="230">
        <v>0</v>
      </c>
      <c r="DI69" s="230">
        <v>0</v>
      </c>
      <c r="DJ69" s="230">
        <v>0</v>
      </c>
      <c r="DK69" s="230" t="s">
        <v>599</v>
      </c>
      <c r="DL69" s="230">
        <v>0</v>
      </c>
      <c r="DM69" s="230">
        <v>0</v>
      </c>
      <c r="DN69" s="230" t="s">
        <v>601</v>
      </c>
      <c r="DO69" s="230" t="s">
        <v>601</v>
      </c>
      <c r="DP69" s="230" t="s">
        <v>601</v>
      </c>
      <c r="DQ69" s="230" t="s">
        <v>1193</v>
      </c>
      <c r="DR69" s="230" t="s">
        <v>601</v>
      </c>
      <c r="DS69" s="230" t="s">
        <v>601</v>
      </c>
      <c r="DT69" s="230" t="s">
        <v>601</v>
      </c>
      <c r="DU69" s="230" t="s">
        <v>601</v>
      </c>
      <c r="DV69" s="230" t="s">
        <v>601</v>
      </c>
      <c r="DW69" s="230">
        <v>40</v>
      </c>
      <c r="DX69" s="230">
        <v>40</v>
      </c>
      <c r="DY69" s="230">
        <v>40</v>
      </c>
      <c r="DZ69" s="230">
        <v>0</v>
      </c>
      <c r="EA69" s="230">
        <v>0</v>
      </c>
      <c r="EB69" s="230">
        <v>0</v>
      </c>
      <c r="EC69" s="230">
        <v>40</v>
      </c>
      <c r="ED69" s="230">
        <v>0</v>
      </c>
      <c r="EE69" s="230">
        <v>0</v>
      </c>
      <c r="EF69" s="230">
        <v>0</v>
      </c>
      <c r="EG69" s="230">
        <v>0</v>
      </c>
      <c r="EH69" s="230">
        <v>0</v>
      </c>
      <c r="EI69" s="230">
        <v>0</v>
      </c>
      <c r="EJ69" s="230">
        <v>0</v>
      </c>
      <c r="EK69" s="230">
        <v>0</v>
      </c>
      <c r="EL69" s="230">
        <v>0</v>
      </c>
      <c r="EM69" s="230">
        <v>0</v>
      </c>
      <c r="EN69" s="230">
        <v>0</v>
      </c>
      <c r="EO69" s="230">
        <v>0</v>
      </c>
      <c r="EP69" s="230">
        <v>0</v>
      </c>
      <c r="EQ69" s="230">
        <v>0</v>
      </c>
      <c r="ER69" s="230">
        <v>0</v>
      </c>
      <c r="ES69" s="230">
        <v>0</v>
      </c>
      <c r="ET69" s="230">
        <v>0</v>
      </c>
      <c r="EU69" s="230">
        <v>0</v>
      </c>
      <c r="EV69" s="230">
        <v>0</v>
      </c>
      <c r="EW69" s="230">
        <v>0</v>
      </c>
      <c r="EX69" s="230">
        <v>0</v>
      </c>
      <c r="EY69" s="230">
        <v>0</v>
      </c>
      <c r="EZ69" s="230">
        <v>0</v>
      </c>
      <c r="FA69" s="230">
        <v>0</v>
      </c>
      <c r="FB69" s="230">
        <v>0</v>
      </c>
      <c r="FC69" s="230">
        <v>0</v>
      </c>
      <c r="FD69" s="230">
        <v>0</v>
      </c>
      <c r="FE69" s="230">
        <v>0</v>
      </c>
      <c r="FF69" s="230">
        <v>0</v>
      </c>
      <c r="FG69" s="230">
        <v>0</v>
      </c>
      <c r="FH69" s="230">
        <v>0</v>
      </c>
      <c r="FI69" s="230">
        <v>0</v>
      </c>
      <c r="FJ69" s="230">
        <v>0</v>
      </c>
      <c r="FK69" s="230">
        <v>0</v>
      </c>
      <c r="FL69" s="230">
        <v>0</v>
      </c>
      <c r="FM69" s="230">
        <v>40</v>
      </c>
      <c r="FN69" s="230">
        <v>2100</v>
      </c>
      <c r="FO69" s="230">
        <v>0</v>
      </c>
      <c r="FP69" s="230">
        <v>0</v>
      </c>
      <c r="FQ69" s="230" t="s">
        <v>601</v>
      </c>
      <c r="FR69" s="230" t="s">
        <v>601</v>
      </c>
      <c r="FS69" s="230" t="s">
        <v>601</v>
      </c>
      <c r="FT69" s="230" t="s">
        <v>801</v>
      </c>
      <c r="FU69" s="230">
        <v>0</v>
      </c>
      <c r="FV69" s="230">
        <v>0</v>
      </c>
      <c r="FW69" s="230" t="s">
        <v>601</v>
      </c>
      <c r="FX69" s="230" t="s">
        <v>601</v>
      </c>
      <c r="FY69" s="230" t="s">
        <v>601</v>
      </c>
      <c r="FZ69" s="230" t="s">
        <v>801</v>
      </c>
      <c r="GA69" s="230" t="s">
        <v>601</v>
      </c>
      <c r="GB69" s="230" t="s">
        <v>601</v>
      </c>
      <c r="GC69" s="230" t="s">
        <v>601</v>
      </c>
      <c r="GD69" s="230" t="s">
        <v>601</v>
      </c>
      <c r="GE69" s="230" t="s">
        <v>601</v>
      </c>
      <c r="GF69" s="230">
        <v>40</v>
      </c>
      <c r="GG69" s="230">
        <v>40</v>
      </c>
      <c r="GH69" s="230">
        <v>40</v>
      </c>
      <c r="GI69" s="230">
        <v>0</v>
      </c>
      <c r="GJ69" s="230">
        <v>0</v>
      </c>
      <c r="GK69" s="230">
        <v>0</v>
      </c>
      <c r="GL69" s="230">
        <v>0</v>
      </c>
      <c r="GM69" s="230">
        <v>0</v>
      </c>
      <c r="GN69" s="230">
        <v>0</v>
      </c>
      <c r="GO69" s="230">
        <v>0</v>
      </c>
      <c r="GP69" s="230">
        <v>0</v>
      </c>
      <c r="GQ69" s="230">
        <v>0</v>
      </c>
      <c r="GR69" s="230">
        <v>0</v>
      </c>
      <c r="GS69" s="230">
        <v>0</v>
      </c>
      <c r="GT69" s="230">
        <v>0</v>
      </c>
      <c r="GU69" s="230">
        <v>0</v>
      </c>
      <c r="GV69" s="230">
        <v>0</v>
      </c>
      <c r="GW69" s="230">
        <v>0</v>
      </c>
      <c r="GX69" s="230">
        <v>0</v>
      </c>
      <c r="GY69" s="230">
        <v>0</v>
      </c>
      <c r="GZ69" s="230">
        <v>0</v>
      </c>
      <c r="HA69" s="230">
        <v>0</v>
      </c>
      <c r="HB69" s="230">
        <v>0</v>
      </c>
      <c r="HC69" s="230">
        <v>0</v>
      </c>
      <c r="HD69" s="230">
        <v>0</v>
      </c>
      <c r="HE69" s="230">
        <v>0</v>
      </c>
      <c r="HF69" s="230">
        <v>0</v>
      </c>
      <c r="HG69" s="230">
        <v>0</v>
      </c>
      <c r="HH69" s="230">
        <v>0</v>
      </c>
      <c r="HI69" s="230">
        <v>0</v>
      </c>
      <c r="HJ69" s="230">
        <v>0</v>
      </c>
      <c r="HK69" s="230">
        <v>0</v>
      </c>
      <c r="HL69" s="230">
        <v>0</v>
      </c>
      <c r="HM69" s="230">
        <v>0</v>
      </c>
      <c r="HN69" s="230">
        <v>0</v>
      </c>
      <c r="HO69" s="230">
        <v>0</v>
      </c>
      <c r="HP69" s="230" t="s">
        <v>51</v>
      </c>
      <c r="HQ69" s="230">
        <v>40</v>
      </c>
      <c r="HR69" s="230">
        <v>0</v>
      </c>
      <c r="HS69" s="230">
        <v>0</v>
      </c>
      <c r="HT69" s="230">
        <v>0</v>
      </c>
      <c r="HU69" s="230">
        <v>0</v>
      </c>
      <c r="HV69" s="230">
        <v>0</v>
      </c>
      <c r="HW69" s="797">
        <v>40</v>
      </c>
      <c r="HX69" s="797">
        <v>0</v>
      </c>
      <c r="HY69" s="230">
        <v>68</v>
      </c>
      <c r="HZ69" s="230"/>
      <c r="IA69" s="230"/>
      <c r="IB69" s="230"/>
      <c r="IC69" s="232" t="s">
        <v>1165</v>
      </c>
      <c r="ID69" s="233">
        <v>2020</v>
      </c>
      <c r="IE69" s="467" t="s">
        <v>1118</v>
      </c>
      <c r="IF69" s="232" t="s">
        <v>364</v>
      </c>
      <c r="IG69" s="467" t="s">
        <v>1119</v>
      </c>
      <c r="IH69" s="467" t="s">
        <v>1120</v>
      </c>
      <c r="II69" s="546" t="s">
        <v>1119</v>
      </c>
      <c r="IJ69" s="467">
        <v>44486</v>
      </c>
      <c r="IK69" s="468">
        <v>3</v>
      </c>
      <c r="IL69" s="469" t="s">
        <v>1210</v>
      </c>
      <c r="IM69" s="469" t="s">
        <v>1195</v>
      </c>
      <c r="IN69" s="469" t="s">
        <v>1195</v>
      </c>
      <c r="IO69" s="469" t="s">
        <v>601</v>
      </c>
      <c r="IP69" s="469" t="s">
        <v>601</v>
      </c>
      <c r="IQ69" s="469" t="s">
        <v>601</v>
      </c>
      <c r="IR69" s="469">
        <v>1</v>
      </c>
      <c r="IS69" s="469">
        <v>2</v>
      </c>
      <c r="IT69" s="469" t="s">
        <v>675</v>
      </c>
      <c r="IU69" s="469" t="s">
        <v>675</v>
      </c>
    </row>
  </sheetData>
  <sheetProtection sheet="1" objects="1" scenarios="1" formatCells="0" formatColumns="0" formatRows="0" sort="0" autoFilter="0" pivotTables="0"/>
  <autoFilter ref="A1:IU1"/>
  <conditionalFormatting sqref="F2">
    <cfRule type="expression" dxfId="0" priority="5708">
      <formula>F2&lt;&gt;RIGHT(SUBSTITUTE(E2,".",""),LEN(F2))</formula>
    </cfRule>
  </conditionalFormatting>
  <conditionalFormatting sqref="X2">
    <cfRule type="expression" dxfId="0" priority="5703">
      <formula xml:space="preserve"> NOT(ISLOGICAL($X$2))</formula>
    </cfRule>
    <cfRule type="expression" dxfId="0" priority="5707">
      <formula>AND(X2=TRUE,W2=FALSE)</formula>
    </cfRule>
  </conditionalFormatting>
  <conditionalFormatting sqref="Y2">
    <cfRule type="expression" dxfId="0" priority="5706">
      <formula>OR(AND(X2=FALSE,INT(Y2)&gt;0),AND(X2=TRUE,INT(Y2)&lt;=0))</formula>
    </cfRule>
  </conditionalFormatting>
  <conditionalFormatting sqref="AA2">
    <cfRule type="expression" dxfId="0" priority="5705">
      <formula>AND(Z2=FALSE,AA2&gt;0)</formula>
    </cfRule>
  </conditionalFormatting>
  <conditionalFormatting sqref="BV2:HY2">
    <cfRule type="containsErrors" dxfId="0" priority="5704">
      <formula>ISERROR(BV2)</formula>
    </cfRule>
  </conditionalFormatting>
  <conditionalFormatting sqref="Z2">
    <cfRule type="expression" dxfId="0" priority="5702">
      <formula>NOT(ISLOGICAL($Z$2))</formula>
    </cfRule>
  </conditionalFormatting>
  <conditionalFormatting sqref="AB2">
    <cfRule type="expression" dxfId="0" priority="5701">
      <formula>NOT(ISLOGICAL($AB$2))</formula>
    </cfRule>
  </conditionalFormatting>
  <conditionalFormatting sqref="AC2">
    <cfRule type="expression" dxfId="0" priority="5700">
      <formula>NOT(ISLOGICAL($AC$2))</formula>
    </cfRule>
  </conditionalFormatting>
  <conditionalFormatting sqref="B2:BU2">
    <cfRule type="containsErrors" dxfId="0" priority="5699">
      <formula>ISERROR(B2)</formula>
    </cfRule>
  </conditionalFormatting>
  <conditionalFormatting sqref="I2">
    <cfRule type="expression" dxfId="0" priority="5698">
      <formula>NOT(ISNUMBER($I$2))</formula>
    </cfRule>
  </conditionalFormatting>
  <conditionalFormatting sqref="D2">
    <cfRule type="expression" dxfId="0" priority="5697">
      <formula>ISBLANK($D$2)</formula>
    </cfRule>
  </conditionalFormatting>
  <conditionalFormatting sqref="DW2">
    <cfRule type="expression" dxfId="2" priority="5709">
      <formula>AND(BO2&gt;=1,DW2&lt;&gt;0, GetEquPower(C2,BI2, CA2, FN2)=0)</formula>
    </cfRule>
    <cfRule type="expression" dxfId="1" priority="5710">
      <formula>AND(BO2&gt;=1,DW2&lt;&gt;GetEquPower(C2,BI2, CA2, FN2))</formula>
    </cfRule>
  </conditionalFormatting>
  <conditionalFormatting sqref="DX2">
    <cfRule type="expression" dxfId="2" priority="5711">
      <formula>AND(BO2&gt;=2,DX2&lt;&gt;0, GetEquPower(C2,BI2, CB2, FN2)=0)</formula>
    </cfRule>
    <cfRule type="expression" dxfId="1" priority="5712">
      <formula>AND(BO2&gt;=2,DX2&lt;&gt;GetEquPower(C2,BI2, CB2, FN2))</formula>
    </cfRule>
  </conditionalFormatting>
  <conditionalFormatting sqref="DY2">
    <cfRule type="expression" dxfId="2" priority="5713">
      <formula>AND(BO2&gt;=3,DY2&lt;&gt;0, GetEquPower(C2,BI2, CC2, FN2)=0)</formula>
    </cfRule>
    <cfRule type="expression" dxfId="1" priority="5714">
      <formula>AND(BO2&gt;=3,DY2&lt;&gt;GetEquPower(C2,BI2, CC2, FN2))</formula>
    </cfRule>
  </conditionalFormatting>
  <conditionalFormatting sqref="ED2">
    <cfRule type="expression" dxfId="2" priority="5715">
      <formula>AND(BP2&gt;=1,ED2&lt;&gt;0, GetEquPower(C2,BJ2, CG2, FO2)=0)</formula>
    </cfRule>
    <cfRule type="expression" dxfId="1" priority="5716">
      <formula>AND(BP2&gt;=1,ED2&lt;&gt;GetEquPower(C2,BJ2, CG2, FO2))</formula>
    </cfRule>
  </conditionalFormatting>
  <conditionalFormatting sqref="EE2">
    <cfRule type="expression" dxfId="2" priority="5717">
      <formula>AND(BP2&gt;=2,EE2&lt;&gt;0, GetEquPower(C2,BJ2, CH2, FO2)=0)</formula>
    </cfRule>
    <cfRule type="expression" dxfId="1" priority="5718">
      <formula>AND(BP2&gt;=2,EE2&lt;&gt;GetEquPower(C2,BJ2, CH2, FO2))</formula>
    </cfRule>
  </conditionalFormatting>
  <conditionalFormatting sqref="EF2">
    <cfRule type="expression" dxfId="2" priority="5719">
      <formula>AND(BP2&gt;=3,EF2&lt;&gt;0, GetEquPower(C2,BJ2, CI2, FO2)=0)</formula>
    </cfRule>
    <cfRule type="expression" dxfId="1" priority="5720">
      <formula>AND(BP2&gt;=3,EF2&lt;&gt;GetEquPower(C2,BJ2, CI2, FO2))</formula>
    </cfRule>
  </conditionalFormatting>
  <conditionalFormatting sqref="EK2">
    <cfRule type="expression" dxfId="2" priority="5721">
      <formula>AND(BQ2&gt;=1,EK2&lt;&gt;0, GetEquPower(C2,BK2, CM2, FP2)=0)</formula>
    </cfRule>
    <cfRule type="expression" dxfId="1" priority="5722">
      <formula>AND(BQ2&gt;=1,EK2&lt;&gt;GetEquPower(C2,BK2, CM2, FP2))</formula>
    </cfRule>
  </conditionalFormatting>
  <conditionalFormatting sqref="EL2">
    <cfRule type="expression" dxfId="2" priority="5723">
      <formula>AND(BQ2&gt;=2,EL2&lt;&gt;0, GetEquPower(C2,BK2, CN2, FP2)=0)</formula>
    </cfRule>
    <cfRule type="expression" dxfId="1" priority="5724">
      <formula xml:space="preserve"> AND(BQ2&gt;=2,EL2&lt;&gt;GetEquPower(C2,BK2, CN2, FP2))</formula>
    </cfRule>
  </conditionalFormatting>
  <conditionalFormatting sqref="EM2">
    <cfRule type="expression" dxfId="2" priority="5725">
      <formula>AND(BQ2&gt;=3,EM2&lt;&gt;0, GetEquPower(C2,BK2, CO2, FP2)=0)</formula>
    </cfRule>
    <cfRule type="expression" dxfId="1" priority="5726">
      <formula xml:space="preserve"> AND(BQ2&gt;=3,EM2&lt;&gt;GetEquPower(C2,BK2, CO2, FP2))</formula>
    </cfRule>
  </conditionalFormatting>
  <conditionalFormatting sqref="ER2">
    <cfRule type="expression" dxfId="2" priority="5727">
      <formula>AND(BR2&gt;=1,ER2&lt;&gt;0, GetEquPower(C2,BL2, CS2, FQ2)=0)</formula>
    </cfRule>
    <cfRule type="expression" dxfId="1" priority="5728">
      <formula>AND(BR2&gt;=1,ER2&lt;&gt;GetEquPower(C2,BL2, CS2, FQ2))</formula>
    </cfRule>
  </conditionalFormatting>
  <conditionalFormatting sqref="ES2">
    <cfRule type="expression" dxfId="2" priority="5729">
      <formula>AND(BR2&gt;=2,ES2&lt;&gt;0, GetEquPower(C2,BL2, CT2, FQ2)=0)</formula>
    </cfRule>
    <cfRule type="expression" dxfId="1" priority="5730">
      <formula>AND(BR2&gt;=2,ES2&lt;&gt;GetEquPower(C2,BL2, CT2, FQ2))</formula>
    </cfRule>
  </conditionalFormatting>
  <conditionalFormatting sqref="ET2">
    <cfRule type="expression" dxfId="2" priority="5731">
      <formula>AND(BR2&gt;=3,ET2&lt;&gt;0, GetEquPower(C2,BL2, CU2, FQ2)=0)</formula>
    </cfRule>
    <cfRule type="expression" dxfId="1" priority="5732">
      <formula>AND(BR2&gt;=3,ET2&lt;&gt;GetEquPower(C2,BL2, CU2, FQ2))</formula>
    </cfRule>
  </conditionalFormatting>
  <conditionalFormatting sqref="EY2">
    <cfRule type="expression" dxfId="2" priority="5733">
      <formula>AND(BS2&gt;=1,EY2&lt;&gt;0, GetEquPower(C2,BM2, CY2, FR2)=0)</formula>
    </cfRule>
    <cfRule type="expression" dxfId="1" priority="5734">
      <formula>AND(BS2&gt;=1,EY2&lt;&gt;GetEquPower(C2,BM2, CY2, FR2))</formula>
    </cfRule>
  </conditionalFormatting>
  <conditionalFormatting sqref="EZ2">
    <cfRule type="expression" dxfId="2" priority="5735">
      <formula>AND(BS2&gt;=2,EZ2&lt;&gt;0, GetEquPower(C2,BM2, CZ2, FR2)=0)</formula>
    </cfRule>
    <cfRule type="expression" dxfId="1" priority="5736">
      <formula>AND(BS2&gt;=2,EZ2&lt;&gt;GetEquPower(C2,BM2, CZ2, FR2))</formula>
    </cfRule>
  </conditionalFormatting>
  <conditionalFormatting sqref="FA2">
    <cfRule type="expression" dxfId="2" priority="5737">
      <formula>AND(BS2&gt;=3,FA2&lt;&gt;0, GetEquPower(C2,BM2, DA2, FR2)=0)</formula>
    </cfRule>
    <cfRule type="expression" dxfId="1" priority="5738">
      <formula>AND(BS2&gt;=3,FA2&lt;&gt;GetEquPower(C2,BM2, DA2, FR2))</formula>
    </cfRule>
  </conditionalFormatting>
  <conditionalFormatting sqref="FF2">
    <cfRule type="expression" dxfId="2" priority="5739">
      <formula>AND(BT2&gt;=1,FF2&lt;&gt;0, GetEquPower(C2,BN2, DE2, FS2)=0)</formula>
    </cfRule>
    <cfRule type="expression" dxfId="1" priority="5740">
      <formula>AND(BT2&gt;=1,FF2&lt;&gt;GetEquPower(C2,BN2, DE2, FS2))</formula>
    </cfRule>
  </conditionalFormatting>
  <conditionalFormatting sqref="FG2">
    <cfRule type="expression" dxfId="2" priority="5741">
      <formula>AND(BT2&gt;=2,FG2&lt;&gt;0, GetEquPower(C2,BN2, DF2, FS2)=0)</formula>
    </cfRule>
    <cfRule type="expression" dxfId="1" priority="5742">
      <formula>AND(BT2&gt;=2,FG2&lt;&gt;GetEquPower(C2,BN2, DF2, FS2))</formula>
    </cfRule>
  </conditionalFormatting>
  <conditionalFormatting sqref="FH2">
    <cfRule type="expression" dxfId="2" priority="5743">
      <formula>AND(BT2&gt;=3,FH2&lt;&gt;0, GetEquPower(C2,BN2, DG2, FS2)=0)</formula>
    </cfRule>
    <cfRule type="expression" dxfId="1" priority="5744">
      <formula>AND(BT2&gt;=3,FH2&lt;&gt;GetEquPower(C2,BN2, DG2, FS2))</formula>
    </cfRule>
  </conditionalFormatting>
  <conditionalFormatting sqref="DZ2">
    <cfRule type="expression" dxfId="2" priority="5745">
      <formula>AND(BO2&gt;=4,DZ2&lt;&gt;0, GetEquPower(C2,BI2, CD2, FN2)=0)</formula>
    </cfRule>
    <cfRule type="expression" dxfId="1" priority="5746">
      <formula>AND(BO2&gt;=4, DZ2&lt;&gt;GetEquPower(C2,BI2, CD2, FN2))</formula>
    </cfRule>
  </conditionalFormatting>
  <conditionalFormatting sqref="EG2">
    <cfRule type="expression" dxfId="2" priority="5747">
      <formula>AND(BP2&gt;=4,EG2&lt;&gt;0, GetEquPower(C2,BJ2, CJ2, FO2)=0)</formula>
    </cfRule>
    <cfRule type="expression" dxfId="1" priority="5748">
      <formula>AND(BP2&gt;=4,EG2&lt;&gt;GetEquPower(C2,BJ2, CJ2, FO2))</formula>
    </cfRule>
  </conditionalFormatting>
  <conditionalFormatting sqref="EN2">
    <cfRule type="expression" dxfId="2" priority="5749">
      <formula>AND(BQ2&gt;=4,EN2&lt;&gt;0, GetEquPower(C2,BK2, CP2, FP2)=0)</formula>
    </cfRule>
    <cfRule type="expression" dxfId="1" priority="5750">
      <formula xml:space="preserve"> AND(BQ2&gt;=4,EN2&lt;&gt;GetEquPower(C2,BK2, CP2, FP2))</formula>
    </cfRule>
  </conditionalFormatting>
  <conditionalFormatting sqref="EU2">
    <cfRule type="expression" dxfId="2" priority="5751">
      <formula>AND(BR2&gt;=4,EU2&lt;&gt;0, GetEquPower(C2,BL2, CV2, FQ2)=0)</formula>
    </cfRule>
    <cfRule type="expression" dxfId="1" priority="5752">
      <formula>AND(BR2&gt;=4,EU2&lt;&gt;GetEquPower(C2,BL2, CV2, FQ2))</formula>
    </cfRule>
  </conditionalFormatting>
  <conditionalFormatting sqref="FB2">
    <cfRule type="expression" dxfId="2" priority="5753">
      <formula>AND(BS2&gt;=4,FB2&lt;&gt;0, GetEquPower(C2,BM2, DB2, FR2)=0)</formula>
    </cfRule>
    <cfRule type="expression" dxfId="1" priority="5754">
      <formula>AND(BS2&gt;=4,FB2&lt;&gt;GetEquPower(C2,BM2, DB2, FR2))</formula>
    </cfRule>
  </conditionalFormatting>
  <conditionalFormatting sqref="FI2">
    <cfRule type="expression" dxfId="2" priority="5755">
      <formula>AND(BT2&gt;=4,FI2&lt;&gt;0, GetEquPower(C2,BN2, DH2, FS2)=0)</formula>
    </cfRule>
    <cfRule type="expression" dxfId="1" priority="5756">
      <formula>AND(BT2&gt;=4,FI2&lt;&gt;GetEquPower(C2,BN2, DH2, FS2))</formula>
    </cfRule>
  </conditionalFormatting>
  <conditionalFormatting sqref="EA2">
    <cfRule type="expression" dxfId="2" priority="5757">
      <formula>AND(BO2&gt;=5,EA2&lt;&gt;0, GetEquPower(C2,BI2, CE2, FN2)=0)</formula>
    </cfRule>
    <cfRule type="expression" dxfId="1" priority="5758">
      <formula>AND(BO2&gt;=5, EA2&lt;&gt;GetEquPower(C2,BI2, CE2, FN2))</formula>
    </cfRule>
  </conditionalFormatting>
  <conditionalFormatting sqref="EB2">
    <cfRule type="expression" dxfId="2" priority="5759">
      <formula>AND(BO2&gt;=6,EB2&lt;&gt;0, GetEquPower(C2,BI2, CF2, FN2)=0)</formula>
    </cfRule>
    <cfRule type="expression" dxfId="1" priority="5760">
      <formula>AND(BO2&gt;=6, EB2&lt;&gt;GetEquPower(C2,BI2, CF2, FN2))</formula>
    </cfRule>
  </conditionalFormatting>
  <conditionalFormatting sqref="EH2">
    <cfRule type="expression" dxfId="2" priority="5761">
      <formula>AND(BP2&gt;=5,EH2&lt;&gt;0, GetEquPower(C2,BJ2, CK2, FO2)=0)</formula>
    </cfRule>
    <cfRule type="expression" dxfId="1" priority="5762">
      <formula>AND(BP2&gt;=5,EH2&lt;&gt;GetEquPower(C2,BJ2, CK2, FO2))</formula>
    </cfRule>
  </conditionalFormatting>
  <conditionalFormatting sqref="EI2">
    <cfRule type="expression" dxfId="2" priority="5763">
      <formula>AND(BP2&gt;=6,EI2&lt;&gt;0, GetEquPower(C2,BJ2, CL2, FO2)=0)</formula>
    </cfRule>
    <cfRule type="expression" dxfId="1" priority="5764">
      <formula>AND(BP2&gt;=6,EI2&lt;&gt;GetEquPower(C2,BJ2, CL2, FO2))</formula>
    </cfRule>
  </conditionalFormatting>
  <conditionalFormatting sqref="EO2">
    <cfRule type="expression" dxfId="2" priority="5765">
      <formula>AND(BQ2&gt;=5,EO2&lt;&gt;0, GetEquPower(C2,BK2, CQ2, FP2)=0)</formula>
    </cfRule>
    <cfRule type="expression" dxfId="1" priority="5766">
      <formula xml:space="preserve"> AND(BQ2&gt;=5,EO2&lt;&gt;GetEquPower(C2,BK2, CQ2, FP2))</formula>
    </cfRule>
  </conditionalFormatting>
  <conditionalFormatting sqref="EP2">
    <cfRule type="expression" dxfId="2" priority="5767">
      <formula>AND(BQ2&gt;=6,EP2&lt;&gt;0, GetEquPower(C2,BK2, CR2, FP2)=0)</formula>
    </cfRule>
    <cfRule type="expression" dxfId="1" priority="5768">
      <formula xml:space="preserve"> AND(BQ2&gt;=6,EP2&lt;&gt;GetEquPower(C2,BK2, CR2, FP2))</formula>
    </cfRule>
  </conditionalFormatting>
  <conditionalFormatting sqref="EV2">
    <cfRule type="expression" dxfId="2" priority="5769">
      <formula>AND(BR2&gt;=5,EV2&lt;&gt;0, GetEquPower(C2,BL2, CW2, FQ2)=0)</formula>
    </cfRule>
    <cfRule type="expression" dxfId="1" priority="5770">
      <formula>AND(BR2&gt;=5,EV2&lt;&gt;GetEquPower(C2,BL2, CW2, FQ2))</formula>
    </cfRule>
  </conditionalFormatting>
  <conditionalFormatting sqref="EW2">
    <cfRule type="expression" dxfId="2" priority="5771">
      <formula>AND(BR2&gt;=6,EW2&lt;&gt;0, GetEquPower(C2,BL2, CX2, FQ2)=0)</formula>
    </cfRule>
    <cfRule type="expression" dxfId="1" priority="5772">
      <formula>AND(BR2&gt;=6,EW2&lt;&gt;GetEquPower(C2,BL2, CX2, FQ2))</formula>
    </cfRule>
  </conditionalFormatting>
  <conditionalFormatting sqref="FC2">
    <cfRule type="expression" dxfId="2" priority="5773">
      <formula>AND(BS2&gt;=5,FC2&lt;&gt;0, GetEquPower(C2,BM2, DC2, FR2)=0)</formula>
    </cfRule>
    <cfRule type="expression" dxfId="1" priority="5774">
      <formula>AND(BS2&gt;=5,FC2&lt;&gt;GetEquPower(C2,BM2, DC2, FR2))</formula>
    </cfRule>
  </conditionalFormatting>
  <conditionalFormatting sqref="FD2">
    <cfRule type="expression" dxfId="2" priority="5775">
      <formula>AND(BS2&gt;=6,FD2&lt;&gt;0, GetEquPower(C2,BM2, DD2, FR2)=0)</formula>
    </cfRule>
    <cfRule type="expression" dxfId="1" priority="5776">
      <formula>AND(BS2&gt;=6,FD2&lt;&gt;GetEquPower(C2,BM2, DD2, FR2))</formula>
    </cfRule>
  </conditionalFormatting>
  <conditionalFormatting sqref="FJ2">
    <cfRule type="expression" dxfId="2" priority="5777">
      <formula>AND(BT2&gt;=5,FJ2&lt;&gt;0, GetEquPower(C2,BN2, DI2, FS2)=0)</formula>
    </cfRule>
    <cfRule type="expression" dxfId="1" priority="5778">
      <formula>AND(BT2&gt;=5,FJ2&lt;&gt;GetEquPower(C2,BN2, DI2, FS2))</formula>
    </cfRule>
  </conditionalFormatting>
  <conditionalFormatting sqref="FK2">
    <cfRule type="expression" dxfId="2" priority="5779">
      <formula>AND(BT2&gt;=6,FK2&lt;&gt;0, GetEquPower(C2,BN2, DJ2, FS2)=0)</formula>
    </cfRule>
    <cfRule type="expression" dxfId="1" priority="5780">
      <formula>AND(BT2&gt;=6,FK2&lt;&gt;GetEquPower(C2,BN2, DJ2, FS2))</formula>
    </cfRule>
  </conditionalFormatting>
  <conditionalFormatting sqref="W2">
    <cfRule type="expression" dxfId="0" priority="5696">
      <formula xml:space="preserve"> NOT(ISLOGICAL($W$2))</formula>
    </cfRule>
  </conditionalFormatting>
  <conditionalFormatting sqref="F3">
    <cfRule type="expression" dxfId="0" priority="5623">
      <formula>F3&lt;&gt;RIGHT(SUBSTITUTE(E3,".",""),LEN(F3))</formula>
    </cfRule>
  </conditionalFormatting>
  <conditionalFormatting sqref="X3">
    <cfRule type="expression" dxfId="0" priority="5618">
      <formula xml:space="preserve"> NOT(ISLOGICAL($X$2))</formula>
    </cfRule>
    <cfRule type="expression" dxfId="0" priority="5622">
      <formula>AND(X3=TRUE,W3=FALSE)</formula>
    </cfRule>
  </conditionalFormatting>
  <conditionalFormatting sqref="Y3">
    <cfRule type="expression" dxfId="0" priority="5621">
      <formula>OR(AND(X3=FALSE,INT(Y3)&gt;0),AND(X3=TRUE,INT(Y3)&lt;=0))</formula>
    </cfRule>
  </conditionalFormatting>
  <conditionalFormatting sqref="AA3">
    <cfRule type="expression" dxfId="0" priority="5620">
      <formula>AND(Z3=FALSE,AA3&gt;0)</formula>
    </cfRule>
  </conditionalFormatting>
  <conditionalFormatting sqref="BV3:HY3">
    <cfRule type="containsErrors" dxfId="0" priority="5619">
      <formula>ISERROR(BV3)</formula>
    </cfRule>
  </conditionalFormatting>
  <conditionalFormatting sqref="Z3">
    <cfRule type="expression" dxfId="0" priority="5617">
      <formula>NOT(ISLOGICAL($Z$2))</formula>
    </cfRule>
  </conditionalFormatting>
  <conditionalFormatting sqref="AB3">
    <cfRule type="expression" dxfId="0" priority="5616">
      <formula>NOT(ISLOGICAL($AB$2))</formula>
    </cfRule>
  </conditionalFormatting>
  <conditionalFormatting sqref="AC3">
    <cfRule type="expression" dxfId="0" priority="5615">
      <formula>NOT(ISLOGICAL($AC$2))</formula>
    </cfRule>
  </conditionalFormatting>
  <conditionalFormatting sqref="B3:BU3">
    <cfRule type="containsErrors" dxfId="0" priority="5614">
      <formula>ISERROR(B3)</formula>
    </cfRule>
  </conditionalFormatting>
  <conditionalFormatting sqref="I3">
    <cfRule type="expression" dxfId="0" priority="5613">
      <formula>NOT(ISNUMBER($I$2))</formula>
    </cfRule>
  </conditionalFormatting>
  <conditionalFormatting sqref="D3">
    <cfRule type="expression" dxfId="0" priority="5612">
      <formula>ISBLANK($D$2)</formula>
    </cfRule>
  </conditionalFormatting>
  <conditionalFormatting sqref="DW3">
    <cfRule type="expression" dxfId="2" priority="5624">
      <formula>AND(BO3&gt;=1,DW3&lt;&gt;0, GetEquPower(C3,BI3, CA3, FN3)=0)</formula>
    </cfRule>
    <cfRule type="expression" dxfId="1" priority="5625">
      <formula>AND(BO3&gt;=1,DW3&lt;&gt;GetEquPower(C3,BI3, CA3, FN3))</formula>
    </cfRule>
  </conditionalFormatting>
  <conditionalFormatting sqref="DX3">
    <cfRule type="expression" dxfId="2" priority="5626">
      <formula>AND(BO3&gt;=2,DX3&lt;&gt;0, GetEquPower(C3,BI3, CB3, FN3)=0)</formula>
    </cfRule>
    <cfRule type="expression" dxfId="1" priority="5627">
      <formula>AND(BO3&gt;=2,DX3&lt;&gt;GetEquPower(C3,BI3, CB3, FN3))</formula>
    </cfRule>
  </conditionalFormatting>
  <conditionalFormatting sqref="DY3">
    <cfRule type="expression" dxfId="2" priority="5628">
      <formula>AND(BO3&gt;=3,DY3&lt;&gt;0, GetEquPower(C3,BI3, CC3, FN3)=0)</formula>
    </cfRule>
    <cfRule type="expression" dxfId="1" priority="5629">
      <formula>AND(BO3&gt;=3,DY3&lt;&gt;GetEquPower(C3,BI3, CC3, FN3))</formula>
    </cfRule>
  </conditionalFormatting>
  <conditionalFormatting sqref="ED3">
    <cfRule type="expression" dxfId="2" priority="5630">
      <formula>AND(BP3&gt;=1,ED3&lt;&gt;0, GetEquPower(C3,BJ3, CG3, FO3)=0)</formula>
    </cfRule>
    <cfRule type="expression" dxfId="1" priority="5631">
      <formula>AND(BP3&gt;=1,ED3&lt;&gt;GetEquPower(C3,BJ3, CG3, FO3))</formula>
    </cfRule>
  </conditionalFormatting>
  <conditionalFormatting sqref="EE3">
    <cfRule type="expression" dxfId="2" priority="5632">
      <formula>AND(BP3&gt;=2,EE3&lt;&gt;0, GetEquPower(C3,BJ3, CH3, FO3)=0)</formula>
    </cfRule>
    <cfRule type="expression" dxfId="1" priority="5633">
      <formula>AND(BP3&gt;=2,EE3&lt;&gt;GetEquPower(C3,BJ3, CH3, FO3))</formula>
    </cfRule>
  </conditionalFormatting>
  <conditionalFormatting sqref="EF3">
    <cfRule type="expression" dxfId="2" priority="5634">
      <formula>AND(BP3&gt;=3,EF3&lt;&gt;0, GetEquPower(C3,BJ3, CI3, FO3)=0)</formula>
    </cfRule>
    <cfRule type="expression" dxfId="1" priority="5635">
      <formula>AND(BP3&gt;=3,EF3&lt;&gt;GetEquPower(C3,BJ3, CI3, FO3))</formula>
    </cfRule>
  </conditionalFormatting>
  <conditionalFormatting sqref="EK3">
    <cfRule type="expression" dxfId="2" priority="5636">
      <formula>AND(BQ3&gt;=1,EK3&lt;&gt;0, GetEquPower(C3,BK3, CM3, FP3)=0)</formula>
    </cfRule>
    <cfRule type="expression" dxfId="1" priority="5637">
      <formula>AND(BQ3&gt;=1,EK3&lt;&gt;GetEquPower(C3,BK3, CM3, FP3))</formula>
    </cfRule>
  </conditionalFormatting>
  <conditionalFormatting sqref="EL3">
    <cfRule type="expression" dxfId="2" priority="5638">
      <formula>AND(BQ3&gt;=2,EL3&lt;&gt;0, GetEquPower(C3,BK3, CN3, FP3)=0)</formula>
    </cfRule>
    <cfRule type="expression" dxfId="1" priority="5639">
      <formula xml:space="preserve"> AND(BQ3&gt;=2,EL3&lt;&gt;GetEquPower(C3,BK3, CN3, FP3))</formula>
    </cfRule>
  </conditionalFormatting>
  <conditionalFormatting sqref="EM3">
    <cfRule type="expression" dxfId="2" priority="5640">
      <formula>AND(BQ3&gt;=3,EM3&lt;&gt;0, GetEquPower(C3,BK3, CO3, FP3)=0)</formula>
    </cfRule>
    <cfRule type="expression" dxfId="1" priority="5641">
      <formula xml:space="preserve"> AND(BQ3&gt;=3,EM3&lt;&gt;GetEquPower(C3,BK3, CO3, FP3))</formula>
    </cfRule>
  </conditionalFormatting>
  <conditionalFormatting sqref="ER3">
    <cfRule type="expression" dxfId="2" priority="5642">
      <formula>AND(BR3&gt;=1,ER3&lt;&gt;0, GetEquPower(C3,BL3, CS3, FQ3)=0)</formula>
    </cfRule>
    <cfRule type="expression" dxfId="1" priority="5643">
      <formula>AND(BR3&gt;=1,ER3&lt;&gt;GetEquPower(C3,BL3, CS3, FQ3))</formula>
    </cfRule>
  </conditionalFormatting>
  <conditionalFormatting sqref="ES3">
    <cfRule type="expression" dxfId="2" priority="5644">
      <formula>AND(BR3&gt;=2,ES3&lt;&gt;0, GetEquPower(C3,BL3, CT3, FQ3)=0)</formula>
    </cfRule>
    <cfRule type="expression" dxfId="1" priority="5645">
      <formula>AND(BR3&gt;=2,ES3&lt;&gt;GetEquPower(C3,BL3, CT3, FQ3))</formula>
    </cfRule>
  </conditionalFormatting>
  <conditionalFormatting sqref="ET3">
    <cfRule type="expression" dxfId="2" priority="5646">
      <formula>AND(BR3&gt;=3,ET3&lt;&gt;0, GetEquPower(C3,BL3, CU3, FQ3)=0)</formula>
    </cfRule>
    <cfRule type="expression" dxfId="1" priority="5647">
      <formula>AND(BR3&gt;=3,ET3&lt;&gt;GetEquPower(C3,BL3, CU3, FQ3))</formula>
    </cfRule>
  </conditionalFormatting>
  <conditionalFormatting sqref="EY3">
    <cfRule type="expression" dxfId="2" priority="5648">
      <formula>AND(BS3&gt;=1,EY3&lt;&gt;0, GetEquPower(C3,BM3, CY3, FR3)=0)</formula>
    </cfRule>
    <cfRule type="expression" dxfId="1" priority="5649">
      <formula>AND(BS3&gt;=1,EY3&lt;&gt;GetEquPower(C3,BM3, CY3, FR3))</formula>
    </cfRule>
  </conditionalFormatting>
  <conditionalFormatting sqref="EZ3">
    <cfRule type="expression" dxfId="2" priority="5650">
      <formula>AND(BS3&gt;=2,EZ3&lt;&gt;0, GetEquPower(C3,BM3, CZ3, FR3)=0)</formula>
    </cfRule>
    <cfRule type="expression" dxfId="1" priority="5651">
      <formula>AND(BS3&gt;=2,EZ3&lt;&gt;GetEquPower(C3,BM3, CZ3, FR3))</formula>
    </cfRule>
  </conditionalFormatting>
  <conditionalFormatting sqref="FA3">
    <cfRule type="expression" dxfId="2" priority="5652">
      <formula>AND(BS3&gt;=3,FA3&lt;&gt;0, GetEquPower(C3,BM3, DA3, FR3)=0)</formula>
    </cfRule>
    <cfRule type="expression" dxfId="1" priority="5653">
      <formula>AND(BS3&gt;=3,FA3&lt;&gt;GetEquPower(C3,BM3, DA3, FR3))</formula>
    </cfRule>
  </conditionalFormatting>
  <conditionalFormatting sqref="FF3">
    <cfRule type="expression" dxfId="2" priority="5654">
      <formula>AND(BT3&gt;=1,FF3&lt;&gt;0, GetEquPower(C3,BN3, DE3, FS3)=0)</formula>
    </cfRule>
    <cfRule type="expression" dxfId="1" priority="5655">
      <formula>AND(BT3&gt;=1,FF3&lt;&gt;GetEquPower(C3,BN3, DE3, FS3))</formula>
    </cfRule>
  </conditionalFormatting>
  <conditionalFormatting sqref="FG3">
    <cfRule type="expression" dxfId="2" priority="5656">
      <formula>AND(BT3&gt;=2,FG3&lt;&gt;0, GetEquPower(C3,BN3, DF3, FS3)=0)</formula>
    </cfRule>
    <cfRule type="expression" dxfId="1" priority="5657">
      <formula>AND(BT3&gt;=2,FG3&lt;&gt;GetEquPower(C3,BN3, DF3, FS3))</formula>
    </cfRule>
  </conditionalFormatting>
  <conditionalFormatting sqref="FH3">
    <cfRule type="expression" dxfId="2" priority="5658">
      <formula>AND(BT3&gt;=3,FH3&lt;&gt;0, GetEquPower(C3,BN3, DG3, FS3)=0)</formula>
    </cfRule>
    <cfRule type="expression" dxfId="1" priority="5659">
      <formula>AND(BT3&gt;=3,FH3&lt;&gt;GetEquPower(C3,BN3, DG3, FS3))</formula>
    </cfRule>
  </conditionalFormatting>
  <conditionalFormatting sqref="DZ3">
    <cfRule type="expression" dxfId="2" priority="5660">
      <formula>AND(BO3&gt;=4,DZ3&lt;&gt;0, GetEquPower(C3,BI3, CD3, FN3)=0)</formula>
    </cfRule>
    <cfRule type="expression" dxfId="1" priority="5661">
      <formula>AND(BO3&gt;=4, DZ3&lt;&gt;GetEquPower(C3,BI3, CD3, FN3))</formula>
    </cfRule>
  </conditionalFormatting>
  <conditionalFormatting sqref="EG3">
    <cfRule type="expression" dxfId="2" priority="5662">
      <formula>AND(BP3&gt;=4,EG3&lt;&gt;0, GetEquPower(C3,BJ3, CJ3, FO3)=0)</formula>
    </cfRule>
    <cfRule type="expression" dxfId="1" priority="5663">
      <formula>AND(BP3&gt;=4,EG3&lt;&gt;GetEquPower(C3,BJ3, CJ3, FO3))</formula>
    </cfRule>
  </conditionalFormatting>
  <conditionalFormatting sqref="EN3">
    <cfRule type="expression" dxfId="2" priority="5664">
      <formula>AND(BQ3&gt;=4,EN3&lt;&gt;0, GetEquPower(C3,BK3, CP3, FP3)=0)</formula>
    </cfRule>
    <cfRule type="expression" dxfId="1" priority="5665">
      <formula xml:space="preserve"> AND(BQ3&gt;=4,EN3&lt;&gt;GetEquPower(C3,BK3, CP3, FP3))</formula>
    </cfRule>
  </conditionalFormatting>
  <conditionalFormatting sqref="EU3">
    <cfRule type="expression" dxfId="2" priority="5666">
      <formula>AND(BR3&gt;=4,EU3&lt;&gt;0, GetEquPower(C3,BL3, CV3, FQ3)=0)</formula>
    </cfRule>
    <cfRule type="expression" dxfId="1" priority="5667">
      <formula>AND(BR3&gt;=4,EU3&lt;&gt;GetEquPower(C3,BL3, CV3, FQ3))</formula>
    </cfRule>
  </conditionalFormatting>
  <conditionalFormatting sqref="FB3">
    <cfRule type="expression" dxfId="2" priority="5668">
      <formula>AND(BS3&gt;=4,FB3&lt;&gt;0, GetEquPower(C3,BM3, DB3, FR3)=0)</formula>
    </cfRule>
    <cfRule type="expression" dxfId="1" priority="5669">
      <formula>AND(BS3&gt;=4,FB3&lt;&gt;GetEquPower(C3,BM3, DB3, FR3))</formula>
    </cfRule>
  </conditionalFormatting>
  <conditionalFormatting sqref="FI3">
    <cfRule type="expression" dxfId="2" priority="5670">
      <formula>AND(BT3&gt;=4,FI3&lt;&gt;0, GetEquPower(C3,BN3, DH3, FS3)=0)</formula>
    </cfRule>
    <cfRule type="expression" dxfId="1" priority="5671">
      <formula>AND(BT3&gt;=4,FI3&lt;&gt;GetEquPower(C3,BN3, DH3, FS3))</formula>
    </cfRule>
  </conditionalFormatting>
  <conditionalFormatting sqref="EA3">
    <cfRule type="expression" dxfId="2" priority="5672">
      <formula>AND(BO3&gt;=5,EA3&lt;&gt;0, GetEquPower(C3,BI3, CE3, FN3)=0)</formula>
    </cfRule>
    <cfRule type="expression" dxfId="1" priority="5673">
      <formula>AND(BO3&gt;=5, EA3&lt;&gt;GetEquPower(C3,BI3, CE3, FN3))</formula>
    </cfRule>
  </conditionalFormatting>
  <conditionalFormatting sqref="EB3">
    <cfRule type="expression" dxfId="2" priority="5674">
      <formula>AND(BO3&gt;=6,EB3&lt;&gt;0, GetEquPower(C3,BI3, CF3, FN3)=0)</formula>
    </cfRule>
    <cfRule type="expression" dxfId="1" priority="5675">
      <formula>AND(BO3&gt;=6, EB3&lt;&gt;GetEquPower(C3,BI3, CF3, FN3))</formula>
    </cfRule>
  </conditionalFormatting>
  <conditionalFormatting sqref="EH3">
    <cfRule type="expression" dxfId="2" priority="5676">
      <formula>AND(BP3&gt;=5,EH3&lt;&gt;0, GetEquPower(C3,BJ3, CK3, FO3)=0)</formula>
    </cfRule>
    <cfRule type="expression" dxfId="1" priority="5677">
      <formula>AND(BP3&gt;=5,EH3&lt;&gt;GetEquPower(C3,BJ3, CK3, FO3))</formula>
    </cfRule>
  </conditionalFormatting>
  <conditionalFormatting sqref="EI3">
    <cfRule type="expression" dxfId="2" priority="5678">
      <formula>AND(BP3&gt;=6,EI3&lt;&gt;0, GetEquPower(C3,BJ3, CL3, FO3)=0)</formula>
    </cfRule>
    <cfRule type="expression" dxfId="1" priority="5679">
      <formula>AND(BP3&gt;=6,EI3&lt;&gt;GetEquPower(C3,BJ3, CL3, FO3))</formula>
    </cfRule>
  </conditionalFormatting>
  <conditionalFormatting sqref="EO3">
    <cfRule type="expression" dxfId="2" priority="5680">
      <formula>AND(BQ3&gt;=5,EO3&lt;&gt;0, GetEquPower(C3,BK3, CQ3, FP3)=0)</formula>
    </cfRule>
    <cfRule type="expression" dxfId="1" priority="5681">
      <formula xml:space="preserve"> AND(BQ3&gt;=5,EO3&lt;&gt;GetEquPower(C3,BK3, CQ3, FP3))</formula>
    </cfRule>
  </conditionalFormatting>
  <conditionalFormatting sqref="EP3">
    <cfRule type="expression" dxfId="2" priority="5682">
      <formula>AND(BQ3&gt;=6,EP3&lt;&gt;0, GetEquPower(C3,BK3, CR3, FP3)=0)</formula>
    </cfRule>
    <cfRule type="expression" dxfId="1" priority="5683">
      <formula xml:space="preserve"> AND(BQ3&gt;=6,EP3&lt;&gt;GetEquPower(C3,BK3, CR3, FP3))</formula>
    </cfRule>
  </conditionalFormatting>
  <conditionalFormatting sqref="EV3">
    <cfRule type="expression" dxfId="2" priority="5684">
      <formula>AND(BR3&gt;=5,EV3&lt;&gt;0, GetEquPower(C3,BL3, CW3, FQ3)=0)</formula>
    </cfRule>
    <cfRule type="expression" dxfId="1" priority="5685">
      <formula>AND(BR3&gt;=5,EV3&lt;&gt;GetEquPower(C3,BL3, CW3, FQ3))</formula>
    </cfRule>
  </conditionalFormatting>
  <conditionalFormatting sqref="EW3">
    <cfRule type="expression" dxfId="2" priority="5686">
      <formula>AND(BR3&gt;=6,EW3&lt;&gt;0, GetEquPower(C3,BL3, CX3, FQ3)=0)</formula>
    </cfRule>
    <cfRule type="expression" dxfId="1" priority="5687">
      <formula>AND(BR3&gt;=6,EW3&lt;&gt;GetEquPower(C3,BL3, CX3, FQ3))</formula>
    </cfRule>
  </conditionalFormatting>
  <conditionalFormatting sqref="FC3">
    <cfRule type="expression" dxfId="2" priority="5688">
      <formula>AND(BS3&gt;=5,FC3&lt;&gt;0, GetEquPower(C3,BM3, DC3, FR3)=0)</formula>
    </cfRule>
    <cfRule type="expression" dxfId="1" priority="5689">
      <formula>AND(BS3&gt;=5,FC3&lt;&gt;GetEquPower(C3,BM3, DC3, FR3))</formula>
    </cfRule>
  </conditionalFormatting>
  <conditionalFormatting sqref="FD3">
    <cfRule type="expression" dxfId="2" priority="5690">
      <formula>AND(BS3&gt;=6,FD3&lt;&gt;0, GetEquPower(C3,BM3, DD3, FR3)=0)</formula>
    </cfRule>
    <cfRule type="expression" dxfId="1" priority="5691">
      <formula>AND(BS3&gt;=6,FD3&lt;&gt;GetEquPower(C3,BM3, DD3, FR3))</formula>
    </cfRule>
  </conditionalFormatting>
  <conditionalFormatting sqref="FJ3">
    <cfRule type="expression" dxfId="2" priority="5692">
      <formula>AND(BT3&gt;=5,FJ3&lt;&gt;0, GetEquPower(C3,BN3, DI3, FS3)=0)</formula>
    </cfRule>
    <cfRule type="expression" dxfId="1" priority="5693">
      <formula>AND(BT3&gt;=5,FJ3&lt;&gt;GetEquPower(C3,BN3, DI3, FS3))</formula>
    </cfRule>
  </conditionalFormatting>
  <conditionalFormatting sqref="FK3">
    <cfRule type="expression" dxfId="2" priority="5694">
      <formula>AND(BT3&gt;=6,FK3&lt;&gt;0, GetEquPower(C3,BN3, DJ3, FS3)=0)</formula>
    </cfRule>
    <cfRule type="expression" dxfId="1" priority="5695">
      <formula>AND(BT3&gt;=6,FK3&lt;&gt;GetEquPower(C3,BN3, DJ3, FS3))</formula>
    </cfRule>
  </conditionalFormatting>
  <conditionalFormatting sqref="W3">
    <cfRule type="expression" dxfId="0" priority="5611">
      <formula xml:space="preserve"> NOT(ISLOGICAL($W$2))</formula>
    </cfRule>
  </conditionalFormatting>
  <conditionalFormatting sqref="F4">
    <cfRule type="expression" dxfId="0" priority="5538">
      <formula>F4&lt;&gt;RIGHT(SUBSTITUTE(E4,".",""),LEN(F4))</formula>
    </cfRule>
  </conditionalFormatting>
  <conditionalFormatting sqref="X4">
    <cfRule type="expression" dxfId="0" priority="5533">
      <formula xml:space="preserve"> NOT(ISLOGICAL($X$2))</formula>
    </cfRule>
    <cfRule type="expression" dxfId="0" priority="5537">
      <formula>AND(X4=TRUE,W4=FALSE)</formula>
    </cfRule>
  </conditionalFormatting>
  <conditionalFormatting sqref="Y4">
    <cfRule type="expression" dxfId="0" priority="5536">
      <formula>OR(AND(X4=FALSE,INT(Y4)&gt;0),AND(X4=TRUE,INT(Y4)&lt;=0))</formula>
    </cfRule>
  </conditionalFormatting>
  <conditionalFormatting sqref="AA4">
    <cfRule type="expression" dxfId="0" priority="5535">
      <formula>AND(Z4=FALSE,AA4&gt;0)</formula>
    </cfRule>
  </conditionalFormatting>
  <conditionalFormatting sqref="BV4:HY4">
    <cfRule type="containsErrors" dxfId="0" priority="5534">
      <formula>ISERROR(BV4)</formula>
    </cfRule>
  </conditionalFormatting>
  <conditionalFormatting sqref="Z4">
    <cfRule type="expression" dxfId="0" priority="5532">
      <formula>NOT(ISLOGICAL($Z$2))</formula>
    </cfRule>
  </conditionalFormatting>
  <conditionalFormatting sqref="AB4">
    <cfRule type="expression" dxfId="0" priority="5531">
      <formula>NOT(ISLOGICAL($AB$2))</formula>
    </cfRule>
  </conditionalFormatting>
  <conditionalFormatting sqref="AC4">
    <cfRule type="expression" dxfId="0" priority="5530">
      <formula>NOT(ISLOGICAL($AC$2))</formula>
    </cfRule>
  </conditionalFormatting>
  <conditionalFormatting sqref="B4:BU4">
    <cfRule type="containsErrors" dxfId="0" priority="5529">
      <formula>ISERROR(B4)</formula>
    </cfRule>
  </conditionalFormatting>
  <conditionalFormatting sqref="I4">
    <cfRule type="expression" dxfId="0" priority="5528">
      <formula>NOT(ISNUMBER($I$2))</formula>
    </cfRule>
  </conditionalFormatting>
  <conditionalFormatting sqref="D4">
    <cfRule type="expression" dxfId="0" priority="5527">
      <formula>ISBLANK($D$2)</formula>
    </cfRule>
  </conditionalFormatting>
  <conditionalFormatting sqref="DW4">
    <cfRule type="expression" dxfId="2" priority="5539">
      <formula>AND(BO4&gt;=1,DW4&lt;&gt;0, GetEquPower(C4,BI4, CA4, FN4)=0)</formula>
    </cfRule>
    <cfRule type="expression" dxfId="1" priority="5540">
      <formula>AND(BO4&gt;=1,DW4&lt;&gt;GetEquPower(C4,BI4, CA4, FN4))</formula>
    </cfRule>
  </conditionalFormatting>
  <conditionalFormatting sqref="DX4">
    <cfRule type="expression" dxfId="2" priority="5541">
      <formula>AND(BO4&gt;=2,DX4&lt;&gt;0, GetEquPower(C4,BI4, CB4, FN4)=0)</formula>
    </cfRule>
    <cfRule type="expression" dxfId="1" priority="5542">
      <formula>AND(BO4&gt;=2,DX4&lt;&gt;GetEquPower(C4,BI4, CB4, FN4))</formula>
    </cfRule>
  </conditionalFormatting>
  <conditionalFormatting sqref="DY4">
    <cfRule type="expression" dxfId="2" priority="5543">
      <formula>AND(BO4&gt;=3,DY4&lt;&gt;0, GetEquPower(C4,BI4, CC4, FN4)=0)</formula>
    </cfRule>
    <cfRule type="expression" dxfId="1" priority="5544">
      <formula>AND(BO4&gt;=3,DY4&lt;&gt;GetEquPower(C4,BI4, CC4, FN4))</formula>
    </cfRule>
  </conditionalFormatting>
  <conditionalFormatting sqref="ED4">
    <cfRule type="expression" dxfId="2" priority="5545">
      <formula>AND(BP4&gt;=1,ED4&lt;&gt;0, GetEquPower(C4,BJ4, CG4, FO4)=0)</formula>
    </cfRule>
    <cfRule type="expression" dxfId="1" priority="5546">
      <formula>AND(BP4&gt;=1,ED4&lt;&gt;GetEquPower(C4,BJ4, CG4, FO4))</formula>
    </cfRule>
  </conditionalFormatting>
  <conditionalFormatting sqref="EE4">
    <cfRule type="expression" dxfId="2" priority="5547">
      <formula>AND(BP4&gt;=2,EE4&lt;&gt;0, GetEquPower(C4,BJ4, CH4, FO4)=0)</formula>
    </cfRule>
    <cfRule type="expression" dxfId="1" priority="5548">
      <formula>AND(BP4&gt;=2,EE4&lt;&gt;GetEquPower(C4,BJ4, CH4, FO4))</formula>
    </cfRule>
  </conditionalFormatting>
  <conditionalFormatting sqref="EF4">
    <cfRule type="expression" dxfId="2" priority="5549">
      <formula>AND(BP4&gt;=3,EF4&lt;&gt;0, GetEquPower(C4,BJ4, CI4, FO4)=0)</formula>
    </cfRule>
    <cfRule type="expression" dxfId="1" priority="5550">
      <formula>AND(BP4&gt;=3,EF4&lt;&gt;GetEquPower(C4,BJ4, CI4, FO4))</formula>
    </cfRule>
  </conditionalFormatting>
  <conditionalFormatting sqref="EK4">
    <cfRule type="expression" dxfId="2" priority="5551">
      <formula>AND(BQ4&gt;=1,EK4&lt;&gt;0, GetEquPower(C4,BK4, CM4, FP4)=0)</formula>
    </cfRule>
    <cfRule type="expression" dxfId="1" priority="5552">
      <formula>AND(BQ4&gt;=1,EK4&lt;&gt;GetEquPower(C4,BK4, CM4, FP4))</formula>
    </cfRule>
  </conditionalFormatting>
  <conditionalFormatting sqref="EL4">
    <cfRule type="expression" dxfId="2" priority="5553">
      <formula>AND(BQ4&gt;=2,EL4&lt;&gt;0, GetEquPower(C4,BK4, CN4, FP4)=0)</formula>
    </cfRule>
    <cfRule type="expression" dxfId="1" priority="5554">
      <formula xml:space="preserve"> AND(BQ4&gt;=2,EL4&lt;&gt;GetEquPower(C4,BK4, CN4, FP4))</formula>
    </cfRule>
  </conditionalFormatting>
  <conditionalFormatting sqref="EM4">
    <cfRule type="expression" dxfId="2" priority="5555">
      <formula>AND(BQ4&gt;=3,EM4&lt;&gt;0, GetEquPower(C4,BK4, CO4, FP4)=0)</formula>
    </cfRule>
    <cfRule type="expression" dxfId="1" priority="5556">
      <formula xml:space="preserve"> AND(BQ4&gt;=3,EM4&lt;&gt;GetEquPower(C4,BK4, CO4, FP4))</formula>
    </cfRule>
  </conditionalFormatting>
  <conditionalFormatting sqref="ER4">
    <cfRule type="expression" dxfId="2" priority="5557">
      <formula>AND(BR4&gt;=1,ER4&lt;&gt;0, GetEquPower(C4,BL4, CS4, FQ4)=0)</formula>
    </cfRule>
    <cfRule type="expression" dxfId="1" priority="5558">
      <formula>AND(BR4&gt;=1,ER4&lt;&gt;GetEquPower(C4,BL4, CS4, FQ4))</formula>
    </cfRule>
  </conditionalFormatting>
  <conditionalFormatting sqref="ES4">
    <cfRule type="expression" dxfId="2" priority="5559">
      <formula>AND(BR4&gt;=2,ES4&lt;&gt;0, GetEquPower(C4,BL4, CT4, FQ4)=0)</formula>
    </cfRule>
    <cfRule type="expression" dxfId="1" priority="5560">
      <formula>AND(BR4&gt;=2,ES4&lt;&gt;GetEquPower(C4,BL4, CT4, FQ4))</formula>
    </cfRule>
  </conditionalFormatting>
  <conditionalFormatting sqref="ET4">
    <cfRule type="expression" dxfId="2" priority="5561">
      <formula>AND(BR4&gt;=3,ET4&lt;&gt;0, GetEquPower(C4,BL4, CU4, FQ4)=0)</formula>
    </cfRule>
    <cfRule type="expression" dxfId="1" priority="5562">
      <formula>AND(BR4&gt;=3,ET4&lt;&gt;GetEquPower(C4,BL4, CU4, FQ4))</formula>
    </cfRule>
  </conditionalFormatting>
  <conditionalFormatting sqref="EY4">
    <cfRule type="expression" dxfId="2" priority="5563">
      <formula>AND(BS4&gt;=1,EY4&lt;&gt;0, GetEquPower(C4,BM4, CY4, FR4)=0)</formula>
    </cfRule>
    <cfRule type="expression" dxfId="1" priority="5564">
      <formula>AND(BS4&gt;=1,EY4&lt;&gt;GetEquPower(C4,BM4, CY4, FR4))</formula>
    </cfRule>
  </conditionalFormatting>
  <conditionalFormatting sqref="EZ4">
    <cfRule type="expression" dxfId="2" priority="5565">
      <formula>AND(BS4&gt;=2,EZ4&lt;&gt;0, GetEquPower(C4,BM4, CZ4, FR4)=0)</formula>
    </cfRule>
    <cfRule type="expression" dxfId="1" priority="5566">
      <formula>AND(BS4&gt;=2,EZ4&lt;&gt;GetEquPower(C4,BM4, CZ4, FR4))</formula>
    </cfRule>
  </conditionalFormatting>
  <conditionalFormatting sqref="FA4">
    <cfRule type="expression" dxfId="2" priority="5567">
      <formula>AND(BS4&gt;=3,FA4&lt;&gt;0, GetEquPower(C4,BM4, DA4, FR4)=0)</formula>
    </cfRule>
    <cfRule type="expression" dxfId="1" priority="5568">
      <formula>AND(BS4&gt;=3,FA4&lt;&gt;GetEquPower(C4,BM4, DA4, FR4))</formula>
    </cfRule>
  </conditionalFormatting>
  <conditionalFormatting sqref="FF4">
    <cfRule type="expression" dxfId="2" priority="5569">
      <formula>AND(BT4&gt;=1,FF4&lt;&gt;0, GetEquPower(C4,BN4, DE4, FS4)=0)</formula>
    </cfRule>
    <cfRule type="expression" dxfId="1" priority="5570">
      <formula>AND(BT4&gt;=1,FF4&lt;&gt;GetEquPower(C4,BN4, DE4, FS4))</formula>
    </cfRule>
  </conditionalFormatting>
  <conditionalFormatting sqref="FG4">
    <cfRule type="expression" dxfId="2" priority="5571">
      <formula>AND(BT4&gt;=2,FG4&lt;&gt;0, GetEquPower(C4,BN4, DF4, FS4)=0)</formula>
    </cfRule>
    <cfRule type="expression" dxfId="1" priority="5572">
      <formula>AND(BT4&gt;=2,FG4&lt;&gt;GetEquPower(C4,BN4, DF4, FS4))</formula>
    </cfRule>
  </conditionalFormatting>
  <conditionalFormatting sqref="FH4">
    <cfRule type="expression" dxfId="2" priority="5573">
      <formula>AND(BT4&gt;=3,FH4&lt;&gt;0, GetEquPower(C4,BN4, DG4, FS4)=0)</formula>
    </cfRule>
    <cfRule type="expression" dxfId="1" priority="5574">
      <formula>AND(BT4&gt;=3,FH4&lt;&gt;GetEquPower(C4,BN4, DG4, FS4))</formula>
    </cfRule>
  </conditionalFormatting>
  <conditionalFormatting sqref="DZ4">
    <cfRule type="expression" dxfId="2" priority="5575">
      <formula>AND(BO4&gt;=4,DZ4&lt;&gt;0, GetEquPower(C4,BI4, CD4, FN4)=0)</formula>
    </cfRule>
    <cfRule type="expression" dxfId="1" priority="5576">
      <formula>AND(BO4&gt;=4, DZ4&lt;&gt;GetEquPower(C4,BI4, CD4, FN4))</formula>
    </cfRule>
  </conditionalFormatting>
  <conditionalFormatting sqref="EG4">
    <cfRule type="expression" dxfId="2" priority="5577">
      <formula>AND(BP4&gt;=4,EG4&lt;&gt;0, GetEquPower(C4,BJ4, CJ4, FO4)=0)</formula>
    </cfRule>
    <cfRule type="expression" dxfId="1" priority="5578">
      <formula>AND(BP4&gt;=4,EG4&lt;&gt;GetEquPower(C4,BJ4, CJ4, FO4))</formula>
    </cfRule>
  </conditionalFormatting>
  <conditionalFormatting sqref="EN4">
    <cfRule type="expression" dxfId="2" priority="5579">
      <formula>AND(BQ4&gt;=4,EN4&lt;&gt;0, GetEquPower(C4,BK4, CP4, FP4)=0)</formula>
    </cfRule>
    <cfRule type="expression" dxfId="1" priority="5580">
      <formula xml:space="preserve"> AND(BQ4&gt;=4,EN4&lt;&gt;GetEquPower(C4,BK4, CP4, FP4))</formula>
    </cfRule>
  </conditionalFormatting>
  <conditionalFormatting sqref="EU4">
    <cfRule type="expression" dxfId="2" priority="5581">
      <formula>AND(BR4&gt;=4,EU4&lt;&gt;0, GetEquPower(C4,BL4, CV4, FQ4)=0)</formula>
    </cfRule>
    <cfRule type="expression" dxfId="1" priority="5582">
      <formula>AND(BR4&gt;=4,EU4&lt;&gt;GetEquPower(C4,BL4, CV4, FQ4))</formula>
    </cfRule>
  </conditionalFormatting>
  <conditionalFormatting sqref="FB4">
    <cfRule type="expression" dxfId="2" priority="5583">
      <formula>AND(BS4&gt;=4,FB4&lt;&gt;0, GetEquPower(C4,BM4, DB4, FR4)=0)</formula>
    </cfRule>
    <cfRule type="expression" dxfId="1" priority="5584">
      <formula>AND(BS4&gt;=4,FB4&lt;&gt;GetEquPower(C4,BM4, DB4, FR4))</formula>
    </cfRule>
  </conditionalFormatting>
  <conditionalFormatting sqref="FI4">
    <cfRule type="expression" dxfId="2" priority="5585">
      <formula>AND(BT4&gt;=4,FI4&lt;&gt;0, GetEquPower(C4,BN4, DH4, FS4)=0)</formula>
    </cfRule>
    <cfRule type="expression" dxfId="1" priority="5586">
      <formula>AND(BT4&gt;=4,FI4&lt;&gt;GetEquPower(C4,BN4, DH4, FS4))</formula>
    </cfRule>
  </conditionalFormatting>
  <conditionalFormatting sqref="EA4">
    <cfRule type="expression" dxfId="2" priority="5587">
      <formula>AND(BO4&gt;=5,EA4&lt;&gt;0, GetEquPower(C4,BI4, CE4, FN4)=0)</formula>
    </cfRule>
    <cfRule type="expression" dxfId="1" priority="5588">
      <formula>AND(BO4&gt;=5, EA4&lt;&gt;GetEquPower(C4,BI4, CE4, FN4))</formula>
    </cfRule>
  </conditionalFormatting>
  <conditionalFormatting sqref="EB4">
    <cfRule type="expression" dxfId="2" priority="5589">
      <formula>AND(BO4&gt;=6,EB4&lt;&gt;0, GetEquPower(C4,BI4, CF4, FN4)=0)</formula>
    </cfRule>
    <cfRule type="expression" dxfId="1" priority="5590">
      <formula>AND(BO4&gt;=6, EB4&lt;&gt;GetEquPower(C4,BI4, CF4, FN4))</formula>
    </cfRule>
  </conditionalFormatting>
  <conditionalFormatting sqref="EH4">
    <cfRule type="expression" dxfId="2" priority="5591">
      <formula>AND(BP4&gt;=5,EH4&lt;&gt;0, GetEquPower(C4,BJ4, CK4, FO4)=0)</formula>
    </cfRule>
    <cfRule type="expression" dxfId="1" priority="5592">
      <formula>AND(BP4&gt;=5,EH4&lt;&gt;GetEquPower(C4,BJ4, CK4, FO4))</formula>
    </cfRule>
  </conditionalFormatting>
  <conditionalFormatting sqref="EI4">
    <cfRule type="expression" dxfId="2" priority="5593">
      <formula>AND(BP4&gt;=6,EI4&lt;&gt;0, GetEquPower(C4,BJ4, CL4, FO4)=0)</formula>
    </cfRule>
    <cfRule type="expression" dxfId="1" priority="5594">
      <formula>AND(BP4&gt;=6,EI4&lt;&gt;GetEquPower(C4,BJ4, CL4, FO4))</formula>
    </cfRule>
  </conditionalFormatting>
  <conditionalFormatting sqref="EO4">
    <cfRule type="expression" dxfId="2" priority="5595">
      <formula>AND(BQ4&gt;=5,EO4&lt;&gt;0, GetEquPower(C4,BK4, CQ4, FP4)=0)</formula>
    </cfRule>
    <cfRule type="expression" dxfId="1" priority="5596">
      <formula xml:space="preserve"> AND(BQ4&gt;=5,EO4&lt;&gt;GetEquPower(C4,BK4, CQ4, FP4))</formula>
    </cfRule>
  </conditionalFormatting>
  <conditionalFormatting sqref="EP4">
    <cfRule type="expression" dxfId="2" priority="5597">
      <formula>AND(BQ4&gt;=6,EP4&lt;&gt;0, GetEquPower(C4,BK4, CR4, FP4)=0)</formula>
    </cfRule>
    <cfRule type="expression" dxfId="1" priority="5598">
      <formula xml:space="preserve"> AND(BQ4&gt;=6,EP4&lt;&gt;GetEquPower(C4,BK4, CR4, FP4))</formula>
    </cfRule>
  </conditionalFormatting>
  <conditionalFormatting sqref="EV4">
    <cfRule type="expression" dxfId="2" priority="5599">
      <formula>AND(BR4&gt;=5,EV4&lt;&gt;0, GetEquPower(C4,BL4, CW4, FQ4)=0)</formula>
    </cfRule>
    <cfRule type="expression" dxfId="1" priority="5600">
      <formula>AND(BR4&gt;=5,EV4&lt;&gt;GetEquPower(C4,BL4, CW4, FQ4))</formula>
    </cfRule>
  </conditionalFormatting>
  <conditionalFormatting sqref="EW4">
    <cfRule type="expression" dxfId="2" priority="5601">
      <formula>AND(BR4&gt;=6,EW4&lt;&gt;0, GetEquPower(C4,BL4, CX4, FQ4)=0)</formula>
    </cfRule>
    <cfRule type="expression" dxfId="1" priority="5602">
      <formula>AND(BR4&gt;=6,EW4&lt;&gt;GetEquPower(C4,BL4, CX4, FQ4))</formula>
    </cfRule>
  </conditionalFormatting>
  <conditionalFormatting sqref="FC4">
    <cfRule type="expression" dxfId="2" priority="5603">
      <formula>AND(BS4&gt;=5,FC4&lt;&gt;0, GetEquPower(C4,BM4, DC4, FR4)=0)</formula>
    </cfRule>
    <cfRule type="expression" dxfId="1" priority="5604">
      <formula>AND(BS4&gt;=5,FC4&lt;&gt;GetEquPower(C4,BM4, DC4, FR4))</formula>
    </cfRule>
  </conditionalFormatting>
  <conditionalFormatting sqref="FD4">
    <cfRule type="expression" dxfId="2" priority="5605">
      <formula>AND(BS4&gt;=6,FD4&lt;&gt;0, GetEquPower(C4,BM4, DD4, FR4)=0)</formula>
    </cfRule>
    <cfRule type="expression" dxfId="1" priority="5606">
      <formula>AND(BS4&gt;=6,FD4&lt;&gt;GetEquPower(C4,BM4, DD4, FR4))</formula>
    </cfRule>
  </conditionalFormatting>
  <conditionalFormatting sqref="FJ4">
    <cfRule type="expression" dxfId="2" priority="5607">
      <formula>AND(BT4&gt;=5,FJ4&lt;&gt;0, GetEquPower(C4,BN4, DI4, FS4)=0)</formula>
    </cfRule>
    <cfRule type="expression" dxfId="1" priority="5608">
      <formula>AND(BT4&gt;=5,FJ4&lt;&gt;GetEquPower(C4,BN4, DI4, FS4))</formula>
    </cfRule>
  </conditionalFormatting>
  <conditionalFormatting sqref="FK4">
    <cfRule type="expression" dxfId="2" priority="5609">
      <formula>AND(BT4&gt;=6,FK4&lt;&gt;0, GetEquPower(C4,BN4, DJ4, FS4)=0)</formula>
    </cfRule>
    <cfRule type="expression" dxfId="1" priority="5610">
      <formula>AND(BT4&gt;=6,FK4&lt;&gt;GetEquPower(C4,BN4, DJ4, FS4))</formula>
    </cfRule>
  </conditionalFormatting>
  <conditionalFormatting sqref="W4">
    <cfRule type="expression" dxfId="0" priority="5526">
      <formula xml:space="preserve"> NOT(ISLOGICAL($W$2))</formula>
    </cfRule>
  </conditionalFormatting>
  <conditionalFormatting sqref="F5">
    <cfRule type="expression" dxfId="0" priority="5453">
      <formula>F5&lt;&gt;RIGHT(SUBSTITUTE(E5,".",""),LEN(F5))</formula>
    </cfRule>
  </conditionalFormatting>
  <conditionalFormatting sqref="X5">
    <cfRule type="expression" dxfId="0" priority="5448">
      <formula xml:space="preserve"> NOT(ISLOGICAL($X$2))</formula>
    </cfRule>
    <cfRule type="expression" dxfId="0" priority="5452">
      <formula>AND(X5=TRUE,W5=FALSE)</formula>
    </cfRule>
  </conditionalFormatting>
  <conditionalFormatting sqref="Y5">
    <cfRule type="expression" dxfId="0" priority="5451">
      <formula>OR(AND(X5=FALSE,INT(Y5)&gt;0),AND(X5=TRUE,INT(Y5)&lt;=0))</formula>
    </cfRule>
  </conditionalFormatting>
  <conditionalFormatting sqref="AA5">
    <cfRule type="expression" dxfId="0" priority="5450">
      <formula>AND(Z5=FALSE,AA5&gt;0)</formula>
    </cfRule>
  </conditionalFormatting>
  <conditionalFormatting sqref="BV5:HY5">
    <cfRule type="containsErrors" dxfId="0" priority="5449">
      <formula>ISERROR(BV5)</formula>
    </cfRule>
  </conditionalFormatting>
  <conditionalFormatting sqref="Z5">
    <cfRule type="expression" dxfId="0" priority="5447">
      <formula>NOT(ISLOGICAL($Z$2))</formula>
    </cfRule>
  </conditionalFormatting>
  <conditionalFormatting sqref="AB5">
    <cfRule type="expression" dxfId="0" priority="5446">
      <formula>NOT(ISLOGICAL($AB$2))</formula>
    </cfRule>
  </conditionalFormatting>
  <conditionalFormatting sqref="AC5">
    <cfRule type="expression" dxfId="0" priority="5445">
      <formula>NOT(ISLOGICAL($AC$2))</formula>
    </cfRule>
  </conditionalFormatting>
  <conditionalFormatting sqref="B5:BU5">
    <cfRule type="containsErrors" dxfId="0" priority="5444">
      <formula>ISERROR(B5)</formula>
    </cfRule>
  </conditionalFormatting>
  <conditionalFormatting sqref="I5">
    <cfRule type="expression" dxfId="0" priority="5443">
      <formula>NOT(ISNUMBER($I$2))</formula>
    </cfRule>
  </conditionalFormatting>
  <conditionalFormatting sqref="D5">
    <cfRule type="expression" dxfId="0" priority="5442">
      <formula>ISBLANK($D$2)</formula>
    </cfRule>
  </conditionalFormatting>
  <conditionalFormatting sqref="DW5">
    <cfRule type="expression" dxfId="2" priority="5454">
      <formula>AND(BO5&gt;=1,DW5&lt;&gt;0, GetEquPower(C5,BI5, CA5, FN5)=0)</formula>
    </cfRule>
    <cfRule type="expression" dxfId="1" priority="5455">
      <formula>AND(BO5&gt;=1,DW5&lt;&gt;GetEquPower(C5,BI5, CA5, FN5))</formula>
    </cfRule>
  </conditionalFormatting>
  <conditionalFormatting sqref="DX5">
    <cfRule type="expression" dxfId="2" priority="5456">
      <formula>AND(BO5&gt;=2,DX5&lt;&gt;0, GetEquPower(C5,BI5, CB5, FN5)=0)</formula>
    </cfRule>
    <cfRule type="expression" dxfId="1" priority="5457">
      <formula>AND(BO5&gt;=2,DX5&lt;&gt;GetEquPower(C5,BI5, CB5, FN5))</formula>
    </cfRule>
  </conditionalFormatting>
  <conditionalFormatting sqref="DY5">
    <cfRule type="expression" dxfId="2" priority="5458">
      <formula>AND(BO5&gt;=3,DY5&lt;&gt;0, GetEquPower(C5,BI5, CC5, FN5)=0)</formula>
    </cfRule>
    <cfRule type="expression" dxfId="1" priority="5459">
      <formula>AND(BO5&gt;=3,DY5&lt;&gt;GetEquPower(C5,BI5, CC5, FN5))</formula>
    </cfRule>
  </conditionalFormatting>
  <conditionalFormatting sqref="ED5">
    <cfRule type="expression" dxfId="2" priority="5460">
      <formula>AND(BP5&gt;=1,ED5&lt;&gt;0, GetEquPower(C5,BJ5, CG5, FO5)=0)</formula>
    </cfRule>
    <cfRule type="expression" dxfId="1" priority="5461">
      <formula>AND(BP5&gt;=1,ED5&lt;&gt;GetEquPower(C5,BJ5, CG5, FO5))</formula>
    </cfRule>
  </conditionalFormatting>
  <conditionalFormatting sqref="EE5">
    <cfRule type="expression" dxfId="2" priority="5462">
      <formula>AND(BP5&gt;=2,EE5&lt;&gt;0, GetEquPower(C5,BJ5, CH5, FO5)=0)</formula>
    </cfRule>
    <cfRule type="expression" dxfId="1" priority="5463">
      <formula>AND(BP5&gt;=2,EE5&lt;&gt;GetEquPower(C5,BJ5, CH5, FO5))</formula>
    </cfRule>
  </conditionalFormatting>
  <conditionalFormatting sqref="EF5">
    <cfRule type="expression" dxfId="2" priority="5464">
      <formula>AND(BP5&gt;=3,EF5&lt;&gt;0, GetEquPower(C5,BJ5, CI5, FO5)=0)</formula>
    </cfRule>
    <cfRule type="expression" dxfId="1" priority="5465">
      <formula>AND(BP5&gt;=3,EF5&lt;&gt;GetEquPower(C5,BJ5, CI5, FO5))</formula>
    </cfRule>
  </conditionalFormatting>
  <conditionalFormatting sqref="EK5">
    <cfRule type="expression" dxfId="2" priority="5466">
      <formula>AND(BQ5&gt;=1,EK5&lt;&gt;0, GetEquPower(C5,BK5, CM5, FP5)=0)</formula>
    </cfRule>
    <cfRule type="expression" dxfId="1" priority="5467">
      <formula>AND(BQ5&gt;=1,EK5&lt;&gt;GetEquPower(C5,BK5, CM5, FP5))</formula>
    </cfRule>
  </conditionalFormatting>
  <conditionalFormatting sqref="EL5">
    <cfRule type="expression" dxfId="2" priority="5468">
      <formula>AND(BQ5&gt;=2,EL5&lt;&gt;0, GetEquPower(C5,BK5, CN5, FP5)=0)</formula>
    </cfRule>
    <cfRule type="expression" dxfId="1" priority="5469">
      <formula xml:space="preserve"> AND(BQ5&gt;=2,EL5&lt;&gt;GetEquPower(C5,BK5, CN5, FP5))</formula>
    </cfRule>
  </conditionalFormatting>
  <conditionalFormatting sqref="EM5">
    <cfRule type="expression" dxfId="2" priority="5470">
      <formula>AND(BQ5&gt;=3,EM5&lt;&gt;0, GetEquPower(C5,BK5, CO5, FP5)=0)</formula>
    </cfRule>
    <cfRule type="expression" dxfId="1" priority="5471">
      <formula xml:space="preserve"> AND(BQ5&gt;=3,EM5&lt;&gt;GetEquPower(C5,BK5, CO5, FP5))</formula>
    </cfRule>
  </conditionalFormatting>
  <conditionalFormatting sqref="ER5">
    <cfRule type="expression" dxfId="2" priority="5472">
      <formula>AND(BR5&gt;=1,ER5&lt;&gt;0, GetEquPower(C5,BL5, CS5, FQ5)=0)</formula>
    </cfRule>
    <cfRule type="expression" dxfId="1" priority="5473">
      <formula>AND(BR5&gt;=1,ER5&lt;&gt;GetEquPower(C5,BL5, CS5, FQ5))</formula>
    </cfRule>
  </conditionalFormatting>
  <conditionalFormatting sqref="ES5">
    <cfRule type="expression" dxfId="2" priority="5474">
      <formula>AND(BR5&gt;=2,ES5&lt;&gt;0, GetEquPower(C5,BL5, CT5, FQ5)=0)</formula>
    </cfRule>
    <cfRule type="expression" dxfId="1" priority="5475">
      <formula>AND(BR5&gt;=2,ES5&lt;&gt;GetEquPower(C5,BL5, CT5, FQ5))</formula>
    </cfRule>
  </conditionalFormatting>
  <conditionalFormatting sqref="ET5">
    <cfRule type="expression" dxfId="2" priority="5476">
      <formula>AND(BR5&gt;=3,ET5&lt;&gt;0, GetEquPower(C5,BL5, CU5, FQ5)=0)</formula>
    </cfRule>
    <cfRule type="expression" dxfId="1" priority="5477">
      <formula>AND(BR5&gt;=3,ET5&lt;&gt;GetEquPower(C5,BL5, CU5, FQ5))</formula>
    </cfRule>
  </conditionalFormatting>
  <conditionalFormatting sqref="EY5">
    <cfRule type="expression" dxfId="2" priority="5478">
      <formula>AND(BS5&gt;=1,EY5&lt;&gt;0, GetEquPower(C5,BM5, CY5, FR5)=0)</formula>
    </cfRule>
    <cfRule type="expression" dxfId="1" priority="5479">
      <formula>AND(BS5&gt;=1,EY5&lt;&gt;GetEquPower(C5,BM5, CY5, FR5))</formula>
    </cfRule>
  </conditionalFormatting>
  <conditionalFormatting sqref="EZ5">
    <cfRule type="expression" dxfId="2" priority="5480">
      <formula>AND(BS5&gt;=2,EZ5&lt;&gt;0, GetEquPower(C5,BM5, CZ5, FR5)=0)</formula>
    </cfRule>
    <cfRule type="expression" dxfId="1" priority="5481">
      <formula>AND(BS5&gt;=2,EZ5&lt;&gt;GetEquPower(C5,BM5, CZ5, FR5))</formula>
    </cfRule>
  </conditionalFormatting>
  <conditionalFormatting sqref="FA5">
    <cfRule type="expression" dxfId="2" priority="5482">
      <formula>AND(BS5&gt;=3,FA5&lt;&gt;0, GetEquPower(C5,BM5, DA5, FR5)=0)</formula>
    </cfRule>
    <cfRule type="expression" dxfId="1" priority="5483">
      <formula>AND(BS5&gt;=3,FA5&lt;&gt;GetEquPower(C5,BM5, DA5, FR5))</formula>
    </cfRule>
  </conditionalFormatting>
  <conditionalFormatting sqref="FF5">
    <cfRule type="expression" dxfId="2" priority="5484">
      <formula>AND(BT5&gt;=1,FF5&lt;&gt;0, GetEquPower(C5,BN5, DE5, FS5)=0)</formula>
    </cfRule>
    <cfRule type="expression" dxfId="1" priority="5485">
      <formula>AND(BT5&gt;=1,FF5&lt;&gt;GetEquPower(C5,BN5, DE5, FS5))</formula>
    </cfRule>
  </conditionalFormatting>
  <conditionalFormatting sqref="FG5">
    <cfRule type="expression" dxfId="2" priority="5486">
      <formula>AND(BT5&gt;=2,FG5&lt;&gt;0, GetEquPower(C5,BN5, DF5, FS5)=0)</formula>
    </cfRule>
    <cfRule type="expression" dxfId="1" priority="5487">
      <formula>AND(BT5&gt;=2,FG5&lt;&gt;GetEquPower(C5,BN5, DF5, FS5))</formula>
    </cfRule>
  </conditionalFormatting>
  <conditionalFormatting sqref="FH5">
    <cfRule type="expression" dxfId="2" priority="5488">
      <formula>AND(BT5&gt;=3,FH5&lt;&gt;0, GetEquPower(C5,BN5, DG5, FS5)=0)</formula>
    </cfRule>
    <cfRule type="expression" dxfId="1" priority="5489">
      <formula>AND(BT5&gt;=3,FH5&lt;&gt;GetEquPower(C5,BN5, DG5, FS5))</formula>
    </cfRule>
  </conditionalFormatting>
  <conditionalFormatting sqref="DZ5">
    <cfRule type="expression" dxfId="2" priority="5490">
      <formula>AND(BO5&gt;=4,DZ5&lt;&gt;0, GetEquPower(C5,BI5, CD5, FN5)=0)</formula>
    </cfRule>
    <cfRule type="expression" dxfId="1" priority="5491">
      <formula>AND(BO5&gt;=4, DZ5&lt;&gt;GetEquPower(C5,BI5, CD5, FN5))</formula>
    </cfRule>
  </conditionalFormatting>
  <conditionalFormatting sqref="EG5">
    <cfRule type="expression" dxfId="2" priority="5492">
      <formula>AND(BP5&gt;=4,EG5&lt;&gt;0, GetEquPower(C5,BJ5, CJ5, FO5)=0)</formula>
    </cfRule>
    <cfRule type="expression" dxfId="1" priority="5493">
      <formula>AND(BP5&gt;=4,EG5&lt;&gt;GetEquPower(C5,BJ5, CJ5, FO5))</formula>
    </cfRule>
  </conditionalFormatting>
  <conditionalFormatting sqref="EN5">
    <cfRule type="expression" dxfId="2" priority="5494">
      <formula>AND(BQ5&gt;=4,EN5&lt;&gt;0, GetEquPower(C5,BK5, CP5, FP5)=0)</formula>
    </cfRule>
    <cfRule type="expression" dxfId="1" priority="5495">
      <formula xml:space="preserve"> AND(BQ5&gt;=4,EN5&lt;&gt;GetEquPower(C5,BK5, CP5, FP5))</formula>
    </cfRule>
  </conditionalFormatting>
  <conditionalFormatting sqref="EU5">
    <cfRule type="expression" dxfId="2" priority="5496">
      <formula>AND(BR5&gt;=4,EU5&lt;&gt;0, GetEquPower(C5,BL5, CV5, FQ5)=0)</formula>
    </cfRule>
    <cfRule type="expression" dxfId="1" priority="5497">
      <formula>AND(BR5&gt;=4,EU5&lt;&gt;GetEquPower(C5,BL5, CV5, FQ5))</formula>
    </cfRule>
  </conditionalFormatting>
  <conditionalFormatting sqref="FB5">
    <cfRule type="expression" dxfId="2" priority="5498">
      <formula>AND(BS5&gt;=4,FB5&lt;&gt;0, GetEquPower(C5,BM5, DB5, FR5)=0)</formula>
    </cfRule>
    <cfRule type="expression" dxfId="1" priority="5499">
      <formula>AND(BS5&gt;=4,FB5&lt;&gt;GetEquPower(C5,BM5, DB5, FR5))</formula>
    </cfRule>
  </conditionalFormatting>
  <conditionalFormatting sqref="FI5">
    <cfRule type="expression" dxfId="2" priority="5500">
      <formula>AND(BT5&gt;=4,FI5&lt;&gt;0, GetEquPower(C5,BN5, DH5, FS5)=0)</formula>
    </cfRule>
    <cfRule type="expression" dxfId="1" priority="5501">
      <formula>AND(BT5&gt;=4,FI5&lt;&gt;GetEquPower(C5,BN5, DH5, FS5))</formula>
    </cfRule>
  </conditionalFormatting>
  <conditionalFormatting sqref="EA5">
    <cfRule type="expression" dxfId="2" priority="5502">
      <formula>AND(BO5&gt;=5,EA5&lt;&gt;0, GetEquPower(C5,BI5, CE5, FN5)=0)</formula>
    </cfRule>
    <cfRule type="expression" dxfId="1" priority="5503">
      <formula>AND(BO5&gt;=5, EA5&lt;&gt;GetEquPower(C5,BI5, CE5, FN5))</formula>
    </cfRule>
  </conditionalFormatting>
  <conditionalFormatting sqref="EB5">
    <cfRule type="expression" dxfId="2" priority="5504">
      <formula>AND(BO5&gt;=6,EB5&lt;&gt;0, GetEquPower(C5,BI5, CF5, FN5)=0)</formula>
    </cfRule>
    <cfRule type="expression" dxfId="1" priority="5505">
      <formula>AND(BO5&gt;=6, EB5&lt;&gt;GetEquPower(C5,BI5, CF5, FN5))</formula>
    </cfRule>
  </conditionalFormatting>
  <conditionalFormatting sqref="EH5">
    <cfRule type="expression" dxfId="2" priority="5506">
      <formula>AND(BP5&gt;=5,EH5&lt;&gt;0, GetEquPower(C5,BJ5, CK5, FO5)=0)</formula>
    </cfRule>
    <cfRule type="expression" dxfId="1" priority="5507">
      <formula>AND(BP5&gt;=5,EH5&lt;&gt;GetEquPower(C5,BJ5, CK5, FO5))</formula>
    </cfRule>
  </conditionalFormatting>
  <conditionalFormatting sqref="EI5">
    <cfRule type="expression" dxfId="2" priority="5508">
      <formula>AND(BP5&gt;=6,EI5&lt;&gt;0, GetEquPower(C5,BJ5, CL5, FO5)=0)</formula>
    </cfRule>
    <cfRule type="expression" dxfId="1" priority="5509">
      <formula>AND(BP5&gt;=6,EI5&lt;&gt;GetEquPower(C5,BJ5, CL5, FO5))</formula>
    </cfRule>
  </conditionalFormatting>
  <conditionalFormatting sqref="EO5">
    <cfRule type="expression" dxfId="2" priority="5510">
      <formula>AND(BQ5&gt;=5,EO5&lt;&gt;0, GetEquPower(C5,BK5, CQ5, FP5)=0)</formula>
    </cfRule>
    <cfRule type="expression" dxfId="1" priority="5511">
      <formula xml:space="preserve"> AND(BQ5&gt;=5,EO5&lt;&gt;GetEquPower(C5,BK5, CQ5, FP5))</formula>
    </cfRule>
  </conditionalFormatting>
  <conditionalFormatting sqref="EP5">
    <cfRule type="expression" dxfId="2" priority="5512">
      <formula>AND(BQ5&gt;=6,EP5&lt;&gt;0, GetEquPower(C5,BK5, CR5, FP5)=0)</formula>
    </cfRule>
    <cfRule type="expression" dxfId="1" priority="5513">
      <formula xml:space="preserve"> AND(BQ5&gt;=6,EP5&lt;&gt;GetEquPower(C5,BK5, CR5, FP5))</formula>
    </cfRule>
  </conditionalFormatting>
  <conditionalFormatting sqref="EV5">
    <cfRule type="expression" dxfId="2" priority="5514">
      <formula>AND(BR5&gt;=5,EV5&lt;&gt;0, GetEquPower(C5,BL5, CW5, FQ5)=0)</formula>
    </cfRule>
    <cfRule type="expression" dxfId="1" priority="5515">
      <formula>AND(BR5&gt;=5,EV5&lt;&gt;GetEquPower(C5,BL5, CW5, FQ5))</formula>
    </cfRule>
  </conditionalFormatting>
  <conditionalFormatting sqref="EW5">
    <cfRule type="expression" dxfId="2" priority="5516">
      <formula>AND(BR5&gt;=6,EW5&lt;&gt;0, GetEquPower(C5,BL5, CX5, FQ5)=0)</formula>
    </cfRule>
    <cfRule type="expression" dxfId="1" priority="5517">
      <formula>AND(BR5&gt;=6,EW5&lt;&gt;GetEquPower(C5,BL5, CX5, FQ5))</formula>
    </cfRule>
  </conditionalFormatting>
  <conditionalFormatting sqref="FC5">
    <cfRule type="expression" dxfId="2" priority="5518">
      <formula>AND(BS5&gt;=5,FC5&lt;&gt;0, GetEquPower(C5,BM5, DC5, FR5)=0)</formula>
    </cfRule>
    <cfRule type="expression" dxfId="1" priority="5519">
      <formula>AND(BS5&gt;=5,FC5&lt;&gt;GetEquPower(C5,BM5, DC5, FR5))</formula>
    </cfRule>
  </conditionalFormatting>
  <conditionalFormatting sqref="FD5">
    <cfRule type="expression" dxfId="2" priority="5520">
      <formula>AND(BS5&gt;=6,FD5&lt;&gt;0, GetEquPower(C5,BM5, DD5, FR5)=0)</formula>
    </cfRule>
    <cfRule type="expression" dxfId="1" priority="5521">
      <formula>AND(BS5&gt;=6,FD5&lt;&gt;GetEquPower(C5,BM5, DD5, FR5))</formula>
    </cfRule>
  </conditionalFormatting>
  <conditionalFormatting sqref="FJ5">
    <cfRule type="expression" dxfId="2" priority="5522">
      <formula>AND(BT5&gt;=5,FJ5&lt;&gt;0, GetEquPower(C5,BN5, DI5, FS5)=0)</formula>
    </cfRule>
    <cfRule type="expression" dxfId="1" priority="5523">
      <formula>AND(BT5&gt;=5,FJ5&lt;&gt;GetEquPower(C5,BN5, DI5, FS5))</formula>
    </cfRule>
  </conditionalFormatting>
  <conditionalFormatting sqref="FK5">
    <cfRule type="expression" dxfId="2" priority="5524">
      <formula>AND(BT5&gt;=6,FK5&lt;&gt;0, GetEquPower(C5,BN5, DJ5, FS5)=0)</formula>
    </cfRule>
    <cfRule type="expression" dxfId="1" priority="5525">
      <formula>AND(BT5&gt;=6,FK5&lt;&gt;GetEquPower(C5,BN5, DJ5, FS5))</formula>
    </cfRule>
  </conditionalFormatting>
  <conditionalFormatting sqref="W5">
    <cfRule type="expression" dxfId="0" priority="5441">
      <formula xml:space="preserve"> NOT(ISLOGICAL($W$2))</formula>
    </cfRule>
  </conditionalFormatting>
  <conditionalFormatting sqref="F6">
    <cfRule type="expression" dxfId="0" priority="5368">
      <formula>F6&lt;&gt;RIGHT(SUBSTITUTE(E6,".",""),LEN(F6))</formula>
    </cfRule>
  </conditionalFormatting>
  <conditionalFormatting sqref="X6">
    <cfRule type="expression" dxfId="0" priority="5363">
      <formula xml:space="preserve"> NOT(ISLOGICAL($X$2))</formula>
    </cfRule>
    <cfRule type="expression" dxfId="0" priority="5367">
      <formula>AND(X6=TRUE,W6=FALSE)</formula>
    </cfRule>
  </conditionalFormatting>
  <conditionalFormatting sqref="Y6">
    <cfRule type="expression" dxfId="0" priority="5366">
      <formula>OR(AND(X6=FALSE,INT(Y6)&gt;0),AND(X6=TRUE,INT(Y6)&lt;=0))</formula>
    </cfRule>
  </conditionalFormatting>
  <conditionalFormatting sqref="AA6">
    <cfRule type="expression" dxfId="0" priority="5365">
      <formula>AND(Z6=FALSE,AA6&gt;0)</formula>
    </cfRule>
  </conditionalFormatting>
  <conditionalFormatting sqref="BV6:HY6">
    <cfRule type="containsErrors" dxfId="0" priority="5364">
      <formula>ISERROR(BV6)</formula>
    </cfRule>
  </conditionalFormatting>
  <conditionalFormatting sqref="Z6">
    <cfRule type="expression" dxfId="0" priority="5362">
      <formula>NOT(ISLOGICAL($Z$2))</formula>
    </cfRule>
  </conditionalFormatting>
  <conditionalFormatting sqref="AB6">
    <cfRule type="expression" dxfId="0" priority="5361">
      <formula>NOT(ISLOGICAL($AB$2))</formula>
    </cfRule>
  </conditionalFormatting>
  <conditionalFormatting sqref="AC6">
    <cfRule type="expression" dxfId="0" priority="5360">
      <formula>NOT(ISLOGICAL($AC$2))</formula>
    </cfRule>
  </conditionalFormatting>
  <conditionalFormatting sqref="B6:BU6">
    <cfRule type="containsErrors" dxfId="0" priority="5359">
      <formula>ISERROR(B6)</formula>
    </cfRule>
  </conditionalFormatting>
  <conditionalFormatting sqref="I6">
    <cfRule type="expression" dxfId="0" priority="5358">
      <formula>NOT(ISNUMBER($I$2))</formula>
    </cfRule>
  </conditionalFormatting>
  <conditionalFormatting sqref="D6">
    <cfRule type="expression" dxfId="0" priority="5357">
      <formula>ISBLANK($D$2)</formula>
    </cfRule>
  </conditionalFormatting>
  <conditionalFormatting sqref="DW6">
    <cfRule type="expression" dxfId="2" priority="5369">
      <formula>AND(BO6&gt;=1,DW6&lt;&gt;0, GetEquPower(C6,BI6, CA6, FN6)=0)</formula>
    </cfRule>
    <cfRule type="expression" dxfId="1" priority="5370">
      <formula>AND(BO6&gt;=1,DW6&lt;&gt;GetEquPower(C6,BI6, CA6, FN6))</formula>
    </cfRule>
  </conditionalFormatting>
  <conditionalFormatting sqref="DX6">
    <cfRule type="expression" dxfId="2" priority="5371">
      <formula>AND(BO6&gt;=2,DX6&lt;&gt;0, GetEquPower(C6,BI6, CB6, FN6)=0)</formula>
    </cfRule>
    <cfRule type="expression" dxfId="1" priority="5372">
      <formula>AND(BO6&gt;=2,DX6&lt;&gt;GetEquPower(C6,BI6, CB6, FN6))</formula>
    </cfRule>
  </conditionalFormatting>
  <conditionalFormatting sqref="DY6">
    <cfRule type="expression" dxfId="2" priority="5373">
      <formula>AND(BO6&gt;=3,DY6&lt;&gt;0, GetEquPower(C6,BI6, CC6, FN6)=0)</formula>
    </cfRule>
    <cfRule type="expression" dxfId="1" priority="5374">
      <formula>AND(BO6&gt;=3,DY6&lt;&gt;GetEquPower(C6,BI6, CC6, FN6))</formula>
    </cfRule>
  </conditionalFormatting>
  <conditionalFormatting sqref="ED6">
    <cfRule type="expression" dxfId="2" priority="5375">
      <formula>AND(BP6&gt;=1,ED6&lt;&gt;0, GetEquPower(C6,BJ6, CG6, FO6)=0)</formula>
    </cfRule>
    <cfRule type="expression" dxfId="1" priority="5376">
      <formula>AND(BP6&gt;=1,ED6&lt;&gt;GetEquPower(C6,BJ6, CG6, FO6))</formula>
    </cfRule>
  </conditionalFormatting>
  <conditionalFormatting sqref="EE6">
    <cfRule type="expression" dxfId="2" priority="5377">
      <formula>AND(BP6&gt;=2,EE6&lt;&gt;0, GetEquPower(C6,BJ6, CH6, FO6)=0)</formula>
    </cfRule>
    <cfRule type="expression" dxfId="1" priority="5378">
      <formula>AND(BP6&gt;=2,EE6&lt;&gt;GetEquPower(C6,BJ6, CH6, FO6))</formula>
    </cfRule>
  </conditionalFormatting>
  <conditionalFormatting sqref="EF6">
    <cfRule type="expression" dxfId="2" priority="5379">
      <formula>AND(BP6&gt;=3,EF6&lt;&gt;0, GetEquPower(C6,BJ6, CI6, FO6)=0)</formula>
    </cfRule>
    <cfRule type="expression" dxfId="1" priority="5380">
      <formula>AND(BP6&gt;=3,EF6&lt;&gt;GetEquPower(C6,BJ6, CI6, FO6))</formula>
    </cfRule>
  </conditionalFormatting>
  <conditionalFormatting sqref="EK6">
    <cfRule type="expression" dxfId="2" priority="5381">
      <formula>AND(BQ6&gt;=1,EK6&lt;&gt;0, GetEquPower(C6,BK6, CM6, FP6)=0)</formula>
    </cfRule>
    <cfRule type="expression" dxfId="1" priority="5382">
      <formula>AND(BQ6&gt;=1,EK6&lt;&gt;GetEquPower(C6,BK6, CM6, FP6))</formula>
    </cfRule>
  </conditionalFormatting>
  <conditionalFormatting sqref="EL6">
    <cfRule type="expression" dxfId="2" priority="5383">
      <formula>AND(BQ6&gt;=2,EL6&lt;&gt;0, GetEquPower(C6,BK6, CN6, FP6)=0)</formula>
    </cfRule>
    <cfRule type="expression" dxfId="1" priority="5384">
      <formula xml:space="preserve"> AND(BQ6&gt;=2,EL6&lt;&gt;GetEquPower(C6,BK6, CN6, FP6))</formula>
    </cfRule>
  </conditionalFormatting>
  <conditionalFormatting sqref="EM6">
    <cfRule type="expression" dxfId="2" priority="5385">
      <formula>AND(BQ6&gt;=3,EM6&lt;&gt;0, GetEquPower(C6,BK6, CO6, FP6)=0)</formula>
    </cfRule>
    <cfRule type="expression" dxfId="1" priority="5386">
      <formula xml:space="preserve"> AND(BQ6&gt;=3,EM6&lt;&gt;GetEquPower(C6,BK6, CO6, FP6))</formula>
    </cfRule>
  </conditionalFormatting>
  <conditionalFormatting sqref="ER6">
    <cfRule type="expression" dxfId="2" priority="5387">
      <formula>AND(BR6&gt;=1,ER6&lt;&gt;0, GetEquPower(C6,BL6, CS6, FQ6)=0)</formula>
    </cfRule>
    <cfRule type="expression" dxfId="1" priority="5388">
      <formula>AND(BR6&gt;=1,ER6&lt;&gt;GetEquPower(C6,BL6, CS6, FQ6))</formula>
    </cfRule>
  </conditionalFormatting>
  <conditionalFormatting sqref="ES6">
    <cfRule type="expression" dxfId="2" priority="5389">
      <formula>AND(BR6&gt;=2,ES6&lt;&gt;0, GetEquPower(C6,BL6, CT6, FQ6)=0)</formula>
    </cfRule>
    <cfRule type="expression" dxfId="1" priority="5390">
      <formula>AND(BR6&gt;=2,ES6&lt;&gt;GetEquPower(C6,BL6, CT6, FQ6))</formula>
    </cfRule>
  </conditionalFormatting>
  <conditionalFormatting sqref="ET6">
    <cfRule type="expression" dxfId="2" priority="5391">
      <formula>AND(BR6&gt;=3,ET6&lt;&gt;0, GetEquPower(C6,BL6, CU6, FQ6)=0)</formula>
    </cfRule>
    <cfRule type="expression" dxfId="1" priority="5392">
      <formula>AND(BR6&gt;=3,ET6&lt;&gt;GetEquPower(C6,BL6, CU6, FQ6))</formula>
    </cfRule>
  </conditionalFormatting>
  <conditionalFormatting sqref="EY6">
    <cfRule type="expression" dxfId="2" priority="5393">
      <formula>AND(BS6&gt;=1,EY6&lt;&gt;0, GetEquPower(C6,BM6, CY6, FR6)=0)</formula>
    </cfRule>
    <cfRule type="expression" dxfId="1" priority="5394">
      <formula>AND(BS6&gt;=1,EY6&lt;&gt;GetEquPower(C6,BM6, CY6, FR6))</formula>
    </cfRule>
  </conditionalFormatting>
  <conditionalFormatting sqref="EZ6">
    <cfRule type="expression" dxfId="2" priority="5395">
      <formula>AND(BS6&gt;=2,EZ6&lt;&gt;0, GetEquPower(C6,BM6, CZ6, FR6)=0)</formula>
    </cfRule>
    <cfRule type="expression" dxfId="1" priority="5396">
      <formula>AND(BS6&gt;=2,EZ6&lt;&gt;GetEquPower(C6,BM6, CZ6, FR6))</formula>
    </cfRule>
  </conditionalFormatting>
  <conditionalFormatting sqref="FA6">
    <cfRule type="expression" dxfId="2" priority="5397">
      <formula>AND(BS6&gt;=3,FA6&lt;&gt;0, GetEquPower(C6,BM6, DA6, FR6)=0)</formula>
    </cfRule>
    <cfRule type="expression" dxfId="1" priority="5398">
      <formula>AND(BS6&gt;=3,FA6&lt;&gt;GetEquPower(C6,BM6, DA6, FR6))</formula>
    </cfRule>
  </conditionalFormatting>
  <conditionalFormatting sqref="FF6">
    <cfRule type="expression" dxfId="2" priority="5399">
      <formula>AND(BT6&gt;=1,FF6&lt;&gt;0, GetEquPower(C6,BN6, DE6, FS6)=0)</formula>
    </cfRule>
    <cfRule type="expression" dxfId="1" priority="5400">
      <formula>AND(BT6&gt;=1,FF6&lt;&gt;GetEquPower(C6,BN6, DE6, FS6))</formula>
    </cfRule>
  </conditionalFormatting>
  <conditionalFormatting sqref="FG6">
    <cfRule type="expression" dxfId="2" priority="5401">
      <formula>AND(BT6&gt;=2,FG6&lt;&gt;0, GetEquPower(C6,BN6, DF6, FS6)=0)</formula>
    </cfRule>
    <cfRule type="expression" dxfId="1" priority="5402">
      <formula>AND(BT6&gt;=2,FG6&lt;&gt;GetEquPower(C6,BN6, DF6, FS6))</formula>
    </cfRule>
  </conditionalFormatting>
  <conditionalFormatting sqref="FH6">
    <cfRule type="expression" dxfId="2" priority="5403">
      <formula>AND(BT6&gt;=3,FH6&lt;&gt;0, GetEquPower(C6,BN6, DG6, FS6)=0)</formula>
    </cfRule>
    <cfRule type="expression" dxfId="1" priority="5404">
      <formula>AND(BT6&gt;=3,FH6&lt;&gt;GetEquPower(C6,BN6, DG6, FS6))</formula>
    </cfRule>
  </conditionalFormatting>
  <conditionalFormatting sqref="DZ6">
    <cfRule type="expression" dxfId="2" priority="5405">
      <formula>AND(BO6&gt;=4,DZ6&lt;&gt;0, GetEquPower(C6,BI6, CD6, FN6)=0)</formula>
    </cfRule>
    <cfRule type="expression" dxfId="1" priority="5406">
      <formula>AND(BO6&gt;=4, DZ6&lt;&gt;GetEquPower(C6,BI6, CD6, FN6))</formula>
    </cfRule>
  </conditionalFormatting>
  <conditionalFormatting sqref="EG6">
    <cfRule type="expression" dxfId="2" priority="5407">
      <formula>AND(BP6&gt;=4,EG6&lt;&gt;0, GetEquPower(C6,BJ6, CJ6, FO6)=0)</formula>
    </cfRule>
    <cfRule type="expression" dxfId="1" priority="5408">
      <formula>AND(BP6&gt;=4,EG6&lt;&gt;GetEquPower(C6,BJ6, CJ6, FO6))</formula>
    </cfRule>
  </conditionalFormatting>
  <conditionalFormatting sqref="EN6">
    <cfRule type="expression" dxfId="2" priority="5409">
      <formula>AND(BQ6&gt;=4,EN6&lt;&gt;0, GetEquPower(C6,BK6, CP6, FP6)=0)</formula>
    </cfRule>
    <cfRule type="expression" dxfId="1" priority="5410">
      <formula xml:space="preserve"> AND(BQ6&gt;=4,EN6&lt;&gt;GetEquPower(C6,BK6, CP6, FP6))</formula>
    </cfRule>
  </conditionalFormatting>
  <conditionalFormatting sqref="EU6">
    <cfRule type="expression" dxfId="2" priority="5411">
      <formula>AND(BR6&gt;=4,EU6&lt;&gt;0, GetEquPower(C6,BL6, CV6, FQ6)=0)</formula>
    </cfRule>
    <cfRule type="expression" dxfId="1" priority="5412">
      <formula>AND(BR6&gt;=4,EU6&lt;&gt;GetEquPower(C6,BL6, CV6, FQ6))</formula>
    </cfRule>
  </conditionalFormatting>
  <conditionalFormatting sqref="FB6">
    <cfRule type="expression" dxfId="2" priority="5413">
      <formula>AND(BS6&gt;=4,FB6&lt;&gt;0, GetEquPower(C6,BM6, DB6, FR6)=0)</formula>
    </cfRule>
    <cfRule type="expression" dxfId="1" priority="5414">
      <formula>AND(BS6&gt;=4,FB6&lt;&gt;GetEquPower(C6,BM6, DB6, FR6))</formula>
    </cfRule>
  </conditionalFormatting>
  <conditionalFormatting sqref="FI6">
    <cfRule type="expression" dxfId="2" priority="5415">
      <formula>AND(BT6&gt;=4,FI6&lt;&gt;0, GetEquPower(C6,BN6, DH6, FS6)=0)</formula>
    </cfRule>
    <cfRule type="expression" dxfId="1" priority="5416">
      <formula>AND(BT6&gt;=4,FI6&lt;&gt;GetEquPower(C6,BN6, DH6, FS6))</formula>
    </cfRule>
  </conditionalFormatting>
  <conditionalFormatting sqref="EA6">
    <cfRule type="expression" dxfId="2" priority="5417">
      <formula>AND(BO6&gt;=5,EA6&lt;&gt;0, GetEquPower(C6,BI6, CE6, FN6)=0)</formula>
    </cfRule>
    <cfRule type="expression" dxfId="1" priority="5418">
      <formula>AND(BO6&gt;=5, EA6&lt;&gt;GetEquPower(C6,BI6, CE6, FN6))</formula>
    </cfRule>
  </conditionalFormatting>
  <conditionalFormatting sqref="EB6">
    <cfRule type="expression" dxfId="2" priority="5419">
      <formula>AND(BO6&gt;=6,EB6&lt;&gt;0, GetEquPower(C6,BI6, CF6, FN6)=0)</formula>
    </cfRule>
    <cfRule type="expression" dxfId="1" priority="5420">
      <formula>AND(BO6&gt;=6, EB6&lt;&gt;GetEquPower(C6,BI6, CF6, FN6))</formula>
    </cfRule>
  </conditionalFormatting>
  <conditionalFormatting sqref="EH6">
    <cfRule type="expression" dxfId="2" priority="5421">
      <formula>AND(BP6&gt;=5,EH6&lt;&gt;0, GetEquPower(C6,BJ6, CK6, FO6)=0)</formula>
    </cfRule>
    <cfRule type="expression" dxfId="1" priority="5422">
      <formula>AND(BP6&gt;=5,EH6&lt;&gt;GetEquPower(C6,BJ6, CK6, FO6))</formula>
    </cfRule>
  </conditionalFormatting>
  <conditionalFormatting sqref="EI6">
    <cfRule type="expression" dxfId="2" priority="5423">
      <formula>AND(BP6&gt;=6,EI6&lt;&gt;0, GetEquPower(C6,BJ6, CL6, FO6)=0)</formula>
    </cfRule>
    <cfRule type="expression" dxfId="1" priority="5424">
      <formula>AND(BP6&gt;=6,EI6&lt;&gt;GetEquPower(C6,BJ6, CL6, FO6))</formula>
    </cfRule>
  </conditionalFormatting>
  <conditionalFormatting sqref="EO6">
    <cfRule type="expression" dxfId="2" priority="5425">
      <formula>AND(BQ6&gt;=5,EO6&lt;&gt;0, GetEquPower(C6,BK6, CQ6, FP6)=0)</formula>
    </cfRule>
    <cfRule type="expression" dxfId="1" priority="5426">
      <formula xml:space="preserve"> AND(BQ6&gt;=5,EO6&lt;&gt;GetEquPower(C6,BK6, CQ6, FP6))</formula>
    </cfRule>
  </conditionalFormatting>
  <conditionalFormatting sqref="EP6">
    <cfRule type="expression" dxfId="2" priority="5427">
      <formula>AND(BQ6&gt;=6,EP6&lt;&gt;0, GetEquPower(C6,BK6, CR6, FP6)=0)</formula>
    </cfRule>
    <cfRule type="expression" dxfId="1" priority="5428">
      <formula xml:space="preserve"> AND(BQ6&gt;=6,EP6&lt;&gt;GetEquPower(C6,BK6, CR6, FP6))</formula>
    </cfRule>
  </conditionalFormatting>
  <conditionalFormatting sqref="EV6">
    <cfRule type="expression" dxfId="2" priority="5429">
      <formula>AND(BR6&gt;=5,EV6&lt;&gt;0, GetEquPower(C6,BL6, CW6, FQ6)=0)</formula>
    </cfRule>
    <cfRule type="expression" dxfId="1" priority="5430">
      <formula>AND(BR6&gt;=5,EV6&lt;&gt;GetEquPower(C6,BL6, CW6, FQ6))</formula>
    </cfRule>
  </conditionalFormatting>
  <conditionalFormatting sqref="EW6">
    <cfRule type="expression" dxfId="2" priority="5431">
      <formula>AND(BR6&gt;=6,EW6&lt;&gt;0, GetEquPower(C6,BL6, CX6, FQ6)=0)</formula>
    </cfRule>
    <cfRule type="expression" dxfId="1" priority="5432">
      <formula>AND(BR6&gt;=6,EW6&lt;&gt;GetEquPower(C6,BL6, CX6, FQ6))</formula>
    </cfRule>
  </conditionalFormatting>
  <conditionalFormatting sqref="FC6">
    <cfRule type="expression" dxfId="2" priority="5433">
      <formula>AND(BS6&gt;=5,FC6&lt;&gt;0, GetEquPower(C6,BM6, DC6, FR6)=0)</formula>
    </cfRule>
    <cfRule type="expression" dxfId="1" priority="5434">
      <formula>AND(BS6&gt;=5,FC6&lt;&gt;GetEquPower(C6,BM6, DC6, FR6))</formula>
    </cfRule>
  </conditionalFormatting>
  <conditionalFormatting sqref="FD6">
    <cfRule type="expression" dxfId="2" priority="5435">
      <formula>AND(BS6&gt;=6,FD6&lt;&gt;0, GetEquPower(C6,BM6, DD6, FR6)=0)</formula>
    </cfRule>
    <cfRule type="expression" dxfId="1" priority="5436">
      <formula>AND(BS6&gt;=6,FD6&lt;&gt;GetEquPower(C6,BM6, DD6, FR6))</formula>
    </cfRule>
  </conditionalFormatting>
  <conditionalFormatting sqref="FJ6">
    <cfRule type="expression" dxfId="2" priority="5437">
      <formula>AND(BT6&gt;=5,FJ6&lt;&gt;0, GetEquPower(C6,BN6, DI6, FS6)=0)</formula>
    </cfRule>
    <cfRule type="expression" dxfId="1" priority="5438">
      <formula>AND(BT6&gt;=5,FJ6&lt;&gt;GetEquPower(C6,BN6, DI6, FS6))</formula>
    </cfRule>
  </conditionalFormatting>
  <conditionalFormatting sqref="FK6">
    <cfRule type="expression" dxfId="2" priority="5439">
      <formula>AND(BT6&gt;=6,FK6&lt;&gt;0, GetEquPower(C6,BN6, DJ6, FS6)=0)</formula>
    </cfRule>
    <cfRule type="expression" dxfId="1" priority="5440">
      <formula>AND(BT6&gt;=6,FK6&lt;&gt;GetEquPower(C6,BN6, DJ6, FS6))</formula>
    </cfRule>
  </conditionalFormatting>
  <conditionalFormatting sqref="W6">
    <cfRule type="expression" dxfId="0" priority="5356">
      <formula xml:space="preserve"> NOT(ISLOGICAL($W$2))</formula>
    </cfRule>
  </conditionalFormatting>
  <conditionalFormatting sqref="F7">
    <cfRule type="expression" dxfId="0" priority="5283">
      <formula>F7&lt;&gt;RIGHT(SUBSTITUTE(E7,".",""),LEN(F7))</formula>
    </cfRule>
  </conditionalFormatting>
  <conditionalFormatting sqref="X7">
    <cfRule type="expression" dxfId="0" priority="5278">
      <formula xml:space="preserve"> NOT(ISLOGICAL($X$2))</formula>
    </cfRule>
    <cfRule type="expression" dxfId="0" priority="5282">
      <formula>AND(X7=TRUE,W7=FALSE)</formula>
    </cfRule>
  </conditionalFormatting>
  <conditionalFormatting sqref="Y7">
    <cfRule type="expression" dxfId="0" priority="5281">
      <formula>OR(AND(X7=FALSE,INT(Y7)&gt;0),AND(X7=TRUE,INT(Y7)&lt;=0))</formula>
    </cfRule>
  </conditionalFormatting>
  <conditionalFormatting sqref="AA7">
    <cfRule type="expression" dxfId="0" priority="5280">
      <formula>AND(Z7=FALSE,AA7&gt;0)</formula>
    </cfRule>
  </conditionalFormatting>
  <conditionalFormatting sqref="BV7:HY7">
    <cfRule type="containsErrors" dxfId="0" priority="5279">
      <formula>ISERROR(BV7)</formula>
    </cfRule>
  </conditionalFormatting>
  <conditionalFormatting sqref="Z7">
    <cfRule type="expression" dxfId="0" priority="5277">
      <formula>NOT(ISLOGICAL($Z$2))</formula>
    </cfRule>
  </conditionalFormatting>
  <conditionalFormatting sqref="AB7">
    <cfRule type="expression" dxfId="0" priority="5276">
      <formula>NOT(ISLOGICAL($AB$2))</formula>
    </cfRule>
  </conditionalFormatting>
  <conditionalFormatting sqref="AC7">
    <cfRule type="expression" dxfId="0" priority="5275">
      <formula>NOT(ISLOGICAL($AC$2))</formula>
    </cfRule>
  </conditionalFormatting>
  <conditionalFormatting sqref="B7:BU7">
    <cfRule type="containsErrors" dxfId="0" priority="5274">
      <formula>ISERROR(B7)</formula>
    </cfRule>
  </conditionalFormatting>
  <conditionalFormatting sqref="I7">
    <cfRule type="expression" dxfId="0" priority="5273">
      <formula>NOT(ISNUMBER($I$2))</formula>
    </cfRule>
  </conditionalFormatting>
  <conditionalFormatting sqref="D7">
    <cfRule type="expression" dxfId="0" priority="5272">
      <formula>ISBLANK($D$2)</formula>
    </cfRule>
  </conditionalFormatting>
  <conditionalFormatting sqref="DW7">
    <cfRule type="expression" dxfId="2" priority="5284">
      <formula>AND(BO7&gt;=1,DW7&lt;&gt;0, GetEquPower(C7,BI7, CA7, FN7)=0)</formula>
    </cfRule>
    <cfRule type="expression" dxfId="1" priority="5285">
      <formula>AND(BO7&gt;=1,DW7&lt;&gt;GetEquPower(C7,BI7, CA7, FN7))</formula>
    </cfRule>
  </conditionalFormatting>
  <conditionalFormatting sqref="DX7">
    <cfRule type="expression" dxfId="2" priority="5286">
      <formula>AND(BO7&gt;=2,DX7&lt;&gt;0, GetEquPower(C7,BI7, CB7, FN7)=0)</formula>
    </cfRule>
    <cfRule type="expression" dxfId="1" priority="5287">
      <formula>AND(BO7&gt;=2,DX7&lt;&gt;GetEquPower(C7,BI7, CB7, FN7))</formula>
    </cfRule>
  </conditionalFormatting>
  <conditionalFormatting sqref="DY7">
    <cfRule type="expression" dxfId="2" priority="5288">
      <formula>AND(BO7&gt;=3,DY7&lt;&gt;0, GetEquPower(C7,BI7, CC7, FN7)=0)</formula>
    </cfRule>
    <cfRule type="expression" dxfId="1" priority="5289">
      <formula>AND(BO7&gt;=3,DY7&lt;&gt;GetEquPower(C7,BI7, CC7, FN7))</formula>
    </cfRule>
  </conditionalFormatting>
  <conditionalFormatting sqref="ED7">
    <cfRule type="expression" dxfId="2" priority="5290">
      <formula>AND(BP7&gt;=1,ED7&lt;&gt;0, GetEquPower(C7,BJ7, CG7, FO7)=0)</formula>
    </cfRule>
    <cfRule type="expression" dxfId="1" priority="5291">
      <formula>AND(BP7&gt;=1,ED7&lt;&gt;GetEquPower(C7,BJ7, CG7, FO7))</formula>
    </cfRule>
  </conditionalFormatting>
  <conditionalFormatting sqref="EE7">
    <cfRule type="expression" dxfId="2" priority="5292">
      <formula>AND(BP7&gt;=2,EE7&lt;&gt;0, GetEquPower(C7,BJ7, CH7, FO7)=0)</formula>
    </cfRule>
    <cfRule type="expression" dxfId="1" priority="5293">
      <formula>AND(BP7&gt;=2,EE7&lt;&gt;GetEquPower(C7,BJ7, CH7, FO7))</formula>
    </cfRule>
  </conditionalFormatting>
  <conditionalFormatting sqref="EF7">
    <cfRule type="expression" dxfId="2" priority="5294">
      <formula>AND(BP7&gt;=3,EF7&lt;&gt;0, GetEquPower(C7,BJ7, CI7, FO7)=0)</formula>
    </cfRule>
    <cfRule type="expression" dxfId="1" priority="5295">
      <formula>AND(BP7&gt;=3,EF7&lt;&gt;GetEquPower(C7,BJ7, CI7, FO7))</formula>
    </cfRule>
  </conditionalFormatting>
  <conditionalFormatting sqref="EK7">
    <cfRule type="expression" dxfId="2" priority="5296">
      <formula>AND(BQ7&gt;=1,EK7&lt;&gt;0, GetEquPower(C7,BK7, CM7, FP7)=0)</formula>
    </cfRule>
    <cfRule type="expression" dxfId="1" priority="5297">
      <formula>AND(BQ7&gt;=1,EK7&lt;&gt;GetEquPower(C7,BK7, CM7, FP7))</formula>
    </cfRule>
  </conditionalFormatting>
  <conditionalFormatting sqref="EL7">
    <cfRule type="expression" dxfId="2" priority="5298">
      <formula>AND(BQ7&gt;=2,EL7&lt;&gt;0, GetEquPower(C7,BK7, CN7, FP7)=0)</formula>
    </cfRule>
    <cfRule type="expression" dxfId="1" priority="5299">
      <formula xml:space="preserve"> AND(BQ7&gt;=2,EL7&lt;&gt;GetEquPower(C7,BK7, CN7, FP7))</formula>
    </cfRule>
  </conditionalFormatting>
  <conditionalFormatting sqref="EM7">
    <cfRule type="expression" dxfId="2" priority="5300">
      <formula>AND(BQ7&gt;=3,EM7&lt;&gt;0, GetEquPower(C7,BK7, CO7, FP7)=0)</formula>
    </cfRule>
    <cfRule type="expression" dxfId="1" priority="5301">
      <formula xml:space="preserve"> AND(BQ7&gt;=3,EM7&lt;&gt;GetEquPower(C7,BK7, CO7, FP7))</formula>
    </cfRule>
  </conditionalFormatting>
  <conditionalFormatting sqref="ER7">
    <cfRule type="expression" dxfId="2" priority="5302">
      <formula>AND(BR7&gt;=1,ER7&lt;&gt;0, GetEquPower(C7,BL7, CS7, FQ7)=0)</formula>
    </cfRule>
    <cfRule type="expression" dxfId="1" priority="5303">
      <formula>AND(BR7&gt;=1,ER7&lt;&gt;GetEquPower(C7,BL7, CS7, FQ7))</formula>
    </cfRule>
  </conditionalFormatting>
  <conditionalFormatting sqref="ES7">
    <cfRule type="expression" dxfId="2" priority="5304">
      <formula>AND(BR7&gt;=2,ES7&lt;&gt;0, GetEquPower(C7,BL7, CT7, FQ7)=0)</formula>
    </cfRule>
    <cfRule type="expression" dxfId="1" priority="5305">
      <formula>AND(BR7&gt;=2,ES7&lt;&gt;GetEquPower(C7,BL7, CT7, FQ7))</formula>
    </cfRule>
  </conditionalFormatting>
  <conditionalFormatting sqref="ET7">
    <cfRule type="expression" dxfId="2" priority="5306">
      <formula>AND(BR7&gt;=3,ET7&lt;&gt;0, GetEquPower(C7,BL7, CU7, FQ7)=0)</formula>
    </cfRule>
    <cfRule type="expression" dxfId="1" priority="5307">
      <formula>AND(BR7&gt;=3,ET7&lt;&gt;GetEquPower(C7,BL7, CU7, FQ7))</formula>
    </cfRule>
  </conditionalFormatting>
  <conditionalFormatting sqref="EY7">
    <cfRule type="expression" dxfId="2" priority="5308">
      <formula>AND(BS7&gt;=1,EY7&lt;&gt;0, GetEquPower(C7,BM7, CY7, FR7)=0)</formula>
    </cfRule>
    <cfRule type="expression" dxfId="1" priority="5309">
      <formula>AND(BS7&gt;=1,EY7&lt;&gt;GetEquPower(C7,BM7, CY7, FR7))</formula>
    </cfRule>
  </conditionalFormatting>
  <conditionalFormatting sqref="EZ7">
    <cfRule type="expression" dxfId="2" priority="5310">
      <formula>AND(BS7&gt;=2,EZ7&lt;&gt;0, GetEquPower(C7,BM7, CZ7, FR7)=0)</formula>
    </cfRule>
    <cfRule type="expression" dxfId="1" priority="5311">
      <formula>AND(BS7&gt;=2,EZ7&lt;&gt;GetEquPower(C7,BM7, CZ7, FR7))</formula>
    </cfRule>
  </conditionalFormatting>
  <conditionalFormatting sqref="FA7">
    <cfRule type="expression" dxfId="2" priority="5312">
      <formula>AND(BS7&gt;=3,FA7&lt;&gt;0, GetEquPower(C7,BM7, DA7, FR7)=0)</formula>
    </cfRule>
    <cfRule type="expression" dxfId="1" priority="5313">
      <formula>AND(BS7&gt;=3,FA7&lt;&gt;GetEquPower(C7,BM7, DA7, FR7))</formula>
    </cfRule>
  </conditionalFormatting>
  <conditionalFormatting sqref="FF7">
    <cfRule type="expression" dxfId="2" priority="5314">
      <formula>AND(BT7&gt;=1,FF7&lt;&gt;0, GetEquPower(C7,BN7, DE7, FS7)=0)</formula>
    </cfRule>
    <cfRule type="expression" dxfId="1" priority="5315">
      <formula>AND(BT7&gt;=1,FF7&lt;&gt;GetEquPower(C7,BN7, DE7, FS7))</formula>
    </cfRule>
  </conditionalFormatting>
  <conditionalFormatting sqref="FG7">
    <cfRule type="expression" dxfId="2" priority="5316">
      <formula>AND(BT7&gt;=2,FG7&lt;&gt;0, GetEquPower(C7,BN7, DF7, FS7)=0)</formula>
    </cfRule>
    <cfRule type="expression" dxfId="1" priority="5317">
      <formula>AND(BT7&gt;=2,FG7&lt;&gt;GetEquPower(C7,BN7, DF7, FS7))</formula>
    </cfRule>
  </conditionalFormatting>
  <conditionalFormatting sqref="FH7">
    <cfRule type="expression" dxfId="2" priority="5318">
      <formula>AND(BT7&gt;=3,FH7&lt;&gt;0, GetEquPower(C7,BN7, DG7, FS7)=0)</formula>
    </cfRule>
    <cfRule type="expression" dxfId="1" priority="5319">
      <formula>AND(BT7&gt;=3,FH7&lt;&gt;GetEquPower(C7,BN7, DG7, FS7))</formula>
    </cfRule>
  </conditionalFormatting>
  <conditionalFormatting sqref="DZ7">
    <cfRule type="expression" dxfId="2" priority="5320">
      <formula>AND(BO7&gt;=4,DZ7&lt;&gt;0, GetEquPower(C7,BI7, CD7, FN7)=0)</formula>
    </cfRule>
    <cfRule type="expression" dxfId="1" priority="5321">
      <formula>AND(BO7&gt;=4, DZ7&lt;&gt;GetEquPower(C7,BI7, CD7, FN7))</formula>
    </cfRule>
  </conditionalFormatting>
  <conditionalFormatting sqref="EG7">
    <cfRule type="expression" dxfId="2" priority="5322">
      <formula>AND(BP7&gt;=4,EG7&lt;&gt;0, GetEquPower(C7,BJ7, CJ7, FO7)=0)</formula>
    </cfRule>
    <cfRule type="expression" dxfId="1" priority="5323">
      <formula>AND(BP7&gt;=4,EG7&lt;&gt;GetEquPower(C7,BJ7, CJ7, FO7))</formula>
    </cfRule>
  </conditionalFormatting>
  <conditionalFormatting sqref="EN7">
    <cfRule type="expression" dxfId="2" priority="5324">
      <formula>AND(BQ7&gt;=4,EN7&lt;&gt;0, GetEquPower(C7,BK7, CP7, FP7)=0)</formula>
    </cfRule>
    <cfRule type="expression" dxfId="1" priority="5325">
      <formula xml:space="preserve"> AND(BQ7&gt;=4,EN7&lt;&gt;GetEquPower(C7,BK7, CP7, FP7))</formula>
    </cfRule>
  </conditionalFormatting>
  <conditionalFormatting sqref="EU7">
    <cfRule type="expression" dxfId="2" priority="5326">
      <formula>AND(BR7&gt;=4,EU7&lt;&gt;0, GetEquPower(C7,BL7, CV7, FQ7)=0)</formula>
    </cfRule>
    <cfRule type="expression" dxfId="1" priority="5327">
      <formula>AND(BR7&gt;=4,EU7&lt;&gt;GetEquPower(C7,BL7, CV7, FQ7))</formula>
    </cfRule>
  </conditionalFormatting>
  <conditionalFormatting sqref="FB7">
    <cfRule type="expression" dxfId="2" priority="5328">
      <formula>AND(BS7&gt;=4,FB7&lt;&gt;0, GetEquPower(C7,BM7, DB7, FR7)=0)</formula>
    </cfRule>
    <cfRule type="expression" dxfId="1" priority="5329">
      <formula>AND(BS7&gt;=4,FB7&lt;&gt;GetEquPower(C7,BM7, DB7, FR7))</formula>
    </cfRule>
  </conditionalFormatting>
  <conditionalFormatting sqref="FI7">
    <cfRule type="expression" dxfId="2" priority="5330">
      <formula>AND(BT7&gt;=4,FI7&lt;&gt;0, GetEquPower(C7,BN7, DH7, FS7)=0)</formula>
    </cfRule>
    <cfRule type="expression" dxfId="1" priority="5331">
      <formula>AND(BT7&gt;=4,FI7&lt;&gt;GetEquPower(C7,BN7, DH7, FS7))</formula>
    </cfRule>
  </conditionalFormatting>
  <conditionalFormatting sqref="EA7">
    <cfRule type="expression" dxfId="2" priority="5332">
      <formula>AND(BO7&gt;=5,EA7&lt;&gt;0, GetEquPower(C7,BI7, CE7, FN7)=0)</formula>
    </cfRule>
    <cfRule type="expression" dxfId="1" priority="5333">
      <formula>AND(BO7&gt;=5, EA7&lt;&gt;GetEquPower(C7,BI7, CE7, FN7))</formula>
    </cfRule>
  </conditionalFormatting>
  <conditionalFormatting sqref="EB7">
    <cfRule type="expression" dxfId="2" priority="5334">
      <formula>AND(BO7&gt;=6,EB7&lt;&gt;0, GetEquPower(C7,BI7, CF7, FN7)=0)</formula>
    </cfRule>
    <cfRule type="expression" dxfId="1" priority="5335">
      <formula>AND(BO7&gt;=6, EB7&lt;&gt;GetEquPower(C7,BI7, CF7, FN7))</formula>
    </cfRule>
  </conditionalFormatting>
  <conditionalFormatting sqref="EH7">
    <cfRule type="expression" dxfId="2" priority="5336">
      <formula>AND(BP7&gt;=5,EH7&lt;&gt;0, GetEquPower(C7,BJ7, CK7, FO7)=0)</formula>
    </cfRule>
    <cfRule type="expression" dxfId="1" priority="5337">
      <formula>AND(BP7&gt;=5,EH7&lt;&gt;GetEquPower(C7,BJ7, CK7, FO7))</formula>
    </cfRule>
  </conditionalFormatting>
  <conditionalFormatting sqref="EI7">
    <cfRule type="expression" dxfId="2" priority="5338">
      <formula>AND(BP7&gt;=6,EI7&lt;&gt;0, GetEquPower(C7,BJ7, CL7, FO7)=0)</formula>
    </cfRule>
    <cfRule type="expression" dxfId="1" priority="5339">
      <formula>AND(BP7&gt;=6,EI7&lt;&gt;GetEquPower(C7,BJ7, CL7, FO7))</formula>
    </cfRule>
  </conditionalFormatting>
  <conditionalFormatting sqref="EO7">
    <cfRule type="expression" dxfId="2" priority="5340">
      <formula>AND(BQ7&gt;=5,EO7&lt;&gt;0, GetEquPower(C7,BK7, CQ7, FP7)=0)</formula>
    </cfRule>
    <cfRule type="expression" dxfId="1" priority="5341">
      <formula xml:space="preserve"> AND(BQ7&gt;=5,EO7&lt;&gt;GetEquPower(C7,BK7, CQ7, FP7))</formula>
    </cfRule>
  </conditionalFormatting>
  <conditionalFormatting sqref="EP7">
    <cfRule type="expression" dxfId="2" priority="5342">
      <formula>AND(BQ7&gt;=6,EP7&lt;&gt;0, GetEquPower(C7,BK7, CR7, FP7)=0)</formula>
    </cfRule>
    <cfRule type="expression" dxfId="1" priority="5343">
      <formula xml:space="preserve"> AND(BQ7&gt;=6,EP7&lt;&gt;GetEquPower(C7,BK7, CR7, FP7))</formula>
    </cfRule>
  </conditionalFormatting>
  <conditionalFormatting sqref="EV7">
    <cfRule type="expression" dxfId="2" priority="5344">
      <formula>AND(BR7&gt;=5,EV7&lt;&gt;0, GetEquPower(C7,BL7, CW7, FQ7)=0)</formula>
    </cfRule>
    <cfRule type="expression" dxfId="1" priority="5345">
      <formula>AND(BR7&gt;=5,EV7&lt;&gt;GetEquPower(C7,BL7, CW7, FQ7))</formula>
    </cfRule>
  </conditionalFormatting>
  <conditionalFormatting sqref="EW7">
    <cfRule type="expression" dxfId="2" priority="5346">
      <formula>AND(BR7&gt;=6,EW7&lt;&gt;0, GetEquPower(C7,BL7, CX7, FQ7)=0)</formula>
    </cfRule>
    <cfRule type="expression" dxfId="1" priority="5347">
      <formula>AND(BR7&gt;=6,EW7&lt;&gt;GetEquPower(C7,BL7, CX7, FQ7))</formula>
    </cfRule>
  </conditionalFormatting>
  <conditionalFormatting sqref="FC7">
    <cfRule type="expression" dxfId="2" priority="5348">
      <formula>AND(BS7&gt;=5,FC7&lt;&gt;0, GetEquPower(C7,BM7, DC7, FR7)=0)</formula>
    </cfRule>
    <cfRule type="expression" dxfId="1" priority="5349">
      <formula>AND(BS7&gt;=5,FC7&lt;&gt;GetEquPower(C7,BM7, DC7, FR7))</formula>
    </cfRule>
  </conditionalFormatting>
  <conditionalFormatting sqref="FD7">
    <cfRule type="expression" dxfId="2" priority="5350">
      <formula>AND(BS7&gt;=6,FD7&lt;&gt;0, GetEquPower(C7,BM7, DD7, FR7)=0)</formula>
    </cfRule>
    <cfRule type="expression" dxfId="1" priority="5351">
      <formula>AND(BS7&gt;=6,FD7&lt;&gt;GetEquPower(C7,BM7, DD7, FR7))</formula>
    </cfRule>
  </conditionalFormatting>
  <conditionalFormatting sqref="FJ7">
    <cfRule type="expression" dxfId="2" priority="5352">
      <formula>AND(BT7&gt;=5,FJ7&lt;&gt;0, GetEquPower(C7,BN7, DI7, FS7)=0)</formula>
    </cfRule>
    <cfRule type="expression" dxfId="1" priority="5353">
      <formula>AND(BT7&gt;=5,FJ7&lt;&gt;GetEquPower(C7,BN7, DI7, FS7))</formula>
    </cfRule>
  </conditionalFormatting>
  <conditionalFormatting sqref="FK7">
    <cfRule type="expression" dxfId="2" priority="5354">
      <formula>AND(BT7&gt;=6,FK7&lt;&gt;0, GetEquPower(C7,BN7, DJ7, FS7)=0)</formula>
    </cfRule>
    <cfRule type="expression" dxfId="1" priority="5355">
      <formula>AND(BT7&gt;=6,FK7&lt;&gt;GetEquPower(C7,BN7, DJ7, FS7))</formula>
    </cfRule>
  </conditionalFormatting>
  <conditionalFormatting sqref="W7">
    <cfRule type="expression" dxfId="0" priority="5271">
      <formula xml:space="preserve"> NOT(ISLOGICAL($W$2))</formula>
    </cfRule>
  </conditionalFormatting>
  <conditionalFormatting sqref="F8">
    <cfRule type="expression" dxfId="0" priority="5198">
      <formula>F8&lt;&gt;RIGHT(SUBSTITUTE(E8,".",""),LEN(F8))</formula>
    </cfRule>
  </conditionalFormatting>
  <conditionalFormatting sqref="X8">
    <cfRule type="expression" dxfId="0" priority="5193">
      <formula xml:space="preserve"> NOT(ISLOGICAL($X$2))</formula>
    </cfRule>
    <cfRule type="expression" dxfId="0" priority="5197">
      <formula>AND(X8=TRUE,W8=FALSE)</formula>
    </cfRule>
  </conditionalFormatting>
  <conditionalFormatting sqref="Y8">
    <cfRule type="expression" dxfId="0" priority="5196">
      <formula>OR(AND(X8=FALSE,INT(Y8)&gt;0),AND(X8=TRUE,INT(Y8)&lt;=0))</formula>
    </cfRule>
  </conditionalFormatting>
  <conditionalFormatting sqref="AA8">
    <cfRule type="expression" dxfId="0" priority="5195">
      <formula>AND(Z8=FALSE,AA8&gt;0)</formula>
    </cfRule>
  </conditionalFormatting>
  <conditionalFormatting sqref="BV8:HY8">
    <cfRule type="containsErrors" dxfId="0" priority="5194">
      <formula>ISERROR(BV8)</formula>
    </cfRule>
  </conditionalFormatting>
  <conditionalFormatting sqref="Z8">
    <cfRule type="expression" dxfId="0" priority="5192">
      <formula>NOT(ISLOGICAL($Z$2))</formula>
    </cfRule>
  </conditionalFormatting>
  <conditionalFormatting sqref="AB8">
    <cfRule type="expression" dxfId="0" priority="5191">
      <formula>NOT(ISLOGICAL($AB$2))</formula>
    </cfRule>
  </conditionalFormatting>
  <conditionalFormatting sqref="AC8">
    <cfRule type="expression" dxfId="0" priority="5190">
      <formula>NOT(ISLOGICAL($AC$2))</formula>
    </cfRule>
  </conditionalFormatting>
  <conditionalFormatting sqref="B8:BU8">
    <cfRule type="containsErrors" dxfId="0" priority="5189">
      <formula>ISERROR(B8)</formula>
    </cfRule>
  </conditionalFormatting>
  <conditionalFormatting sqref="I8">
    <cfRule type="expression" dxfId="0" priority="5188">
      <formula>NOT(ISNUMBER($I$2))</formula>
    </cfRule>
  </conditionalFormatting>
  <conditionalFormatting sqref="D8">
    <cfRule type="expression" dxfId="0" priority="5187">
      <formula>ISBLANK($D$2)</formula>
    </cfRule>
  </conditionalFormatting>
  <conditionalFormatting sqref="DW8">
    <cfRule type="expression" dxfId="2" priority="5199">
      <formula>AND(BO8&gt;=1,DW8&lt;&gt;0, GetEquPower(C8,BI8, CA8, FN8)=0)</formula>
    </cfRule>
    <cfRule type="expression" dxfId="1" priority="5200">
      <formula>AND(BO8&gt;=1,DW8&lt;&gt;GetEquPower(C8,BI8, CA8, FN8))</formula>
    </cfRule>
  </conditionalFormatting>
  <conditionalFormatting sqref="DX8">
    <cfRule type="expression" dxfId="2" priority="5201">
      <formula>AND(BO8&gt;=2,DX8&lt;&gt;0, GetEquPower(C8,BI8, CB8, FN8)=0)</formula>
    </cfRule>
    <cfRule type="expression" dxfId="1" priority="5202">
      <formula>AND(BO8&gt;=2,DX8&lt;&gt;GetEquPower(C8,BI8, CB8, FN8))</formula>
    </cfRule>
  </conditionalFormatting>
  <conditionalFormatting sqref="DY8">
    <cfRule type="expression" dxfId="2" priority="5203">
      <formula>AND(BO8&gt;=3,DY8&lt;&gt;0, GetEquPower(C8,BI8, CC8, FN8)=0)</formula>
    </cfRule>
    <cfRule type="expression" dxfId="1" priority="5204">
      <formula>AND(BO8&gt;=3,DY8&lt;&gt;GetEquPower(C8,BI8, CC8, FN8))</formula>
    </cfRule>
  </conditionalFormatting>
  <conditionalFormatting sqref="ED8">
    <cfRule type="expression" dxfId="2" priority="5205">
      <formula>AND(BP8&gt;=1,ED8&lt;&gt;0, GetEquPower(C8,BJ8, CG8, FO8)=0)</formula>
    </cfRule>
    <cfRule type="expression" dxfId="1" priority="5206">
      <formula>AND(BP8&gt;=1,ED8&lt;&gt;GetEquPower(C8,BJ8, CG8, FO8))</formula>
    </cfRule>
  </conditionalFormatting>
  <conditionalFormatting sqref="EE8">
    <cfRule type="expression" dxfId="2" priority="5207">
      <formula>AND(BP8&gt;=2,EE8&lt;&gt;0, GetEquPower(C8,BJ8, CH8, FO8)=0)</formula>
    </cfRule>
    <cfRule type="expression" dxfId="1" priority="5208">
      <formula>AND(BP8&gt;=2,EE8&lt;&gt;GetEquPower(C8,BJ8, CH8, FO8))</formula>
    </cfRule>
  </conditionalFormatting>
  <conditionalFormatting sqref="EF8">
    <cfRule type="expression" dxfId="2" priority="5209">
      <formula>AND(BP8&gt;=3,EF8&lt;&gt;0, GetEquPower(C8,BJ8, CI8, FO8)=0)</formula>
    </cfRule>
    <cfRule type="expression" dxfId="1" priority="5210">
      <formula>AND(BP8&gt;=3,EF8&lt;&gt;GetEquPower(C8,BJ8, CI8, FO8))</formula>
    </cfRule>
  </conditionalFormatting>
  <conditionalFormatting sqref="EK8">
    <cfRule type="expression" dxfId="2" priority="5211">
      <formula>AND(BQ8&gt;=1,EK8&lt;&gt;0, GetEquPower(C8,BK8, CM8, FP8)=0)</formula>
    </cfRule>
    <cfRule type="expression" dxfId="1" priority="5212">
      <formula>AND(BQ8&gt;=1,EK8&lt;&gt;GetEquPower(C8,BK8, CM8, FP8))</formula>
    </cfRule>
  </conditionalFormatting>
  <conditionalFormatting sqref="EL8">
    <cfRule type="expression" dxfId="2" priority="5213">
      <formula>AND(BQ8&gt;=2,EL8&lt;&gt;0, GetEquPower(C8,BK8, CN8, FP8)=0)</formula>
    </cfRule>
    <cfRule type="expression" dxfId="1" priority="5214">
      <formula xml:space="preserve"> AND(BQ8&gt;=2,EL8&lt;&gt;GetEquPower(C8,BK8, CN8, FP8))</formula>
    </cfRule>
  </conditionalFormatting>
  <conditionalFormatting sqref="EM8">
    <cfRule type="expression" dxfId="2" priority="5215">
      <formula>AND(BQ8&gt;=3,EM8&lt;&gt;0, GetEquPower(C8,BK8, CO8, FP8)=0)</formula>
    </cfRule>
    <cfRule type="expression" dxfId="1" priority="5216">
      <formula xml:space="preserve"> AND(BQ8&gt;=3,EM8&lt;&gt;GetEquPower(C8,BK8, CO8, FP8))</formula>
    </cfRule>
  </conditionalFormatting>
  <conditionalFormatting sqref="ER8">
    <cfRule type="expression" dxfId="2" priority="5217">
      <formula>AND(BR8&gt;=1,ER8&lt;&gt;0, GetEquPower(C8,BL8, CS8, FQ8)=0)</formula>
    </cfRule>
    <cfRule type="expression" dxfId="1" priority="5218">
      <formula>AND(BR8&gt;=1,ER8&lt;&gt;GetEquPower(C8,BL8, CS8, FQ8))</formula>
    </cfRule>
  </conditionalFormatting>
  <conditionalFormatting sqref="ES8">
    <cfRule type="expression" dxfId="2" priority="5219">
      <formula>AND(BR8&gt;=2,ES8&lt;&gt;0, GetEquPower(C8,BL8, CT8, FQ8)=0)</formula>
    </cfRule>
    <cfRule type="expression" dxfId="1" priority="5220">
      <formula>AND(BR8&gt;=2,ES8&lt;&gt;GetEquPower(C8,BL8, CT8, FQ8))</formula>
    </cfRule>
  </conditionalFormatting>
  <conditionalFormatting sqref="ET8">
    <cfRule type="expression" dxfId="2" priority="5221">
      <formula>AND(BR8&gt;=3,ET8&lt;&gt;0, GetEquPower(C8,BL8, CU8, FQ8)=0)</formula>
    </cfRule>
    <cfRule type="expression" dxfId="1" priority="5222">
      <formula>AND(BR8&gt;=3,ET8&lt;&gt;GetEquPower(C8,BL8, CU8, FQ8))</formula>
    </cfRule>
  </conditionalFormatting>
  <conditionalFormatting sqref="EY8">
    <cfRule type="expression" dxfId="2" priority="5223">
      <formula>AND(BS8&gt;=1,EY8&lt;&gt;0, GetEquPower(C8,BM8, CY8, FR8)=0)</formula>
    </cfRule>
    <cfRule type="expression" dxfId="1" priority="5224">
      <formula>AND(BS8&gt;=1,EY8&lt;&gt;GetEquPower(C8,BM8, CY8, FR8))</formula>
    </cfRule>
  </conditionalFormatting>
  <conditionalFormatting sqref="EZ8">
    <cfRule type="expression" dxfId="2" priority="5225">
      <formula>AND(BS8&gt;=2,EZ8&lt;&gt;0, GetEquPower(C8,BM8, CZ8, FR8)=0)</formula>
    </cfRule>
    <cfRule type="expression" dxfId="1" priority="5226">
      <formula>AND(BS8&gt;=2,EZ8&lt;&gt;GetEquPower(C8,BM8, CZ8, FR8))</formula>
    </cfRule>
  </conditionalFormatting>
  <conditionalFormatting sqref="FA8">
    <cfRule type="expression" dxfId="2" priority="5227">
      <formula>AND(BS8&gt;=3,FA8&lt;&gt;0, GetEquPower(C8,BM8, DA8, FR8)=0)</formula>
    </cfRule>
    <cfRule type="expression" dxfId="1" priority="5228">
      <formula>AND(BS8&gt;=3,FA8&lt;&gt;GetEquPower(C8,BM8, DA8, FR8))</formula>
    </cfRule>
  </conditionalFormatting>
  <conditionalFormatting sqref="FF8">
    <cfRule type="expression" dxfId="2" priority="5229">
      <formula>AND(BT8&gt;=1,FF8&lt;&gt;0, GetEquPower(C8,BN8, DE8, FS8)=0)</formula>
    </cfRule>
    <cfRule type="expression" dxfId="1" priority="5230">
      <formula>AND(BT8&gt;=1,FF8&lt;&gt;GetEquPower(C8,BN8, DE8, FS8))</formula>
    </cfRule>
  </conditionalFormatting>
  <conditionalFormatting sqref="FG8">
    <cfRule type="expression" dxfId="2" priority="5231">
      <formula>AND(BT8&gt;=2,FG8&lt;&gt;0, GetEquPower(C8,BN8, DF8, FS8)=0)</formula>
    </cfRule>
    <cfRule type="expression" dxfId="1" priority="5232">
      <formula>AND(BT8&gt;=2,FG8&lt;&gt;GetEquPower(C8,BN8, DF8, FS8))</formula>
    </cfRule>
  </conditionalFormatting>
  <conditionalFormatting sqref="FH8">
    <cfRule type="expression" dxfId="2" priority="5233">
      <formula>AND(BT8&gt;=3,FH8&lt;&gt;0, GetEquPower(C8,BN8, DG8, FS8)=0)</formula>
    </cfRule>
    <cfRule type="expression" dxfId="1" priority="5234">
      <formula>AND(BT8&gt;=3,FH8&lt;&gt;GetEquPower(C8,BN8, DG8, FS8))</formula>
    </cfRule>
  </conditionalFormatting>
  <conditionalFormatting sqref="DZ8">
    <cfRule type="expression" dxfId="2" priority="5235">
      <formula>AND(BO8&gt;=4,DZ8&lt;&gt;0, GetEquPower(C8,BI8, CD8, FN8)=0)</formula>
    </cfRule>
    <cfRule type="expression" dxfId="1" priority="5236">
      <formula>AND(BO8&gt;=4, DZ8&lt;&gt;GetEquPower(C8,BI8, CD8, FN8))</formula>
    </cfRule>
  </conditionalFormatting>
  <conditionalFormatting sqref="EG8">
    <cfRule type="expression" dxfId="2" priority="5237">
      <formula>AND(BP8&gt;=4,EG8&lt;&gt;0, GetEquPower(C8,BJ8, CJ8, FO8)=0)</formula>
    </cfRule>
    <cfRule type="expression" dxfId="1" priority="5238">
      <formula>AND(BP8&gt;=4,EG8&lt;&gt;GetEquPower(C8,BJ8, CJ8, FO8))</formula>
    </cfRule>
  </conditionalFormatting>
  <conditionalFormatting sqref="EN8">
    <cfRule type="expression" dxfId="2" priority="5239">
      <formula>AND(BQ8&gt;=4,EN8&lt;&gt;0, GetEquPower(C8,BK8, CP8, FP8)=0)</formula>
    </cfRule>
    <cfRule type="expression" dxfId="1" priority="5240">
      <formula xml:space="preserve"> AND(BQ8&gt;=4,EN8&lt;&gt;GetEquPower(C8,BK8, CP8, FP8))</formula>
    </cfRule>
  </conditionalFormatting>
  <conditionalFormatting sqref="EU8">
    <cfRule type="expression" dxfId="2" priority="5241">
      <formula>AND(BR8&gt;=4,EU8&lt;&gt;0, GetEquPower(C8,BL8, CV8, FQ8)=0)</formula>
    </cfRule>
    <cfRule type="expression" dxfId="1" priority="5242">
      <formula>AND(BR8&gt;=4,EU8&lt;&gt;GetEquPower(C8,BL8, CV8, FQ8))</formula>
    </cfRule>
  </conditionalFormatting>
  <conditionalFormatting sqref="FB8">
    <cfRule type="expression" dxfId="2" priority="5243">
      <formula>AND(BS8&gt;=4,FB8&lt;&gt;0, GetEquPower(C8,BM8, DB8, FR8)=0)</formula>
    </cfRule>
    <cfRule type="expression" dxfId="1" priority="5244">
      <formula>AND(BS8&gt;=4,FB8&lt;&gt;GetEquPower(C8,BM8, DB8, FR8))</formula>
    </cfRule>
  </conditionalFormatting>
  <conditionalFormatting sqref="FI8">
    <cfRule type="expression" dxfId="2" priority="5245">
      <formula>AND(BT8&gt;=4,FI8&lt;&gt;0, GetEquPower(C8,BN8, DH8, FS8)=0)</formula>
    </cfRule>
    <cfRule type="expression" dxfId="1" priority="5246">
      <formula>AND(BT8&gt;=4,FI8&lt;&gt;GetEquPower(C8,BN8, DH8, FS8))</formula>
    </cfRule>
  </conditionalFormatting>
  <conditionalFormatting sqref="EA8">
    <cfRule type="expression" dxfId="2" priority="5247">
      <formula>AND(BO8&gt;=5,EA8&lt;&gt;0, GetEquPower(C8,BI8, CE8, FN8)=0)</formula>
    </cfRule>
    <cfRule type="expression" dxfId="1" priority="5248">
      <formula>AND(BO8&gt;=5, EA8&lt;&gt;GetEquPower(C8,BI8, CE8, FN8))</formula>
    </cfRule>
  </conditionalFormatting>
  <conditionalFormatting sqref="EB8">
    <cfRule type="expression" dxfId="2" priority="5249">
      <formula>AND(BO8&gt;=6,EB8&lt;&gt;0, GetEquPower(C8,BI8, CF8, FN8)=0)</formula>
    </cfRule>
    <cfRule type="expression" dxfId="1" priority="5250">
      <formula>AND(BO8&gt;=6, EB8&lt;&gt;GetEquPower(C8,BI8, CF8, FN8))</formula>
    </cfRule>
  </conditionalFormatting>
  <conditionalFormatting sqref="EH8">
    <cfRule type="expression" dxfId="2" priority="5251">
      <formula>AND(BP8&gt;=5,EH8&lt;&gt;0, GetEquPower(C8,BJ8, CK8, FO8)=0)</formula>
    </cfRule>
    <cfRule type="expression" dxfId="1" priority="5252">
      <formula>AND(BP8&gt;=5,EH8&lt;&gt;GetEquPower(C8,BJ8, CK8, FO8))</formula>
    </cfRule>
  </conditionalFormatting>
  <conditionalFormatting sqref="EI8">
    <cfRule type="expression" dxfId="2" priority="5253">
      <formula>AND(BP8&gt;=6,EI8&lt;&gt;0, GetEquPower(C8,BJ8, CL8, FO8)=0)</formula>
    </cfRule>
    <cfRule type="expression" dxfId="1" priority="5254">
      <formula>AND(BP8&gt;=6,EI8&lt;&gt;GetEquPower(C8,BJ8, CL8, FO8))</formula>
    </cfRule>
  </conditionalFormatting>
  <conditionalFormatting sqref="EO8">
    <cfRule type="expression" dxfId="2" priority="5255">
      <formula>AND(BQ8&gt;=5,EO8&lt;&gt;0, GetEquPower(C8,BK8, CQ8, FP8)=0)</formula>
    </cfRule>
    <cfRule type="expression" dxfId="1" priority="5256">
      <formula xml:space="preserve"> AND(BQ8&gt;=5,EO8&lt;&gt;GetEquPower(C8,BK8, CQ8, FP8))</formula>
    </cfRule>
  </conditionalFormatting>
  <conditionalFormatting sqref="EP8">
    <cfRule type="expression" dxfId="2" priority="5257">
      <formula>AND(BQ8&gt;=6,EP8&lt;&gt;0, GetEquPower(C8,BK8, CR8, FP8)=0)</formula>
    </cfRule>
    <cfRule type="expression" dxfId="1" priority="5258">
      <formula xml:space="preserve"> AND(BQ8&gt;=6,EP8&lt;&gt;GetEquPower(C8,BK8, CR8, FP8))</formula>
    </cfRule>
  </conditionalFormatting>
  <conditionalFormatting sqref="EV8">
    <cfRule type="expression" dxfId="2" priority="5259">
      <formula>AND(BR8&gt;=5,EV8&lt;&gt;0, GetEquPower(C8,BL8, CW8, FQ8)=0)</formula>
    </cfRule>
    <cfRule type="expression" dxfId="1" priority="5260">
      <formula>AND(BR8&gt;=5,EV8&lt;&gt;GetEquPower(C8,BL8, CW8, FQ8))</formula>
    </cfRule>
  </conditionalFormatting>
  <conditionalFormatting sqref="EW8">
    <cfRule type="expression" dxfId="2" priority="5261">
      <formula>AND(BR8&gt;=6,EW8&lt;&gt;0, GetEquPower(C8,BL8, CX8, FQ8)=0)</formula>
    </cfRule>
    <cfRule type="expression" dxfId="1" priority="5262">
      <formula>AND(BR8&gt;=6,EW8&lt;&gt;GetEquPower(C8,BL8, CX8, FQ8))</formula>
    </cfRule>
  </conditionalFormatting>
  <conditionalFormatting sqref="FC8">
    <cfRule type="expression" dxfId="2" priority="5263">
      <formula>AND(BS8&gt;=5,FC8&lt;&gt;0, GetEquPower(C8,BM8, DC8, FR8)=0)</formula>
    </cfRule>
    <cfRule type="expression" dxfId="1" priority="5264">
      <formula>AND(BS8&gt;=5,FC8&lt;&gt;GetEquPower(C8,BM8, DC8, FR8))</formula>
    </cfRule>
  </conditionalFormatting>
  <conditionalFormatting sqref="FD8">
    <cfRule type="expression" dxfId="2" priority="5265">
      <formula>AND(BS8&gt;=6,FD8&lt;&gt;0, GetEquPower(C8,BM8, DD8, FR8)=0)</formula>
    </cfRule>
    <cfRule type="expression" dxfId="1" priority="5266">
      <formula>AND(BS8&gt;=6,FD8&lt;&gt;GetEquPower(C8,BM8, DD8, FR8))</formula>
    </cfRule>
  </conditionalFormatting>
  <conditionalFormatting sqref="FJ8">
    <cfRule type="expression" dxfId="2" priority="5267">
      <formula>AND(BT8&gt;=5,FJ8&lt;&gt;0, GetEquPower(C8,BN8, DI8, FS8)=0)</formula>
    </cfRule>
    <cfRule type="expression" dxfId="1" priority="5268">
      <formula>AND(BT8&gt;=5,FJ8&lt;&gt;GetEquPower(C8,BN8, DI8, FS8))</formula>
    </cfRule>
  </conditionalFormatting>
  <conditionalFormatting sqref="FK8">
    <cfRule type="expression" dxfId="2" priority="5269">
      <formula>AND(BT8&gt;=6,FK8&lt;&gt;0, GetEquPower(C8,BN8, DJ8, FS8)=0)</formula>
    </cfRule>
    <cfRule type="expression" dxfId="1" priority="5270">
      <formula>AND(BT8&gt;=6,FK8&lt;&gt;GetEquPower(C8,BN8, DJ8, FS8))</formula>
    </cfRule>
  </conditionalFormatting>
  <conditionalFormatting sqref="W8">
    <cfRule type="expression" dxfId="0" priority="5186">
      <formula xml:space="preserve"> NOT(ISLOGICAL($W$2))</formula>
    </cfRule>
  </conditionalFormatting>
  <conditionalFormatting sqref="F9">
    <cfRule type="expression" dxfId="0" priority="5113">
      <formula>F9&lt;&gt;RIGHT(SUBSTITUTE(E9,".",""),LEN(F9))</formula>
    </cfRule>
  </conditionalFormatting>
  <conditionalFormatting sqref="X9">
    <cfRule type="expression" dxfId="0" priority="5108">
      <formula xml:space="preserve"> NOT(ISLOGICAL($X$2))</formula>
    </cfRule>
    <cfRule type="expression" dxfId="0" priority="5112">
      <formula>AND(X9=TRUE,W9=FALSE)</formula>
    </cfRule>
  </conditionalFormatting>
  <conditionalFormatting sqref="Y9">
    <cfRule type="expression" dxfId="0" priority="5111">
      <formula>OR(AND(X9=FALSE,INT(Y9)&gt;0),AND(X9=TRUE,INT(Y9)&lt;=0))</formula>
    </cfRule>
  </conditionalFormatting>
  <conditionalFormatting sqref="AA9">
    <cfRule type="expression" dxfId="0" priority="5110">
      <formula>AND(Z9=FALSE,AA9&gt;0)</formula>
    </cfRule>
  </conditionalFormatting>
  <conditionalFormatting sqref="BV9:HY9">
    <cfRule type="containsErrors" dxfId="0" priority="5109">
      <formula>ISERROR(BV9)</formula>
    </cfRule>
  </conditionalFormatting>
  <conditionalFormatting sqref="Z9">
    <cfRule type="expression" dxfId="0" priority="5107">
      <formula>NOT(ISLOGICAL($Z$2))</formula>
    </cfRule>
  </conditionalFormatting>
  <conditionalFormatting sqref="AB9">
    <cfRule type="expression" dxfId="0" priority="5106">
      <formula>NOT(ISLOGICAL($AB$2))</formula>
    </cfRule>
  </conditionalFormatting>
  <conditionalFormatting sqref="AC9">
    <cfRule type="expression" dxfId="0" priority="5105">
      <formula>NOT(ISLOGICAL($AC$2))</formula>
    </cfRule>
  </conditionalFormatting>
  <conditionalFormatting sqref="B9:BU9">
    <cfRule type="containsErrors" dxfId="0" priority="5104">
      <formula>ISERROR(B9)</formula>
    </cfRule>
  </conditionalFormatting>
  <conditionalFormatting sqref="I9">
    <cfRule type="expression" dxfId="0" priority="5103">
      <formula>NOT(ISNUMBER($I$2))</formula>
    </cfRule>
  </conditionalFormatting>
  <conditionalFormatting sqref="D9">
    <cfRule type="expression" dxfId="0" priority="5102">
      <formula>ISBLANK($D$2)</formula>
    </cfRule>
  </conditionalFormatting>
  <conditionalFormatting sqref="DW9">
    <cfRule type="expression" dxfId="2" priority="5114">
      <formula>AND(BO9&gt;=1,DW9&lt;&gt;0, GetEquPower(C9,BI9, CA9, FN9)=0)</formula>
    </cfRule>
    <cfRule type="expression" dxfId="1" priority="5115">
      <formula>AND(BO9&gt;=1,DW9&lt;&gt;GetEquPower(C9,BI9, CA9, FN9))</formula>
    </cfRule>
  </conditionalFormatting>
  <conditionalFormatting sqref="DX9">
    <cfRule type="expression" dxfId="2" priority="5116">
      <formula>AND(BO9&gt;=2,DX9&lt;&gt;0, GetEquPower(C9,BI9, CB9, FN9)=0)</formula>
    </cfRule>
    <cfRule type="expression" dxfId="1" priority="5117">
      <formula>AND(BO9&gt;=2,DX9&lt;&gt;GetEquPower(C9,BI9, CB9, FN9))</formula>
    </cfRule>
  </conditionalFormatting>
  <conditionalFormatting sqref="DY9">
    <cfRule type="expression" dxfId="2" priority="5118">
      <formula>AND(BO9&gt;=3,DY9&lt;&gt;0, GetEquPower(C9,BI9, CC9, FN9)=0)</formula>
    </cfRule>
    <cfRule type="expression" dxfId="1" priority="5119">
      <formula>AND(BO9&gt;=3,DY9&lt;&gt;GetEquPower(C9,BI9, CC9, FN9))</formula>
    </cfRule>
  </conditionalFormatting>
  <conditionalFormatting sqref="ED9">
    <cfRule type="expression" dxfId="2" priority="5120">
      <formula>AND(BP9&gt;=1,ED9&lt;&gt;0, GetEquPower(C9,BJ9, CG9, FO9)=0)</formula>
    </cfRule>
    <cfRule type="expression" dxfId="1" priority="5121">
      <formula>AND(BP9&gt;=1,ED9&lt;&gt;GetEquPower(C9,BJ9, CG9, FO9))</formula>
    </cfRule>
  </conditionalFormatting>
  <conditionalFormatting sqref="EE9">
    <cfRule type="expression" dxfId="2" priority="5122">
      <formula>AND(BP9&gt;=2,EE9&lt;&gt;0, GetEquPower(C9,BJ9, CH9, FO9)=0)</formula>
    </cfRule>
    <cfRule type="expression" dxfId="1" priority="5123">
      <formula>AND(BP9&gt;=2,EE9&lt;&gt;GetEquPower(C9,BJ9, CH9, FO9))</formula>
    </cfRule>
  </conditionalFormatting>
  <conditionalFormatting sqref="EF9">
    <cfRule type="expression" dxfId="2" priority="5124">
      <formula>AND(BP9&gt;=3,EF9&lt;&gt;0, GetEquPower(C9,BJ9, CI9, FO9)=0)</formula>
    </cfRule>
    <cfRule type="expression" dxfId="1" priority="5125">
      <formula>AND(BP9&gt;=3,EF9&lt;&gt;GetEquPower(C9,BJ9, CI9, FO9))</formula>
    </cfRule>
  </conditionalFormatting>
  <conditionalFormatting sqref="EK9">
    <cfRule type="expression" dxfId="2" priority="5126">
      <formula>AND(BQ9&gt;=1,EK9&lt;&gt;0, GetEquPower(C9,BK9, CM9, FP9)=0)</formula>
    </cfRule>
    <cfRule type="expression" dxfId="1" priority="5127">
      <formula>AND(BQ9&gt;=1,EK9&lt;&gt;GetEquPower(C9,BK9, CM9, FP9))</formula>
    </cfRule>
  </conditionalFormatting>
  <conditionalFormatting sqref="EL9">
    <cfRule type="expression" dxfId="2" priority="5128">
      <formula>AND(BQ9&gt;=2,EL9&lt;&gt;0, GetEquPower(C9,BK9, CN9, FP9)=0)</formula>
    </cfRule>
    <cfRule type="expression" dxfId="1" priority="5129">
      <formula xml:space="preserve"> AND(BQ9&gt;=2,EL9&lt;&gt;GetEquPower(C9,BK9, CN9, FP9))</formula>
    </cfRule>
  </conditionalFormatting>
  <conditionalFormatting sqref="EM9">
    <cfRule type="expression" dxfId="2" priority="5130">
      <formula>AND(BQ9&gt;=3,EM9&lt;&gt;0, GetEquPower(C9,BK9, CO9, FP9)=0)</formula>
    </cfRule>
    <cfRule type="expression" dxfId="1" priority="5131">
      <formula xml:space="preserve"> AND(BQ9&gt;=3,EM9&lt;&gt;GetEquPower(C9,BK9, CO9, FP9))</formula>
    </cfRule>
  </conditionalFormatting>
  <conditionalFormatting sqref="ER9">
    <cfRule type="expression" dxfId="2" priority="5132">
      <formula>AND(BR9&gt;=1,ER9&lt;&gt;0, GetEquPower(C9,BL9, CS9, FQ9)=0)</formula>
    </cfRule>
    <cfRule type="expression" dxfId="1" priority="5133">
      <formula>AND(BR9&gt;=1,ER9&lt;&gt;GetEquPower(C9,BL9, CS9, FQ9))</formula>
    </cfRule>
  </conditionalFormatting>
  <conditionalFormatting sqref="ES9">
    <cfRule type="expression" dxfId="2" priority="5134">
      <formula>AND(BR9&gt;=2,ES9&lt;&gt;0, GetEquPower(C9,BL9, CT9, FQ9)=0)</formula>
    </cfRule>
    <cfRule type="expression" dxfId="1" priority="5135">
      <formula>AND(BR9&gt;=2,ES9&lt;&gt;GetEquPower(C9,BL9, CT9, FQ9))</formula>
    </cfRule>
  </conditionalFormatting>
  <conditionalFormatting sqref="ET9">
    <cfRule type="expression" dxfId="2" priority="5136">
      <formula>AND(BR9&gt;=3,ET9&lt;&gt;0, GetEquPower(C9,BL9, CU9, FQ9)=0)</formula>
    </cfRule>
    <cfRule type="expression" dxfId="1" priority="5137">
      <formula>AND(BR9&gt;=3,ET9&lt;&gt;GetEquPower(C9,BL9, CU9, FQ9))</formula>
    </cfRule>
  </conditionalFormatting>
  <conditionalFormatting sqref="EY9">
    <cfRule type="expression" dxfId="2" priority="5138">
      <formula>AND(BS9&gt;=1,EY9&lt;&gt;0, GetEquPower(C9,BM9, CY9, FR9)=0)</formula>
    </cfRule>
    <cfRule type="expression" dxfId="1" priority="5139">
      <formula>AND(BS9&gt;=1,EY9&lt;&gt;GetEquPower(C9,BM9, CY9, FR9))</formula>
    </cfRule>
  </conditionalFormatting>
  <conditionalFormatting sqref="EZ9">
    <cfRule type="expression" dxfId="2" priority="5140">
      <formula>AND(BS9&gt;=2,EZ9&lt;&gt;0, GetEquPower(C9,BM9, CZ9, FR9)=0)</formula>
    </cfRule>
    <cfRule type="expression" dxfId="1" priority="5141">
      <formula>AND(BS9&gt;=2,EZ9&lt;&gt;GetEquPower(C9,BM9, CZ9, FR9))</formula>
    </cfRule>
  </conditionalFormatting>
  <conditionalFormatting sqref="FA9">
    <cfRule type="expression" dxfId="2" priority="5142">
      <formula>AND(BS9&gt;=3,FA9&lt;&gt;0, GetEquPower(C9,BM9, DA9, FR9)=0)</formula>
    </cfRule>
    <cfRule type="expression" dxfId="1" priority="5143">
      <formula>AND(BS9&gt;=3,FA9&lt;&gt;GetEquPower(C9,BM9, DA9, FR9))</formula>
    </cfRule>
  </conditionalFormatting>
  <conditionalFormatting sqref="FF9">
    <cfRule type="expression" dxfId="2" priority="5144">
      <formula>AND(BT9&gt;=1,FF9&lt;&gt;0, GetEquPower(C9,BN9, DE9, FS9)=0)</formula>
    </cfRule>
    <cfRule type="expression" dxfId="1" priority="5145">
      <formula>AND(BT9&gt;=1,FF9&lt;&gt;GetEquPower(C9,BN9, DE9, FS9))</formula>
    </cfRule>
  </conditionalFormatting>
  <conditionalFormatting sqref="FG9">
    <cfRule type="expression" dxfId="2" priority="5146">
      <formula>AND(BT9&gt;=2,FG9&lt;&gt;0, GetEquPower(C9,BN9, DF9, FS9)=0)</formula>
    </cfRule>
    <cfRule type="expression" dxfId="1" priority="5147">
      <formula>AND(BT9&gt;=2,FG9&lt;&gt;GetEquPower(C9,BN9, DF9, FS9))</formula>
    </cfRule>
  </conditionalFormatting>
  <conditionalFormatting sqref="FH9">
    <cfRule type="expression" dxfId="2" priority="5148">
      <formula>AND(BT9&gt;=3,FH9&lt;&gt;0, GetEquPower(C9,BN9, DG9, FS9)=0)</formula>
    </cfRule>
    <cfRule type="expression" dxfId="1" priority="5149">
      <formula>AND(BT9&gt;=3,FH9&lt;&gt;GetEquPower(C9,BN9, DG9, FS9))</formula>
    </cfRule>
  </conditionalFormatting>
  <conditionalFormatting sqref="DZ9">
    <cfRule type="expression" dxfId="2" priority="5150">
      <formula>AND(BO9&gt;=4,DZ9&lt;&gt;0, GetEquPower(C9,BI9, CD9, FN9)=0)</formula>
    </cfRule>
    <cfRule type="expression" dxfId="1" priority="5151">
      <formula>AND(BO9&gt;=4, DZ9&lt;&gt;GetEquPower(C9,BI9, CD9, FN9))</formula>
    </cfRule>
  </conditionalFormatting>
  <conditionalFormatting sqref="EG9">
    <cfRule type="expression" dxfId="2" priority="5152">
      <formula>AND(BP9&gt;=4,EG9&lt;&gt;0, GetEquPower(C9,BJ9, CJ9, FO9)=0)</formula>
    </cfRule>
    <cfRule type="expression" dxfId="1" priority="5153">
      <formula>AND(BP9&gt;=4,EG9&lt;&gt;GetEquPower(C9,BJ9, CJ9, FO9))</formula>
    </cfRule>
  </conditionalFormatting>
  <conditionalFormatting sqref="EN9">
    <cfRule type="expression" dxfId="2" priority="5154">
      <formula>AND(BQ9&gt;=4,EN9&lt;&gt;0, GetEquPower(C9,BK9, CP9, FP9)=0)</formula>
    </cfRule>
    <cfRule type="expression" dxfId="1" priority="5155">
      <formula xml:space="preserve"> AND(BQ9&gt;=4,EN9&lt;&gt;GetEquPower(C9,BK9, CP9, FP9))</formula>
    </cfRule>
  </conditionalFormatting>
  <conditionalFormatting sqref="EU9">
    <cfRule type="expression" dxfId="2" priority="5156">
      <formula>AND(BR9&gt;=4,EU9&lt;&gt;0, GetEquPower(C9,BL9, CV9, FQ9)=0)</formula>
    </cfRule>
    <cfRule type="expression" dxfId="1" priority="5157">
      <formula>AND(BR9&gt;=4,EU9&lt;&gt;GetEquPower(C9,BL9, CV9, FQ9))</formula>
    </cfRule>
  </conditionalFormatting>
  <conditionalFormatting sqref="FB9">
    <cfRule type="expression" dxfId="2" priority="5158">
      <formula>AND(BS9&gt;=4,FB9&lt;&gt;0, GetEquPower(C9,BM9, DB9, FR9)=0)</formula>
    </cfRule>
    <cfRule type="expression" dxfId="1" priority="5159">
      <formula>AND(BS9&gt;=4,FB9&lt;&gt;GetEquPower(C9,BM9, DB9, FR9))</formula>
    </cfRule>
  </conditionalFormatting>
  <conditionalFormatting sqref="FI9">
    <cfRule type="expression" dxfId="2" priority="5160">
      <formula>AND(BT9&gt;=4,FI9&lt;&gt;0, GetEquPower(C9,BN9, DH9, FS9)=0)</formula>
    </cfRule>
    <cfRule type="expression" dxfId="1" priority="5161">
      <formula>AND(BT9&gt;=4,FI9&lt;&gt;GetEquPower(C9,BN9, DH9, FS9))</formula>
    </cfRule>
  </conditionalFormatting>
  <conditionalFormatting sqref="EA9">
    <cfRule type="expression" dxfId="2" priority="5162">
      <formula>AND(BO9&gt;=5,EA9&lt;&gt;0, GetEquPower(C9,BI9, CE9, FN9)=0)</formula>
    </cfRule>
    <cfRule type="expression" dxfId="1" priority="5163">
      <formula>AND(BO9&gt;=5, EA9&lt;&gt;GetEquPower(C9,BI9, CE9, FN9))</formula>
    </cfRule>
  </conditionalFormatting>
  <conditionalFormatting sqref="EB9">
    <cfRule type="expression" dxfId="2" priority="5164">
      <formula>AND(BO9&gt;=6,EB9&lt;&gt;0, GetEquPower(C9,BI9, CF9, FN9)=0)</formula>
    </cfRule>
    <cfRule type="expression" dxfId="1" priority="5165">
      <formula>AND(BO9&gt;=6, EB9&lt;&gt;GetEquPower(C9,BI9, CF9, FN9))</formula>
    </cfRule>
  </conditionalFormatting>
  <conditionalFormatting sqref="EH9">
    <cfRule type="expression" dxfId="2" priority="5166">
      <formula>AND(BP9&gt;=5,EH9&lt;&gt;0, GetEquPower(C9,BJ9, CK9, FO9)=0)</formula>
    </cfRule>
    <cfRule type="expression" dxfId="1" priority="5167">
      <formula>AND(BP9&gt;=5,EH9&lt;&gt;GetEquPower(C9,BJ9, CK9, FO9))</formula>
    </cfRule>
  </conditionalFormatting>
  <conditionalFormatting sqref="EI9">
    <cfRule type="expression" dxfId="2" priority="5168">
      <formula>AND(BP9&gt;=6,EI9&lt;&gt;0, GetEquPower(C9,BJ9, CL9, FO9)=0)</formula>
    </cfRule>
    <cfRule type="expression" dxfId="1" priority="5169">
      <formula>AND(BP9&gt;=6,EI9&lt;&gt;GetEquPower(C9,BJ9, CL9, FO9))</formula>
    </cfRule>
  </conditionalFormatting>
  <conditionalFormatting sqref="EO9">
    <cfRule type="expression" dxfId="2" priority="5170">
      <formula>AND(BQ9&gt;=5,EO9&lt;&gt;0, GetEquPower(C9,BK9, CQ9, FP9)=0)</formula>
    </cfRule>
    <cfRule type="expression" dxfId="1" priority="5171">
      <formula xml:space="preserve"> AND(BQ9&gt;=5,EO9&lt;&gt;GetEquPower(C9,BK9, CQ9, FP9))</formula>
    </cfRule>
  </conditionalFormatting>
  <conditionalFormatting sqref="EP9">
    <cfRule type="expression" dxfId="2" priority="5172">
      <formula>AND(BQ9&gt;=6,EP9&lt;&gt;0, GetEquPower(C9,BK9, CR9, FP9)=0)</formula>
    </cfRule>
    <cfRule type="expression" dxfId="1" priority="5173">
      <formula xml:space="preserve"> AND(BQ9&gt;=6,EP9&lt;&gt;GetEquPower(C9,BK9, CR9, FP9))</formula>
    </cfRule>
  </conditionalFormatting>
  <conditionalFormatting sqref="EV9">
    <cfRule type="expression" dxfId="2" priority="5174">
      <formula>AND(BR9&gt;=5,EV9&lt;&gt;0, GetEquPower(C9,BL9, CW9, FQ9)=0)</formula>
    </cfRule>
    <cfRule type="expression" dxfId="1" priority="5175">
      <formula>AND(BR9&gt;=5,EV9&lt;&gt;GetEquPower(C9,BL9, CW9, FQ9))</formula>
    </cfRule>
  </conditionalFormatting>
  <conditionalFormatting sqref="EW9">
    <cfRule type="expression" dxfId="2" priority="5176">
      <formula>AND(BR9&gt;=6,EW9&lt;&gt;0, GetEquPower(C9,BL9, CX9, FQ9)=0)</formula>
    </cfRule>
    <cfRule type="expression" dxfId="1" priority="5177">
      <formula>AND(BR9&gt;=6,EW9&lt;&gt;GetEquPower(C9,BL9, CX9, FQ9))</formula>
    </cfRule>
  </conditionalFormatting>
  <conditionalFormatting sqref="FC9">
    <cfRule type="expression" dxfId="2" priority="5178">
      <formula>AND(BS9&gt;=5,FC9&lt;&gt;0, GetEquPower(C9,BM9, DC9, FR9)=0)</formula>
    </cfRule>
    <cfRule type="expression" dxfId="1" priority="5179">
      <formula>AND(BS9&gt;=5,FC9&lt;&gt;GetEquPower(C9,BM9, DC9, FR9))</formula>
    </cfRule>
  </conditionalFormatting>
  <conditionalFormatting sqref="FD9">
    <cfRule type="expression" dxfId="2" priority="5180">
      <formula>AND(BS9&gt;=6,FD9&lt;&gt;0, GetEquPower(C9,BM9, DD9, FR9)=0)</formula>
    </cfRule>
    <cfRule type="expression" dxfId="1" priority="5181">
      <formula>AND(BS9&gt;=6,FD9&lt;&gt;GetEquPower(C9,BM9, DD9, FR9))</formula>
    </cfRule>
  </conditionalFormatting>
  <conditionalFormatting sqref="FJ9">
    <cfRule type="expression" dxfId="2" priority="5182">
      <formula>AND(BT9&gt;=5,FJ9&lt;&gt;0, GetEquPower(C9,BN9, DI9, FS9)=0)</formula>
    </cfRule>
    <cfRule type="expression" dxfId="1" priority="5183">
      <formula>AND(BT9&gt;=5,FJ9&lt;&gt;GetEquPower(C9,BN9, DI9, FS9))</formula>
    </cfRule>
  </conditionalFormatting>
  <conditionalFormatting sqref="FK9">
    <cfRule type="expression" dxfId="2" priority="5184">
      <formula>AND(BT9&gt;=6,FK9&lt;&gt;0, GetEquPower(C9,BN9, DJ9, FS9)=0)</formula>
    </cfRule>
    <cfRule type="expression" dxfId="1" priority="5185">
      <formula>AND(BT9&gt;=6,FK9&lt;&gt;GetEquPower(C9,BN9, DJ9, FS9))</formula>
    </cfRule>
  </conditionalFormatting>
  <conditionalFormatting sqref="W9">
    <cfRule type="expression" dxfId="0" priority="5101">
      <formula xml:space="preserve"> NOT(ISLOGICAL($W$2))</formula>
    </cfRule>
  </conditionalFormatting>
  <conditionalFormatting sqref="F10">
    <cfRule type="expression" dxfId="0" priority="5028">
      <formula>F10&lt;&gt;RIGHT(SUBSTITUTE(E10,".",""),LEN(F10))</formula>
    </cfRule>
  </conditionalFormatting>
  <conditionalFormatting sqref="X10">
    <cfRule type="expression" dxfId="0" priority="5023">
      <formula xml:space="preserve"> NOT(ISLOGICAL($X$2))</formula>
    </cfRule>
    <cfRule type="expression" dxfId="0" priority="5027">
      <formula>AND(X10=TRUE,W10=FALSE)</formula>
    </cfRule>
  </conditionalFormatting>
  <conditionalFormatting sqref="Y10">
    <cfRule type="expression" dxfId="0" priority="5026">
      <formula>OR(AND(X10=FALSE,INT(Y10)&gt;0),AND(X10=TRUE,INT(Y10)&lt;=0))</formula>
    </cfRule>
  </conditionalFormatting>
  <conditionalFormatting sqref="AA10">
    <cfRule type="expression" dxfId="0" priority="5025">
      <formula>AND(Z10=FALSE,AA10&gt;0)</formula>
    </cfRule>
  </conditionalFormatting>
  <conditionalFormatting sqref="BV10:HY10">
    <cfRule type="containsErrors" dxfId="0" priority="5024">
      <formula>ISERROR(BV10)</formula>
    </cfRule>
  </conditionalFormatting>
  <conditionalFormatting sqref="Z10">
    <cfRule type="expression" dxfId="0" priority="5022">
      <formula>NOT(ISLOGICAL($Z$2))</formula>
    </cfRule>
  </conditionalFormatting>
  <conditionalFormatting sqref="AB10">
    <cfRule type="expression" dxfId="0" priority="5021">
      <formula>NOT(ISLOGICAL($AB$2))</formula>
    </cfRule>
  </conditionalFormatting>
  <conditionalFormatting sqref="AC10">
    <cfRule type="expression" dxfId="0" priority="5020">
      <formula>NOT(ISLOGICAL($AC$2))</formula>
    </cfRule>
  </conditionalFormatting>
  <conditionalFormatting sqref="B10:BU10">
    <cfRule type="containsErrors" dxfId="0" priority="5019">
      <formula>ISERROR(B10)</formula>
    </cfRule>
  </conditionalFormatting>
  <conditionalFormatting sqref="I10">
    <cfRule type="expression" dxfId="0" priority="5018">
      <formula>NOT(ISNUMBER($I$2))</formula>
    </cfRule>
  </conditionalFormatting>
  <conditionalFormatting sqref="D10">
    <cfRule type="expression" dxfId="0" priority="5017">
      <formula>ISBLANK($D$2)</formula>
    </cfRule>
  </conditionalFormatting>
  <conditionalFormatting sqref="DW10">
    <cfRule type="expression" dxfId="2" priority="5029">
      <formula>AND(BO10&gt;=1,DW10&lt;&gt;0, GetEquPower(C10,BI10, CA10, FN10)=0)</formula>
    </cfRule>
    <cfRule type="expression" dxfId="1" priority="5030">
      <formula>AND(BO10&gt;=1,DW10&lt;&gt;GetEquPower(C10,BI10, CA10, FN10))</formula>
    </cfRule>
  </conditionalFormatting>
  <conditionalFormatting sqref="DX10">
    <cfRule type="expression" dxfId="2" priority="5031">
      <formula>AND(BO10&gt;=2,DX10&lt;&gt;0, GetEquPower(C10,BI10, CB10, FN10)=0)</formula>
    </cfRule>
    <cfRule type="expression" dxfId="1" priority="5032">
      <formula>AND(BO10&gt;=2,DX10&lt;&gt;GetEquPower(C10,BI10, CB10, FN10))</formula>
    </cfRule>
  </conditionalFormatting>
  <conditionalFormatting sqref="DY10">
    <cfRule type="expression" dxfId="2" priority="5033">
      <formula>AND(BO10&gt;=3,DY10&lt;&gt;0, GetEquPower(C10,BI10, CC10, FN10)=0)</formula>
    </cfRule>
    <cfRule type="expression" dxfId="1" priority="5034">
      <formula>AND(BO10&gt;=3,DY10&lt;&gt;GetEquPower(C10,BI10, CC10, FN10))</formula>
    </cfRule>
  </conditionalFormatting>
  <conditionalFormatting sqref="ED10">
    <cfRule type="expression" dxfId="2" priority="5035">
      <formula>AND(BP10&gt;=1,ED10&lt;&gt;0, GetEquPower(C10,BJ10, CG10, FO10)=0)</formula>
    </cfRule>
    <cfRule type="expression" dxfId="1" priority="5036">
      <formula>AND(BP10&gt;=1,ED10&lt;&gt;GetEquPower(C10,BJ10, CG10, FO10))</formula>
    </cfRule>
  </conditionalFormatting>
  <conditionalFormatting sqref="EE10">
    <cfRule type="expression" dxfId="2" priority="5037">
      <formula>AND(BP10&gt;=2,EE10&lt;&gt;0, GetEquPower(C10,BJ10, CH10, FO10)=0)</formula>
    </cfRule>
    <cfRule type="expression" dxfId="1" priority="5038">
      <formula>AND(BP10&gt;=2,EE10&lt;&gt;GetEquPower(C10,BJ10, CH10, FO10))</formula>
    </cfRule>
  </conditionalFormatting>
  <conditionalFormatting sqref="EF10">
    <cfRule type="expression" dxfId="2" priority="5039">
      <formula>AND(BP10&gt;=3,EF10&lt;&gt;0, GetEquPower(C10,BJ10, CI10, FO10)=0)</formula>
    </cfRule>
    <cfRule type="expression" dxfId="1" priority="5040">
      <formula>AND(BP10&gt;=3,EF10&lt;&gt;GetEquPower(C10,BJ10, CI10, FO10))</formula>
    </cfRule>
  </conditionalFormatting>
  <conditionalFormatting sqref="EK10">
    <cfRule type="expression" dxfId="2" priority="5041">
      <formula>AND(BQ10&gt;=1,EK10&lt;&gt;0, GetEquPower(C10,BK10, CM10, FP10)=0)</formula>
    </cfRule>
    <cfRule type="expression" dxfId="1" priority="5042">
      <formula>AND(BQ10&gt;=1,EK10&lt;&gt;GetEquPower(C10,BK10, CM10, FP10))</formula>
    </cfRule>
  </conditionalFormatting>
  <conditionalFormatting sqref="EL10">
    <cfRule type="expression" dxfId="2" priority="5043">
      <formula>AND(BQ10&gt;=2,EL10&lt;&gt;0, GetEquPower(C10,BK10, CN10, FP10)=0)</formula>
    </cfRule>
    <cfRule type="expression" dxfId="1" priority="5044">
      <formula xml:space="preserve"> AND(BQ10&gt;=2,EL10&lt;&gt;GetEquPower(C10,BK10, CN10, FP10))</formula>
    </cfRule>
  </conditionalFormatting>
  <conditionalFormatting sqref="EM10">
    <cfRule type="expression" dxfId="2" priority="5045">
      <formula>AND(BQ10&gt;=3,EM10&lt;&gt;0, GetEquPower(C10,BK10, CO10, FP10)=0)</formula>
    </cfRule>
    <cfRule type="expression" dxfId="1" priority="5046">
      <formula xml:space="preserve"> AND(BQ10&gt;=3,EM10&lt;&gt;GetEquPower(C10,BK10, CO10, FP10))</formula>
    </cfRule>
  </conditionalFormatting>
  <conditionalFormatting sqref="ER10">
    <cfRule type="expression" dxfId="2" priority="5047">
      <formula>AND(BR10&gt;=1,ER10&lt;&gt;0, GetEquPower(C10,BL10, CS10, FQ10)=0)</formula>
    </cfRule>
    <cfRule type="expression" dxfId="1" priority="5048">
      <formula>AND(BR10&gt;=1,ER10&lt;&gt;GetEquPower(C10,BL10, CS10, FQ10))</formula>
    </cfRule>
  </conditionalFormatting>
  <conditionalFormatting sqref="ES10">
    <cfRule type="expression" dxfId="2" priority="5049">
      <formula>AND(BR10&gt;=2,ES10&lt;&gt;0, GetEquPower(C10,BL10, CT10, FQ10)=0)</formula>
    </cfRule>
    <cfRule type="expression" dxfId="1" priority="5050">
      <formula>AND(BR10&gt;=2,ES10&lt;&gt;GetEquPower(C10,BL10, CT10, FQ10))</formula>
    </cfRule>
  </conditionalFormatting>
  <conditionalFormatting sqref="ET10">
    <cfRule type="expression" dxfId="2" priority="5051">
      <formula>AND(BR10&gt;=3,ET10&lt;&gt;0, GetEquPower(C10,BL10, CU10, FQ10)=0)</formula>
    </cfRule>
    <cfRule type="expression" dxfId="1" priority="5052">
      <formula>AND(BR10&gt;=3,ET10&lt;&gt;GetEquPower(C10,BL10, CU10, FQ10))</formula>
    </cfRule>
  </conditionalFormatting>
  <conditionalFormatting sqref="EY10">
    <cfRule type="expression" dxfId="2" priority="5053">
      <formula>AND(BS10&gt;=1,EY10&lt;&gt;0, GetEquPower(C10,BM10, CY10, FR10)=0)</formula>
    </cfRule>
    <cfRule type="expression" dxfId="1" priority="5054">
      <formula>AND(BS10&gt;=1,EY10&lt;&gt;GetEquPower(C10,BM10, CY10, FR10))</formula>
    </cfRule>
  </conditionalFormatting>
  <conditionalFormatting sqref="EZ10">
    <cfRule type="expression" dxfId="2" priority="5055">
      <formula>AND(BS10&gt;=2,EZ10&lt;&gt;0, GetEquPower(C10,BM10, CZ10, FR10)=0)</formula>
    </cfRule>
    <cfRule type="expression" dxfId="1" priority="5056">
      <formula>AND(BS10&gt;=2,EZ10&lt;&gt;GetEquPower(C10,BM10, CZ10, FR10))</formula>
    </cfRule>
  </conditionalFormatting>
  <conditionalFormatting sqref="FA10">
    <cfRule type="expression" dxfId="2" priority="5057">
      <formula>AND(BS10&gt;=3,FA10&lt;&gt;0, GetEquPower(C10,BM10, DA10, FR10)=0)</formula>
    </cfRule>
    <cfRule type="expression" dxfId="1" priority="5058">
      <formula>AND(BS10&gt;=3,FA10&lt;&gt;GetEquPower(C10,BM10, DA10, FR10))</formula>
    </cfRule>
  </conditionalFormatting>
  <conditionalFormatting sqref="FF10">
    <cfRule type="expression" dxfId="2" priority="5059">
      <formula>AND(BT10&gt;=1,FF10&lt;&gt;0, GetEquPower(C10,BN10, DE10, FS10)=0)</formula>
    </cfRule>
    <cfRule type="expression" dxfId="1" priority="5060">
      <formula>AND(BT10&gt;=1,FF10&lt;&gt;GetEquPower(C10,BN10, DE10, FS10))</formula>
    </cfRule>
  </conditionalFormatting>
  <conditionalFormatting sqref="FG10">
    <cfRule type="expression" dxfId="2" priority="5061">
      <formula>AND(BT10&gt;=2,FG10&lt;&gt;0, GetEquPower(C10,BN10, DF10, FS10)=0)</formula>
    </cfRule>
    <cfRule type="expression" dxfId="1" priority="5062">
      <formula>AND(BT10&gt;=2,FG10&lt;&gt;GetEquPower(C10,BN10, DF10, FS10))</formula>
    </cfRule>
  </conditionalFormatting>
  <conditionalFormatting sqref="FH10">
    <cfRule type="expression" dxfId="2" priority="5063">
      <formula>AND(BT10&gt;=3,FH10&lt;&gt;0, GetEquPower(C10,BN10, DG10, FS10)=0)</formula>
    </cfRule>
    <cfRule type="expression" dxfId="1" priority="5064">
      <formula>AND(BT10&gt;=3,FH10&lt;&gt;GetEquPower(C10,BN10, DG10, FS10))</formula>
    </cfRule>
  </conditionalFormatting>
  <conditionalFormatting sqref="DZ10">
    <cfRule type="expression" dxfId="2" priority="5065">
      <formula>AND(BO10&gt;=4,DZ10&lt;&gt;0, GetEquPower(C10,BI10, CD10, FN10)=0)</formula>
    </cfRule>
    <cfRule type="expression" dxfId="1" priority="5066">
      <formula>AND(BO10&gt;=4, DZ10&lt;&gt;GetEquPower(C10,BI10, CD10, FN10))</formula>
    </cfRule>
  </conditionalFormatting>
  <conditionalFormatting sqref="EG10">
    <cfRule type="expression" dxfId="2" priority="5067">
      <formula>AND(BP10&gt;=4,EG10&lt;&gt;0, GetEquPower(C10,BJ10, CJ10, FO10)=0)</formula>
    </cfRule>
    <cfRule type="expression" dxfId="1" priority="5068">
      <formula>AND(BP10&gt;=4,EG10&lt;&gt;GetEquPower(C10,BJ10, CJ10, FO10))</formula>
    </cfRule>
  </conditionalFormatting>
  <conditionalFormatting sqref="EN10">
    <cfRule type="expression" dxfId="2" priority="5069">
      <formula>AND(BQ10&gt;=4,EN10&lt;&gt;0, GetEquPower(C10,BK10, CP10, FP10)=0)</formula>
    </cfRule>
    <cfRule type="expression" dxfId="1" priority="5070">
      <formula xml:space="preserve"> AND(BQ10&gt;=4,EN10&lt;&gt;GetEquPower(C10,BK10, CP10, FP10))</formula>
    </cfRule>
  </conditionalFormatting>
  <conditionalFormatting sqref="EU10">
    <cfRule type="expression" dxfId="2" priority="5071">
      <formula>AND(BR10&gt;=4,EU10&lt;&gt;0, GetEquPower(C10,BL10, CV10, FQ10)=0)</formula>
    </cfRule>
    <cfRule type="expression" dxfId="1" priority="5072">
      <formula>AND(BR10&gt;=4,EU10&lt;&gt;GetEquPower(C10,BL10, CV10, FQ10))</formula>
    </cfRule>
  </conditionalFormatting>
  <conditionalFormatting sqref="FB10">
    <cfRule type="expression" dxfId="2" priority="5073">
      <formula>AND(BS10&gt;=4,FB10&lt;&gt;0, GetEquPower(C10,BM10, DB10, FR10)=0)</formula>
    </cfRule>
    <cfRule type="expression" dxfId="1" priority="5074">
      <formula>AND(BS10&gt;=4,FB10&lt;&gt;GetEquPower(C10,BM10, DB10, FR10))</formula>
    </cfRule>
  </conditionalFormatting>
  <conditionalFormatting sqref="FI10">
    <cfRule type="expression" dxfId="2" priority="5075">
      <formula>AND(BT10&gt;=4,FI10&lt;&gt;0, GetEquPower(C10,BN10, DH10, FS10)=0)</formula>
    </cfRule>
    <cfRule type="expression" dxfId="1" priority="5076">
      <formula>AND(BT10&gt;=4,FI10&lt;&gt;GetEquPower(C10,BN10, DH10, FS10))</formula>
    </cfRule>
  </conditionalFormatting>
  <conditionalFormatting sqref="EA10">
    <cfRule type="expression" dxfId="2" priority="5077">
      <formula>AND(BO10&gt;=5,EA10&lt;&gt;0, GetEquPower(C10,BI10, CE10, FN10)=0)</formula>
    </cfRule>
    <cfRule type="expression" dxfId="1" priority="5078">
      <formula>AND(BO10&gt;=5, EA10&lt;&gt;GetEquPower(C10,BI10, CE10, FN10))</formula>
    </cfRule>
  </conditionalFormatting>
  <conditionalFormatting sqref="EB10">
    <cfRule type="expression" dxfId="2" priority="5079">
      <formula>AND(BO10&gt;=6,EB10&lt;&gt;0, GetEquPower(C10,BI10, CF10, FN10)=0)</formula>
    </cfRule>
    <cfRule type="expression" dxfId="1" priority="5080">
      <formula>AND(BO10&gt;=6, EB10&lt;&gt;GetEquPower(C10,BI10, CF10, FN10))</formula>
    </cfRule>
  </conditionalFormatting>
  <conditionalFormatting sqref="EH10">
    <cfRule type="expression" dxfId="2" priority="5081">
      <formula>AND(BP10&gt;=5,EH10&lt;&gt;0, GetEquPower(C10,BJ10, CK10, FO10)=0)</formula>
    </cfRule>
    <cfRule type="expression" dxfId="1" priority="5082">
      <formula>AND(BP10&gt;=5,EH10&lt;&gt;GetEquPower(C10,BJ10, CK10, FO10))</formula>
    </cfRule>
  </conditionalFormatting>
  <conditionalFormatting sqref="EI10">
    <cfRule type="expression" dxfId="2" priority="5083">
      <formula>AND(BP10&gt;=6,EI10&lt;&gt;0, GetEquPower(C10,BJ10, CL10, FO10)=0)</formula>
    </cfRule>
    <cfRule type="expression" dxfId="1" priority="5084">
      <formula>AND(BP10&gt;=6,EI10&lt;&gt;GetEquPower(C10,BJ10, CL10, FO10))</formula>
    </cfRule>
  </conditionalFormatting>
  <conditionalFormatting sqref="EO10">
    <cfRule type="expression" dxfId="2" priority="5085">
      <formula>AND(BQ10&gt;=5,EO10&lt;&gt;0, GetEquPower(C10,BK10, CQ10, FP10)=0)</formula>
    </cfRule>
    <cfRule type="expression" dxfId="1" priority="5086">
      <formula xml:space="preserve"> AND(BQ10&gt;=5,EO10&lt;&gt;GetEquPower(C10,BK10, CQ10, FP10))</formula>
    </cfRule>
  </conditionalFormatting>
  <conditionalFormatting sqref="EP10">
    <cfRule type="expression" dxfId="2" priority="5087">
      <formula>AND(BQ10&gt;=6,EP10&lt;&gt;0, GetEquPower(C10,BK10, CR10, FP10)=0)</formula>
    </cfRule>
    <cfRule type="expression" dxfId="1" priority="5088">
      <formula xml:space="preserve"> AND(BQ10&gt;=6,EP10&lt;&gt;GetEquPower(C10,BK10, CR10, FP10))</formula>
    </cfRule>
  </conditionalFormatting>
  <conditionalFormatting sqref="EV10">
    <cfRule type="expression" dxfId="2" priority="5089">
      <formula>AND(BR10&gt;=5,EV10&lt;&gt;0, GetEquPower(C10,BL10, CW10, FQ10)=0)</formula>
    </cfRule>
    <cfRule type="expression" dxfId="1" priority="5090">
      <formula>AND(BR10&gt;=5,EV10&lt;&gt;GetEquPower(C10,BL10, CW10, FQ10))</formula>
    </cfRule>
  </conditionalFormatting>
  <conditionalFormatting sqref="EW10">
    <cfRule type="expression" dxfId="2" priority="5091">
      <formula>AND(BR10&gt;=6,EW10&lt;&gt;0, GetEquPower(C10,BL10, CX10, FQ10)=0)</formula>
    </cfRule>
    <cfRule type="expression" dxfId="1" priority="5092">
      <formula>AND(BR10&gt;=6,EW10&lt;&gt;GetEquPower(C10,BL10, CX10, FQ10))</formula>
    </cfRule>
  </conditionalFormatting>
  <conditionalFormatting sqref="FC10">
    <cfRule type="expression" dxfId="2" priority="5093">
      <formula>AND(BS10&gt;=5,FC10&lt;&gt;0, GetEquPower(C10,BM10, DC10, FR10)=0)</formula>
    </cfRule>
    <cfRule type="expression" dxfId="1" priority="5094">
      <formula>AND(BS10&gt;=5,FC10&lt;&gt;GetEquPower(C10,BM10, DC10, FR10))</formula>
    </cfRule>
  </conditionalFormatting>
  <conditionalFormatting sqref="FD10">
    <cfRule type="expression" dxfId="2" priority="5095">
      <formula>AND(BS10&gt;=6,FD10&lt;&gt;0, GetEquPower(C10,BM10, DD10, FR10)=0)</formula>
    </cfRule>
    <cfRule type="expression" dxfId="1" priority="5096">
      <formula>AND(BS10&gt;=6,FD10&lt;&gt;GetEquPower(C10,BM10, DD10, FR10))</formula>
    </cfRule>
  </conditionalFormatting>
  <conditionalFormatting sqref="FJ10">
    <cfRule type="expression" dxfId="2" priority="5097">
      <formula>AND(BT10&gt;=5,FJ10&lt;&gt;0, GetEquPower(C10,BN10, DI10, FS10)=0)</formula>
    </cfRule>
    <cfRule type="expression" dxfId="1" priority="5098">
      <formula>AND(BT10&gt;=5,FJ10&lt;&gt;GetEquPower(C10,BN10, DI10, FS10))</formula>
    </cfRule>
  </conditionalFormatting>
  <conditionalFormatting sqref="FK10">
    <cfRule type="expression" dxfId="2" priority="5099">
      <formula>AND(BT10&gt;=6,FK10&lt;&gt;0, GetEquPower(C10,BN10, DJ10, FS10)=0)</formula>
    </cfRule>
    <cfRule type="expression" dxfId="1" priority="5100">
      <formula>AND(BT10&gt;=6,FK10&lt;&gt;GetEquPower(C10,BN10, DJ10, FS10))</formula>
    </cfRule>
  </conditionalFormatting>
  <conditionalFormatting sqref="W10">
    <cfRule type="expression" dxfId="0" priority="5016">
      <formula xml:space="preserve"> NOT(ISLOGICAL($W$2))</formula>
    </cfRule>
  </conditionalFormatting>
  <conditionalFormatting sqref="F11">
    <cfRule type="expression" dxfId="0" priority="4943">
      <formula>F11&lt;&gt;RIGHT(SUBSTITUTE(E11,".",""),LEN(F11))</formula>
    </cfRule>
  </conditionalFormatting>
  <conditionalFormatting sqref="X11">
    <cfRule type="expression" dxfId="0" priority="4938">
      <formula xml:space="preserve"> NOT(ISLOGICAL($X$2))</formula>
    </cfRule>
    <cfRule type="expression" dxfId="0" priority="4942">
      <formula>AND(X11=TRUE,W11=FALSE)</formula>
    </cfRule>
  </conditionalFormatting>
  <conditionalFormatting sqref="Y11">
    <cfRule type="expression" dxfId="0" priority="4941">
      <formula>OR(AND(X11=FALSE,INT(Y11)&gt;0),AND(X11=TRUE,INT(Y11)&lt;=0))</formula>
    </cfRule>
  </conditionalFormatting>
  <conditionalFormatting sqref="AA11">
    <cfRule type="expression" dxfId="0" priority="4940">
      <formula>AND(Z11=FALSE,AA11&gt;0)</formula>
    </cfRule>
  </conditionalFormatting>
  <conditionalFormatting sqref="BV11:HY11">
    <cfRule type="containsErrors" dxfId="0" priority="4939">
      <formula>ISERROR(BV11)</formula>
    </cfRule>
  </conditionalFormatting>
  <conditionalFormatting sqref="Z11">
    <cfRule type="expression" dxfId="0" priority="4937">
      <formula>NOT(ISLOGICAL($Z$2))</formula>
    </cfRule>
  </conditionalFormatting>
  <conditionalFormatting sqref="AB11">
    <cfRule type="expression" dxfId="0" priority="4936">
      <formula>NOT(ISLOGICAL($AB$2))</formula>
    </cfRule>
  </conditionalFormatting>
  <conditionalFormatting sqref="AC11">
    <cfRule type="expression" dxfId="0" priority="4935">
      <formula>NOT(ISLOGICAL($AC$2))</formula>
    </cfRule>
  </conditionalFormatting>
  <conditionalFormatting sqref="B11:BU11">
    <cfRule type="containsErrors" dxfId="0" priority="4934">
      <formula>ISERROR(B11)</formula>
    </cfRule>
  </conditionalFormatting>
  <conditionalFormatting sqref="I11">
    <cfRule type="expression" dxfId="0" priority="4933">
      <formula>NOT(ISNUMBER($I$2))</formula>
    </cfRule>
  </conditionalFormatting>
  <conditionalFormatting sqref="D11">
    <cfRule type="expression" dxfId="0" priority="4932">
      <formula>ISBLANK($D$2)</formula>
    </cfRule>
  </conditionalFormatting>
  <conditionalFormatting sqref="DW11">
    <cfRule type="expression" dxfId="2" priority="4944">
      <formula>AND(BO11&gt;=1,DW11&lt;&gt;0, GetEquPower(C11,BI11, CA11, FN11)=0)</formula>
    </cfRule>
    <cfRule type="expression" dxfId="1" priority="4945">
      <formula>AND(BO11&gt;=1,DW11&lt;&gt;GetEquPower(C11,BI11, CA11, FN11))</formula>
    </cfRule>
  </conditionalFormatting>
  <conditionalFormatting sqref="DX11">
    <cfRule type="expression" dxfId="2" priority="4946">
      <formula>AND(BO11&gt;=2,DX11&lt;&gt;0, GetEquPower(C11,BI11, CB11, FN11)=0)</formula>
    </cfRule>
    <cfRule type="expression" dxfId="1" priority="4947">
      <formula>AND(BO11&gt;=2,DX11&lt;&gt;GetEquPower(C11,BI11, CB11, FN11))</formula>
    </cfRule>
  </conditionalFormatting>
  <conditionalFormatting sqref="DY11">
    <cfRule type="expression" dxfId="2" priority="4948">
      <formula>AND(BO11&gt;=3,DY11&lt;&gt;0, GetEquPower(C11,BI11, CC11, FN11)=0)</formula>
    </cfRule>
    <cfRule type="expression" dxfId="1" priority="4949">
      <formula>AND(BO11&gt;=3,DY11&lt;&gt;GetEquPower(C11,BI11, CC11, FN11))</formula>
    </cfRule>
  </conditionalFormatting>
  <conditionalFormatting sqref="ED11">
    <cfRule type="expression" dxfId="2" priority="4950">
      <formula>AND(BP11&gt;=1,ED11&lt;&gt;0, GetEquPower(C11,BJ11, CG11, FO11)=0)</formula>
    </cfRule>
    <cfRule type="expression" dxfId="1" priority="4951">
      <formula>AND(BP11&gt;=1,ED11&lt;&gt;GetEquPower(C11,BJ11, CG11, FO11))</formula>
    </cfRule>
  </conditionalFormatting>
  <conditionalFormatting sqref="EE11">
    <cfRule type="expression" dxfId="2" priority="4952">
      <formula>AND(BP11&gt;=2,EE11&lt;&gt;0, GetEquPower(C11,BJ11, CH11, FO11)=0)</formula>
    </cfRule>
    <cfRule type="expression" dxfId="1" priority="4953">
      <formula>AND(BP11&gt;=2,EE11&lt;&gt;GetEquPower(C11,BJ11, CH11, FO11))</formula>
    </cfRule>
  </conditionalFormatting>
  <conditionalFormatting sqref="EF11">
    <cfRule type="expression" dxfId="2" priority="4954">
      <formula>AND(BP11&gt;=3,EF11&lt;&gt;0, GetEquPower(C11,BJ11, CI11, FO11)=0)</formula>
    </cfRule>
    <cfRule type="expression" dxfId="1" priority="4955">
      <formula>AND(BP11&gt;=3,EF11&lt;&gt;GetEquPower(C11,BJ11, CI11, FO11))</formula>
    </cfRule>
  </conditionalFormatting>
  <conditionalFormatting sqref="EK11">
    <cfRule type="expression" dxfId="2" priority="4956">
      <formula>AND(BQ11&gt;=1,EK11&lt;&gt;0, GetEquPower(C11,BK11, CM11, FP11)=0)</formula>
    </cfRule>
    <cfRule type="expression" dxfId="1" priority="4957">
      <formula>AND(BQ11&gt;=1,EK11&lt;&gt;GetEquPower(C11,BK11, CM11, FP11))</formula>
    </cfRule>
  </conditionalFormatting>
  <conditionalFormatting sqref="EL11">
    <cfRule type="expression" dxfId="2" priority="4958">
      <formula>AND(BQ11&gt;=2,EL11&lt;&gt;0, GetEquPower(C11,BK11, CN11, FP11)=0)</formula>
    </cfRule>
    <cfRule type="expression" dxfId="1" priority="4959">
      <formula xml:space="preserve"> AND(BQ11&gt;=2,EL11&lt;&gt;GetEquPower(C11,BK11, CN11, FP11))</formula>
    </cfRule>
  </conditionalFormatting>
  <conditionalFormatting sqref="EM11">
    <cfRule type="expression" dxfId="2" priority="4960">
      <formula>AND(BQ11&gt;=3,EM11&lt;&gt;0, GetEquPower(C11,BK11, CO11, FP11)=0)</formula>
    </cfRule>
    <cfRule type="expression" dxfId="1" priority="4961">
      <formula xml:space="preserve"> AND(BQ11&gt;=3,EM11&lt;&gt;GetEquPower(C11,BK11, CO11, FP11))</formula>
    </cfRule>
  </conditionalFormatting>
  <conditionalFormatting sqref="ER11">
    <cfRule type="expression" dxfId="2" priority="4962">
      <formula>AND(BR11&gt;=1,ER11&lt;&gt;0, GetEquPower(C11,BL11, CS11, FQ11)=0)</formula>
    </cfRule>
    <cfRule type="expression" dxfId="1" priority="4963">
      <formula>AND(BR11&gt;=1,ER11&lt;&gt;GetEquPower(C11,BL11, CS11, FQ11))</formula>
    </cfRule>
  </conditionalFormatting>
  <conditionalFormatting sqref="ES11">
    <cfRule type="expression" dxfId="2" priority="4964">
      <formula>AND(BR11&gt;=2,ES11&lt;&gt;0, GetEquPower(C11,BL11, CT11, FQ11)=0)</formula>
    </cfRule>
    <cfRule type="expression" dxfId="1" priority="4965">
      <formula>AND(BR11&gt;=2,ES11&lt;&gt;GetEquPower(C11,BL11, CT11, FQ11))</formula>
    </cfRule>
  </conditionalFormatting>
  <conditionalFormatting sqref="ET11">
    <cfRule type="expression" dxfId="2" priority="4966">
      <formula>AND(BR11&gt;=3,ET11&lt;&gt;0, GetEquPower(C11,BL11, CU11, FQ11)=0)</formula>
    </cfRule>
    <cfRule type="expression" dxfId="1" priority="4967">
      <formula>AND(BR11&gt;=3,ET11&lt;&gt;GetEquPower(C11,BL11, CU11, FQ11))</formula>
    </cfRule>
  </conditionalFormatting>
  <conditionalFormatting sqref="EY11">
    <cfRule type="expression" dxfId="2" priority="4968">
      <formula>AND(BS11&gt;=1,EY11&lt;&gt;0, GetEquPower(C11,BM11, CY11, FR11)=0)</formula>
    </cfRule>
    <cfRule type="expression" dxfId="1" priority="4969">
      <formula>AND(BS11&gt;=1,EY11&lt;&gt;GetEquPower(C11,BM11, CY11, FR11))</formula>
    </cfRule>
  </conditionalFormatting>
  <conditionalFormatting sqref="EZ11">
    <cfRule type="expression" dxfId="2" priority="4970">
      <formula>AND(BS11&gt;=2,EZ11&lt;&gt;0, GetEquPower(C11,BM11, CZ11, FR11)=0)</formula>
    </cfRule>
    <cfRule type="expression" dxfId="1" priority="4971">
      <formula>AND(BS11&gt;=2,EZ11&lt;&gt;GetEquPower(C11,BM11, CZ11, FR11))</formula>
    </cfRule>
  </conditionalFormatting>
  <conditionalFormatting sqref="FA11">
    <cfRule type="expression" dxfId="2" priority="4972">
      <formula>AND(BS11&gt;=3,FA11&lt;&gt;0, GetEquPower(C11,BM11, DA11, FR11)=0)</formula>
    </cfRule>
    <cfRule type="expression" dxfId="1" priority="4973">
      <formula>AND(BS11&gt;=3,FA11&lt;&gt;GetEquPower(C11,BM11, DA11, FR11))</formula>
    </cfRule>
  </conditionalFormatting>
  <conditionalFormatting sqref="FF11">
    <cfRule type="expression" dxfId="2" priority="4974">
      <formula>AND(BT11&gt;=1,FF11&lt;&gt;0, GetEquPower(C11,BN11, DE11, FS11)=0)</formula>
    </cfRule>
    <cfRule type="expression" dxfId="1" priority="4975">
      <formula>AND(BT11&gt;=1,FF11&lt;&gt;GetEquPower(C11,BN11, DE11, FS11))</formula>
    </cfRule>
  </conditionalFormatting>
  <conditionalFormatting sqref="FG11">
    <cfRule type="expression" dxfId="2" priority="4976">
      <formula>AND(BT11&gt;=2,FG11&lt;&gt;0, GetEquPower(C11,BN11, DF11, FS11)=0)</formula>
    </cfRule>
    <cfRule type="expression" dxfId="1" priority="4977">
      <formula>AND(BT11&gt;=2,FG11&lt;&gt;GetEquPower(C11,BN11, DF11, FS11))</formula>
    </cfRule>
  </conditionalFormatting>
  <conditionalFormatting sqref="FH11">
    <cfRule type="expression" dxfId="2" priority="4978">
      <formula>AND(BT11&gt;=3,FH11&lt;&gt;0, GetEquPower(C11,BN11, DG11, FS11)=0)</formula>
    </cfRule>
    <cfRule type="expression" dxfId="1" priority="4979">
      <formula>AND(BT11&gt;=3,FH11&lt;&gt;GetEquPower(C11,BN11, DG11, FS11))</formula>
    </cfRule>
  </conditionalFormatting>
  <conditionalFormatting sqref="DZ11">
    <cfRule type="expression" dxfId="2" priority="4980">
      <formula>AND(BO11&gt;=4,DZ11&lt;&gt;0, GetEquPower(C11,BI11, CD11, FN11)=0)</formula>
    </cfRule>
    <cfRule type="expression" dxfId="1" priority="4981">
      <formula>AND(BO11&gt;=4, DZ11&lt;&gt;GetEquPower(C11,BI11, CD11, FN11))</formula>
    </cfRule>
  </conditionalFormatting>
  <conditionalFormatting sqref="EG11">
    <cfRule type="expression" dxfId="2" priority="4982">
      <formula>AND(BP11&gt;=4,EG11&lt;&gt;0, GetEquPower(C11,BJ11, CJ11, FO11)=0)</formula>
    </cfRule>
    <cfRule type="expression" dxfId="1" priority="4983">
      <formula>AND(BP11&gt;=4,EG11&lt;&gt;GetEquPower(C11,BJ11, CJ11, FO11))</formula>
    </cfRule>
  </conditionalFormatting>
  <conditionalFormatting sqref="EN11">
    <cfRule type="expression" dxfId="2" priority="4984">
      <formula>AND(BQ11&gt;=4,EN11&lt;&gt;0, GetEquPower(C11,BK11, CP11, FP11)=0)</formula>
    </cfRule>
    <cfRule type="expression" dxfId="1" priority="4985">
      <formula xml:space="preserve"> AND(BQ11&gt;=4,EN11&lt;&gt;GetEquPower(C11,BK11, CP11, FP11))</formula>
    </cfRule>
  </conditionalFormatting>
  <conditionalFormatting sqref="EU11">
    <cfRule type="expression" dxfId="2" priority="4986">
      <formula>AND(BR11&gt;=4,EU11&lt;&gt;0, GetEquPower(C11,BL11, CV11, FQ11)=0)</formula>
    </cfRule>
    <cfRule type="expression" dxfId="1" priority="4987">
      <formula>AND(BR11&gt;=4,EU11&lt;&gt;GetEquPower(C11,BL11, CV11, FQ11))</formula>
    </cfRule>
  </conditionalFormatting>
  <conditionalFormatting sqref="FB11">
    <cfRule type="expression" dxfId="2" priority="4988">
      <formula>AND(BS11&gt;=4,FB11&lt;&gt;0, GetEquPower(C11,BM11, DB11, FR11)=0)</formula>
    </cfRule>
    <cfRule type="expression" dxfId="1" priority="4989">
      <formula>AND(BS11&gt;=4,FB11&lt;&gt;GetEquPower(C11,BM11, DB11, FR11))</formula>
    </cfRule>
  </conditionalFormatting>
  <conditionalFormatting sqref="FI11">
    <cfRule type="expression" dxfId="2" priority="4990">
      <formula>AND(BT11&gt;=4,FI11&lt;&gt;0, GetEquPower(C11,BN11, DH11, FS11)=0)</formula>
    </cfRule>
    <cfRule type="expression" dxfId="1" priority="4991">
      <formula>AND(BT11&gt;=4,FI11&lt;&gt;GetEquPower(C11,BN11, DH11, FS11))</formula>
    </cfRule>
  </conditionalFormatting>
  <conditionalFormatting sqref="EA11">
    <cfRule type="expression" dxfId="2" priority="4992">
      <formula>AND(BO11&gt;=5,EA11&lt;&gt;0, GetEquPower(C11,BI11, CE11, FN11)=0)</formula>
    </cfRule>
    <cfRule type="expression" dxfId="1" priority="4993">
      <formula>AND(BO11&gt;=5, EA11&lt;&gt;GetEquPower(C11,BI11, CE11, FN11))</formula>
    </cfRule>
  </conditionalFormatting>
  <conditionalFormatting sqref="EB11">
    <cfRule type="expression" dxfId="2" priority="4994">
      <formula>AND(BO11&gt;=6,EB11&lt;&gt;0, GetEquPower(C11,BI11, CF11, FN11)=0)</formula>
    </cfRule>
    <cfRule type="expression" dxfId="1" priority="4995">
      <formula>AND(BO11&gt;=6, EB11&lt;&gt;GetEquPower(C11,BI11, CF11, FN11))</formula>
    </cfRule>
  </conditionalFormatting>
  <conditionalFormatting sqref="EH11">
    <cfRule type="expression" dxfId="2" priority="4996">
      <formula>AND(BP11&gt;=5,EH11&lt;&gt;0, GetEquPower(C11,BJ11, CK11, FO11)=0)</formula>
    </cfRule>
    <cfRule type="expression" dxfId="1" priority="4997">
      <formula>AND(BP11&gt;=5,EH11&lt;&gt;GetEquPower(C11,BJ11, CK11, FO11))</formula>
    </cfRule>
  </conditionalFormatting>
  <conditionalFormatting sqref="EI11">
    <cfRule type="expression" dxfId="2" priority="4998">
      <formula>AND(BP11&gt;=6,EI11&lt;&gt;0, GetEquPower(C11,BJ11, CL11, FO11)=0)</formula>
    </cfRule>
    <cfRule type="expression" dxfId="1" priority="4999">
      <formula>AND(BP11&gt;=6,EI11&lt;&gt;GetEquPower(C11,BJ11, CL11, FO11))</formula>
    </cfRule>
  </conditionalFormatting>
  <conditionalFormatting sqref="EO11">
    <cfRule type="expression" dxfId="2" priority="5000">
      <formula>AND(BQ11&gt;=5,EO11&lt;&gt;0, GetEquPower(C11,BK11, CQ11, FP11)=0)</formula>
    </cfRule>
    <cfRule type="expression" dxfId="1" priority="5001">
      <formula xml:space="preserve"> AND(BQ11&gt;=5,EO11&lt;&gt;GetEquPower(C11,BK11, CQ11, FP11))</formula>
    </cfRule>
  </conditionalFormatting>
  <conditionalFormatting sqref="EP11">
    <cfRule type="expression" dxfId="2" priority="5002">
      <formula>AND(BQ11&gt;=6,EP11&lt;&gt;0, GetEquPower(C11,BK11, CR11, FP11)=0)</formula>
    </cfRule>
    <cfRule type="expression" dxfId="1" priority="5003">
      <formula xml:space="preserve"> AND(BQ11&gt;=6,EP11&lt;&gt;GetEquPower(C11,BK11, CR11, FP11))</formula>
    </cfRule>
  </conditionalFormatting>
  <conditionalFormatting sqref="EV11">
    <cfRule type="expression" dxfId="2" priority="5004">
      <formula>AND(BR11&gt;=5,EV11&lt;&gt;0, GetEquPower(C11,BL11, CW11, FQ11)=0)</formula>
    </cfRule>
    <cfRule type="expression" dxfId="1" priority="5005">
      <formula>AND(BR11&gt;=5,EV11&lt;&gt;GetEquPower(C11,BL11, CW11, FQ11))</formula>
    </cfRule>
  </conditionalFormatting>
  <conditionalFormatting sqref="EW11">
    <cfRule type="expression" dxfId="2" priority="5006">
      <formula>AND(BR11&gt;=6,EW11&lt;&gt;0, GetEquPower(C11,BL11, CX11, FQ11)=0)</formula>
    </cfRule>
    <cfRule type="expression" dxfId="1" priority="5007">
      <formula>AND(BR11&gt;=6,EW11&lt;&gt;GetEquPower(C11,BL11, CX11, FQ11))</formula>
    </cfRule>
  </conditionalFormatting>
  <conditionalFormatting sqref="FC11">
    <cfRule type="expression" dxfId="2" priority="5008">
      <formula>AND(BS11&gt;=5,FC11&lt;&gt;0, GetEquPower(C11,BM11, DC11, FR11)=0)</formula>
    </cfRule>
    <cfRule type="expression" dxfId="1" priority="5009">
      <formula>AND(BS11&gt;=5,FC11&lt;&gt;GetEquPower(C11,BM11, DC11, FR11))</formula>
    </cfRule>
  </conditionalFormatting>
  <conditionalFormatting sqref="FD11">
    <cfRule type="expression" dxfId="2" priority="5010">
      <formula>AND(BS11&gt;=6,FD11&lt;&gt;0, GetEquPower(C11,BM11, DD11, FR11)=0)</formula>
    </cfRule>
    <cfRule type="expression" dxfId="1" priority="5011">
      <formula>AND(BS11&gt;=6,FD11&lt;&gt;GetEquPower(C11,BM11, DD11, FR11))</formula>
    </cfRule>
  </conditionalFormatting>
  <conditionalFormatting sqref="FJ11">
    <cfRule type="expression" dxfId="2" priority="5012">
      <formula>AND(BT11&gt;=5,FJ11&lt;&gt;0, GetEquPower(C11,BN11, DI11, FS11)=0)</formula>
    </cfRule>
    <cfRule type="expression" dxfId="1" priority="5013">
      <formula>AND(BT11&gt;=5,FJ11&lt;&gt;GetEquPower(C11,BN11, DI11, FS11))</formula>
    </cfRule>
  </conditionalFormatting>
  <conditionalFormatting sqref="FK11">
    <cfRule type="expression" dxfId="2" priority="5014">
      <formula>AND(BT11&gt;=6,FK11&lt;&gt;0, GetEquPower(C11,BN11, DJ11, FS11)=0)</formula>
    </cfRule>
    <cfRule type="expression" dxfId="1" priority="5015">
      <formula>AND(BT11&gt;=6,FK11&lt;&gt;GetEquPower(C11,BN11, DJ11, FS11))</formula>
    </cfRule>
  </conditionalFormatting>
  <conditionalFormatting sqref="W11">
    <cfRule type="expression" dxfId="0" priority="4931">
      <formula xml:space="preserve"> NOT(ISLOGICAL($W$2))</formula>
    </cfRule>
  </conditionalFormatting>
  <conditionalFormatting sqref="F12">
    <cfRule type="expression" dxfId="0" priority="4858">
      <formula>F12&lt;&gt;RIGHT(SUBSTITUTE(E12,".",""),LEN(F12))</formula>
    </cfRule>
  </conditionalFormatting>
  <conditionalFormatting sqref="X12">
    <cfRule type="expression" dxfId="0" priority="4853">
      <formula xml:space="preserve"> NOT(ISLOGICAL($X$2))</formula>
    </cfRule>
    <cfRule type="expression" dxfId="0" priority="4857">
      <formula>AND(X12=TRUE,W12=FALSE)</formula>
    </cfRule>
  </conditionalFormatting>
  <conditionalFormatting sqref="Y12">
    <cfRule type="expression" dxfId="0" priority="4856">
      <formula>OR(AND(X12=FALSE,INT(Y12)&gt;0),AND(X12=TRUE,INT(Y12)&lt;=0))</formula>
    </cfRule>
  </conditionalFormatting>
  <conditionalFormatting sqref="AA12">
    <cfRule type="expression" dxfId="0" priority="4855">
      <formula>AND(Z12=FALSE,AA12&gt;0)</formula>
    </cfRule>
  </conditionalFormatting>
  <conditionalFormatting sqref="BV12:HY12">
    <cfRule type="containsErrors" dxfId="0" priority="4854">
      <formula>ISERROR(BV12)</formula>
    </cfRule>
  </conditionalFormatting>
  <conditionalFormatting sqref="Z12">
    <cfRule type="expression" dxfId="0" priority="4852">
      <formula>NOT(ISLOGICAL($Z$2))</formula>
    </cfRule>
  </conditionalFormatting>
  <conditionalFormatting sqref="AB12">
    <cfRule type="expression" dxfId="0" priority="4851">
      <formula>NOT(ISLOGICAL($AB$2))</formula>
    </cfRule>
  </conditionalFormatting>
  <conditionalFormatting sqref="AC12">
    <cfRule type="expression" dxfId="0" priority="4850">
      <formula>NOT(ISLOGICAL($AC$2))</formula>
    </cfRule>
  </conditionalFormatting>
  <conditionalFormatting sqref="B12:BU12">
    <cfRule type="containsErrors" dxfId="0" priority="4849">
      <formula>ISERROR(B12)</formula>
    </cfRule>
  </conditionalFormatting>
  <conditionalFormatting sqref="I12">
    <cfRule type="expression" dxfId="0" priority="4848">
      <formula>NOT(ISNUMBER($I$2))</formula>
    </cfRule>
  </conditionalFormatting>
  <conditionalFormatting sqref="D12">
    <cfRule type="expression" dxfId="0" priority="4847">
      <formula>ISBLANK($D$2)</formula>
    </cfRule>
  </conditionalFormatting>
  <conditionalFormatting sqref="DW12">
    <cfRule type="expression" dxfId="2" priority="4859">
      <formula>AND(BO12&gt;=1,DW12&lt;&gt;0, GetEquPower(C12,BI12, CA12, FN12)=0)</formula>
    </cfRule>
    <cfRule type="expression" dxfId="1" priority="4860">
      <formula>AND(BO12&gt;=1,DW12&lt;&gt;GetEquPower(C12,BI12, CA12, FN12))</formula>
    </cfRule>
  </conditionalFormatting>
  <conditionalFormatting sqref="DX12">
    <cfRule type="expression" dxfId="2" priority="4861">
      <formula>AND(BO12&gt;=2,DX12&lt;&gt;0, GetEquPower(C12,BI12, CB12, FN12)=0)</formula>
    </cfRule>
    <cfRule type="expression" dxfId="1" priority="4862">
      <formula>AND(BO12&gt;=2,DX12&lt;&gt;GetEquPower(C12,BI12, CB12, FN12))</formula>
    </cfRule>
  </conditionalFormatting>
  <conditionalFormatting sqref="DY12">
    <cfRule type="expression" dxfId="2" priority="4863">
      <formula>AND(BO12&gt;=3,DY12&lt;&gt;0, GetEquPower(C12,BI12, CC12, FN12)=0)</formula>
    </cfRule>
    <cfRule type="expression" dxfId="1" priority="4864">
      <formula>AND(BO12&gt;=3,DY12&lt;&gt;GetEquPower(C12,BI12, CC12, FN12))</formula>
    </cfRule>
  </conditionalFormatting>
  <conditionalFormatting sqref="ED12">
    <cfRule type="expression" dxfId="2" priority="4865">
      <formula>AND(BP12&gt;=1,ED12&lt;&gt;0, GetEquPower(C12,BJ12, CG12, FO12)=0)</formula>
    </cfRule>
    <cfRule type="expression" dxfId="1" priority="4866">
      <formula>AND(BP12&gt;=1,ED12&lt;&gt;GetEquPower(C12,BJ12, CG12, FO12))</formula>
    </cfRule>
  </conditionalFormatting>
  <conditionalFormatting sqref="EE12">
    <cfRule type="expression" dxfId="2" priority="4867">
      <formula>AND(BP12&gt;=2,EE12&lt;&gt;0, GetEquPower(C12,BJ12, CH12, FO12)=0)</formula>
    </cfRule>
    <cfRule type="expression" dxfId="1" priority="4868">
      <formula>AND(BP12&gt;=2,EE12&lt;&gt;GetEquPower(C12,BJ12, CH12, FO12))</formula>
    </cfRule>
  </conditionalFormatting>
  <conditionalFormatting sqref="EF12">
    <cfRule type="expression" dxfId="2" priority="4869">
      <formula>AND(BP12&gt;=3,EF12&lt;&gt;0, GetEquPower(C12,BJ12, CI12, FO12)=0)</formula>
    </cfRule>
    <cfRule type="expression" dxfId="1" priority="4870">
      <formula>AND(BP12&gt;=3,EF12&lt;&gt;GetEquPower(C12,BJ12, CI12, FO12))</formula>
    </cfRule>
  </conditionalFormatting>
  <conditionalFormatting sqref="EK12">
    <cfRule type="expression" dxfId="2" priority="4871">
      <formula>AND(BQ12&gt;=1,EK12&lt;&gt;0, GetEquPower(C12,BK12, CM12, FP12)=0)</formula>
    </cfRule>
    <cfRule type="expression" dxfId="1" priority="4872">
      <formula>AND(BQ12&gt;=1,EK12&lt;&gt;GetEquPower(C12,BK12, CM12, FP12))</formula>
    </cfRule>
  </conditionalFormatting>
  <conditionalFormatting sqref="EL12">
    <cfRule type="expression" dxfId="2" priority="4873">
      <formula>AND(BQ12&gt;=2,EL12&lt;&gt;0, GetEquPower(C12,BK12, CN12, FP12)=0)</formula>
    </cfRule>
    <cfRule type="expression" dxfId="1" priority="4874">
      <formula xml:space="preserve"> AND(BQ12&gt;=2,EL12&lt;&gt;GetEquPower(C12,BK12, CN12, FP12))</formula>
    </cfRule>
  </conditionalFormatting>
  <conditionalFormatting sqref="EM12">
    <cfRule type="expression" dxfId="2" priority="4875">
      <formula>AND(BQ12&gt;=3,EM12&lt;&gt;0, GetEquPower(C12,BK12, CO12, FP12)=0)</formula>
    </cfRule>
    <cfRule type="expression" dxfId="1" priority="4876">
      <formula xml:space="preserve"> AND(BQ12&gt;=3,EM12&lt;&gt;GetEquPower(C12,BK12, CO12, FP12))</formula>
    </cfRule>
  </conditionalFormatting>
  <conditionalFormatting sqref="ER12">
    <cfRule type="expression" dxfId="2" priority="4877">
      <formula>AND(BR12&gt;=1,ER12&lt;&gt;0, GetEquPower(C12,BL12, CS12, FQ12)=0)</formula>
    </cfRule>
    <cfRule type="expression" dxfId="1" priority="4878">
      <formula>AND(BR12&gt;=1,ER12&lt;&gt;GetEquPower(C12,BL12, CS12, FQ12))</formula>
    </cfRule>
  </conditionalFormatting>
  <conditionalFormatting sqref="ES12">
    <cfRule type="expression" dxfId="2" priority="4879">
      <formula>AND(BR12&gt;=2,ES12&lt;&gt;0, GetEquPower(C12,BL12, CT12, FQ12)=0)</formula>
    </cfRule>
    <cfRule type="expression" dxfId="1" priority="4880">
      <formula>AND(BR12&gt;=2,ES12&lt;&gt;GetEquPower(C12,BL12, CT12, FQ12))</formula>
    </cfRule>
  </conditionalFormatting>
  <conditionalFormatting sqref="ET12">
    <cfRule type="expression" dxfId="2" priority="4881">
      <formula>AND(BR12&gt;=3,ET12&lt;&gt;0, GetEquPower(C12,BL12, CU12, FQ12)=0)</formula>
    </cfRule>
    <cfRule type="expression" dxfId="1" priority="4882">
      <formula>AND(BR12&gt;=3,ET12&lt;&gt;GetEquPower(C12,BL12, CU12, FQ12))</formula>
    </cfRule>
  </conditionalFormatting>
  <conditionalFormatting sqref="EY12">
    <cfRule type="expression" dxfId="2" priority="4883">
      <formula>AND(BS12&gt;=1,EY12&lt;&gt;0, GetEquPower(C12,BM12, CY12, FR12)=0)</formula>
    </cfRule>
    <cfRule type="expression" dxfId="1" priority="4884">
      <formula>AND(BS12&gt;=1,EY12&lt;&gt;GetEquPower(C12,BM12, CY12, FR12))</formula>
    </cfRule>
  </conditionalFormatting>
  <conditionalFormatting sqref="EZ12">
    <cfRule type="expression" dxfId="2" priority="4885">
      <formula>AND(BS12&gt;=2,EZ12&lt;&gt;0, GetEquPower(C12,BM12, CZ12, FR12)=0)</formula>
    </cfRule>
    <cfRule type="expression" dxfId="1" priority="4886">
      <formula>AND(BS12&gt;=2,EZ12&lt;&gt;GetEquPower(C12,BM12, CZ12, FR12))</formula>
    </cfRule>
  </conditionalFormatting>
  <conditionalFormatting sqref="FA12">
    <cfRule type="expression" dxfId="2" priority="4887">
      <formula>AND(BS12&gt;=3,FA12&lt;&gt;0, GetEquPower(C12,BM12, DA12, FR12)=0)</formula>
    </cfRule>
    <cfRule type="expression" dxfId="1" priority="4888">
      <formula>AND(BS12&gt;=3,FA12&lt;&gt;GetEquPower(C12,BM12, DA12, FR12))</formula>
    </cfRule>
  </conditionalFormatting>
  <conditionalFormatting sqref="FF12">
    <cfRule type="expression" dxfId="2" priority="4889">
      <formula>AND(BT12&gt;=1,FF12&lt;&gt;0, GetEquPower(C12,BN12, DE12, FS12)=0)</formula>
    </cfRule>
    <cfRule type="expression" dxfId="1" priority="4890">
      <formula>AND(BT12&gt;=1,FF12&lt;&gt;GetEquPower(C12,BN12, DE12, FS12))</formula>
    </cfRule>
  </conditionalFormatting>
  <conditionalFormatting sqref="FG12">
    <cfRule type="expression" dxfId="2" priority="4891">
      <formula>AND(BT12&gt;=2,FG12&lt;&gt;0, GetEquPower(C12,BN12, DF12, FS12)=0)</formula>
    </cfRule>
    <cfRule type="expression" dxfId="1" priority="4892">
      <formula>AND(BT12&gt;=2,FG12&lt;&gt;GetEquPower(C12,BN12, DF12, FS12))</formula>
    </cfRule>
  </conditionalFormatting>
  <conditionalFormatting sqref="FH12">
    <cfRule type="expression" dxfId="2" priority="4893">
      <formula>AND(BT12&gt;=3,FH12&lt;&gt;0, GetEquPower(C12,BN12, DG12, FS12)=0)</formula>
    </cfRule>
    <cfRule type="expression" dxfId="1" priority="4894">
      <formula>AND(BT12&gt;=3,FH12&lt;&gt;GetEquPower(C12,BN12, DG12, FS12))</formula>
    </cfRule>
  </conditionalFormatting>
  <conditionalFormatting sqref="DZ12">
    <cfRule type="expression" dxfId="2" priority="4895">
      <formula>AND(BO12&gt;=4,DZ12&lt;&gt;0, GetEquPower(C12,BI12, CD12, FN12)=0)</formula>
    </cfRule>
    <cfRule type="expression" dxfId="1" priority="4896">
      <formula>AND(BO12&gt;=4, DZ12&lt;&gt;GetEquPower(C12,BI12, CD12, FN12))</formula>
    </cfRule>
  </conditionalFormatting>
  <conditionalFormatting sqref="EG12">
    <cfRule type="expression" dxfId="2" priority="4897">
      <formula>AND(BP12&gt;=4,EG12&lt;&gt;0, GetEquPower(C12,BJ12, CJ12, FO12)=0)</formula>
    </cfRule>
    <cfRule type="expression" dxfId="1" priority="4898">
      <formula>AND(BP12&gt;=4,EG12&lt;&gt;GetEquPower(C12,BJ12, CJ12, FO12))</formula>
    </cfRule>
  </conditionalFormatting>
  <conditionalFormatting sqref="EN12">
    <cfRule type="expression" dxfId="2" priority="4899">
      <formula>AND(BQ12&gt;=4,EN12&lt;&gt;0, GetEquPower(C12,BK12, CP12, FP12)=0)</formula>
    </cfRule>
    <cfRule type="expression" dxfId="1" priority="4900">
      <formula xml:space="preserve"> AND(BQ12&gt;=4,EN12&lt;&gt;GetEquPower(C12,BK12, CP12, FP12))</formula>
    </cfRule>
  </conditionalFormatting>
  <conditionalFormatting sqref="EU12">
    <cfRule type="expression" dxfId="2" priority="4901">
      <formula>AND(BR12&gt;=4,EU12&lt;&gt;0, GetEquPower(C12,BL12, CV12, FQ12)=0)</formula>
    </cfRule>
    <cfRule type="expression" dxfId="1" priority="4902">
      <formula>AND(BR12&gt;=4,EU12&lt;&gt;GetEquPower(C12,BL12, CV12, FQ12))</formula>
    </cfRule>
  </conditionalFormatting>
  <conditionalFormatting sqref="FB12">
    <cfRule type="expression" dxfId="2" priority="4903">
      <formula>AND(BS12&gt;=4,FB12&lt;&gt;0, GetEquPower(C12,BM12, DB12, FR12)=0)</formula>
    </cfRule>
    <cfRule type="expression" dxfId="1" priority="4904">
      <formula>AND(BS12&gt;=4,FB12&lt;&gt;GetEquPower(C12,BM12, DB12, FR12))</formula>
    </cfRule>
  </conditionalFormatting>
  <conditionalFormatting sqref="FI12">
    <cfRule type="expression" dxfId="2" priority="4905">
      <formula>AND(BT12&gt;=4,FI12&lt;&gt;0, GetEquPower(C12,BN12, DH12, FS12)=0)</formula>
    </cfRule>
    <cfRule type="expression" dxfId="1" priority="4906">
      <formula>AND(BT12&gt;=4,FI12&lt;&gt;GetEquPower(C12,BN12, DH12, FS12))</formula>
    </cfRule>
  </conditionalFormatting>
  <conditionalFormatting sqref="EA12">
    <cfRule type="expression" dxfId="2" priority="4907">
      <formula>AND(BO12&gt;=5,EA12&lt;&gt;0, GetEquPower(C12,BI12, CE12, FN12)=0)</formula>
    </cfRule>
    <cfRule type="expression" dxfId="1" priority="4908">
      <formula>AND(BO12&gt;=5, EA12&lt;&gt;GetEquPower(C12,BI12, CE12, FN12))</formula>
    </cfRule>
  </conditionalFormatting>
  <conditionalFormatting sqref="EB12">
    <cfRule type="expression" dxfId="2" priority="4909">
      <formula>AND(BO12&gt;=6,EB12&lt;&gt;0, GetEquPower(C12,BI12, CF12, FN12)=0)</formula>
    </cfRule>
    <cfRule type="expression" dxfId="1" priority="4910">
      <formula>AND(BO12&gt;=6, EB12&lt;&gt;GetEquPower(C12,BI12, CF12, FN12))</formula>
    </cfRule>
  </conditionalFormatting>
  <conditionalFormatting sqref="EH12">
    <cfRule type="expression" dxfId="2" priority="4911">
      <formula>AND(BP12&gt;=5,EH12&lt;&gt;0, GetEquPower(C12,BJ12, CK12, FO12)=0)</formula>
    </cfRule>
    <cfRule type="expression" dxfId="1" priority="4912">
      <formula>AND(BP12&gt;=5,EH12&lt;&gt;GetEquPower(C12,BJ12, CK12, FO12))</formula>
    </cfRule>
  </conditionalFormatting>
  <conditionalFormatting sqref="EI12">
    <cfRule type="expression" dxfId="2" priority="4913">
      <formula>AND(BP12&gt;=6,EI12&lt;&gt;0, GetEquPower(C12,BJ12, CL12, FO12)=0)</formula>
    </cfRule>
    <cfRule type="expression" dxfId="1" priority="4914">
      <formula>AND(BP12&gt;=6,EI12&lt;&gt;GetEquPower(C12,BJ12, CL12, FO12))</formula>
    </cfRule>
  </conditionalFormatting>
  <conditionalFormatting sqref="EO12">
    <cfRule type="expression" dxfId="2" priority="4915">
      <formula>AND(BQ12&gt;=5,EO12&lt;&gt;0, GetEquPower(C12,BK12, CQ12, FP12)=0)</formula>
    </cfRule>
    <cfRule type="expression" dxfId="1" priority="4916">
      <formula xml:space="preserve"> AND(BQ12&gt;=5,EO12&lt;&gt;GetEquPower(C12,BK12, CQ12, FP12))</formula>
    </cfRule>
  </conditionalFormatting>
  <conditionalFormatting sqref="EP12">
    <cfRule type="expression" dxfId="2" priority="4917">
      <formula>AND(BQ12&gt;=6,EP12&lt;&gt;0, GetEquPower(C12,BK12, CR12, FP12)=0)</formula>
    </cfRule>
    <cfRule type="expression" dxfId="1" priority="4918">
      <formula xml:space="preserve"> AND(BQ12&gt;=6,EP12&lt;&gt;GetEquPower(C12,BK12, CR12, FP12))</formula>
    </cfRule>
  </conditionalFormatting>
  <conditionalFormatting sqref="EV12">
    <cfRule type="expression" dxfId="2" priority="4919">
      <formula>AND(BR12&gt;=5,EV12&lt;&gt;0, GetEquPower(C12,BL12, CW12, FQ12)=0)</formula>
    </cfRule>
    <cfRule type="expression" dxfId="1" priority="4920">
      <formula>AND(BR12&gt;=5,EV12&lt;&gt;GetEquPower(C12,BL12, CW12, FQ12))</formula>
    </cfRule>
  </conditionalFormatting>
  <conditionalFormatting sqref="EW12">
    <cfRule type="expression" dxfId="2" priority="4921">
      <formula>AND(BR12&gt;=6,EW12&lt;&gt;0, GetEquPower(C12,BL12, CX12, FQ12)=0)</formula>
    </cfRule>
    <cfRule type="expression" dxfId="1" priority="4922">
      <formula>AND(BR12&gt;=6,EW12&lt;&gt;GetEquPower(C12,BL12, CX12, FQ12))</formula>
    </cfRule>
  </conditionalFormatting>
  <conditionalFormatting sqref="FC12">
    <cfRule type="expression" dxfId="2" priority="4923">
      <formula>AND(BS12&gt;=5,FC12&lt;&gt;0, GetEquPower(C12,BM12, DC12, FR12)=0)</formula>
    </cfRule>
    <cfRule type="expression" dxfId="1" priority="4924">
      <formula>AND(BS12&gt;=5,FC12&lt;&gt;GetEquPower(C12,BM12, DC12, FR12))</formula>
    </cfRule>
  </conditionalFormatting>
  <conditionalFormatting sqref="FD12">
    <cfRule type="expression" dxfId="2" priority="4925">
      <formula>AND(BS12&gt;=6,FD12&lt;&gt;0, GetEquPower(C12,BM12, DD12, FR12)=0)</formula>
    </cfRule>
    <cfRule type="expression" dxfId="1" priority="4926">
      <formula>AND(BS12&gt;=6,FD12&lt;&gt;GetEquPower(C12,BM12, DD12, FR12))</formula>
    </cfRule>
  </conditionalFormatting>
  <conditionalFormatting sqref="FJ12">
    <cfRule type="expression" dxfId="2" priority="4927">
      <formula>AND(BT12&gt;=5,FJ12&lt;&gt;0, GetEquPower(C12,BN12, DI12, FS12)=0)</formula>
    </cfRule>
    <cfRule type="expression" dxfId="1" priority="4928">
      <formula>AND(BT12&gt;=5,FJ12&lt;&gt;GetEquPower(C12,BN12, DI12, FS12))</formula>
    </cfRule>
  </conditionalFormatting>
  <conditionalFormatting sqref="FK12">
    <cfRule type="expression" dxfId="2" priority="4929">
      <formula>AND(BT12&gt;=6,FK12&lt;&gt;0, GetEquPower(C12,BN12, DJ12, FS12)=0)</formula>
    </cfRule>
    <cfRule type="expression" dxfId="1" priority="4930">
      <formula>AND(BT12&gt;=6,FK12&lt;&gt;GetEquPower(C12,BN12, DJ12, FS12))</formula>
    </cfRule>
  </conditionalFormatting>
  <conditionalFormatting sqref="W12">
    <cfRule type="expression" dxfId="0" priority="4846">
      <formula xml:space="preserve"> NOT(ISLOGICAL($W$2))</formula>
    </cfRule>
  </conditionalFormatting>
  <conditionalFormatting sqref="F13">
    <cfRule type="expression" dxfId="0" priority="4773">
      <formula>F13&lt;&gt;RIGHT(SUBSTITUTE(E13,".",""),LEN(F13))</formula>
    </cfRule>
  </conditionalFormatting>
  <conditionalFormatting sqref="X13">
    <cfRule type="expression" dxfId="0" priority="4768">
      <formula xml:space="preserve"> NOT(ISLOGICAL($X$2))</formula>
    </cfRule>
    <cfRule type="expression" dxfId="0" priority="4772">
      <formula>AND(X13=TRUE,W13=FALSE)</formula>
    </cfRule>
  </conditionalFormatting>
  <conditionalFormatting sqref="Y13">
    <cfRule type="expression" dxfId="0" priority="4771">
      <formula>OR(AND(X13=FALSE,INT(Y13)&gt;0),AND(X13=TRUE,INT(Y13)&lt;=0))</formula>
    </cfRule>
  </conditionalFormatting>
  <conditionalFormatting sqref="AA13">
    <cfRule type="expression" dxfId="0" priority="4770">
      <formula>AND(Z13=FALSE,AA13&gt;0)</formula>
    </cfRule>
  </conditionalFormatting>
  <conditionalFormatting sqref="BV13:HY13">
    <cfRule type="containsErrors" dxfId="0" priority="4769">
      <formula>ISERROR(BV13)</formula>
    </cfRule>
  </conditionalFormatting>
  <conditionalFormatting sqref="Z13">
    <cfRule type="expression" dxfId="0" priority="4767">
      <formula>NOT(ISLOGICAL($Z$2))</formula>
    </cfRule>
  </conditionalFormatting>
  <conditionalFormatting sqref="AB13">
    <cfRule type="expression" dxfId="0" priority="4766">
      <formula>NOT(ISLOGICAL($AB$2))</formula>
    </cfRule>
  </conditionalFormatting>
  <conditionalFormatting sqref="AC13">
    <cfRule type="expression" dxfId="0" priority="4765">
      <formula>NOT(ISLOGICAL($AC$2))</formula>
    </cfRule>
  </conditionalFormatting>
  <conditionalFormatting sqref="B13:BU13">
    <cfRule type="containsErrors" dxfId="0" priority="4764">
      <formula>ISERROR(B13)</formula>
    </cfRule>
  </conditionalFormatting>
  <conditionalFormatting sqref="I13">
    <cfRule type="expression" dxfId="0" priority="4763">
      <formula>NOT(ISNUMBER($I$2))</formula>
    </cfRule>
  </conditionalFormatting>
  <conditionalFormatting sqref="D13">
    <cfRule type="expression" dxfId="0" priority="4762">
      <formula>ISBLANK($D$2)</formula>
    </cfRule>
  </conditionalFormatting>
  <conditionalFormatting sqref="DW13">
    <cfRule type="expression" dxfId="2" priority="4774">
      <formula>AND(BO13&gt;=1,DW13&lt;&gt;0, GetEquPower(C13,BI13, CA13, FN13)=0)</formula>
    </cfRule>
    <cfRule type="expression" dxfId="1" priority="4775">
      <formula>AND(BO13&gt;=1,DW13&lt;&gt;GetEquPower(C13,BI13, CA13, FN13))</formula>
    </cfRule>
  </conditionalFormatting>
  <conditionalFormatting sqref="DX13">
    <cfRule type="expression" dxfId="2" priority="4776">
      <formula>AND(BO13&gt;=2,DX13&lt;&gt;0, GetEquPower(C13,BI13, CB13, FN13)=0)</formula>
    </cfRule>
    <cfRule type="expression" dxfId="1" priority="4777">
      <formula>AND(BO13&gt;=2,DX13&lt;&gt;GetEquPower(C13,BI13, CB13, FN13))</formula>
    </cfRule>
  </conditionalFormatting>
  <conditionalFormatting sqref="DY13">
    <cfRule type="expression" dxfId="2" priority="4778">
      <formula>AND(BO13&gt;=3,DY13&lt;&gt;0, GetEquPower(C13,BI13, CC13, FN13)=0)</formula>
    </cfRule>
    <cfRule type="expression" dxfId="1" priority="4779">
      <formula>AND(BO13&gt;=3,DY13&lt;&gt;GetEquPower(C13,BI13, CC13, FN13))</formula>
    </cfRule>
  </conditionalFormatting>
  <conditionalFormatting sqref="ED13">
    <cfRule type="expression" dxfId="2" priority="4780">
      <formula>AND(BP13&gt;=1,ED13&lt;&gt;0, GetEquPower(C13,BJ13, CG13, FO13)=0)</formula>
    </cfRule>
    <cfRule type="expression" dxfId="1" priority="4781">
      <formula>AND(BP13&gt;=1,ED13&lt;&gt;GetEquPower(C13,BJ13, CG13, FO13))</formula>
    </cfRule>
  </conditionalFormatting>
  <conditionalFormatting sqref="EE13">
    <cfRule type="expression" dxfId="2" priority="4782">
      <formula>AND(BP13&gt;=2,EE13&lt;&gt;0, GetEquPower(C13,BJ13, CH13, FO13)=0)</formula>
    </cfRule>
    <cfRule type="expression" dxfId="1" priority="4783">
      <formula>AND(BP13&gt;=2,EE13&lt;&gt;GetEquPower(C13,BJ13, CH13, FO13))</formula>
    </cfRule>
  </conditionalFormatting>
  <conditionalFormatting sqref="EF13">
    <cfRule type="expression" dxfId="2" priority="4784">
      <formula>AND(BP13&gt;=3,EF13&lt;&gt;0, GetEquPower(C13,BJ13, CI13, FO13)=0)</formula>
    </cfRule>
    <cfRule type="expression" dxfId="1" priority="4785">
      <formula>AND(BP13&gt;=3,EF13&lt;&gt;GetEquPower(C13,BJ13, CI13, FO13))</formula>
    </cfRule>
  </conditionalFormatting>
  <conditionalFormatting sqref="EK13">
    <cfRule type="expression" dxfId="2" priority="4786">
      <formula>AND(BQ13&gt;=1,EK13&lt;&gt;0, GetEquPower(C13,BK13, CM13, FP13)=0)</formula>
    </cfRule>
    <cfRule type="expression" dxfId="1" priority="4787">
      <formula>AND(BQ13&gt;=1,EK13&lt;&gt;GetEquPower(C13,BK13, CM13, FP13))</formula>
    </cfRule>
  </conditionalFormatting>
  <conditionalFormatting sqref="EL13">
    <cfRule type="expression" dxfId="2" priority="4788">
      <formula>AND(BQ13&gt;=2,EL13&lt;&gt;0, GetEquPower(C13,BK13, CN13, FP13)=0)</formula>
    </cfRule>
    <cfRule type="expression" dxfId="1" priority="4789">
      <formula xml:space="preserve"> AND(BQ13&gt;=2,EL13&lt;&gt;GetEquPower(C13,BK13, CN13, FP13))</formula>
    </cfRule>
  </conditionalFormatting>
  <conditionalFormatting sqref="EM13">
    <cfRule type="expression" dxfId="2" priority="4790">
      <formula>AND(BQ13&gt;=3,EM13&lt;&gt;0, GetEquPower(C13,BK13, CO13, FP13)=0)</formula>
    </cfRule>
    <cfRule type="expression" dxfId="1" priority="4791">
      <formula xml:space="preserve"> AND(BQ13&gt;=3,EM13&lt;&gt;GetEquPower(C13,BK13, CO13, FP13))</formula>
    </cfRule>
  </conditionalFormatting>
  <conditionalFormatting sqref="ER13">
    <cfRule type="expression" dxfId="2" priority="4792">
      <formula>AND(BR13&gt;=1,ER13&lt;&gt;0, GetEquPower(C13,BL13, CS13, FQ13)=0)</formula>
    </cfRule>
    <cfRule type="expression" dxfId="1" priority="4793">
      <formula>AND(BR13&gt;=1,ER13&lt;&gt;GetEquPower(C13,BL13, CS13, FQ13))</formula>
    </cfRule>
  </conditionalFormatting>
  <conditionalFormatting sqref="ES13">
    <cfRule type="expression" dxfId="2" priority="4794">
      <formula>AND(BR13&gt;=2,ES13&lt;&gt;0, GetEquPower(C13,BL13, CT13, FQ13)=0)</formula>
    </cfRule>
    <cfRule type="expression" dxfId="1" priority="4795">
      <formula>AND(BR13&gt;=2,ES13&lt;&gt;GetEquPower(C13,BL13, CT13, FQ13))</formula>
    </cfRule>
  </conditionalFormatting>
  <conditionalFormatting sqref="ET13">
    <cfRule type="expression" dxfId="2" priority="4796">
      <formula>AND(BR13&gt;=3,ET13&lt;&gt;0, GetEquPower(C13,BL13, CU13, FQ13)=0)</formula>
    </cfRule>
    <cfRule type="expression" dxfId="1" priority="4797">
      <formula>AND(BR13&gt;=3,ET13&lt;&gt;GetEquPower(C13,BL13, CU13, FQ13))</formula>
    </cfRule>
  </conditionalFormatting>
  <conditionalFormatting sqref="EY13">
    <cfRule type="expression" dxfId="2" priority="4798">
      <formula>AND(BS13&gt;=1,EY13&lt;&gt;0, GetEquPower(C13,BM13, CY13, FR13)=0)</formula>
    </cfRule>
    <cfRule type="expression" dxfId="1" priority="4799">
      <formula>AND(BS13&gt;=1,EY13&lt;&gt;GetEquPower(C13,BM13, CY13, FR13))</formula>
    </cfRule>
  </conditionalFormatting>
  <conditionalFormatting sqref="EZ13">
    <cfRule type="expression" dxfId="2" priority="4800">
      <formula>AND(BS13&gt;=2,EZ13&lt;&gt;0, GetEquPower(C13,BM13, CZ13, FR13)=0)</formula>
    </cfRule>
    <cfRule type="expression" dxfId="1" priority="4801">
      <formula>AND(BS13&gt;=2,EZ13&lt;&gt;GetEquPower(C13,BM13, CZ13, FR13))</formula>
    </cfRule>
  </conditionalFormatting>
  <conditionalFormatting sqref="FA13">
    <cfRule type="expression" dxfId="2" priority="4802">
      <formula>AND(BS13&gt;=3,FA13&lt;&gt;0, GetEquPower(C13,BM13, DA13, FR13)=0)</formula>
    </cfRule>
    <cfRule type="expression" dxfId="1" priority="4803">
      <formula>AND(BS13&gt;=3,FA13&lt;&gt;GetEquPower(C13,BM13, DA13, FR13))</formula>
    </cfRule>
  </conditionalFormatting>
  <conditionalFormatting sqref="FF13">
    <cfRule type="expression" dxfId="2" priority="4804">
      <formula>AND(BT13&gt;=1,FF13&lt;&gt;0, GetEquPower(C13,BN13, DE13, FS13)=0)</formula>
    </cfRule>
    <cfRule type="expression" dxfId="1" priority="4805">
      <formula>AND(BT13&gt;=1,FF13&lt;&gt;GetEquPower(C13,BN13, DE13, FS13))</formula>
    </cfRule>
  </conditionalFormatting>
  <conditionalFormatting sqref="FG13">
    <cfRule type="expression" dxfId="2" priority="4806">
      <formula>AND(BT13&gt;=2,FG13&lt;&gt;0, GetEquPower(C13,BN13, DF13, FS13)=0)</formula>
    </cfRule>
    <cfRule type="expression" dxfId="1" priority="4807">
      <formula>AND(BT13&gt;=2,FG13&lt;&gt;GetEquPower(C13,BN13, DF13, FS13))</formula>
    </cfRule>
  </conditionalFormatting>
  <conditionalFormatting sqref="FH13">
    <cfRule type="expression" dxfId="2" priority="4808">
      <formula>AND(BT13&gt;=3,FH13&lt;&gt;0, GetEquPower(C13,BN13, DG13, FS13)=0)</formula>
    </cfRule>
    <cfRule type="expression" dxfId="1" priority="4809">
      <formula>AND(BT13&gt;=3,FH13&lt;&gt;GetEquPower(C13,BN13, DG13, FS13))</formula>
    </cfRule>
  </conditionalFormatting>
  <conditionalFormatting sqref="DZ13">
    <cfRule type="expression" dxfId="2" priority="4810">
      <formula>AND(BO13&gt;=4,DZ13&lt;&gt;0, GetEquPower(C13,BI13, CD13, FN13)=0)</formula>
    </cfRule>
    <cfRule type="expression" dxfId="1" priority="4811">
      <formula>AND(BO13&gt;=4, DZ13&lt;&gt;GetEquPower(C13,BI13, CD13, FN13))</formula>
    </cfRule>
  </conditionalFormatting>
  <conditionalFormatting sqref="EG13">
    <cfRule type="expression" dxfId="2" priority="4812">
      <formula>AND(BP13&gt;=4,EG13&lt;&gt;0, GetEquPower(C13,BJ13, CJ13, FO13)=0)</formula>
    </cfRule>
    <cfRule type="expression" dxfId="1" priority="4813">
      <formula>AND(BP13&gt;=4,EG13&lt;&gt;GetEquPower(C13,BJ13, CJ13, FO13))</formula>
    </cfRule>
  </conditionalFormatting>
  <conditionalFormatting sqref="EN13">
    <cfRule type="expression" dxfId="2" priority="4814">
      <formula>AND(BQ13&gt;=4,EN13&lt;&gt;0, GetEquPower(C13,BK13, CP13, FP13)=0)</formula>
    </cfRule>
    <cfRule type="expression" dxfId="1" priority="4815">
      <formula xml:space="preserve"> AND(BQ13&gt;=4,EN13&lt;&gt;GetEquPower(C13,BK13, CP13, FP13))</formula>
    </cfRule>
  </conditionalFormatting>
  <conditionalFormatting sqref="EU13">
    <cfRule type="expression" dxfId="2" priority="4816">
      <formula>AND(BR13&gt;=4,EU13&lt;&gt;0, GetEquPower(C13,BL13, CV13, FQ13)=0)</formula>
    </cfRule>
    <cfRule type="expression" dxfId="1" priority="4817">
      <formula>AND(BR13&gt;=4,EU13&lt;&gt;GetEquPower(C13,BL13, CV13, FQ13))</formula>
    </cfRule>
  </conditionalFormatting>
  <conditionalFormatting sqref="FB13">
    <cfRule type="expression" dxfId="2" priority="4818">
      <formula>AND(BS13&gt;=4,FB13&lt;&gt;0, GetEquPower(C13,BM13, DB13, FR13)=0)</formula>
    </cfRule>
    <cfRule type="expression" dxfId="1" priority="4819">
      <formula>AND(BS13&gt;=4,FB13&lt;&gt;GetEquPower(C13,BM13, DB13, FR13))</formula>
    </cfRule>
  </conditionalFormatting>
  <conditionalFormatting sqref="FI13">
    <cfRule type="expression" dxfId="2" priority="4820">
      <formula>AND(BT13&gt;=4,FI13&lt;&gt;0, GetEquPower(C13,BN13, DH13, FS13)=0)</formula>
    </cfRule>
    <cfRule type="expression" dxfId="1" priority="4821">
      <formula>AND(BT13&gt;=4,FI13&lt;&gt;GetEquPower(C13,BN13, DH13, FS13))</formula>
    </cfRule>
  </conditionalFormatting>
  <conditionalFormatting sqref="EA13">
    <cfRule type="expression" dxfId="2" priority="4822">
      <formula>AND(BO13&gt;=5,EA13&lt;&gt;0, GetEquPower(C13,BI13, CE13, FN13)=0)</formula>
    </cfRule>
    <cfRule type="expression" dxfId="1" priority="4823">
      <formula>AND(BO13&gt;=5, EA13&lt;&gt;GetEquPower(C13,BI13, CE13, FN13))</formula>
    </cfRule>
  </conditionalFormatting>
  <conditionalFormatting sqref="EB13">
    <cfRule type="expression" dxfId="2" priority="4824">
      <formula>AND(BO13&gt;=6,EB13&lt;&gt;0, GetEquPower(C13,BI13, CF13, FN13)=0)</formula>
    </cfRule>
    <cfRule type="expression" dxfId="1" priority="4825">
      <formula>AND(BO13&gt;=6, EB13&lt;&gt;GetEquPower(C13,BI13, CF13, FN13))</formula>
    </cfRule>
  </conditionalFormatting>
  <conditionalFormatting sqref="EH13">
    <cfRule type="expression" dxfId="2" priority="4826">
      <formula>AND(BP13&gt;=5,EH13&lt;&gt;0, GetEquPower(C13,BJ13, CK13, FO13)=0)</formula>
    </cfRule>
    <cfRule type="expression" dxfId="1" priority="4827">
      <formula>AND(BP13&gt;=5,EH13&lt;&gt;GetEquPower(C13,BJ13, CK13, FO13))</formula>
    </cfRule>
  </conditionalFormatting>
  <conditionalFormatting sqref="EI13">
    <cfRule type="expression" dxfId="2" priority="4828">
      <formula>AND(BP13&gt;=6,EI13&lt;&gt;0, GetEquPower(C13,BJ13, CL13, FO13)=0)</formula>
    </cfRule>
    <cfRule type="expression" dxfId="1" priority="4829">
      <formula>AND(BP13&gt;=6,EI13&lt;&gt;GetEquPower(C13,BJ13, CL13, FO13))</formula>
    </cfRule>
  </conditionalFormatting>
  <conditionalFormatting sqref="EO13">
    <cfRule type="expression" dxfId="2" priority="4830">
      <formula>AND(BQ13&gt;=5,EO13&lt;&gt;0, GetEquPower(C13,BK13, CQ13, FP13)=0)</formula>
    </cfRule>
    <cfRule type="expression" dxfId="1" priority="4831">
      <formula xml:space="preserve"> AND(BQ13&gt;=5,EO13&lt;&gt;GetEquPower(C13,BK13, CQ13, FP13))</formula>
    </cfRule>
  </conditionalFormatting>
  <conditionalFormatting sqref="EP13">
    <cfRule type="expression" dxfId="2" priority="4832">
      <formula>AND(BQ13&gt;=6,EP13&lt;&gt;0, GetEquPower(C13,BK13, CR13, FP13)=0)</formula>
    </cfRule>
    <cfRule type="expression" dxfId="1" priority="4833">
      <formula xml:space="preserve"> AND(BQ13&gt;=6,EP13&lt;&gt;GetEquPower(C13,BK13, CR13, FP13))</formula>
    </cfRule>
  </conditionalFormatting>
  <conditionalFormatting sqref="EV13">
    <cfRule type="expression" dxfId="2" priority="4834">
      <formula>AND(BR13&gt;=5,EV13&lt;&gt;0, GetEquPower(C13,BL13, CW13, FQ13)=0)</formula>
    </cfRule>
    <cfRule type="expression" dxfId="1" priority="4835">
      <formula>AND(BR13&gt;=5,EV13&lt;&gt;GetEquPower(C13,BL13, CW13, FQ13))</formula>
    </cfRule>
  </conditionalFormatting>
  <conditionalFormatting sqref="EW13">
    <cfRule type="expression" dxfId="2" priority="4836">
      <formula>AND(BR13&gt;=6,EW13&lt;&gt;0, GetEquPower(C13,BL13, CX13, FQ13)=0)</formula>
    </cfRule>
    <cfRule type="expression" dxfId="1" priority="4837">
      <formula>AND(BR13&gt;=6,EW13&lt;&gt;GetEquPower(C13,BL13, CX13, FQ13))</formula>
    </cfRule>
  </conditionalFormatting>
  <conditionalFormatting sqref="FC13">
    <cfRule type="expression" dxfId="2" priority="4838">
      <formula>AND(BS13&gt;=5,FC13&lt;&gt;0, GetEquPower(C13,BM13, DC13, FR13)=0)</formula>
    </cfRule>
    <cfRule type="expression" dxfId="1" priority="4839">
      <formula>AND(BS13&gt;=5,FC13&lt;&gt;GetEquPower(C13,BM13, DC13, FR13))</formula>
    </cfRule>
  </conditionalFormatting>
  <conditionalFormatting sqref="FD13">
    <cfRule type="expression" dxfId="2" priority="4840">
      <formula>AND(BS13&gt;=6,FD13&lt;&gt;0, GetEquPower(C13,BM13, DD13, FR13)=0)</formula>
    </cfRule>
    <cfRule type="expression" dxfId="1" priority="4841">
      <formula>AND(BS13&gt;=6,FD13&lt;&gt;GetEquPower(C13,BM13, DD13, FR13))</formula>
    </cfRule>
  </conditionalFormatting>
  <conditionalFormatting sqref="FJ13">
    <cfRule type="expression" dxfId="2" priority="4842">
      <formula>AND(BT13&gt;=5,FJ13&lt;&gt;0, GetEquPower(C13,BN13, DI13, FS13)=0)</formula>
    </cfRule>
    <cfRule type="expression" dxfId="1" priority="4843">
      <formula>AND(BT13&gt;=5,FJ13&lt;&gt;GetEquPower(C13,BN13, DI13, FS13))</formula>
    </cfRule>
  </conditionalFormatting>
  <conditionalFormatting sqref="FK13">
    <cfRule type="expression" dxfId="2" priority="4844">
      <formula>AND(BT13&gt;=6,FK13&lt;&gt;0, GetEquPower(C13,BN13, DJ13, FS13)=0)</formula>
    </cfRule>
    <cfRule type="expression" dxfId="1" priority="4845">
      <formula>AND(BT13&gt;=6,FK13&lt;&gt;GetEquPower(C13,BN13, DJ13, FS13))</formula>
    </cfRule>
  </conditionalFormatting>
  <conditionalFormatting sqref="W13">
    <cfRule type="expression" dxfId="0" priority="4761">
      <formula xml:space="preserve"> NOT(ISLOGICAL($W$2))</formula>
    </cfRule>
  </conditionalFormatting>
  <conditionalFormatting sqref="F14">
    <cfRule type="expression" dxfId="0" priority="4688">
      <formula>F14&lt;&gt;RIGHT(SUBSTITUTE(E14,".",""),LEN(F14))</formula>
    </cfRule>
  </conditionalFormatting>
  <conditionalFormatting sqref="X14">
    <cfRule type="expression" dxfId="0" priority="4683">
      <formula xml:space="preserve"> NOT(ISLOGICAL($X$2))</formula>
    </cfRule>
    <cfRule type="expression" dxfId="0" priority="4687">
      <formula>AND(X14=TRUE,W14=FALSE)</formula>
    </cfRule>
  </conditionalFormatting>
  <conditionalFormatting sqref="Y14">
    <cfRule type="expression" dxfId="0" priority="4686">
      <formula>OR(AND(X14=FALSE,INT(Y14)&gt;0),AND(X14=TRUE,INT(Y14)&lt;=0))</formula>
    </cfRule>
  </conditionalFormatting>
  <conditionalFormatting sqref="AA14">
    <cfRule type="expression" dxfId="0" priority="4685">
      <formula>AND(Z14=FALSE,AA14&gt;0)</formula>
    </cfRule>
  </conditionalFormatting>
  <conditionalFormatting sqref="BV14:HY14">
    <cfRule type="containsErrors" dxfId="0" priority="4684">
      <formula>ISERROR(BV14)</formula>
    </cfRule>
  </conditionalFormatting>
  <conditionalFormatting sqref="Z14">
    <cfRule type="expression" dxfId="0" priority="4682">
      <formula>NOT(ISLOGICAL($Z$2))</formula>
    </cfRule>
  </conditionalFormatting>
  <conditionalFormatting sqref="AB14">
    <cfRule type="expression" dxfId="0" priority="4681">
      <formula>NOT(ISLOGICAL($AB$2))</formula>
    </cfRule>
  </conditionalFormatting>
  <conditionalFormatting sqref="AC14">
    <cfRule type="expression" dxfId="0" priority="4680">
      <formula>NOT(ISLOGICAL($AC$2))</formula>
    </cfRule>
  </conditionalFormatting>
  <conditionalFormatting sqref="B14:BU14">
    <cfRule type="containsErrors" dxfId="0" priority="4679">
      <formula>ISERROR(B14)</formula>
    </cfRule>
  </conditionalFormatting>
  <conditionalFormatting sqref="I14">
    <cfRule type="expression" dxfId="0" priority="4678">
      <formula>NOT(ISNUMBER($I$2))</formula>
    </cfRule>
  </conditionalFormatting>
  <conditionalFormatting sqref="D14">
    <cfRule type="expression" dxfId="0" priority="4677">
      <formula>ISBLANK($D$2)</formula>
    </cfRule>
  </conditionalFormatting>
  <conditionalFormatting sqref="DW14">
    <cfRule type="expression" dxfId="2" priority="4689">
      <formula>AND(BO14&gt;=1,DW14&lt;&gt;0, GetEquPower(C14,BI14, CA14, FN14)=0)</formula>
    </cfRule>
    <cfRule type="expression" dxfId="1" priority="4690">
      <formula>AND(BO14&gt;=1,DW14&lt;&gt;GetEquPower(C14,BI14, CA14, FN14))</formula>
    </cfRule>
  </conditionalFormatting>
  <conditionalFormatting sqref="DX14">
    <cfRule type="expression" dxfId="2" priority="4691">
      <formula>AND(BO14&gt;=2,DX14&lt;&gt;0, GetEquPower(C14,BI14, CB14, FN14)=0)</formula>
    </cfRule>
    <cfRule type="expression" dxfId="1" priority="4692">
      <formula>AND(BO14&gt;=2,DX14&lt;&gt;GetEquPower(C14,BI14, CB14, FN14))</formula>
    </cfRule>
  </conditionalFormatting>
  <conditionalFormatting sqref="DY14">
    <cfRule type="expression" dxfId="2" priority="4693">
      <formula>AND(BO14&gt;=3,DY14&lt;&gt;0, GetEquPower(C14,BI14, CC14, FN14)=0)</formula>
    </cfRule>
    <cfRule type="expression" dxfId="1" priority="4694">
      <formula>AND(BO14&gt;=3,DY14&lt;&gt;GetEquPower(C14,BI14, CC14, FN14))</formula>
    </cfRule>
  </conditionalFormatting>
  <conditionalFormatting sqref="ED14">
    <cfRule type="expression" dxfId="2" priority="4695">
      <formula>AND(BP14&gt;=1,ED14&lt;&gt;0, GetEquPower(C14,BJ14, CG14, FO14)=0)</formula>
    </cfRule>
    <cfRule type="expression" dxfId="1" priority="4696">
      <formula>AND(BP14&gt;=1,ED14&lt;&gt;GetEquPower(C14,BJ14, CG14, FO14))</formula>
    </cfRule>
  </conditionalFormatting>
  <conditionalFormatting sqref="EE14">
    <cfRule type="expression" dxfId="2" priority="4697">
      <formula>AND(BP14&gt;=2,EE14&lt;&gt;0, GetEquPower(C14,BJ14, CH14, FO14)=0)</formula>
    </cfRule>
    <cfRule type="expression" dxfId="1" priority="4698">
      <formula>AND(BP14&gt;=2,EE14&lt;&gt;GetEquPower(C14,BJ14, CH14, FO14))</formula>
    </cfRule>
  </conditionalFormatting>
  <conditionalFormatting sqref="EF14">
    <cfRule type="expression" dxfId="2" priority="4699">
      <formula>AND(BP14&gt;=3,EF14&lt;&gt;0, GetEquPower(C14,BJ14, CI14, FO14)=0)</formula>
    </cfRule>
    <cfRule type="expression" dxfId="1" priority="4700">
      <formula>AND(BP14&gt;=3,EF14&lt;&gt;GetEquPower(C14,BJ14, CI14, FO14))</formula>
    </cfRule>
  </conditionalFormatting>
  <conditionalFormatting sqref="EK14">
    <cfRule type="expression" dxfId="2" priority="4701">
      <formula>AND(BQ14&gt;=1,EK14&lt;&gt;0, GetEquPower(C14,BK14, CM14, FP14)=0)</formula>
    </cfRule>
    <cfRule type="expression" dxfId="1" priority="4702">
      <formula>AND(BQ14&gt;=1,EK14&lt;&gt;GetEquPower(C14,BK14, CM14, FP14))</formula>
    </cfRule>
  </conditionalFormatting>
  <conditionalFormatting sqref="EL14">
    <cfRule type="expression" dxfId="2" priority="4703">
      <formula>AND(BQ14&gt;=2,EL14&lt;&gt;0, GetEquPower(C14,BK14, CN14, FP14)=0)</formula>
    </cfRule>
    <cfRule type="expression" dxfId="1" priority="4704">
      <formula xml:space="preserve"> AND(BQ14&gt;=2,EL14&lt;&gt;GetEquPower(C14,BK14, CN14, FP14))</formula>
    </cfRule>
  </conditionalFormatting>
  <conditionalFormatting sqref="EM14">
    <cfRule type="expression" dxfId="2" priority="4705">
      <formula>AND(BQ14&gt;=3,EM14&lt;&gt;0, GetEquPower(C14,BK14, CO14, FP14)=0)</formula>
    </cfRule>
    <cfRule type="expression" dxfId="1" priority="4706">
      <formula xml:space="preserve"> AND(BQ14&gt;=3,EM14&lt;&gt;GetEquPower(C14,BK14, CO14, FP14))</formula>
    </cfRule>
  </conditionalFormatting>
  <conditionalFormatting sqref="ER14">
    <cfRule type="expression" dxfId="2" priority="4707">
      <formula>AND(BR14&gt;=1,ER14&lt;&gt;0, GetEquPower(C14,BL14, CS14, FQ14)=0)</formula>
    </cfRule>
    <cfRule type="expression" dxfId="1" priority="4708">
      <formula>AND(BR14&gt;=1,ER14&lt;&gt;GetEquPower(C14,BL14, CS14, FQ14))</formula>
    </cfRule>
  </conditionalFormatting>
  <conditionalFormatting sqref="ES14">
    <cfRule type="expression" dxfId="2" priority="4709">
      <formula>AND(BR14&gt;=2,ES14&lt;&gt;0, GetEquPower(C14,BL14, CT14, FQ14)=0)</formula>
    </cfRule>
    <cfRule type="expression" dxfId="1" priority="4710">
      <formula>AND(BR14&gt;=2,ES14&lt;&gt;GetEquPower(C14,BL14, CT14, FQ14))</formula>
    </cfRule>
  </conditionalFormatting>
  <conditionalFormatting sqref="ET14">
    <cfRule type="expression" dxfId="2" priority="4711">
      <formula>AND(BR14&gt;=3,ET14&lt;&gt;0, GetEquPower(C14,BL14, CU14, FQ14)=0)</formula>
    </cfRule>
    <cfRule type="expression" dxfId="1" priority="4712">
      <formula>AND(BR14&gt;=3,ET14&lt;&gt;GetEquPower(C14,BL14, CU14, FQ14))</formula>
    </cfRule>
  </conditionalFormatting>
  <conditionalFormatting sqref="EY14">
    <cfRule type="expression" dxfId="2" priority="4713">
      <formula>AND(BS14&gt;=1,EY14&lt;&gt;0, GetEquPower(C14,BM14, CY14, FR14)=0)</formula>
    </cfRule>
    <cfRule type="expression" dxfId="1" priority="4714">
      <formula>AND(BS14&gt;=1,EY14&lt;&gt;GetEquPower(C14,BM14, CY14, FR14))</formula>
    </cfRule>
  </conditionalFormatting>
  <conditionalFormatting sqref="EZ14">
    <cfRule type="expression" dxfId="2" priority="4715">
      <formula>AND(BS14&gt;=2,EZ14&lt;&gt;0, GetEquPower(C14,BM14, CZ14, FR14)=0)</formula>
    </cfRule>
    <cfRule type="expression" dxfId="1" priority="4716">
      <formula>AND(BS14&gt;=2,EZ14&lt;&gt;GetEquPower(C14,BM14, CZ14, FR14))</formula>
    </cfRule>
  </conditionalFormatting>
  <conditionalFormatting sqref="FA14">
    <cfRule type="expression" dxfId="2" priority="4717">
      <formula>AND(BS14&gt;=3,FA14&lt;&gt;0, GetEquPower(C14,BM14, DA14, FR14)=0)</formula>
    </cfRule>
    <cfRule type="expression" dxfId="1" priority="4718">
      <formula>AND(BS14&gt;=3,FA14&lt;&gt;GetEquPower(C14,BM14, DA14, FR14))</formula>
    </cfRule>
  </conditionalFormatting>
  <conditionalFormatting sqref="FF14">
    <cfRule type="expression" dxfId="2" priority="4719">
      <formula>AND(BT14&gt;=1,FF14&lt;&gt;0, GetEquPower(C14,BN14, DE14, FS14)=0)</formula>
    </cfRule>
    <cfRule type="expression" dxfId="1" priority="4720">
      <formula>AND(BT14&gt;=1,FF14&lt;&gt;GetEquPower(C14,BN14, DE14, FS14))</formula>
    </cfRule>
  </conditionalFormatting>
  <conditionalFormatting sqref="FG14">
    <cfRule type="expression" dxfId="2" priority="4721">
      <formula>AND(BT14&gt;=2,FG14&lt;&gt;0, GetEquPower(C14,BN14, DF14, FS14)=0)</formula>
    </cfRule>
    <cfRule type="expression" dxfId="1" priority="4722">
      <formula>AND(BT14&gt;=2,FG14&lt;&gt;GetEquPower(C14,BN14, DF14, FS14))</formula>
    </cfRule>
  </conditionalFormatting>
  <conditionalFormatting sqref="FH14">
    <cfRule type="expression" dxfId="2" priority="4723">
      <formula>AND(BT14&gt;=3,FH14&lt;&gt;0, GetEquPower(C14,BN14, DG14, FS14)=0)</formula>
    </cfRule>
    <cfRule type="expression" dxfId="1" priority="4724">
      <formula>AND(BT14&gt;=3,FH14&lt;&gt;GetEquPower(C14,BN14, DG14, FS14))</formula>
    </cfRule>
  </conditionalFormatting>
  <conditionalFormatting sqref="DZ14">
    <cfRule type="expression" dxfId="2" priority="4725">
      <formula>AND(BO14&gt;=4,DZ14&lt;&gt;0, GetEquPower(C14,BI14, CD14, FN14)=0)</formula>
    </cfRule>
    <cfRule type="expression" dxfId="1" priority="4726">
      <formula>AND(BO14&gt;=4, DZ14&lt;&gt;GetEquPower(C14,BI14, CD14, FN14))</formula>
    </cfRule>
  </conditionalFormatting>
  <conditionalFormatting sqref="EG14">
    <cfRule type="expression" dxfId="2" priority="4727">
      <formula>AND(BP14&gt;=4,EG14&lt;&gt;0, GetEquPower(C14,BJ14, CJ14, FO14)=0)</formula>
    </cfRule>
    <cfRule type="expression" dxfId="1" priority="4728">
      <formula>AND(BP14&gt;=4,EG14&lt;&gt;GetEquPower(C14,BJ14, CJ14, FO14))</formula>
    </cfRule>
  </conditionalFormatting>
  <conditionalFormatting sqref="EN14">
    <cfRule type="expression" dxfId="2" priority="4729">
      <formula>AND(BQ14&gt;=4,EN14&lt;&gt;0, GetEquPower(C14,BK14, CP14, FP14)=0)</formula>
    </cfRule>
    <cfRule type="expression" dxfId="1" priority="4730">
      <formula xml:space="preserve"> AND(BQ14&gt;=4,EN14&lt;&gt;GetEquPower(C14,BK14, CP14, FP14))</formula>
    </cfRule>
  </conditionalFormatting>
  <conditionalFormatting sqref="EU14">
    <cfRule type="expression" dxfId="2" priority="4731">
      <formula>AND(BR14&gt;=4,EU14&lt;&gt;0, GetEquPower(C14,BL14, CV14, FQ14)=0)</formula>
    </cfRule>
    <cfRule type="expression" dxfId="1" priority="4732">
      <formula>AND(BR14&gt;=4,EU14&lt;&gt;GetEquPower(C14,BL14, CV14, FQ14))</formula>
    </cfRule>
  </conditionalFormatting>
  <conditionalFormatting sqref="FB14">
    <cfRule type="expression" dxfId="2" priority="4733">
      <formula>AND(BS14&gt;=4,FB14&lt;&gt;0, GetEquPower(C14,BM14, DB14, FR14)=0)</formula>
    </cfRule>
    <cfRule type="expression" dxfId="1" priority="4734">
      <formula>AND(BS14&gt;=4,FB14&lt;&gt;GetEquPower(C14,BM14, DB14, FR14))</formula>
    </cfRule>
  </conditionalFormatting>
  <conditionalFormatting sqref="FI14">
    <cfRule type="expression" dxfId="2" priority="4735">
      <formula>AND(BT14&gt;=4,FI14&lt;&gt;0, GetEquPower(C14,BN14, DH14, FS14)=0)</formula>
    </cfRule>
    <cfRule type="expression" dxfId="1" priority="4736">
      <formula>AND(BT14&gt;=4,FI14&lt;&gt;GetEquPower(C14,BN14, DH14, FS14))</formula>
    </cfRule>
  </conditionalFormatting>
  <conditionalFormatting sqref="EA14">
    <cfRule type="expression" dxfId="2" priority="4737">
      <formula>AND(BO14&gt;=5,EA14&lt;&gt;0, GetEquPower(C14,BI14, CE14, FN14)=0)</formula>
    </cfRule>
    <cfRule type="expression" dxfId="1" priority="4738">
      <formula>AND(BO14&gt;=5, EA14&lt;&gt;GetEquPower(C14,BI14, CE14, FN14))</formula>
    </cfRule>
  </conditionalFormatting>
  <conditionalFormatting sqref="EB14">
    <cfRule type="expression" dxfId="2" priority="4739">
      <formula>AND(BO14&gt;=6,EB14&lt;&gt;0, GetEquPower(C14,BI14, CF14, FN14)=0)</formula>
    </cfRule>
    <cfRule type="expression" dxfId="1" priority="4740">
      <formula>AND(BO14&gt;=6, EB14&lt;&gt;GetEquPower(C14,BI14, CF14, FN14))</formula>
    </cfRule>
  </conditionalFormatting>
  <conditionalFormatting sqref="EH14">
    <cfRule type="expression" dxfId="2" priority="4741">
      <formula>AND(BP14&gt;=5,EH14&lt;&gt;0, GetEquPower(C14,BJ14, CK14, FO14)=0)</formula>
    </cfRule>
    <cfRule type="expression" dxfId="1" priority="4742">
      <formula>AND(BP14&gt;=5,EH14&lt;&gt;GetEquPower(C14,BJ14, CK14, FO14))</formula>
    </cfRule>
  </conditionalFormatting>
  <conditionalFormatting sqref="EI14">
    <cfRule type="expression" dxfId="2" priority="4743">
      <formula>AND(BP14&gt;=6,EI14&lt;&gt;0, GetEquPower(C14,BJ14, CL14, FO14)=0)</formula>
    </cfRule>
    <cfRule type="expression" dxfId="1" priority="4744">
      <formula>AND(BP14&gt;=6,EI14&lt;&gt;GetEquPower(C14,BJ14, CL14, FO14))</formula>
    </cfRule>
  </conditionalFormatting>
  <conditionalFormatting sqref="EO14">
    <cfRule type="expression" dxfId="2" priority="4745">
      <formula>AND(BQ14&gt;=5,EO14&lt;&gt;0, GetEquPower(C14,BK14, CQ14, FP14)=0)</formula>
    </cfRule>
    <cfRule type="expression" dxfId="1" priority="4746">
      <formula xml:space="preserve"> AND(BQ14&gt;=5,EO14&lt;&gt;GetEquPower(C14,BK14, CQ14, FP14))</formula>
    </cfRule>
  </conditionalFormatting>
  <conditionalFormatting sqref="EP14">
    <cfRule type="expression" dxfId="2" priority="4747">
      <formula>AND(BQ14&gt;=6,EP14&lt;&gt;0, GetEquPower(C14,BK14, CR14, FP14)=0)</formula>
    </cfRule>
    <cfRule type="expression" dxfId="1" priority="4748">
      <formula xml:space="preserve"> AND(BQ14&gt;=6,EP14&lt;&gt;GetEquPower(C14,BK14, CR14, FP14))</formula>
    </cfRule>
  </conditionalFormatting>
  <conditionalFormatting sqref="EV14">
    <cfRule type="expression" dxfId="2" priority="4749">
      <formula>AND(BR14&gt;=5,EV14&lt;&gt;0, GetEquPower(C14,BL14, CW14, FQ14)=0)</formula>
    </cfRule>
    <cfRule type="expression" dxfId="1" priority="4750">
      <formula>AND(BR14&gt;=5,EV14&lt;&gt;GetEquPower(C14,BL14, CW14, FQ14))</formula>
    </cfRule>
  </conditionalFormatting>
  <conditionalFormatting sqref="EW14">
    <cfRule type="expression" dxfId="2" priority="4751">
      <formula>AND(BR14&gt;=6,EW14&lt;&gt;0, GetEquPower(C14,BL14, CX14, FQ14)=0)</formula>
    </cfRule>
    <cfRule type="expression" dxfId="1" priority="4752">
      <formula>AND(BR14&gt;=6,EW14&lt;&gt;GetEquPower(C14,BL14, CX14, FQ14))</formula>
    </cfRule>
  </conditionalFormatting>
  <conditionalFormatting sqref="FC14">
    <cfRule type="expression" dxfId="2" priority="4753">
      <formula>AND(BS14&gt;=5,FC14&lt;&gt;0, GetEquPower(C14,BM14, DC14, FR14)=0)</formula>
    </cfRule>
    <cfRule type="expression" dxfId="1" priority="4754">
      <formula>AND(BS14&gt;=5,FC14&lt;&gt;GetEquPower(C14,BM14, DC14, FR14))</formula>
    </cfRule>
  </conditionalFormatting>
  <conditionalFormatting sqref="FD14">
    <cfRule type="expression" dxfId="2" priority="4755">
      <formula>AND(BS14&gt;=6,FD14&lt;&gt;0, GetEquPower(C14,BM14, DD14, FR14)=0)</formula>
    </cfRule>
    <cfRule type="expression" dxfId="1" priority="4756">
      <formula>AND(BS14&gt;=6,FD14&lt;&gt;GetEquPower(C14,BM14, DD14, FR14))</formula>
    </cfRule>
  </conditionalFormatting>
  <conditionalFormatting sqref="FJ14">
    <cfRule type="expression" dxfId="2" priority="4757">
      <formula>AND(BT14&gt;=5,FJ14&lt;&gt;0, GetEquPower(C14,BN14, DI14, FS14)=0)</formula>
    </cfRule>
    <cfRule type="expression" dxfId="1" priority="4758">
      <formula>AND(BT14&gt;=5,FJ14&lt;&gt;GetEquPower(C14,BN14, DI14, FS14))</formula>
    </cfRule>
  </conditionalFormatting>
  <conditionalFormatting sqref="FK14">
    <cfRule type="expression" dxfId="2" priority="4759">
      <formula>AND(BT14&gt;=6,FK14&lt;&gt;0, GetEquPower(C14,BN14, DJ14, FS14)=0)</formula>
    </cfRule>
    <cfRule type="expression" dxfId="1" priority="4760">
      <formula>AND(BT14&gt;=6,FK14&lt;&gt;GetEquPower(C14,BN14, DJ14, FS14))</formula>
    </cfRule>
  </conditionalFormatting>
  <conditionalFormatting sqref="W14">
    <cfRule type="expression" dxfId="0" priority="4676">
      <formula xml:space="preserve"> NOT(ISLOGICAL($W$2))</formula>
    </cfRule>
  </conditionalFormatting>
  <conditionalFormatting sqref="F15">
    <cfRule type="expression" dxfId="0" priority="4603">
      <formula>F15&lt;&gt;RIGHT(SUBSTITUTE(E15,".",""),LEN(F15))</formula>
    </cfRule>
  </conditionalFormatting>
  <conditionalFormatting sqref="X15">
    <cfRule type="expression" dxfId="0" priority="4598">
      <formula xml:space="preserve"> NOT(ISLOGICAL($X$2))</formula>
    </cfRule>
    <cfRule type="expression" dxfId="0" priority="4602">
      <formula>AND(X15=TRUE,W15=FALSE)</formula>
    </cfRule>
  </conditionalFormatting>
  <conditionalFormatting sqref="Y15">
    <cfRule type="expression" dxfId="0" priority="4601">
      <formula>OR(AND(X15=FALSE,INT(Y15)&gt;0),AND(X15=TRUE,INT(Y15)&lt;=0))</formula>
    </cfRule>
  </conditionalFormatting>
  <conditionalFormatting sqref="AA15">
    <cfRule type="expression" dxfId="0" priority="4600">
      <formula>AND(Z15=FALSE,AA15&gt;0)</formula>
    </cfRule>
  </conditionalFormatting>
  <conditionalFormatting sqref="BV15:HY15">
    <cfRule type="containsErrors" dxfId="0" priority="4599">
      <formula>ISERROR(BV15)</formula>
    </cfRule>
  </conditionalFormatting>
  <conditionalFormatting sqref="Z15">
    <cfRule type="expression" dxfId="0" priority="4597">
      <formula>NOT(ISLOGICAL($Z$2))</formula>
    </cfRule>
  </conditionalFormatting>
  <conditionalFormatting sqref="AB15">
    <cfRule type="expression" dxfId="0" priority="4596">
      <formula>NOT(ISLOGICAL($AB$2))</formula>
    </cfRule>
  </conditionalFormatting>
  <conditionalFormatting sqref="AC15">
    <cfRule type="expression" dxfId="0" priority="4595">
      <formula>NOT(ISLOGICAL($AC$2))</formula>
    </cfRule>
  </conditionalFormatting>
  <conditionalFormatting sqref="B15:BU15">
    <cfRule type="containsErrors" dxfId="0" priority="4594">
      <formula>ISERROR(B15)</formula>
    </cfRule>
  </conditionalFormatting>
  <conditionalFormatting sqref="I15">
    <cfRule type="expression" dxfId="0" priority="4593">
      <formula>NOT(ISNUMBER($I$2))</formula>
    </cfRule>
  </conditionalFormatting>
  <conditionalFormatting sqref="D15">
    <cfRule type="expression" dxfId="0" priority="4592">
      <formula>ISBLANK($D$2)</formula>
    </cfRule>
  </conditionalFormatting>
  <conditionalFormatting sqref="DW15">
    <cfRule type="expression" dxfId="2" priority="4604">
      <formula>AND(BO15&gt;=1,DW15&lt;&gt;0, GetEquPower(C15,BI15, CA15, FN15)=0)</formula>
    </cfRule>
    <cfRule type="expression" dxfId="1" priority="4605">
      <formula>AND(BO15&gt;=1,DW15&lt;&gt;GetEquPower(C15,BI15, CA15, FN15))</formula>
    </cfRule>
  </conditionalFormatting>
  <conditionalFormatting sqref="DX15">
    <cfRule type="expression" dxfId="2" priority="4606">
      <formula>AND(BO15&gt;=2,DX15&lt;&gt;0, GetEquPower(C15,BI15, CB15, FN15)=0)</formula>
    </cfRule>
    <cfRule type="expression" dxfId="1" priority="4607">
      <formula>AND(BO15&gt;=2,DX15&lt;&gt;GetEquPower(C15,BI15, CB15, FN15))</formula>
    </cfRule>
  </conditionalFormatting>
  <conditionalFormatting sqref="DY15">
    <cfRule type="expression" dxfId="2" priority="4608">
      <formula>AND(BO15&gt;=3,DY15&lt;&gt;0, GetEquPower(C15,BI15, CC15, FN15)=0)</formula>
    </cfRule>
    <cfRule type="expression" dxfId="1" priority="4609">
      <formula>AND(BO15&gt;=3,DY15&lt;&gt;GetEquPower(C15,BI15, CC15, FN15))</formula>
    </cfRule>
  </conditionalFormatting>
  <conditionalFormatting sqref="ED15">
    <cfRule type="expression" dxfId="2" priority="4610">
      <formula>AND(BP15&gt;=1,ED15&lt;&gt;0, GetEquPower(C15,BJ15, CG15, FO15)=0)</formula>
    </cfRule>
    <cfRule type="expression" dxfId="1" priority="4611">
      <formula>AND(BP15&gt;=1,ED15&lt;&gt;GetEquPower(C15,BJ15, CG15, FO15))</formula>
    </cfRule>
  </conditionalFormatting>
  <conditionalFormatting sqref="EE15">
    <cfRule type="expression" dxfId="2" priority="4612">
      <formula>AND(BP15&gt;=2,EE15&lt;&gt;0, GetEquPower(C15,BJ15, CH15, FO15)=0)</formula>
    </cfRule>
    <cfRule type="expression" dxfId="1" priority="4613">
      <formula>AND(BP15&gt;=2,EE15&lt;&gt;GetEquPower(C15,BJ15, CH15, FO15))</formula>
    </cfRule>
  </conditionalFormatting>
  <conditionalFormatting sqref="EF15">
    <cfRule type="expression" dxfId="2" priority="4614">
      <formula>AND(BP15&gt;=3,EF15&lt;&gt;0, GetEquPower(C15,BJ15, CI15, FO15)=0)</formula>
    </cfRule>
    <cfRule type="expression" dxfId="1" priority="4615">
      <formula>AND(BP15&gt;=3,EF15&lt;&gt;GetEquPower(C15,BJ15, CI15, FO15))</formula>
    </cfRule>
  </conditionalFormatting>
  <conditionalFormatting sqref="EK15">
    <cfRule type="expression" dxfId="2" priority="4616">
      <formula>AND(BQ15&gt;=1,EK15&lt;&gt;0, GetEquPower(C15,BK15, CM15, FP15)=0)</formula>
    </cfRule>
    <cfRule type="expression" dxfId="1" priority="4617">
      <formula>AND(BQ15&gt;=1,EK15&lt;&gt;GetEquPower(C15,BK15, CM15, FP15))</formula>
    </cfRule>
  </conditionalFormatting>
  <conditionalFormatting sqref="EL15">
    <cfRule type="expression" dxfId="2" priority="4618">
      <formula>AND(BQ15&gt;=2,EL15&lt;&gt;0, GetEquPower(C15,BK15, CN15, FP15)=0)</formula>
    </cfRule>
    <cfRule type="expression" dxfId="1" priority="4619">
      <formula xml:space="preserve"> AND(BQ15&gt;=2,EL15&lt;&gt;GetEquPower(C15,BK15, CN15, FP15))</formula>
    </cfRule>
  </conditionalFormatting>
  <conditionalFormatting sqref="EM15">
    <cfRule type="expression" dxfId="2" priority="4620">
      <formula>AND(BQ15&gt;=3,EM15&lt;&gt;0, GetEquPower(C15,BK15, CO15, FP15)=0)</formula>
    </cfRule>
    <cfRule type="expression" dxfId="1" priority="4621">
      <formula xml:space="preserve"> AND(BQ15&gt;=3,EM15&lt;&gt;GetEquPower(C15,BK15, CO15, FP15))</formula>
    </cfRule>
  </conditionalFormatting>
  <conditionalFormatting sqref="ER15">
    <cfRule type="expression" dxfId="2" priority="4622">
      <formula>AND(BR15&gt;=1,ER15&lt;&gt;0, GetEquPower(C15,BL15, CS15, FQ15)=0)</formula>
    </cfRule>
    <cfRule type="expression" dxfId="1" priority="4623">
      <formula>AND(BR15&gt;=1,ER15&lt;&gt;GetEquPower(C15,BL15, CS15, FQ15))</formula>
    </cfRule>
  </conditionalFormatting>
  <conditionalFormatting sqref="ES15">
    <cfRule type="expression" dxfId="2" priority="4624">
      <formula>AND(BR15&gt;=2,ES15&lt;&gt;0, GetEquPower(C15,BL15, CT15, FQ15)=0)</formula>
    </cfRule>
    <cfRule type="expression" dxfId="1" priority="4625">
      <formula>AND(BR15&gt;=2,ES15&lt;&gt;GetEquPower(C15,BL15, CT15, FQ15))</formula>
    </cfRule>
  </conditionalFormatting>
  <conditionalFormatting sqref="ET15">
    <cfRule type="expression" dxfId="2" priority="4626">
      <formula>AND(BR15&gt;=3,ET15&lt;&gt;0, GetEquPower(C15,BL15, CU15, FQ15)=0)</formula>
    </cfRule>
    <cfRule type="expression" dxfId="1" priority="4627">
      <formula>AND(BR15&gt;=3,ET15&lt;&gt;GetEquPower(C15,BL15, CU15, FQ15))</formula>
    </cfRule>
  </conditionalFormatting>
  <conditionalFormatting sqref="EY15">
    <cfRule type="expression" dxfId="2" priority="4628">
      <formula>AND(BS15&gt;=1,EY15&lt;&gt;0, GetEquPower(C15,BM15, CY15, FR15)=0)</formula>
    </cfRule>
    <cfRule type="expression" dxfId="1" priority="4629">
      <formula>AND(BS15&gt;=1,EY15&lt;&gt;GetEquPower(C15,BM15, CY15, FR15))</formula>
    </cfRule>
  </conditionalFormatting>
  <conditionalFormatting sqref="EZ15">
    <cfRule type="expression" dxfId="2" priority="4630">
      <formula>AND(BS15&gt;=2,EZ15&lt;&gt;0, GetEquPower(C15,BM15, CZ15, FR15)=0)</formula>
    </cfRule>
    <cfRule type="expression" dxfId="1" priority="4631">
      <formula>AND(BS15&gt;=2,EZ15&lt;&gt;GetEquPower(C15,BM15, CZ15, FR15))</formula>
    </cfRule>
  </conditionalFormatting>
  <conditionalFormatting sqref="FA15">
    <cfRule type="expression" dxfId="2" priority="4632">
      <formula>AND(BS15&gt;=3,FA15&lt;&gt;0, GetEquPower(C15,BM15, DA15, FR15)=0)</formula>
    </cfRule>
    <cfRule type="expression" dxfId="1" priority="4633">
      <formula>AND(BS15&gt;=3,FA15&lt;&gt;GetEquPower(C15,BM15, DA15, FR15))</formula>
    </cfRule>
  </conditionalFormatting>
  <conditionalFormatting sqref="FF15">
    <cfRule type="expression" dxfId="2" priority="4634">
      <formula>AND(BT15&gt;=1,FF15&lt;&gt;0, GetEquPower(C15,BN15, DE15, FS15)=0)</formula>
    </cfRule>
    <cfRule type="expression" dxfId="1" priority="4635">
      <formula>AND(BT15&gt;=1,FF15&lt;&gt;GetEquPower(C15,BN15, DE15, FS15))</formula>
    </cfRule>
  </conditionalFormatting>
  <conditionalFormatting sqref="FG15">
    <cfRule type="expression" dxfId="2" priority="4636">
      <formula>AND(BT15&gt;=2,FG15&lt;&gt;0, GetEquPower(C15,BN15, DF15, FS15)=0)</formula>
    </cfRule>
    <cfRule type="expression" dxfId="1" priority="4637">
      <formula>AND(BT15&gt;=2,FG15&lt;&gt;GetEquPower(C15,BN15, DF15, FS15))</formula>
    </cfRule>
  </conditionalFormatting>
  <conditionalFormatting sqref="FH15">
    <cfRule type="expression" dxfId="2" priority="4638">
      <formula>AND(BT15&gt;=3,FH15&lt;&gt;0, GetEquPower(C15,BN15, DG15, FS15)=0)</formula>
    </cfRule>
    <cfRule type="expression" dxfId="1" priority="4639">
      <formula>AND(BT15&gt;=3,FH15&lt;&gt;GetEquPower(C15,BN15, DG15, FS15))</formula>
    </cfRule>
  </conditionalFormatting>
  <conditionalFormatting sqref="DZ15">
    <cfRule type="expression" dxfId="2" priority="4640">
      <formula>AND(BO15&gt;=4,DZ15&lt;&gt;0, GetEquPower(C15,BI15, CD15, FN15)=0)</formula>
    </cfRule>
    <cfRule type="expression" dxfId="1" priority="4641">
      <formula>AND(BO15&gt;=4, DZ15&lt;&gt;GetEquPower(C15,BI15, CD15, FN15))</formula>
    </cfRule>
  </conditionalFormatting>
  <conditionalFormatting sqref="EG15">
    <cfRule type="expression" dxfId="2" priority="4642">
      <formula>AND(BP15&gt;=4,EG15&lt;&gt;0, GetEquPower(C15,BJ15, CJ15, FO15)=0)</formula>
    </cfRule>
    <cfRule type="expression" dxfId="1" priority="4643">
      <formula>AND(BP15&gt;=4,EG15&lt;&gt;GetEquPower(C15,BJ15, CJ15, FO15))</formula>
    </cfRule>
  </conditionalFormatting>
  <conditionalFormatting sqref="EN15">
    <cfRule type="expression" dxfId="2" priority="4644">
      <formula>AND(BQ15&gt;=4,EN15&lt;&gt;0, GetEquPower(C15,BK15, CP15, FP15)=0)</formula>
    </cfRule>
    <cfRule type="expression" dxfId="1" priority="4645">
      <formula xml:space="preserve"> AND(BQ15&gt;=4,EN15&lt;&gt;GetEquPower(C15,BK15, CP15, FP15))</formula>
    </cfRule>
  </conditionalFormatting>
  <conditionalFormatting sqref="EU15">
    <cfRule type="expression" dxfId="2" priority="4646">
      <formula>AND(BR15&gt;=4,EU15&lt;&gt;0, GetEquPower(C15,BL15, CV15, FQ15)=0)</formula>
    </cfRule>
    <cfRule type="expression" dxfId="1" priority="4647">
      <formula>AND(BR15&gt;=4,EU15&lt;&gt;GetEquPower(C15,BL15, CV15, FQ15))</formula>
    </cfRule>
  </conditionalFormatting>
  <conditionalFormatting sqref="FB15">
    <cfRule type="expression" dxfId="2" priority="4648">
      <formula>AND(BS15&gt;=4,FB15&lt;&gt;0, GetEquPower(C15,BM15, DB15, FR15)=0)</formula>
    </cfRule>
    <cfRule type="expression" dxfId="1" priority="4649">
      <formula>AND(BS15&gt;=4,FB15&lt;&gt;GetEquPower(C15,BM15, DB15, FR15))</formula>
    </cfRule>
  </conditionalFormatting>
  <conditionalFormatting sqref="FI15">
    <cfRule type="expression" dxfId="2" priority="4650">
      <formula>AND(BT15&gt;=4,FI15&lt;&gt;0, GetEquPower(C15,BN15, DH15, FS15)=0)</formula>
    </cfRule>
    <cfRule type="expression" dxfId="1" priority="4651">
      <formula>AND(BT15&gt;=4,FI15&lt;&gt;GetEquPower(C15,BN15, DH15, FS15))</formula>
    </cfRule>
  </conditionalFormatting>
  <conditionalFormatting sqref="EA15">
    <cfRule type="expression" dxfId="2" priority="4652">
      <formula>AND(BO15&gt;=5,EA15&lt;&gt;0, GetEquPower(C15,BI15, CE15, FN15)=0)</formula>
    </cfRule>
    <cfRule type="expression" dxfId="1" priority="4653">
      <formula>AND(BO15&gt;=5, EA15&lt;&gt;GetEquPower(C15,BI15, CE15, FN15))</formula>
    </cfRule>
  </conditionalFormatting>
  <conditionalFormatting sqref="EB15">
    <cfRule type="expression" dxfId="2" priority="4654">
      <formula>AND(BO15&gt;=6,EB15&lt;&gt;0, GetEquPower(C15,BI15, CF15, FN15)=0)</formula>
    </cfRule>
    <cfRule type="expression" dxfId="1" priority="4655">
      <formula>AND(BO15&gt;=6, EB15&lt;&gt;GetEquPower(C15,BI15, CF15, FN15))</formula>
    </cfRule>
  </conditionalFormatting>
  <conditionalFormatting sqref="EH15">
    <cfRule type="expression" dxfId="2" priority="4656">
      <formula>AND(BP15&gt;=5,EH15&lt;&gt;0, GetEquPower(C15,BJ15, CK15, FO15)=0)</formula>
    </cfRule>
    <cfRule type="expression" dxfId="1" priority="4657">
      <formula>AND(BP15&gt;=5,EH15&lt;&gt;GetEquPower(C15,BJ15, CK15, FO15))</formula>
    </cfRule>
  </conditionalFormatting>
  <conditionalFormatting sqref="EI15">
    <cfRule type="expression" dxfId="2" priority="4658">
      <formula>AND(BP15&gt;=6,EI15&lt;&gt;0, GetEquPower(C15,BJ15, CL15, FO15)=0)</formula>
    </cfRule>
    <cfRule type="expression" dxfId="1" priority="4659">
      <formula>AND(BP15&gt;=6,EI15&lt;&gt;GetEquPower(C15,BJ15, CL15, FO15))</formula>
    </cfRule>
  </conditionalFormatting>
  <conditionalFormatting sqref="EO15">
    <cfRule type="expression" dxfId="2" priority="4660">
      <formula>AND(BQ15&gt;=5,EO15&lt;&gt;0, GetEquPower(C15,BK15, CQ15, FP15)=0)</formula>
    </cfRule>
    <cfRule type="expression" dxfId="1" priority="4661">
      <formula xml:space="preserve"> AND(BQ15&gt;=5,EO15&lt;&gt;GetEquPower(C15,BK15, CQ15, FP15))</formula>
    </cfRule>
  </conditionalFormatting>
  <conditionalFormatting sqref="EP15">
    <cfRule type="expression" dxfId="2" priority="4662">
      <formula>AND(BQ15&gt;=6,EP15&lt;&gt;0, GetEquPower(C15,BK15, CR15, FP15)=0)</formula>
    </cfRule>
    <cfRule type="expression" dxfId="1" priority="4663">
      <formula xml:space="preserve"> AND(BQ15&gt;=6,EP15&lt;&gt;GetEquPower(C15,BK15, CR15, FP15))</formula>
    </cfRule>
  </conditionalFormatting>
  <conditionalFormatting sqref="EV15">
    <cfRule type="expression" dxfId="2" priority="4664">
      <formula>AND(BR15&gt;=5,EV15&lt;&gt;0, GetEquPower(C15,BL15, CW15, FQ15)=0)</formula>
    </cfRule>
    <cfRule type="expression" dxfId="1" priority="4665">
      <formula>AND(BR15&gt;=5,EV15&lt;&gt;GetEquPower(C15,BL15, CW15, FQ15))</formula>
    </cfRule>
  </conditionalFormatting>
  <conditionalFormatting sqref="EW15">
    <cfRule type="expression" dxfId="2" priority="4666">
      <formula>AND(BR15&gt;=6,EW15&lt;&gt;0, GetEquPower(C15,BL15, CX15, FQ15)=0)</formula>
    </cfRule>
    <cfRule type="expression" dxfId="1" priority="4667">
      <formula>AND(BR15&gt;=6,EW15&lt;&gt;GetEquPower(C15,BL15, CX15, FQ15))</formula>
    </cfRule>
  </conditionalFormatting>
  <conditionalFormatting sqref="FC15">
    <cfRule type="expression" dxfId="2" priority="4668">
      <formula>AND(BS15&gt;=5,FC15&lt;&gt;0, GetEquPower(C15,BM15, DC15, FR15)=0)</formula>
    </cfRule>
    <cfRule type="expression" dxfId="1" priority="4669">
      <formula>AND(BS15&gt;=5,FC15&lt;&gt;GetEquPower(C15,BM15, DC15, FR15))</formula>
    </cfRule>
  </conditionalFormatting>
  <conditionalFormatting sqref="FD15">
    <cfRule type="expression" dxfId="2" priority="4670">
      <formula>AND(BS15&gt;=6,FD15&lt;&gt;0, GetEquPower(C15,BM15, DD15, FR15)=0)</formula>
    </cfRule>
    <cfRule type="expression" dxfId="1" priority="4671">
      <formula>AND(BS15&gt;=6,FD15&lt;&gt;GetEquPower(C15,BM15, DD15, FR15))</formula>
    </cfRule>
  </conditionalFormatting>
  <conditionalFormatting sqref="FJ15">
    <cfRule type="expression" dxfId="2" priority="4672">
      <formula>AND(BT15&gt;=5,FJ15&lt;&gt;0, GetEquPower(C15,BN15, DI15, FS15)=0)</formula>
    </cfRule>
    <cfRule type="expression" dxfId="1" priority="4673">
      <formula>AND(BT15&gt;=5,FJ15&lt;&gt;GetEquPower(C15,BN15, DI15, FS15))</formula>
    </cfRule>
  </conditionalFormatting>
  <conditionalFormatting sqref="FK15">
    <cfRule type="expression" dxfId="2" priority="4674">
      <formula>AND(BT15&gt;=6,FK15&lt;&gt;0, GetEquPower(C15,BN15, DJ15, FS15)=0)</formula>
    </cfRule>
    <cfRule type="expression" dxfId="1" priority="4675">
      <formula>AND(BT15&gt;=6,FK15&lt;&gt;GetEquPower(C15,BN15, DJ15, FS15))</formula>
    </cfRule>
  </conditionalFormatting>
  <conditionalFormatting sqref="W15">
    <cfRule type="expression" dxfId="0" priority="4591">
      <formula xml:space="preserve"> NOT(ISLOGICAL($W$2))</formula>
    </cfRule>
  </conditionalFormatting>
  <conditionalFormatting sqref="F16">
    <cfRule type="expression" dxfId="0" priority="4518">
      <formula>F16&lt;&gt;RIGHT(SUBSTITUTE(E16,".",""),LEN(F16))</formula>
    </cfRule>
  </conditionalFormatting>
  <conditionalFormatting sqref="X16">
    <cfRule type="expression" dxfId="0" priority="4513">
      <formula xml:space="preserve"> NOT(ISLOGICAL($X$2))</formula>
    </cfRule>
    <cfRule type="expression" dxfId="0" priority="4517">
      <formula>AND(X16=TRUE,W16=FALSE)</formula>
    </cfRule>
  </conditionalFormatting>
  <conditionalFormatting sqref="Y16">
    <cfRule type="expression" dxfId="0" priority="4516">
      <formula>OR(AND(X16=FALSE,INT(Y16)&gt;0),AND(X16=TRUE,INT(Y16)&lt;=0))</formula>
    </cfRule>
  </conditionalFormatting>
  <conditionalFormatting sqref="AA16">
    <cfRule type="expression" dxfId="0" priority="4515">
      <formula>AND(Z16=FALSE,AA16&gt;0)</formula>
    </cfRule>
  </conditionalFormatting>
  <conditionalFormatting sqref="BV16:HY16">
    <cfRule type="containsErrors" dxfId="0" priority="4514">
      <formula>ISERROR(BV16)</formula>
    </cfRule>
  </conditionalFormatting>
  <conditionalFormatting sqref="Z16">
    <cfRule type="expression" dxfId="0" priority="4512">
      <formula>NOT(ISLOGICAL($Z$2))</formula>
    </cfRule>
  </conditionalFormatting>
  <conditionalFormatting sqref="AB16">
    <cfRule type="expression" dxfId="0" priority="4511">
      <formula>NOT(ISLOGICAL($AB$2))</formula>
    </cfRule>
  </conditionalFormatting>
  <conditionalFormatting sqref="AC16">
    <cfRule type="expression" dxfId="0" priority="4510">
      <formula>NOT(ISLOGICAL($AC$2))</formula>
    </cfRule>
  </conditionalFormatting>
  <conditionalFormatting sqref="B16:BU16">
    <cfRule type="containsErrors" dxfId="0" priority="4509">
      <formula>ISERROR(B16)</formula>
    </cfRule>
  </conditionalFormatting>
  <conditionalFormatting sqref="I16">
    <cfRule type="expression" dxfId="0" priority="4508">
      <formula>NOT(ISNUMBER($I$2))</formula>
    </cfRule>
  </conditionalFormatting>
  <conditionalFormatting sqref="D16">
    <cfRule type="expression" dxfId="0" priority="4507">
      <formula>ISBLANK($D$2)</formula>
    </cfRule>
  </conditionalFormatting>
  <conditionalFormatting sqref="DW16">
    <cfRule type="expression" dxfId="2" priority="4519">
      <formula>AND(BO16&gt;=1,DW16&lt;&gt;0, GetEquPower(C16,BI16, CA16, FN16)=0)</formula>
    </cfRule>
    <cfRule type="expression" dxfId="1" priority="4520">
      <formula>AND(BO16&gt;=1,DW16&lt;&gt;GetEquPower(C16,BI16, CA16, FN16))</formula>
    </cfRule>
  </conditionalFormatting>
  <conditionalFormatting sqref="DX16">
    <cfRule type="expression" dxfId="2" priority="4521">
      <formula>AND(BO16&gt;=2,DX16&lt;&gt;0, GetEquPower(C16,BI16, CB16, FN16)=0)</formula>
    </cfRule>
    <cfRule type="expression" dxfId="1" priority="4522">
      <formula>AND(BO16&gt;=2,DX16&lt;&gt;GetEquPower(C16,BI16, CB16, FN16))</formula>
    </cfRule>
  </conditionalFormatting>
  <conditionalFormatting sqref="DY16">
    <cfRule type="expression" dxfId="2" priority="4523">
      <formula>AND(BO16&gt;=3,DY16&lt;&gt;0, GetEquPower(C16,BI16, CC16, FN16)=0)</formula>
    </cfRule>
    <cfRule type="expression" dxfId="1" priority="4524">
      <formula>AND(BO16&gt;=3,DY16&lt;&gt;GetEquPower(C16,BI16, CC16, FN16))</formula>
    </cfRule>
  </conditionalFormatting>
  <conditionalFormatting sqref="ED16">
    <cfRule type="expression" dxfId="2" priority="4525">
      <formula>AND(BP16&gt;=1,ED16&lt;&gt;0, GetEquPower(C16,BJ16, CG16, FO16)=0)</formula>
    </cfRule>
    <cfRule type="expression" dxfId="1" priority="4526">
      <formula>AND(BP16&gt;=1,ED16&lt;&gt;GetEquPower(C16,BJ16, CG16, FO16))</formula>
    </cfRule>
  </conditionalFormatting>
  <conditionalFormatting sqref="EE16">
    <cfRule type="expression" dxfId="2" priority="4527">
      <formula>AND(BP16&gt;=2,EE16&lt;&gt;0, GetEquPower(C16,BJ16, CH16, FO16)=0)</formula>
    </cfRule>
    <cfRule type="expression" dxfId="1" priority="4528">
      <formula>AND(BP16&gt;=2,EE16&lt;&gt;GetEquPower(C16,BJ16, CH16, FO16))</formula>
    </cfRule>
  </conditionalFormatting>
  <conditionalFormatting sqref="EF16">
    <cfRule type="expression" dxfId="2" priority="4529">
      <formula>AND(BP16&gt;=3,EF16&lt;&gt;0, GetEquPower(C16,BJ16, CI16, FO16)=0)</formula>
    </cfRule>
    <cfRule type="expression" dxfId="1" priority="4530">
      <formula>AND(BP16&gt;=3,EF16&lt;&gt;GetEquPower(C16,BJ16, CI16, FO16))</formula>
    </cfRule>
  </conditionalFormatting>
  <conditionalFormatting sqref="EK16">
    <cfRule type="expression" dxfId="2" priority="4531">
      <formula>AND(BQ16&gt;=1,EK16&lt;&gt;0, GetEquPower(C16,BK16, CM16, FP16)=0)</formula>
    </cfRule>
    <cfRule type="expression" dxfId="1" priority="4532">
      <formula>AND(BQ16&gt;=1,EK16&lt;&gt;GetEquPower(C16,BK16, CM16, FP16))</formula>
    </cfRule>
  </conditionalFormatting>
  <conditionalFormatting sqref="EL16">
    <cfRule type="expression" dxfId="2" priority="4533">
      <formula>AND(BQ16&gt;=2,EL16&lt;&gt;0, GetEquPower(C16,BK16, CN16, FP16)=0)</formula>
    </cfRule>
    <cfRule type="expression" dxfId="1" priority="4534">
      <formula xml:space="preserve"> AND(BQ16&gt;=2,EL16&lt;&gt;GetEquPower(C16,BK16, CN16, FP16))</formula>
    </cfRule>
  </conditionalFormatting>
  <conditionalFormatting sqref="EM16">
    <cfRule type="expression" dxfId="2" priority="4535">
      <formula>AND(BQ16&gt;=3,EM16&lt;&gt;0, GetEquPower(C16,BK16, CO16, FP16)=0)</formula>
    </cfRule>
    <cfRule type="expression" dxfId="1" priority="4536">
      <formula xml:space="preserve"> AND(BQ16&gt;=3,EM16&lt;&gt;GetEquPower(C16,BK16, CO16, FP16))</formula>
    </cfRule>
  </conditionalFormatting>
  <conditionalFormatting sqref="ER16">
    <cfRule type="expression" dxfId="2" priority="4537">
      <formula>AND(BR16&gt;=1,ER16&lt;&gt;0, GetEquPower(C16,BL16, CS16, FQ16)=0)</formula>
    </cfRule>
    <cfRule type="expression" dxfId="1" priority="4538">
      <formula>AND(BR16&gt;=1,ER16&lt;&gt;GetEquPower(C16,BL16, CS16, FQ16))</formula>
    </cfRule>
  </conditionalFormatting>
  <conditionalFormatting sqref="ES16">
    <cfRule type="expression" dxfId="2" priority="4539">
      <formula>AND(BR16&gt;=2,ES16&lt;&gt;0, GetEquPower(C16,BL16, CT16, FQ16)=0)</formula>
    </cfRule>
    <cfRule type="expression" dxfId="1" priority="4540">
      <formula>AND(BR16&gt;=2,ES16&lt;&gt;GetEquPower(C16,BL16, CT16, FQ16))</formula>
    </cfRule>
  </conditionalFormatting>
  <conditionalFormatting sqref="ET16">
    <cfRule type="expression" dxfId="2" priority="4541">
      <formula>AND(BR16&gt;=3,ET16&lt;&gt;0, GetEquPower(C16,BL16, CU16, FQ16)=0)</formula>
    </cfRule>
    <cfRule type="expression" dxfId="1" priority="4542">
      <formula>AND(BR16&gt;=3,ET16&lt;&gt;GetEquPower(C16,BL16, CU16, FQ16))</formula>
    </cfRule>
  </conditionalFormatting>
  <conditionalFormatting sqref="EY16">
    <cfRule type="expression" dxfId="2" priority="4543">
      <formula>AND(BS16&gt;=1,EY16&lt;&gt;0, GetEquPower(C16,BM16, CY16, FR16)=0)</formula>
    </cfRule>
    <cfRule type="expression" dxfId="1" priority="4544">
      <formula>AND(BS16&gt;=1,EY16&lt;&gt;GetEquPower(C16,BM16, CY16, FR16))</formula>
    </cfRule>
  </conditionalFormatting>
  <conditionalFormatting sqref="EZ16">
    <cfRule type="expression" dxfId="2" priority="4545">
      <formula>AND(BS16&gt;=2,EZ16&lt;&gt;0, GetEquPower(C16,BM16, CZ16, FR16)=0)</formula>
    </cfRule>
    <cfRule type="expression" dxfId="1" priority="4546">
      <formula>AND(BS16&gt;=2,EZ16&lt;&gt;GetEquPower(C16,BM16, CZ16, FR16))</formula>
    </cfRule>
  </conditionalFormatting>
  <conditionalFormatting sqref="FA16">
    <cfRule type="expression" dxfId="2" priority="4547">
      <formula>AND(BS16&gt;=3,FA16&lt;&gt;0, GetEquPower(C16,BM16, DA16, FR16)=0)</formula>
    </cfRule>
    <cfRule type="expression" dxfId="1" priority="4548">
      <formula>AND(BS16&gt;=3,FA16&lt;&gt;GetEquPower(C16,BM16, DA16, FR16))</formula>
    </cfRule>
  </conditionalFormatting>
  <conditionalFormatting sqref="FF16">
    <cfRule type="expression" dxfId="2" priority="4549">
      <formula>AND(BT16&gt;=1,FF16&lt;&gt;0, GetEquPower(C16,BN16, DE16, FS16)=0)</formula>
    </cfRule>
    <cfRule type="expression" dxfId="1" priority="4550">
      <formula>AND(BT16&gt;=1,FF16&lt;&gt;GetEquPower(C16,BN16, DE16, FS16))</formula>
    </cfRule>
  </conditionalFormatting>
  <conditionalFormatting sqref="FG16">
    <cfRule type="expression" dxfId="2" priority="4551">
      <formula>AND(BT16&gt;=2,FG16&lt;&gt;0, GetEquPower(C16,BN16, DF16, FS16)=0)</formula>
    </cfRule>
    <cfRule type="expression" dxfId="1" priority="4552">
      <formula>AND(BT16&gt;=2,FG16&lt;&gt;GetEquPower(C16,BN16, DF16, FS16))</formula>
    </cfRule>
  </conditionalFormatting>
  <conditionalFormatting sqref="FH16">
    <cfRule type="expression" dxfId="2" priority="4553">
      <formula>AND(BT16&gt;=3,FH16&lt;&gt;0, GetEquPower(C16,BN16, DG16, FS16)=0)</formula>
    </cfRule>
    <cfRule type="expression" dxfId="1" priority="4554">
      <formula>AND(BT16&gt;=3,FH16&lt;&gt;GetEquPower(C16,BN16, DG16, FS16))</formula>
    </cfRule>
  </conditionalFormatting>
  <conditionalFormatting sqref="DZ16">
    <cfRule type="expression" dxfId="2" priority="4555">
      <formula>AND(BO16&gt;=4,DZ16&lt;&gt;0, GetEquPower(C16,BI16, CD16, FN16)=0)</formula>
    </cfRule>
    <cfRule type="expression" dxfId="1" priority="4556">
      <formula>AND(BO16&gt;=4, DZ16&lt;&gt;GetEquPower(C16,BI16, CD16, FN16))</formula>
    </cfRule>
  </conditionalFormatting>
  <conditionalFormatting sqref="EG16">
    <cfRule type="expression" dxfId="2" priority="4557">
      <formula>AND(BP16&gt;=4,EG16&lt;&gt;0, GetEquPower(C16,BJ16, CJ16, FO16)=0)</formula>
    </cfRule>
    <cfRule type="expression" dxfId="1" priority="4558">
      <formula>AND(BP16&gt;=4,EG16&lt;&gt;GetEquPower(C16,BJ16, CJ16, FO16))</formula>
    </cfRule>
  </conditionalFormatting>
  <conditionalFormatting sqref="EN16">
    <cfRule type="expression" dxfId="2" priority="4559">
      <formula>AND(BQ16&gt;=4,EN16&lt;&gt;0, GetEquPower(C16,BK16, CP16, FP16)=0)</formula>
    </cfRule>
    <cfRule type="expression" dxfId="1" priority="4560">
      <formula xml:space="preserve"> AND(BQ16&gt;=4,EN16&lt;&gt;GetEquPower(C16,BK16, CP16, FP16))</formula>
    </cfRule>
  </conditionalFormatting>
  <conditionalFormatting sqref="EU16">
    <cfRule type="expression" dxfId="2" priority="4561">
      <formula>AND(BR16&gt;=4,EU16&lt;&gt;0, GetEquPower(C16,BL16, CV16, FQ16)=0)</formula>
    </cfRule>
    <cfRule type="expression" dxfId="1" priority="4562">
      <formula>AND(BR16&gt;=4,EU16&lt;&gt;GetEquPower(C16,BL16, CV16, FQ16))</formula>
    </cfRule>
  </conditionalFormatting>
  <conditionalFormatting sqref="FB16">
    <cfRule type="expression" dxfId="2" priority="4563">
      <formula>AND(BS16&gt;=4,FB16&lt;&gt;0, GetEquPower(C16,BM16, DB16, FR16)=0)</formula>
    </cfRule>
    <cfRule type="expression" dxfId="1" priority="4564">
      <formula>AND(BS16&gt;=4,FB16&lt;&gt;GetEquPower(C16,BM16, DB16, FR16))</formula>
    </cfRule>
  </conditionalFormatting>
  <conditionalFormatting sqref="FI16">
    <cfRule type="expression" dxfId="2" priority="4565">
      <formula>AND(BT16&gt;=4,FI16&lt;&gt;0, GetEquPower(C16,BN16, DH16, FS16)=0)</formula>
    </cfRule>
    <cfRule type="expression" dxfId="1" priority="4566">
      <formula>AND(BT16&gt;=4,FI16&lt;&gt;GetEquPower(C16,BN16, DH16, FS16))</formula>
    </cfRule>
  </conditionalFormatting>
  <conditionalFormatting sqref="EA16">
    <cfRule type="expression" dxfId="2" priority="4567">
      <formula>AND(BO16&gt;=5,EA16&lt;&gt;0, GetEquPower(C16,BI16, CE16, FN16)=0)</formula>
    </cfRule>
    <cfRule type="expression" dxfId="1" priority="4568">
      <formula>AND(BO16&gt;=5, EA16&lt;&gt;GetEquPower(C16,BI16, CE16, FN16))</formula>
    </cfRule>
  </conditionalFormatting>
  <conditionalFormatting sqref="EB16">
    <cfRule type="expression" dxfId="2" priority="4569">
      <formula>AND(BO16&gt;=6,EB16&lt;&gt;0, GetEquPower(C16,BI16, CF16, FN16)=0)</formula>
    </cfRule>
    <cfRule type="expression" dxfId="1" priority="4570">
      <formula>AND(BO16&gt;=6, EB16&lt;&gt;GetEquPower(C16,BI16, CF16, FN16))</formula>
    </cfRule>
  </conditionalFormatting>
  <conditionalFormatting sqref="EH16">
    <cfRule type="expression" dxfId="2" priority="4571">
      <formula>AND(BP16&gt;=5,EH16&lt;&gt;0, GetEquPower(C16,BJ16, CK16, FO16)=0)</formula>
    </cfRule>
    <cfRule type="expression" dxfId="1" priority="4572">
      <formula>AND(BP16&gt;=5,EH16&lt;&gt;GetEquPower(C16,BJ16, CK16, FO16))</formula>
    </cfRule>
  </conditionalFormatting>
  <conditionalFormatting sqref="EI16">
    <cfRule type="expression" dxfId="2" priority="4573">
      <formula>AND(BP16&gt;=6,EI16&lt;&gt;0, GetEquPower(C16,BJ16, CL16, FO16)=0)</formula>
    </cfRule>
    <cfRule type="expression" dxfId="1" priority="4574">
      <formula>AND(BP16&gt;=6,EI16&lt;&gt;GetEquPower(C16,BJ16, CL16, FO16))</formula>
    </cfRule>
  </conditionalFormatting>
  <conditionalFormatting sqref="EO16">
    <cfRule type="expression" dxfId="2" priority="4575">
      <formula>AND(BQ16&gt;=5,EO16&lt;&gt;0, GetEquPower(C16,BK16, CQ16, FP16)=0)</formula>
    </cfRule>
    <cfRule type="expression" dxfId="1" priority="4576">
      <formula xml:space="preserve"> AND(BQ16&gt;=5,EO16&lt;&gt;GetEquPower(C16,BK16, CQ16, FP16))</formula>
    </cfRule>
  </conditionalFormatting>
  <conditionalFormatting sqref="EP16">
    <cfRule type="expression" dxfId="2" priority="4577">
      <formula>AND(BQ16&gt;=6,EP16&lt;&gt;0, GetEquPower(C16,BK16, CR16, FP16)=0)</formula>
    </cfRule>
    <cfRule type="expression" dxfId="1" priority="4578">
      <formula xml:space="preserve"> AND(BQ16&gt;=6,EP16&lt;&gt;GetEquPower(C16,BK16, CR16, FP16))</formula>
    </cfRule>
  </conditionalFormatting>
  <conditionalFormatting sqref="EV16">
    <cfRule type="expression" dxfId="2" priority="4579">
      <formula>AND(BR16&gt;=5,EV16&lt;&gt;0, GetEquPower(C16,BL16, CW16, FQ16)=0)</formula>
    </cfRule>
    <cfRule type="expression" dxfId="1" priority="4580">
      <formula>AND(BR16&gt;=5,EV16&lt;&gt;GetEquPower(C16,BL16, CW16, FQ16))</formula>
    </cfRule>
  </conditionalFormatting>
  <conditionalFormatting sqref="EW16">
    <cfRule type="expression" dxfId="2" priority="4581">
      <formula>AND(BR16&gt;=6,EW16&lt;&gt;0, GetEquPower(C16,BL16, CX16, FQ16)=0)</formula>
    </cfRule>
    <cfRule type="expression" dxfId="1" priority="4582">
      <formula>AND(BR16&gt;=6,EW16&lt;&gt;GetEquPower(C16,BL16, CX16, FQ16))</formula>
    </cfRule>
  </conditionalFormatting>
  <conditionalFormatting sqref="FC16">
    <cfRule type="expression" dxfId="2" priority="4583">
      <formula>AND(BS16&gt;=5,FC16&lt;&gt;0, GetEquPower(C16,BM16, DC16, FR16)=0)</formula>
    </cfRule>
    <cfRule type="expression" dxfId="1" priority="4584">
      <formula>AND(BS16&gt;=5,FC16&lt;&gt;GetEquPower(C16,BM16, DC16, FR16))</formula>
    </cfRule>
  </conditionalFormatting>
  <conditionalFormatting sqref="FD16">
    <cfRule type="expression" dxfId="2" priority="4585">
      <formula>AND(BS16&gt;=6,FD16&lt;&gt;0, GetEquPower(C16,BM16, DD16, FR16)=0)</formula>
    </cfRule>
    <cfRule type="expression" dxfId="1" priority="4586">
      <formula>AND(BS16&gt;=6,FD16&lt;&gt;GetEquPower(C16,BM16, DD16, FR16))</formula>
    </cfRule>
  </conditionalFormatting>
  <conditionalFormatting sqref="FJ16">
    <cfRule type="expression" dxfId="2" priority="4587">
      <formula>AND(BT16&gt;=5,FJ16&lt;&gt;0, GetEquPower(C16,BN16, DI16, FS16)=0)</formula>
    </cfRule>
    <cfRule type="expression" dxfId="1" priority="4588">
      <formula>AND(BT16&gt;=5,FJ16&lt;&gt;GetEquPower(C16,BN16, DI16, FS16))</formula>
    </cfRule>
  </conditionalFormatting>
  <conditionalFormatting sqref="FK16">
    <cfRule type="expression" dxfId="2" priority="4589">
      <formula>AND(BT16&gt;=6,FK16&lt;&gt;0, GetEquPower(C16,BN16, DJ16, FS16)=0)</formula>
    </cfRule>
    <cfRule type="expression" dxfId="1" priority="4590">
      <formula>AND(BT16&gt;=6,FK16&lt;&gt;GetEquPower(C16,BN16, DJ16, FS16))</formula>
    </cfRule>
  </conditionalFormatting>
  <conditionalFormatting sqref="W16">
    <cfRule type="expression" dxfId="0" priority="4506">
      <formula xml:space="preserve"> NOT(ISLOGICAL($W$2))</formula>
    </cfRule>
  </conditionalFormatting>
  <conditionalFormatting sqref="F17">
    <cfRule type="expression" dxfId="0" priority="4433">
      <formula>F17&lt;&gt;RIGHT(SUBSTITUTE(E17,".",""),LEN(F17))</formula>
    </cfRule>
  </conditionalFormatting>
  <conditionalFormatting sqref="X17">
    <cfRule type="expression" dxfId="0" priority="4428">
      <formula xml:space="preserve"> NOT(ISLOGICAL($X$2))</formula>
    </cfRule>
    <cfRule type="expression" dxfId="0" priority="4432">
      <formula>AND(X17=TRUE,W17=FALSE)</formula>
    </cfRule>
  </conditionalFormatting>
  <conditionalFormatting sqref="Y17">
    <cfRule type="expression" dxfId="0" priority="4431">
      <formula>OR(AND(X17=FALSE,INT(Y17)&gt;0),AND(X17=TRUE,INT(Y17)&lt;=0))</formula>
    </cfRule>
  </conditionalFormatting>
  <conditionalFormatting sqref="AA17">
    <cfRule type="expression" dxfId="0" priority="4430">
      <formula>AND(Z17=FALSE,AA17&gt;0)</formula>
    </cfRule>
  </conditionalFormatting>
  <conditionalFormatting sqref="BV17:HY17">
    <cfRule type="containsErrors" dxfId="0" priority="4429">
      <formula>ISERROR(BV17)</formula>
    </cfRule>
  </conditionalFormatting>
  <conditionalFormatting sqref="Z17">
    <cfRule type="expression" dxfId="0" priority="4427">
      <formula>NOT(ISLOGICAL($Z$2))</formula>
    </cfRule>
  </conditionalFormatting>
  <conditionalFormatting sqref="AB17">
    <cfRule type="expression" dxfId="0" priority="4426">
      <formula>NOT(ISLOGICAL($AB$2))</formula>
    </cfRule>
  </conditionalFormatting>
  <conditionalFormatting sqref="AC17">
    <cfRule type="expression" dxfId="0" priority="4425">
      <formula>NOT(ISLOGICAL($AC$2))</formula>
    </cfRule>
  </conditionalFormatting>
  <conditionalFormatting sqref="B17:BU17">
    <cfRule type="containsErrors" dxfId="0" priority="4424">
      <formula>ISERROR(B17)</formula>
    </cfRule>
  </conditionalFormatting>
  <conditionalFormatting sqref="I17">
    <cfRule type="expression" dxfId="0" priority="4423">
      <formula>NOT(ISNUMBER($I$2))</formula>
    </cfRule>
  </conditionalFormatting>
  <conditionalFormatting sqref="D17">
    <cfRule type="expression" dxfId="0" priority="4422">
      <formula>ISBLANK($D$2)</formula>
    </cfRule>
  </conditionalFormatting>
  <conditionalFormatting sqref="DW17">
    <cfRule type="expression" dxfId="2" priority="4434">
      <formula>AND(BO17&gt;=1,DW17&lt;&gt;0, GetEquPower(C17,BI17, CA17, FN17)=0)</formula>
    </cfRule>
    <cfRule type="expression" dxfId="1" priority="4435">
      <formula>AND(BO17&gt;=1,DW17&lt;&gt;GetEquPower(C17,BI17, CA17, FN17))</formula>
    </cfRule>
  </conditionalFormatting>
  <conditionalFormatting sqref="DX17">
    <cfRule type="expression" dxfId="2" priority="4436">
      <formula>AND(BO17&gt;=2,DX17&lt;&gt;0, GetEquPower(C17,BI17, CB17, FN17)=0)</formula>
    </cfRule>
    <cfRule type="expression" dxfId="1" priority="4437">
      <formula>AND(BO17&gt;=2,DX17&lt;&gt;GetEquPower(C17,BI17, CB17, FN17))</formula>
    </cfRule>
  </conditionalFormatting>
  <conditionalFormatting sqref="DY17">
    <cfRule type="expression" dxfId="2" priority="4438">
      <formula>AND(BO17&gt;=3,DY17&lt;&gt;0, GetEquPower(C17,BI17, CC17, FN17)=0)</formula>
    </cfRule>
    <cfRule type="expression" dxfId="1" priority="4439">
      <formula>AND(BO17&gt;=3,DY17&lt;&gt;GetEquPower(C17,BI17, CC17, FN17))</formula>
    </cfRule>
  </conditionalFormatting>
  <conditionalFormatting sqref="ED17">
    <cfRule type="expression" dxfId="2" priority="4440">
      <formula>AND(BP17&gt;=1,ED17&lt;&gt;0, GetEquPower(C17,BJ17, CG17, FO17)=0)</formula>
    </cfRule>
    <cfRule type="expression" dxfId="1" priority="4441">
      <formula>AND(BP17&gt;=1,ED17&lt;&gt;GetEquPower(C17,BJ17, CG17, FO17))</formula>
    </cfRule>
  </conditionalFormatting>
  <conditionalFormatting sqref="EE17">
    <cfRule type="expression" dxfId="2" priority="4442">
      <formula>AND(BP17&gt;=2,EE17&lt;&gt;0, GetEquPower(C17,BJ17, CH17, FO17)=0)</formula>
    </cfRule>
    <cfRule type="expression" dxfId="1" priority="4443">
      <formula>AND(BP17&gt;=2,EE17&lt;&gt;GetEquPower(C17,BJ17, CH17, FO17))</formula>
    </cfRule>
  </conditionalFormatting>
  <conditionalFormatting sqref="EF17">
    <cfRule type="expression" dxfId="2" priority="4444">
      <formula>AND(BP17&gt;=3,EF17&lt;&gt;0, GetEquPower(C17,BJ17, CI17, FO17)=0)</formula>
    </cfRule>
    <cfRule type="expression" dxfId="1" priority="4445">
      <formula>AND(BP17&gt;=3,EF17&lt;&gt;GetEquPower(C17,BJ17, CI17, FO17))</formula>
    </cfRule>
  </conditionalFormatting>
  <conditionalFormatting sqref="EK17">
    <cfRule type="expression" dxfId="2" priority="4446">
      <formula>AND(BQ17&gt;=1,EK17&lt;&gt;0, GetEquPower(C17,BK17, CM17, FP17)=0)</formula>
    </cfRule>
    <cfRule type="expression" dxfId="1" priority="4447">
      <formula>AND(BQ17&gt;=1,EK17&lt;&gt;GetEquPower(C17,BK17, CM17, FP17))</formula>
    </cfRule>
  </conditionalFormatting>
  <conditionalFormatting sqref="EL17">
    <cfRule type="expression" dxfId="2" priority="4448">
      <formula>AND(BQ17&gt;=2,EL17&lt;&gt;0, GetEquPower(C17,BK17, CN17, FP17)=0)</formula>
    </cfRule>
    <cfRule type="expression" dxfId="1" priority="4449">
      <formula xml:space="preserve"> AND(BQ17&gt;=2,EL17&lt;&gt;GetEquPower(C17,BK17, CN17, FP17))</formula>
    </cfRule>
  </conditionalFormatting>
  <conditionalFormatting sqref="EM17">
    <cfRule type="expression" dxfId="2" priority="4450">
      <formula>AND(BQ17&gt;=3,EM17&lt;&gt;0, GetEquPower(C17,BK17, CO17, FP17)=0)</formula>
    </cfRule>
    <cfRule type="expression" dxfId="1" priority="4451">
      <formula xml:space="preserve"> AND(BQ17&gt;=3,EM17&lt;&gt;GetEquPower(C17,BK17, CO17, FP17))</formula>
    </cfRule>
  </conditionalFormatting>
  <conditionalFormatting sqref="ER17">
    <cfRule type="expression" dxfId="2" priority="4452">
      <formula>AND(BR17&gt;=1,ER17&lt;&gt;0, GetEquPower(C17,BL17, CS17, FQ17)=0)</formula>
    </cfRule>
    <cfRule type="expression" dxfId="1" priority="4453">
      <formula>AND(BR17&gt;=1,ER17&lt;&gt;GetEquPower(C17,BL17, CS17, FQ17))</formula>
    </cfRule>
  </conditionalFormatting>
  <conditionalFormatting sqref="ES17">
    <cfRule type="expression" dxfId="2" priority="4454">
      <formula>AND(BR17&gt;=2,ES17&lt;&gt;0, GetEquPower(C17,BL17, CT17, FQ17)=0)</formula>
    </cfRule>
    <cfRule type="expression" dxfId="1" priority="4455">
      <formula>AND(BR17&gt;=2,ES17&lt;&gt;GetEquPower(C17,BL17, CT17, FQ17))</formula>
    </cfRule>
  </conditionalFormatting>
  <conditionalFormatting sqref="ET17">
    <cfRule type="expression" dxfId="2" priority="4456">
      <formula>AND(BR17&gt;=3,ET17&lt;&gt;0, GetEquPower(C17,BL17, CU17, FQ17)=0)</formula>
    </cfRule>
    <cfRule type="expression" dxfId="1" priority="4457">
      <formula>AND(BR17&gt;=3,ET17&lt;&gt;GetEquPower(C17,BL17, CU17, FQ17))</formula>
    </cfRule>
  </conditionalFormatting>
  <conditionalFormatting sqref="EY17">
    <cfRule type="expression" dxfId="2" priority="4458">
      <formula>AND(BS17&gt;=1,EY17&lt;&gt;0, GetEquPower(C17,BM17, CY17, FR17)=0)</formula>
    </cfRule>
    <cfRule type="expression" dxfId="1" priority="4459">
      <formula>AND(BS17&gt;=1,EY17&lt;&gt;GetEquPower(C17,BM17, CY17, FR17))</formula>
    </cfRule>
  </conditionalFormatting>
  <conditionalFormatting sqref="EZ17">
    <cfRule type="expression" dxfId="2" priority="4460">
      <formula>AND(BS17&gt;=2,EZ17&lt;&gt;0, GetEquPower(C17,BM17, CZ17, FR17)=0)</formula>
    </cfRule>
    <cfRule type="expression" dxfId="1" priority="4461">
      <formula>AND(BS17&gt;=2,EZ17&lt;&gt;GetEquPower(C17,BM17, CZ17, FR17))</formula>
    </cfRule>
  </conditionalFormatting>
  <conditionalFormatting sqref="FA17">
    <cfRule type="expression" dxfId="2" priority="4462">
      <formula>AND(BS17&gt;=3,FA17&lt;&gt;0, GetEquPower(C17,BM17, DA17, FR17)=0)</formula>
    </cfRule>
    <cfRule type="expression" dxfId="1" priority="4463">
      <formula>AND(BS17&gt;=3,FA17&lt;&gt;GetEquPower(C17,BM17, DA17, FR17))</formula>
    </cfRule>
  </conditionalFormatting>
  <conditionalFormatting sqref="FF17">
    <cfRule type="expression" dxfId="2" priority="4464">
      <formula>AND(BT17&gt;=1,FF17&lt;&gt;0, GetEquPower(C17,BN17, DE17, FS17)=0)</formula>
    </cfRule>
    <cfRule type="expression" dxfId="1" priority="4465">
      <formula>AND(BT17&gt;=1,FF17&lt;&gt;GetEquPower(C17,BN17, DE17, FS17))</formula>
    </cfRule>
  </conditionalFormatting>
  <conditionalFormatting sqref="FG17">
    <cfRule type="expression" dxfId="2" priority="4466">
      <formula>AND(BT17&gt;=2,FG17&lt;&gt;0, GetEquPower(C17,BN17, DF17, FS17)=0)</formula>
    </cfRule>
    <cfRule type="expression" dxfId="1" priority="4467">
      <formula>AND(BT17&gt;=2,FG17&lt;&gt;GetEquPower(C17,BN17, DF17, FS17))</formula>
    </cfRule>
  </conditionalFormatting>
  <conditionalFormatting sqref="FH17">
    <cfRule type="expression" dxfId="2" priority="4468">
      <formula>AND(BT17&gt;=3,FH17&lt;&gt;0, GetEquPower(C17,BN17, DG17, FS17)=0)</formula>
    </cfRule>
    <cfRule type="expression" dxfId="1" priority="4469">
      <formula>AND(BT17&gt;=3,FH17&lt;&gt;GetEquPower(C17,BN17, DG17, FS17))</formula>
    </cfRule>
  </conditionalFormatting>
  <conditionalFormatting sqref="DZ17">
    <cfRule type="expression" dxfId="2" priority="4470">
      <formula>AND(BO17&gt;=4,DZ17&lt;&gt;0, GetEquPower(C17,BI17, CD17, FN17)=0)</formula>
    </cfRule>
    <cfRule type="expression" dxfId="1" priority="4471">
      <formula>AND(BO17&gt;=4, DZ17&lt;&gt;GetEquPower(C17,BI17, CD17, FN17))</formula>
    </cfRule>
  </conditionalFormatting>
  <conditionalFormatting sqref="EG17">
    <cfRule type="expression" dxfId="2" priority="4472">
      <formula>AND(BP17&gt;=4,EG17&lt;&gt;0, GetEquPower(C17,BJ17, CJ17, FO17)=0)</formula>
    </cfRule>
    <cfRule type="expression" dxfId="1" priority="4473">
      <formula>AND(BP17&gt;=4,EG17&lt;&gt;GetEquPower(C17,BJ17, CJ17, FO17))</formula>
    </cfRule>
  </conditionalFormatting>
  <conditionalFormatting sqref="EN17">
    <cfRule type="expression" dxfId="2" priority="4474">
      <formula>AND(BQ17&gt;=4,EN17&lt;&gt;0, GetEquPower(C17,BK17, CP17, FP17)=0)</formula>
    </cfRule>
    <cfRule type="expression" dxfId="1" priority="4475">
      <formula xml:space="preserve"> AND(BQ17&gt;=4,EN17&lt;&gt;GetEquPower(C17,BK17, CP17, FP17))</formula>
    </cfRule>
  </conditionalFormatting>
  <conditionalFormatting sqref="EU17">
    <cfRule type="expression" dxfId="2" priority="4476">
      <formula>AND(BR17&gt;=4,EU17&lt;&gt;0, GetEquPower(C17,BL17, CV17, FQ17)=0)</formula>
    </cfRule>
    <cfRule type="expression" dxfId="1" priority="4477">
      <formula>AND(BR17&gt;=4,EU17&lt;&gt;GetEquPower(C17,BL17, CV17, FQ17))</formula>
    </cfRule>
  </conditionalFormatting>
  <conditionalFormatting sqref="FB17">
    <cfRule type="expression" dxfId="2" priority="4478">
      <formula>AND(BS17&gt;=4,FB17&lt;&gt;0, GetEquPower(C17,BM17, DB17, FR17)=0)</formula>
    </cfRule>
    <cfRule type="expression" dxfId="1" priority="4479">
      <formula>AND(BS17&gt;=4,FB17&lt;&gt;GetEquPower(C17,BM17, DB17, FR17))</formula>
    </cfRule>
  </conditionalFormatting>
  <conditionalFormatting sqref="FI17">
    <cfRule type="expression" dxfId="2" priority="4480">
      <formula>AND(BT17&gt;=4,FI17&lt;&gt;0, GetEquPower(C17,BN17, DH17, FS17)=0)</formula>
    </cfRule>
    <cfRule type="expression" dxfId="1" priority="4481">
      <formula>AND(BT17&gt;=4,FI17&lt;&gt;GetEquPower(C17,BN17, DH17, FS17))</formula>
    </cfRule>
  </conditionalFormatting>
  <conditionalFormatting sqref="EA17">
    <cfRule type="expression" dxfId="2" priority="4482">
      <formula>AND(BO17&gt;=5,EA17&lt;&gt;0, GetEquPower(C17,BI17, CE17, FN17)=0)</formula>
    </cfRule>
    <cfRule type="expression" dxfId="1" priority="4483">
      <formula>AND(BO17&gt;=5, EA17&lt;&gt;GetEquPower(C17,BI17, CE17, FN17))</formula>
    </cfRule>
  </conditionalFormatting>
  <conditionalFormatting sqref="EB17">
    <cfRule type="expression" dxfId="2" priority="4484">
      <formula>AND(BO17&gt;=6,EB17&lt;&gt;0, GetEquPower(C17,BI17, CF17, FN17)=0)</formula>
    </cfRule>
    <cfRule type="expression" dxfId="1" priority="4485">
      <formula>AND(BO17&gt;=6, EB17&lt;&gt;GetEquPower(C17,BI17, CF17, FN17))</formula>
    </cfRule>
  </conditionalFormatting>
  <conditionalFormatting sqref="EH17">
    <cfRule type="expression" dxfId="2" priority="4486">
      <formula>AND(BP17&gt;=5,EH17&lt;&gt;0, GetEquPower(C17,BJ17, CK17, FO17)=0)</formula>
    </cfRule>
    <cfRule type="expression" dxfId="1" priority="4487">
      <formula>AND(BP17&gt;=5,EH17&lt;&gt;GetEquPower(C17,BJ17, CK17, FO17))</formula>
    </cfRule>
  </conditionalFormatting>
  <conditionalFormatting sqref="EI17">
    <cfRule type="expression" dxfId="2" priority="4488">
      <formula>AND(BP17&gt;=6,EI17&lt;&gt;0, GetEquPower(C17,BJ17, CL17, FO17)=0)</formula>
    </cfRule>
    <cfRule type="expression" dxfId="1" priority="4489">
      <formula>AND(BP17&gt;=6,EI17&lt;&gt;GetEquPower(C17,BJ17, CL17, FO17))</formula>
    </cfRule>
  </conditionalFormatting>
  <conditionalFormatting sqref="EO17">
    <cfRule type="expression" dxfId="2" priority="4490">
      <formula>AND(BQ17&gt;=5,EO17&lt;&gt;0, GetEquPower(C17,BK17, CQ17, FP17)=0)</formula>
    </cfRule>
    <cfRule type="expression" dxfId="1" priority="4491">
      <formula xml:space="preserve"> AND(BQ17&gt;=5,EO17&lt;&gt;GetEquPower(C17,BK17, CQ17, FP17))</formula>
    </cfRule>
  </conditionalFormatting>
  <conditionalFormatting sqref="EP17">
    <cfRule type="expression" dxfId="2" priority="4492">
      <formula>AND(BQ17&gt;=6,EP17&lt;&gt;0, GetEquPower(C17,BK17, CR17, FP17)=0)</formula>
    </cfRule>
    <cfRule type="expression" dxfId="1" priority="4493">
      <formula xml:space="preserve"> AND(BQ17&gt;=6,EP17&lt;&gt;GetEquPower(C17,BK17, CR17, FP17))</formula>
    </cfRule>
  </conditionalFormatting>
  <conditionalFormatting sqref="EV17">
    <cfRule type="expression" dxfId="2" priority="4494">
      <formula>AND(BR17&gt;=5,EV17&lt;&gt;0, GetEquPower(C17,BL17, CW17, FQ17)=0)</formula>
    </cfRule>
    <cfRule type="expression" dxfId="1" priority="4495">
      <formula>AND(BR17&gt;=5,EV17&lt;&gt;GetEquPower(C17,BL17, CW17, FQ17))</formula>
    </cfRule>
  </conditionalFormatting>
  <conditionalFormatting sqref="EW17">
    <cfRule type="expression" dxfId="2" priority="4496">
      <formula>AND(BR17&gt;=6,EW17&lt;&gt;0, GetEquPower(C17,BL17, CX17, FQ17)=0)</formula>
    </cfRule>
    <cfRule type="expression" dxfId="1" priority="4497">
      <formula>AND(BR17&gt;=6,EW17&lt;&gt;GetEquPower(C17,BL17, CX17, FQ17))</formula>
    </cfRule>
  </conditionalFormatting>
  <conditionalFormatting sqref="FC17">
    <cfRule type="expression" dxfId="2" priority="4498">
      <formula>AND(BS17&gt;=5,FC17&lt;&gt;0, GetEquPower(C17,BM17, DC17, FR17)=0)</formula>
    </cfRule>
    <cfRule type="expression" dxfId="1" priority="4499">
      <formula>AND(BS17&gt;=5,FC17&lt;&gt;GetEquPower(C17,BM17, DC17, FR17))</formula>
    </cfRule>
  </conditionalFormatting>
  <conditionalFormatting sqref="FD17">
    <cfRule type="expression" dxfId="2" priority="4500">
      <formula>AND(BS17&gt;=6,FD17&lt;&gt;0, GetEquPower(C17,BM17, DD17, FR17)=0)</formula>
    </cfRule>
    <cfRule type="expression" dxfId="1" priority="4501">
      <formula>AND(BS17&gt;=6,FD17&lt;&gt;GetEquPower(C17,BM17, DD17, FR17))</formula>
    </cfRule>
  </conditionalFormatting>
  <conditionalFormatting sqref="FJ17">
    <cfRule type="expression" dxfId="2" priority="4502">
      <formula>AND(BT17&gt;=5,FJ17&lt;&gt;0, GetEquPower(C17,BN17, DI17, FS17)=0)</formula>
    </cfRule>
    <cfRule type="expression" dxfId="1" priority="4503">
      <formula>AND(BT17&gt;=5,FJ17&lt;&gt;GetEquPower(C17,BN17, DI17, FS17))</formula>
    </cfRule>
  </conditionalFormatting>
  <conditionalFormatting sqref="FK17">
    <cfRule type="expression" dxfId="2" priority="4504">
      <formula>AND(BT17&gt;=6,FK17&lt;&gt;0, GetEquPower(C17,BN17, DJ17, FS17)=0)</formula>
    </cfRule>
    <cfRule type="expression" dxfId="1" priority="4505">
      <formula>AND(BT17&gt;=6,FK17&lt;&gt;GetEquPower(C17,BN17, DJ17, FS17))</formula>
    </cfRule>
  </conditionalFormatting>
  <conditionalFormatting sqref="W17">
    <cfRule type="expression" dxfId="0" priority="4421">
      <formula xml:space="preserve"> NOT(ISLOGICAL($W$2))</formula>
    </cfRule>
  </conditionalFormatting>
  <conditionalFormatting sqref="F18">
    <cfRule type="expression" dxfId="0" priority="4348">
      <formula>F18&lt;&gt;RIGHT(SUBSTITUTE(E18,".",""),LEN(F18))</formula>
    </cfRule>
  </conditionalFormatting>
  <conditionalFormatting sqref="X18">
    <cfRule type="expression" dxfId="0" priority="4343">
      <formula xml:space="preserve"> NOT(ISLOGICAL($X$2))</formula>
    </cfRule>
    <cfRule type="expression" dxfId="0" priority="4347">
      <formula>AND(X18=TRUE,W18=FALSE)</formula>
    </cfRule>
  </conditionalFormatting>
  <conditionalFormatting sqref="Y18">
    <cfRule type="expression" dxfId="0" priority="4346">
      <formula>OR(AND(X18=FALSE,INT(Y18)&gt;0),AND(X18=TRUE,INT(Y18)&lt;=0))</formula>
    </cfRule>
  </conditionalFormatting>
  <conditionalFormatting sqref="AA18">
    <cfRule type="expression" dxfId="0" priority="4345">
      <formula>AND(Z18=FALSE,AA18&gt;0)</formula>
    </cfRule>
  </conditionalFormatting>
  <conditionalFormatting sqref="BV18:HY18">
    <cfRule type="containsErrors" dxfId="0" priority="4344">
      <formula>ISERROR(BV18)</formula>
    </cfRule>
  </conditionalFormatting>
  <conditionalFormatting sqref="Z18">
    <cfRule type="expression" dxfId="0" priority="4342">
      <formula>NOT(ISLOGICAL($Z$2))</formula>
    </cfRule>
  </conditionalFormatting>
  <conditionalFormatting sqref="AB18">
    <cfRule type="expression" dxfId="0" priority="4341">
      <formula>NOT(ISLOGICAL($AB$2))</formula>
    </cfRule>
  </conditionalFormatting>
  <conditionalFormatting sqref="AC18">
    <cfRule type="expression" dxfId="0" priority="4340">
      <formula>NOT(ISLOGICAL($AC$2))</formula>
    </cfRule>
  </conditionalFormatting>
  <conditionalFormatting sqref="B18:BU18">
    <cfRule type="containsErrors" dxfId="0" priority="4339">
      <formula>ISERROR(B18)</formula>
    </cfRule>
  </conditionalFormatting>
  <conditionalFormatting sqref="I18">
    <cfRule type="expression" dxfId="0" priority="4338">
      <formula>NOT(ISNUMBER($I$2))</formula>
    </cfRule>
  </conditionalFormatting>
  <conditionalFormatting sqref="D18">
    <cfRule type="expression" dxfId="0" priority="4337">
      <formula>ISBLANK($D$2)</formula>
    </cfRule>
  </conditionalFormatting>
  <conditionalFormatting sqref="DW18">
    <cfRule type="expression" dxfId="2" priority="4349">
      <formula>AND(BO18&gt;=1,DW18&lt;&gt;0, GetEquPower(C18,BI18, CA18, FN18)=0)</formula>
    </cfRule>
    <cfRule type="expression" dxfId="1" priority="4350">
      <formula>AND(BO18&gt;=1,DW18&lt;&gt;GetEquPower(C18,BI18, CA18, FN18))</formula>
    </cfRule>
  </conditionalFormatting>
  <conditionalFormatting sqref="DX18">
    <cfRule type="expression" dxfId="2" priority="4351">
      <formula>AND(BO18&gt;=2,DX18&lt;&gt;0, GetEquPower(C18,BI18, CB18, FN18)=0)</formula>
    </cfRule>
    <cfRule type="expression" dxfId="1" priority="4352">
      <formula>AND(BO18&gt;=2,DX18&lt;&gt;GetEquPower(C18,BI18, CB18, FN18))</formula>
    </cfRule>
  </conditionalFormatting>
  <conditionalFormatting sqref="DY18">
    <cfRule type="expression" dxfId="2" priority="4353">
      <formula>AND(BO18&gt;=3,DY18&lt;&gt;0, GetEquPower(C18,BI18, CC18, FN18)=0)</formula>
    </cfRule>
    <cfRule type="expression" dxfId="1" priority="4354">
      <formula>AND(BO18&gt;=3,DY18&lt;&gt;GetEquPower(C18,BI18, CC18, FN18))</formula>
    </cfRule>
  </conditionalFormatting>
  <conditionalFormatting sqref="ED18">
    <cfRule type="expression" dxfId="2" priority="4355">
      <formula>AND(BP18&gt;=1,ED18&lt;&gt;0, GetEquPower(C18,BJ18, CG18, FO18)=0)</formula>
    </cfRule>
    <cfRule type="expression" dxfId="1" priority="4356">
      <formula>AND(BP18&gt;=1,ED18&lt;&gt;GetEquPower(C18,BJ18, CG18, FO18))</formula>
    </cfRule>
  </conditionalFormatting>
  <conditionalFormatting sqref="EE18">
    <cfRule type="expression" dxfId="2" priority="4357">
      <formula>AND(BP18&gt;=2,EE18&lt;&gt;0, GetEquPower(C18,BJ18, CH18, FO18)=0)</formula>
    </cfRule>
    <cfRule type="expression" dxfId="1" priority="4358">
      <formula>AND(BP18&gt;=2,EE18&lt;&gt;GetEquPower(C18,BJ18, CH18, FO18))</formula>
    </cfRule>
  </conditionalFormatting>
  <conditionalFormatting sqref="EF18">
    <cfRule type="expression" dxfId="2" priority="4359">
      <formula>AND(BP18&gt;=3,EF18&lt;&gt;0, GetEquPower(C18,BJ18, CI18, FO18)=0)</formula>
    </cfRule>
    <cfRule type="expression" dxfId="1" priority="4360">
      <formula>AND(BP18&gt;=3,EF18&lt;&gt;GetEquPower(C18,BJ18, CI18, FO18))</formula>
    </cfRule>
  </conditionalFormatting>
  <conditionalFormatting sqref="EK18">
    <cfRule type="expression" dxfId="2" priority="4361">
      <formula>AND(BQ18&gt;=1,EK18&lt;&gt;0, GetEquPower(C18,BK18, CM18, FP18)=0)</formula>
    </cfRule>
    <cfRule type="expression" dxfId="1" priority="4362">
      <formula>AND(BQ18&gt;=1,EK18&lt;&gt;GetEquPower(C18,BK18, CM18, FP18))</formula>
    </cfRule>
  </conditionalFormatting>
  <conditionalFormatting sqref="EL18">
    <cfRule type="expression" dxfId="2" priority="4363">
      <formula>AND(BQ18&gt;=2,EL18&lt;&gt;0, GetEquPower(C18,BK18, CN18, FP18)=0)</formula>
    </cfRule>
    <cfRule type="expression" dxfId="1" priority="4364">
      <formula xml:space="preserve"> AND(BQ18&gt;=2,EL18&lt;&gt;GetEquPower(C18,BK18, CN18, FP18))</formula>
    </cfRule>
  </conditionalFormatting>
  <conditionalFormatting sqref="EM18">
    <cfRule type="expression" dxfId="2" priority="4365">
      <formula>AND(BQ18&gt;=3,EM18&lt;&gt;0, GetEquPower(C18,BK18, CO18, FP18)=0)</formula>
    </cfRule>
    <cfRule type="expression" dxfId="1" priority="4366">
      <formula xml:space="preserve"> AND(BQ18&gt;=3,EM18&lt;&gt;GetEquPower(C18,BK18, CO18, FP18))</formula>
    </cfRule>
  </conditionalFormatting>
  <conditionalFormatting sqref="ER18">
    <cfRule type="expression" dxfId="2" priority="4367">
      <formula>AND(BR18&gt;=1,ER18&lt;&gt;0, GetEquPower(C18,BL18, CS18, FQ18)=0)</formula>
    </cfRule>
    <cfRule type="expression" dxfId="1" priority="4368">
      <formula>AND(BR18&gt;=1,ER18&lt;&gt;GetEquPower(C18,BL18, CS18, FQ18))</formula>
    </cfRule>
  </conditionalFormatting>
  <conditionalFormatting sqref="ES18">
    <cfRule type="expression" dxfId="2" priority="4369">
      <formula>AND(BR18&gt;=2,ES18&lt;&gt;0, GetEquPower(C18,BL18, CT18, FQ18)=0)</formula>
    </cfRule>
    <cfRule type="expression" dxfId="1" priority="4370">
      <formula>AND(BR18&gt;=2,ES18&lt;&gt;GetEquPower(C18,BL18, CT18, FQ18))</formula>
    </cfRule>
  </conditionalFormatting>
  <conditionalFormatting sqref="ET18">
    <cfRule type="expression" dxfId="2" priority="4371">
      <formula>AND(BR18&gt;=3,ET18&lt;&gt;0, GetEquPower(C18,BL18, CU18, FQ18)=0)</formula>
    </cfRule>
    <cfRule type="expression" dxfId="1" priority="4372">
      <formula>AND(BR18&gt;=3,ET18&lt;&gt;GetEquPower(C18,BL18, CU18, FQ18))</formula>
    </cfRule>
  </conditionalFormatting>
  <conditionalFormatting sqref="EY18">
    <cfRule type="expression" dxfId="2" priority="4373">
      <formula>AND(BS18&gt;=1,EY18&lt;&gt;0, GetEquPower(C18,BM18, CY18, FR18)=0)</formula>
    </cfRule>
    <cfRule type="expression" dxfId="1" priority="4374">
      <formula>AND(BS18&gt;=1,EY18&lt;&gt;GetEquPower(C18,BM18, CY18, FR18))</formula>
    </cfRule>
  </conditionalFormatting>
  <conditionalFormatting sqref="EZ18">
    <cfRule type="expression" dxfId="2" priority="4375">
      <formula>AND(BS18&gt;=2,EZ18&lt;&gt;0, GetEquPower(C18,BM18, CZ18, FR18)=0)</formula>
    </cfRule>
    <cfRule type="expression" dxfId="1" priority="4376">
      <formula>AND(BS18&gt;=2,EZ18&lt;&gt;GetEquPower(C18,BM18, CZ18, FR18))</formula>
    </cfRule>
  </conditionalFormatting>
  <conditionalFormatting sqref="FA18">
    <cfRule type="expression" dxfId="2" priority="4377">
      <formula>AND(BS18&gt;=3,FA18&lt;&gt;0, GetEquPower(C18,BM18, DA18, FR18)=0)</formula>
    </cfRule>
    <cfRule type="expression" dxfId="1" priority="4378">
      <formula>AND(BS18&gt;=3,FA18&lt;&gt;GetEquPower(C18,BM18, DA18, FR18))</formula>
    </cfRule>
  </conditionalFormatting>
  <conditionalFormatting sqref="FF18">
    <cfRule type="expression" dxfId="2" priority="4379">
      <formula>AND(BT18&gt;=1,FF18&lt;&gt;0, GetEquPower(C18,BN18, DE18, FS18)=0)</formula>
    </cfRule>
    <cfRule type="expression" dxfId="1" priority="4380">
      <formula>AND(BT18&gt;=1,FF18&lt;&gt;GetEquPower(C18,BN18, DE18, FS18))</formula>
    </cfRule>
  </conditionalFormatting>
  <conditionalFormatting sqref="FG18">
    <cfRule type="expression" dxfId="2" priority="4381">
      <formula>AND(BT18&gt;=2,FG18&lt;&gt;0, GetEquPower(C18,BN18, DF18, FS18)=0)</formula>
    </cfRule>
    <cfRule type="expression" dxfId="1" priority="4382">
      <formula>AND(BT18&gt;=2,FG18&lt;&gt;GetEquPower(C18,BN18, DF18, FS18))</formula>
    </cfRule>
  </conditionalFormatting>
  <conditionalFormatting sqref="FH18">
    <cfRule type="expression" dxfId="2" priority="4383">
      <formula>AND(BT18&gt;=3,FH18&lt;&gt;0, GetEquPower(C18,BN18, DG18, FS18)=0)</formula>
    </cfRule>
    <cfRule type="expression" dxfId="1" priority="4384">
      <formula>AND(BT18&gt;=3,FH18&lt;&gt;GetEquPower(C18,BN18, DG18, FS18))</formula>
    </cfRule>
  </conditionalFormatting>
  <conditionalFormatting sqref="DZ18">
    <cfRule type="expression" dxfId="2" priority="4385">
      <formula>AND(BO18&gt;=4,DZ18&lt;&gt;0, GetEquPower(C18,BI18, CD18, FN18)=0)</formula>
    </cfRule>
    <cfRule type="expression" dxfId="1" priority="4386">
      <formula>AND(BO18&gt;=4, DZ18&lt;&gt;GetEquPower(C18,BI18, CD18, FN18))</formula>
    </cfRule>
  </conditionalFormatting>
  <conditionalFormatting sqref="EG18">
    <cfRule type="expression" dxfId="2" priority="4387">
      <formula>AND(BP18&gt;=4,EG18&lt;&gt;0, GetEquPower(C18,BJ18, CJ18, FO18)=0)</formula>
    </cfRule>
    <cfRule type="expression" dxfId="1" priority="4388">
      <formula>AND(BP18&gt;=4,EG18&lt;&gt;GetEquPower(C18,BJ18, CJ18, FO18))</formula>
    </cfRule>
  </conditionalFormatting>
  <conditionalFormatting sqref="EN18">
    <cfRule type="expression" dxfId="2" priority="4389">
      <formula>AND(BQ18&gt;=4,EN18&lt;&gt;0, GetEquPower(C18,BK18, CP18, FP18)=0)</formula>
    </cfRule>
    <cfRule type="expression" dxfId="1" priority="4390">
      <formula xml:space="preserve"> AND(BQ18&gt;=4,EN18&lt;&gt;GetEquPower(C18,BK18, CP18, FP18))</formula>
    </cfRule>
  </conditionalFormatting>
  <conditionalFormatting sqref="EU18">
    <cfRule type="expression" dxfId="2" priority="4391">
      <formula>AND(BR18&gt;=4,EU18&lt;&gt;0, GetEquPower(C18,BL18, CV18, FQ18)=0)</formula>
    </cfRule>
    <cfRule type="expression" dxfId="1" priority="4392">
      <formula>AND(BR18&gt;=4,EU18&lt;&gt;GetEquPower(C18,BL18, CV18, FQ18))</formula>
    </cfRule>
  </conditionalFormatting>
  <conditionalFormatting sqref="FB18">
    <cfRule type="expression" dxfId="2" priority="4393">
      <formula>AND(BS18&gt;=4,FB18&lt;&gt;0, GetEquPower(C18,BM18, DB18, FR18)=0)</formula>
    </cfRule>
    <cfRule type="expression" dxfId="1" priority="4394">
      <formula>AND(BS18&gt;=4,FB18&lt;&gt;GetEquPower(C18,BM18, DB18, FR18))</formula>
    </cfRule>
  </conditionalFormatting>
  <conditionalFormatting sqref="FI18">
    <cfRule type="expression" dxfId="2" priority="4395">
      <formula>AND(BT18&gt;=4,FI18&lt;&gt;0, GetEquPower(C18,BN18, DH18, FS18)=0)</formula>
    </cfRule>
    <cfRule type="expression" dxfId="1" priority="4396">
      <formula>AND(BT18&gt;=4,FI18&lt;&gt;GetEquPower(C18,BN18, DH18, FS18))</formula>
    </cfRule>
  </conditionalFormatting>
  <conditionalFormatting sqref="EA18">
    <cfRule type="expression" dxfId="2" priority="4397">
      <formula>AND(BO18&gt;=5,EA18&lt;&gt;0, GetEquPower(C18,BI18, CE18, FN18)=0)</formula>
    </cfRule>
    <cfRule type="expression" dxfId="1" priority="4398">
      <formula>AND(BO18&gt;=5, EA18&lt;&gt;GetEquPower(C18,BI18, CE18, FN18))</formula>
    </cfRule>
  </conditionalFormatting>
  <conditionalFormatting sqref="EB18">
    <cfRule type="expression" dxfId="2" priority="4399">
      <formula>AND(BO18&gt;=6,EB18&lt;&gt;0, GetEquPower(C18,BI18, CF18, FN18)=0)</formula>
    </cfRule>
    <cfRule type="expression" dxfId="1" priority="4400">
      <formula>AND(BO18&gt;=6, EB18&lt;&gt;GetEquPower(C18,BI18, CF18, FN18))</formula>
    </cfRule>
  </conditionalFormatting>
  <conditionalFormatting sqref="EH18">
    <cfRule type="expression" dxfId="2" priority="4401">
      <formula>AND(BP18&gt;=5,EH18&lt;&gt;0, GetEquPower(C18,BJ18, CK18, FO18)=0)</formula>
    </cfRule>
    <cfRule type="expression" dxfId="1" priority="4402">
      <formula>AND(BP18&gt;=5,EH18&lt;&gt;GetEquPower(C18,BJ18, CK18, FO18))</formula>
    </cfRule>
  </conditionalFormatting>
  <conditionalFormatting sqref="EI18">
    <cfRule type="expression" dxfId="2" priority="4403">
      <formula>AND(BP18&gt;=6,EI18&lt;&gt;0, GetEquPower(C18,BJ18, CL18, FO18)=0)</formula>
    </cfRule>
    <cfRule type="expression" dxfId="1" priority="4404">
      <formula>AND(BP18&gt;=6,EI18&lt;&gt;GetEquPower(C18,BJ18, CL18, FO18))</formula>
    </cfRule>
  </conditionalFormatting>
  <conditionalFormatting sqref="EO18">
    <cfRule type="expression" dxfId="2" priority="4405">
      <formula>AND(BQ18&gt;=5,EO18&lt;&gt;0, GetEquPower(C18,BK18, CQ18, FP18)=0)</formula>
    </cfRule>
    <cfRule type="expression" dxfId="1" priority="4406">
      <formula xml:space="preserve"> AND(BQ18&gt;=5,EO18&lt;&gt;GetEquPower(C18,BK18, CQ18, FP18))</formula>
    </cfRule>
  </conditionalFormatting>
  <conditionalFormatting sqref="EP18">
    <cfRule type="expression" dxfId="2" priority="4407">
      <formula>AND(BQ18&gt;=6,EP18&lt;&gt;0, GetEquPower(C18,BK18, CR18, FP18)=0)</formula>
    </cfRule>
    <cfRule type="expression" dxfId="1" priority="4408">
      <formula xml:space="preserve"> AND(BQ18&gt;=6,EP18&lt;&gt;GetEquPower(C18,BK18, CR18, FP18))</formula>
    </cfRule>
  </conditionalFormatting>
  <conditionalFormatting sqref="EV18">
    <cfRule type="expression" dxfId="2" priority="4409">
      <formula>AND(BR18&gt;=5,EV18&lt;&gt;0, GetEquPower(C18,BL18, CW18, FQ18)=0)</formula>
    </cfRule>
    <cfRule type="expression" dxfId="1" priority="4410">
      <formula>AND(BR18&gt;=5,EV18&lt;&gt;GetEquPower(C18,BL18, CW18, FQ18))</formula>
    </cfRule>
  </conditionalFormatting>
  <conditionalFormatting sqref="EW18">
    <cfRule type="expression" dxfId="2" priority="4411">
      <formula>AND(BR18&gt;=6,EW18&lt;&gt;0, GetEquPower(C18,BL18, CX18, FQ18)=0)</formula>
    </cfRule>
    <cfRule type="expression" dxfId="1" priority="4412">
      <formula>AND(BR18&gt;=6,EW18&lt;&gt;GetEquPower(C18,BL18, CX18, FQ18))</formula>
    </cfRule>
  </conditionalFormatting>
  <conditionalFormatting sqref="FC18">
    <cfRule type="expression" dxfId="2" priority="4413">
      <formula>AND(BS18&gt;=5,FC18&lt;&gt;0, GetEquPower(C18,BM18, DC18, FR18)=0)</formula>
    </cfRule>
    <cfRule type="expression" dxfId="1" priority="4414">
      <formula>AND(BS18&gt;=5,FC18&lt;&gt;GetEquPower(C18,BM18, DC18, FR18))</formula>
    </cfRule>
  </conditionalFormatting>
  <conditionalFormatting sqref="FD18">
    <cfRule type="expression" dxfId="2" priority="4415">
      <formula>AND(BS18&gt;=6,FD18&lt;&gt;0, GetEquPower(C18,BM18, DD18, FR18)=0)</formula>
    </cfRule>
    <cfRule type="expression" dxfId="1" priority="4416">
      <formula>AND(BS18&gt;=6,FD18&lt;&gt;GetEquPower(C18,BM18, DD18, FR18))</formula>
    </cfRule>
  </conditionalFormatting>
  <conditionalFormatting sqref="FJ18">
    <cfRule type="expression" dxfId="2" priority="4417">
      <formula>AND(BT18&gt;=5,FJ18&lt;&gt;0, GetEquPower(C18,BN18, DI18, FS18)=0)</formula>
    </cfRule>
    <cfRule type="expression" dxfId="1" priority="4418">
      <formula>AND(BT18&gt;=5,FJ18&lt;&gt;GetEquPower(C18,BN18, DI18, FS18))</formula>
    </cfRule>
  </conditionalFormatting>
  <conditionalFormatting sqref="FK18">
    <cfRule type="expression" dxfId="2" priority="4419">
      <formula>AND(BT18&gt;=6,FK18&lt;&gt;0, GetEquPower(C18,BN18, DJ18, FS18)=0)</formula>
    </cfRule>
    <cfRule type="expression" dxfId="1" priority="4420">
      <formula>AND(BT18&gt;=6,FK18&lt;&gt;GetEquPower(C18,BN18, DJ18, FS18))</formula>
    </cfRule>
  </conditionalFormatting>
  <conditionalFormatting sqref="W18">
    <cfRule type="expression" dxfId="0" priority="4336">
      <formula xml:space="preserve"> NOT(ISLOGICAL($W$2))</formula>
    </cfRule>
  </conditionalFormatting>
  <conditionalFormatting sqref="F19">
    <cfRule type="expression" dxfId="0" priority="4263">
      <formula>F19&lt;&gt;RIGHT(SUBSTITUTE(E19,".",""),LEN(F19))</formula>
    </cfRule>
  </conditionalFormatting>
  <conditionalFormatting sqref="X19">
    <cfRule type="expression" dxfId="0" priority="4258">
      <formula xml:space="preserve"> NOT(ISLOGICAL($X$2))</formula>
    </cfRule>
    <cfRule type="expression" dxfId="0" priority="4262">
      <formula>AND(X19=TRUE,W19=FALSE)</formula>
    </cfRule>
  </conditionalFormatting>
  <conditionalFormatting sqref="Y19">
    <cfRule type="expression" dxfId="0" priority="4261">
      <formula>OR(AND(X19=FALSE,INT(Y19)&gt;0),AND(X19=TRUE,INT(Y19)&lt;=0))</formula>
    </cfRule>
  </conditionalFormatting>
  <conditionalFormatting sqref="AA19">
    <cfRule type="expression" dxfId="0" priority="4260">
      <formula>AND(Z19=FALSE,AA19&gt;0)</formula>
    </cfRule>
  </conditionalFormatting>
  <conditionalFormatting sqref="BV19:HY19">
    <cfRule type="containsErrors" dxfId="0" priority="4259">
      <formula>ISERROR(BV19)</formula>
    </cfRule>
  </conditionalFormatting>
  <conditionalFormatting sqref="Z19">
    <cfRule type="expression" dxfId="0" priority="4257">
      <formula>NOT(ISLOGICAL($Z$2))</formula>
    </cfRule>
  </conditionalFormatting>
  <conditionalFormatting sqref="AB19">
    <cfRule type="expression" dxfId="0" priority="4256">
      <formula>NOT(ISLOGICAL($AB$2))</formula>
    </cfRule>
  </conditionalFormatting>
  <conditionalFormatting sqref="AC19">
    <cfRule type="expression" dxfId="0" priority="4255">
      <formula>NOT(ISLOGICAL($AC$2))</formula>
    </cfRule>
  </conditionalFormatting>
  <conditionalFormatting sqref="B19:BU19">
    <cfRule type="containsErrors" dxfId="0" priority="4254">
      <formula>ISERROR(B19)</formula>
    </cfRule>
  </conditionalFormatting>
  <conditionalFormatting sqref="I19">
    <cfRule type="expression" dxfId="0" priority="4253">
      <formula>NOT(ISNUMBER($I$2))</formula>
    </cfRule>
  </conditionalFormatting>
  <conditionalFormatting sqref="D19">
    <cfRule type="expression" dxfId="0" priority="4252">
      <formula>ISBLANK($D$2)</formula>
    </cfRule>
  </conditionalFormatting>
  <conditionalFormatting sqref="DW19">
    <cfRule type="expression" dxfId="2" priority="4264">
      <formula>AND(BO19&gt;=1,DW19&lt;&gt;0, GetEquPower(C19,BI19, CA19, FN19)=0)</formula>
    </cfRule>
    <cfRule type="expression" dxfId="1" priority="4265">
      <formula>AND(BO19&gt;=1,DW19&lt;&gt;GetEquPower(C19,BI19, CA19, FN19))</formula>
    </cfRule>
  </conditionalFormatting>
  <conditionalFormatting sqref="DX19">
    <cfRule type="expression" dxfId="2" priority="4266">
      <formula>AND(BO19&gt;=2,DX19&lt;&gt;0, GetEquPower(C19,BI19, CB19, FN19)=0)</formula>
    </cfRule>
    <cfRule type="expression" dxfId="1" priority="4267">
      <formula>AND(BO19&gt;=2,DX19&lt;&gt;GetEquPower(C19,BI19, CB19, FN19))</formula>
    </cfRule>
  </conditionalFormatting>
  <conditionalFormatting sqref="DY19">
    <cfRule type="expression" dxfId="2" priority="4268">
      <formula>AND(BO19&gt;=3,DY19&lt;&gt;0, GetEquPower(C19,BI19, CC19, FN19)=0)</formula>
    </cfRule>
    <cfRule type="expression" dxfId="1" priority="4269">
      <formula>AND(BO19&gt;=3,DY19&lt;&gt;GetEquPower(C19,BI19, CC19, FN19))</formula>
    </cfRule>
  </conditionalFormatting>
  <conditionalFormatting sqref="ED19">
    <cfRule type="expression" dxfId="2" priority="4270">
      <formula>AND(BP19&gt;=1,ED19&lt;&gt;0, GetEquPower(C19,BJ19, CG19, FO19)=0)</formula>
    </cfRule>
    <cfRule type="expression" dxfId="1" priority="4271">
      <formula>AND(BP19&gt;=1,ED19&lt;&gt;GetEquPower(C19,BJ19, CG19, FO19))</formula>
    </cfRule>
  </conditionalFormatting>
  <conditionalFormatting sqref="EE19">
    <cfRule type="expression" dxfId="2" priority="4272">
      <formula>AND(BP19&gt;=2,EE19&lt;&gt;0, GetEquPower(C19,BJ19, CH19, FO19)=0)</formula>
    </cfRule>
    <cfRule type="expression" dxfId="1" priority="4273">
      <formula>AND(BP19&gt;=2,EE19&lt;&gt;GetEquPower(C19,BJ19, CH19, FO19))</formula>
    </cfRule>
  </conditionalFormatting>
  <conditionalFormatting sqref="EF19">
    <cfRule type="expression" dxfId="2" priority="4274">
      <formula>AND(BP19&gt;=3,EF19&lt;&gt;0, GetEquPower(C19,BJ19, CI19, FO19)=0)</formula>
    </cfRule>
    <cfRule type="expression" dxfId="1" priority="4275">
      <formula>AND(BP19&gt;=3,EF19&lt;&gt;GetEquPower(C19,BJ19, CI19, FO19))</formula>
    </cfRule>
  </conditionalFormatting>
  <conditionalFormatting sqref="EK19">
    <cfRule type="expression" dxfId="2" priority="4276">
      <formula>AND(BQ19&gt;=1,EK19&lt;&gt;0, GetEquPower(C19,BK19, CM19, FP19)=0)</formula>
    </cfRule>
    <cfRule type="expression" dxfId="1" priority="4277">
      <formula>AND(BQ19&gt;=1,EK19&lt;&gt;GetEquPower(C19,BK19, CM19, FP19))</formula>
    </cfRule>
  </conditionalFormatting>
  <conditionalFormatting sqref="EL19">
    <cfRule type="expression" dxfId="2" priority="4278">
      <formula>AND(BQ19&gt;=2,EL19&lt;&gt;0, GetEquPower(C19,BK19, CN19, FP19)=0)</formula>
    </cfRule>
    <cfRule type="expression" dxfId="1" priority="4279">
      <formula xml:space="preserve"> AND(BQ19&gt;=2,EL19&lt;&gt;GetEquPower(C19,BK19, CN19, FP19))</formula>
    </cfRule>
  </conditionalFormatting>
  <conditionalFormatting sqref="EM19">
    <cfRule type="expression" dxfId="2" priority="4280">
      <formula>AND(BQ19&gt;=3,EM19&lt;&gt;0, GetEquPower(C19,BK19, CO19, FP19)=0)</formula>
    </cfRule>
    <cfRule type="expression" dxfId="1" priority="4281">
      <formula xml:space="preserve"> AND(BQ19&gt;=3,EM19&lt;&gt;GetEquPower(C19,BK19, CO19, FP19))</formula>
    </cfRule>
  </conditionalFormatting>
  <conditionalFormatting sqref="ER19">
    <cfRule type="expression" dxfId="2" priority="4282">
      <formula>AND(BR19&gt;=1,ER19&lt;&gt;0, GetEquPower(C19,BL19, CS19, FQ19)=0)</formula>
    </cfRule>
    <cfRule type="expression" dxfId="1" priority="4283">
      <formula>AND(BR19&gt;=1,ER19&lt;&gt;GetEquPower(C19,BL19, CS19, FQ19))</formula>
    </cfRule>
  </conditionalFormatting>
  <conditionalFormatting sqref="ES19">
    <cfRule type="expression" dxfId="2" priority="4284">
      <formula>AND(BR19&gt;=2,ES19&lt;&gt;0, GetEquPower(C19,BL19, CT19, FQ19)=0)</formula>
    </cfRule>
    <cfRule type="expression" dxfId="1" priority="4285">
      <formula>AND(BR19&gt;=2,ES19&lt;&gt;GetEquPower(C19,BL19, CT19, FQ19))</formula>
    </cfRule>
  </conditionalFormatting>
  <conditionalFormatting sqref="ET19">
    <cfRule type="expression" dxfId="2" priority="4286">
      <formula>AND(BR19&gt;=3,ET19&lt;&gt;0, GetEquPower(C19,BL19, CU19, FQ19)=0)</formula>
    </cfRule>
    <cfRule type="expression" dxfId="1" priority="4287">
      <formula>AND(BR19&gt;=3,ET19&lt;&gt;GetEquPower(C19,BL19, CU19, FQ19))</formula>
    </cfRule>
  </conditionalFormatting>
  <conditionalFormatting sqref="EY19">
    <cfRule type="expression" dxfId="2" priority="4288">
      <formula>AND(BS19&gt;=1,EY19&lt;&gt;0, GetEquPower(C19,BM19, CY19, FR19)=0)</formula>
    </cfRule>
    <cfRule type="expression" dxfId="1" priority="4289">
      <formula>AND(BS19&gt;=1,EY19&lt;&gt;GetEquPower(C19,BM19, CY19, FR19))</formula>
    </cfRule>
  </conditionalFormatting>
  <conditionalFormatting sqref="EZ19">
    <cfRule type="expression" dxfId="2" priority="4290">
      <formula>AND(BS19&gt;=2,EZ19&lt;&gt;0, GetEquPower(C19,BM19, CZ19, FR19)=0)</formula>
    </cfRule>
    <cfRule type="expression" dxfId="1" priority="4291">
      <formula>AND(BS19&gt;=2,EZ19&lt;&gt;GetEquPower(C19,BM19, CZ19, FR19))</formula>
    </cfRule>
  </conditionalFormatting>
  <conditionalFormatting sqref="FA19">
    <cfRule type="expression" dxfId="2" priority="4292">
      <formula>AND(BS19&gt;=3,FA19&lt;&gt;0, GetEquPower(C19,BM19, DA19, FR19)=0)</formula>
    </cfRule>
    <cfRule type="expression" dxfId="1" priority="4293">
      <formula>AND(BS19&gt;=3,FA19&lt;&gt;GetEquPower(C19,BM19, DA19, FR19))</formula>
    </cfRule>
  </conditionalFormatting>
  <conditionalFormatting sqref="FF19">
    <cfRule type="expression" dxfId="2" priority="4294">
      <formula>AND(BT19&gt;=1,FF19&lt;&gt;0, GetEquPower(C19,BN19, DE19, FS19)=0)</formula>
    </cfRule>
    <cfRule type="expression" dxfId="1" priority="4295">
      <formula>AND(BT19&gt;=1,FF19&lt;&gt;GetEquPower(C19,BN19, DE19, FS19))</formula>
    </cfRule>
  </conditionalFormatting>
  <conditionalFormatting sqref="FG19">
    <cfRule type="expression" dxfId="2" priority="4296">
      <formula>AND(BT19&gt;=2,FG19&lt;&gt;0, GetEquPower(C19,BN19, DF19, FS19)=0)</formula>
    </cfRule>
    <cfRule type="expression" dxfId="1" priority="4297">
      <formula>AND(BT19&gt;=2,FG19&lt;&gt;GetEquPower(C19,BN19, DF19, FS19))</formula>
    </cfRule>
  </conditionalFormatting>
  <conditionalFormatting sqref="FH19">
    <cfRule type="expression" dxfId="2" priority="4298">
      <formula>AND(BT19&gt;=3,FH19&lt;&gt;0, GetEquPower(C19,BN19, DG19, FS19)=0)</formula>
    </cfRule>
    <cfRule type="expression" dxfId="1" priority="4299">
      <formula>AND(BT19&gt;=3,FH19&lt;&gt;GetEquPower(C19,BN19, DG19, FS19))</formula>
    </cfRule>
  </conditionalFormatting>
  <conditionalFormatting sqref="DZ19">
    <cfRule type="expression" dxfId="2" priority="4300">
      <formula>AND(BO19&gt;=4,DZ19&lt;&gt;0, GetEquPower(C19,BI19, CD19, FN19)=0)</formula>
    </cfRule>
    <cfRule type="expression" dxfId="1" priority="4301">
      <formula>AND(BO19&gt;=4, DZ19&lt;&gt;GetEquPower(C19,BI19, CD19, FN19))</formula>
    </cfRule>
  </conditionalFormatting>
  <conditionalFormatting sqref="EG19">
    <cfRule type="expression" dxfId="2" priority="4302">
      <formula>AND(BP19&gt;=4,EG19&lt;&gt;0, GetEquPower(C19,BJ19, CJ19, FO19)=0)</formula>
    </cfRule>
    <cfRule type="expression" dxfId="1" priority="4303">
      <formula>AND(BP19&gt;=4,EG19&lt;&gt;GetEquPower(C19,BJ19, CJ19, FO19))</formula>
    </cfRule>
  </conditionalFormatting>
  <conditionalFormatting sqref="EN19">
    <cfRule type="expression" dxfId="2" priority="4304">
      <formula>AND(BQ19&gt;=4,EN19&lt;&gt;0, GetEquPower(C19,BK19, CP19, FP19)=0)</formula>
    </cfRule>
    <cfRule type="expression" dxfId="1" priority="4305">
      <formula xml:space="preserve"> AND(BQ19&gt;=4,EN19&lt;&gt;GetEquPower(C19,BK19, CP19, FP19))</formula>
    </cfRule>
  </conditionalFormatting>
  <conditionalFormatting sqref="EU19">
    <cfRule type="expression" dxfId="2" priority="4306">
      <formula>AND(BR19&gt;=4,EU19&lt;&gt;0, GetEquPower(C19,BL19, CV19, FQ19)=0)</formula>
    </cfRule>
    <cfRule type="expression" dxfId="1" priority="4307">
      <formula>AND(BR19&gt;=4,EU19&lt;&gt;GetEquPower(C19,BL19, CV19, FQ19))</formula>
    </cfRule>
  </conditionalFormatting>
  <conditionalFormatting sqref="FB19">
    <cfRule type="expression" dxfId="2" priority="4308">
      <formula>AND(BS19&gt;=4,FB19&lt;&gt;0, GetEquPower(C19,BM19, DB19, FR19)=0)</formula>
    </cfRule>
    <cfRule type="expression" dxfId="1" priority="4309">
      <formula>AND(BS19&gt;=4,FB19&lt;&gt;GetEquPower(C19,BM19, DB19, FR19))</formula>
    </cfRule>
  </conditionalFormatting>
  <conditionalFormatting sqref="FI19">
    <cfRule type="expression" dxfId="2" priority="4310">
      <formula>AND(BT19&gt;=4,FI19&lt;&gt;0, GetEquPower(C19,BN19, DH19, FS19)=0)</formula>
    </cfRule>
    <cfRule type="expression" dxfId="1" priority="4311">
      <formula>AND(BT19&gt;=4,FI19&lt;&gt;GetEquPower(C19,BN19, DH19, FS19))</formula>
    </cfRule>
  </conditionalFormatting>
  <conditionalFormatting sqref="EA19">
    <cfRule type="expression" dxfId="2" priority="4312">
      <formula>AND(BO19&gt;=5,EA19&lt;&gt;0, GetEquPower(C19,BI19, CE19, FN19)=0)</formula>
    </cfRule>
    <cfRule type="expression" dxfId="1" priority="4313">
      <formula>AND(BO19&gt;=5, EA19&lt;&gt;GetEquPower(C19,BI19, CE19, FN19))</formula>
    </cfRule>
  </conditionalFormatting>
  <conditionalFormatting sqref="EB19">
    <cfRule type="expression" dxfId="2" priority="4314">
      <formula>AND(BO19&gt;=6,EB19&lt;&gt;0, GetEquPower(C19,BI19, CF19, FN19)=0)</formula>
    </cfRule>
    <cfRule type="expression" dxfId="1" priority="4315">
      <formula>AND(BO19&gt;=6, EB19&lt;&gt;GetEquPower(C19,BI19, CF19, FN19))</formula>
    </cfRule>
  </conditionalFormatting>
  <conditionalFormatting sqref="EH19">
    <cfRule type="expression" dxfId="2" priority="4316">
      <formula>AND(BP19&gt;=5,EH19&lt;&gt;0, GetEquPower(C19,BJ19, CK19, FO19)=0)</formula>
    </cfRule>
    <cfRule type="expression" dxfId="1" priority="4317">
      <formula>AND(BP19&gt;=5,EH19&lt;&gt;GetEquPower(C19,BJ19, CK19, FO19))</formula>
    </cfRule>
  </conditionalFormatting>
  <conditionalFormatting sqref="EI19">
    <cfRule type="expression" dxfId="2" priority="4318">
      <formula>AND(BP19&gt;=6,EI19&lt;&gt;0, GetEquPower(C19,BJ19, CL19, FO19)=0)</formula>
    </cfRule>
    <cfRule type="expression" dxfId="1" priority="4319">
      <formula>AND(BP19&gt;=6,EI19&lt;&gt;GetEquPower(C19,BJ19, CL19, FO19))</formula>
    </cfRule>
  </conditionalFormatting>
  <conditionalFormatting sqref="EO19">
    <cfRule type="expression" dxfId="2" priority="4320">
      <formula>AND(BQ19&gt;=5,EO19&lt;&gt;0, GetEquPower(C19,BK19, CQ19, FP19)=0)</formula>
    </cfRule>
    <cfRule type="expression" dxfId="1" priority="4321">
      <formula xml:space="preserve"> AND(BQ19&gt;=5,EO19&lt;&gt;GetEquPower(C19,BK19, CQ19, FP19))</formula>
    </cfRule>
  </conditionalFormatting>
  <conditionalFormatting sqref="EP19">
    <cfRule type="expression" dxfId="2" priority="4322">
      <formula>AND(BQ19&gt;=6,EP19&lt;&gt;0, GetEquPower(C19,BK19, CR19, FP19)=0)</formula>
    </cfRule>
    <cfRule type="expression" dxfId="1" priority="4323">
      <formula xml:space="preserve"> AND(BQ19&gt;=6,EP19&lt;&gt;GetEquPower(C19,BK19, CR19, FP19))</formula>
    </cfRule>
  </conditionalFormatting>
  <conditionalFormatting sqref="EV19">
    <cfRule type="expression" dxfId="2" priority="4324">
      <formula>AND(BR19&gt;=5,EV19&lt;&gt;0, GetEquPower(C19,BL19, CW19, FQ19)=0)</formula>
    </cfRule>
    <cfRule type="expression" dxfId="1" priority="4325">
      <formula>AND(BR19&gt;=5,EV19&lt;&gt;GetEquPower(C19,BL19, CW19, FQ19))</formula>
    </cfRule>
  </conditionalFormatting>
  <conditionalFormatting sqref="EW19">
    <cfRule type="expression" dxfId="2" priority="4326">
      <formula>AND(BR19&gt;=6,EW19&lt;&gt;0, GetEquPower(C19,BL19, CX19, FQ19)=0)</formula>
    </cfRule>
    <cfRule type="expression" dxfId="1" priority="4327">
      <formula>AND(BR19&gt;=6,EW19&lt;&gt;GetEquPower(C19,BL19, CX19, FQ19))</formula>
    </cfRule>
  </conditionalFormatting>
  <conditionalFormatting sqref="FC19">
    <cfRule type="expression" dxfId="2" priority="4328">
      <formula>AND(BS19&gt;=5,FC19&lt;&gt;0, GetEquPower(C19,BM19, DC19, FR19)=0)</formula>
    </cfRule>
    <cfRule type="expression" dxfId="1" priority="4329">
      <formula>AND(BS19&gt;=5,FC19&lt;&gt;GetEquPower(C19,BM19, DC19, FR19))</formula>
    </cfRule>
  </conditionalFormatting>
  <conditionalFormatting sqref="FD19">
    <cfRule type="expression" dxfId="2" priority="4330">
      <formula>AND(BS19&gt;=6,FD19&lt;&gt;0, GetEquPower(C19,BM19, DD19, FR19)=0)</formula>
    </cfRule>
    <cfRule type="expression" dxfId="1" priority="4331">
      <formula>AND(BS19&gt;=6,FD19&lt;&gt;GetEquPower(C19,BM19, DD19, FR19))</formula>
    </cfRule>
  </conditionalFormatting>
  <conditionalFormatting sqref="FJ19">
    <cfRule type="expression" dxfId="2" priority="4332">
      <formula>AND(BT19&gt;=5,FJ19&lt;&gt;0, GetEquPower(C19,BN19, DI19, FS19)=0)</formula>
    </cfRule>
    <cfRule type="expression" dxfId="1" priority="4333">
      <formula>AND(BT19&gt;=5,FJ19&lt;&gt;GetEquPower(C19,BN19, DI19, FS19))</formula>
    </cfRule>
  </conditionalFormatting>
  <conditionalFormatting sqref="FK19">
    <cfRule type="expression" dxfId="2" priority="4334">
      <formula>AND(BT19&gt;=6,FK19&lt;&gt;0, GetEquPower(C19,BN19, DJ19, FS19)=0)</formula>
    </cfRule>
    <cfRule type="expression" dxfId="1" priority="4335">
      <formula>AND(BT19&gt;=6,FK19&lt;&gt;GetEquPower(C19,BN19, DJ19, FS19))</formula>
    </cfRule>
  </conditionalFormatting>
  <conditionalFormatting sqref="W19">
    <cfRule type="expression" dxfId="0" priority="4251">
      <formula xml:space="preserve"> NOT(ISLOGICAL($W$2))</formula>
    </cfRule>
  </conditionalFormatting>
  <conditionalFormatting sqref="F20">
    <cfRule type="expression" dxfId="0" priority="4178">
      <formula>F20&lt;&gt;RIGHT(SUBSTITUTE(E20,".",""),LEN(F20))</formula>
    </cfRule>
  </conditionalFormatting>
  <conditionalFormatting sqref="X20">
    <cfRule type="expression" dxfId="0" priority="4173">
      <formula xml:space="preserve"> NOT(ISLOGICAL($X$2))</formula>
    </cfRule>
    <cfRule type="expression" dxfId="0" priority="4177">
      <formula>AND(X20=TRUE,W20=FALSE)</formula>
    </cfRule>
  </conditionalFormatting>
  <conditionalFormatting sqref="Y20">
    <cfRule type="expression" dxfId="0" priority="4176">
      <formula>OR(AND(X20=FALSE,INT(Y20)&gt;0),AND(X20=TRUE,INT(Y20)&lt;=0))</formula>
    </cfRule>
  </conditionalFormatting>
  <conditionalFormatting sqref="AA20">
    <cfRule type="expression" dxfId="0" priority="4175">
      <formula>AND(Z20=FALSE,AA20&gt;0)</formula>
    </cfRule>
  </conditionalFormatting>
  <conditionalFormatting sqref="BV20:HY20">
    <cfRule type="containsErrors" dxfId="0" priority="4174">
      <formula>ISERROR(BV20)</formula>
    </cfRule>
  </conditionalFormatting>
  <conditionalFormatting sqref="Z20">
    <cfRule type="expression" dxfId="0" priority="4172">
      <formula>NOT(ISLOGICAL($Z$2))</formula>
    </cfRule>
  </conditionalFormatting>
  <conditionalFormatting sqref="AB20">
    <cfRule type="expression" dxfId="0" priority="4171">
      <formula>NOT(ISLOGICAL($AB$2))</formula>
    </cfRule>
  </conditionalFormatting>
  <conditionalFormatting sqref="AC20">
    <cfRule type="expression" dxfId="0" priority="4170">
      <formula>NOT(ISLOGICAL($AC$2))</formula>
    </cfRule>
  </conditionalFormatting>
  <conditionalFormatting sqref="B20:BU20">
    <cfRule type="containsErrors" dxfId="0" priority="4169">
      <formula>ISERROR(B20)</formula>
    </cfRule>
  </conditionalFormatting>
  <conditionalFormatting sqref="I20">
    <cfRule type="expression" dxfId="0" priority="4168">
      <formula>NOT(ISNUMBER($I$2))</formula>
    </cfRule>
  </conditionalFormatting>
  <conditionalFormatting sqref="D20">
    <cfRule type="expression" dxfId="0" priority="4167">
      <formula>ISBLANK($D$2)</formula>
    </cfRule>
  </conditionalFormatting>
  <conditionalFormatting sqref="DW20">
    <cfRule type="expression" dxfId="2" priority="4179">
      <formula>AND(BO20&gt;=1,DW20&lt;&gt;0, GetEquPower(C20,BI20, CA20, FN20)=0)</formula>
    </cfRule>
    <cfRule type="expression" dxfId="1" priority="4180">
      <formula>AND(BO20&gt;=1,DW20&lt;&gt;GetEquPower(C20,BI20, CA20, FN20))</formula>
    </cfRule>
  </conditionalFormatting>
  <conditionalFormatting sqref="DX20">
    <cfRule type="expression" dxfId="2" priority="4181">
      <formula>AND(BO20&gt;=2,DX20&lt;&gt;0, GetEquPower(C20,BI20, CB20, FN20)=0)</formula>
    </cfRule>
    <cfRule type="expression" dxfId="1" priority="4182">
      <formula>AND(BO20&gt;=2,DX20&lt;&gt;GetEquPower(C20,BI20, CB20, FN20))</formula>
    </cfRule>
  </conditionalFormatting>
  <conditionalFormatting sqref="DY20">
    <cfRule type="expression" dxfId="2" priority="4183">
      <formula>AND(BO20&gt;=3,DY20&lt;&gt;0, GetEquPower(C20,BI20, CC20, FN20)=0)</formula>
    </cfRule>
    <cfRule type="expression" dxfId="1" priority="4184">
      <formula>AND(BO20&gt;=3,DY20&lt;&gt;GetEquPower(C20,BI20, CC20, FN20))</formula>
    </cfRule>
  </conditionalFormatting>
  <conditionalFormatting sqref="ED20">
    <cfRule type="expression" dxfId="2" priority="4185">
      <formula>AND(BP20&gt;=1,ED20&lt;&gt;0, GetEquPower(C20,BJ20, CG20, FO20)=0)</formula>
    </cfRule>
    <cfRule type="expression" dxfId="1" priority="4186">
      <formula>AND(BP20&gt;=1,ED20&lt;&gt;GetEquPower(C20,BJ20, CG20, FO20))</formula>
    </cfRule>
  </conditionalFormatting>
  <conditionalFormatting sqref="EE20">
    <cfRule type="expression" dxfId="2" priority="4187">
      <formula>AND(BP20&gt;=2,EE20&lt;&gt;0, GetEquPower(C20,BJ20, CH20, FO20)=0)</formula>
    </cfRule>
    <cfRule type="expression" dxfId="1" priority="4188">
      <formula>AND(BP20&gt;=2,EE20&lt;&gt;GetEquPower(C20,BJ20, CH20, FO20))</formula>
    </cfRule>
  </conditionalFormatting>
  <conditionalFormatting sqref="EF20">
    <cfRule type="expression" dxfId="2" priority="4189">
      <formula>AND(BP20&gt;=3,EF20&lt;&gt;0, GetEquPower(C20,BJ20, CI20, FO20)=0)</formula>
    </cfRule>
    <cfRule type="expression" dxfId="1" priority="4190">
      <formula>AND(BP20&gt;=3,EF20&lt;&gt;GetEquPower(C20,BJ20, CI20, FO20))</formula>
    </cfRule>
  </conditionalFormatting>
  <conditionalFormatting sqref="EK20">
    <cfRule type="expression" dxfId="2" priority="4191">
      <formula>AND(BQ20&gt;=1,EK20&lt;&gt;0, GetEquPower(C20,BK20, CM20, FP20)=0)</formula>
    </cfRule>
    <cfRule type="expression" dxfId="1" priority="4192">
      <formula>AND(BQ20&gt;=1,EK20&lt;&gt;GetEquPower(C20,BK20, CM20, FP20))</formula>
    </cfRule>
  </conditionalFormatting>
  <conditionalFormatting sqref="EL20">
    <cfRule type="expression" dxfId="2" priority="4193">
      <formula>AND(BQ20&gt;=2,EL20&lt;&gt;0, GetEquPower(C20,BK20, CN20, FP20)=0)</formula>
    </cfRule>
    <cfRule type="expression" dxfId="1" priority="4194">
      <formula xml:space="preserve"> AND(BQ20&gt;=2,EL20&lt;&gt;GetEquPower(C20,BK20, CN20, FP20))</formula>
    </cfRule>
  </conditionalFormatting>
  <conditionalFormatting sqref="EM20">
    <cfRule type="expression" dxfId="2" priority="4195">
      <formula>AND(BQ20&gt;=3,EM20&lt;&gt;0, GetEquPower(C20,BK20, CO20, FP20)=0)</formula>
    </cfRule>
    <cfRule type="expression" dxfId="1" priority="4196">
      <formula xml:space="preserve"> AND(BQ20&gt;=3,EM20&lt;&gt;GetEquPower(C20,BK20, CO20, FP20))</formula>
    </cfRule>
  </conditionalFormatting>
  <conditionalFormatting sqref="ER20">
    <cfRule type="expression" dxfId="2" priority="4197">
      <formula>AND(BR20&gt;=1,ER20&lt;&gt;0, GetEquPower(C20,BL20, CS20, FQ20)=0)</formula>
    </cfRule>
    <cfRule type="expression" dxfId="1" priority="4198">
      <formula>AND(BR20&gt;=1,ER20&lt;&gt;GetEquPower(C20,BL20, CS20, FQ20))</formula>
    </cfRule>
  </conditionalFormatting>
  <conditionalFormatting sqref="ES20">
    <cfRule type="expression" dxfId="2" priority="4199">
      <formula>AND(BR20&gt;=2,ES20&lt;&gt;0, GetEquPower(C20,BL20, CT20, FQ20)=0)</formula>
    </cfRule>
    <cfRule type="expression" dxfId="1" priority="4200">
      <formula>AND(BR20&gt;=2,ES20&lt;&gt;GetEquPower(C20,BL20, CT20, FQ20))</formula>
    </cfRule>
  </conditionalFormatting>
  <conditionalFormatting sqref="ET20">
    <cfRule type="expression" dxfId="2" priority="4201">
      <formula>AND(BR20&gt;=3,ET20&lt;&gt;0, GetEquPower(C20,BL20, CU20, FQ20)=0)</formula>
    </cfRule>
    <cfRule type="expression" dxfId="1" priority="4202">
      <formula>AND(BR20&gt;=3,ET20&lt;&gt;GetEquPower(C20,BL20, CU20, FQ20))</formula>
    </cfRule>
  </conditionalFormatting>
  <conditionalFormatting sqref="EY20">
    <cfRule type="expression" dxfId="2" priority="4203">
      <formula>AND(BS20&gt;=1,EY20&lt;&gt;0, GetEquPower(C20,BM20, CY20, FR20)=0)</formula>
    </cfRule>
    <cfRule type="expression" dxfId="1" priority="4204">
      <formula>AND(BS20&gt;=1,EY20&lt;&gt;GetEquPower(C20,BM20, CY20, FR20))</formula>
    </cfRule>
  </conditionalFormatting>
  <conditionalFormatting sqref="EZ20">
    <cfRule type="expression" dxfId="2" priority="4205">
      <formula>AND(BS20&gt;=2,EZ20&lt;&gt;0, GetEquPower(C20,BM20, CZ20, FR20)=0)</formula>
    </cfRule>
    <cfRule type="expression" dxfId="1" priority="4206">
      <formula>AND(BS20&gt;=2,EZ20&lt;&gt;GetEquPower(C20,BM20, CZ20, FR20))</formula>
    </cfRule>
  </conditionalFormatting>
  <conditionalFormatting sqref="FA20">
    <cfRule type="expression" dxfId="2" priority="4207">
      <formula>AND(BS20&gt;=3,FA20&lt;&gt;0, GetEquPower(C20,BM20, DA20, FR20)=0)</formula>
    </cfRule>
    <cfRule type="expression" dxfId="1" priority="4208">
      <formula>AND(BS20&gt;=3,FA20&lt;&gt;GetEquPower(C20,BM20, DA20, FR20))</formula>
    </cfRule>
  </conditionalFormatting>
  <conditionalFormatting sqref="FF20">
    <cfRule type="expression" dxfId="2" priority="4209">
      <formula>AND(BT20&gt;=1,FF20&lt;&gt;0, GetEquPower(C20,BN20, DE20, FS20)=0)</formula>
    </cfRule>
    <cfRule type="expression" dxfId="1" priority="4210">
      <formula>AND(BT20&gt;=1,FF20&lt;&gt;GetEquPower(C20,BN20, DE20, FS20))</formula>
    </cfRule>
  </conditionalFormatting>
  <conditionalFormatting sqref="FG20">
    <cfRule type="expression" dxfId="2" priority="4211">
      <formula>AND(BT20&gt;=2,FG20&lt;&gt;0, GetEquPower(C20,BN20, DF20, FS20)=0)</formula>
    </cfRule>
    <cfRule type="expression" dxfId="1" priority="4212">
      <formula>AND(BT20&gt;=2,FG20&lt;&gt;GetEquPower(C20,BN20, DF20, FS20))</formula>
    </cfRule>
  </conditionalFormatting>
  <conditionalFormatting sqref="FH20">
    <cfRule type="expression" dxfId="2" priority="4213">
      <formula>AND(BT20&gt;=3,FH20&lt;&gt;0, GetEquPower(C20,BN20, DG20, FS20)=0)</formula>
    </cfRule>
    <cfRule type="expression" dxfId="1" priority="4214">
      <formula>AND(BT20&gt;=3,FH20&lt;&gt;GetEquPower(C20,BN20, DG20, FS20))</formula>
    </cfRule>
  </conditionalFormatting>
  <conditionalFormatting sqref="DZ20">
    <cfRule type="expression" dxfId="2" priority="4215">
      <formula>AND(BO20&gt;=4,DZ20&lt;&gt;0, GetEquPower(C20,BI20, CD20, FN20)=0)</formula>
    </cfRule>
    <cfRule type="expression" dxfId="1" priority="4216">
      <formula>AND(BO20&gt;=4, DZ20&lt;&gt;GetEquPower(C20,BI20, CD20, FN20))</formula>
    </cfRule>
  </conditionalFormatting>
  <conditionalFormatting sqref="EG20">
    <cfRule type="expression" dxfId="2" priority="4217">
      <formula>AND(BP20&gt;=4,EG20&lt;&gt;0, GetEquPower(C20,BJ20, CJ20, FO20)=0)</formula>
    </cfRule>
    <cfRule type="expression" dxfId="1" priority="4218">
      <formula>AND(BP20&gt;=4,EG20&lt;&gt;GetEquPower(C20,BJ20, CJ20, FO20))</formula>
    </cfRule>
  </conditionalFormatting>
  <conditionalFormatting sqref="EN20">
    <cfRule type="expression" dxfId="2" priority="4219">
      <formula>AND(BQ20&gt;=4,EN20&lt;&gt;0, GetEquPower(C20,BK20, CP20, FP20)=0)</formula>
    </cfRule>
    <cfRule type="expression" dxfId="1" priority="4220">
      <formula xml:space="preserve"> AND(BQ20&gt;=4,EN20&lt;&gt;GetEquPower(C20,BK20, CP20, FP20))</formula>
    </cfRule>
  </conditionalFormatting>
  <conditionalFormatting sqref="EU20">
    <cfRule type="expression" dxfId="2" priority="4221">
      <formula>AND(BR20&gt;=4,EU20&lt;&gt;0, GetEquPower(C20,BL20, CV20, FQ20)=0)</formula>
    </cfRule>
    <cfRule type="expression" dxfId="1" priority="4222">
      <formula>AND(BR20&gt;=4,EU20&lt;&gt;GetEquPower(C20,BL20, CV20, FQ20))</formula>
    </cfRule>
  </conditionalFormatting>
  <conditionalFormatting sqref="FB20">
    <cfRule type="expression" dxfId="2" priority="4223">
      <formula>AND(BS20&gt;=4,FB20&lt;&gt;0, GetEquPower(C20,BM20, DB20, FR20)=0)</formula>
    </cfRule>
    <cfRule type="expression" dxfId="1" priority="4224">
      <formula>AND(BS20&gt;=4,FB20&lt;&gt;GetEquPower(C20,BM20, DB20, FR20))</formula>
    </cfRule>
  </conditionalFormatting>
  <conditionalFormatting sqref="FI20">
    <cfRule type="expression" dxfId="2" priority="4225">
      <formula>AND(BT20&gt;=4,FI20&lt;&gt;0, GetEquPower(C20,BN20, DH20, FS20)=0)</formula>
    </cfRule>
    <cfRule type="expression" dxfId="1" priority="4226">
      <formula>AND(BT20&gt;=4,FI20&lt;&gt;GetEquPower(C20,BN20, DH20, FS20))</formula>
    </cfRule>
  </conditionalFormatting>
  <conditionalFormatting sqref="EA20">
    <cfRule type="expression" dxfId="2" priority="4227">
      <formula>AND(BO20&gt;=5,EA20&lt;&gt;0, GetEquPower(C20,BI20, CE20, FN20)=0)</formula>
    </cfRule>
    <cfRule type="expression" dxfId="1" priority="4228">
      <formula>AND(BO20&gt;=5, EA20&lt;&gt;GetEquPower(C20,BI20, CE20, FN20))</formula>
    </cfRule>
  </conditionalFormatting>
  <conditionalFormatting sqref="EB20">
    <cfRule type="expression" dxfId="2" priority="4229">
      <formula>AND(BO20&gt;=6,EB20&lt;&gt;0, GetEquPower(C20,BI20, CF20, FN20)=0)</formula>
    </cfRule>
    <cfRule type="expression" dxfId="1" priority="4230">
      <formula>AND(BO20&gt;=6, EB20&lt;&gt;GetEquPower(C20,BI20, CF20, FN20))</formula>
    </cfRule>
  </conditionalFormatting>
  <conditionalFormatting sqref="EH20">
    <cfRule type="expression" dxfId="2" priority="4231">
      <formula>AND(BP20&gt;=5,EH20&lt;&gt;0, GetEquPower(C20,BJ20, CK20, FO20)=0)</formula>
    </cfRule>
    <cfRule type="expression" dxfId="1" priority="4232">
      <formula>AND(BP20&gt;=5,EH20&lt;&gt;GetEquPower(C20,BJ20, CK20, FO20))</formula>
    </cfRule>
  </conditionalFormatting>
  <conditionalFormatting sqref="EI20">
    <cfRule type="expression" dxfId="2" priority="4233">
      <formula>AND(BP20&gt;=6,EI20&lt;&gt;0, GetEquPower(C20,BJ20, CL20, FO20)=0)</formula>
    </cfRule>
    <cfRule type="expression" dxfId="1" priority="4234">
      <formula>AND(BP20&gt;=6,EI20&lt;&gt;GetEquPower(C20,BJ20, CL20, FO20))</formula>
    </cfRule>
  </conditionalFormatting>
  <conditionalFormatting sqref="EO20">
    <cfRule type="expression" dxfId="2" priority="4235">
      <formula>AND(BQ20&gt;=5,EO20&lt;&gt;0, GetEquPower(C20,BK20, CQ20, FP20)=0)</formula>
    </cfRule>
    <cfRule type="expression" dxfId="1" priority="4236">
      <formula xml:space="preserve"> AND(BQ20&gt;=5,EO20&lt;&gt;GetEquPower(C20,BK20, CQ20, FP20))</formula>
    </cfRule>
  </conditionalFormatting>
  <conditionalFormatting sqref="EP20">
    <cfRule type="expression" dxfId="2" priority="4237">
      <formula>AND(BQ20&gt;=6,EP20&lt;&gt;0, GetEquPower(C20,BK20, CR20, FP20)=0)</formula>
    </cfRule>
    <cfRule type="expression" dxfId="1" priority="4238">
      <formula xml:space="preserve"> AND(BQ20&gt;=6,EP20&lt;&gt;GetEquPower(C20,BK20, CR20, FP20))</formula>
    </cfRule>
  </conditionalFormatting>
  <conditionalFormatting sqref="EV20">
    <cfRule type="expression" dxfId="2" priority="4239">
      <formula>AND(BR20&gt;=5,EV20&lt;&gt;0, GetEquPower(C20,BL20, CW20, FQ20)=0)</formula>
    </cfRule>
    <cfRule type="expression" dxfId="1" priority="4240">
      <formula>AND(BR20&gt;=5,EV20&lt;&gt;GetEquPower(C20,BL20, CW20, FQ20))</formula>
    </cfRule>
  </conditionalFormatting>
  <conditionalFormatting sqref="EW20">
    <cfRule type="expression" dxfId="2" priority="4241">
      <formula>AND(BR20&gt;=6,EW20&lt;&gt;0, GetEquPower(C20,BL20, CX20, FQ20)=0)</formula>
    </cfRule>
    <cfRule type="expression" dxfId="1" priority="4242">
      <formula>AND(BR20&gt;=6,EW20&lt;&gt;GetEquPower(C20,BL20, CX20, FQ20))</formula>
    </cfRule>
  </conditionalFormatting>
  <conditionalFormatting sqref="FC20">
    <cfRule type="expression" dxfId="2" priority="4243">
      <formula>AND(BS20&gt;=5,FC20&lt;&gt;0, GetEquPower(C20,BM20, DC20, FR20)=0)</formula>
    </cfRule>
    <cfRule type="expression" dxfId="1" priority="4244">
      <formula>AND(BS20&gt;=5,FC20&lt;&gt;GetEquPower(C20,BM20, DC20, FR20))</formula>
    </cfRule>
  </conditionalFormatting>
  <conditionalFormatting sqref="FD20">
    <cfRule type="expression" dxfId="2" priority="4245">
      <formula>AND(BS20&gt;=6,FD20&lt;&gt;0, GetEquPower(C20,BM20, DD20, FR20)=0)</formula>
    </cfRule>
    <cfRule type="expression" dxfId="1" priority="4246">
      <formula>AND(BS20&gt;=6,FD20&lt;&gt;GetEquPower(C20,BM20, DD20, FR20))</formula>
    </cfRule>
  </conditionalFormatting>
  <conditionalFormatting sqref="FJ20">
    <cfRule type="expression" dxfId="2" priority="4247">
      <formula>AND(BT20&gt;=5,FJ20&lt;&gt;0, GetEquPower(C20,BN20, DI20, FS20)=0)</formula>
    </cfRule>
    <cfRule type="expression" dxfId="1" priority="4248">
      <formula>AND(BT20&gt;=5,FJ20&lt;&gt;GetEquPower(C20,BN20, DI20, FS20))</formula>
    </cfRule>
  </conditionalFormatting>
  <conditionalFormatting sqref="FK20">
    <cfRule type="expression" dxfId="2" priority="4249">
      <formula>AND(BT20&gt;=6,FK20&lt;&gt;0, GetEquPower(C20,BN20, DJ20, FS20)=0)</formula>
    </cfRule>
    <cfRule type="expression" dxfId="1" priority="4250">
      <formula>AND(BT20&gt;=6,FK20&lt;&gt;GetEquPower(C20,BN20, DJ20, FS20))</formula>
    </cfRule>
  </conditionalFormatting>
  <conditionalFormatting sqref="W20">
    <cfRule type="expression" dxfId="0" priority="4166">
      <formula xml:space="preserve"> NOT(ISLOGICAL($W$2))</formula>
    </cfRule>
  </conditionalFormatting>
  <conditionalFormatting sqref="F21">
    <cfRule type="expression" dxfId="0" priority="4093">
      <formula>F21&lt;&gt;RIGHT(SUBSTITUTE(E21,".",""),LEN(F21))</formula>
    </cfRule>
  </conditionalFormatting>
  <conditionalFormatting sqref="X21">
    <cfRule type="expression" dxfId="0" priority="4088">
      <formula xml:space="preserve"> NOT(ISLOGICAL($X$2))</formula>
    </cfRule>
    <cfRule type="expression" dxfId="0" priority="4092">
      <formula>AND(X21=TRUE,W21=FALSE)</formula>
    </cfRule>
  </conditionalFormatting>
  <conditionalFormatting sqref="Y21">
    <cfRule type="expression" dxfId="0" priority="4091">
      <formula>OR(AND(X21=FALSE,INT(Y21)&gt;0),AND(X21=TRUE,INT(Y21)&lt;=0))</formula>
    </cfRule>
  </conditionalFormatting>
  <conditionalFormatting sqref="AA21">
    <cfRule type="expression" dxfId="0" priority="4090">
      <formula>AND(Z21=FALSE,AA21&gt;0)</formula>
    </cfRule>
  </conditionalFormatting>
  <conditionalFormatting sqref="BV21:HY21">
    <cfRule type="containsErrors" dxfId="0" priority="4089">
      <formula>ISERROR(BV21)</formula>
    </cfRule>
  </conditionalFormatting>
  <conditionalFormatting sqref="Z21">
    <cfRule type="expression" dxfId="0" priority="4087">
      <formula>NOT(ISLOGICAL($Z$2))</formula>
    </cfRule>
  </conditionalFormatting>
  <conditionalFormatting sqref="AB21">
    <cfRule type="expression" dxfId="0" priority="4086">
      <formula>NOT(ISLOGICAL($AB$2))</formula>
    </cfRule>
  </conditionalFormatting>
  <conditionalFormatting sqref="AC21">
    <cfRule type="expression" dxfId="0" priority="4085">
      <formula>NOT(ISLOGICAL($AC$2))</formula>
    </cfRule>
  </conditionalFormatting>
  <conditionalFormatting sqref="B21:BU21">
    <cfRule type="containsErrors" dxfId="0" priority="4084">
      <formula>ISERROR(B21)</formula>
    </cfRule>
  </conditionalFormatting>
  <conditionalFormatting sqref="I21">
    <cfRule type="expression" dxfId="0" priority="4083">
      <formula>NOT(ISNUMBER($I$2))</formula>
    </cfRule>
  </conditionalFormatting>
  <conditionalFormatting sqref="D21">
    <cfRule type="expression" dxfId="0" priority="4082">
      <formula>ISBLANK($D$2)</formula>
    </cfRule>
  </conditionalFormatting>
  <conditionalFormatting sqref="DW21">
    <cfRule type="expression" dxfId="2" priority="4094">
      <formula>AND(BO21&gt;=1,DW21&lt;&gt;0, GetEquPower(C21,BI21, CA21, FN21)=0)</formula>
    </cfRule>
    <cfRule type="expression" dxfId="1" priority="4095">
      <formula>AND(BO21&gt;=1,DW21&lt;&gt;GetEquPower(C21,BI21, CA21, FN21))</formula>
    </cfRule>
  </conditionalFormatting>
  <conditionalFormatting sqref="DX21">
    <cfRule type="expression" dxfId="2" priority="4096">
      <formula>AND(BO21&gt;=2,DX21&lt;&gt;0, GetEquPower(C21,BI21, CB21, FN21)=0)</formula>
    </cfRule>
    <cfRule type="expression" dxfId="1" priority="4097">
      <formula>AND(BO21&gt;=2,DX21&lt;&gt;GetEquPower(C21,BI21, CB21, FN21))</formula>
    </cfRule>
  </conditionalFormatting>
  <conditionalFormatting sqref="DY21">
    <cfRule type="expression" dxfId="2" priority="4098">
      <formula>AND(BO21&gt;=3,DY21&lt;&gt;0, GetEquPower(C21,BI21, CC21, FN21)=0)</formula>
    </cfRule>
    <cfRule type="expression" dxfId="1" priority="4099">
      <formula>AND(BO21&gt;=3,DY21&lt;&gt;GetEquPower(C21,BI21, CC21, FN21))</formula>
    </cfRule>
  </conditionalFormatting>
  <conditionalFormatting sqref="ED21">
    <cfRule type="expression" dxfId="2" priority="4100">
      <formula>AND(BP21&gt;=1,ED21&lt;&gt;0, GetEquPower(C21,BJ21, CG21, FO21)=0)</formula>
    </cfRule>
    <cfRule type="expression" dxfId="1" priority="4101">
      <formula>AND(BP21&gt;=1,ED21&lt;&gt;GetEquPower(C21,BJ21, CG21, FO21))</formula>
    </cfRule>
  </conditionalFormatting>
  <conditionalFormatting sqref="EE21">
    <cfRule type="expression" dxfId="2" priority="4102">
      <formula>AND(BP21&gt;=2,EE21&lt;&gt;0, GetEquPower(C21,BJ21, CH21, FO21)=0)</formula>
    </cfRule>
    <cfRule type="expression" dxfId="1" priority="4103">
      <formula>AND(BP21&gt;=2,EE21&lt;&gt;GetEquPower(C21,BJ21, CH21, FO21))</formula>
    </cfRule>
  </conditionalFormatting>
  <conditionalFormatting sqref="EF21">
    <cfRule type="expression" dxfId="2" priority="4104">
      <formula>AND(BP21&gt;=3,EF21&lt;&gt;0, GetEquPower(C21,BJ21, CI21, FO21)=0)</formula>
    </cfRule>
    <cfRule type="expression" dxfId="1" priority="4105">
      <formula>AND(BP21&gt;=3,EF21&lt;&gt;GetEquPower(C21,BJ21, CI21, FO21))</formula>
    </cfRule>
  </conditionalFormatting>
  <conditionalFormatting sqref="EK21">
    <cfRule type="expression" dxfId="2" priority="4106">
      <formula>AND(BQ21&gt;=1,EK21&lt;&gt;0, GetEquPower(C21,BK21, CM21, FP21)=0)</formula>
    </cfRule>
    <cfRule type="expression" dxfId="1" priority="4107">
      <formula>AND(BQ21&gt;=1,EK21&lt;&gt;GetEquPower(C21,BK21, CM21, FP21))</formula>
    </cfRule>
  </conditionalFormatting>
  <conditionalFormatting sqref="EL21">
    <cfRule type="expression" dxfId="2" priority="4108">
      <formula>AND(BQ21&gt;=2,EL21&lt;&gt;0, GetEquPower(C21,BK21, CN21, FP21)=0)</formula>
    </cfRule>
    <cfRule type="expression" dxfId="1" priority="4109">
      <formula xml:space="preserve"> AND(BQ21&gt;=2,EL21&lt;&gt;GetEquPower(C21,BK21, CN21, FP21))</formula>
    </cfRule>
  </conditionalFormatting>
  <conditionalFormatting sqref="EM21">
    <cfRule type="expression" dxfId="2" priority="4110">
      <formula>AND(BQ21&gt;=3,EM21&lt;&gt;0, GetEquPower(C21,BK21, CO21, FP21)=0)</formula>
    </cfRule>
    <cfRule type="expression" dxfId="1" priority="4111">
      <formula xml:space="preserve"> AND(BQ21&gt;=3,EM21&lt;&gt;GetEquPower(C21,BK21, CO21, FP21))</formula>
    </cfRule>
  </conditionalFormatting>
  <conditionalFormatting sqref="ER21">
    <cfRule type="expression" dxfId="2" priority="4112">
      <formula>AND(BR21&gt;=1,ER21&lt;&gt;0, GetEquPower(C21,BL21, CS21, FQ21)=0)</formula>
    </cfRule>
    <cfRule type="expression" dxfId="1" priority="4113">
      <formula>AND(BR21&gt;=1,ER21&lt;&gt;GetEquPower(C21,BL21, CS21, FQ21))</formula>
    </cfRule>
  </conditionalFormatting>
  <conditionalFormatting sqref="ES21">
    <cfRule type="expression" dxfId="2" priority="4114">
      <formula>AND(BR21&gt;=2,ES21&lt;&gt;0, GetEquPower(C21,BL21, CT21, FQ21)=0)</formula>
    </cfRule>
    <cfRule type="expression" dxfId="1" priority="4115">
      <formula>AND(BR21&gt;=2,ES21&lt;&gt;GetEquPower(C21,BL21, CT21, FQ21))</formula>
    </cfRule>
  </conditionalFormatting>
  <conditionalFormatting sqref="ET21">
    <cfRule type="expression" dxfId="2" priority="4116">
      <formula>AND(BR21&gt;=3,ET21&lt;&gt;0, GetEquPower(C21,BL21, CU21, FQ21)=0)</formula>
    </cfRule>
    <cfRule type="expression" dxfId="1" priority="4117">
      <formula>AND(BR21&gt;=3,ET21&lt;&gt;GetEquPower(C21,BL21, CU21, FQ21))</formula>
    </cfRule>
  </conditionalFormatting>
  <conditionalFormatting sqref="EY21">
    <cfRule type="expression" dxfId="2" priority="4118">
      <formula>AND(BS21&gt;=1,EY21&lt;&gt;0, GetEquPower(C21,BM21, CY21, FR21)=0)</formula>
    </cfRule>
    <cfRule type="expression" dxfId="1" priority="4119">
      <formula>AND(BS21&gt;=1,EY21&lt;&gt;GetEquPower(C21,BM21, CY21, FR21))</formula>
    </cfRule>
  </conditionalFormatting>
  <conditionalFormatting sqref="EZ21">
    <cfRule type="expression" dxfId="2" priority="4120">
      <formula>AND(BS21&gt;=2,EZ21&lt;&gt;0, GetEquPower(C21,BM21, CZ21, FR21)=0)</formula>
    </cfRule>
    <cfRule type="expression" dxfId="1" priority="4121">
      <formula>AND(BS21&gt;=2,EZ21&lt;&gt;GetEquPower(C21,BM21, CZ21, FR21))</formula>
    </cfRule>
  </conditionalFormatting>
  <conditionalFormatting sqref="FA21">
    <cfRule type="expression" dxfId="2" priority="4122">
      <formula>AND(BS21&gt;=3,FA21&lt;&gt;0, GetEquPower(C21,BM21, DA21, FR21)=0)</formula>
    </cfRule>
    <cfRule type="expression" dxfId="1" priority="4123">
      <formula>AND(BS21&gt;=3,FA21&lt;&gt;GetEquPower(C21,BM21, DA21, FR21))</formula>
    </cfRule>
  </conditionalFormatting>
  <conditionalFormatting sqref="FF21">
    <cfRule type="expression" dxfId="2" priority="4124">
      <formula>AND(BT21&gt;=1,FF21&lt;&gt;0, GetEquPower(C21,BN21, DE21, FS21)=0)</formula>
    </cfRule>
    <cfRule type="expression" dxfId="1" priority="4125">
      <formula>AND(BT21&gt;=1,FF21&lt;&gt;GetEquPower(C21,BN21, DE21, FS21))</formula>
    </cfRule>
  </conditionalFormatting>
  <conditionalFormatting sqref="FG21">
    <cfRule type="expression" dxfId="2" priority="4126">
      <formula>AND(BT21&gt;=2,FG21&lt;&gt;0, GetEquPower(C21,BN21, DF21, FS21)=0)</formula>
    </cfRule>
    <cfRule type="expression" dxfId="1" priority="4127">
      <formula>AND(BT21&gt;=2,FG21&lt;&gt;GetEquPower(C21,BN21, DF21, FS21))</formula>
    </cfRule>
  </conditionalFormatting>
  <conditionalFormatting sqref="FH21">
    <cfRule type="expression" dxfId="2" priority="4128">
      <formula>AND(BT21&gt;=3,FH21&lt;&gt;0, GetEquPower(C21,BN21, DG21, FS21)=0)</formula>
    </cfRule>
    <cfRule type="expression" dxfId="1" priority="4129">
      <formula>AND(BT21&gt;=3,FH21&lt;&gt;GetEquPower(C21,BN21, DG21, FS21))</formula>
    </cfRule>
  </conditionalFormatting>
  <conditionalFormatting sqref="DZ21">
    <cfRule type="expression" dxfId="2" priority="4130">
      <formula>AND(BO21&gt;=4,DZ21&lt;&gt;0, GetEquPower(C21,BI21, CD21, FN21)=0)</formula>
    </cfRule>
    <cfRule type="expression" dxfId="1" priority="4131">
      <formula>AND(BO21&gt;=4, DZ21&lt;&gt;GetEquPower(C21,BI21, CD21, FN21))</formula>
    </cfRule>
  </conditionalFormatting>
  <conditionalFormatting sqref="EG21">
    <cfRule type="expression" dxfId="2" priority="4132">
      <formula>AND(BP21&gt;=4,EG21&lt;&gt;0, GetEquPower(C21,BJ21, CJ21, FO21)=0)</formula>
    </cfRule>
    <cfRule type="expression" dxfId="1" priority="4133">
      <formula>AND(BP21&gt;=4,EG21&lt;&gt;GetEquPower(C21,BJ21, CJ21, FO21))</formula>
    </cfRule>
  </conditionalFormatting>
  <conditionalFormatting sqref="EN21">
    <cfRule type="expression" dxfId="2" priority="4134">
      <formula>AND(BQ21&gt;=4,EN21&lt;&gt;0, GetEquPower(C21,BK21, CP21, FP21)=0)</formula>
    </cfRule>
    <cfRule type="expression" dxfId="1" priority="4135">
      <formula xml:space="preserve"> AND(BQ21&gt;=4,EN21&lt;&gt;GetEquPower(C21,BK21, CP21, FP21))</formula>
    </cfRule>
  </conditionalFormatting>
  <conditionalFormatting sqref="EU21">
    <cfRule type="expression" dxfId="2" priority="4136">
      <formula>AND(BR21&gt;=4,EU21&lt;&gt;0, GetEquPower(C21,BL21, CV21, FQ21)=0)</formula>
    </cfRule>
    <cfRule type="expression" dxfId="1" priority="4137">
      <formula>AND(BR21&gt;=4,EU21&lt;&gt;GetEquPower(C21,BL21, CV21, FQ21))</formula>
    </cfRule>
  </conditionalFormatting>
  <conditionalFormatting sqref="FB21">
    <cfRule type="expression" dxfId="2" priority="4138">
      <formula>AND(BS21&gt;=4,FB21&lt;&gt;0, GetEquPower(C21,BM21, DB21, FR21)=0)</formula>
    </cfRule>
    <cfRule type="expression" dxfId="1" priority="4139">
      <formula>AND(BS21&gt;=4,FB21&lt;&gt;GetEquPower(C21,BM21, DB21, FR21))</formula>
    </cfRule>
  </conditionalFormatting>
  <conditionalFormatting sqref="FI21">
    <cfRule type="expression" dxfId="2" priority="4140">
      <formula>AND(BT21&gt;=4,FI21&lt;&gt;0, GetEquPower(C21,BN21, DH21, FS21)=0)</formula>
    </cfRule>
    <cfRule type="expression" dxfId="1" priority="4141">
      <formula>AND(BT21&gt;=4,FI21&lt;&gt;GetEquPower(C21,BN21, DH21, FS21))</formula>
    </cfRule>
  </conditionalFormatting>
  <conditionalFormatting sqref="EA21">
    <cfRule type="expression" dxfId="2" priority="4142">
      <formula>AND(BO21&gt;=5,EA21&lt;&gt;0, GetEquPower(C21,BI21, CE21, FN21)=0)</formula>
    </cfRule>
    <cfRule type="expression" dxfId="1" priority="4143">
      <formula>AND(BO21&gt;=5, EA21&lt;&gt;GetEquPower(C21,BI21, CE21, FN21))</formula>
    </cfRule>
  </conditionalFormatting>
  <conditionalFormatting sqref="EB21">
    <cfRule type="expression" dxfId="2" priority="4144">
      <formula>AND(BO21&gt;=6,EB21&lt;&gt;0, GetEquPower(C21,BI21, CF21, FN21)=0)</formula>
    </cfRule>
    <cfRule type="expression" dxfId="1" priority="4145">
      <formula>AND(BO21&gt;=6, EB21&lt;&gt;GetEquPower(C21,BI21, CF21, FN21))</formula>
    </cfRule>
  </conditionalFormatting>
  <conditionalFormatting sqref="EH21">
    <cfRule type="expression" dxfId="2" priority="4146">
      <formula>AND(BP21&gt;=5,EH21&lt;&gt;0, GetEquPower(C21,BJ21, CK21, FO21)=0)</formula>
    </cfRule>
    <cfRule type="expression" dxfId="1" priority="4147">
      <formula>AND(BP21&gt;=5,EH21&lt;&gt;GetEquPower(C21,BJ21, CK21, FO21))</formula>
    </cfRule>
  </conditionalFormatting>
  <conditionalFormatting sqref="EI21">
    <cfRule type="expression" dxfId="2" priority="4148">
      <formula>AND(BP21&gt;=6,EI21&lt;&gt;0, GetEquPower(C21,BJ21, CL21, FO21)=0)</formula>
    </cfRule>
    <cfRule type="expression" dxfId="1" priority="4149">
      <formula>AND(BP21&gt;=6,EI21&lt;&gt;GetEquPower(C21,BJ21, CL21, FO21))</formula>
    </cfRule>
  </conditionalFormatting>
  <conditionalFormatting sqref="EO21">
    <cfRule type="expression" dxfId="2" priority="4150">
      <formula>AND(BQ21&gt;=5,EO21&lt;&gt;0, GetEquPower(C21,BK21, CQ21, FP21)=0)</formula>
    </cfRule>
    <cfRule type="expression" dxfId="1" priority="4151">
      <formula xml:space="preserve"> AND(BQ21&gt;=5,EO21&lt;&gt;GetEquPower(C21,BK21, CQ21, FP21))</formula>
    </cfRule>
  </conditionalFormatting>
  <conditionalFormatting sqref="EP21">
    <cfRule type="expression" dxfId="2" priority="4152">
      <formula>AND(BQ21&gt;=6,EP21&lt;&gt;0, GetEquPower(C21,BK21, CR21, FP21)=0)</formula>
    </cfRule>
    <cfRule type="expression" dxfId="1" priority="4153">
      <formula xml:space="preserve"> AND(BQ21&gt;=6,EP21&lt;&gt;GetEquPower(C21,BK21, CR21, FP21))</formula>
    </cfRule>
  </conditionalFormatting>
  <conditionalFormatting sqref="EV21">
    <cfRule type="expression" dxfId="2" priority="4154">
      <formula>AND(BR21&gt;=5,EV21&lt;&gt;0, GetEquPower(C21,BL21, CW21, FQ21)=0)</formula>
    </cfRule>
    <cfRule type="expression" dxfId="1" priority="4155">
      <formula>AND(BR21&gt;=5,EV21&lt;&gt;GetEquPower(C21,BL21, CW21, FQ21))</formula>
    </cfRule>
  </conditionalFormatting>
  <conditionalFormatting sqref="EW21">
    <cfRule type="expression" dxfId="2" priority="4156">
      <formula>AND(BR21&gt;=6,EW21&lt;&gt;0, GetEquPower(C21,BL21, CX21, FQ21)=0)</formula>
    </cfRule>
    <cfRule type="expression" dxfId="1" priority="4157">
      <formula>AND(BR21&gt;=6,EW21&lt;&gt;GetEquPower(C21,BL21, CX21, FQ21))</formula>
    </cfRule>
  </conditionalFormatting>
  <conditionalFormatting sqref="FC21">
    <cfRule type="expression" dxfId="2" priority="4158">
      <formula>AND(BS21&gt;=5,FC21&lt;&gt;0, GetEquPower(C21,BM21, DC21, FR21)=0)</formula>
    </cfRule>
    <cfRule type="expression" dxfId="1" priority="4159">
      <formula>AND(BS21&gt;=5,FC21&lt;&gt;GetEquPower(C21,BM21, DC21, FR21))</formula>
    </cfRule>
  </conditionalFormatting>
  <conditionalFormatting sqref="FD21">
    <cfRule type="expression" dxfId="2" priority="4160">
      <formula>AND(BS21&gt;=6,FD21&lt;&gt;0, GetEquPower(C21,BM21, DD21, FR21)=0)</formula>
    </cfRule>
    <cfRule type="expression" dxfId="1" priority="4161">
      <formula>AND(BS21&gt;=6,FD21&lt;&gt;GetEquPower(C21,BM21, DD21, FR21))</formula>
    </cfRule>
  </conditionalFormatting>
  <conditionalFormatting sqref="FJ21">
    <cfRule type="expression" dxfId="2" priority="4162">
      <formula>AND(BT21&gt;=5,FJ21&lt;&gt;0, GetEquPower(C21,BN21, DI21, FS21)=0)</formula>
    </cfRule>
    <cfRule type="expression" dxfId="1" priority="4163">
      <formula>AND(BT21&gt;=5,FJ21&lt;&gt;GetEquPower(C21,BN21, DI21, FS21))</formula>
    </cfRule>
  </conditionalFormatting>
  <conditionalFormatting sqref="FK21">
    <cfRule type="expression" dxfId="2" priority="4164">
      <formula>AND(BT21&gt;=6,FK21&lt;&gt;0, GetEquPower(C21,BN21, DJ21, FS21)=0)</formula>
    </cfRule>
    <cfRule type="expression" dxfId="1" priority="4165">
      <formula>AND(BT21&gt;=6,FK21&lt;&gt;GetEquPower(C21,BN21, DJ21, FS21))</formula>
    </cfRule>
  </conditionalFormatting>
  <conditionalFormatting sqref="W21">
    <cfRule type="expression" dxfId="0" priority="4081">
      <formula xml:space="preserve"> NOT(ISLOGICAL($W$2))</formula>
    </cfRule>
  </conditionalFormatting>
  <conditionalFormatting sqref="F22">
    <cfRule type="expression" dxfId="0" priority="4008">
      <formula>F22&lt;&gt;RIGHT(SUBSTITUTE(E22,".",""),LEN(F22))</formula>
    </cfRule>
  </conditionalFormatting>
  <conditionalFormatting sqref="X22">
    <cfRule type="expression" dxfId="0" priority="4003">
      <formula xml:space="preserve"> NOT(ISLOGICAL($X$2))</formula>
    </cfRule>
    <cfRule type="expression" dxfId="0" priority="4007">
      <formula>AND(X22=TRUE,W22=FALSE)</formula>
    </cfRule>
  </conditionalFormatting>
  <conditionalFormatting sqref="Y22">
    <cfRule type="expression" dxfId="0" priority="4006">
      <formula>OR(AND(X22=FALSE,INT(Y22)&gt;0),AND(X22=TRUE,INT(Y22)&lt;=0))</formula>
    </cfRule>
  </conditionalFormatting>
  <conditionalFormatting sqref="AA22">
    <cfRule type="expression" dxfId="0" priority="4005">
      <formula>AND(Z22=FALSE,AA22&gt;0)</formula>
    </cfRule>
  </conditionalFormatting>
  <conditionalFormatting sqref="BV22:HY22">
    <cfRule type="containsErrors" dxfId="0" priority="4004">
      <formula>ISERROR(BV22)</formula>
    </cfRule>
  </conditionalFormatting>
  <conditionalFormatting sqref="Z22">
    <cfRule type="expression" dxfId="0" priority="4002">
      <formula>NOT(ISLOGICAL($Z$2))</formula>
    </cfRule>
  </conditionalFormatting>
  <conditionalFormatting sqref="AB22">
    <cfRule type="expression" dxfId="0" priority="4001">
      <formula>NOT(ISLOGICAL($AB$2))</formula>
    </cfRule>
  </conditionalFormatting>
  <conditionalFormatting sqref="AC22">
    <cfRule type="expression" dxfId="0" priority="4000">
      <formula>NOT(ISLOGICAL($AC$2))</formula>
    </cfRule>
  </conditionalFormatting>
  <conditionalFormatting sqref="B22:BU22">
    <cfRule type="containsErrors" dxfId="0" priority="3999">
      <formula>ISERROR(B22)</formula>
    </cfRule>
  </conditionalFormatting>
  <conditionalFormatting sqref="I22">
    <cfRule type="expression" dxfId="0" priority="3998">
      <formula>NOT(ISNUMBER($I$2))</formula>
    </cfRule>
  </conditionalFormatting>
  <conditionalFormatting sqref="D22">
    <cfRule type="expression" dxfId="0" priority="3997">
      <formula>ISBLANK($D$2)</formula>
    </cfRule>
  </conditionalFormatting>
  <conditionalFormatting sqref="DW22">
    <cfRule type="expression" dxfId="2" priority="4009">
      <formula>AND(BO22&gt;=1,DW22&lt;&gt;0, GetEquPower(C22,BI22, CA22, FN22)=0)</formula>
    </cfRule>
    <cfRule type="expression" dxfId="1" priority="4010">
      <formula>AND(BO22&gt;=1,DW22&lt;&gt;GetEquPower(C22,BI22, CA22, FN22))</formula>
    </cfRule>
  </conditionalFormatting>
  <conditionalFormatting sqref="DX22">
    <cfRule type="expression" dxfId="2" priority="4011">
      <formula>AND(BO22&gt;=2,DX22&lt;&gt;0, GetEquPower(C22,BI22, CB22, FN22)=0)</formula>
    </cfRule>
    <cfRule type="expression" dxfId="1" priority="4012">
      <formula>AND(BO22&gt;=2,DX22&lt;&gt;GetEquPower(C22,BI22, CB22, FN22))</formula>
    </cfRule>
  </conditionalFormatting>
  <conditionalFormatting sqref="DY22">
    <cfRule type="expression" dxfId="2" priority="4013">
      <formula>AND(BO22&gt;=3,DY22&lt;&gt;0, GetEquPower(C22,BI22, CC22, FN22)=0)</formula>
    </cfRule>
    <cfRule type="expression" dxfId="1" priority="4014">
      <formula>AND(BO22&gt;=3,DY22&lt;&gt;GetEquPower(C22,BI22, CC22, FN22))</formula>
    </cfRule>
  </conditionalFormatting>
  <conditionalFormatting sqref="ED22">
    <cfRule type="expression" dxfId="2" priority="4015">
      <formula>AND(BP22&gt;=1,ED22&lt;&gt;0, GetEquPower(C22,BJ22, CG22, FO22)=0)</formula>
    </cfRule>
    <cfRule type="expression" dxfId="1" priority="4016">
      <formula>AND(BP22&gt;=1,ED22&lt;&gt;GetEquPower(C22,BJ22, CG22, FO22))</formula>
    </cfRule>
  </conditionalFormatting>
  <conditionalFormatting sqref="EE22">
    <cfRule type="expression" dxfId="2" priority="4017">
      <formula>AND(BP22&gt;=2,EE22&lt;&gt;0, GetEquPower(C22,BJ22, CH22, FO22)=0)</formula>
    </cfRule>
    <cfRule type="expression" dxfId="1" priority="4018">
      <formula>AND(BP22&gt;=2,EE22&lt;&gt;GetEquPower(C22,BJ22, CH22, FO22))</formula>
    </cfRule>
  </conditionalFormatting>
  <conditionalFormatting sqref="EF22">
    <cfRule type="expression" dxfId="2" priority="4019">
      <formula>AND(BP22&gt;=3,EF22&lt;&gt;0, GetEquPower(C22,BJ22, CI22, FO22)=0)</formula>
    </cfRule>
    <cfRule type="expression" dxfId="1" priority="4020">
      <formula>AND(BP22&gt;=3,EF22&lt;&gt;GetEquPower(C22,BJ22, CI22, FO22))</formula>
    </cfRule>
  </conditionalFormatting>
  <conditionalFormatting sqref="EK22">
    <cfRule type="expression" dxfId="2" priority="4021">
      <formula>AND(BQ22&gt;=1,EK22&lt;&gt;0, GetEquPower(C22,BK22, CM22, FP22)=0)</formula>
    </cfRule>
    <cfRule type="expression" dxfId="1" priority="4022">
      <formula>AND(BQ22&gt;=1,EK22&lt;&gt;GetEquPower(C22,BK22, CM22, FP22))</formula>
    </cfRule>
  </conditionalFormatting>
  <conditionalFormatting sqref="EL22">
    <cfRule type="expression" dxfId="2" priority="4023">
      <formula>AND(BQ22&gt;=2,EL22&lt;&gt;0, GetEquPower(C22,BK22, CN22, FP22)=0)</formula>
    </cfRule>
    <cfRule type="expression" dxfId="1" priority="4024">
      <formula xml:space="preserve"> AND(BQ22&gt;=2,EL22&lt;&gt;GetEquPower(C22,BK22, CN22, FP22))</formula>
    </cfRule>
  </conditionalFormatting>
  <conditionalFormatting sqref="EM22">
    <cfRule type="expression" dxfId="2" priority="4025">
      <formula>AND(BQ22&gt;=3,EM22&lt;&gt;0, GetEquPower(C22,BK22, CO22, FP22)=0)</formula>
    </cfRule>
    <cfRule type="expression" dxfId="1" priority="4026">
      <formula xml:space="preserve"> AND(BQ22&gt;=3,EM22&lt;&gt;GetEquPower(C22,BK22, CO22, FP22))</formula>
    </cfRule>
  </conditionalFormatting>
  <conditionalFormatting sqref="ER22">
    <cfRule type="expression" dxfId="2" priority="4027">
      <formula>AND(BR22&gt;=1,ER22&lt;&gt;0, GetEquPower(C22,BL22, CS22, FQ22)=0)</formula>
    </cfRule>
    <cfRule type="expression" dxfId="1" priority="4028">
      <formula>AND(BR22&gt;=1,ER22&lt;&gt;GetEquPower(C22,BL22, CS22, FQ22))</formula>
    </cfRule>
  </conditionalFormatting>
  <conditionalFormatting sqref="ES22">
    <cfRule type="expression" dxfId="2" priority="4029">
      <formula>AND(BR22&gt;=2,ES22&lt;&gt;0, GetEquPower(C22,BL22, CT22, FQ22)=0)</formula>
    </cfRule>
    <cfRule type="expression" dxfId="1" priority="4030">
      <formula>AND(BR22&gt;=2,ES22&lt;&gt;GetEquPower(C22,BL22, CT22, FQ22))</formula>
    </cfRule>
  </conditionalFormatting>
  <conditionalFormatting sqref="ET22">
    <cfRule type="expression" dxfId="2" priority="4031">
      <formula>AND(BR22&gt;=3,ET22&lt;&gt;0, GetEquPower(C22,BL22, CU22, FQ22)=0)</formula>
    </cfRule>
    <cfRule type="expression" dxfId="1" priority="4032">
      <formula>AND(BR22&gt;=3,ET22&lt;&gt;GetEquPower(C22,BL22, CU22, FQ22))</formula>
    </cfRule>
  </conditionalFormatting>
  <conditionalFormatting sqref="EY22">
    <cfRule type="expression" dxfId="2" priority="4033">
      <formula>AND(BS22&gt;=1,EY22&lt;&gt;0, GetEquPower(C22,BM22, CY22, FR22)=0)</formula>
    </cfRule>
    <cfRule type="expression" dxfId="1" priority="4034">
      <formula>AND(BS22&gt;=1,EY22&lt;&gt;GetEquPower(C22,BM22, CY22, FR22))</formula>
    </cfRule>
  </conditionalFormatting>
  <conditionalFormatting sqref="EZ22">
    <cfRule type="expression" dxfId="2" priority="4035">
      <formula>AND(BS22&gt;=2,EZ22&lt;&gt;0, GetEquPower(C22,BM22, CZ22, FR22)=0)</formula>
    </cfRule>
    <cfRule type="expression" dxfId="1" priority="4036">
      <formula>AND(BS22&gt;=2,EZ22&lt;&gt;GetEquPower(C22,BM22, CZ22, FR22))</formula>
    </cfRule>
  </conditionalFormatting>
  <conditionalFormatting sqref="FA22">
    <cfRule type="expression" dxfId="2" priority="4037">
      <formula>AND(BS22&gt;=3,FA22&lt;&gt;0, GetEquPower(C22,BM22, DA22, FR22)=0)</formula>
    </cfRule>
    <cfRule type="expression" dxfId="1" priority="4038">
      <formula>AND(BS22&gt;=3,FA22&lt;&gt;GetEquPower(C22,BM22, DA22, FR22))</formula>
    </cfRule>
  </conditionalFormatting>
  <conditionalFormatting sqref="FF22">
    <cfRule type="expression" dxfId="2" priority="4039">
      <formula>AND(BT22&gt;=1,FF22&lt;&gt;0, GetEquPower(C22,BN22, DE22, FS22)=0)</formula>
    </cfRule>
    <cfRule type="expression" dxfId="1" priority="4040">
      <formula>AND(BT22&gt;=1,FF22&lt;&gt;GetEquPower(C22,BN22, DE22, FS22))</formula>
    </cfRule>
  </conditionalFormatting>
  <conditionalFormatting sqref="FG22">
    <cfRule type="expression" dxfId="2" priority="4041">
      <formula>AND(BT22&gt;=2,FG22&lt;&gt;0, GetEquPower(C22,BN22, DF22, FS22)=0)</formula>
    </cfRule>
    <cfRule type="expression" dxfId="1" priority="4042">
      <formula>AND(BT22&gt;=2,FG22&lt;&gt;GetEquPower(C22,BN22, DF22, FS22))</formula>
    </cfRule>
  </conditionalFormatting>
  <conditionalFormatting sqref="FH22">
    <cfRule type="expression" dxfId="2" priority="4043">
      <formula>AND(BT22&gt;=3,FH22&lt;&gt;0, GetEquPower(C22,BN22, DG22, FS22)=0)</formula>
    </cfRule>
    <cfRule type="expression" dxfId="1" priority="4044">
      <formula>AND(BT22&gt;=3,FH22&lt;&gt;GetEquPower(C22,BN22, DG22, FS22))</formula>
    </cfRule>
  </conditionalFormatting>
  <conditionalFormatting sqref="DZ22">
    <cfRule type="expression" dxfId="2" priority="4045">
      <formula>AND(BO22&gt;=4,DZ22&lt;&gt;0, GetEquPower(C22,BI22, CD22, FN22)=0)</formula>
    </cfRule>
    <cfRule type="expression" dxfId="1" priority="4046">
      <formula>AND(BO22&gt;=4, DZ22&lt;&gt;GetEquPower(C22,BI22, CD22, FN22))</formula>
    </cfRule>
  </conditionalFormatting>
  <conditionalFormatting sqref="EG22">
    <cfRule type="expression" dxfId="2" priority="4047">
      <formula>AND(BP22&gt;=4,EG22&lt;&gt;0, GetEquPower(C22,BJ22, CJ22, FO22)=0)</formula>
    </cfRule>
    <cfRule type="expression" dxfId="1" priority="4048">
      <formula>AND(BP22&gt;=4,EG22&lt;&gt;GetEquPower(C22,BJ22, CJ22, FO22))</formula>
    </cfRule>
  </conditionalFormatting>
  <conditionalFormatting sqref="EN22">
    <cfRule type="expression" dxfId="2" priority="4049">
      <formula>AND(BQ22&gt;=4,EN22&lt;&gt;0, GetEquPower(C22,BK22, CP22, FP22)=0)</formula>
    </cfRule>
    <cfRule type="expression" dxfId="1" priority="4050">
      <formula xml:space="preserve"> AND(BQ22&gt;=4,EN22&lt;&gt;GetEquPower(C22,BK22, CP22, FP22))</formula>
    </cfRule>
  </conditionalFormatting>
  <conditionalFormatting sqref="EU22">
    <cfRule type="expression" dxfId="2" priority="4051">
      <formula>AND(BR22&gt;=4,EU22&lt;&gt;0, GetEquPower(C22,BL22, CV22, FQ22)=0)</formula>
    </cfRule>
    <cfRule type="expression" dxfId="1" priority="4052">
      <formula>AND(BR22&gt;=4,EU22&lt;&gt;GetEquPower(C22,BL22, CV22, FQ22))</formula>
    </cfRule>
  </conditionalFormatting>
  <conditionalFormatting sqref="FB22">
    <cfRule type="expression" dxfId="2" priority="4053">
      <formula>AND(BS22&gt;=4,FB22&lt;&gt;0, GetEquPower(C22,BM22, DB22, FR22)=0)</formula>
    </cfRule>
    <cfRule type="expression" dxfId="1" priority="4054">
      <formula>AND(BS22&gt;=4,FB22&lt;&gt;GetEquPower(C22,BM22, DB22, FR22))</formula>
    </cfRule>
  </conditionalFormatting>
  <conditionalFormatting sqref="FI22">
    <cfRule type="expression" dxfId="2" priority="4055">
      <formula>AND(BT22&gt;=4,FI22&lt;&gt;0, GetEquPower(C22,BN22, DH22, FS22)=0)</formula>
    </cfRule>
    <cfRule type="expression" dxfId="1" priority="4056">
      <formula>AND(BT22&gt;=4,FI22&lt;&gt;GetEquPower(C22,BN22, DH22, FS22))</formula>
    </cfRule>
  </conditionalFormatting>
  <conditionalFormatting sqref="EA22">
    <cfRule type="expression" dxfId="2" priority="4057">
      <formula>AND(BO22&gt;=5,EA22&lt;&gt;0, GetEquPower(C22,BI22, CE22, FN22)=0)</formula>
    </cfRule>
    <cfRule type="expression" dxfId="1" priority="4058">
      <formula>AND(BO22&gt;=5, EA22&lt;&gt;GetEquPower(C22,BI22, CE22, FN22))</formula>
    </cfRule>
  </conditionalFormatting>
  <conditionalFormatting sqref="EB22">
    <cfRule type="expression" dxfId="2" priority="4059">
      <formula>AND(BO22&gt;=6,EB22&lt;&gt;0, GetEquPower(C22,BI22, CF22, FN22)=0)</formula>
    </cfRule>
    <cfRule type="expression" dxfId="1" priority="4060">
      <formula>AND(BO22&gt;=6, EB22&lt;&gt;GetEquPower(C22,BI22, CF22, FN22))</formula>
    </cfRule>
  </conditionalFormatting>
  <conditionalFormatting sqref="EH22">
    <cfRule type="expression" dxfId="2" priority="4061">
      <formula>AND(BP22&gt;=5,EH22&lt;&gt;0, GetEquPower(C22,BJ22, CK22, FO22)=0)</formula>
    </cfRule>
    <cfRule type="expression" dxfId="1" priority="4062">
      <formula>AND(BP22&gt;=5,EH22&lt;&gt;GetEquPower(C22,BJ22, CK22, FO22))</formula>
    </cfRule>
  </conditionalFormatting>
  <conditionalFormatting sqref="EI22">
    <cfRule type="expression" dxfId="2" priority="4063">
      <formula>AND(BP22&gt;=6,EI22&lt;&gt;0, GetEquPower(C22,BJ22, CL22, FO22)=0)</formula>
    </cfRule>
    <cfRule type="expression" dxfId="1" priority="4064">
      <formula>AND(BP22&gt;=6,EI22&lt;&gt;GetEquPower(C22,BJ22, CL22, FO22))</formula>
    </cfRule>
  </conditionalFormatting>
  <conditionalFormatting sqref="EO22">
    <cfRule type="expression" dxfId="2" priority="4065">
      <formula>AND(BQ22&gt;=5,EO22&lt;&gt;0, GetEquPower(C22,BK22, CQ22, FP22)=0)</formula>
    </cfRule>
    <cfRule type="expression" dxfId="1" priority="4066">
      <formula xml:space="preserve"> AND(BQ22&gt;=5,EO22&lt;&gt;GetEquPower(C22,BK22, CQ22, FP22))</formula>
    </cfRule>
  </conditionalFormatting>
  <conditionalFormatting sqref="EP22">
    <cfRule type="expression" dxfId="2" priority="4067">
      <formula>AND(BQ22&gt;=6,EP22&lt;&gt;0, GetEquPower(C22,BK22, CR22, FP22)=0)</formula>
    </cfRule>
    <cfRule type="expression" dxfId="1" priority="4068">
      <formula xml:space="preserve"> AND(BQ22&gt;=6,EP22&lt;&gt;GetEquPower(C22,BK22, CR22, FP22))</formula>
    </cfRule>
  </conditionalFormatting>
  <conditionalFormatting sqref="EV22">
    <cfRule type="expression" dxfId="2" priority="4069">
      <formula>AND(BR22&gt;=5,EV22&lt;&gt;0, GetEquPower(C22,BL22, CW22, FQ22)=0)</formula>
    </cfRule>
    <cfRule type="expression" dxfId="1" priority="4070">
      <formula>AND(BR22&gt;=5,EV22&lt;&gt;GetEquPower(C22,BL22, CW22, FQ22))</formula>
    </cfRule>
  </conditionalFormatting>
  <conditionalFormatting sqref="EW22">
    <cfRule type="expression" dxfId="2" priority="4071">
      <formula>AND(BR22&gt;=6,EW22&lt;&gt;0, GetEquPower(C22,BL22, CX22, FQ22)=0)</formula>
    </cfRule>
    <cfRule type="expression" dxfId="1" priority="4072">
      <formula>AND(BR22&gt;=6,EW22&lt;&gt;GetEquPower(C22,BL22, CX22, FQ22))</formula>
    </cfRule>
  </conditionalFormatting>
  <conditionalFormatting sqref="FC22">
    <cfRule type="expression" dxfId="2" priority="4073">
      <formula>AND(BS22&gt;=5,FC22&lt;&gt;0, GetEquPower(C22,BM22, DC22, FR22)=0)</formula>
    </cfRule>
    <cfRule type="expression" dxfId="1" priority="4074">
      <formula>AND(BS22&gt;=5,FC22&lt;&gt;GetEquPower(C22,BM22, DC22, FR22))</formula>
    </cfRule>
  </conditionalFormatting>
  <conditionalFormatting sqref="FD22">
    <cfRule type="expression" dxfId="2" priority="4075">
      <formula>AND(BS22&gt;=6,FD22&lt;&gt;0, GetEquPower(C22,BM22, DD22, FR22)=0)</formula>
    </cfRule>
    <cfRule type="expression" dxfId="1" priority="4076">
      <formula>AND(BS22&gt;=6,FD22&lt;&gt;GetEquPower(C22,BM22, DD22, FR22))</formula>
    </cfRule>
  </conditionalFormatting>
  <conditionalFormatting sqref="FJ22">
    <cfRule type="expression" dxfId="2" priority="4077">
      <formula>AND(BT22&gt;=5,FJ22&lt;&gt;0, GetEquPower(C22,BN22, DI22, FS22)=0)</formula>
    </cfRule>
    <cfRule type="expression" dxfId="1" priority="4078">
      <formula>AND(BT22&gt;=5,FJ22&lt;&gt;GetEquPower(C22,BN22, DI22, FS22))</formula>
    </cfRule>
  </conditionalFormatting>
  <conditionalFormatting sqref="FK22">
    <cfRule type="expression" dxfId="2" priority="4079">
      <formula>AND(BT22&gt;=6,FK22&lt;&gt;0, GetEquPower(C22,BN22, DJ22, FS22)=0)</formula>
    </cfRule>
    <cfRule type="expression" dxfId="1" priority="4080">
      <formula>AND(BT22&gt;=6,FK22&lt;&gt;GetEquPower(C22,BN22, DJ22, FS22))</formula>
    </cfRule>
  </conditionalFormatting>
  <conditionalFormatting sqref="W22">
    <cfRule type="expression" dxfId="0" priority="3996">
      <formula xml:space="preserve"> NOT(ISLOGICAL($W$2))</formula>
    </cfRule>
  </conditionalFormatting>
  <conditionalFormatting sqref="F23">
    <cfRule type="expression" dxfId="0" priority="3923">
      <formula>F23&lt;&gt;RIGHT(SUBSTITUTE(E23,".",""),LEN(F23))</formula>
    </cfRule>
  </conditionalFormatting>
  <conditionalFormatting sqref="X23">
    <cfRule type="expression" dxfId="0" priority="3918">
      <formula xml:space="preserve"> NOT(ISLOGICAL($X$2))</formula>
    </cfRule>
    <cfRule type="expression" dxfId="0" priority="3922">
      <formula>AND(X23=TRUE,W23=FALSE)</formula>
    </cfRule>
  </conditionalFormatting>
  <conditionalFormatting sqref="Y23">
    <cfRule type="expression" dxfId="0" priority="3921">
      <formula>OR(AND(X23=FALSE,INT(Y23)&gt;0),AND(X23=TRUE,INT(Y23)&lt;=0))</formula>
    </cfRule>
  </conditionalFormatting>
  <conditionalFormatting sqref="AA23">
    <cfRule type="expression" dxfId="0" priority="3920">
      <formula>AND(Z23=FALSE,AA23&gt;0)</formula>
    </cfRule>
  </conditionalFormatting>
  <conditionalFormatting sqref="BV23:HY23">
    <cfRule type="containsErrors" dxfId="0" priority="3919">
      <formula>ISERROR(BV23)</formula>
    </cfRule>
  </conditionalFormatting>
  <conditionalFormatting sqref="Z23">
    <cfRule type="expression" dxfId="0" priority="3917">
      <formula>NOT(ISLOGICAL($Z$2))</formula>
    </cfRule>
  </conditionalFormatting>
  <conditionalFormatting sqref="AB23">
    <cfRule type="expression" dxfId="0" priority="3916">
      <formula>NOT(ISLOGICAL($AB$2))</formula>
    </cfRule>
  </conditionalFormatting>
  <conditionalFormatting sqref="AC23">
    <cfRule type="expression" dxfId="0" priority="3915">
      <formula>NOT(ISLOGICAL($AC$2))</formula>
    </cfRule>
  </conditionalFormatting>
  <conditionalFormatting sqref="B23:BU23">
    <cfRule type="containsErrors" dxfId="0" priority="3914">
      <formula>ISERROR(B23)</formula>
    </cfRule>
  </conditionalFormatting>
  <conditionalFormatting sqref="I23">
    <cfRule type="expression" dxfId="0" priority="3913">
      <formula>NOT(ISNUMBER($I$2))</formula>
    </cfRule>
  </conditionalFormatting>
  <conditionalFormatting sqref="D23">
    <cfRule type="expression" dxfId="0" priority="3912">
      <formula>ISBLANK($D$2)</formula>
    </cfRule>
  </conditionalFormatting>
  <conditionalFormatting sqref="DW23">
    <cfRule type="expression" dxfId="2" priority="3924">
      <formula>AND(BO23&gt;=1,DW23&lt;&gt;0, GetEquPower(C23,BI23, CA23, FN23)=0)</formula>
    </cfRule>
    <cfRule type="expression" dxfId="1" priority="3925">
      <formula>AND(BO23&gt;=1,DW23&lt;&gt;GetEquPower(C23,BI23, CA23, FN23))</formula>
    </cfRule>
  </conditionalFormatting>
  <conditionalFormatting sqref="DX23">
    <cfRule type="expression" dxfId="2" priority="3926">
      <formula>AND(BO23&gt;=2,DX23&lt;&gt;0, GetEquPower(C23,BI23, CB23, FN23)=0)</formula>
    </cfRule>
    <cfRule type="expression" dxfId="1" priority="3927">
      <formula>AND(BO23&gt;=2,DX23&lt;&gt;GetEquPower(C23,BI23, CB23, FN23))</formula>
    </cfRule>
  </conditionalFormatting>
  <conditionalFormatting sqref="DY23">
    <cfRule type="expression" dxfId="2" priority="3928">
      <formula>AND(BO23&gt;=3,DY23&lt;&gt;0, GetEquPower(C23,BI23, CC23, FN23)=0)</formula>
    </cfRule>
    <cfRule type="expression" dxfId="1" priority="3929">
      <formula>AND(BO23&gt;=3,DY23&lt;&gt;GetEquPower(C23,BI23, CC23, FN23))</formula>
    </cfRule>
  </conditionalFormatting>
  <conditionalFormatting sqref="ED23">
    <cfRule type="expression" dxfId="2" priority="3930">
      <formula>AND(BP23&gt;=1,ED23&lt;&gt;0, GetEquPower(C23,BJ23, CG23, FO23)=0)</formula>
    </cfRule>
    <cfRule type="expression" dxfId="1" priority="3931">
      <formula>AND(BP23&gt;=1,ED23&lt;&gt;GetEquPower(C23,BJ23, CG23, FO23))</formula>
    </cfRule>
  </conditionalFormatting>
  <conditionalFormatting sqref="EE23">
    <cfRule type="expression" dxfId="2" priority="3932">
      <formula>AND(BP23&gt;=2,EE23&lt;&gt;0, GetEquPower(C23,BJ23, CH23, FO23)=0)</formula>
    </cfRule>
    <cfRule type="expression" dxfId="1" priority="3933">
      <formula>AND(BP23&gt;=2,EE23&lt;&gt;GetEquPower(C23,BJ23, CH23, FO23))</formula>
    </cfRule>
  </conditionalFormatting>
  <conditionalFormatting sqref="EF23">
    <cfRule type="expression" dxfId="2" priority="3934">
      <formula>AND(BP23&gt;=3,EF23&lt;&gt;0, GetEquPower(C23,BJ23, CI23, FO23)=0)</formula>
    </cfRule>
    <cfRule type="expression" dxfId="1" priority="3935">
      <formula>AND(BP23&gt;=3,EF23&lt;&gt;GetEquPower(C23,BJ23, CI23, FO23))</formula>
    </cfRule>
  </conditionalFormatting>
  <conditionalFormatting sqref="EK23">
    <cfRule type="expression" dxfId="2" priority="3936">
      <formula>AND(BQ23&gt;=1,EK23&lt;&gt;0, GetEquPower(C23,BK23, CM23, FP23)=0)</formula>
    </cfRule>
    <cfRule type="expression" dxfId="1" priority="3937">
      <formula>AND(BQ23&gt;=1,EK23&lt;&gt;GetEquPower(C23,BK23, CM23, FP23))</formula>
    </cfRule>
  </conditionalFormatting>
  <conditionalFormatting sqref="EL23">
    <cfRule type="expression" dxfId="2" priority="3938">
      <formula>AND(BQ23&gt;=2,EL23&lt;&gt;0, GetEquPower(C23,BK23, CN23, FP23)=0)</formula>
    </cfRule>
    <cfRule type="expression" dxfId="1" priority="3939">
      <formula xml:space="preserve"> AND(BQ23&gt;=2,EL23&lt;&gt;GetEquPower(C23,BK23, CN23, FP23))</formula>
    </cfRule>
  </conditionalFormatting>
  <conditionalFormatting sqref="EM23">
    <cfRule type="expression" dxfId="2" priority="3940">
      <formula>AND(BQ23&gt;=3,EM23&lt;&gt;0, GetEquPower(C23,BK23, CO23, FP23)=0)</formula>
    </cfRule>
    <cfRule type="expression" dxfId="1" priority="3941">
      <formula xml:space="preserve"> AND(BQ23&gt;=3,EM23&lt;&gt;GetEquPower(C23,BK23, CO23, FP23))</formula>
    </cfRule>
  </conditionalFormatting>
  <conditionalFormatting sqref="ER23">
    <cfRule type="expression" dxfId="2" priority="3942">
      <formula>AND(BR23&gt;=1,ER23&lt;&gt;0, GetEquPower(C23,BL23, CS23, FQ23)=0)</formula>
    </cfRule>
    <cfRule type="expression" dxfId="1" priority="3943">
      <formula>AND(BR23&gt;=1,ER23&lt;&gt;GetEquPower(C23,BL23, CS23, FQ23))</formula>
    </cfRule>
  </conditionalFormatting>
  <conditionalFormatting sqref="ES23">
    <cfRule type="expression" dxfId="2" priority="3944">
      <formula>AND(BR23&gt;=2,ES23&lt;&gt;0, GetEquPower(C23,BL23, CT23, FQ23)=0)</formula>
    </cfRule>
    <cfRule type="expression" dxfId="1" priority="3945">
      <formula>AND(BR23&gt;=2,ES23&lt;&gt;GetEquPower(C23,BL23, CT23, FQ23))</formula>
    </cfRule>
  </conditionalFormatting>
  <conditionalFormatting sqref="ET23">
    <cfRule type="expression" dxfId="2" priority="3946">
      <formula>AND(BR23&gt;=3,ET23&lt;&gt;0, GetEquPower(C23,BL23, CU23, FQ23)=0)</formula>
    </cfRule>
    <cfRule type="expression" dxfId="1" priority="3947">
      <formula>AND(BR23&gt;=3,ET23&lt;&gt;GetEquPower(C23,BL23, CU23, FQ23))</formula>
    </cfRule>
  </conditionalFormatting>
  <conditionalFormatting sqref="EY23">
    <cfRule type="expression" dxfId="2" priority="3948">
      <formula>AND(BS23&gt;=1,EY23&lt;&gt;0, GetEquPower(C23,BM23, CY23, FR23)=0)</formula>
    </cfRule>
    <cfRule type="expression" dxfId="1" priority="3949">
      <formula>AND(BS23&gt;=1,EY23&lt;&gt;GetEquPower(C23,BM23, CY23, FR23))</formula>
    </cfRule>
  </conditionalFormatting>
  <conditionalFormatting sqref="EZ23">
    <cfRule type="expression" dxfId="2" priority="3950">
      <formula>AND(BS23&gt;=2,EZ23&lt;&gt;0, GetEquPower(C23,BM23, CZ23, FR23)=0)</formula>
    </cfRule>
    <cfRule type="expression" dxfId="1" priority="3951">
      <formula>AND(BS23&gt;=2,EZ23&lt;&gt;GetEquPower(C23,BM23, CZ23, FR23))</formula>
    </cfRule>
  </conditionalFormatting>
  <conditionalFormatting sqref="FA23">
    <cfRule type="expression" dxfId="2" priority="3952">
      <formula>AND(BS23&gt;=3,FA23&lt;&gt;0, GetEquPower(C23,BM23, DA23, FR23)=0)</formula>
    </cfRule>
    <cfRule type="expression" dxfId="1" priority="3953">
      <formula>AND(BS23&gt;=3,FA23&lt;&gt;GetEquPower(C23,BM23, DA23, FR23))</formula>
    </cfRule>
  </conditionalFormatting>
  <conditionalFormatting sqref="FF23">
    <cfRule type="expression" dxfId="2" priority="3954">
      <formula>AND(BT23&gt;=1,FF23&lt;&gt;0, GetEquPower(C23,BN23, DE23, FS23)=0)</formula>
    </cfRule>
    <cfRule type="expression" dxfId="1" priority="3955">
      <formula>AND(BT23&gt;=1,FF23&lt;&gt;GetEquPower(C23,BN23, DE23, FS23))</formula>
    </cfRule>
  </conditionalFormatting>
  <conditionalFormatting sqref="FG23">
    <cfRule type="expression" dxfId="2" priority="3956">
      <formula>AND(BT23&gt;=2,FG23&lt;&gt;0, GetEquPower(C23,BN23, DF23, FS23)=0)</formula>
    </cfRule>
    <cfRule type="expression" dxfId="1" priority="3957">
      <formula>AND(BT23&gt;=2,FG23&lt;&gt;GetEquPower(C23,BN23, DF23, FS23))</formula>
    </cfRule>
  </conditionalFormatting>
  <conditionalFormatting sqref="FH23">
    <cfRule type="expression" dxfId="2" priority="3958">
      <formula>AND(BT23&gt;=3,FH23&lt;&gt;0, GetEquPower(C23,BN23, DG23, FS23)=0)</formula>
    </cfRule>
    <cfRule type="expression" dxfId="1" priority="3959">
      <formula>AND(BT23&gt;=3,FH23&lt;&gt;GetEquPower(C23,BN23, DG23, FS23))</formula>
    </cfRule>
  </conditionalFormatting>
  <conditionalFormatting sqref="DZ23">
    <cfRule type="expression" dxfId="2" priority="3960">
      <formula>AND(BO23&gt;=4,DZ23&lt;&gt;0, GetEquPower(C23,BI23, CD23, FN23)=0)</formula>
    </cfRule>
    <cfRule type="expression" dxfId="1" priority="3961">
      <formula>AND(BO23&gt;=4, DZ23&lt;&gt;GetEquPower(C23,BI23, CD23, FN23))</formula>
    </cfRule>
  </conditionalFormatting>
  <conditionalFormatting sqref="EG23">
    <cfRule type="expression" dxfId="2" priority="3962">
      <formula>AND(BP23&gt;=4,EG23&lt;&gt;0, GetEquPower(C23,BJ23, CJ23, FO23)=0)</formula>
    </cfRule>
    <cfRule type="expression" dxfId="1" priority="3963">
      <formula>AND(BP23&gt;=4,EG23&lt;&gt;GetEquPower(C23,BJ23, CJ23, FO23))</formula>
    </cfRule>
  </conditionalFormatting>
  <conditionalFormatting sqref="EN23">
    <cfRule type="expression" dxfId="2" priority="3964">
      <formula>AND(BQ23&gt;=4,EN23&lt;&gt;0, GetEquPower(C23,BK23, CP23, FP23)=0)</formula>
    </cfRule>
    <cfRule type="expression" dxfId="1" priority="3965">
      <formula xml:space="preserve"> AND(BQ23&gt;=4,EN23&lt;&gt;GetEquPower(C23,BK23, CP23, FP23))</formula>
    </cfRule>
  </conditionalFormatting>
  <conditionalFormatting sqref="EU23">
    <cfRule type="expression" dxfId="2" priority="3966">
      <formula>AND(BR23&gt;=4,EU23&lt;&gt;0, GetEquPower(C23,BL23, CV23, FQ23)=0)</formula>
    </cfRule>
    <cfRule type="expression" dxfId="1" priority="3967">
      <formula>AND(BR23&gt;=4,EU23&lt;&gt;GetEquPower(C23,BL23, CV23, FQ23))</formula>
    </cfRule>
  </conditionalFormatting>
  <conditionalFormatting sqref="FB23">
    <cfRule type="expression" dxfId="2" priority="3968">
      <formula>AND(BS23&gt;=4,FB23&lt;&gt;0, GetEquPower(C23,BM23, DB23, FR23)=0)</formula>
    </cfRule>
    <cfRule type="expression" dxfId="1" priority="3969">
      <formula>AND(BS23&gt;=4,FB23&lt;&gt;GetEquPower(C23,BM23, DB23, FR23))</formula>
    </cfRule>
  </conditionalFormatting>
  <conditionalFormatting sqref="FI23">
    <cfRule type="expression" dxfId="2" priority="3970">
      <formula>AND(BT23&gt;=4,FI23&lt;&gt;0, GetEquPower(C23,BN23, DH23, FS23)=0)</formula>
    </cfRule>
    <cfRule type="expression" dxfId="1" priority="3971">
      <formula>AND(BT23&gt;=4,FI23&lt;&gt;GetEquPower(C23,BN23, DH23, FS23))</formula>
    </cfRule>
  </conditionalFormatting>
  <conditionalFormatting sqref="EA23">
    <cfRule type="expression" dxfId="2" priority="3972">
      <formula>AND(BO23&gt;=5,EA23&lt;&gt;0, GetEquPower(C23,BI23, CE23, FN23)=0)</formula>
    </cfRule>
    <cfRule type="expression" dxfId="1" priority="3973">
      <formula>AND(BO23&gt;=5, EA23&lt;&gt;GetEquPower(C23,BI23, CE23, FN23))</formula>
    </cfRule>
  </conditionalFormatting>
  <conditionalFormatting sqref="EB23">
    <cfRule type="expression" dxfId="2" priority="3974">
      <formula>AND(BO23&gt;=6,EB23&lt;&gt;0, GetEquPower(C23,BI23, CF23, FN23)=0)</formula>
    </cfRule>
    <cfRule type="expression" dxfId="1" priority="3975">
      <formula>AND(BO23&gt;=6, EB23&lt;&gt;GetEquPower(C23,BI23, CF23, FN23))</formula>
    </cfRule>
  </conditionalFormatting>
  <conditionalFormatting sqref="EH23">
    <cfRule type="expression" dxfId="2" priority="3976">
      <formula>AND(BP23&gt;=5,EH23&lt;&gt;0, GetEquPower(C23,BJ23, CK23, FO23)=0)</formula>
    </cfRule>
    <cfRule type="expression" dxfId="1" priority="3977">
      <formula>AND(BP23&gt;=5,EH23&lt;&gt;GetEquPower(C23,BJ23, CK23, FO23))</formula>
    </cfRule>
  </conditionalFormatting>
  <conditionalFormatting sqref="EI23">
    <cfRule type="expression" dxfId="2" priority="3978">
      <formula>AND(BP23&gt;=6,EI23&lt;&gt;0, GetEquPower(C23,BJ23, CL23, FO23)=0)</formula>
    </cfRule>
    <cfRule type="expression" dxfId="1" priority="3979">
      <formula>AND(BP23&gt;=6,EI23&lt;&gt;GetEquPower(C23,BJ23, CL23, FO23))</formula>
    </cfRule>
  </conditionalFormatting>
  <conditionalFormatting sqref="EO23">
    <cfRule type="expression" dxfId="2" priority="3980">
      <formula>AND(BQ23&gt;=5,EO23&lt;&gt;0, GetEquPower(C23,BK23, CQ23, FP23)=0)</formula>
    </cfRule>
    <cfRule type="expression" dxfId="1" priority="3981">
      <formula xml:space="preserve"> AND(BQ23&gt;=5,EO23&lt;&gt;GetEquPower(C23,BK23, CQ23, FP23))</formula>
    </cfRule>
  </conditionalFormatting>
  <conditionalFormatting sqref="EP23">
    <cfRule type="expression" dxfId="2" priority="3982">
      <formula>AND(BQ23&gt;=6,EP23&lt;&gt;0, GetEquPower(C23,BK23, CR23, FP23)=0)</formula>
    </cfRule>
    <cfRule type="expression" dxfId="1" priority="3983">
      <formula xml:space="preserve"> AND(BQ23&gt;=6,EP23&lt;&gt;GetEquPower(C23,BK23, CR23, FP23))</formula>
    </cfRule>
  </conditionalFormatting>
  <conditionalFormatting sqref="EV23">
    <cfRule type="expression" dxfId="2" priority="3984">
      <formula>AND(BR23&gt;=5,EV23&lt;&gt;0, GetEquPower(C23,BL23, CW23, FQ23)=0)</formula>
    </cfRule>
    <cfRule type="expression" dxfId="1" priority="3985">
      <formula>AND(BR23&gt;=5,EV23&lt;&gt;GetEquPower(C23,BL23, CW23, FQ23))</formula>
    </cfRule>
  </conditionalFormatting>
  <conditionalFormatting sqref="EW23">
    <cfRule type="expression" dxfId="2" priority="3986">
      <formula>AND(BR23&gt;=6,EW23&lt;&gt;0, GetEquPower(C23,BL23, CX23, FQ23)=0)</formula>
    </cfRule>
    <cfRule type="expression" dxfId="1" priority="3987">
      <formula>AND(BR23&gt;=6,EW23&lt;&gt;GetEquPower(C23,BL23, CX23, FQ23))</formula>
    </cfRule>
  </conditionalFormatting>
  <conditionalFormatting sqref="FC23">
    <cfRule type="expression" dxfId="2" priority="3988">
      <formula>AND(BS23&gt;=5,FC23&lt;&gt;0, GetEquPower(C23,BM23, DC23, FR23)=0)</formula>
    </cfRule>
    <cfRule type="expression" dxfId="1" priority="3989">
      <formula>AND(BS23&gt;=5,FC23&lt;&gt;GetEquPower(C23,BM23, DC23, FR23))</formula>
    </cfRule>
  </conditionalFormatting>
  <conditionalFormatting sqref="FD23">
    <cfRule type="expression" dxfId="2" priority="3990">
      <formula>AND(BS23&gt;=6,FD23&lt;&gt;0, GetEquPower(C23,BM23, DD23, FR23)=0)</formula>
    </cfRule>
    <cfRule type="expression" dxfId="1" priority="3991">
      <formula>AND(BS23&gt;=6,FD23&lt;&gt;GetEquPower(C23,BM23, DD23, FR23))</formula>
    </cfRule>
  </conditionalFormatting>
  <conditionalFormatting sqref="FJ23">
    <cfRule type="expression" dxfId="2" priority="3992">
      <formula>AND(BT23&gt;=5,FJ23&lt;&gt;0, GetEquPower(C23,BN23, DI23, FS23)=0)</formula>
    </cfRule>
    <cfRule type="expression" dxfId="1" priority="3993">
      <formula>AND(BT23&gt;=5,FJ23&lt;&gt;GetEquPower(C23,BN23, DI23, FS23))</formula>
    </cfRule>
  </conditionalFormatting>
  <conditionalFormatting sqref="FK23">
    <cfRule type="expression" dxfId="2" priority="3994">
      <formula>AND(BT23&gt;=6,FK23&lt;&gt;0, GetEquPower(C23,BN23, DJ23, FS23)=0)</formula>
    </cfRule>
    <cfRule type="expression" dxfId="1" priority="3995">
      <formula>AND(BT23&gt;=6,FK23&lt;&gt;GetEquPower(C23,BN23, DJ23, FS23))</formula>
    </cfRule>
  </conditionalFormatting>
  <conditionalFormatting sqref="W23">
    <cfRule type="expression" dxfId="0" priority="3911">
      <formula xml:space="preserve"> NOT(ISLOGICAL($W$2))</formula>
    </cfRule>
  </conditionalFormatting>
  <conditionalFormatting sqref="F24">
    <cfRule type="expression" dxfId="0" priority="3838">
      <formula>F24&lt;&gt;RIGHT(SUBSTITUTE(E24,".",""),LEN(F24))</formula>
    </cfRule>
  </conditionalFormatting>
  <conditionalFormatting sqref="X24">
    <cfRule type="expression" dxfId="0" priority="3833">
      <formula xml:space="preserve"> NOT(ISLOGICAL($X$2))</formula>
    </cfRule>
    <cfRule type="expression" dxfId="0" priority="3837">
      <formula>AND(X24=TRUE,W24=FALSE)</formula>
    </cfRule>
  </conditionalFormatting>
  <conditionalFormatting sqref="Y24">
    <cfRule type="expression" dxfId="0" priority="3836">
      <formula>OR(AND(X24=FALSE,INT(Y24)&gt;0),AND(X24=TRUE,INT(Y24)&lt;=0))</formula>
    </cfRule>
  </conditionalFormatting>
  <conditionalFormatting sqref="AA24">
    <cfRule type="expression" dxfId="0" priority="3835">
      <formula>AND(Z24=FALSE,AA24&gt;0)</formula>
    </cfRule>
  </conditionalFormatting>
  <conditionalFormatting sqref="BV24:HY24">
    <cfRule type="containsErrors" dxfId="0" priority="3834">
      <formula>ISERROR(BV24)</formula>
    </cfRule>
  </conditionalFormatting>
  <conditionalFormatting sqref="Z24">
    <cfRule type="expression" dxfId="0" priority="3832">
      <formula>NOT(ISLOGICAL($Z$2))</formula>
    </cfRule>
  </conditionalFormatting>
  <conditionalFormatting sqref="AB24">
    <cfRule type="expression" dxfId="0" priority="3831">
      <formula>NOT(ISLOGICAL($AB$2))</formula>
    </cfRule>
  </conditionalFormatting>
  <conditionalFormatting sqref="AC24">
    <cfRule type="expression" dxfId="0" priority="3830">
      <formula>NOT(ISLOGICAL($AC$2))</formula>
    </cfRule>
  </conditionalFormatting>
  <conditionalFormatting sqref="B24:BU24">
    <cfRule type="containsErrors" dxfId="0" priority="3829">
      <formula>ISERROR(B24)</formula>
    </cfRule>
  </conditionalFormatting>
  <conditionalFormatting sqref="I24">
    <cfRule type="expression" dxfId="0" priority="3828">
      <formula>NOT(ISNUMBER($I$2))</formula>
    </cfRule>
  </conditionalFormatting>
  <conditionalFormatting sqref="D24">
    <cfRule type="expression" dxfId="0" priority="3827">
      <formula>ISBLANK($D$2)</formula>
    </cfRule>
  </conditionalFormatting>
  <conditionalFormatting sqref="DW24">
    <cfRule type="expression" dxfId="2" priority="3839">
      <formula>AND(BO24&gt;=1,DW24&lt;&gt;0, GetEquPower(C24,BI24, CA24, FN24)=0)</formula>
    </cfRule>
    <cfRule type="expression" dxfId="1" priority="3840">
      <formula>AND(BO24&gt;=1,DW24&lt;&gt;GetEquPower(C24,BI24, CA24, FN24))</formula>
    </cfRule>
  </conditionalFormatting>
  <conditionalFormatting sqref="DX24">
    <cfRule type="expression" dxfId="2" priority="3841">
      <formula>AND(BO24&gt;=2,DX24&lt;&gt;0, GetEquPower(C24,BI24, CB24, FN24)=0)</formula>
    </cfRule>
    <cfRule type="expression" dxfId="1" priority="3842">
      <formula>AND(BO24&gt;=2,DX24&lt;&gt;GetEquPower(C24,BI24, CB24, FN24))</formula>
    </cfRule>
  </conditionalFormatting>
  <conditionalFormatting sqref="DY24">
    <cfRule type="expression" dxfId="2" priority="3843">
      <formula>AND(BO24&gt;=3,DY24&lt;&gt;0, GetEquPower(C24,BI24, CC24, FN24)=0)</formula>
    </cfRule>
    <cfRule type="expression" dxfId="1" priority="3844">
      <formula>AND(BO24&gt;=3,DY24&lt;&gt;GetEquPower(C24,BI24, CC24, FN24))</formula>
    </cfRule>
  </conditionalFormatting>
  <conditionalFormatting sqref="ED24">
    <cfRule type="expression" dxfId="2" priority="3845">
      <formula>AND(BP24&gt;=1,ED24&lt;&gt;0, GetEquPower(C24,BJ24, CG24, FO24)=0)</formula>
    </cfRule>
    <cfRule type="expression" dxfId="1" priority="3846">
      <formula>AND(BP24&gt;=1,ED24&lt;&gt;GetEquPower(C24,BJ24, CG24, FO24))</formula>
    </cfRule>
  </conditionalFormatting>
  <conditionalFormatting sqref="EE24">
    <cfRule type="expression" dxfId="2" priority="3847">
      <formula>AND(BP24&gt;=2,EE24&lt;&gt;0, GetEquPower(C24,BJ24, CH24, FO24)=0)</formula>
    </cfRule>
    <cfRule type="expression" dxfId="1" priority="3848">
      <formula>AND(BP24&gt;=2,EE24&lt;&gt;GetEquPower(C24,BJ24, CH24, FO24))</formula>
    </cfRule>
  </conditionalFormatting>
  <conditionalFormatting sqref="EF24">
    <cfRule type="expression" dxfId="2" priority="3849">
      <formula>AND(BP24&gt;=3,EF24&lt;&gt;0, GetEquPower(C24,BJ24, CI24, FO24)=0)</formula>
    </cfRule>
    <cfRule type="expression" dxfId="1" priority="3850">
      <formula>AND(BP24&gt;=3,EF24&lt;&gt;GetEquPower(C24,BJ24, CI24, FO24))</formula>
    </cfRule>
  </conditionalFormatting>
  <conditionalFormatting sqref="EK24">
    <cfRule type="expression" dxfId="2" priority="3851">
      <formula>AND(BQ24&gt;=1,EK24&lt;&gt;0, GetEquPower(C24,BK24, CM24, FP24)=0)</formula>
    </cfRule>
    <cfRule type="expression" dxfId="1" priority="3852">
      <formula>AND(BQ24&gt;=1,EK24&lt;&gt;GetEquPower(C24,BK24, CM24, FP24))</formula>
    </cfRule>
  </conditionalFormatting>
  <conditionalFormatting sqref="EL24">
    <cfRule type="expression" dxfId="2" priority="3853">
      <formula>AND(BQ24&gt;=2,EL24&lt;&gt;0, GetEquPower(C24,BK24, CN24, FP24)=0)</formula>
    </cfRule>
    <cfRule type="expression" dxfId="1" priority="3854">
      <formula xml:space="preserve"> AND(BQ24&gt;=2,EL24&lt;&gt;GetEquPower(C24,BK24, CN24, FP24))</formula>
    </cfRule>
  </conditionalFormatting>
  <conditionalFormatting sqref="EM24">
    <cfRule type="expression" dxfId="2" priority="3855">
      <formula>AND(BQ24&gt;=3,EM24&lt;&gt;0, GetEquPower(C24,BK24, CO24, FP24)=0)</formula>
    </cfRule>
    <cfRule type="expression" dxfId="1" priority="3856">
      <formula xml:space="preserve"> AND(BQ24&gt;=3,EM24&lt;&gt;GetEquPower(C24,BK24, CO24, FP24))</formula>
    </cfRule>
  </conditionalFormatting>
  <conditionalFormatting sqref="ER24">
    <cfRule type="expression" dxfId="2" priority="3857">
      <formula>AND(BR24&gt;=1,ER24&lt;&gt;0, GetEquPower(C24,BL24, CS24, FQ24)=0)</formula>
    </cfRule>
    <cfRule type="expression" dxfId="1" priority="3858">
      <formula>AND(BR24&gt;=1,ER24&lt;&gt;GetEquPower(C24,BL24, CS24, FQ24))</formula>
    </cfRule>
  </conditionalFormatting>
  <conditionalFormatting sqref="ES24">
    <cfRule type="expression" dxfId="2" priority="3859">
      <formula>AND(BR24&gt;=2,ES24&lt;&gt;0, GetEquPower(C24,BL24, CT24, FQ24)=0)</formula>
    </cfRule>
    <cfRule type="expression" dxfId="1" priority="3860">
      <formula>AND(BR24&gt;=2,ES24&lt;&gt;GetEquPower(C24,BL24, CT24, FQ24))</formula>
    </cfRule>
  </conditionalFormatting>
  <conditionalFormatting sqref="ET24">
    <cfRule type="expression" dxfId="2" priority="3861">
      <formula>AND(BR24&gt;=3,ET24&lt;&gt;0, GetEquPower(C24,BL24, CU24, FQ24)=0)</formula>
    </cfRule>
    <cfRule type="expression" dxfId="1" priority="3862">
      <formula>AND(BR24&gt;=3,ET24&lt;&gt;GetEquPower(C24,BL24, CU24, FQ24))</formula>
    </cfRule>
  </conditionalFormatting>
  <conditionalFormatting sqref="EY24">
    <cfRule type="expression" dxfId="2" priority="3863">
      <formula>AND(BS24&gt;=1,EY24&lt;&gt;0, GetEquPower(C24,BM24, CY24, FR24)=0)</formula>
    </cfRule>
    <cfRule type="expression" dxfId="1" priority="3864">
      <formula>AND(BS24&gt;=1,EY24&lt;&gt;GetEquPower(C24,BM24, CY24, FR24))</formula>
    </cfRule>
  </conditionalFormatting>
  <conditionalFormatting sqref="EZ24">
    <cfRule type="expression" dxfId="2" priority="3865">
      <formula>AND(BS24&gt;=2,EZ24&lt;&gt;0, GetEquPower(C24,BM24, CZ24, FR24)=0)</formula>
    </cfRule>
    <cfRule type="expression" dxfId="1" priority="3866">
      <formula>AND(BS24&gt;=2,EZ24&lt;&gt;GetEquPower(C24,BM24, CZ24, FR24))</formula>
    </cfRule>
  </conditionalFormatting>
  <conditionalFormatting sqref="FA24">
    <cfRule type="expression" dxfId="2" priority="3867">
      <formula>AND(BS24&gt;=3,FA24&lt;&gt;0, GetEquPower(C24,BM24, DA24, FR24)=0)</formula>
    </cfRule>
    <cfRule type="expression" dxfId="1" priority="3868">
      <formula>AND(BS24&gt;=3,FA24&lt;&gt;GetEquPower(C24,BM24, DA24, FR24))</formula>
    </cfRule>
  </conditionalFormatting>
  <conditionalFormatting sqref="FF24">
    <cfRule type="expression" dxfId="2" priority="3869">
      <formula>AND(BT24&gt;=1,FF24&lt;&gt;0, GetEquPower(C24,BN24, DE24, FS24)=0)</formula>
    </cfRule>
    <cfRule type="expression" dxfId="1" priority="3870">
      <formula>AND(BT24&gt;=1,FF24&lt;&gt;GetEquPower(C24,BN24, DE24, FS24))</formula>
    </cfRule>
  </conditionalFormatting>
  <conditionalFormatting sqref="FG24">
    <cfRule type="expression" dxfId="2" priority="3871">
      <formula>AND(BT24&gt;=2,FG24&lt;&gt;0, GetEquPower(C24,BN24, DF24, FS24)=0)</formula>
    </cfRule>
    <cfRule type="expression" dxfId="1" priority="3872">
      <formula>AND(BT24&gt;=2,FG24&lt;&gt;GetEquPower(C24,BN24, DF24, FS24))</formula>
    </cfRule>
  </conditionalFormatting>
  <conditionalFormatting sqref="FH24">
    <cfRule type="expression" dxfId="2" priority="3873">
      <formula>AND(BT24&gt;=3,FH24&lt;&gt;0, GetEquPower(C24,BN24, DG24, FS24)=0)</formula>
    </cfRule>
    <cfRule type="expression" dxfId="1" priority="3874">
      <formula>AND(BT24&gt;=3,FH24&lt;&gt;GetEquPower(C24,BN24, DG24, FS24))</formula>
    </cfRule>
  </conditionalFormatting>
  <conditionalFormatting sqref="DZ24">
    <cfRule type="expression" dxfId="2" priority="3875">
      <formula>AND(BO24&gt;=4,DZ24&lt;&gt;0, GetEquPower(C24,BI24, CD24, FN24)=0)</formula>
    </cfRule>
    <cfRule type="expression" dxfId="1" priority="3876">
      <formula>AND(BO24&gt;=4, DZ24&lt;&gt;GetEquPower(C24,BI24, CD24, FN24))</formula>
    </cfRule>
  </conditionalFormatting>
  <conditionalFormatting sqref="EG24">
    <cfRule type="expression" dxfId="2" priority="3877">
      <formula>AND(BP24&gt;=4,EG24&lt;&gt;0, GetEquPower(C24,BJ24, CJ24, FO24)=0)</formula>
    </cfRule>
    <cfRule type="expression" dxfId="1" priority="3878">
      <formula>AND(BP24&gt;=4,EG24&lt;&gt;GetEquPower(C24,BJ24, CJ24, FO24))</formula>
    </cfRule>
  </conditionalFormatting>
  <conditionalFormatting sqref="EN24">
    <cfRule type="expression" dxfId="2" priority="3879">
      <formula>AND(BQ24&gt;=4,EN24&lt;&gt;0, GetEquPower(C24,BK24, CP24, FP24)=0)</formula>
    </cfRule>
    <cfRule type="expression" dxfId="1" priority="3880">
      <formula xml:space="preserve"> AND(BQ24&gt;=4,EN24&lt;&gt;GetEquPower(C24,BK24, CP24, FP24))</formula>
    </cfRule>
  </conditionalFormatting>
  <conditionalFormatting sqref="EU24">
    <cfRule type="expression" dxfId="2" priority="3881">
      <formula>AND(BR24&gt;=4,EU24&lt;&gt;0, GetEquPower(C24,BL24, CV24, FQ24)=0)</formula>
    </cfRule>
    <cfRule type="expression" dxfId="1" priority="3882">
      <formula>AND(BR24&gt;=4,EU24&lt;&gt;GetEquPower(C24,BL24, CV24, FQ24))</formula>
    </cfRule>
  </conditionalFormatting>
  <conditionalFormatting sqref="FB24">
    <cfRule type="expression" dxfId="2" priority="3883">
      <formula>AND(BS24&gt;=4,FB24&lt;&gt;0, GetEquPower(C24,BM24, DB24, FR24)=0)</formula>
    </cfRule>
    <cfRule type="expression" dxfId="1" priority="3884">
      <formula>AND(BS24&gt;=4,FB24&lt;&gt;GetEquPower(C24,BM24, DB24, FR24))</formula>
    </cfRule>
  </conditionalFormatting>
  <conditionalFormatting sqref="FI24">
    <cfRule type="expression" dxfId="2" priority="3885">
      <formula>AND(BT24&gt;=4,FI24&lt;&gt;0, GetEquPower(C24,BN24, DH24, FS24)=0)</formula>
    </cfRule>
    <cfRule type="expression" dxfId="1" priority="3886">
      <formula>AND(BT24&gt;=4,FI24&lt;&gt;GetEquPower(C24,BN24, DH24, FS24))</formula>
    </cfRule>
  </conditionalFormatting>
  <conditionalFormatting sqref="EA24">
    <cfRule type="expression" dxfId="2" priority="3887">
      <formula>AND(BO24&gt;=5,EA24&lt;&gt;0, GetEquPower(C24,BI24, CE24, FN24)=0)</formula>
    </cfRule>
    <cfRule type="expression" dxfId="1" priority="3888">
      <formula>AND(BO24&gt;=5, EA24&lt;&gt;GetEquPower(C24,BI24, CE24, FN24))</formula>
    </cfRule>
  </conditionalFormatting>
  <conditionalFormatting sqref="EB24">
    <cfRule type="expression" dxfId="2" priority="3889">
      <formula>AND(BO24&gt;=6,EB24&lt;&gt;0, GetEquPower(C24,BI24, CF24, FN24)=0)</formula>
    </cfRule>
    <cfRule type="expression" dxfId="1" priority="3890">
      <formula>AND(BO24&gt;=6, EB24&lt;&gt;GetEquPower(C24,BI24, CF24, FN24))</formula>
    </cfRule>
  </conditionalFormatting>
  <conditionalFormatting sqref="EH24">
    <cfRule type="expression" dxfId="2" priority="3891">
      <formula>AND(BP24&gt;=5,EH24&lt;&gt;0, GetEquPower(C24,BJ24, CK24, FO24)=0)</formula>
    </cfRule>
    <cfRule type="expression" dxfId="1" priority="3892">
      <formula>AND(BP24&gt;=5,EH24&lt;&gt;GetEquPower(C24,BJ24, CK24, FO24))</formula>
    </cfRule>
  </conditionalFormatting>
  <conditionalFormatting sqref="EI24">
    <cfRule type="expression" dxfId="2" priority="3893">
      <formula>AND(BP24&gt;=6,EI24&lt;&gt;0, GetEquPower(C24,BJ24, CL24, FO24)=0)</formula>
    </cfRule>
    <cfRule type="expression" dxfId="1" priority="3894">
      <formula>AND(BP24&gt;=6,EI24&lt;&gt;GetEquPower(C24,BJ24, CL24, FO24))</formula>
    </cfRule>
  </conditionalFormatting>
  <conditionalFormatting sqref="EO24">
    <cfRule type="expression" dxfId="2" priority="3895">
      <formula>AND(BQ24&gt;=5,EO24&lt;&gt;0, GetEquPower(C24,BK24, CQ24, FP24)=0)</formula>
    </cfRule>
    <cfRule type="expression" dxfId="1" priority="3896">
      <formula xml:space="preserve"> AND(BQ24&gt;=5,EO24&lt;&gt;GetEquPower(C24,BK24, CQ24, FP24))</formula>
    </cfRule>
  </conditionalFormatting>
  <conditionalFormatting sqref="EP24">
    <cfRule type="expression" dxfId="2" priority="3897">
      <formula>AND(BQ24&gt;=6,EP24&lt;&gt;0, GetEquPower(C24,BK24, CR24, FP24)=0)</formula>
    </cfRule>
    <cfRule type="expression" dxfId="1" priority="3898">
      <formula xml:space="preserve"> AND(BQ24&gt;=6,EP24&lt;&gt;GetEquPower(C24,BK24, CR24, FP24))</formula>
    </cfRule>
  </conditionalFormatting>
  <conditionalFormatting sqref="EV24">
    <cfRule type="expression" dxfId="2" priority="3899">
      <formula>AND(BR24&gt;=5,EV24&lt;&gt;0, GetEquPower(C24,BL24, CW24, FQ24)=0)</formula>
    </cfRule>
    <cfRule type="expression" dxfId="1" priority="3900">
      <formula>AND(BR24&gt;=5,EV24&lt;&gt;GetEquPower(C24,BL24, CW24, FQ24))</formula>
    </cfRule>
  </conditionalFormatting>
  <conditionalFormatting sqref="EW24">
    <cfRule type="expression" dxfId="2" priority="3901">
      <formula>AND(BR24&gt;=6,EW24&lt;&gt;0, GetEquPower(C24,BL24, CX24, FQ24)=0)</formula>
    </cfRule>
    <cfRule type="expression" dxfId="1" priority="3902">
      <formula>AND(BR24&gt;=6,EW24&lt;&gt;GetEquPower(C24,BL24, CX24, FQ24))</formula>
    </cfRule>
  </conditionalFormatting>
  <conditionalFormatting sqref="FC24">
    <cfRule type="expression" dxfId="2" priority="3903">
      <formula>AND(BS24&gt;=5,FC24&lt;&gt;0, GetEquPower(C24,BM24, DC24, FR24)=0)</formula>
    </cfRule>
    <cfRule type="expression" dxfId="1" priority="3904">
      <formula>AND(BS24&gt;=5,FC24&lt;&gt;GetEquPower(C24,BM24, DC24, FR24))</formula>
    </cfRule>
  </conditionalFormatting>
  <conditionalFormatting sqref="FD24">
    <cfRule type="expression" dxfId="2" priority="3905">
      <formula>AND(BS24&gt;=6,FD24&lt;&gt;0, GetEquPower(C24,BM24, DD24, FR24)=0)</formula>
    </cfRule>
    <cfRule type="expression" dxfId="1" priority="3906">
      <formula>AND(BS24&gt;=6,FD24&lt;&gt;GetEquPower(C24,BM24, DD24, FR24))</formula>
    </cfRule>
  </conditionalFormatting>
  <conditionalFormatting sqref="FJ24">
    <cfRule type="expression" dxfId="2" priority="3907">
      <formula>AND(BT24&gt;=5,FJ24&lt;&gt;0, GetEquPower(C24,BN24, DI24, FS24)=0)</formula>
    </cfRule>
    <cfRule type="expression" dxfId="1" priority="3908">
      <formula>AND(BT24&gt;=5,FJ24&lt;&gt;GetEquPower(C24,BN24, DI24, FS24))</formula>
    </cfRule>
  </conditionalFormatting>
  <conditionalFormatting sqref="FK24">
    <cfRule type="expression" dxfId="2" priority="3909">
      <formula>AND(BT24&gt;=6,FK24&lt;&gt;0, GetEquPower(C24,BN24, DJ24, FS24)=0)</formula>
    </cfRule>
    <cfRule type="expression" dxfId="1" priority="3910">
      <formula>AND(BT24&gt;=6,FK24&lt;&gt;GetEquPower(C24,BN24, DJ24, FS24))</formula>
    </cfRule>
  </conditionalFormatting>
  <conditionalFormatting sqref="W24">
    <cfRule type="expression" dxfId="0" priority="3826">
      <formula xml:space="preserve"> NOT(ISLOGICAL($W$2))</formula>
    </cfRule>
  </conditionalFormatting>
  <conditionalFormatting sqref="F25">
    <cfRule type="expression" dxfId="0" priority="3753">
      <formula>F25&lt;&gt;RIGHT(SUBSTITUTE(E25,".",""),LEN(F25))</formula>
    </cfRule>
  </conditionalFormatting>
  <conditionalFormatting sqref="X25">
    <cfRule type="expression" dxfId="0" priority="3748">
      <formula xml:space="preserve"> NOT(ISLOGICAL($X$2))</formula>
    </cfRule>
    <cfRule type="expression" dxfId="0" priority="3752">
      <formula>AND(X25=TRUE,W25=FALSE)</formula>
    </cfRule>
  </conditionalFormatting>
  <conditionalFormatting sqref="Y25">
    <cfRule type="expression" dxfId="0" priority="3751">
      <formula>OR(AND(X25=FALSE,INT(Y25)&gt;0),AND(X25=TRUE,INT(Y25)&lt;=0))</formula>
    </cfRule>
  </conditionalFormatting>
  <conditionalFormatting sqref="AA25">
    <cfRule type="expression" dxfId="0" priority="3750">
      <formula>AND(Z25=FALSE,AA25&gt;0)</formula>
    </cfRule>
  </conditionalFormatting>
  <conditionalFormatting sqref="BV25:HY25">
    <cfRule type="containsErrors" dxfId="0" priority="3749">
      <formula>ISERROR(BV25)</formula>
    </cfRule>
  </conditionalFormatting>
  <conditionalFormatting sqref="Z25">
    <cfRule type="expression" dxfId="0" priority="3747">
      <formula>NOT(ISLOGICAL($Z$2))</formula>
    </cfRule>
  </conditionalFormatting>
  <conditionalFormatting sqref="AB25">
    <cfRule type="expression" dxfId="0" priority="3746">
      <formula>NOT(ISLOGICAL($AB$2))</formula>
    </cfRule>
  </conditionalFormatting>
  <conditionalFormatting sqref="AC25">
    <cfRule type="expression" dxfId="0" priority="3745">
      <formula>NOT(ISLOGICAL($AC$2))</formula>
    </cfRule>
  </conditionalFormatting>
  <conditionalFormatting sqref="B25:BU25">
    <cfRule type="containsErrors" dxfId="0" priority="3744">
      <formula>ISERROR(B25)</formula>
    </cfRule>
  </conditionalFormatting>
  <conditionalFormatting sqref="I25">
    <cfRule type="expression" dxfId="0" priority="3743">
      <formula>NOT(ISNUMBER($I$2))</formula>
    </cfRule>
  </conditionalFormatting>
  <conditionalFormatting sqref="D25">
    <cfRule type="expression" dxfId="0" priority="3742">
      <formula>ISBLANK($D$2)</formula>
    </cfRule>
  </conditionalFormatting>
  <conditionalFormatting sqref="DW25">
    <cfRule type="expression" dxfId="2" priority="3754">
      <formula>AND(BO25&gt;=1,DW25&lt;&gt;0, GetEquPower(C25,BI25, CA25, FN25)=0)</formula>
    </cfRule>
    <cfRule type="expression" dxfId="1" priority="3755">
      <formula>AND(BO25&gt;=1,DW25&lt;&gt;GetEquPower(C25,BI25, CA25, FN25))</formula>
    </cfRule>
  </conditionalFormatting>
  <conditionalFormatting sqref="DX25">
    <cfRule type="expression" dxfId="2" priority="3756">
      <formula>AND(BO25&gt;=2,DX25&lt;&gt;0, GetEquPower(C25,BI25, CB25, FN25)=0)</formula>
    </cfRule>
    <cfRule type="expression" dxfId="1" priority="3757">
      <formula>AND(BO25&gt;=2,DX25&lt;&gt;GetEquPower(C25,BI25, CB25, FN25))</formula>
    </cfRule>
  </conditionalFormatting>
  <conditionalFormatting sqref="DY25">
    <cfRule type="expression" dxfId="2" priority="3758">
      <formula>AND(BO25&gt;=3,DY25&lt;&gt;0, GetEquPower(C25,BI25, CC25, FN25)=0)</formula>
    </cfRule>
    <cfRule type="expression" dxfId="1" priority="3759">
      <formula>AND(BO25&gt;=3,DY25&lt;&gt;GetEquPower(C25,BI25, CC25, FN25))</formula>
    </cfRule>
  </conditionalFormatting>
  <conditionalFormatting sqref="ED25">
    <cfRule type="expression" dxfId="2" priority="3760">
      <formula>AND(BP25&gt;=1,ED25&lt;&gt;0, GetEquPower(C25,BJ25, CG25, FO25)=0)</formula>
    </cfRule>
    <cfRule type="expression" dxfId="1" priority="3761">
      <formula>AND(BP25&gt;=1,ED25&lt;&gt;GetEquPower(C25,BJ25, CG25, FO25))</formula>
    </cfRule>
  </conditionalFormatting>
  <conditionalFormatting sqref="EE25">
    <cfRule type="expression" dxfId="2" priority="3762">
      <formula>AND(BP25&gt;=2,EE25&lt;&gt;0, GetEquPower(C25,BJ25, CH25, FO25)=0)</formula>
    </cfRule>
    <cfRule type="expression" dxfId="1" priority="3763">
      <formula>AND(BP25&gt;=2,EE25&lt;&gt;GetEquPower(C25,BJ25, CH25, FO25))</formula>
    </cfRule>
  </conditionalFormatting>
  <conditionalFormatting sqref="EF25">
    <cfRule type="expression" dxfId="2" priority="3764">
      <formula>AND(BP25&gt;=3,EF25&lt;&gt;0, GetEquPower(C25,BJ25, CI25, FO25)=0)</formula>
    </cfRule>
    <cfRule type="expression" dxfId="1" priority="3765">
      <formula>AND(BP25&gt;=3,EF25&lt;&gt;GetEquPower(C25,BJ25, CI25, FO25))</formula>
    </cfRule>
  </conditionalFormatting>
  <conditionalFormatting sqref="EK25">
    <cfRule type="expression" dxfId="2" priority="3766">
      <formula>AND(BQ25&gt;=1,EK25&lt;&gt;0, GetEquPower(C25,BK25, CM25, FP25)=0)</formula>
    </cfRule>
    <cfRule type="expression" dxfId="1" priority="3767">
      <formula>AND(BQ25&gt;=1,EK25&lt;&gt;GetEquPower(C25,BK25, CM25, FP25))</formula>
    </cfRule>
  </conditionalFormatting>
  <conditionalFormatting sqref="EL25">
    <cfRule type="expression" dxfId="2" priority="3768">
      <formula>AND(BQ25&gt;=2,EL25&lt;&gt;0, GetEquPower(C25,BK25, CN25, FP25)=0)</formula>
    </cfRule>
    <cfRule type="expression" dxfId="1" priority="3769">
      <formula xml:space="preserve"> AND(BQ25&gt;=2,EL25&lt;&gt;GetEquPower(C25,BK25, CN25, FP25))</formula>
    </cfRule>
  </conditionalFormatting>
  <conditionalFormatting sqref="EM25">
    <cfRule type="expression" dxfId="2" priority="3770">
      <formula>AND(BQ25&gt;=3,EM25&lt;&gt;0, GetEquPower(C25,BK25, CO25, FP25)=0)</formula>
    </cfRule>
    <cfRule type="expression" dxfId="1" priority="3771">
      <formula xml:space="preserve"> AND(BQ25&gt;=3,EM25&lt;&gt;GetEquPower(C25,BK25, CO25, FP25))</formula>
    </cfRule>
  </conditionalFormatting>
  <conditionalFormatting sqref="ER25">
    <cfRule type="expression" dxfId="2" priority="3772">
      <formula>AND(BR25&gt;=1,ER25&lt;&gt;0, GetEquPower(C25,BL25, CS25, FQ25)=0)</formula>
    </cfRule>
    <cfRule type="expression" dxfId="1" priority="3773">
      <formula>AND(BR25&gt;=1,ER25&lt;&gt;GetEquPower(C25,BL25, CS25, FQ25))</formula>
    </cfRule>
  </conditionalFormatting>
  <conditionalFormatting sqref="ES25">
    <cfRule type="expression" dxfId="2" priority="3774">
      <formula>AND(BR25&gt;=2,ES25&lt;&gt;0, GetEquPower(C25,BL25, CT25, FQ25)=0)</formula>
    </cfRule>
    <cfRule type="expression" dxfId="1" priority="3775">
      <formula>AND(BR25&gt;=2,ES25&lt;&gt;GetEquPower(C25,BL25, CT25, FQ25))</formula>
    </cfRule>
  </conditionalFormatting>
  <conditionalFormatting sqref="ET25">
    <cfRule type="expression" dxfId="2" priority="3776">
      <formula>AND(BR25&gt;=3,ET25&lt;&gt;0, GetEquPower(C25,BL25, CU25, FQ25)=0)</formula>
    </cfRule>
    <cfRule type="expression" dxfId="1" priority="3777">
      <formula>AND(BR25&gt;=3,ET25&lt;&gt;GetEquPower(C25,BL25, CU25, FQ25))</formula>
    </cfRule>
  </conditionalFormatting>
  <conditionalFormatting sqref="EY25">
    <cfRule type="expression" dxfId="2" priority="3778">
      <formula>AND(BS25&gt;=1,EY25&lt;&gt;0, GetEquPower(C25,BM25, CY25, FR25)=0)</formula>
    </cfRule>
    <cfRule type="expression" dxfId="1" priority="3779">
      <formula>AND(BS25&gt;=1,EY25&lt;&gt;GetEquPower(C25,BM25, CY25, FR25))</formula>
    </cfRule>
  </conditionalFormatting>
  <conditionalFormatting sqref="EZ25">
    <cfRule type="expression" dxfId="2" priority="3780">
      <formula>AND(BS25&gt;=2,EZ25&lt;&gt;0, GetEquPower(C25,BM25, CZ25, FR25)=0)</formula>
    </cfRule>
    <cfRule type="expression" dxfId="1" priority="3781">
      <formula>AND(BS25&gt;=2,EZ25&lt;&gt;GetEquPower(C25,BM25, CZ25, FR25))</formula>
    </cfRule>
  </conditionalFormatting>
  <conditionalFormatting sqref="FA25">
    <cfRule type="expression" dxfId="2" priority="3782">
      <formula>AND(BS25&gt;=3,FA25&lt;&gt;0, GetEquPower(C25,BM25, DA25, FR25)=0)</formula>
    </cfRule>
    <cfRule type="expression" dxfId="1" priority="3783">
      <formula>AND(BS25&gt;=3,FA25&lt;&gt;GetEquPower(C25,BM25, DA25, FR25))</formula>
    </cfRule>
  </conditionalFormatting>
  <conditionalFormatting sqref="FF25">
    <cfRule type="expression" dxfId="2" priority="3784">
      <formula>AND(BT25&gt;=1,FF25&lt;&gt;0, GetEquPower(C25,BN25, DE25, FS25)=0)</formula>
    </cfRule>
    <cfRule type="expression" dxfId="1" priority="3785">
      <formula>AND(BT25&gt;=1,FF25&lt;&gt;GetEquPower(C25,BN25, DE25, FS25))</formula>
    </cfRule>
  </conditionalFormatting>
  <conditionalFormatting sqref="FG25">
    <cfRule type="expression" dxfId="2" priority="3786">
      <formula>AND(BT25&gt;=2,FG25&lt;&gt;0, GetEquPower(C25,BN25, DF25, FS25)=0)</formula>
    </cfRule>
    <cfRule type="expression" dxfId="1" priority="3787">
      <formula>AND(BT25&gt;=2,FG25&lt;&gt;GetEquPower(C25,BN25, DF25, FS25))</formula>
    </cfRule>
  </conditionalFormatting>
  <conditionalFormatting sqref="FH25">
    <cfRule type="expression" dxfId="2" priority="3788">
      <formula>AND(BT25&gt;=3,FH25&lt;&gt;0, GetEquPower(C25,BN25, DG25, FS25)=0)</formula>
    </cfRule>
    <cfRule type="expression" dxfId="1" priority="3789">
      <formula>AND(BT25&gt;=3,FH25&lt;&gt;GetEquPower(C25,BN25, DG25, FS25))</formula>
    </cfRule>
  </conditionalFormatting>
  <conditionalFormatting sqref="DZ25">
    <cfRule type="expression" dxfId="2" priority="3790">
      <formula>AND(BO25&gt;=4,DZ25&lt;&gt;0, GetEquPower(C25,BI25, CD25, FN25)=0)</formula>
    </cfRule>
    <cfRule type="expression" dxfId="1" priority="3791">
      <formula>AND(BO25&gt;=4, DZ25&lt;&gt;GetEquPower(C25,BI25, CD25, FN25))</formula>
    </cfRule>
  </conditionalFormatting>
  <conditionalFormatting sqref="EG25">
    <cfRule type="expression" dxfId="2" priority="3792">
      <formula>AND(BP25&gt;=4,EG25&lt;&gt;0, GetEquPower(C25,BJ25, CJ25, FO25)=0)</formula>
    </cfRule>
    <cfRule type="expression" dxfId="1" priority="3793">
      <formula>AND(BP25&gt;=4,EG25&lt;&gt;GetEquPower(C25,BJ25, CJ25, FO25))</formula>
    </cfRule>
  </conditionalFormatting>
  <conditionalFormatting sqref="EN25">
    <cfRule type="expression" dxfId="2" priority="3794">
      <formula>AND(BQ25&gt;=4,EN25&lt;&gt;0, GetEquPower(C25,BK25, CP25, FP25)=0)</formula>
    </cfRule>
    <cfRule type="expression" dxfId="1" priority="3795">
      <formula xml:space="preserve"> AND(BQ25&gt;=4,EN25&lt;&gt;GetEquPower(C25,BK25, CP25, FP25))</formula>
    </cfRule>
  </conditionalFormatting>
  <conditionalFormatting sqref="EU25">
    <cfRule type="expression" dxfId="2" priority="3796">
      <formula>AND(BR25&gt;=4,EU25&lt;&gt;0, GetEquPower(C25,BL25, CV25, FQ25)=0)</formula>
    </cfRule>
    <cfRule type="expression" dxfId="1" priority="3797">
      <formula>AND(BR25&gt;=4,EU25&lt;&gt;GetEquPower(C25,BL25, CV25, FQ25))</formula>
    </cfRule>
  </conditionalFormatting>
  <conditionalFormatting sqref="FB25">
    <cfRule type="expression" dxfId="2" priority="3798">
      <formula>AND(BS25&gt;=4,FB25&lt;&gt;0, GetEquPower(C25,BM25, DB25, FR25)=0)</formula>
    </cfRule>
    <cfRule type="expression" dxfId="1" priority="3799">
      <formula>AND(BS25&gt;=4,FB25&lt;&gt;GetEquPower(C25,BM25, DB25, FR25))</formula>
    </cfRule>
  </conditionalFormatting>
  <conditionalFormatting sqref="FI25">
    <cfRule type="expression" dxfId="2" priority="3800">
      <formula>AND(BT25&gt;=4,FI25&lt;&gt;0, GetEquPower(C25,BN25, DH25, FS25)=0)</formula>
    </cfRule>
    <cfRule type="expression" dxfId="1" priority="3801">
      <formula>AND(BT25&gt;=4,FI25&lt;&gt;GetEquPower(C25,BN25, DH25, FS25))</formula>
    </cfRule>
  </conditionalFormatting>
  <conditionalFormatting sqref="EA25">
    <cfRule type="expression" dxfId="2" priority="3802">
      <formula>AND(BO25&gt;=5,EA25&lt;&gt;0, GetEquPower(C25,BI25, CE25, FN25)=0)</formula>
    </cfRule>
    <cfRule type="expression" dxfId="1" priority="3803">
      <formula>AND(BO25&gt;=5, EA25&lt;&gt;GetEquPower(C25,BI25, CE25, FN25))</formula>
    </cfRule>
  </conditionalFormatting>
  <conditionalFormatting sqref="EB25">
    <cfRule type="expression" dxfId="2" priority="3804">
      <formula>AND(BO25&gt;=6,EB25&lt;&gt;0, GetEquPower(C25,BI25, CF25, FN25)=0)</formula>
    </cfRule>
    <cfRule type="expression" dxfId="1" priority="3805">
      <formula>AND(BO25&gt;=6, EB25&lt;&gt;GetEquPower(C25,BI25, CF25, FN25))</formula>
    </cfRule>
  </conditionalFormatting>
  <conditionalFormatting sqref="EH25">
    <cfRule type="expression" dxfId="2" priority="3806">
      <formula>AND(BP25&gt;=5,EH25&lt;&gt;0, GetEquPower(C25,BJ25, CK25, FO25)=0)</formula>
    </cfRule>
    <cfRule type="expression" dxfId="1" priority="3807">
      <formula>AND(BP25&gt;=5,EH25&lt;&gt;GetEquPower(C25,BJ25, CK25, FO25))</formula>
    </cfRule>
  </conditionalFormatting>
  <conditionalFormatting sqref="EI25">
    <cfRule type="expression" dxfId="2" priority="3808">
      <formula>AND(BP25&gt;=6,EI25&lt;&gt;0, GetEquPower(C25,BJ25, CL25, FO25)=0)</formula>
    </cfRule>
    <cfRule type="expression" dxfId="1" priority="3809">
      <formula>AND(BP25&gt;=6,EI25&lt;&gt;GetEquPower(C25,BJ25, CL25, FO25))</formula>
    </cfRule>
  </conditionalFormatting>
  <conditionalFormatting sqref="EO25">
    <cfRule type="expression" dxfId="2" priority="3810">
      <formula>AND(BQ25&gt;=5,EO25&lt;&gt;0, GetEquPower(C25,BK25, CQ25, FP25)=0)</formula>
    </cfRule>
    <cfRule type="expression" dxfId="1" priority="3811">
      <formula xml:space="preserve"> AND(BQ25&gt;=5,EO25&lt;&gt;GetEquPower(C25,BK25, CQ25, FP25))</formula>
    </cfRule>
  </conditionalFormatting>
  <conditionalFormatting sqref="EP25">
    <cfRule type="expression" dxfId="2" priority="3812">
      <formula>AND(BQ25&gt;=6,EP25&lt;&gt;0, GetEquPower(C25,BK25, CR25, FP25)=0)</formula>
    </cfRule>
    <cfRule type="expression" dxfId="1" priority="3813">
      <formula xml:space="preserve"> AND(BQ25&gt;=6,EP25&lt;&gt;GetEquPower(C25,BK25, CR25, FP25))</formula>
    </cfRule>
  </conditionalFormatting>
  <conditionalFormatting sqref="EV25">
    <cfRule type="expression" dxfId="2" priority="3814">
      <formula>AND(BR25&gt;=5,EV25&lt;&gt;0, GetEquPower(C25,BL25, CW25, FQ25)=0)</formula>
    </cfRule>
    <cfRule type="expression" dxfId="1" priority="3815">
      <formula>AND(BR25&gt;=5,EV25&lt;&gt;GetEquPower(C25,BL25, CW25, FQ25))</formula>
    </cfRule>
  </conditionalFormatting>
  <conditionalFormatting sqref="EW25">
    <cfRule type="expression" dxfId="2" priority="3816">
      <formula>AND(BR25&gt;=6,EW25&lt;&gt;0, GetEquPower(C25,BL25, CX25, FQ25)=0)</formula>
    </cfRule>
    <cfRule type="expression" dxfId="1" priority="3817">
      <formula>AND(BR25&gt;=6,EW25&lt;&gt;GetEquPower(C25,BL25, CX25, FQ25))</formula>
    </cfRule>
  </conditionalFormatting>
  <conditionalFormatting sqref="FC25">
    <cfRule type="expression" dxfId="2" priority="3818">
      <formula>AND(BS25&gt;=5,FC25&lt;&gt;0, GetEquPower(C25,BM25, DC25, FR25)=0)</formula>
    </cfRule>
    <cfRule type="expression" dxfId="1" priority="3819">
      <formula>AND(BS25&gt;=5,FC25&lt;&gt;GetEquPower(C25,BM25, DC25, FR25))</formula>
    </cfRule>
  </conditionalFormatting>
  <conditionalFormatting sqref="FD25">
    <cfRule type="expression" dxfId="2" priority="3820">
      <formula>AND(BS25&gt;=6,FD25&lt;&gt;0, GetEquPower(C25,BM25, DD25, FR25)=0)</formula>
    </cfRule>
    <cfRule type="expression" dxfId="1" priority="3821">
      <formula>AND(BS25&gt;=6,FD25&lt;&gt;GetEquPower(C25,BM25, DD25, FR25))</formula>
    </cfRule>
  </conditionalFormatting>
  <conditionalFormatting sqref="FJ25">
    <cfRule type="expression" dxfId="2" priority="3822">
      <formula>AND(BT25&gt;=5,FJ25&lt;&gt;0, GetEquPower(C25,BN25, DI25, FS25)=0)</formula>
    </cfRule>
    <cfRule type="expression" dxfId="1" priority="3823">
      <formula>AND(BT25&gt;=5,FJ25&lt;&gt;GetEquPower(C25,BN25, DI25, FS25))</formula>
    </cfRule>
  </conditionalFormatting>
  <conditionalFormatting sqref="FK25">
    <cfRule type="expression" dxfId="2" priority="3824">
      <formula>AND(BT25&gt;=6,FK25&lt;&gt;0, GetEquPower(C25,BN25, DJ25, FS25)=0)</formula>
    </cfRule>
    <cfRule type="expression" dxfId="1" priority="3825">
      <formula>AND(BT25&gt;=6,FK25&lt;&gt;GetEquPower(C25,BN25, DJ25, FS25))</formula>
    </cfRule>
  </conditionalFormatting>
  <conditionalFormatting sqref="W25">
    <cfRule type="expression" dxfId="0" priority="3741">
      <formula xml:space="preserve"> NOT(ISLOGICAL($W$2))</formula>
    </cfRule>
  </conditionalFormatting>
  <conditionalFormatting sqref="F26">
    <cfRule type="expression" dxfId="0" priority="3668">
      <formula>F26&lt;&gt;RIGHT(SUBSTITUTE(E26,".",""),LEN(F26))</formula>
    </cfRule>
  </conditionalFormatting>
  <conditionalFormatting sqref="X26">
    <cfRule type="expression" dxfId="0" priority="3663">
      <formula xml:space="preserve"> NOT(ISLOGICAL($X$2))</formula>
    </cfRule>
    <cfRule type="expression" dxfId="0" priority="3667">
      <formula>AND(X26=TRUE,W26=FALSE)</formula>
    </cfRule>
  </conditionalFormatting>
  <conditionalFormatting sqref="Y26">
    <cfRule type="expression" dxfId="0" priority="3666">
      <formula>OR(AND(X26=FALSE,INT(Y26)&gt;0),AND(X26=TRUE,INT(Y26)&lt;=0))</formula>
    </cfRule>
  </conditionalFormatting>
  <conditionalFormatting sqref="AA26">
    <cfRule type="expression" dxfId="0" priority="3665">
      <formula>AND(Z26=FALSE,AA26&gt;0)</formula>
    </cfRule>
  </conditionalFormatting>
  <conditionalFormatting sqref="BV26:HY26">
    <cfRule type="containsErrors" dxfId="0" priority="3664">
      <formula>ISERROR(BV26)</formula>
    </cfRule>
  </conditionalFormatting>
  <conditionalFormatting sqref="Z26">
    <cfRule type="expression" dxfId="0" priority="3662">
      <formula>NOT(ISLOGICAL($Z$2))</formula>
    </cfRule>
  </conditionalFormatting>
  <conditionalFormatting sqref="AB26">
    <cfRule type="expression" dxfId="0" priority="3661">
      <formula>NOT(ISLOGICAL($AB$2))</formula>
    </cfRule>
  </conditionalFormatting>
  <conditionalFormatting sqref="AC26">
    <cfRule type="expression" dxfId="0" priority="3660">
      <formula>NOT(ISLOGICAL($AC$2))</formula>
    </cfRule>
  </conditionalFormatting>
  <conditionalFormatting sqref="B26:BU26">
    <cfRule type="containsErrors" dxfId="0" priority="3659">
      <formula>ISERROR(B26)</formula>
    </cfRule>
  </conditionalFormatting>
  <conditionalFormatting sqref="I26">
    <cfRule type="expression" dxfId="0" priority="3658">
      <formula>NOT(ISNUMBER($I$2))</formula>
    </cfRule>
  </conditionalFormatting>
  <conditionalFormatting sqref="D26">
    <cfRule type="expression" dxfId="0" priority="3657">
      <formula>ISBLANK($D$2)</formula>
    </cfRule>
  </conditionalFormatting>
  <conditionalFormatting sqref="DW26">
    <cfRule type="expression" dxfId="2" priority="3669">
      <formula>AND(BO26&gt;=1,DW26&lt;&gt;0, GetEquPower(C26,BI26, CA26, FN26)=0)</formula>
    </cfRule>
    <cfRule type="expression" dxfId="1" priority="3670">
      <formula>AND(BO26&gt;=1,DW26&lt;&gt;GetEquPower(C26,BI26, CA26, FN26))</formula>
    </cfRule>
  </conditionalFormatting>
  <conditionalFormatting sqref="DX26">
    <cfRule type="expression" dxfId="2" priority="3671">
      <formula>AND(BO26&gt;=2,DX26&lt;&gt;0, GetEquPower(C26,BI26, CB26, FN26)=0)</formula>
    </cfRule>
    <cfRule type="expression" dxfId="1" priority="3672">
      <formula>AND(BO26&gt;=2,DX26&lt;&gt;GetEquPower(C26,BI26, CB26, FN26))</formula>
    </cfRule>
  </conditionalFormatting>
  <conditionalFormatting sqref="DY26">
    <cfRule type="expression" dxfId="2" priority="3673">
      <formula>AND(BO26&gt;=3,DY26&lt;&gt;0, GetEquPower(C26,BI26, CC26, FN26)=0)</formula>
    </cfRule>
    <cfRule type="expression" dxfId="1" priority="3674">
      <formula>AND(BO26&gt;=3,DY26&lt;&gt;GetEquPower(C26,BI26, CC26, FN26))</formula>
    </cfRule>
  </conditionalFormatting>
  <conditionalFormatting sqref="ED26">
    <cfRule type="expression" dxfId="2" priority="3675">
      <formula>AND(BP26&gt;=1,ED26&lt;&gt;0, GetEquPower(C26,BJ26, CG26, FO26)=0)</formula>
    </cfRule>
    <cfRule type="expression" dxfId="1" priority="3676">
      <formula>AND(BP26&gt;=1,ED26&lt;&gt;GetEquPower(C26,BJ26, CG26, FO26))</formula>
    </cfRule>
  </conditionalFormatting>
  <conditionalFormatting sqref="EE26">
    <cfRule type="expression" dxfId="2" priority="3677">
      <formula>AND(BP26&gt;=2,EE26&lt;&gt;0, GetEquPower(C26,BJ26, CH26, FO26)=0)</formula>
    </cfRule>
    <cfRule type="expression" dxfId="1" priority="3678">
      <formula>AND(BP26&gt;=2,EE26&lt;&gt;GetEquPower(C26,BJ26, CH26, FO26))</formula>
    </cfRule>
  </conditionalFormatting>
  <conditionalFormatting sqref="EF26">
    <cfRule type="expression" dxfId="2" priority="3679">
      <formula>AND(BP26&gt;=3,EF26&lt;&gt;0, GetEquPower(C26,BJ26, CI26, FO26)=0)</formula>
    </cfRule>
    <cfRule type="expression" dxfId="1" priority="3680">
      <formula>AND(BP26&gt;=3,EF26&lt;&gt;GetEquPower(C26,BJ26, CI26, FO26))</formula>
    </cfRule>
  </conditionalFormatting>
  <conditionalFormatting sqref="EK26">
    <cfRule type="expression" dxfId="2" priority="3681">
      <formula>AND(BQ26&gt;=1,EK26&lt;&gt;0, GetEquPower(C26,BK26, CM26, FP26)=0)</formula>
    </cfRule>
    <cfRule type="expression" dxfId="1" priority="3682">
      <formula>AND(BQ26&gt;=1,EK26&lt;&gt;GetEquPower(C26,BK26, CM26, FP26))</formula>
    </cfRule>
  </conditionalFormatting>
  <conditionalFormatting sqref="EL26">
    <cfRule type="expression" dxfId="2" priority="3683">
      <formula>AND(BQ26&gt;=2,EL26&lt;&gt;0, GetEquPower(C26,BK26, CN26, FP26)=0)</formula>
    </cfRule>
    <cfRule type="expression" dxfId="1" priority="3684">
      <formula xml:space="preserve"> AND(BQ26&gt;=2,EL26&lt;&gt;GetEquPower(C26,BK26, CN26, FP26))</formula>
    </cfRule>
  </conditionalFormatting>
  <conditionalFormatting sqref="EM26">
    <cfRule type="expression" dxfId="2" priority="3685">
      <formula>AND(BQ26&gt;=3,EM26&lt;&gt;0, GetEquPower(C26,BK26, CO26, FP26)=0)</formula>
    </cfRule>
    <cfRule type="expression" dxfId="1" priority="3686">
      <formula xml:space="preserve"> AND(BQ26&gt;=3,EM26&lt;&gt;GetEquPower(C26,BK26, CO26, FP26))</formula>
    </cfRule>
  </conditionalFormatting>
  <conditionalFormatting sqref="ER26">
    <cfRule type="expression" dxfId="2" priority="3687">
      <formula>AND(BR26&gt;=1,ER26&lt;&gt;0, GetEquPower(C26,BL26, CS26, FQ26)=0)</formula>
    </cfRule>
    <cfRule type="expression" dxfId="1" priority="3688">
      <formula>AND(BR26&gt;=1,ER26&lt;&gt;GetEquPower(C26,BL26, CS26, FQ26))</formula>
    </cfRule>
  </conditionalFormatting>
  <conditionalFormatting sqref="ES26">
    <cfRule type="expression" dxfId="2" priority="3689">
      <formula>AND(BR26&gt;=2,ES26&lt;&gt;0, GetEquPower(C26,BL26, CT26, FQ26)=0)</formula>
    </cfRule>
    <cfRule type="expression" dxfId="1" priority="3690">
      <formula>AND(BR26&gt;=2,ES26&lt;&gt;GetEquPower(C26,BL26, CT26, FQ26))</formula>
    </cfRule>
  </conditionalFormatting>
  <conditionalFormatting sqref="ET26">
    <cfRule type="expression" dxfId="2" priority="3691">
      <formula>AND(BR26&gt;=3,ET26&lt;&gt;0, GetEquPower(C26,BL26, CU26, FQ26)=0)</formula>
    </cfRule>
    <cfRule type="expression" dxfId="1" priority="3692">
      <formula>AND(BR26&gt;=3,ET26&lt;&gt;GetEquPower(C26,BL26, CU26, FQ26))</formula>
    </cfRule>
  </conditionalFormatting>
  <conditionalFormatting sqref="EY26">
    <cfRule type="expression" dxfId="2" priority="3693">
      <formula>AND(BS26&gt;=1,EY26&lt;&gt;0, GetEquPower(C26,BM26, CY26, FR26)=0)</formula>
    </cfRule>
    <cfRule type="expression" dxfId="1" priority="3694">
      <formula>AND(BS26&gt;=1,EY26&lt;&gt;GetEquPower(C26,BM26, CY26, FR26))</formula>
    </cfRule>
  </conditionalFormatting>
  <conditionalFormatting sqref="EZ26">
    <cfRule type="expression" dxfId="2" priority="3695">
      <formula>AND(BS26&gt;=2,EZ26&lt;&gt;0, GetEquPower(C26,BM26, CZ26, FR26)=0)</formula>
    </cfRule>
    <cfRule type="expression" dxfId="1" priority="3696">
      <formula>AND(BS26&gt;=2,EZ26&lt;&gt;GetEquPower(C26,BM26, CZ26, FR26))</formula>
    </cfRule>
  </conditionalFormatting>
  <conditionalFormatting sqref="FA26">
    <cfRule type="expression" dxfId="2" priority="3697">
      <formula>AND(BS26&gt;=3,FA26&lt;&gt;0, GetEquPower(C26,BM26, DA26, FR26)=0)</formula>
    </cfRule>
    <cfRule type="expression" dxfId="1" priority="3698">
      <formula>AND(BS26&gt;=3,FA26&lt;&gt;GetEquPower(C26,BM26, DA26, FR26))</formula>
    </cfRule>
  </conditionalFormatting>
  <conditionalFormatting sqref="FF26">
    <cfRule type="expression" dxfId="2" priority="3699">
      <formula>AND(BT26&gt;=1,FF26&lt;&gt;0, GetEquPower(C26,BN26, DE26, FS26)=0)</formula>
    </cfRule>
    <cfRule type="expression" dxfId="1" priority="3700">
      <formula>AND(BT26&gt;=1,FF26&lt;&gt;GetEquPower(C26,BN26, DE26, FS26))</formula>
    </cfRule>
  </conditionalFormatting>
  <conditionalFormatting sqref="FG26">
    <cfRule type="expression" dxfId="2" priority="3701">
      <formula>AND(BT26&gt;=2,FG26&lt;&gt;0, GetEquPower(C26,BN26, DF26, FS26)=0)</formula>
    </cfRule>
    <cfRule type="expression" dxfId="1" priority="3702">
      <formula>AND(BT26&gt;=2,FG26&lt;&gt;GetEquPower(C26,BN26, DF26, FS26))</formula>
    </cfRule>
  </conditionalFormatting>
  <conditionalFormatting sqref="FH26">
    <cfRule type="expression" dxfId="2" priority="3703">
      <formula>AND(BT26&gt;=3,FH26&lt;&gt;0, GetEquPower(C26,BN26, DG26, FS26)=0)</formula>
    </cfRule>
    <cfRule type="expression" dxfId="1" priority="3704">
      <formula>AND(BT26&gt;=3,FH26&lt;&gt;GetEquPower(C26,BN26, DG26, FS26))</formula>
    </cfRule>
  </conditionalFormatting>
  <conditionalFormatting sqref="DZ26">
    <cfRule type="expression" dxfId="2" priority="3705">
      <formula>AND(BO26&gt;=4,DZ26&lt;&gt;0, GetEquPower(C26,BI26, CD26, FN26)=0)</formula>
    </cfRule>
    <cfRule type="expression" dxfId="1" priority="3706">
      <formula>AND(BO26&gt;=4, DZ26&lt;&gt;GetEquPower(C26,BI26, CD26, FN26))</formula>
    </cfRule>
  </conditionalFormatting>
  <conditionalFormatting sqref="EG26">
    <cfRule type="expression" dxfId="2" priority="3707">
      <formula>AND(BP26&gt;=4,EG26&lt;&gt;0, GetEquPower(C26,BJ26, CJ26, FO26)=0)</formula>
    </cfRule>
    <cfRule type="expression" dxfId="1" priority="3708">
      <formula>AND(BP26&gt;=4,EG26&lt;&gt;GetEquPower(C26,BJ26, CJ26, FO26))</formula>
    </cfRule>
  </conditionalFormatting>
  <conditionalFormatting sqref="EN26">
    <cfRule type="expression" dxfId="2" priority="3709">
      <formula>AND(BQ26&gt;=4,EN26&lt;&gt;0, GetEquPower(C26,BK26, CP26, FP26)=0)</formula>
    </cfRule>
    <cfRule type="expression" dxfId="1" priority="3710">
      <formula xml:space="preserve"> AND(BQ26&gt;=4,EN26&lt;&gt;GetEquPower(C26,BK26, CP26, FP26))</formula>
    </cfRule>
  </conditionalFormatting>
  <conditionalFormatting sqref="EU26">
    <cfRule type="expression" dxfId="2" priority="3711">
      <formula>AND(BR26&gt;=4,EU26&lt;&gt;0, GetEquPower(C26,BL26, CV26, FQ26)=0)</formula>
    </cfRule>
    <cfRule type="expression" dxfId="1" priority="3712">
      <formula>AND(BR26&gt;=4,EU26&lt;&gt;GetEquPower(C26,BL26, CV26, FQ26))</formula>
    </cfRule>
  </conditionalFormatting>
  <conditionalFormatting sqref="FB26">
    <cfRule type="expression" dxfId="2" priority="3713">
      <formula>AND(BS26&gt;=4,FB26&lt;&gt;0, GetEquPower(C26,BM26, DB26, FR26)=0)</formula>
    </cfRule>
    <cfRule type="expression" dxfId="1" priority="3714">
      <formula>AND(BS26&gt;=4,FB26&lt;&gt;GetEquPower(C26,BM26, DB26, FR26))</formula>
    </cfRule>
  </conditionalFormatting>
  <conditionalFormatting sqref="FI26">
    <cfRule type="expression" dxfId="2" priority="3715">
      <formula>AND(BT26&gt;=4,FI26&lt;&gt;0, GetEquPower(C26,BN26, DH26, FS26)=0)</formula>
    </cfRule>
    <cfRule type="expression" dxfId="1" priority="3716">
      <formula>AND(BT26&gt;=4,FI26&lt;&gt;GetEquPower(C26,BN26, DH26, FS26))</formula>
    </cfRule>
  </conditionalFormatting>
  <conditionalFormatting sqref="EA26">
    <cfRule type="expression" dxfId="2" priority="3717">
      <formula>AND(BO26&gt;=5,EA26&lt;&gt;0, GetEquPower(C26,BI26, CE26, FN26)=0)</formula>
    </cfRule>
    <cfRule type="expression" dxfId="1" priority="3718">
      <formula>AND(BO26&gt;=5, EA26&lt;&gt;GetEquPower(C26,BI26, CE26, FN26))</formula>
    </cfRule>
  </conditionalFormatting>
  <conditionalFormatting sqref="EB26">
    <cfRule type="expression" dxfId="2" priority="3719">
      <formula>AND(BO26&gt;=6,EB26&lt;&gt;0, GetEquPower(C26,BI26, CF26, FN26)=0)</formula>
    </cfRule>
    <cfRule type="expression" dxfId="1" priority="3720">
      <formula>AND(BO26&gt;=6, EB26&lt;&gt;GetEquPower(C26,BI26, CF26, FN26))</formula>
    </cfRule>
  </conditionalFormatting>
  <conditionalFormatting sqref="EH26">
    <cfRule type="expression" dxfId="2" priority="3721">
      <formula>AND(BP26&gt;=5,EH26&lt;&gt;0, GetEquPower(C26,BJ26, CK26, FO26)=0)</formula>
    </cfRule>
    <cfRule type="expression" dxfId="1" priority="3722">
      <formula>AND(BP26&gt;=5,EH26&lt;&gt;GetEquPower(C26,BJ26, CK26, FO26))</formula>
    </cfRule>
  </conditionalFormatting>
  <conditionalFormatting sqref="EI26">
    <cfRule type="expression" dxfId="2" priority="3723">
      <formula>AND(BP26&gt;=6,EI26&lt;&gt;0, GetEquPower(C26,BJ26, CL26, FO26)=0)</formula>
    </cfRule>
    <cfRule type="expression" dxfId="1" priority="3724">
      <formula>AND(BP26&gt;=6,EI26&lt;&gt;GetEquPower(C26,BJ26, CL26, FO26))</formula>
    </cfRule>
  </conditionalFormatting>
  <conditionalFormatting sqref="EO26">
    <cfRule type="expression" dxfId="2" priority="3725">
      <formula>AND(BQ26&gt;=5,EO26&lt;&gt;0, GetEquPower(C26,BK26, CQ26, FP26)=0)</formula>
    </cfRule>
    <cfRule type="expression" dxfId="1" priority="3726">
      <formula xml:space="preserve"> AND(BQ26&gt;=5,EO26&lt;&gt;GetEquPower(C26,BK26, CQ26, FP26))</formula>
    </cfRule>
  </conditionalFormatting>
  <conditionalFormatting sqref="EP26">
    <cfRule type="expression" dxfId="2" priority="3727">
      <formula>AND(BQ26&gt;=6,EP26&lt;&gt;0, GetEquPower(C26,BK26, CR26, FP26)=0)</formula>
    </cfRule>
    <cfRule type="expression" dxfId="1" priority="3728">
      <formula xml:space="preserve"> AND(BQ26&gt;=6,EP26&lt;&gt;GetEquPower(C26,BK26, CR26, FP26))</formula>
    </cfRule>
  </conditionalFormatting>
  <conditionalFormatting sqref="EV26">
    <cfRule type="expression" dxfId="2" priority="3729">
      <formula>AND(BR26&gt;=5,EV26&lt;&gt;0, GetEquPower(C26,BL26, CW26, FQ26)=0)</formula>
    </cfRule>
    <cfRule type="expression" dxfId="1" priority="3730">
      <formula>AND(BR26&gt;=5,EV26&lt;&gt;GetEquPower(C26,BL26, CW26, FQ26))</formula>
    </cfRule>
  </conditionalFormatting>
  <conditionalFormatting sqref="EW26">
    <cfRule type="expression" dxfId="2" priority="3731">
      <formula>AND(BR26&gt;=6,EW26&lt;&gt;0, GetEquPower(C26,BL26, CX26, FQ26)=0)</formula>
    </cfRule>
    <cfRule type="expression" dxfId="1" priority="3732">
      <formula>AND(BR26&gt;=6,EW26&lt;&gt;GetEquPower(C26,BL26, CX26, FQ26))</formula>
    </cfRule>
  </conditionalFormatting>
  <conditionalFormatting sqref="FC26">
    <cfRule type="expression" dxfId="2" priority="3733">
      <formula>AND(BS26&gt;=5,FC26&lt;&gt;0, GetEquPower(C26,BM26, DC26, FR26)=0)</formula>
    </cfRule>
    <cfRule type="expression" dxfId="1" priority="3734">
      <formula>AND(BS26&gt;=5,FC26&lt;&gt;GetEquPower(C26,BM26, DC26, FR26))</formula>
    </cfRule>
  </conditionalFormatting>
  <conditionalFormatting sqref="FD26">
    <cfRule type="expression" dxfId="2" priority="3735">
      <formula>AND(BS26&gt;=6,FD26&lt;&gt;0, GetEquPower(C26,BM26, DD26, FR26)=0)</formula>
    </cfRule>
    <cfRule type="expression" dxfId="1" priority="3736">
      <formula>AND(BS26&gt;=6,FD26&lt;&gt;GetEquPower(C26,BM26, DD26, FR26))</formula>
    </cfRule>
  </conditionalFormatting>
  <conditionalFormatting sqref="FJ26">
    <cfRule type="expression" dxfId="2" priority="3737">
      <formula>AND(BT26&gt;=5,FJ26&lt;&gt;0, GetEquPower(C26,BN26, DI26, FS26)=0)</formula>
    </cfRule>
    <cfRule type="expression" dxfId="1" priority="3738">
      <formula>AND(BT26&gt;=5,FJ26&lt;&gt;GetEquPower(C26,BN26, DI26, FS26))</formula>
    </cfRule>
  </conditionalFormatting>
  <conditionalFormatting sqref="FK26">
    <cfRule type="expression" dxfId="2" priority="3739">
      <formula>AND(BT26&gt;=6,FK26&lt;&gt;0, GetEquPower(C26,BN26, DJ26, FS26)=0)</formula>
    </cfRule>
    <cfRule type="expression" dxfId="1" priority="3740">
      <formula>AND(BT26&gt;=6,FK26&lt;&gt;GetEquPower(C26,BN26, DJ26, FS26))</formula>
    </cfRule>
  </conditionalFormatting>
  <conditionalFormatting sqref="W26">
    <cfRule type="expression" dxfId="0" priority="3656">
      <formula xml:space="preserve"> NOT(ISLOGICAL($W$2))</formula>
    </cfRule>
  </conditionalFormatting>
  <conditionalFormatting sqref="F27">
    <cfRule type="expression" dxfId="0" priority="3583">
      <formula>F27&lt;&gt;RIGHT(SUBSTITUTE(E27,".",""),LEN(F27))</formula>
    </cfRule>
  </conditionalFormatting>
  <conditionalFormatting sqref="X27">
    <cfRule type="expression" dxfId="0" priority="3578">
      <formula xml:space="preserve"> NOT(ISLOGICAL($X$2))</formula>
    </cfRule>
    <cfRule type="expression" dxfId="0" priority="3582">
      <formula>AND(X27=TRUE,W27=FALSE)</formula>
    </cfRule>
  </conditionalFormatting>
  <conditionalFormatting sqref="Y27">
    <cfRule type="expression" dxfId="0" priority="3581">
      <formula>OR(AND(X27=FALSE,INT(Y27)&gt;0),AND(X27=TRUE,INT(Y27)&lt;=0))</formula>
    </cfRule>
  </conditionalFormatting>
  <conditionalFormatting sqref="AA27">
    <cfRule type="expression" dxfId="0" priority="3580">
      <formula>AND(Z27=FALSE,AA27&gt;0)</formula>
    </cfRule>
  </conditionalFormatting>
  <conditionalFormatting sqref="BV27:HY27">
    <cfRule type="containsErrors" dxfId="0" priority="3579">
      <formula>ISERROR(BV27)</formula>
    </cfRule>
  </conditionalFormatting>
  <conditionalFormatting sqref="Z27">
    <cfRule type="expression" dxfId="0" priority="3577">
      <formula>NOT(ISLOGICAL($Z$2))</formula>
    </cfRule>
  </conditionalFormatting>
  <conditionalFormatting sqref="AB27">
    <cfRule type="expression" dxfId="0" priority="3576">
      <formula>NOT(ISLOGICAL($AB$2))</formula>
    </cfRule>
  </conditionalFormatting>
  <conditionalFormatting sqref="AC27">
    <cfRule type="expression" dxfId="0" priority="3575">
      <formula>NOT(ISLOGICAL($AC$2))</formula>
    </cfRule>
  </conditionalFormatting>
  <conditionalFormatting sqref="B27:BU27">
    <cfRule type="containsErrors" dxfId="0" priority="3574">
      <formula>ISERROR(B27)</formula>
    </cfRule>
  </conditionalFormatting>
  <conditionalFormatting sqref="I27">
    <cfRule type="expression" dxfId="0" priority="3573">
      <formula>NOT(ISNUMBER($I$2))</formula>
    </cfRule>
  </conditionalFormatting>
  <conditionalFormatting sqref="D27">
    <cfRule type="expression" dxfId="0" priority="3572">
      <formula>ISBLANK($D$2)</formula>
    </cfRule>
  </conditionalFormatting>
  <conditionalFormatting sqref="DW27">
    <cfRule type="expression" dxfId="2" priority="3584">
      <formula>AND(BO27&gt;=1,DW27&lt;&gt;0, GetEquPower(C27,BI27, CA27, FN27)=0)</formula>
    </cfRule>
    <cfRule type="expression" dxfId="1" priority="3585">
      <formula>AND(BO27&gt;=1,DW27&lt;&gt;GetEquPower(C27,BI27, CA27, FN27))</formula>
    </cfRule>
  </conditionalFormatting>
  <conditionalFormatting sqref="DX27">
    <cfRule type="expression" dxfId="2" priority="3586">
      <formula>AND(BO27&gt;=2,DX27&lt;&gt;0, GetEquPower(C27,BI27, CB27, FN27)=0)</formula>
    </cfRule>
    <cfRule type="expression" dxfId="1" priority="3587">
      <formula>AND(BO27&gt;=2,DX27&lt;&gt;GetEquPower(C27,BI27, CB27, FN27))</formula>
    </cfRule>
  </conditionalFormatting>
  <conditionalFormatting sqref="DY27">
    <cfRule type="expression" dxfId="2" priority="3588">
      <formula>AND(BO27&gt;=3,DY27&lt;&gt;0, GetEquPower(C27,BI27, CC27, FN27)=0)</formula>
    </cfRule>
    <cfRule type="expression" dxfId="1" priority="3589">
      <formula>AND(BO27&gt;=3,DY27&lt;&gt;GetEquPower(C27,BI27, CC27, FN27))</formula>
    </cfRule>
  </conditionalFormatting>
  <conditionalFormatting sqref="ED27">
    <cfRule type="expression" dxfId="2" priority="3590">
      <formula>AND(BP27&gt;=1,ED27&lt;&gt;0, GetEquPower(C27,BJ27, CG27, FO27)=0)</formula>
    </cfRule>
    <cfRule type="expression" dxfId="1" priority="3591">
      <formula>AND(BP27&gt;=1,ED27&lt;&gt;GetEquPower(C27,BJ27, CG27, FO27))</formula>
    </cfRule>
  </conditionalFormatting>
  <conditionalFormatting sqref="EE27">
    <cfRule type="expression" dxfId="2" priority="3592">
      <formula>AND(BP27&gt;=2,EE27&lt;&gt;0, GetEquPower(C27,BJ27, CH27, FO27)=0)</formula>
    </cfRule>
    <cfRule type="expression" dxfId="1" priority="3593">
      <formula>AND(BP27&gt;=2,EE27&lt;&gt;GetEquPower(C27,BJ27, CH27, FO27))</formula>
    </cfRule>
  </conditionalFormatting>
  <conditionalFormatting sqref="EF27">
    <cfRule type="expression" dxfId="2" priority="3594">
      <formula>AND(BP27&gt;=3,EF27&lt;&gt;0, GetEquPower(C27,BJ27, CI27, FO27)=0)</formula>
    </cfRule>
    <cfRule type="expression" dxfId="1" priority="3595">
      <formula>AND(BP27&gt;=3,EF27&lt;&gt;GetEquPower(C27,BJ27, CI27, FO27))</formula>
    </cfRule>
  </conditionalFormatting>
  <conditionalFormatting sqref="EK27">
    <cfRule type="expression" dxfId="2" priority="3596">
      <formula>AND(BQ27&gt;=1,EK27&lt;&gt;0, GetEquPower(C27,BK27, CM27, FP27)=0)</formula>
    </cfRule>
    <cfRule type="expression" dxfId="1" priority="3597">
      <formula>AND(BQ27&gt;=1,EK27&lt;&gt;GetEquPower(C27,BK27, CM27, FP27))</formula>
    </cfRule>
  </conditionalFormatting>
  <conditionalFormatting sqref="EL27">
    <cfRule type="expression" dxfId="2" priority="3598">
      <formula>AND(BQ27&gt;=2,EL27&lt;&gt;0, GetEquPower(C27,BK27, CN27, FP27)=0)</formula>
    </cfRule>
    <cfRule type="expression" dxfId="1" priority="3599">
      <formula xml:space="preserve"> AND(BQ27&gt;=2,EL27&lt;&gt;GetEquPower(C27,BK27, CN27, FP27))</formula>
    </cfRule>
  </conditionalFormatting>
  <conditionalFormatting sqref="EM27">
    <cfRule type="expression" dxfId="2" priority="3600">
      <formula>AND(BQ27&gt;=3,EM27&lt;&gt;0, GetEquPower(C27,BK27, CO27, FP27)=0)</formula>
    </cfRule>
    <cfRule type="expression" dxfId="1" priority="3601">
      <formula xml:space="preserve"> AND(BQ27&gt;=3,EM27&lt;&gt;GetEquPower(C27,BK27, CO27, FP27))</formula>
    </cfRule>
  </conditionalFormatting>
  <conditionalFormatting sqref="ER27">
    <cfRule type="expression" dxfId="2" priority="3602">
      <formula>AND(BR27&gt;=1,ER27&lt;&gt;0, GetEquPower(C27,BL27, CS27, FQ27)=0)</formula>
    </cfRule>
    <cfRule type="expression" dxfId="1" priority="3603">
      <formula>AND(BR27&gt;=1,ER27&lt;&gt;GetEquPower(C27,BL27, CS27, FQ27))</formula>
    </cfRule>
  </conditionalFormatting>
  <conditionalFormatting sqref="ES27">
    <cfRule type="expression" dxfId="2" priority="3604">
      <formula>AND(BR27&gt;=2,ES27&lt;&gt;0, GetEquPower(C27,BL27, CT27, FQ27)=0)</formula>
    </cfRule>
    <cfRule type="expression" dxfId="1" priority="3605">
      <formula>AND(BR27&gt;=2,ES27&lt;&gt;GetEquPower(C27,BL27, CT27, FQ27))</formula>
    </cfRule>
  </conditionalFormatting>
  <conditionalFormatting sqref="ET27">
    <cfRule type="expression" dxfId="2" priority="3606">
      <formula>AND(BR27&gt;=3,ET27&lt;&gt;0, GetEquPower(C27,BL27, CU27, FQ27)=0)</formula>
    </cfRule>
    <cfRule type="expression" dxfId="1" priority="3607">
      <formula>AND(BR27&gt;=3,ET27&lt;&gt;GetEquPower(C27,BL27, CU27, FQ27))</formula>
    </cfRule>
  </conditionalFormatting>
  <conditionalFormatting sqref="EY27">
    <cfRule type="expression" dxfId="2" priority="3608">
      <formula>AND(BS27&gt;=1,EY27&lt;&gt;0, GetEquPower(C27,BM27, CY27, FR27)=0)</formula>
    </cfRule>
    <cfRule type="expression" dxfId="1" priority="3609">
      <formula>AND(BS27&gt;=1,EY27&lt;&gt;GetEquPower(C27,BM27, CY27, FR27))</formula>
    </cfRule>
  </conditionalFormatting>
  <conditionalFormatting sqref="EZ27">
    <cfRule type="expression" dxfId="2" priority="3610">
      <formula>AND(BS27&gt;=2,EZ27&lt;&gt;0, GetEquPower(C27,BM27, CZ27, FR27)=0)</formula>
    </cfRule>
    <cfRule type="expression" dxfId="1" priority="3611">
      <formula>AND(BS27&gt;=2,EZ27&lt;&gt;GetEquPower(C27,BM27, CZ27, FR27))</formula>
    </cfRule>
  </conditionalFormatting>
  <conditionalFormatting sqref="FA27">
    <cfRule type="expression" dxfId="2" priority="3612">
      <formula>AND(BS27&gt;=3,FA27&lt;&gt;0, GetEquPower(C27,BM27, DA27, FR27)=0)</formula>
    </cfRule>
    <cfRule type="expression" dxfId="1" priority="3613">
      <formula>AND(BS27&gt;=3,FA27&lt;&gt;GetEquPower(C27,BM27, DA27, FR27))</formula>
    </cfRule>
  </conditionalFormatting>
  <conditionalFormatting sqref="FF27">
    <cfRule type="expression" dxfId="2" priority="3614">
      <formula>AND(BT27&gt;=1,FF27&lt;&gt;0, GetEquPower(C27,BN27, DE27, FS27)=0)</formula>
    </cfRule>
    <cfRule type="expression" dxfId="1" priority="3615">
      <formula>AND(BT27&gt;=1,FF27&lt;&gt;GetEquPower(C27,BN27, DE27, FS27))</formula>
    </cfRule>
  </conditionalFormatting>
  <conditionalFormatting sqref="FG27">
    <cfRule type="expression" dxfId="2" priority="3616">
      <formula>AND(BT27&gt;=2,FG27&lt;&gt;0, GetEquPower(C27,BN27, DF27, FS27)=0)</formula>
    </cfRule>
    <cfRule type="expression" dxfId="1" priority="3617">
      <formula>AND(BT27&gt;=2,FG27&lt;&gt;GetEquPower(C27,BN27, DF27, FS27))</formula>
    </cfRule>
  </conditionalFormatting>
  <conditionalFormatting sqref="FH27">
    <cfRule type="expression" dxfId="2" priority="3618">
      <formula>AND(BT27&gt;=3,FH27&lt;&gt;0, GetEquPower(C27,BN27, DG27, FS27)=0)</formula>
    </cfRule>
    <cfRule type="expression" dxfId="1" priority="3619">
      <formula>AND(BT27&gt;=3,FH27&lt;&gt;GetEquPower(C27,BN27, DG27, FS27))</formula>
    </cfRule>
  </conditionalFormatting>
  <conditionalFormatting sqref="DZ27">
    <cfRule type="expression" dxfId="2" priority="3620">
      <formula>AND(BO27&gt;=4,DZ27&lt;&gt;0, GetEquPower(C27,BI27, CD27, FN27)=0)</formula>
    </cfRule>
    <cfRule type="expression" dxfId="1" priority="3621">
      <formula>AND(BO27&gt;=4, DZ27&lt;&gt;GetEquPower(C27,BI27, CD27, FN27))</formula>
    </cfRule>
  </conditionalFormatting>
  <conditionalFormatting sqref="EG27">
    <cfRule type="expression" dxfId="2" priority="3622">
      <formula>AND(BP27&gt;=4,EG27&lt;&gt;0, GetEquPower(C27,BJ27, CJ27, FO27)=0)</formula>
    </cfRule>
    <cfRule type="expression" dxfId="1" priority="3623">
      <formula>AND(BP27&gt;=4,EG27&lt;&gt;GetEquPower(C27,BJ27, CJ27, FO27))</formula>
    </cfRule>
  </conditionalFormatting>
  <conditionalFormatting sqref="EN27">
    <cfRule type="expression" dxfId="2" priority="3624">
      <formula>AND(BQ27&gt;=4,EN27&lt;&gt;0, GetEquPower(C27,BK27, CP27, FP27)=0)</formula>
    </cfRule>
    <cfRule type="expression" dxfId="1" priority="3625">
      <formula xml:space="preserve"> AND(BQ27&gt;=4,EN27&lt;&gt;GetEquPower(C27,BK27, CP27, FP27))</formula>
    </cfRule>
  </conditionalFormatting>
  <conditionalFormatting sqref="EU27">
    <cfRule type="expression" dxfId="2" priority="3626">
      <formula>AND(BR27&gt;=4,EU27&lt;&gt;0, GetEquPower(C27,BL27, CV27, FQ27)=0)</formula>
    </cfRule>
    <cfRule type="expression" dxfId="1" priority="3627">
      <formula>AND(BR27&gt;=4,EU27&lt;&gt;GetEquPower(C27,BL27, CV27, FQ27))</formula>
    </cfRule>
  </conditionalFormatting>
  <conditionalFormatting sqref="FB27">
    <cfRule type="expression" dxfId="2" priority="3628">
      <formula>AND(BS27&gt;=4,FB27&lt;&gt;0, GetEquPower(C27,BM27, DB27, FR27)=0)</formula>
    </cfRule>
    <cfRule type="expression" dxfId="1" priority="3629">
      <formula>AND(BS27&gt;=4,FB27&lt;&gt;GetEquPower(C27,BM27, DB27, FR27))</formula>
    </cfRule>
  </conditionalFormatting>
  <conditionalFormatting sqref="FI27">
    <cfRule type="expression" dxfId="2" priority="3630">
      <formula>AND(BT27&gt;=4,FI27&lt;&gt;0, GetEquPower(C27,BN27, DH27, FS27)=0)</formula>
    </cfRule>
    <cfRule type="expression" dxfId="1" priority="3631">
      <formula>AND(BT27&gt;=4,FI27&lt;&gt;GetEquPower(C27,BN27, DH27, FS27))</formula>
    </cfRule>
  </conditionalFormatting>
  <conditionalFormatting sqref="EA27">
    <cfRule type="expression" dxfId="2" priority="3632">
      <formula>AND(BO27&gt;=5,EA27&lt;&gt;0, GetEquPower(C27,BI27, CE27, FN27)=0)</formula>
    </cfRule>
    <cfRule type="expression" dxfId="1" priority="3633">
      <formula>AND(BO27&gt;=5, EA27&lt;&gt;GetEquPower(C27,BI27, CE27, FN27))</formula>
    </cfRule>
  </conditionalFormatting>
  <conditionalFormatting sqref="EB27">
    <cfRule type="expression" dxfId="2" priority="3634">
      <formula>AND(BO27&gt;=6,EB27&lt;&gt;0, GetEquPower(C27,BI27, CF27, FN27)=0)</formula>
    </cfRule>
    <cfRule type="expression" dxfId="1" priority="3635">
      <formula>AND(BO27&gt;=6, EB27&lt;&gt;GetEquPower(C27,BI27, CF27, FN27))</formula>
    </cfRule>
  </conditionalFormatting>
  <conditionalFormatting sqref="EH27">
    <cfRule type="expression" dxfId="2" priority="3636">
      <formula>AND(BP27&gt;=5,EH27&lt;&gt;0, GetEquPower(C27,BJ27, CK27, FO27)=0)</formula>
    </cfRule>
    <cfRule type="expression" dxfId="1" priority="3637">
      <formula>AND(BP27&gt;=5,EH27&lt;&gt;GetEquPower(C27,BJ27, CK27, FO27))</formula>
    </cfRule>
  </conditionalFormatting>
  <conditionalFormatting sqref="EI27">
    <cfRule type="expression" dxfId="2" priority="3638">
      <formula>AND(BP27&gt;=6,EI27&lt;&gt;0, GetEquPower(C27,BJ27, CL27, FO27)=0)</formula>
    </cfRule>
    <cfRule type="expression" dxfId="1" priority="3639">
      <formula>AND(BP27&gt;=6,EI27&lt;&gt;GetEquPower(C27,BJ27, CL27, FO27))</formula>
    </cfRule>
  </conditionalFormatting>
  <conditionalFormatting sqref="EO27">
    <cfRule type="expression" dxfId="2" priority="3640">
      <formula>AND(BQ27&gt;=5,EO27&lt;&gt;0, GetEquPower(C27,BK27, CQ27, FP27)=0)</formula>
    </cfRule>
    <cfRule type="expression" dxfId="1" priority="3641">
      <formula xml:space="preserve"> AND(BQ27&gt;=5,EO27&lt;&gt;GetEquPower(C27,BK27, CQ27, FP27))</formula>
    </cfRule>
  </conditionalFormatting>
  <conditionalFormatting sqref="EP27">
    <cfRule type="expression" dxfId="2" priority="3642">
      <formula>AND(BQ27&gt;=6,EP27&lt;&gt;0, GetEquPower(C27,BK27, CR27, FP27)=0)</formula>
    </cfRule>
    <cfRule type="expression" dxfId="1" priority="3643">
      <formula xml:space="preserve"> AND(BQ27&gt;=6,EP27&lt;&gt;GetEquPower(C27,BK27, CR27, FP27))</formula>
    </cfRule>
  </conditionalFormatting>
  <conditionalFormatting sqref="EV27">
    <cfRule type="expression" dxfId="2" priority="3644">
      <formula>AND(BR27&gt;=5,EV27&lt;&gt;0, GetEquPower(C27,BL27, CW27, FQ27)=0)</formula>
    </cfRule>
    <cfRule type="expression" dxfId="1" priority="3645">
      <formula>AND(BR27&gt;=5,EV27&lt;&gt;GetEquPower(C27,BL27, CW27, FQ27))</formula>
    </cfRule>
  </conditionalFormatting>
  <conditionalFormatting sqref="EW27">
    <cfRule type="expression" dxfId="2" priority="3646">
      <formula>AND(BR27&gt;=6,EW27&lt;&gt;0, GetEquPower(C27,BL27, CX27, FQ27)=0)</formula>
    </cfRule>
    <cfRule type="expression" dxfId="1" priority="3647">
      <formula>AND(BR27&gt;=6,EW27&lt;&gt;GetEquPower(C27,BL27, CX27, FQ27))</formula>
    </cfRule>
  </conditionalFormatting>
  <conditionalFormatting sqref="FC27">
    <cfRule type="expression" dxfId="2" priority="3648">
      <formula>AND(BS27&gt;=5,FC27&lt;&gt;0, GetEquPower(C27,BM27, DC27, FR27)=0)</formula>
    </cfRule>
    <cfRule type="expression" dxfId="1" priority="3649">
      <formula>AND(BS27&gt;=5,FC27&lt;&gt;GetEquPower(C27,BM27, DC27, FR27))</formula>
    </cfRule>
  </conditionalFormatting>
  <conditionalFormatting sqref="FD27">
    <cfRule type="expression" dxfId="2" priority="3650">
      <formula>AND(BS27&gt;=6,FD27&lt;&gt;0, GetEquPower(C27,BM27, DD27, FR27)=0)</formula>
    </cfRule>
    <cfRule type="expression" dxfId="1" priority="3651">
      <formula>AND(BS27&gt;=6,FD27&lt;&gt;GetEquPower(C27,BM27, DD27, FR27))</formula>
    </cfRule>
  </conditionalFormatting>
  <conditionalFormatting sqref="FJ27">
    <cfRule type="expression" dxfId="2" priority="3652">
      <formula>AND(BT27&gt;=5,FJ27&lt;&gt;0, GetEquPower(C27,BN27, DI27, FS27)=0)</formula>
    </cfRule>
    <cfRule type="expression" dxfId="1" priority="3653">
      <formula>AND(BT27&gt;=5,FJ27&lt;&gt;GetEquPower(C27,BN27, DI27, FS27))</formula>
    </cfRule>
  </conditionalFormatting>
  <conditionalFormatting sqref="FK27">
    <cfRule type="expression" dxfId="2" priority="3654">
      <formula>AND(BT27&gt;=6,FK27&lt;&gt;0, GetEquPower(C27,BN27, DJ27, FS27)=0)</formula>
    </cfRule>
    <cfRule type="expression" dxfId="1" priority="3655">
      <formula>AND(BT27&gt;=6,FK27&lt;&gt;GetEquPower(C27,BN27, DJ27, FS27))</formula>
    </cfRule>
  </conditionalFormatting>
  <conditionalFormatting sqref="W27">
    <cfRule type="expression" dxfId="0" priority="3571">
      <formula xml:space="preserve"> NOT(ISLOGICAL($W$2))</formula>
    </cfRule>
  </conditionalFormatting>
  <conditionalFormatting sqref="F28">
    <cfRule type="expression" dxfId="0" priority="3498">
      <formula>F28&lt;&gt;RIGHT(SUBSTITUTE(E28,".",""),LEN(F28))</formula>
    </cfRule>
  </conditionalFormatting>
  <conditionalFormatting sqref="X28">
    <cfRule type="expression" dxfId="0" priority="3493">
      <formula xml:space="preserve"> NOT(ISLOGICAL($X$2))</formula>
    </cfRule>
    <cfRule type="expression" dxfId="0" priority="3497">
      <formula>AND(X28=TRUE,W28=FALSE)</formula>
    </cfRule>
  </conditionalFormatting>
  <conditionalFormatting sqref="Y28">
    <cfRule type="expression" dxfId="0" priority="3496">
      <formula>OR(AND(X28=FALSE,INT(Y28)&gt;0),AND(X28=TRUE,INT(Y28)&lt;=0))</formula>
    </cfRule>
  </conditionalFormatting>
  <conditionalFormatting sqref="AA28">
    <cfRule type="expression" dxfId="0" priority="3495">
      <formula>AND(Z28=FALSE,AA28&gt;0)</formula>
    </cfRule>
  </conditionalFormatting>
  <conditionalFormatting sqref="BV28:HY28">
    <cfRule type="containsErrors" dxfId="0" priority="3494">
      <formula>ISERROR(BV28)</formula>
    </cfRule>
  </conditionalFormatting>
  <conditionalFormatting sqref="Z28">
    <cfRule type="expression" dxfId="0" priority="3492">
      <formula>NOT(ISLOGICAL($Z$2))</formula>
    </cfRule>
  </conditionalFormatting>
  <conditionalFormatting sqref="AB28">
    <cfRule type="expression" dxfId="0" priority="3491">
      <formula>NOT(ISLOGICAL($AB$2))</formula>
    </cfRule>
  </conditionalFormatting>
  <conditionalFormatting sqref="AC28">
    <cfRule type="expression" dxfId="0" priority="3490">
      <formula>NOT(ISLOGICAL($AC$2))</formula>
    </cfRule>
  </conditionalFormatting>
  <conditionalFormatting sqref="B28:BU28">
    <cfRule type="containsErrors" dxfId="0" priority="3489">
      <formula>ISERROR(B28)</formula>
    </cfRule>
  </conditionalFormatting>
  <conditionalFormatting sqref="I28">
    <cfRule type="expression" dxfId="0" priority="3488">
      <formula>NOT(ISNUMBER($I$2))</formula>
    </cfRule>
  </conditionalFormatting>
  <conditionalFormatting sqref="D28">
    <cfRule type="expression" dxfId="0" priority="3487">
      <formula>ISBLANK($D$2)</formula>
    </cfRule>
  </conditionalFormatting>
  <conditionalFormatting sqref="DW28">
    <cfRule type="expression" dxfId="2" priority="3499">
      <formula>AND(BO28&gt;=1,DW28&lt;&gt;0, GetEquPower(C28,BI28, CA28, FN28)=0)</formula>
    </cfRule>
    <cfRule type="expression" dxfId="1" priority="3500">
      <formula>AND(BO28&gt;=1,DW28&lt;&gt;GetEquPower(C28,BI28, CA28, FN28))</formula>
    </cfRule>
  </conditionalFormatting>
  <conditionalFormatting sqref="DX28">
    <cfRule type="expression" dxfId="2" priority="3501">
      <formula>AND(BO28&gt;=2,DX28&lt;&gt;0, GetEquPower(C28,BI28, CB28, FN28)=0)</formula>
    </cfRule>
    <cfRule type="expression" dxfId="1" priority="3502">
      <formula>AND(BO28&gt;=2,DX28&lt;&gt;GetEquPower(C28,BI28, CB28, FN28))</formula>
    </cfRule>
  </conditionalFormatting>
  <conditionalFormatting sqref="DY28">
    <cfRule type="expression" dxfId="2" priority="3503">
      <formula>AND(BO28&gt;=3,DY28&lt;&gt;0, GetEquPower(C28,BI28, CC28, FN28)=0)</formula>
    </cfRule>
    <cfRule type="expression" dxfId="1" priority="3504">
      <formula>AND(BO28&gt;=3,DY28&lt;&gt;GetEquPower(C28,BI28, CC28, FN28))</formula>
    </cfRule>
  </conditionalFormatting>
  <conditionalFormatting sqref="ED28">
    <cfRule type="expression" dxfId="2" priority="3505">
      <formula>AND(BP28&gt;=1,ED28&lt;&gt;0, GetEquPower(C28,BJ28, CG28, FO28)=0)</formula>
    </cfRule>
    <cfRule type="expression" dxfId="1" priority="3506">
      <formula>AND(BP28&gt;=1,ED28&lt;&gt;GetEquPower(C28,BJ28, CG28, FO28))</formula>
    </cfRule>
  </conditionalFormatting>
  <conditionalFormatting sqref="EE28">
    <cfRule type="expression" dxfId="2" priority="3507">
      <formula>AND(BP28&gt;=2,EE28&lt;&gt;0, GetEquPower(C28,BJ28, CH28, FO28)=0)</formula>
    </cfRule>
    <cfRule type="expression" dxfId="1" priority="3508">
      <formula>AND(BP28&gt;=2,EE28&lt;&gt;GetEquPower(C28,BJ28, CH28, FO28))</formula>
    </cfRule>
  </conditionalFormatting>
  <conditionalFormatting sqref="EF28">
    <cfRule type="expression" dxfId="2" priority="3509">
      <formula>AND(BP28&gt;=3,EF28&lt;&gt;0, GetEquPower(C28,BJ28, CI28, FO28)=0)</formula>
    </cfRule>
    <cfRule type="expression" dxfId="1" priority="3510">
      <formula>AND(BP28&gt;=3,EF28&lt;&gt;GetEquPower(C28,BJ28, CI28, FO28))</formula>
    </cfRule>
  </conditionalFormatting>
  <conditionalFormatting sqref="EK28">
    <cfRule type="expression" dxfId="2" priority="3511">
      <formula>AND(BQ28&gt;=1,EK28&lt;&gt;0, GetEquPower(C28,BK28, CM28, FP28)=0)</formula>
    </cfRule>
    <cfRule type="expression" dxfId="1" priority="3512">
      <formula>AND(BQ28&gt;=1,EK28&lt;&gt;GetEquPower(C28,BK28, CM28, FP28))</formula>
    </cfRule>
  </conditionalFormatting>
  <conditionalFormatting sqref="EL28">
    <cfRule type="expression" dxfId="2" priority="3513">
      <formula>AND(BQ28&gt;=2,EL28&lt;&gt;0, GetEquPower(C28,BK28, CN28, FP28)=0)</formula>
    </cfRule>
    <cfRule type="expression" dxfId="1" priority="3514">
      <formula xml:space="preserve"> AND(BQ28&gt;=2,EL28&lt;&gt;GetEquPower(C28,BK28, CN28, FP28))</formula>
    </cfRule>
  </conditionalFormatting>
  <conditionalFormatting sqref="EM28">
    <cfRule type="expression" dxfId="2" priority="3515">
      <formula>AND(BQ28&gt;=3,EM28&lt;&gt;0, GetEquPower(C28,BK28, CO28, FP28)=0)</formula>
    </cfRule>
    <cfRule type="expression" dxfId="1" priority="3516">
      <formula xml:space="preserve"> AND(BQ28&gt;=3,EM28&lt;&gt;GetEquPower(C28,BK28, CO28, FP28))</formula>
    </cfRule>
  </conditionalFormatting>
  <conditionalFormatting sqref="ER28">
    <cfRule type="expression" dxfId="2" priority="3517">
      <formula>AND(BR28&gt;=1,ER28&lt;&gt;0, GetEquPower(C28,BL28, CS28, FQ28)=0)</formula>
    </cfRule>
    <cfRule type="expression" dxfId="1" priority="3518">
      <formula>AND(BR28&gt;=1,ER28&lt;&gt;GetEquPower(C28,BL28, CS28, FQ28))</formula>
    </cfRule>
  </conditionalFormatting>
  <conditionalFormatting sqref="ES28">
    <cfRule type="expression" dxfId="2" priority="3519">
      <formula>AND(BR28&gt;=2,ES28&lt;&gt;0, GetEquPower(C28,BL28, CT28, FQ28)=0)</formula>
    </cfRule>
    <cfRule type="expression" dxfId="1" priority="3520">
      <formula>AND(BR28&gt;=2,ES28&lt;&gt;GetEquPower(C28,BL28, CT28, FQ28))</formula>
    </cfRule>
  </conditionalFormatting>
  <conditionalFormatting sqref="ET28">
    <cfRule type="expression" dxfId="2" priority="3521">
      <formula>AND(BR28&gt;=3,ET28&lt;&gt;0, GetEquPower(C28,BL28, CU28, FQ28)=0)</formula>
    </cfRule>
    <cfRule type="expression" dxfId="1" priority="3522">
      <formula>AND(BR28&gt;=3,ET28&lt;&gt;GetEquPower(C28,BL28, CU28, FQ28))</formula>
    </cfRule>
  </conditionalFormatting>
  <conditionalFormatting sqref="EY28">
    <cfRule type="expression" dxfId="2" priority="3523">
      <formula>AND(BS28&gt;=1,EY28&lt;&gt;0, GetEquPower(C28,BM28, CY28, FR28)=0)</formula>
    </cfRule>
    <cfRule type="expression" dxfId="1" priority="3524">
      <formula>AND(BS28&gt;=1,EY28&lt;&gt;GetEquPower(C28,BM28, CY28, FR28))</formula>
    </cfRule>
  </conditionalFormatting>
  <conditionalFormatting sqref="EZ28">
    <cfRule type="expression" dxfId="2" priority="3525">
      <formula>AND(BS28&gt;=2,EZ28&lt;&gt;0, GetEquPower(C28,BM28, CZ28, FR28)=0)</formula>
    </cfRule>
    <cfRule type="expression" dxfId="1" priority="3526">
      <formula>AND(BS28&gt;=2,EZ28&lt;&gt;GetEquPower(C28,BM28, CZ28, FR28))</formula>
    </cfRule>
  </conditionalFormatting>
  <conditionalFormatting sqref="FA28">
    <cfRule type="expression" dxfId="2" priority="3527">
      <formula>AND(BS28&gt;=3,FA28&lt;&gt;0, GetEquPower(C28,BM28, DA28, FR28)=0)</formula>
    </cfRule>
    <cfRule type="expression" dxfId="1" priority="3528">
      <formula>AND(BS28&gt;=3,FA28&lt;&gt;GetEquPower(C28,BM28, DA28, FR28))</formula>
    </cfRule>
  </conditionalFormatting>
  <conditionalFormatting sqref="FF28">
    <cfRule type="expression" dxfId="2" priority="3529">
      <formula>AND(BT28&gt;=1,FF28&lt;&gt;0, GetEquPower(C28,BN28, DE28, FS28)=0)</formula>
    </cfRule>
    <cfRule type="expression" dxfId="1" priority="3530">
      <formula>AND(BT28&gt;=1,FF28&lt;&gt;GetEquPower(C28,BN28, DE28, FS28))</formula>
    </cfRule>
  </conditionalFormatting>
  <conditionalFormatting sqref="FG28">
    <cfRule type="expression" dxfId="2" priority="3531">
      <formula>AND(BT28&gt;=2,FG28&lt;&gt;0, GetEquPower(C28,BN28, DF28, FS28)=0)</formula>
    </cfRule>
    <cfRule type="expression" dxfId="1" priority="3532">
      <formula>AND(BT28&gt;=2,FG28&lt;&gt;GetEquPower(C28,BN28, DF28, FS28))</formula>
    </cfRule>
  </conditionalFormatting>
  <conditionalFormatting sqref="FH28">
    <cfRule type="expression" dxfId="2" priority="3533">
      <formula>AND(BT28&gt;=3,FH28&lt;&gt;0, GetEquPower(C28,BN28, DG28, FS28)=0)</formula>
    </cfRule>
    <cfRule type="expression" dxfId="1" priority="3534">
      <formula>AND(BT28&gt;=3,FH28&lt;&gt;GetEquPower(C28,BN28, DG28, FS28))</formula>
    </cfRule>
  </conditionalFormatting>
  <conditionalFormatting sqref="DZ28">
    <cfRule type="expression" dxfId="2" priority="3535">
      <formula>AND(BO28&gt;=4,DZ28&lt;&gt;0, GetEquPower(C28,BI28, CD28, FN28)=0)</formula>
    </cfRule>
    <cfRule type="expression" dxfId="1" priority="3536">
      <formula>AND(BO28&gt;=4, DZ28&lt;&gt;GetEquPower(C28,BI28, CD28, FN28))</formula>
    </cfRule>
  </conditionalFormatting>
  <conditionalFormatting sqref="EG28">
    <cfRule type="expression" dxfId="2" priority="3537">
      <formula>AND(BP28&gt;=4,EG28&lt;&gt;0, GetEquPower(C28,BJ28, CJ28, FO28)=0)</formula>
    </cfRule>
    <cfRule type="expression" dxfId="1" priority="3538">
      <formula>AND(BP28&gt;=4,EG28&lt;&gt;GetEquPower(C28,BJ28, CJ28, FO28))</formula>
    </cfRule>
  </conditionalFormatting>
  <conditionalFormatting sqref="EN28">
    <cfRule type="expression" dxfId="2" priority="3539">
      <formula>AND(BQ28&gt;=4,EN28&lt;&gt;0, GetEquPower(C28,BK28, CP28, FP28)=0)</formula>
    </cfRule>
    <cfRule type="expression" dxfId="1" priority="3540">
      <formula xml:space="preserve"> AND(BQ28&gt;=4,EN28&lt;&gt;GetEquPower(C28,BK28, CP28, FP28))</formula>
    </cfRule>
  </conditionalFormatting>
  <conditionalFormatting sqref="EU28">
    <cfRule type="expression" dxfId="2" priority="3541">
      <formula>AND(BR28&gt;=4,EU28&lt;&gt;0, GetEquPower(C28,BL28, CV28, FQ28)=0)</formula>
    </cfRule>
    <cfRule type="expression" dxfId="1" priority="3542">
      <formula>AND(BR28&gt;=4,EU28&lt;&gt;GetEquPower(C28,BL28, CV28, FQ28))</formula>
    </cfRule>
  </conditionalFormatting>
  <conditionalFormatting sqref="FB28">
    <cfRule type="expression" dxfId="2" priority="3543">
      <formula>AND(BS28&gt;=4,FB28&lt;&gt;0, GetEquPower(C28,BM28, DB28, FR28)=0)</formula>
    </cfRule>
    <cfRule type="expression" dxfId="1" priority="3544">
      <formula>AND(BS28&gt;=4,FB28&lt;&gt;GetEquPower(C28,BM28, DB28, FR28))</formula>
    </cfRule>
  </conditionalFormatting>
  <conditionalFormatting sqref="FI28">
    <cfRule type="expression" dxfId="2" priority="3545">
      <formula>AND(BT28&gt;=4,FI28&lt;&gt;0, GetEquPower(C28,BN28, DH28, FS28)=0)</formula>
    </cfRule>
    <cfRule type="expression" dxfId="1" priority="3546">
      <formula>AND(BT28&gt;=4,FI28&lt;&gt;GetEquPower(C28,BN28, DH28, FS28))</formula>
    </cfRule>
  </conditionalFormatting>
  <conditionalFormatting sqref="EA28">
    <cfRule type="expression" dxfId="2" priority="3547">
      <formula>AND(BO28&gt;=5,EA28&lt;&gt;0, GetEquPower(C28,BI28, CE28, FN28)=0)</formula>
    </cfRule>
    <cfRule type="expression" dxfId="1" priority="3548">
      <formula>AND(BO28&gt;=5, EA28&lt;&gt;GetEquPower(C28,BI28, CE28, FN28))</formula>
    </cfRule>
  </conditionalFormatting>
  <conditionalFormatting sqref="EB28">
    <cfRule type="expression" dxfId="2" priority="3549">
      <formula>AND(BO28&gt;=6,EB28&lt;&gt;0, GetEquPower(C28,BI28, CF28, FN28)=0)</formula>
    </cfRule>
    <cfRule type="expression" dxfId="1" priority="3550">
      <formula>AND(BO28&gt;=6, EB28&lt;&gt;GetEquPower(C28,BI28, CF28, FN28))</formula>
    </cfRule>
  </conditionalFormatting>
  <conditionalFormatting sqref="EH28">
    <cfRule type="expression" dxfId="2" priority="3551">
      <formula>AND(BP28&gt;=5,EH28&lt;&gt;0, GetEquPower(C28,BJ28, CK28, FO28)=0)</formula>
    </cfRule>
    <cfRule type="expression" dxfId="1" priority="3552">
      <formula>AND(BP28&gt;=5,EH28&lt;&gt;GetEquPower(C28,BJ28, CK28, FO28))</formula>
    </cfRule>
  </conditionalFormatting>
  <conditionalFormatting sqref="EI28">
    <cfRule type="expression" dxfId="2" priority="3553">
      <formula>AND(BP28&gt;=6,EI28&lt;&gt;0, GetEquPower(C28,BJ28, CL28, FO28)=0)</formula>
    </cfRule>
    <cfRule type="expression" dxfId="1" priority="3554">
      <formula>AND(BP28&gt;=6,EI28&lt;&gt;GetEquPower(C28,BJ28, CL28, FO28))</formula>
    </cfRule>
  </conditionalFormatting>
  <conditionalFormatting sqref="EO28">
    <cfRule type="expression" dxfId="2" priority="3555">
      <formula>AND(BQ28&gt;=5,EO28&lt;&gt;0, GetEquPower(C28,BK28, CQ28, FP28)=0)</formula>
    </cfRule>
    <cfRule type="expression" dxfId="1" priority="3556">
      <formula xml:space="preserve"> AND(BQ28&gt;=5,EO28&lt;&gt;GetEquPower(C28,BK28, CQ28, FP28))</formula>
    </cfRule>
  </conditionalFormatting>
  <conditionalFormatting sqref="EP28">
    <cfRule type="expression" dxfId="2" priority="3557">
      <formula>AND(BQ28&gt;=6,EP28&lt;&gt;0, GetEquPower(C28,BK28, CR28, FP28)=0)</formula>
    </cfRule>
    <cfRule type="expression" dxfId="1" priority="3558">
      <formula xml:space="preserve"> AND(BQ28&gt;=6,EP28&lt;&gt;GetEquPower(C28,BK28, CR28, FP28))</formula>
    </cfRule>
  </conditionalFormatting>
  <conditionalFormatting sqref="EV28">
    <cfRule type="expression" dxfId="2" priority="3559">
      <formula>AND(BR28&gt;=5,EV28&lt;&gt;0, GetEquPower(C28,BL28, CW28, FQ28)=0)</formula>
    </cfRule>
    <cfRule type="expression" dxfId="1" priority="3560">
      <formula>AND(BR28&gt;=5,EV28&lt;&gt;GetEquPower(C28,BL28, CW28, FQ28))</formula>
    </cfRule>
  </conditionalFormatting>
  <conditionalFormatting sqref="EW28">
    <cfRule type="expression" dxfId="2" priority="3561">
      <formula>AND(BR28&gt;=6,EW28&lt;&gt;0, GetEquPower(C28,BL28, CX28, FQ28)=0)</formula>
    </cfRule>
    <cfRule type="expression" dxfId="1" priority="3562">
      <formula>AND(BR28&gt;=6,EW28&lt;&gt;GetEquPower(C28,BL28, CX28, FQ28))</formula>
    </cfRule>
  </conditionalFormatting>
  <conditionalFormatting sqref="FC28">
    <cfRule type="expression" dxfId="2" priority="3563">
      <formula>AND(BS28&gt;=5,FC28&lt;&gt;0, GetEquPower(C28,BM28, DC28, FR28)=0)</formula>
    </cfRule>
    <cfRule type="expression" dxfId="1" priority="3564">
      <formula>AND(BS28&gt;=5,FC28&lt;&gt;GetEquPower(C28,BM28, DC28, FR28))</formula>
    </cfRule>
  </conditionalFormatting>
  <conditionalFormatting sqref="FD28">
    <cfRule type="expression" dxfId="2" priority="3565">
      <formula>AND(BS28&gt;=6,FD28&lt;&gt;0, GetEquPower(C28,BM28, DD28, FR28)=0)</formula>
    </cfRule>
    <cfRule type="expression" dxfId="1" priority="3566">
      <formula>AND(BS28&gt;=6,FD28&lt;&gt;GetEquPower(C28,BM28, DD28, FR28))</formula>
    </cfRule>
  </conditionalFormatting>
  <conditionalFormatting sqref="FJ28">
    <cfRule type="expression" dxfId="2" priority="3567">
      <formula>AND(BT28&gt;=5,FJ28&lt;&gt;0, GetEquPower(C28,BN28, DI28, FS28)=0)</formula>
    </cfRule>
    <cfRule type="expression" dxfId="1" priority="3568">
      <formula>AND(BT28&gt;=5,FJ28&lt;&gt;GetEquPower(C28,BN28, DI28, FS28))</formula>
    </cfRule>
  </conditionalFormatting>
  <conditionalFormatting sqref="FK28">
    <cfRule type="expression" dxfId="2" priority="3569">
      <formula>AND(BT28&gt;=6,FK28&lt;&gt;0, GetEquPower(C28,BN28, DJ28, FS28)=0)</formula>
    </cfRule>
    <cfRule type="expression" dxfId="1" priority="3570">
      <formula>AND(BT28&gt;=6,FK28&lt;&gt;GetEquPower(C28,BN28, DJ28, FS28))</formula>
    </cfRule>
  </conditionalFormatting>
  <conditionalFormatting sqref="W28">
    <cfRule type="expression" dxfId="0" priority="3486">
      <formula xml:space="preserve"> NOT(ISLOGICAL($W$2))</formula>
    </cfRule>
  </conditionalFormatting>
  <conditionalFormatting sqref="F29">
    <cfRule type="expression" dxfId="0" priority="3413">
      <formula>F29&lt;&gt;RIGHT(SUBSTITUTE(E29,".",""),LEN(F29))</formula>
    </cfRule>
  </conditionalFormatting>
  <conditionalFormatting sqref="X29">
    <cfRule type="expression" dxfId="0" priority="3408">
      <formula xml:space="preserve"> NOT(ISLOGICAL($X$2))</formula>
    </cfRule>
    <cfRule type="expression" dxfId="0" priority="3412">
      <formula>AND(X29=TRUE,W29=FALSE)</formula>
    </cfRule>
  </conditionalFormatting>
  <conditionalFormatting sqref="Y29">
    <cfRule type="expression" dxfId="0" priority="3411">
      <formula>OR(AND(X29=FALSE,INT(Y29)&gt;0),AND(X29=TRUE,INT(Y29)&lt;=0))</formula>
    </cfRule>
  </conditionalFormatting>
  <conditionalFormatting sqref="AA29">
    <cfRule type="expression" dxfId="0" priority="3410">
      <formula>AND(Z29=FALSE,AA29&gt;0)</formula>
    </cfRule>
  </conditionalFormatting>
  <conditionalFormatting sqref="BV29:HY29">
    <cfRule type="containsErrors" dxfId="0" priority="3409">
      <formula>ISERROR(BV29)</formula>
    </cfRule>
  </conditionalFormatting>
  <conditionalFormatting sqref="Z29">
    <cfRule type="expression" dxfId="0" priority="3407">
      <formula>NOT(ISLOGICAL($Z$2))</formula>
    </cfRule>
  </conditionalFormatting>
  <conditionalFormatting sqref="AB29">
    <cfRule type="expression" dxfId="0" priority="3406">
      <formula>NOT(ISLOGICAL($AB$2))</formula>
    </cfRule>
  </conditionalFormatting>
  <conditionalFormatting sqref="AC29">
    <cfRule type="expression" dxfId="0" priority="3405">
      <formula>NOT(ISLOGICAL($AC$2))</formula>
    </cfRule>
  </conditionalFormatting>
  <conditionalFormatting sqref="B29:BU29">
    <cfRule type="containsErrors" dxfId="0" priority="3404">
      <formula>ISERROR(B29)</formula>
    </cfRule>
  </conditionalFormatting>
  <conditionalFormatting sqref="I29">
    <cfRule type="expression" dxfId="0" priority="3403">
      <formula>NOT(ISNUMBER($I$2))</formula>
    </cfRule>
  </conditionalFormatting>
  <conditionalFormatting sqref="D29">
    <cfRule type="expression" dxfId="0" priority="3402">
      <formula>ISBLANK($D$2)</formula>
    </cfRule>
  </conditionalFormatting>
  <conditionalFormatting sqref="DW29">
    <cfRule type="expression" dxfId="2" priority="3414">
      <formula>AND(BO29&gt;=1,DW29&lt;&gt;0, GetEquPower(C29,BI29, CA29, FN29)=0)</formula>
    </cfRule>
    <cfRule type="expression" dxfId="1" priority="3415">
      <formula>AND(BO29&gt;=1,DW29&lt;&gt;GetEquPower(C29,BI29, CA29, FN29))</formula>
    </cfRule>
  </conditionalFormatting>
  <conditionalFormatting sqref="DX29">
    <cfRule type="expression" dxfId="2" priority="3416">
      <formula>AND(BO29&gt;=2,DX29&lt;&gt;0, GetEquPower(C29,BI29, CB29, FN29)=0)</formula>
    </cfRule>
    <cfRule type="expression" dxfId="1" priority="3417">
      <formula>AND(BO29&gt;=2,DX29&lt;&gt;GetEquPower(C29,BI29, CB29, FN29))</formula>
    </cfRule>
  </conditionalFormatting>
  <conditionalFormatting sqref="DY29">
    <cfRule type="expression" dxfId="2" priority="3418">
      <formula>AND(BO29&gt;=3,DY29&lt;&gt;0, GetEquPower(C29,BI29, CC29, FN29)=0)</formula>
    </cfRule>
    <cfRule type="expression" dxfId="1" priority="3419">
      <formula>AND(BO29&gt;=3,DY29&lt;&gt;GetEquPower(C29,BI29, CC29, FN29))</formula>
    </cfRule>
  </conditionalFormatting>
  <conditionalFormatting sqref="ED29">
    <cfRule type="expression" dxfId="2" priority="3420">
      <formula>AND(BP29&gt;=1,ED29&lt;&gt;0, GetEquPower(C29,BJ29, CG29, FO29)=0)</formula>
    </cfRule>
    <cfRule type="expression" dxfId="1" priority="3421">
      <formula>AND(BP29&gt;=1,ED29&lt;&gt;GetEquPower(C29,BJ29, CG29, FO29))</formula>
    </cfRule>
  </conditionalFormatting>
  <conditionalFormatting sqref="EE29">
    <cfRule type="expression" dxfId="2" priority="3422">
      <formula>AND(BP29&gt;=2,EE29&lt;&gt;0, GetEquPower(C29,BJ29, CH29, FO29)=0)</formula>
    </cfRule>
    <cfRule type="expression" dxfId="1" priority="3423">
      <formula>AND(BP29&gt;=2,EE29&lt;&gt;GetEquPower(C29,BJ29, CH29, FO29))</formula>
    </cfRule>
  </conditionalFormatting>
  <conditionalFormatting sqref="EF29">
    <cfRule type="expression" dxfId="2" priority="3424">
      <formula>AND(BP29&gt;=3,EF29&lt;&gt;0, GetEquPower(C29,BJ29, CI29, FO29)=0)</formula>
    </cfRule>
    <cfRule type="expression" dxfId="1" priority="3425">
      <formula>AND(BP29&gt;=3,EF29&lt;&gt;GetEquPower(C29,BJ29, CI29, FO29))</formula>
    </cfRule>
  </conditionalFormatting>
  <conditionalFormatting sqref="EK29">
    <cfRule type="expression" dxfId="2" priority="3426">
      <formula>AND(BQ29&gt;=1,EK29&lt;&gt;0, GetEquPower(C29,BK29, CM29, FP29)=0)</formula>
    </cfRule>
    <cfRule type="expression" dxfId="1" priority="3427">
      <formula>AND(BQ29&gt;=1,EK29&lt;&gt;GetEquPower(C29,BK29, CM29, FP29))</formula>
    </cfRule>
  </conditionalFormatting>
  <conditionalFormatting sqref="EL29">
    <cfRule type="expression" dxfId="2" priority="3428">
      <formula>AND(BQ29&gt;=2,EL29&lt;&gt;0, GetEquPower(C29,BK29, CN29, FP29)=0)</formula>
    </cfRule>
    <cfRule type="expression" dxfId="1" priority="3429">
      <formula xml:space="preserve"> AND(BQ29&gt;=2,EL29&lt;&gt;GetEquPower(C29,BK29, CN29, FP29))</formula>
    </cfRule>
  </conditionalFormatting>
  <conditionalFormatting sqref="EM29">
    <cfRule type="expression" dxfId="2" priority="3430">
      <formula>AND(BQ29&gt;=3,EM29&lt;&gt;0, GetEquPower(C29,BK29, CO29, FP29)=0)</formula>
    </cfRule>
    <cfRule type="expression" dxfId="1" priority="3431">
      <formula xml:space="preserve"> AND(BQ29&gt;=3,EM29&lt;&gt;GetEquPower(C29,BK29, CO29, FP29))</formula>
    </cfRule>
  </conditionalFormatting>
  <conditionalFormatting sqref="ER29">
    <cfRule type="expression" dxfId="2" priority="3432">
      <formula>AND(BR29&gt;=1,ER29&lt;&gt;0, GetEquPower(C29,BL29, CS29, FQ29)=0)</formula>
    </cfRule>
    <cfRule type="expression" dxfId="1" priority="3433">
      <formula>AND(BR29&gt;=1,ER29&lt;&gt;GetEquPower(C29,BL29, CS29, FQ29))</formula>
    </cfRule>
  </conditionalFormatting>
  <conditionalFormatting sqref="ES29">
    <cfRule type="expression" dxfId="2" priority="3434">
      <formula>AND(BR29&gt;=2,ES29&lt;&gt;0, GetEquPower(C29,BL29, CT29, FQ29)=0)</formula>
    </cfRule>
    <cfRule type="expression" dxfId="1" priority="3435">
      <formula>AND(BR29&gt;=2,ES29&lt;&gt;GetEquPower(C29,BL29, CT29, FQ29))</formula>
    </cfRule>
  </conditionalFormatting>
  <conditionalFormatting sqref="ET29">
    <cfRule type="expression" dxfId="2" priority="3436">
      <formula>AND(BR29&gt;=3,ET29&lt;&gt;0, GetEquPower(C29,BL29, CU29, FQ29)=0)</formula>
    </cfRule>
    <cfRule type="expression" dxfId="1" priority="3437">
      <formula>AND(BR29&gt;=3,ET29&lt;&gt;GetEquPower(C29,BL29, CU29, FQ29))</formula>
    </cfRule>
  </conditionalFormatting>
  <conditionalFormatting sqref="EY29">
    <cfRule type="expression" dxfId="2" priority="3438">
      <formula>AND(BS29&gt;=1,EY29&lt;&gt;0, GetEquPower(C29,BM29, CY29, FR29)=0)</formula>
    </cfRule>
    <cfRule type="expression" dxfId="1" priority="3439">
      <formula>AND(BS29&gt;=1,EY29&lt;&gt;GetEquPower(C29,BM29, CY29, FR29))</formula>
    </cfRule>
  </conditionalFormatting>
  <conditionalFormatting sqref="EZ29">
    <cfRule type="expression" dxfId="2" priority="3440">
      <formula>AND(BS29&gt;=2,EZ29&lt;&gt;0, GetEquPower(C29,BM29, CZ29, FR29)=0)</formula>
    </cfRule>
    <cfRule type="expression" dxfId="1" priority="3441">
      <formula>AND(BS29&gt;=2,EZ29&lt;&gt;GetEquPower(C29,BM29, CZ29, FR29))</formula>
    </cfRule>
  </conditionalFormatting>
  <conditionalFormatting sqref="FA29">
    <cfRule type="expression" dxfId="2" priority="3442">
      <formula>AND(BS29&gt;=3,FA29&lt;&gt;0, GetEquPower(C29,BM29, DA29, FR29)=0)</formula>
    </cfRule>
    <cfRule type="expression" dxfId="1" priority="3443">
      <formula>AND(BS29&gt;=3,FA29&lt;&gt;GetEquPower(C29,BM29, DA29, FR29))</formula>
    </cfRule>
  </conditionalFormatting>
  <conditionalFormatting sqref="FF29">
    <cfRule type="expression" dxfId="2" priority="3444">
      <formula>AND(BT29&gt;=1,FF29&lt;&gt;0, GetEquPower(C29,BN29, DE29, FS29)=0)</formula>
    </cfRule>
    <cfRule type="expression" dxfId="1" priority="3445">
      <formula>AND(BT29&gt;=1,FF29&lt;&gt;GetEquPower(C29,BN29, DE29, FS29))</formula>
    </cfRule>
  </conditionalFormatting>
  <conditionalFormatting sqref="FG29">
    <cfRule type="expression" dxfId="2" priority="3446">
      <formula>AND(BT29&gt;=2,FG29&lt;&gt;0, GetEquPower(C29,BN29, DF29, FS29)=0)</formula>
    </cfRule>
    <cfRule type="expression" dxfId="1" priority="3447">
      <formula>AND(BT29&gt;=2,FG29&lt;&gt;GetEquPower(C29,BN29, DF29, FS29))</formula>
    </cfRule>
  </conditionalFormatting>
  <conditionalFormatting sqref="FH29">
    <cfRule type="expression" dxfId="2" priority="3448">
      <formula>AND(BT29&gt;=3,FH29&lt;&gt;0, GetEquPower(C29,BN29, DG29, FS29)=0)</formula>
    </cfRule>
    <cfRule type="expression" dxfId="1" priority="3449">
      <formula>AND(BT29&gt;=3,FH29&lt;&gt;GetEquPower(C29,BN29, DG29, FS29))</formula>
    </cfRule>
  </conditionalFormatting>
  <conditionalFormatting sqref="DZ29">
    <cfRule type="expression" dxfId="2" priority="3450">
      <formula>AND(BO29&gt;=4,DZ29&lt;&gt;0, GetEquPower(C29,BI29, CD29, FN29)=0)</formula>
    </cfRule>
    <cfRule type="expression" dxfId="1" priority="3451">
      <formula>AND(BO29&gt;=4, DZ29&lt;&gt;GetEquPower(C29,BI29, CD29, FN29))</formula>
    </cfRule>
  </conditionalFormatting>
  <conditionalFormatting sqref="EG29">
    <cfRule type="expression" dxfId="2" priority="3452">
      <formula>AND(BP29&gt;=4,EG29&lt;&gt;0, GetEquPower(C29,BJ29, CJ29, FO29)=0)</formula>
    </cfRule>
    <cfRule type="expression" dxfId="1" priority="3453">
      <formula>AND(BP29&gt;=4,EG29&lt;&gt;GetEquPower(C29,BJ29, CJ29, FO29))</formula>
    </cfRule>
  </conditionalFormatting>
  <conditionalFormatting sqref="EN29">
    <cfRule type="expression" dxfId="2" priority="3454">
      <formula>AND(BQ29&gt;=4,EN29&lt;&gt;0, GetEquPower(C29,BK29, CP29, FP29)=0)</formula>
    </cfRule>
    <cfRule type="expression" dxfId="1" priority="3455">
      <formula xml:space="preserve"> AND(BQ29&gt;=4,EN29&lt;&gt;GetEquPower(C29,BK29, CP29, FP29))</formula>
    </cfRule>
  </conditionalFormatting>
  <conditionalFormatting sqref="EU29">
    <cfRule type="expression" dxfId="2" priority="3456">
      <formula>AND(BR29&gt;=4,EU29&lt;&gt;0, GetEquPower(C29,BL29, CV29, FQ29)=0)</formula>
    </cfRule>
    <cfRule type="expression" dxfId="1" priority="3457">
      <formula>AND(BR29&gt;=4,EU29&lt;&gt;GetEquPower(C29,BL29, CV29, FQ29))</formula>
    </cfRule>
  </conditionalFormatting>
  <conditionalFormatting sqref="FB29">
    <cfRule type="expression" dxfId="2" priority="3458">
      <formula>AND(BS29&gt;=4,FB29&lt;&gt;0, GetEquPower(C29,BM29, DB29, FR29)=0)</formula>
    </cfRule>
    <cfRule type="expression" dxfId="1" priority="3459">
      <formula>AND(BS29&gt;=4,FB29&lt;&gt;GetEquPower(C29,BM29, DB29, FR29))</formula>
    </cfRule>
  </conditionalFormatting>
  <conditionalFormatting sqref="FI29">
    <cfRule type="expression" dxfId="2" priority="3460">
      <formula>AND(BT29&gt;=4,FI29&lt;&gt;0, GetEquPower(C29,BN29, DH29, FS29)=0)</formula>
    </cfRule>
    <cfRule type="expression" dxfId="1" priority="3461">
      <formula>AND(BT29&gt;=4,FI29&lt;&gt;GetEquPower(C29,BN29, DH29, FS29))</formula>
    </cfRule>
  </conditionalFormatting>
  <conditionalFormatting sqref="EA29">
    <cfRule type="expression" dxfId="2" priority="3462">
      <formula>AND(BO29&gt;=5,EA29&lt;&gt;0, GetEquPower(C29,BI29, CE29, FN29)=0)</formula>
    </cfRule>
    <cfRule type="expression" dxfId="1" priority="3463">
      <formula>AND(BO29&gt;=5, EA29&lt;&gt;GetEquPower(C29,BI29, CE29, FN29))</formula>
    </cfRule>
  </conditionalFormatting>
  <conditionalFormatting sqref="EB29">
    <cfRule type="expression" dxfId="2" priority="3464">
      <formula>AND(BO29&gt;=6,EB29&lt;&gt;0, GetEquPower(C29,BI29, CF29, FN29)=0)</formula>
    </cfRule>
    <cfRule type="expression" dxfId="1" priority="3465">
      <formula>AND(BO29&gt;=6, EB29&lt;&gt;GetEquPower(C29,BI29, CF29, FN29))</formula>
    </cfRule>
  </conditionalFormatting>
  <conditionalFormatting sqref="EH29">
    <cfRule type="expression" dxfId="2" priority="3466">
      <formula>AND(BP29&gt;=5,EH29&lt;&gt;0, GetEquPower(C29,BJ29, CK29, FO29)=0)</formula>
    </cfRule>
    <cfRule type="expression" dxfId="1" priority="3467">
      <formula>AND(BP29&gt;=5,EH29&lt;&gt;GetEquPower(C29,BJ29, CK29, FO29))</formula>
    </cfRule>
  </conditionalFormatting>
  <conditionalFormatting sqref="EI29">
    <cfRule type="expression" dxfId="2" priority="3468">
      <formula>AND(BP29&gt;=6,EI29&lt;&gt;0, GetEquPower(C29,BJ29, CL29, FO29)=0)</formula>
    </cfRule>
    <cfRule type="expression" dxfId="1" priority="3469">
      <formula>AND(BP29&gt;=6,EI29&lt;&gt;GetEquPower(C29,BJ29, CL29, FO29))</formula>
    </cfRule>
  </conditionalFormatting>
  <conditionalFormatting sqref="EO29">
    <cfRule type="expression" dxfId="2" priority="3470">
      <formula>AND(BQ29&gt;=5,EO29&lt;&gt;0, GetEquPower(C29,BK29, CQ29, FP29)=0)</formula>
    </cfRule>
    <cfRule type="expression" dxfId="1" priority="3471">
      <formula xml:space="preserve"> AND(BQ29&gt;=5,EO29&lt;&gt;GetEquPower(C29,BK29, CQ29, FP29))</formula>
    </cfRule>
  </conditionalFormatting>
  <conditionalFormatting sqref="EP29">
    <cfRule type="expression" dxfId="2" priority="3472">
      <formula>AND(BQ29&gt;=6,EP29&lt;&gt;0, GetEquPower(C29,BK29, CR29, FP29)=0)</formula>
    </cfRule>
    <cfRule type="expression" dxfId="1" priority="3473">
      <formula xml:space="preserve"> AND(BQ29&gt;=6,EP29&lt;&gt;GetEquPower(C29,BK29, CR29, FP29))</formula>
    </cfRule>
  </conditionalFormatting>
  <conditionalFormatting sqref="EV29">
    <cfRule type="expression" dxfId="2" priority="3474">
      <formula>AND(BR29&gt;=5,EV29&lt;&gt;0, GetEquPower(C29,BL29, CW29, FQ29)=0)</formula>
    </cfRule>
    <cfRule type="expression" dxfId="1" priority="3475">
      <formula>AND(BR29&gt;=5,EV29&lt;&gt;GetEquPower(C29,BL29, CW29, FQ29))</formula>
    </cfRule>
  </conditionalFormatting>
  <conditionalFormatting sqref="EW29">
    <cfRule type="expression" dxfId="2" priority="3476">
      <formula>AND(BR29&gt;=6,EW29&lt;&gt;0, GetEquPower(C29,BL29, CX29, FQ29)=0)</formula>
    </cfRule>
    <cfRule type="expression" dxfId="1" priority="3477">
      <formula>AND(BR29&gt;=6,EW29&lt;&gt;GetEquPower(C29,BL29, CX29, FQ29))</formula>
    </cfRule>
  </conditionalFormatting>
  <conditionalFormatting sqref="FC29">
    <cfRule type="expression" dxfId="2" priority="3478">
      <formula>AND(BS29&gt;=5,FC29&lt;&gt;0, GetEquPower(C29,BM29, DC29, FR29)=0)</formula>
    </cfRule>
    <cfRule type="expression" dxfId="1" priority="3479">
      <formula>AND(BS29&gt;=5,FC29&lt;&gt;GetEquPower(C29,BM29, DC29, FR29))</formula>
    </cfRule>
  </conditionalFormatting>
  <conditionalFormatting sqref="FD29">
    <cfRule type="expression" dxfId="2" priority="3480">
      <formula>AND(BS29&gt;=6,FD29&lt;&gt;0, GetEquPower(C29,BM29, DD29, FR29)=0)</formula>
    </cfRule>
    <cfRule type="expression" dxfId="1" priority="3481">
      <formula>AND(BS29&gt;=6,FD29&lt;&gt;GetEquPower(C29,BM29, DD29, FR29))</formula>
    </cfRule>
  </conditionalFormatting>
  <conditionalFormatting sqref="FJ29">
    <cfRule type="expression" dxfId="2" priority="3482">
      <formula>AND(BT29&gt;=5,FJ29&lt;&gt;0, GetEquPower(C29,BN29, DI29, FS29)=0)</formula>
    </cfRule>
    <cfRule type="expression" dxfId="1" priority="3483">
      <formula>AND(BT29&gt;=5,FJ29&lt;&gt;GetEquPower(C29,BN29, DI29, FS29))</formula>
    </cfRule>
  </conditionalFormatting>
  <conditionalFormatting sqref="FK29">
    <cfRule type="expression" dxfId="2" priority="3484">
      <formula>AND(BT29&gt;=6,FK29&lt;&gt;0, GetEquPower(C29,BN29, DJ29, FS29)=0)</formula>
    </cfRule>
    <cfRule type="expression" dxfId="1" priority="3485">
      <formula>AND(BT29&gt;=6,FK29&lt;&gt;GetEquPower(C29,BN29, DJ29, FS29))</formula>
    </cfRule>
  </conditionalFormatting>
  <conditionalFormatting sqref="W29">
    <cfRule type="expression" dxfId="0" priority="3401">
      <formula xml:space="preserve"> NOT(ISLOGICAL($W$2))</formula>
    </cfRule>
  </conditionalFormatting>
  <conditionalFormatting sqref="F30">
    <cfRule type="expression" dxfId="0" priority="3328">
      <formula>F30&lt;&gt;RIGHT(SUBSTITUTE(E30,".",""),LEN(F30))</formula>
    </cfRule>
  </conditionalFormatting>
  <conditionalFormatting sqref="X30">
    <cfRule type="expression" dxfId="0" priority="3323">
      <formula xml:space="preserve"> NOT(ISLOGICAL($X$2))</formula>
    </cfRule>
    <cfRule type="expression" dxfId="0" priority="3327">
      <formula>AND(X30=TRUE,W30=FALSE)</formula>
    </cfRule>
  </conditionalFormatting>
  <conditionalFormatting sqref="Y30">
    <cfRule type="expression" dxfId="0" priority="3326">
      <formula>OR(AND(X30=FALSE,INT(Y30)&gt;0),AND(X30=TRUE,INT(Y30)&lt;=0))</formula>
    </cfRule>
  </conditionalFormatting>
  <conditionalFormatting sqref="AA30">
    <cfRule type="expression" dxfId="0" priority="3325">
      <formula>AND(Z30=FALSE,AA30&gt;0)</formula>
    </cfRule>
  </conditionalFormatting>
  <conditionalFormatting sqref="BV30:HY30">
    <cfRule type="containsErrors" dxfId="0" priority="3324">
      <formula>ISERROR(BV30)</formula>
    </cfRule>
  </conditionalFormatting>
  <conditionalFormatting sqref="Z30">
    <cfRule type="expression" dxfId="0" priority="3322">
      <formula>NOT(ISLOGICAL($Z$2))</formula>
    </cfRule>
  </conditionalFormatting>
  <conditionalFormatting sqref="AB30">
    <cfRule type="expression" dxfId="0" priority="3321">
      <formula>NOT(ISLOGICAL($AB$2))</formula>
    </cfRule>
  </conditionalFormatting>
  <conditionalFormatting sqref="AC30">
    <cfRule type="expression" dxfId="0" priority="3320">
      <formula>NOT(ISLOGICAL($AC$2))</formula>
    </cfRule>
  </conditionalFormatting>
  <conditionalFormatting sqref="B30:BU30">
    <cfRule type="containsErrors" dxfId="0" priority="3319">
      <formula>ISERROR(B30)</formula>
    </cfRule>
  </conditionalFormatting>
  <conditionalFormatting sqref="I30">
    <cfRule type="expression" dxfId="0" priority="3318">
      <formula>NOT(ISNUMBER($I$2))</formula>
    </cfRule>
  </conditionalFormatting>
  <conditionalFormatting sqref="D30">
    <cfRule type="expression" dxfId="0" priority="3317">
      <formula>ISBLANK($D$2)</formula>
    </cfRule>
  </conditionalFormatting>
  <conditionalFormatting sqref="DW30">
    <cfRule type="expression" dxfId="2" priority="3329">
      <formula>AND(BO30&gt;=1,DW30&lt;&gt;0, GetEquPower(C30,BI30, CA30, FN30)=0)</formula>
    </cfRule>
    <cfRule type="expression" dxfId="1" priority="3330">
      <formula>AND(BO30&gt;=1,DW30&lt;&gt;GetEquPower(C30,BI30, CA30, FN30))</formula>
    </cfRule>
  </conditionalFormatting>
  <conditionalFormatting sqref="DX30">
    <cfRule type="expression" dxfId="2" priority="3331">
      <formula>AND(BO30&gt;=2,DX30&lt;&gt;0, GetEquPower(C30,BI30, CB30, FN30)=0)</formula>
    </cfRule>
    <cfRule type="expression" dxfId="1" priority="3332">
      <formula>AND(BO30&gt;=2,DX30&lt;&gt;GetEquPower(C30,BI30, CB30, FN30))</formula>
    </cfRule>
  </conditionalFormatting>
  <conditionalFormatting sqref="DY30">
    <cfRule type="expression" dxfId="2" priority="3333">
      <formula>AND(BO30&gt;=3,DY30&lt;&gt;0, GetEquPower(C30,BI30, CC30, FN30)=0)</formula>
    </cfRule>
    <cfRule type="expression" dxfId="1" priority="3334">
      <formula>AND(BO30&gt;=3,DY30&lt;&gt;GetEquPower(C30,BI30, CC30, FN30))</formula>
    </cfRule>
  </conditionalFormatting>
  <conditionalFormatting sqref="ED30">
    <cfRule type="expression" dxfId="2" priority="3335">
      <formula>AND(BP30&gt;=1,ED30&lt;&gt;0, GetEquPower(C30,BJ30, CG30, FO30)=0)</formula>
    </cfRule>
    <cfRule type="expression" dxfId="1" priority="3336">
      <formula>AND(BP30&gt;=1,ED30&lt;&gt;GetEquPower(C30,BJ30, CG30, FO30))</formula>
    </cfRule>
  </conditionalFormatting>
  <conditionalFormatting sqref="EE30">
    <cfRule type="expression" dxfId="2" priority="3337">
      <formula>AND(BP30&gt;=2,EE30&lt;&gt;0, GetEquPower(C30,BJ30, CH30, FO30)=0)</formula>
    </cfRule>
    <cfRule type="expression" dxfId="1" priority="3338">
      <formula>AND(BP30&gt;=2,EE30&lt;&gt;GetEquPower(C30,BJ30, CH30, FO30))</formula>
    </cfRule>
  </conditionalFormatting>
  <conditionalFormatting sqref="EF30">
    <cfRule type="expression" dxfId="2" priority="3339">
      <formula>AND(BP30&gt;=3,EF30&lt;&gt;0, GetEquPower(C30,BJ30, CI30, FO30)=0)</formula>
    </cfRule>
    <cfRule type="expression" dxfId="1" priority="3340">
      <formula>AND(BP30&gt;=3,EF30&lt;&gt;GetEquPower(C30,BJ30, CI30, FO30))</formula>
    </cfRule>
  </conditionalFormatting>
  <conditionalFormatting sqref="EK30">
    <cfRule type="expression" dxfId="2" priority="3341">
      <formula>AND(BQ30&gt;=1,EK30&lt;&gt;0, GetEquPower(C30,BK30, CM30, FP30)=0)</formula>
    </cfRule>
    <cfRule type="expression" dxfId="1" priority="3342">
      <formula>AND(BQ30&gt;=1,EK30&lt;&gt;GetEquPower(C30,BK30, CM30, FP30))</formula>
    </cfRule>
  </conditionalFormatting>
  <conditionalFormatting sqref="EL30">
    <cfRule type="expression" dxfId="2" priority="3343">
      <formula>AND(BQ30&gt;=2,EL30&lt;&gt;0, GetEquPower(C30,BK30, CN30, FP30)=0)</formula>
    </cfRule>
    <cfRule type="expression" dxfId="1" priority="3344">
      <formula xml:space="preserve"> AND(BQ30&gt;=2,EL30&lt;&gt;GetEquPower(C30,BK30, CN30, FP30))</formula>
    </cfRule>
  </conditionalFormatting>
  <conditionalFormatting sqref="EM30">
    <cfRule type="expression" dxfId="2" priority="3345">
      <formula>AND(BQ30&gt;=3,EM30&lt;&gt;0, GetEquPower(C30,BK30, CO30, FP30)=0)</formula>
    </cfRule>
    <cfRule type="expression" dxfId="1" priority="3346">
      <formula xml:space="preserve"> AND(BQ30&gt;=3,EM30&lt;&gt;GetEquPower(C30,BK30, CO30, FP30))</formula>
    </cfRule>
  </conditionalFormatting>
  <conditionalFormatting sqref="ER30">
    <cfRule type="expression" dxfId="2" priority="3347">
      <formula>AND(BR30&gt;=1,ER30&lt;&gt;0, GetEquPower(C30,BL30, CS30, FQ30)=0)</formula>
    </cfRule>
    <cfRule type="expression" dxfId="1" priority="3348">
      <formula>AND(BR30&gt;=1,ER30&lt;&gt;GetEquPower(C30,BL30, CS30, FQ30))</formula>
    </cfRule>
  </conditionalFormatting>
  <conditionalFormatting sqref="ES30">
    <cfRule type="expression" dxfId="2" priority="3349">
      <formula>AND(BR30&gt;=2,ES30&lt;&gt;0, GetEquPower(C30,BL30, CT30, FQ30)=0)</formula>
    </cfRule>
    <cfRule type="expression" dxfId="1" priority="3350">
      <formula>AND(BR30&gt;=2,ES30&lt;&gt;GetEquPower(C30,BL30, CT30, FQ30))</formula>
    </cfRule>
  </conditionalFormatting>
  <conditionalFormatting sqref="ET30">
    <cfRule type="expression" dxfId="2" priority="3351">
      <formula>AND(BR30&gt;=3,ET30&lt;&gt;0, GetEquPower(C30,BL30, CU30, FQ30)=0)</formula>
    </cfRule>
    <cfRule type="expression" dxfId="1" priority="3352">
      <formula>AND(BR30&gt;=3,ET30&lt;&gt;GetEquPower(C30,BL30, CU30, FQ30))</formula>
    </cfRule>
  </conditionalFormatting>
  <conditionalFormatting sqref="EY30">
    <cfRule type="expression" dxfId="2" priority="3353">
      <formula>AND(BS30&gt;=1,EY30&lt;&gt;0, GetEquPower(C30,BM30, CY30, FR30)=0)</formula>
    </cfRule>
    <cfRule type="expression" dxfId="1" priority="3354">
      <formula>AND(BS30&gt;=1,EY30&lt;&gt;GetEquPower(C30,BM30, CY30, FR30))</formula>
    </cfRule>
  </conditionalFormatting>
  <conditionalFormatting sqref="EZ30">
    <cfRule type="expression" dxfId="2" priority="3355">
      <formula>AND(BS30&gt;=2,EZ30&lt;&gt;0, GetEquPower(C30,BM30, CZ30, FR30)=0)</formula>
    </cfRule>
    <cfRule type="expression" dxfId="1" priority="3356">
      <formula>AND(BS30&gt;=2,EZ30&lt;&gt;GetEquPower(C30,BM30, CZ30, FR30))</formula>
    </cfRule>
  </conditionalFormatting>
  <conditionalFormatting sqref="FA30">
    <cfRule type="expression" dxfId="2" priority="3357">
      <formula>AND(BS30&gt;=3,FA30&lt;&gt;0, GetEquPower(C30,BM30, DA30, FR30)=0)</formula>
    </cfRule>
    <cfRule type="expression" dxfId="1" priority="3358">
      <formula>AND(BS30&gt;=3,FA30&lt;&gt;GetEquPower(C30,BM30, DA30, FR30))</formula>
    </cfRule>
  </conditionalFormatting>
  <conditionalFormatting sqref="FF30">
    <cfRule type="expression" dxfId="2" priority="3359">
      <formula>AND(BT30&gt;=1,FF30&lt;&gt;0, GetEquPower(C30,BN30, DE30, FS30)=0)</formula>
    </cfRule>
    <cfRule type="expression" dxfId="1" priority="3360">
      <formula>AND(BT30&gt;=1,FF30&lt;&gt;GetEquPower(C30,BN30, DE30, FS30))</formula>
    </cfRule>
  </conditionalFormatting>
  <conditionalFormatting sqref="FG30">
    <cfRule type="expression" dxfId="2" priority="3361">
      <formula>AND(BT30&gt;=2,FG30&lt;&gt;0, GetEquPower(C30,BN30, DF30, FS30)=0)</formula>
    </cfRule>
    <cfRule type="expression" dxfId="1" priority="3362">
      <formula>AND(BT30&gt;=2,FG30&lt;&gt;GetEquPower(C30,BN30, DF30, FS30))</formula>
    </cfRule>
  </conditionalFormatting>
  <conditionalFormatting sqref="FH30">
    <cfRule type="expression" dxfId="2" priority="3363">
      <formula>AND(BT30&gt;=3,FH30&lt;&gt;0, GetEquPower(C30,BN30, DG30, FS30)=0)</formula>
    </cfRule>
    <cfRule type="expression" dxfId="1" priority="3364">
      <formula>AND(BT30&gt;=3,FH30&lt;&gt;GetEquPower(C30,BN30, DG30, FS30))</formula>
    </cfRule>
  </conditionalFormatting>
  <conditionalFormatting sqref="DZ30">
    <cfRule type="expression" dxfId="2" priority="3365">
      <formula>AND(BO30&gt;=4,DZ30&lt;&gt;0, GetEquPower(C30,BI30, CD30, FN30)=0)</formula>
    </cfRule>
    <cfRule type="expression" dxfId="1" priority="3366">
      <formula>AND(BO30&gt;=4, DZ30&lt;&gt;GetEquPower(C30,BI30, CD30, FN30))</formula>
    </cfRule>
  </conditionalFormatting>
  <conditionalFormatting sqref="EG30">
    <cfRule type="expression" dxfId="2" priority="3367">
      <formula>AND(BP30&gt;=4,EG30&lt;&gt;0, GetEquPower(C30,BJ30, CJ30, FO30)=0)</formula>
    </cfRule>
    <cfRule type="expression" dxfId="1" priority="3368">
      <formula>AND(BP30&gt;=4,EG30&lt;&gt;GetEquPower(C30,BJ30, CJ30, FO30))</formula>
    </cfRule>
  </conditionalFormatting>
  <conditionalFormatting sqref="EN30">
    <cfRule type="expression" dxfId="2" priority="3369">
      <formula>AND(BQ30&gt;=4,EN30&lt;&gt;0, GetEquPower(C30,BK30, CP30, FP30)=0)</formula>
    </cfRule>
    <cfRule type="expression" dxfId="1" priority="3370">
      <formula xml:space="preserve"> AND(BQ30&gt;=4,EN30&lt;&gt;GetEquPower(C30,BK30, CP30, FP30))</formula>
    </cfRule>
  </conditionalFormatting>
  <conditionalFormatting sqref="EU30">
    <cfRule type="expression" dxfId="2" priority="3371">
      <formula>AND(BR30&gt;=4,EU30&lt;&gt;0, GetEquPower(C30,BL30, CV30, FQ30)=0)</formula>
    </cfRule>
    <cfRule type="expression" dxfId="1" priority="3372">
      <formula>AND(BR30&gt;=4,EU30&lt;&gt;GetEquPower(C30,BL30, CV30, FQ30))</formula>
    </cfRule>
  </conditionalFormatting>
  <conditionalFormatting sqref="FB30">
    <cfRule type="expression" dxfId="2" priority="3373">
      <formula>AND(BS30&gt;=4,FB30&lt;&gt;0, GetEquPower(C30,BM30, DB30, FR30)=0)</formula>
    </cfRule>
    <cfRule type="expression" dxfId="1" priority="3374">
      <formula>AND(BS30&gt;=4,FB30&lt;&gt;GetEquPower(C30,BM30, DB30, FR30))</formula>
    </cfRule>
  </conditionalFormatting>
  <conditionalFormatting sqref="FI30">
    <cfRule type="expression" dxfId="2" priority="3375">
      <formula>AND(BT30&gt;=4,FI30&lt;&gt;0, GetEquPower(C30,BN30, DH30, FS30)=0)</formula>
    </cfRule>
    <cfRule type="expression" dxfId="1" priority="3376">
      <formula>AND(BT30&gt;=4,FI30&lt;&gt;GetEquPower(C30,BN30, DH30, FS30))</formula>
    </cfRule>
  </conditionalFormatting>
  <conditionalFormatting sqref="EA30">
    <cfRule type="expression" dxfId="2" priority="3377">
      <formula>AND(BO30&gt;=5,EA30&lt;&gt;0, GetEquPower(C30,BI30, CE30, FN30)=0)</formula>
    </cfRule>
    <cfRule type="expression" dxfId="1" priority="3378">
      <formula>AND(BO30&gt;=5, EA30&lt;&gt;GetEquPower(C30,BI30, CE30, FN30))</formula>
    </cfRule>
  </conditionalFormatting>
  <conditionalFormatting sqref="EB30">
    <cfRule type="expression" dxfId="2" priority="3379">
      <formula>AND(BO30&gt;=6,EB30&lt;&gt;0, GetEquPower(C30,BI30, CF30, FN30)=0)</formula>
    </cfRule>
    <cfRule type="expression" dxfId="1" priority="3380">
      <formula>AND(BO30&gt;=6, EB30&lt;&gt;GetEquPower(C30,BI30, CF30, FN30))</formula>
    </cfRule>
  </conditionalFormatting>
  <conditionalFormatting sqref="EH30">
    <cfRule type="expression" dxfId="2" priority="3381">
      <formula>AND(BP30&gt;=5,EH30&lt;&gt;0, GetEquPower(C30,BJ30, CK30, FO30)=0)</formula>
    </cfRule>
    <cfRule type="expression" dxfId="1" priority="3382">
      <formula>AND(BP30&gt;=5,EH30&lt;&gt;GetEquPower(C30,BJ30, CK30, FO30))</formula>
    </cfRule>
  </conditionalFormatting>
  <conditionalFormatting sqref="EI30">
    <cfRule type="expression" dxfId="2" priority="3383">
      <formula>AND(BP30&gt;=6,EI30&lt;&gt;0, GetEquPower(C30,BJ30, CL30, FO30)=0)</formula>
    </cfRule>
    <cfRule type="expression" dxfId="1" priority="3384">
      <formula>AND(BP30&gt;=6,EI30&lt;&gt;GetEquPower(C30,BJ30, CL30, FO30))</formula>
    </cfRule>
  </conditionalFormatting>
  <conditionalFormatting sqref="EO30">
    <cfRule type="expression" dxfId="2" priority="3385">
      <formula>AND(BQ30&gt;=5,EO30&lt;&gt;0, GetEquPower(C30,BK30, CQ30, FP30)=0)</formula>
    </cfRule>
    <cfRule type="expression" dxfId="1" priority="3386">
      <formula xml:space="preserve"> AND(BQ30&gt;=5,EO30&lt;&gt;GetEquPower(C30,BK30, CQ30, FP30))</formula>
    </cfRule>
  </conditionalFormatting>
  <conditionalFormatting sqref="EP30">
    <cfRule type="expression" dxfId="2" priority="3387">
      <formula>AND(BQ30&gt;=6,EP30&lt;&gt;0, GetEquPower(C30,BK30, CR30, FP30)=0)</formula>
    </cfRule>
    <cfRule type="expression" dxfId="1" priority="3388">
      <formula xml:space="preserve"> AND(BQ30&gt;=6,EP30&lt;&gt;GetEquPower(C30,BK30, CR30, FP30))</formula>
    </cfRule>
  </conditionalFormatting>
  <conditionalFormatting sqref="EV30">
    <cfRule type="expression" dxfId="2" priority="3389">
      <formula>AND(BR30&gt;=5,EV30&lt;&gt;0, GetEquPower(C30,BL30, CW30, FQ30)=0)</formula>
    </cfRule>
    <cfRule type="expression" dxfId="1" priority="3390">
      <formula>AND(BR30&gt;=5,EV30&lt;&gt;GetEquPower(C30,BL30, CW30, FQ30))</formula>
    </cfRule>
  </conditionalFormatting>
  <conditionalFormatting sqref="EW30">
    <cfRule type="expression" dxfId="2" priority="3391">
      <formula>AND(BR30&gt;=6,EW30&lt;&gt;0, GetEquPower(C30,BL30, CX30, FQ30)=0)</formula>
    </cfRule>
    <cfRule type="expression" dxfId="1" priority="3392">
      <formula>AND(BR30&gt;=6,EW30&lt;&gt;GetEquPower(C30,BL30, CX30, FQ30))</formula>
    </cfRule>
  </conditionalFormatting>
  <conditionalFormatting sqref="FC30">
    <cfRule type="expression" dxfId="2" priority="3393">
      <formula>AND(BS30&gt;=5,FC30&lt;&gt;0, GetEquPower(C30,BM30, DC30, FR30)=0)</formula>
    </cfRule>
    <cfRule type="expression" dxfId="1" priority="3394">
      <formula>AND(BS30&gt;=5,FC30&lt;&gt;GetEquPower(C30,BM30, DC30, FR30))</formula>
    </cfRule>
  </conditionalFormatting>
  <conditionalFormatting sqref="FD30">
    <cfRule type="expression" dxfId="2" priority="3395">
      <formula>AND(BS30&gt;=6,FD30&lt;&gt;0, GetEquPower(C30,BM30, DD30, FR30)=0)</formula>
    </cfRule>
    <cfRule type="expression" dxfId="1" priority="3396">
      <formula>AND(BS30&gt;=6,FD30&lt;&gt;GetEquPower(C30,BM30, DD30, FR30))</formula>
    </cfRule>
  </conditionalFormatting>
  <conditionalFormatting sqref="FJ30">
    <cfRule type="expression" dxfId="2" priority="3397">
      <formula>AND(BT30&gt;=5,FJ30&lt;&gt;0, GetEquPower(C30,BN30, DI30, FS30)=0)</formula>
    </cfRule>
    <cfRule type="expression" dxfId="1" priority="3398">
      <formula>AND(BT30&gt;=5,FJ30&lt;&gt;GetEquPower(C30,BN30, DI30, FS30))</formula>
    </cfRule>
  </conditionalFormatting>
  <conditionalFormatting sqref="FK30">
    <cfRule type="expression" dxfId="2" priority="3399">
      <formula>AND(BT30&gt;=6,FK30&lt;&gt;0, GetEquPower(C30,BN30, DJ30, FS30)=0)</formula>
    </cfRule>
    <cfRule type="expression" dxfId="1" priority="3400">
      <formula>AND(BT30&gt;=6,FK30&lt;&gt;GetEquPower(C30,BN30, DJ30, FS30))</formula>
    </cfRule>
  </conditionalFormatting>
  <conditionalFormatting sqref="W30">
    <cfRule type="expression" dxfId="0" priority="3316">
      <formula xml:space="preserve"> NOT(ISLOGICAL($W$2))</formula>
    </cfRule>
  </conditionalFormatting>
  <conditionalFormatting sqref="F31">
    <cfRule type="expression" dxfId="0" priority="3243">
      <formula>F31&lt;&gt;RIGHT(SUBSTITUTE(E31,".",""),LEN(F31))</formula>
    </cfRule>
  </conditionalFormatting>
  <conditionalFormatting sqref="X31">
    <cfRule type="expression" dxfId="0" priority="3238">
      <formula xml:space="preserve"> NOT(ISLOGICAL($X$2))</formula>
    </cfRule>
    <cfRule type="expression" dxfId="0" priority="3242">
      <formula>AND(X31=TRUE,W31=FALSE)</formula>
    </cfRule>
  </conditionalFormatting>
  <conditionalFormatting sqref="Y31">
    <cfRule type="expression" dxfId="0" priority="3241">
      <formula>OR(AND(X31=FALSE,INT(Y31)&gt;0),AND(X31=TRUE,INT(Y31)&lt;=0))</formula>
    </cfRule>
  </conditionalFormatting>
  <conditionalFormatting sqref="AA31">
    <cfRule type="expression" dxfId="0" priority="3240">
      <formula>AND(Z31=FALSE,AA31&gt;0)</formula>
    </cfRule>
  </conditionalFormatting>
  <conditionalFormatting sqref="BV31:HY31">
    <cfRule type="containsErrors" dxfId="0" priority="3239">
      <formula>ISERROR(BV31)</formula>
    </cfRule>
  </conditionalFormatting>
  <conditionalFormatting sqref="Z31">
    <cfRule type="expression" dxfId="0" priority="3237">
      <formula>NOT(ISLOGICAL($Z$2))</formula>
    </cfRule>
  </conditionalFormatting>
  <conditionalFormatting sqref="AB31">
    <cfRule type="expression" dxfId="0" priority="3236">
      <formula>NOT(ISLOGICAL($AB$2))</formula>
    </cfRule>
  </conditionalFormatting>
  <conditionalFormatting sqref="AC31">
    <cfRule type="expression" dxfId="0" priority="3235">
      <formula>NOT(ISLOGICAL($AC$2))</formula>
    </cfRule>
  </conditionalFormatting>
  <conditionalFormatting sqref="B31:BU31">
    <cfRule type="containsErrors" dxfId="0" priority="3234">
      <formula>ISERROR(B31)</formula>
    </cfRule>
  </conditionalFormatting>
  <conditionalFormatting sqref="I31">
    <cfRule type="expression" dxfId="0" priority="3233">
      <formula>NOT(ISNUMBER($I$2))</formula>
    </cfRule>
  </conditionalFormatting>
  <conditionalFormatting sqref="D31">
    <cfRule type="expression" dxfId="0" priority="3232">
      <formula>ISBLANK($D$2)</formula>
    </cfRule>
  </conditionalFormatting>
  <conditionalFormatting sqref="DW31">
    <cfRule type="expression" dxfId="2" priority="3244">
      <formula>AND(BO31&gt;=1,DW31&lt;&gt;0, GetEquPower(C31,BI31, CA31, FN31)=0)</formula>
    </cfRule>
    <cfRule type="expression" dxfId="1" priority="3245">
      <formula>AND(BO31&gt;=1,DW31&lt;&gt;GetEquPower(C31,BI31, CA31, FN31))</formula>
    </cfRule>
  </conditionalFormatting>
  <conditionalFormatting sqref="DX31">
    <cfRule type="expression" dxfId="2" priority="3246">
      <formula>AND(BO31&gt;=2,DX31&lt;&gt;0, GetEquPower(C31,BI31, CB31, FN31)=0)</formula>
    </cfRule>
    <cfRule type="expression" dxfId="1" priority="3247">
      <formula>AND(BO31&gt;=2,DX31&lt;&gt;GetEquPower(C31,BI31, CB31, FN31))</formula>
    </cfRule>
  </conditionalFormatting>
  <conditionalFormatting sqref="DY31">
    <cfRule type="expression" dxfId="2" priority="3248">
      <formula>AND(BO31&gt;=3,DY31&lt;&gt;0, GetEquPower(C31,BI31, CC31, FN31)=0)</formula>
    </cfRule>
    <cfRule type="expression" dxfId="1" priority="3249">
      <formula>AND(BO31&gt;=3,DY31&lt;&gt;GetEquPower(C31,BI31, CC31, FN31))</formula>
    </cfRule>
  </conditionalFormatting>
  <conditionalFormatting sqref="ED31">
    <cfRule type="expression" dxfId="2" priority="3250">
      <formula>AND(BP31&gt;=1,ED31&lt;&gt;0, GetEquPower(C31,BJ31, CG31, FO31)=0)</formula>
    </cfRule>
    <cfRule type="expression" dxfId="1" priority="3251">
      <formula>AND(BP31&gt;=1,ED31&lt;&gt;GetEquPower(C31,BJ31, CG31, FO31))</formula>
    </cfRule>
  </conditionalFormatting>
  <conditionalFormatting sqref="EE31">
    <cfRule type="expression" dxfId="2" priority="3252">
      <formula>AND(BP31&gt;=2,EE31&lt;&gt;0, GetEquPower(C31,BJ31, CH31, FO31)=0)</formula>
    </cfRule>
    <cfRule type="expression" dxfId="1" priority="3253">
      <formula>AND(BP31&gt;=2,EE31&lt;&gt;GetEquPower(C31,BJ31, CH31, FO31))</formula>
    </cfRule>
  </conditionalFormatting>
  <conditionalFormatting sqref="EF31">
    <cfRule type="expression" dxfId="2" priority="3254">
      <formula>AND(BP31&gt;=3,EF31&lt;&gt;0, GetEquPower(C31,BJ31, CI31, FO31)=0)</formula>
    </cfRule>
    <cfRule type="expression" dxfId="1" priority="3255">
      <formula>AND(BP31&gt;=3,EF31&lt;&gt;GetEquPower(C31,BJ31, CI31, FO31))</formula>
    </cfRule>
  </conditionalFormatting>
  <conditionalFormatting sqref="EK31">
    <cfRule type="expression" dxfId="2" priority="3256">
      <formula>AND(BQ31&gt;=1,EK31&lt;&gt;0, GetEquPower(C31,BK31, CM31, FP31)=0)</formula>
    </cfRule>
    <cfRule type="expression" dxfId="1" priority="3257">
      <formula>AND(BQ31&gt;=1,EK31&lt;&gt;GetEquPower(C31,BK31, CM31, FP31))</formula>
    </cfRule>
  </conditionalFormatting>
  <conditionalFormatting sqref="EL31">
    <cfRule type="expression" dxfId="2" priority="3258">
      <formula>AND(BQ31&gt;=2,EL31&lt;&gt;0, GetEquPower(C31,BK31, CN31, FP31)=0)</formula>
    </cfRule>
    <cfRule type="expression" dxfId="1" priority="3259">
      <formula xml:space="preserve"> AND(BQ31&gt;=2,EL31&lt;&gt;GetEquPower(C31,BK31, CN31, FP31))</formula>
    </cfRule>
  </conditionalFormatting>
  <conditionalFormatting sqref="EM31">
    <cfRule type="expression" dxfId="2" priority="3260">
      <formula>AND(BQ31&gt;=3,EM31&lt;&gt;0, GetEquPower(C31,BK31, CO31, FP31)=0)</formula>
    </cfRule>
    <cfRule type="expression" dxfId="1" priority="3261">
      <formula xml:space="preserve"> AND(BQ31&gt;=3,EM31&lt;&gt;GetEquPower(C31,BK31, CO31, FP31))</formula>
    </cfRule>
  </conditionalFormatting>
  <conditionalFormatting sqref="ER31">
    <cfRule type="expression" dxfId="2" priority="3262">
      <formula>AND(BR31&gt;=1,ER31&lt;&gt;0, GetEquPower(C31,BL31, CS31, FQ31)=0)</formula>
    </cfRule>
    <cfRule type="expression" dxfId="1" priority="3263">
      <formula>AND(BR31&gt;=1,ER31&lt;&gt;GetEquPower(C31,BL31, CS31, FQ31))</formula>
    </cfRule>
  </conditionalFormatting>
  <conditionalFormatting sqref="ES31">
    <cfRule type="expression" dxfId="2" priority="3264">
      <formula>AND(BR31&gt;=2,ES31&lt;&gt;0, GetEquPower(C31,BL31, CT31, FQ31)=0)</formula>
    </cfRule>
    <cfRule type="expression" dxfId="1" priority="3265">
      <formula>AND(BR31&gt;=2,ES31&lt;&gt;GetEquPower(C31,BL31, CT31, FQ31))</formula>
    </cfRule>
  </conditionalFormatting>
  <conditionalFormatting sqref="ET31">
    <cfRule type="expression" dxfId="2" priority="3266">
      <formula>AND(BR31&gt;=3,ET31&lt;&gt;0, GetEquPower(C31,BL31, CU31, FQ31)=0)</formula>
    </cfRule>
    <cfRule type="expression" dxfId="1" priority="3267">
      <formula>AND(BR31&gt;=3,ET31&lt;&gt;GetEquPower(C31,BL31, CU31, FQ31))</formula>
    </cfRule>
  </conditionalFormatting>
  <conditionalFormatting sqref="EY31">
    <cfRule type="expression" dxfId="2" priority="3268">
      <formula>AND(BS31&gt;=1,EY31&lt;&gt;0, GetEquPower(C31,BM31, CY31, FR31)=0)</formula>
    </cfRule>
    <cfRule type="expression" dxfId="1" priority="3269">
      <formula>AND(BS31&gt;=1,EY31&lt;&gt;GetEquPower(C31,BM31, CY31, FR31))</formula>
    </cfRule>
  </conditionalFormatting>
  <conditionalFormatting sqref="EZ31">
    <cfRule type="expression" dxfId="2" priority="3270">
      <formula>AND(BS31&gt;=2,EZ31&lt;&gt;0, GetEquPower(C31,BM31, CZ31, FR31)=0)</formula>
    </cfRule>
    <cfRule type="expression" dxfId="1" priority="3271">
      <formula>AND(BS31&gt;=2,EZ31&lt;&gt;GetEquPower(C31,BM31, CZ31, FR31))</formula>
    </cfRule>
  </conditionalFormatting>
  <conditionalFormatting sqref="FA31">
    <cfRule type="expression" dxfId="2" priority="3272">
      <formula>AND(BS31&gt;=3,FA31&lt;&gt;0, GetEquPower(C31,BM31, DA31, FR31)=0)</formula>
    </cfRule>
    <cfRule type="expression" dxfId="1" priority="3273">
      <formula>AND(BS31&gt;=3,FA31&lt;&gt;GetEquPower(C31,BM31, DA31, FR31))</formula>
    </cfRule>
  </conditionalFormatting>
  <conditionalFormatting sqref="FF31">
    <cfRule type="expression" dxfId="2" priority="3274">
      <formula>AND(BT31&gt;=1,FF31&lt;&gt;0, GetEquPower(C31,BN31, DE31, FS31)=0)</formula>
    </cfRule>
    <cfRule type="expression" dxfId="1" priority="3275">
      <formula>AND(BT31&gt;=1,FF31&lt;&gt;GetEquPower(C31,BN31, DE31, FS31))</formula>
    </cfRule>
  </conditionalFormatting>
  <conditionalFormatting sqref="FG31">
    <cfRule type="expression" dxfId="2" priority="3276">
      <formula>AND(BT31&gt;=2,FG31&lt;&gt;0, GetEquPower(C31,BN31, DF31, FS31)=0)</formula>
    </cfRule>
    <cfRule type="expression" dxfId="1" priority="3277">
      <formula>AND(BT31&gt;=2,FG31&lt;&gt;GetEquPower(C31,BN31, DF31, FS31))</formula>
    </cfRule>
  </conditionalFormatting>
  <conditionalFormatting sqref="FH31">
    <cfRule type="expression" dxfId="2" priority="3278">
      <formula>AND(BT31&gt;=3,FH31&lt;&gt;0, GetEquPower(C31,BN31, DG31, FS31)=0)</formula>
    </cfRule>
    <cfRule type="expression" dxfId="1" priority="3279">
      <formula>AND(BT31&gt;=3,FH31&lt;&gt;GetEquPower(C31,BN31, DG31, FS31))</formula>
    </cfRule>
  </conditionalFormatting>
  <conditionalFormatting sqref="DZ31">
    <cfRule type="expression" dxfId="2" priority="3280">
      <formula>AND(BO31&gt;=4,DZ31&lt;&gt;0, GetEquPower(C31,BI31, CD31, FN31)=0)</formula>
    </cfRule>
    <cfRule type="expression" dxfId="1" priority="3281">
      <formula>AND(BO31&gt;=4, DZ31&lt;&gt;GetEquPower(C31,BI31, CD31, FN31))</formula>
    </cfRule>
  </conditionalFormatting>
  <conditionalFormatting sqref="EG31">
    <cfRule type="expression" dxfId="2" priority="3282">
      <formula>AND(BP31&gt;=4,EG31&lt;&gt;0, GetEquPower(C31,BJ31, CJ31, FO31)=0)</formula>
    </cfRule>
    <cfRule type="expression" dxfId="1" priority="3283">
      <formula>AND(BP31&gt;=4,EG31&lt;&gt;GetEquPower(C31,BJ31, CJ31, FO31))</formula>
    </cfRule>
  </conditionalFormatting>
  <conditionalFormatting sqref="EN31">
    <cfRule type="expression" dxfId="2" priority="3284">
      <formula>AND(BQ31&gt;=4,EN31&lt;&gt;0, GetEquPower(C31,BK31, CP31, FP31)=0)</formula>
    </cfRule>
    <cfRule type="expression" dxfId="1" priority="3285">
      <formula xml:space="preserve"> AND(BQ31&gt;=4,EN31&lt;&gt;GetEquPower(C31,BK31, CP31, FP31))</formula>
    </cfRule>
  </conditionalFormatting>
  <conditionalFormatting sqref="EU31">
    <cfRule type="expression" dxfId="2" priority="3286">
      <formula>AND(BR31&gt;=4,EU31&lt;&gt;0, GetEquPower(C31,BL31, CV31, FQ31)=0)</formula>
    </cfRule>
    <cfRule type="expression" dxfId="1" priority="3287">
      <formula>AND(BR31&gt;=4,EU31&lt;&gt;GetEquPower(C31,BL31, CV31, FQ31))</formula>
    </cfRule>
  </conditionalFormatting>
  <conditionalFormatting sqref="FB31">
    <cfRule type="expression" dxfId="2" priority="3288">
      <formula>AND(BS31&gt;=4,FB31&lt;&gt;0, GetEquPower(C31,BM31, DB31, FR31)=0)</formula>
    </cfRule>
    <cfRule type="expression" dxfId="1" priority="3289">
      <formula>AND(BS31&gt;=4,FB31&lt;&gt;GetEquPower(C31,BM31, DB31, FR31))</formula>
    </cfRule>
  </conditionalFormatting>
  <conditionalFormatting sqref="FI31">
    <cfRule type="expression" dxfId="2" priority="3290">
      <formula>AND(BT31&gt;=4,FI31&lt;&gt;0, GetEquPower(C31,BN31, DH31, FS31)=0)</formula>
    </cfRule>
    <cfRule type="expression" dxfId="1" priority="3291">
      <formula>AND(BT31&gt;=4,FI31&lt;&gt;GetEquPower(C31,BN31, DH31, FS31))</formula>
    </cfRule>
  </conditionalFormatting>
  <conditionalFormatting sqref="EA31">
    <cfRule type="expression" dxfId="2" priority="3292">
      <formula>AND(BO31&gt;=5,EA31&lt;&gt;0, GetEquPower(C31,BI31, CE31, FN31)=0)</formula>
    </cfRule>
    <cfRule type="expression" dxfId="1" priority="3293">
      <formula>AND(BO31&gt;=5, EA31&lt;&gt;GetEquPower(C31,BI31, CE31, FN31))</formula>
    </cfRule>
  </conditionalFormatting>
  <conditionalFormatting sqref="EB31">
    <cfRule type="expression" dxfId="2" priority="3294">
      <formula>AND(BO31&gt;=6,EB31&lt;&gt;0, GetEquPower(C31,BI31, CF31, FN31)=0)</formula>
    </cfRule>
    <cfRule type="expression" dxfId="1" priority="3295">
      <formula>AND(BO31&gt;=6, EB31&lt;&gt;GetEquPower(C31,BI31, CF31, FN31))</formula>
    </cfRule>
  </conditionalFormatting>
  <conditionalFormatting sqref="EH31">
    <cfRule type="expression" dxfId="2" priority="3296">
      <formula>AND(BP31&gt;=5,EH31&lt;&gt;0, GetEquPower(C31,BJ31, CK31, FO31)=0)</formula>
    </cfRule>
    <cfRule type="expression" dxfId="1" priority="3297">
      <formula>AND(BP31&gt;=5,EH31&lt;&gt;GetEquPower(C31,BJ31, CK31, FO31))</formula>
    </cfRule>
  </conditionalFormatting>
  <conditionalFormatting sqref="EI31">
    <cfRule type="expression" dxfId="2" priority="3298">
      <formula>AND(BP31&gt;=6,EI31&lt;&gt;0, GetEquPower(C31,BJ31, CL31, FO31)=0)</formula>
    </cfRule>
    <cfRule type="expression" dxfId="1" priority="3299">
      <formula>AND(BP31&gt;=6,EI31&lt;&gt;GetEquPower(C31,BJ31, CL31, FO31))</formula>
    </cfRule>
  </conditionalFormatting>
  <conditionalFormatting sqref="EO31">
    <cfRule type="expression" dxfId="2" priority="3300">
      <formula>AND(BQ31&gt;=5,EO31&lt;&gt;0, GetEquPower(C31,BK31, CQ31, FP31)=0)</formula>
    </cfRule>
    <cfRule type="expression" dxfId="1" priority="3301">
      <formula xml:space="preserve"> AND(BQ31&gt;=5,EO31&lt;&gt;GetEquPower(C31,BK31, CQ31, FP31))</formula>
    </cfRule>
  </conditionalFormatting>
  <conditionalFormatting sqref="EP31">
    <cfRule type="expression" dxfId="2" priority="3302">
      <formula>AND(BQ31&gt;=6,EP31&lt;&gt;0, GetEquPower(C31,BK31, CR31, FP31)=0)</formula>
    </cfRule>
    <cfRule type="expression" dxfId="1" priority="3303">
      <formula xml:space="preserve"> AND(BQ31&gt;=6,EP31&lt;&gt;GetEquPower(C31,BK31, CR31, FP31))</formula>
    </cfRule>
  </conditionalFormatting>
  <conditionalFormatting sqref="EV31">
    <cfRule type="expression" dxfId="2" priority="3304">
      <formula>AND(BR31&gt;=5,EV31&lt;&gt;0, GetEquPower(C31,BL31, CW31, FQ31)=0)</formula>
    </cfRule>
    <cfRule type="expression" dxfId="1" priority="3305">
      <formula>AND(BR31&gt;=5,EV31&lt;&gt;GetEquPower(C31,BL31, CW31, FQ31))</formula>
    </cfRule>
  </conditionalFormatting>
  <conditionalFormatting sqref="EW31">
    <cfRule type="expression" dxfId="2" priority="3306">
      <formula>AND(BR31&gt;=6,EW31&lt;&gt;0, GetEquPower(C31,BL31, CX31, FQ31)=0)</formula>
    </cfRule>
    <cfRule type="expression" dxfId="1" priority="3307">
      <formula>AND(BR31&gt;=6,EW31&lt;&gt;GetEquPower(C31,BL31, CX31, FQ31))</formula>
    </cfRule>
  </conditionalFormatting>
  <conditionalFormatting sqref="FC31">
    <cfRule type="expression" dxfId="2" priority="3308">
      <formula>AND(BS31&gt;=5,FC31&lt;&gt;0, GetEquPower(C31,BM31, DC31, FR31)=0)</formula>
    </cfRule>
    <cfRule type="expression" dxfId="1" priority="3309">
      <formula>AND(BS31&gt;=5,FC31&lt;&gt;GetEquPower(C31,BM31, DC31, FR31))</formula>
    </cfRule>
  </conditionalFormatting>
  <conditionalFormatting sqref="FD31">
    <cfRule type="expression" dxfId="2" priority="3310">
      <formula>AND(BS31&gt;=6,FD31&lt;&gt;0, GetEquPower(C31,BM31, DD31, FR31)=0)</formula>
    </cfRule>
    <cfRule type="expression" dxfId="1" priority="3311">
      <formula>AND(BS31&gt;=6,FD31&lt;&gt;GetEquPower(C31,BM31, DD31, FR31))</formula>
    </cfRule>
  </conditionalFormatting>
  <conditionalFormatting sqref="FJ31">
    <cfRule type="expression" dxfId="2" priority="3312">
      <formula>AND(BT31&gt;=5,FJ31&lt;&gt;0, GetEquPower(C31,BN31, DI31, FS31)=0)</formula>
    </cfRule>
    <cfRule type="expression" dxfId="1" priority="3313">
      <formula>AND(BT31&gt;=5,FJ31&lt;&gt;GetEquPower(C31,BN31, DI31, FS31))</formula>
    </cfRule>
  </conditionalFormatting>
  <conditionalFormatting sqref="FK31">
    <cfRule type="expression" dxfId="2" priority="3314">
      <formula>AND(BT31&gt;=6,FK31&lt;&gt;0, GetEquPower(C31,BN31, DJ31, FS31)=0)</formula>
    </cfRule>
    <cfRule type="expression" dxfId="1" priority="3315">
      <formula>AND(BT31&gt;=6,FK31&lt;&gt;GetEquPower(C31,BN31, DJ31, FS31))</formula>
    </cfRule>
  </conditionalFormatting>
  <conditionalFormatting sqref="W31">
    <cfRule type="expression" dxfId="0" priority="3231">
      <formula xml:space="preserve"> NOT(ISLOGICAL($W$2))</formula>
    </cfRule>
  </conditionalFormatting>
  <conditionalFormatting sqref="F32">
    <cfRule type="expression" dxfId="0" priority="3158">
      <formula>F32&lt;&gt;RIGHT(SUBSTITUTE(E32,".",""),LEN(F32))</formula>
    </cfRule>
  </conditionalFormatting>
  <conditionalFormatting sqref="X32">
    <cfRule type="expression" dxfId="0" priority="3153">
      <formula xml:space="preserve"> NOT(ISLOGICAL($X$2))</formula>
    </cfRule>
    <cfRule type="expression" dxfId="0" priority="3157">
      <formula>AND(X32=TRUE,W32=FALSE)</formula>
    </cfRule>
  </conditionalFormatting>
  <conditionalFormatting sqref="Y32">
    <cfRule type="expression" dxfId="0" priority="3156">
      <formula>OR(AND(X32=FALSE,INT(Y32)&gt;0),AND(X32=TRUE,INT(Y32)&lt;=0))</formula>
    </cfRule>
  </conditionalFormatting>
  <conditionalFormatting sqref="AA32">
    <cfRule type="expression" dxfId="0" priority="3155">
      <formula>AND(Z32=FALSE,AA32&gt;0)</formula>
    </cfRule>
  </conditionalFormatting>
  <conditionalFormatting sqref="BV32:HY32">
    <cfRule type="containsErrors" dxfId="0" priority="3154">
      <formula>ISERROR(BV32)</formula>
    </cfRule>
  </conditionalFormatting>
  <conditionalFormatting sqref="Z32">
    <cfRule type="expression" dxfId="0" priority="3152">
      <formula>NOT(ISLOGICAL($Z$2))</formula>
    </cfRule>
  </conditionalFormatting>
  <conditionalFormatting sqref="AB32">
    <cfRule type="expression" dxfId="0" priority="3151">
      <formula>NOT(ISLOGICAL($AB$2))</formula>
    </cfRule>
  </conditionalFormatting>
  <conditionalFormatting sqref="AC32">
    <cfRule type="expression" dxfId="0" priority="3150">
      <formula>NOT(ISLOGICAL($AC$2))</formula>
    </cfRule>
  </conditionalFormatting>
  <conditionalFormatting sqref="B32:BU32">
    <cfRule type="containsErrors" dxfId="0" priority="3149">
      <formula>ISERROR(B32)</formula>
    </cfRule>
  </conditionalFormatting>
  <conditionalFormatting sqref="I32">
    <cfRule type="expression" dxfId="0" priority="3148">
      <formula>NOT(ISNUMBER($I$2))</formula>
    </cfRule>
  </conditionalFormatting>
  <conditionalFormatting sqref="D32">
    <cfRule type="expression" dxfId="0" priority="3147">
      <formula>ISBLANK($D$2)</formula>
    </cfRule>
  </conditionalFormatting>
  <conditionalFormatting sqref="DW32">
    <cfRule type="expression" dxfId="2" priority="3159">
      <formula>AND(BO32&gt;=1,DW32&lt;&gt;0, GetEquPower(C32,BI32, CA32, FN32)=0)</formula>
    </cfRule>
    <cfRule type="expression" dxfId="1" priority="3160">
      <formula>AND(BO32&gt;=1,DW32&lt;&gt;GetEquPower(C32,BI32, CA32, FN32))</formula>
    </cfRule>
  </conditionalFormatting>
  <conditionalFormatting sqref="DX32">
    <cfRule type="expression" dxfId="2" priority="3161">
      <formula>AND(BO32&gt;=2,DX32&lt;&gt;0, GetEquPower(C32,BI32, CB32, FN32)=0)</formula>
    </cfRule>
    <cfRule type="expression" dxfId="1" priority="3162">
      <formula>AND(BO32&gt;=2,DX32&lt;&gt;GetEquPower(C32,BI32, CB32, FN32))</formula>
    </cfRule>
  </conditionalFormatting>
  <conditionalFormatting sqref="DY32">
    <cfRule type="expression" dxfId="2" priority="3163">
      <formula>AND(BO32&gt;=3,DY32&lt;&gt;0, GetEquPower(C32,BI32, CC32, FN32)=0)</formula>
    </cfRule>
    <cfRule type="expression" dxfId="1" priority="3164">
      <formula>AND(BO32&gt;=3,DY32&lt;&gt;GetEquPower(C32,BI32, CC32, FN32))</formula>
    </cfRule>
  </conditionalFormatting>
  <conditionalFormatting sqref="ED32">
    <cfRule type="expression" dxfId="2" priority="3165">
      <formula>AND(BP32&gt;=1,ED32&lt;&gt;0, GetEquPower(C32,BJ32, CG32, FO32)=0)</formula>
    </cfRule>
    <cfRule type="expression" dxfId="1" priority="3166">
      <formula>AND(BP32&gt;=1,ED32&lt;&gt;GetEquPower(C32,BJ32, CG32, FO32))</formula>
    </cfRule>
  </conditionalFormatting>
  <conditionalFormatting sqref="EE32">
    <cfRule type="expression" dxfId="2" priority="3167">
      <formula>AND(BP32&gt;=2,EE32&lt;&gt;0, GetEquPower(C32,BJ32, CH32, FO32)=0)</formula>
    </cfRule>
    <cfRule type="expression" dxfId="1" priority="3168">
      <formula>AND(BP32&gt;=2,EE32&lt;&gt;GetEquPower(C32,BJ32, CH32, FO32))</formula>
    </cfRule>
  </conditionalFormatting>
  <conditionalFormatting sqref="EF32">
    <cfRule type="expression" dxfId="2" priority="3169">
      <formula>AND(BP32&gt;=3,EF32&lt;&gt;0, GetEquPower(C32,BJ32, CI32, FO32)=0)</formula>
    </cfRule>
    <cfRule type="expression" dxfId="1" priority="3170">
      <formula>AND(BP32&gt;=3,EF32&lt;&gt;GetEquPower(C32,BJ32, CI32, FO32))</formula>
    </cfRule>
  </conditionalFormatting>
  <conditionalFormatting sqref="EK32">
    <cfRule type="expression" dxfId="2" priority="3171">
      <formula>AND(BQ32&gt;=1,EK32&lt;&gt;0, GetEquPower(C32,BK32, CM32, FP32)=0)</formula>
    </cfRule>
    <cfRule type="expression" dxfId="1" priority="3172">
      <formula>AND(BQ32&gt;=1,EK32&lt;&gt;GetEquPower(C32,BK32, CM32, FP32))</formula>
    </cfRule>
  </conditionalFormatting>
  <conditionalFormatting sqref="EL32">
    <cfRule type="expression" dxfId="2" priority="3173">
      <formula>AND(BQ32&gt;=2,EL32&lt;&gt;0, GetEquPower(C32,BK32, CN32, FP32)=0)</formula>
    </cfRule>
    <cfRule type="expression" dxfId="1" priority="3174">
      <formula xml:space="preserve"> AND(BQ32&gt;=2,EL32&lt;&gt;GetEquPower(C32,BK32, CN32, FP32))</formula>
    </cfRule>
  </conditionalFormatting>
  <conditionalFormatting sqref="EM32">
    <cfRule type="expression" dxfId="2" priority="3175">
      <formula>AND(BQ32&gt;=3,EM32&lt;&gt;0, GetEquPower(C32,BK32, CO32, FP32)=0)</formula>
    </cfRule>
    <cfRule type="expression" dxfId="1" priority="3176">
      <formula xml:space="preserve"> AND(BQ32&gt;=3,EM32&lt;&gt;GetEquPower(C32,BK32, CO32, FP32))</formula>
    </cfRule>
  </conditionalFormatting>
  <conditionalFormatting sqref="ER32">
    <cfRule type="expression" dxfId="2" priority="3177">
      <formula>AND(BR32&gt;=1,ER32&lt;&gt;0, GetEquPower(C32,BL32, CS32, FQ32)=0)</formula>
    </cfRule>
    <cfRule type="expression" dxfId="1" priority="3178">
      <formula>AND(BR32&gt;=1,ER32&lt;&gt;GetEquPower(C32,BL32, CS32, FQ32))</formula>
    </cfRule>
  </conditionalFormatting>
  <conditionalFormatting sqref="ES32">
    <cfRule type="expression" dxfId="2" priority="3179">
      <formula>AND(BR32&gt;=2,ES32&lt;&gt;0, GetEquPower(C32,BL32, CT32, FQ32)=0)</formula>
    </cfRule>
    <cfRule type="expression" dxfId="1" priority="3180">
      <formula>AND(BR32&gt;=2,ES32&lt;&gt;GetEquPower(C32,BL32, CT32, FQ32))</formula>
    </cfRule>
  </conditionalFormatting>
  <conditionalFormatting sqref="ET32">
    <cfRule type="expression" dxfId="2" priority="3181">
      <formula>AND(BR32&gt;=3,ET32&lt;&gt;0, GetEquPower(C32,BL32, CU32, FQ32)=0)</formula>
    </cfRule>
    <cfRule type="expression" dxfId="1" priority="3182">
      <formula>AND(BR32&gt;=3,ET32&lt;&gt;GetEquPower(C32,BL32, CU32, FQ32))</formula>
    </cfRule>
  </conditionalFormatting>
  <conditionalFormatting sqref="EY32">
    <cfRule type="expression" dxfId="2" priority="3183">
      <formula>AND(BS32&gt;=1,EY32&lt;&gt;0, GetEquPower(C32,BM32, CY32, FR32)=0)</formula>
    </cfRule>
    <cfRule type="expression" dxfId="1" priority="3184">
      <formula>AND(BS32&gt;=1,EY32&lt;&gt;GetEquPower(C32,BM32, CY32, FR32))</formula>
    </cfRule>
  </conditionalFormatting>
  <conditionalFormatting sqref="EZ32">
    <cfRule type="expression" dxfId="2" priority="3185">
      <formula>AND(BS32&gt;=2,EZ32&lt;&gt;0, GetEquPower(C32,BM32, CZ32, FR32)=0)</formula>
    </cfRule>
    <cfRule type="expression" dxfId="1" priority="3186">
      <formula>AND(BS32&gt;=2,EZ32&lt;&gt;GetEquPower(C32,BM32, CZ32, FR32))</formula>
    </cfRule>
  </conditionalFormatting>
  <conditionalFormatting sqref="FA32">
    <cfRule type="expression" dxfId="2" priority="3187">
      <formula>AND(BS32&gt;=3,FA32&lt;&gt;0, GetEquPower(C32,BM32, DA32, FR32)=0)</formula>
    </cfRule>
    <cfRule type="expression" dxfId="1" priority="3188">
      <formula>AND(BS32&gt;=3,FA32&lt;&gt;GetEquPower(C32,BM32, DA32, FR32))</formula>
    </cfRule>
  </conditionalFormatting>
  <conditionalFormatting sqref="FF32">
    <cfRule type="expression" dxfId="2" priority="3189">
      <formula>AND(BT32&gt;=1,FF32&lt;&gt;0, GetEquPower(C32,BN32, DE32, FS32)=0)</formula>
    </cfRule>
    <cfRule type="expression" dxfId="1" priority="3190">
      <formula>AND(BT32&gt;=1,FF32&lt;&gt;GetEquPower(C32,BN32, DE32, FS32))</formula>
    </cfRule>
  </conditionalFormatting>
  <conditionalFormatting sqref="FG32">
    <cfRule type="expression" dxfId="2" priority="3191">
      <formula>AND(BT32&gt;=2,FG32&lt;&gt;0, GetEquPower(C32,BN32, DF32, FS32)=0)</formula>
    </cfRule>
    <cfRule type="expression" dxfId="1" priority="3192">
      <formula>AND(BT32&gt;=2,FG32&lt;&gt;GetEquPower(C32,BN32, DF32, FS32))</formula>
    </cfRule>
  </conditionalFormatting>
  <conditionalFormatting sqref="FH32">
    <cfRule type="expression" dxfId="2" priority="3193">
      <formula>AND(BT32&gt;=3,FH32&lt;&gt;0, GetEquPower(C32,BN32, DG32, FS32)=0)</formula>
    </cfRule>
    <cfRule type="expression" dxfId="1" priority="3194">
      <formula>AND(BT32&gt;=3,FH32&lt;&gt;GetEquPower(C32,BN32, DG32, FS32))</formula>
    </cfRule>
  </conditionalFormatting>
  <conditionalFormatting sqref="DZ32">
    <cfRule type="expression" dxfId="2" priority="3195">
      <formula>AND(BO32&gt;=4,DZ32&lt;&gt;0, GetEquPower(C32,BI32, CD32, FN32)=0)</formula>
    </cfRule>
    <cfRule type="expression" dxfId="1" priority="3196">
      <formula>AND(BO32&gt;=4, DZ32&lt;&gt;GetEquPower(C32,BI32, CD32, FN32))</formula>
    </cfRule>
  </conditionalFormatting>
  <conditionalFormatting sqref="EG32">
    <cfRule type="expression" dxfId="2" priority="3197">
      <formula>AND(BP32&gt;=4,EG32&lt;&gt;0, GetEquPower(C32,BJ32, CJ32, FO32)=0)</formula>
    </cfRule>
    <cfRule type="expression" dxfId="1" priority="3198">
      <formula>AND(BP32&gt;=4,EG32&lt;&gt;GetEquPower(C32,BJ32, CJ32, FO32))</formula>
    </cfRule>
  </conditionalFormatting>
  <conditionalFormatting sqref="EN32">
    <cfRule type="expression" dxfId="2" priority="3199">
      <formula>AND(BQ32&gt;=4,EN32&lt;&gt;0, GetEquPower(C32,BK32, CP32, FP32)=0)</formula>
    </cfRule>
    <cfRule type="expression" dxfId="1" priority="3200">
      <formula xml:space="preserve"> AND(BQ32&gt;=4,EN32&lt;&gt;GetEquPower(C32,BK32, CP32, FP32))</formula>
    </cfRule>
  </conditionalFormatting>
  <conditionalFormatting sqref="EU32">
    <cfRule type="expression" dxfId="2" priority="3201">
      <formula>AND(BR32&gt;=4,EU32&lt;&gt;0, GetEquPower(C32,BL32, CV32, FQ32)=0)</formula>
    </cfRule>
    <cfRule type="expression" dxfId="1" priority="3202">
      <formula>AND(BR32&gt;=4,EU32&lt;&gt;GetEquPower(C32,BL32, CV32, FQ32))</formula>
    </cfRule>
  </conditionalFormatting>
  <conditionalFormatting sqref="FB32">
    <cfRule type="expression" dxfId="2" priority="3203">
      <formula>AND(BS32&gt;=4,FB32&lt;&gt;0, GetEquPower(C32,BM32, DB32, FR32)=0)</formula>
    </cfRule>
    <cfRule type="expression" dxfId="1" priority="3204">
      <formula>AND(BS32&gt;=4,FB32&lt;&gt;GetEquPower(C32,BM32, DB32, FR32))</formula>
    </cfRule>
  </conditionalFormatting>
  <conditionalFormatting sqref="FI32">
    <cfRule type="expression" dxfId="2" priority="3205">
      <formula>AND(BT32&gt;=4,FI32&lt;&gt;0, GetEquPower(C32,BN32, DH32, FS32)=0)</formula>
    </cfRule>
    <cfRule type="expression" dxfId="1" priority="3206">
      <formula>AND(BT32&gt;=4,FI32&lt;&gt;GetEquPower(C32,BN32, DH32, FS32))</formula>
    </cfRule>
  </conditionalFormatting>
  <conditionalFormatting sqref="EA32">
    <cfRule type="expression" dxfId="2" priority="3207">
      <formula>AND(BO32&gt;=5,EA32&lt;&gt;0, GetEquPower(C32,BI32, CE32, FN32)=0)</formula>
    </cfRule>
    <cfRule type="expression" dxfId="1" priority="3208">
      <formula>AND(BO32&gt;=5, EA32&lt;&gt;GetEquPower(C32,BI32, CE32, FN32))</formula>
    </cfRule>
  </conditionalFormatting>
  <conditionalFormatting sqref="EB32">
    <cfRule type="expression" dxfId="2" priority="3209">
      <formula>AND(BO32&gt;=6,EB32&lt;&gt;0, GetEquPower(C32,BI32, CF32, FN32)=0)</formula>
    </cfRule>
    <cfRule type="expression" dxfId="1" priority="3210">
      <formula>AND(BO32&gt;=6, EB32&lt;&gt;GetEquPower(C32,BI32, CF32, FN32))</formula>
    </cfRule>
  </conditionalFormatting>
  <conditionalFormatting sqref="EH32">
    <cfRule type="expression" dxfId="2" priority="3211">
      <formula>AND(BP32&gt;=5,EH32&lt;&gt;0, GetEquPower(C32,BJ32, CK32, FO32)=0)</formula>
    </cfRule>
    <cfRule type="expression" dxfId="1" priority="3212">
      <formula>AND(BP32&gt;=5,EH32&lt;&gt;GetEquPower(C32,BJ32, CK32, FO32))</formula>
    </cfRule>
  </conditionalFormatting>
  <conditionalFormatting sqref="EI32">
    <cfRule type="expression" dxfId="2" priority="3213">
      <formula>AND(BP32&gt;=6,EI32&lt;&gt;0, GetEquPower(C32,BJ32, CL32, FO32)=0)</formula>
    </cfRule>
    <cfRule type="expression" dxfId="1" priority="3214">
      <formula>AND(BP32&gt;=6,EI32&lt;&gt;GetEquPower(C32,BJ32, CL32, FO32))</formula>
    </cfRule>
  </conditionalFormatting>
  <conditionalFormatting sqref="EO32">
    <cfRule type="expression" dxfId="2" priority="3215">
      <formula>AND(BQ32&gt;=5,EO32&lt;&gt;0, GetEquPower(C32,BK32, CQ32, FP32)=0)</formula>
    </cfRule>
    <cfRule type="expression" dxfId="1" priority="3216">
      <formula xml:space="preserve"> AND(BQ32&gt;=5,EO32&lt;&gt;GetEquPower(C32,BK32, CQ32, FP32))</formula>
    </cfRule>
  </conditionalFormatting>
  <conditionalFormatting sqref="EP32">
    <cfRule type="expression" dxfId="2" priority="3217">
      <formula>AND(BQ32&gt;=6,EP32&lt;&gt;0, GetEquPower(C32,BK32, CR32, FP32)=0)</formula>
    </cfRule>
    <cfRule type="expression" dxfId="1" priority="3218">
      <formula xml:space="preserve"> AND(BQ32&gt;=6,EP32&lt;&gt;GetEquPower(C32,BK32, CR32, FP32))</formula>
    </cfRule>
  </conditionalFormatting>
  <conditionalFormatting sqref="EV32">
    <cfRule type="expression" dxfId="2" priority="3219">
      <formula>AND(BR32&gt;=5,EV32&lt;&gt;0, GetEquPower(C32,BL32, CW32, FQ32)=0)</formula>
    </cfRule>
    <cfRule type="expression" dxfId="1" priority="3220">
      <formula>AND(BR32&gt;=5,EV32&lt;&gt;GetEquPower(C32,BL32, CW32, FQ32))</formula>
    </cfRule>
  </conditionalFormatting>
  <conditionalFormatting sqref="EW32">
    <cfRule type="expression" dxfId="2" priority="3221">
      <formula>AND(BR32&gt;=6,EW32&lt;&gt;0, GetEquPower(C32,BL32, CX32, FQ32)=0)</formula>
    </cfRule>
    <cfRule type="expression" dxfId="1" priority="3222">
      <formula>AND(BR32&gt;=6,EW32&lt;&gt;GetEquPower(C32,BL32, CX32, FQ32))</formula>
    </cfRule>
  </conditionalFormatting>
  <conditionalFormatting sqref="FC32">
    <cfRule type="expression" dxfId="2" priority="3223">
      <formula>AND(BS32&gt;=5,FC32&lt;&gt;0, GetEquPower(C32,BM32, DC32, FR32)=0)</formula>
    </cfRule>
    <cfRule type="expression" dxfId="1" priority="3224">
      <formula>AND(BS32&gt;=5,FC32&lt;&gt;GetEquPower(C32,BM32, DC32, FR32))</formula>
    </cfRule>
  </conditionalFormatting>
  <conditionalFormatting sqref="FD32">
    <cfRule type="expression" dxfId="2" priority="3225">
      <formula>AND(BS32&gt;=6,FD32&lt;&gt;0, GetEquPower(C32,BM32, DD32, FR32)=0)</formula>
    </cfRule>
    <cfRule type="expression" dxfId="1" priority="3226">
      <formula>AND(BS32&gt;=6,FD32&lt;&gt;GetEquPower(C32,BM32, DD32, FR32))</formula>
    </cfRule>
  </conditionalFormatting>
  <conditionalFormatting sqref="FJ32">
    <cfRule type="expression" dxfId="2" priority="3227">
      <formula>AND(BT32&gt;=5,FJ32&lt;&gt;0, GetEquPower(C32,BN32, DI32, FS32)=0)</formula>
    </cfRule>
    <cfRule type="expression" dxfId="1" priority="3228">
      <formula>AND(BT32&gt;=5,FJ32&lt;&gt;GetEquPower(C32,BN32, DI32, FS32))</formula>
    </cfRule>
  </conditionalFormatting>
  <conditionalFormatting sqref="FK32">
    <cfRule type="expression" dxfId="2" priority="3229">
      <formula>AND(BT32&gt;=6,FK32&lt;&gt;0, GetEquPower(C32,BN32, DJ32, FS32)=0)</formula>
    </cfRule>
    <cfRule type="expression" dxfId="1" priority="3230">
      <formula>AND(BT32&gt;=6,FK32&lt;&gt;GetEquPower(C32,BN32, DJ32, FS32))</formula>
    </cfRule>
  </conditionalFormatting>
  <conditionalFormatting sqref="W32">
    <cfRule type="expression" dxfId="0" priority="3146">
      <formula xml:space="preserve"> NOT(ISLOGICAL($W$2))</formula>
    </cfRule>
  </conditionalFormatting>
  <conditionalFormatting sqref="F33">
    <cfRule type="expression" dxfId="0" priority="3073">
      <formula>F33&lt;&gt;RIGHT(SUBSTITUTE(E33,".",""),LEN(F33))</formula>
    </cfRule>
  </conditionalFormatting>
  <conditionalFormatting sqref="X33">
    <cfRule type="expression" dxfId="0" priority="3068">
      <formula xml:space="preserve"> NOT(ISLOGICAL($X$2))</formula>
    </cfRule>
    <cfRule type="expression" dxfId="0" priority="3072">
      <formula>AND(X33=TRUE,W33=FALSE)</formula>
    </cfRule>
  </conditionalFormatting>
  <conditionalFormatting sqref="Y33">
    <cfRule type="expression" dxfId="0" priority="3071">
      <formula>OR(AND(X33=FALSE,INT(Y33)&gt;0),AND(X33=TRUE,INT(Y33)&lt;=0))</formula>
    </cfRule>
  </conditionalFormatting>
  <conditionalFormatting sqref="AA33">
    <cfRule type="expression" dxfId="0" priority="3070">
      <formula>AND(Z33=FALSE,AA33&gt;0)</formula>
    </cfRule>
  </conditionalFormatting>
  <conditionalFormatting sqref="BV33:HY33">
    <cfRule type="containsErrors" dxfId="0" priority="3069">
      <formula>ISERROR(BV33)</formula>
    </cfRule>
  </conditionalFormatting>
  <conditionalFormatting sqref="Z33">
    <cfRule type="expression" dxfId="0" priority="3067">
      <formula>NOT(ISLOGICAL($Z$2))</formula>
    </cfRule>
  </conditionalFormatting>
  <conditionalFormatting sqref="AB33">
    <cfRule type="expression" dxfId="0" priority="3066">
      <formula>NOT(ISLOGICAL($AB$2))</formula>
    </cfRule>
  </conditionalFormatting>
  <conditionalFormatting sqref="AC33">
    <cfRule type="expression" dxfId="0" priority="3065">
      <formula>NOT(ISLOGICAL($AC$2))</formula>
    </cfRule>
  </conditionalFormatting>
  <conditionalFormatting sqref="B33:BU33">
    <cfRule type="containsErrors" dxfId="0" priority="3064">
      <formula>ISERROR(B33)</formula>
    </cfRule>
  </conditionalFormatting>
  <conditionalFormatting sqref="I33">
    <cfRule type="expression" dxfId="0" priority="3063">
      <formula>NOT(ISNUMBER($I$2))</formula>
    </cfRule>
  </conditionalFormatting>
  <conditionalFormatting sqref="D33">
    <cfRule type="expression" dxfId="0" priority="3062">
      <formula>ISBLANK($D$2)</formula>
    </cfRule>
  </conditionalFormatting>
  <conditionalFormatting sqref="DW33">
    <cfRule type="expression" dxfId="2" priority="3074">
      <formula>AND(BO33&gt;=1,DW33&lt;&gt;0, GetEquPower(C33,BI33, CA33, FN33)=0)</formula>
    </cfRule>
    <cfRule type="expression" dxfId="1" priority="3075">
      <formula>AND(BO33&gt;=1,DW33&lt;&gt;GetEquPower(C33,BI33, CA33, FN33))</formula>
    </cfRule>
  </conditionalFormatting>
  <conditionalFormatting sqref="DX33">
    <cfRule type="expression" dxfId="2" priority="3076">
      <formula>AND(BO33&gt;=2,DX33&lt;&gt;0, GetEquPower(C33,BI33, CB33, FN33)=0)</formula>
    </cfRule>
    <cfRule type="expression" dxfId="1" priority="3077">
      <formula>AND(BO33&gt;=2,DX33&lt;&gt;GetEquPower(C33,BI33, CB33, FN33))</formula>
    </cfRule>
  </conditionalFormatting>
  <conditionalFormatting sqref="DY33">
    <cfRule type="expression" dxfId="2" priority="3078">
      <formula>AND(BO33&gt;=3,DY33&lt;&gt;0, GetEquPower(C33,BI33, CC33, FN33)=0)</formula>
    </cfRule>
    <cfRule type="expression" dxfId="1" priority="3079">
      <formula>AND(BO33&gt;=3,DY33&lt;&gt;GetEquPower(C33,BI33, CC33, FN33))</formula>
    </cfRule>
  </conditionalFormatting>
  <conditionalFormatting sqref="ED33">
    <cfRule type="expression" dxfId="2" priority="3080">
      <formula>AND(BP33&gt;=1,ED33&lt;&gt;0, GetEquPower(C33,BJ33, CG33, FO33)=0)</formula>
    </cfRule>
    <cfRule type="expression" dxfId="1" priority="3081">
      <formula>AND(BP33&gt;=1,ED33&lt;&gt;GetEquPower(C33,BJ33, CG33, FO33))</formula>
    </cfRule>
  </conditionalFormatting>
  <conditionalFormatting sqref="EE33">
    <cfRule type="expression" dxfId="2" priority="3082">
      <formula>AND(BP33&gt;=2,EE33&lt;&gt;0, GetEquPower(C33,BJ33, CH33, FO33)=0)</formula>
    </cfRule>
    <cfRule type="expression" dxfId="1" priority="3083">
      <formula>AND(BP33&gt;=2,EE33&lt;&gt;GetEquPower(C33,BJ33, CH33, FO33))</formula>
    </cfRule>
  </conditionalFormatting>
  <conditionalFormatting sqref="EF33">
    <cfRule type="expression" dxfId="2" priority="3084">
      <formula>AND(BP33&gt;=3,EF33&lt;&gt;0, GetEquPower(C33,BJ33, CI33, FO33)=0)</formula>
    </cfRule>
    <cfRule type="expression" dxfId="1" priority="3085">
      <formula>AND(BP33&gt;=3,EF33&lt;&gt;GetEquPower(C33,BJ33, CI33, FO33))</formula>
    </cfRule>
  </conditionalFormatting>
  <conditionalFormatting sqref="EK33">
    <cfRule type="expression" dxfId="2" priority="3086">
      <formula>AND(BQ33&gt;=1,EK33&lt;&gt;0, GetEquPower(C33,BK33, CM33, FP33)=0)</formula>
    </cfRule>
    <cfRule type="expression" dxfId="1" priority="3087">
      <formula>AND(BQ33&gt;=1,EK33&lt;&gt;GetEquPower(C33,BK33, CM33, FP33))</formula>
    </cfRule>
  </conditionalFormatting>
  <conditionalFormatting sqref="EL33">
    <cfRule type="expression" dxfId="2" priority="3088">
      <formula>AND(BQ33&gt;=2,EL33&lt;&gt;0, GetEquPower(C33,BK33, CN33, FP33)=0)</formula>
    </cfRule>
    <cfRule type="expression" dxfId="1" priority="3089">
      <formula xml:space="preserve"> AND(BQ33&gt;=2,EL33&lt;&gt;GetEquPower(C33,BK33, CN33, FP33))</formula>
    </cfRule>
  </conditionalFormatting>
  <conditionalFormatting sqref="EM33">
    <cfRule type="expression" dxfId="2" priority="3090">
      <formula>AND(BQ33&gt;=3,EM33&lt;&gt;0, GetEquPower(C33,BK33, CO33, FP33)=0)</formula>
    </cfRule>
    <cfRule type="expression" dxfId="1" priority="3091">
      <formula xml:space="preserve"> AND(BQ33&gt;=3,EM33&lt;&gt;GetEquPower(C33,BK33, CO33, FP33))</formula>
    </cfRule>
  </conditionalFormatting>
  <conditionalFormatting sqref="ER33">
    <cfRule type="expression" dxfId="2" priority="3092">
      <formula>AND(BR33&gt;=1,ER33&lt;&gt;0, GetEquPower(C33,BL33, CS33, FQ33)=0)</formula>
    </cfRule>
    <cfRule type="expression" dxfId="1" priority="3093">
      <formula>AND(BR33&gt;=1,ER33&lt;&gt;GetEquPower(C33,BL33, CS33, FQ33))</formula>
    </cfRule>
  </conditionalFormatting>
  <conditionalFormatting sqref="ES33">
    <cfRule type="expression" dxfId="2" priority="3094">
      <formula>AND(BR33&gt;=2,ES33&lt;&gt;0, GetEquPower(C33,BL33, CT33, FQ33)=0)</formula>
    </cfRule>
    <cfRule type="expression" dxfId="1" priority="3095">
      <formula>AND(BR33&gt;=2,ES33&lt;&gt;GetEquPower(C33,BL33, CT33, FQ33))</formula>
    </cfRule>
  </conditionalFormatting>
  <conditionalFormatting sqref="ET33">
    <cfRule type="expression" dxfId="2" priority="3096">
      <formula>AND(BR33&gt;=3,ET33&lt;&gt;0, GetEquPower(C33,BL33, CU33, FQ33)=0)</formula>
    </cfRule>
    <cfRule type="expression" dxfId="1" priority="3097">
      <formula>AND(BR33&gt;=3,ET33&lt;&gt;GetEquPower(C33,BL33, CU33, FQ33))</formula>
    </cfRule>
  </conditionalFormatting>
  <conditionalFormatting sqref="EY33">
    <cfRule type="expression" dxfId="2" priority="3098">
      <formula>AND(BS33&gt;=1,EY33&lt;&gt;0, GetEquPower(C33,BM33, CY33, FR33)=0)</formula>
    </cfRule>
    <cfRule type="expression" dxfId="1" priority="3099">
      <formula>AND(BS33&gt;=1,EY33&lt;&gt;GetEquPower(C33,BM33, CY33, FR33))</formula>
    </cfRule>
  </conditionalFormatting>
  <conditionalFormatting sqref="EZ33">
    <cfRule type="expression" dxfId="2" priority="3100">
      <formula>AND(BS33&gt;=2,EZ33&lt;&gt;0, GetEquPower(C33,BM33, CZ33, FR33)=0)</formula>
    </cfRule>
    <cfRule type="expression" dxfId="1" priority="3101">
      <formula>AND(BS33&gt;=2,EZ33&lt;&gt;GetEquPower(C33,BM33, CZ33, FR33))</formula>
    </cfRule>
  </conditionalFormatting>
  <conditionalFormatting sqref="FA33">
    <cfRule type="expression" dxfId="2" priority="3102">
      <formula>AND(BS33&gt;=3,FA33&lt;&gt;0, GetEquPower(C33,BM33, DA33, FR33)=0)</formula>
    </cfRule>
    <cfRule type="expression" dxfId="1" priority="3103">
      <formula>AND(BS33&gt;=3,FA33&lt;&gt;GetEquPower(C33,BM33, DA33, FR33))</formula>
    </cfRule>
  </conditionalFormatting>
  <conditionalFormatting sqref="FF33">
    <cfRule type="expression" dxfId="2" priority="3104">
      <formula>AND(BT33&gt;=1,FF33&lt;&gt;0, GetEquPower(C33,BN33, DE33, FS33)=0)</formula>
    </cfRule>
    <cfRule type="expression" dxfId="1" priority="3105">
      <formula>AND(BT33&gt;=1,FF33&lt;&gt;GetEquPower(C33,BN33, DE33, FS33))</formula>
    </cfRule>
  </conditionalFormatting>
  <conditionalFormatting sqref="FG33">
    <cfRule type="expression" dxfId="2" priority="3106">
      <formula>AND(BT33&gt;=2,FG33&lt;&gt;0, GetEquPower(C33,BN33, DF33, FS33)=0)</formula>
    </cfRule>
    <cfRule type="expression" dxfId="1" priority="3107">
      <formula>AND(BT33&gt;=2,FG33&lt;&gt;GetEquPower(C33,BN33, DF33, FS33))</formula>
    </cfRule>
  </conditionalFormatting>
  <conditionalFormatting sqref="FH33">
    <cfRule type="expression" dxfId="2" priority="3108">
      <formula>AND(BT33&gt;=3,FH33&lt;&gt;0, GetEquPower(C33,BN33, DG33, FS33)=0)</formula>
    </cfRule>
    <cfRule type="expression" dxfId="1" priority="3109">
      <formula>AND(BT33&gt;=3,FH33&lt;&gt;GetEquPower(C33,BN33, DG33, FS33))</formula>
    </cfRule>
  </conditionalFormatting>
  <conditionalFormatting sqref="DZ33">
    <cfRule type="expression" dxfId="2" priority="3110">
      <formula>AND(BO33&gt;=4,DZ33&lt;&gt;0, GetEquPower(C33,BI33, CD33, FN33)=0)</formula>
    </cfRule>
    <cfRule type="expression" dxfId="1" priority="3111">
      <formula>AND(BO33&gt;=4, DZ33&lt;&gt;GetEquPower(C33,BI33, CD33, FN33))</formula>
    </cfRule>
  </conditionalFormatting>
  <conditionalFormatting sqref="EG33">
    <cfRule type="expression" dxfId="2" priority="3112">
      <formula>AND(BP33&gt;=4,EG33&lt;&gt;0, GetEquPower(C33,BJ33, CJ33, FO33)=0)</formula>
    </cfRule>
    <cfRule type="expression" dxfId="1" priority="3113">
      <formula>AND(BP33&gt;=4,EG33&lt;&gt;GetEquPower(C33,BJ33, CJ33, FO33))</formula>
    </cfRule>
  </conditionalFormatting>
  <conditionalFormatting sqref="EN33">
    <cfRule type="expression" dxfId="2" priority="3114">
      <formula>AND(BQ33&gt;=4,EN33&lt;&gt;0, GetEquPower(C33,BK33, CP33, FP33)=0)</formula>
    </cfRule>
    <cfRule type="expression" dxfId="1" priority="3115">
      <formula xml:space="preserve"> AND(BQ33&gt;=4,EN33&lt;&gt;GetEquPower(C33,BK33, CP33, FP33))</formula>
    </cfRule>
  </conditionalFormatting>
  <conditionalFormatting sqref="EU33">
    <cfRule type="expression" dxfId="2" priority="3116">
      <formula>AND(BR33&gt;=4,EU33&lt;&gt;0, GetEquPower(C33,BL33, CV33, FQ33)=0)</formula>
    </cfRule>
    <cfRule type="expression" dxfId="1" priority="3117">
      <formula>AND(BR33&gt;=4,EU33&lt;&gt;GetEquPower(C33,BL33, CV33, FQ33))</formula>
    </cfRule>
  </conditionalFormatting>
  <conditionalFormatting sqref="FB33">
    <cfRule type="expression" dxfId="2" priority="3118">
      <formula>AND(BS33&gt;=4,FB33&lt;&gt;0, GetEquPower(C33,BM33, DB33, FR33)=0)</formula>
    </cfRule>
    <cfRule type="expression" dxfId="1" priority="3119">
      <formula>AND(BS33&gt;=4,FB33&lt;&gt;GetEquPower(C33,BM33, DB33, FR33))</formula>
    </cfRule>
  </conditionalFormatting>
  <conditionalFormatting sqref="FI33">
    <cfRule type="expression" dxfId="2" priority="3120">
      <formula>AND(BT33&gt;=4,FI33&lt;&gt;0, GetEquPower(C33,BN33, DH33, FS33)=0)</formula>
    </cfRule>
    <cfRule type="expression" dxfId="1" priority="3121">
      <formula>AND(BT33&gt;=4,FI33&lt;&gt;GetEquPower(C33,BN33, DH33, FS33))</formula>
    </cfRule>
  </conditionalFormatting>
  <conditionalFormatting sqref="EA33">
    <cfRule type="expression" dxfId="2" priority="3122">
      <formula>AND(BO33&gt;=5,EA33&lt;&gt;0, GetEquPower(C33,BI33, CE33, FN33)=0)</formula>
    </cfRule>
    <cfRule type="expression" dxfId="1" priority="3123">
      <formula>AND(BO33&gt;=5, EA33&lt;&gt;GetEquPower(C33,BI33, CE33, FN33))</formula>
    </cfRule>
  </conditionalFormatting>
  <conditionalFormatting sqref="EB33">
    <cfRule type="expression" dxfId="2" priority="3124">
      <formula>AND(BO33&gt;=6,EB33&lt;&gt;0, GetEquPower(C33,BI33, CF33, FN33)=0)</formula>
    </cfRule>
    <cfRule type="expression" dxfId="1" priority="3125">
      <formula>AND(BO33&gt;=6, EB33&lt;&gt;GetEquPower(C33,BI33, CF33, FN33))</formula>
    </cfRule>
  </conditionalFormatting>
  <conditionalFormatting sqref="EH33">
    <cfRule type="expression" dxfId="2" priority="3126">
      <formula>AND(BP33&gt;=5,EH33&lt;&gt;0, GetEquPower(C33,BJ33, CK33, FO33)=0)</formula>
    </cfRule>
    <cfRule type="expression" dxfId="1" priority="3127">
      <formula>AND(BP33&gt;=5,EH33&lt;&gt;GetEquPower(C33,BJ33, CK33, FO33))</formula>
    </cfRule>
  </conditionalFormatting>
  <conditionalFormatting sqref="EI33">
    <cfRule type="expression" dxfId="2" priority="3128">
      <formula>AND(BP33&gt;=6,EI33&lt;&gt;0, GetEquPower(C33,BJ33, CL33, FO33)=0)</formula>
    </cfRule>
    <cfRule type="expression" dxfId="1" priority="3129">
      <formula>AND(BP33&gt;=6,EI33&lt;&gt;GetEquPower(C33,BJ33, CL33, FO33))</formula>
    </cfRule>
  </conditionalFormatting>
  <conditionalFormatting sqref="EO33">
    <cfRule type="expression" dxfId="2" priority="3130">
      <formula>AND(BQ33&gt;=5,EO33&lt;&gt;0, GetEquPower(C33,BK33, CQ33, FP33)=0)</formula>
    </cfRule>
    <cfRule type="expression" dxfId="1" priority="3131">
      <formula xml:space="preserve"> AND(BQ33&gt;=5,EO33&lt;&gt;GetEquPower(C33,BK33, CQ33, FP33))</formula>
    </cfRule>
  </conditionalFormatting>
  <conditionalFormatting sqref="EP33">
    <cfRule type="expression" dxfId="2" priority="3132">
      <formula>AND(BQ33&gt;=6,EP33&lt;&gt;0, GetEquPower(C33,BK33, CR33, FP33)=0)</formula>
    </cfRule>
    <cfRule type="expression" dxfId="1" priority="3133">
      <formula xml:space="preserve"> AND(BQ33&gt;=6,EP33&lt;&gt;GetEquPower(C33,BK33, CR33, FP33))</formula>
    </cfRule>
  </conditionalFormatting>
  <conditionalFormatting sqref="EV33">
    <cfRule type="expression" dxfId="2" priority="3134">
      <formula>AND(BR33&gt;=5,EV33&lt;&gt;0, GetEquPower(C33,BL33, CW33, FQ33)=0)</formula>
    </cfRule>
    <cfRule type="expression" dxfId="1" priority="3135">
      <formula>AND(BR33&gt;=5,EV33&lt;&gt;GetEquPower(C33,BL33, CW33, FQ33))</formula>
    </cfRule>
  </conditionalFormatting>
  <conditionalFormatting sqref="EW33">
    <cfRule type="expression" dxfId="2" priority="3136">
      <formula>AND(BR33&gt;=6,EW33&lt;&gt;0, GetEquPower(C33,BL33, CX33, FQ33)=0)</formula>
    </cfRule>
    <cfRule type="expression" dxfId="1" priority="3137">
      <formula>AND(BR33&gt;=6,EW33&lt;&gt;GetEquPower(C33,BL33, CX33, FQ33))</formula>
    </cfRule>
  </conditionalFormatting>
  <conditionalFormatting sqref="FC33">
    <cfRule type="expression" dxfId="2" priority="3138">
      <formula>AND(BS33&gt;=5,FC33&lt;&gt;0, GetEquPower(C33,BM33, DC33, FR33)=0)</formula>
    </cfRule>
    <cfRule type="expression" dxfId="1" priority="3139">
      <formula>AND(BS33&gt;=5,FC33&lt;&gt;GetEquPower(C33,BM33, DC33, FR33))</formula>
    </cfRule>
  </conditionalFormatting>
  <conditionalFormatting sqref="FD33">
    <cfRule type="expression" dxfId="2" priority="3140">
      <formula>AND(BS33&gt;=6,FD33&lt;&gt;0, GetEquPower(C33,BM33, DD33, FR33)=0)</formula>
    </cfRule>
    <cfRule type="expression" dxfId="1" priority="3141">
      <formula>AND(BS33&gt;=6,FD33&lt;&gt;GetEquPower(C33,BM33, DD33, FR33))</formula>
    </cfRule>
  </conditionalFormatting>
  <conditionalFormatting sqref="FJ33">
    <cfRule type="expression" dxfId="2" priority="3142">
      <formula>AND(BT33&gt;=5,FJ33&lt;&gt;0, GetEquPower(C33,BN33, DI33, FS33)=0)</formula>
    </cfRule>
    <cfRule type="expression" dxfId="1" priority="3143">
      <formula>AND(BT33&gt;=5,FJ33&lt;&gt;GetEquPower(C33,BN33, DI33, FS33))</formula>
    </cfRule>
  </conditionalFormatting>
  <conditionalFormatting sqref="FK33">
    <cfRule type="expression" dxfId="2" priority="3144">
      <formula>AND(BT33&gt;=6,FK33&lt;&gt;0, GetEquPower(C33,BN33, DJ33, FS33)=0)</formula>
    </cfRule>
    <cfRule type="expression" dxfId="1" priority="3145">
      <formula>AND(BT33&gt;=6,FK33&lt;&gt;GetEquPower(C33,BN33, DJ33, FS33))</formula>
    </cfRule>
  </conditionalFormatting>
  <conditionalFormatting sqref="W33">
    <cfRule type="expression" dxfId="0" priority="3061">
      <formula xml:space="preserve"> NOT(ISLOGICAL($W$2))</formula>
    </cfRule>
  </conditionalFormatting>
  <conditionalFormatting sqref="F34">
    <cfRule type="expression" dxfId="0" priority="2988">
      <formula>F34&lt;&gt;RIGHT(SUBSTITUTE(E34,".",""),LEN(F34))</formula>
    </cfRule>
  </conditionalFormatting>
  <conditionalFormatting sqref="X34">
    <cfRule type="expression" dxfId="0" priority="2983">
      <formula xml:space="preserve"> NOT(ISLOGICAL($X$2))</formula>
    </cfRule>
    <cfRule type="expression" dxfId="0" priority="2987">
      <formula>AND(X34=TRUE,W34=FALSE)</formula>
    </cfRule>
  </conditionalFormatting>
  <conditionalFormatting sqref="Y34">
    <cfRule type="expression" dxfId="0" priority="2986">
      <formula>OR(AND(X34=FALSE,INT(Y34)&gt;0),AND(X34=TRUE,INT(Y34)&lt;=0))</formula>
    </cfRule>
  </conditionalFormatting>
  <conditionalFormatting sqref="AA34">
    <cfRule type="expression" dxfId="0" priority="2985">
      <formula>AND(Z34=FALSE,AA34&gt;0)</formula>
    </cfRule>
  </conditionalFormatting>
  <conditionalFormatting sqref="BV34:HY34">
    <cfRule type="containsErrors" dxfId="0" priority="2984">
      <formula>ISERROR(BV34)</formula>
    </cfRule>
  </conditionalFormatting>
  <conditionalFormatting sqref="Z34">
    <cfRule type="expression" dxfId="0" priority="2982">
      <formula>NOT(ISLOGICAL($Z$2))</formula>
    </cfRule>
  </conditionalFormatting>
  <conditionalFormatting sqref="AB34">
    <cfRule type="expression" dxfId="0" priority="2981">
      <formula>NOT(ISLOGICAL($AB$2))</formula>
    </cfRule>
  </conditionalFormatting>
  <conditionalFormatting sqref="AC34">
    <cfRule type="expression" dxfId="0" priority="2980">
      <formula>NOT(ISLOGICAL($AC$2))</formula>
    </cfRule>
  </conditionalFormatting>
  <conditionalFormatting sqref="B34:BU34">
    <cfRule type="containsErrors" dxfId="0" priority="2979">
      <formula>ISERROR(B34)</formula>
    </cfRule>
  </conditionalFormatting>
  <conditionalFormatting sqref="I34">
    <cfRule type="expression" dxfId="0" priority="2978">
      <formula>NOT(ISNUMBER($I$2))</formula>
    </cfRule>
  </conditionalFormatting>
  <conditionalFormatting sqref="D34">
    <cfRule type="expression" dxfId="0" priority="2977">
      <formula>ISBLANK($D$2)</formula>
    </cfRule>
  </conditionalFormatting>
  <conditionalFormatting sqref="DW34">
    <cfRule type="expression" dxfId="2" priority="2989">
      <formula>AND(BO34&gt;=1,DW34&lt;&gt;0, GetEquPower(C34,BI34, CA34, FN34)=0)</formula>
    </cfRule>
    <cfRule type="expression" dxfId="1" priority="2990">
      <formula>AND(BO34&gt;=1,DW34&lt;&gt;GetEquPower(C34,BI34, CA34, FN34))</formula>
    </cfRule>
  </conditionalFormatting>
  <conditionalFormatting sqref="DX34">
    <cfRule type="expression" dxfId="2" priority="2991">
      <formula>AND(BO34&gt;=2,DX34&lt;&gt;0, GetEquPower(C34,BI34, CB34, FN34)=0)</formula>
    </cfRule>
    <cfRule type="expression" dxfId="1" priority="2992">
      <formula>AND(BO34&gt;=2,DX34&lt;&gt;GetEquPower(C34,BI34, CB34, FN34))</formula>
    </cfRule>
  </conditionalFormatting>
  <conditionalFormatting sqref="DY34">
    <cfRule type="expression" dxfId="2" priority="2993">
      <formula>AND(BO34&gt;=3,DY34&lt;&gt;0, GetEquPower(C34,BI34, CC34, FN34)=0)</formula>
    </cfRule>
    <cfRule type="expression" dxfId="1" priority="2994">
      <formula>AND(BO34&gt;=3,DY34&lt;&gt;GetEquPower(C34,BI34, CC34, FN34))</formula>
    </cfRule>
  </conditionalFormatting>
  <conditionalFormatting sqref="ED34">
    <cfRule type="expression" dxfId="2" priority="2995">
      <formula>AND(BP34&gt;=1,ED34&lt;&gt;0, GetEquPower(C34,BJ34, CG34, FO34)=0)</formula>
    </cfRule>
    <cfRule type="expression" dxfId="1" priority="2996">
      <formula>AND(BP34&gt;=1,ED34&lt;&gt;GetEquPower(C34,BJ34, CG34, FO34))</formula>
    </cfRule>
  </conditionalFormatting>
  <conditionalFormatting sqref="EE34">
    <cfRule type="expression" dxfId="2" priority="2997">
      <formula>AND(BP34&gt;=2,EE34&lt;&gt;0, GetEquPower(C34,BJ34, CH34, FO34)=0)</formula>
    </cfRule>
    <cfRule type="expression" dxfId="1" priority="2998">
      <formula>AND(BP34&gt;=2,EE34&lt;&gt;GetEquPower(C34,BJ34, CH34, FO34))</formula>
    </cfRule>
  </conditionalFormatting>
  <conditionalFormatting sqref="EF34">
    <cfRule type="expression" dxfId="2" priority="2999">
      <formula>AND(BP34&gt;=3,EF34&lt;&gt;0, GetEquPower(C34,BJ34, CI34, FO34)=0)</formula>
    </cfRule>
    <cfRule type="expression" dxfId="1" priority="3000">
      <formula>AND(BP34&gt;=3,EF34&lt;&gt;GetEquPower(C34,BJ34, CI34, FO34))</formula>
    </cfRule>
  </conditionalFormatting>
  <conditionalFormatting sqref="EK34">
    <cfRule type="expression" dxfId="2" priority="3001">
      <formula>AND(BQ34&gt;=1,EK34&lt;&gt;0, GetEquPower(C34,BK34, CM34, FP34)=0)</formula>
    </cfRule>
    <cfRule type="expression" dxfId="1" priority="3002">
      <formula>AND(BQ34&gt;=1,EK34&lt;&gt;GetEquPower(C34,BK34, CM34, FP34))</formula>
    </cfRule>
  </conditionalFormatting>
  <conditionalFormatting sqref="EL34">
    <cfRule type="expression" dxfId="2" priority="3003">
      <formula>AND(BQ34&gt;=2,EL34&lt;&gt;0, GetEquPower(C34,BK34, CN34, FP34)=0)</formula>
    </cfRule>
    <cfRule type="expression" dxfId="1" priority="3004">
      <formula xml:space="preserve"> AND(BQ34&gt;=2,EL34&lt;&gt;GetEquPower(C34,BK34, CN34, FP34))</formula>
    </cfRule>
  </conditionalFormatting>
  <conditionalFormatting sqref="EM34">
    <cfRule type="expression" dxfId="2" priority="3005">
      <formula>AND(BQ34&gt;=3,EM34&lt;&gt;0, GetEquPower(C34,BK34, CO34, FP34)=0)</formula>
    </cfRule>
    <cfRule type="expression" dxfId="1" priority="3006">
      <formula xml:space="preserve"> AND(BQ34&gt;=3,EM34&lt;&gt;GetEquPower(C34,BK34, CO34, FP34))</formula>
    </cfRule>
  </conditionalFormatting>
  <conditionalFormatting sqref="ER34">
    <cfRule type="expression" dxfId="2" priority="3007">
      <formula>AND(BR34&gt;=1,ER34&lt;&gt;0, GetEquPower(C34,BL34, CS34, FQ34)=0)</formula>
    </cfRule>
    <cfRule type="expression" dxfId="1" priority="3008">
      <formula>AND(BR34&gt;=1,ER34&lt;&gt;GetEquPower(C34,BL34, CS34, FQ34))</formula>
    </cfRule>
  </conditionalFormatting>
  <conditionalFormatting sqref="ES34">
    <cfRule type="expression" dxfId="2" priority="3009">
      <formula>AND(BR34&gt;=2,ES34&lt;&gt;0, GetEquPower(C34,BL34, CT34, FQ34)=0)</formula>
    </cfRule>
    <cfRule type="expression" dxfId="1" priority="3010">
      <formula>AND(BR34&gt;=2,ES34&lt;&gt;GetEquPower(C34,BL34, CT34, FQ34))</formula>
    </cfRule>
  </conditionalFormatting>
  <conditionalFormatting sqref="ET34">
    <cfRule type="expression" dxfId="2" priority="3011">
      <formula>AND(BR34&gt;=3,ET34&lt;&gt;0, GetEquPower(C34,BL34, CU34, FQ34)=0)</formula>
    </cfRule>
    <cfRule type="expression" dxfId="1" priority="3012">
      <formula>AND(BR34&gt;=3,ET34&lt;&gt;GetEquPower(C34,BL34, CU34, FQ34))</formula>
    </cfRule>
  </conditionalFormatting>
  <conditionalFormatting sqref="EY34">
    <cfRule type="expression" dxfId="2" priority="3013">
      <formula>AND(BS34&gt;=1,EY34&lt;&gt;0, GetEquPower(C34,BM34, CY34, FR34)=0)</formula>
    </cfRule>
    <cfRule type="expression" dxfId="1" priority="3014">
      <formula>AND(BS34&gt;=1,EY34&lt;&gt;GetEquPower(C34,BM34, CY34, FR34))</formula>
    </cfRule>
  </conditionalFormatting>
  <conditionalFormatting sqref="EZ34">
    <cfRule type="expression" dxfId="2" priority="3015">
      <formula>AND(BS34&gt;=2,EZ34&lt;&gt;0, GetEquPower(C34,BM34, CZ34, FR34)=0)</formula>
    </cfRule>
    <cfRule type="expression" dxfId="1" priority="3016">
      <formula>AND(BS34&gt;=2,EZ34&lt;&gt;GetEquPower(C34,BM34, CZ34, FR34))</formula>
    </cfRule>
  </conditionalFormatting>
  <conditionalFormatting sqref="FA34">
    <cfRule type="expression" dxfId="2" priority="3017">
      <formula>AND(BS34&gt;=3,FA34&lt;&gt;0, GetEquPower(C34,BM34, DA34, FR34)=0)</formula>
    </cfRule>
    <cfRule type="expression" dxfId="1" priority="3018">
      <formula>AND(BS34&gt;=3,FA34&lt;&gt;GetEquPower(C34,BM34, DA34, FR34))</formula>
    </cfRule>
  </conditionalFormatting>
  <conditionalFormatting sqref="FF34">
    <cfRule type="expression" dxfId="2" priority="3019">
      <formula>AND(BT34&gt;=1,FF34&lt;&gt;0, GetEquPower(C34,BN34, DE34, FS34)=0)</formula>
    </cfRule>
    <cfRule type="expression" dxfId="1" priority="3020">
      <formula>AND(BT34&gt;=1,FF34&lt;&gt;GetEquPower(C34,BN34, DE34, FS34))</formula>
    </cfRule>
  </conditionalFormatting>
  <conditionalFormatting sqref="FG34">
    <cfRule type="expression" dxfId="2" priority="3021">
      <formula>AND(BT34&gt;=2,FG34&lt;&gt;0, GetEquPower(C34,BN34, DF34, FS34)=0)</formula>
    </cfRule>
    <cfRule type="expression" dxfId="1" priority="3022">
      <formula>AND(BT34&gt;=2,FG34&lt;&gt;GetEquPower(C34,BN34, DF34, FS34))</formula>
    </cfRule>
  </conditionalFormatting>
  <conditionalFormatting sqref="FH34">
    <cfRule type="expression" dxfId="2" priority="3023">
      <formula>AND(BT34&gt;=3,FH34&lt;&gt;0, GetEquPower(C34,BN34, DG34, FS34)=0)</formula>
    </cfRule>
    <cfRule type="expression" dxfId="1" priority="3024">
      <formula>AND(BT34&gt;=3,FH34&lt;&gt;GetEquPower(C34,BN34, DG34, FS34))</formula>
    </cfRule>
  </conditionalFormatting>
  <conditionalFormatting sqref="DZ34">
    <cfRule type="expression" dxfId="2" priority="3025">
      <formula>AND(BO34&gt;=4,DZ34&lt;&gt;0, GetEquPower(C34,BI34, CD34, FN34)=0)</formula>
    </cfRule>
    <cfRule type="expression" dxfId="1" priority="3026">
      <formula>AND(BO34&gt;=4, DZ34&lt;&gt;GetEquPower(C34,BI34, CD34, FN34))</formula>
    </cfRule>
  </conditionalFormatting>
  <conditionalFormatting sqref="EG34">
    <cfRule type="expression" dxfId="2" priority="3027">
      <formula>AND(BP34&gt;=4,EG34&lt;&gt;0, GetEquPower(C34,BJ34, CJ34, FO34)=0)</formula>
    </cfRule>
    <cfRule type="expression" dxfId="1" priority="3028">
      <formula>AND(BP34&gt;=4,EG34&lt;&gt;GetEquPower(C34,BJ34, CJ34, FO34))</formula>
    </cfRule>
  </conditionalFormatting>
  <conditionalFormatting sqref="EN34">
    <cfRule type="expression" dxfId="2" priority="3029">
      <formula>AND(BQ34&gt;=4,EN34&lt;&gt;0, GetEquPower(C34,BK34, CP34, FP34)=0)</formula>
    </cfRule>
    <cfRule type="expression" dxfId="1" priority="3030">
      <formula xml:space="preserve"> AND(BQ34&gt;=4,EN34&lt;&gt;GetEquPower(C34,BK34, CP34, FP34))</formula>
    </cfRule>
  </conditionalFormatting>
  <conditionalFormatting sqref="EU34">
    <cfRule type="expression" dxfId="2" priority="3031">
      <formula>AND(BR34&gt;=4,EU34&lt;&gt;0, GetEquPower(C34,BL34, CV34, FQ34)=0)</formula>
    </cfRule>
    <cfRule type="expression" dxfId="1" priority="3032">
      <formula>AND(BR34&gt;=4,EU34&lt;&gt;GetEquPower(C34,BL34, CV34, FQ34))</formula>
    </cfRule>
  </conditionalFormatting>
  <conditionalFormatting sqref="FB34">
    <cfRule type="expression" dxfId="2" priority="3033">
      <formula>AND(BS34&gt;=4,FB34&lt;&gt;0, GetEquPower(C34,BM34, DB34, FR34)=0)</formula>
    </cfRule>
    <cfRule type="expression" dxfId="1" priority="3034">
      <formula>AND(BS34&gt;=4,FB34&lt;&gt;GetEquPower(C34,BM34, DB34, FR34))</formula>
    </cfRule>
  </conditionalFormatting>
  <conditionalFormatting sqref="FI34">
    <cfRule type="expression" dxfId="2" priority="3035">
      <formula>AND(BT34&gt;=4,FI34&lt;&gt;0, GetEquPower(C34,BN34, DH34, FS34)=0)</formula>
    </cfRule>
    <cfRule type="expression" dxfId="1" priority="3036">
      <formula>AND(BT34&gt;=4,FI34&lt;&gt;GetEquPower(C34,BN34, DH34, FS34))</formula>
    </cfRule>
  </conditionalFormatting>
  <conditionalFormatting sqref="EA34">
    <cfRule type="expression" dxfId="2" priority="3037">
      <formula>AND(BO34&gt;=5,EA34&lt;&gt;0, GetEquPower(C34,BI34, CE34, FN34)=0)</formula>
    </cfRule>
    <cfRule type="expression" dxfId="1" priority="3038">
      <formula>AND(BO34&gt;=5, EA34&lt;&gt;GetEquPower(C34,BI34, CE34, FN34))</formula>
    </cfRule>
  </conditionalFormatting>
  <conditionalFormatting sqref="EB34">
    <cfRule type="expression" dxfId="2" priority="3039">
      <formula>AND(BO34&gt;=6,EB34&lt;&gt;0, GetEquPower(C34,BI34, CF34, FN34)=0)</formula>
    </cfRule>
    <cfRule type="expression" dxfId="1" priority="3040">
      <formula>AND(BO34&gt;=6, EB34&lt;&gt;GetEquPower(C34,BI34, CF34, FN34))</formula>
    </cfRule>
  </conditionalFormatting>
  <conditionalFormatting sqref="EH34">
    <cfRule type="expression" dxfId="2" priority="3041">
      <formula>AND(BP34&gt;=5,EH34&lt;&gt;0, GetEquPower(C34,BJ34, CK34, FO34)=0)</formula>
    </cfRule>
    <cfRule type="expression" dxfId="1" priority="3042">
      <formula>AND(BP34&gt;=5,EH34&lt;&gt;GetEquPower(C34,BJ34, CK34, FO34))</formula>
    </cfRule>
  </conditionalFormatting>
  <conditionalFormatting sqref="EI34">
    <cfRule type="expression" dxfId="2" priority="3043">
      <formula>AND(BP34&gt;=6,EI34&lt;&gt;0, GetEquPower(C34,BJ34, CL34, FO34)=0)</formula>
    </cfRule>
    <cfRule type="expression" dxfId="1" priority="3044">
      <formula>AND(BP34&gt;=6,EI34&lt;&gt;GetEquPower(C34,BJ34, CL34, FO34))</formula>
    </cfRule>
  </conditionalFormatting>
  <conditionalFormatting sqref="EO34">
    <cfRule type="expression" dxfId="2" priority="3045">
      <formula>AND(BQ34&gt;=5,EO34&lt;&gt;0, GetEquPower(C34,BK34, CQ34, FP34)=0)</formula>
    </cfRule>
    <cfRule type="expression" dxfId="1" priority="3046">
      <formula xml:space="preserve"> AND(BQ34&gt;=5,EO34&lt;&gt;GetEquPower(C34,BK34, CQ34, FP34))</formula>
    </cfRule>
  </conditionalFormatting>
  <conditionalFormatting sqref="EP34">
    <cfRule type="expression" dxfId="2" priority="3047">
      <formula>AND(BQ34&gt;=6,EP34&lt;&gt;0, GetEquPower(C34,BK34, CR34, FP34)=0)</formula>
    </cfRule>
    <cfRule type="expression" dxfId="1" priority="3048">
      <formula xml:space="preserve"> AND(BQ34&gt;=6,EP34&lt;&gt;GetEquPower(C34,BK34, CR34, FP34))</formula>
    </cfRule>
  </conditionalFormatting>
  <conditionalFormatting sqref="EV34">
    <cfRule type="expression" dxfId="2" priority="3049">
      <formula>AND(BR34&gt;=5,EV34&lt;&gt;0, GetEquPower(C34,BL34, CW34, FQ34)=0)</formula>
    </cfRule>
    <cfRule type="expression" dxfId="1" priority="3050">
      <formula>AND(BR34&gt;=5,EV34&lt;&gt;GetEquPower(C34,BL34, CW34, FQ34))</formula>
    </cfRule>
  </conditionalFormatting>
  <conditionalFormatting sqref="EW34">
    <cfRule type="expression" dxfId="2" priority="3051">
      <formula>AND(BR34&gt;=6,EW34&lt;&gt;0, GetEquPower(C34,BL34, CX34, FQ34)=0)</formula>
    </cfRule>
    <cfRule type="expression" dxfId="1" priority="3052">
      <formula>AND(BR34&gt;=6,EW34&lt;&gt;GetEquPower(C34,BL34, CX34, FQ34))</formula>
    </cfRule>
  </conditionalFormatting>
  <conditionalFormatting sqref="FC34">
    <cfRule type="expression" dxfId="2" priority="3053">
      <formula>AND(BS34&gt;=5,FC34&lt;&gt;0, GetEquPower(C34,BM34, DC34, FR34)=0)</formula>
    </cfRule>
    <cfRule type="expression" dxfId="1" priority="3054">
      <formula>AND(BS34&gt;=5,FC34&lt;&gt;GetEquPower(C34,BM34, DC34, FR34))</formula>
    </cfRule>
  </conditionalFormatting>
  <conditionalFormatting sqref="FD34">
    <cfRule type="expression" dxfId="2" priority="3055">
      <formula>AND(BS34&gt;=6,FD34&lt;&gt;0, GetEquPower(C34,BM34, DD34, FR34)=0)</formula>
    </cfRule>
    <cfRule type="expression" dxfId="1" priority="3056">
      <formula>AND(BS34&gt;=6,FD34&lt;&gt;GetEquPower(C34,BM34, DD34, FR34))</formula>
    </cfRule>
  </conditionalFormatting>
  <conditionalFormatting sqref="FJ34">
    <cfRule type="expression" dxfId="2" priority="3057">
      <formula>AND(BT34&gt;=5,FJ34&lt;&gt;0, GetEquPower(C34,BN34, DI34, FS34)=0)</formula>
    </cfRule>
    <cfRule type="expression" dxfId="1" priority="3058">
      <formula>AND(BT34&gt;=5,FJ34&lt;&gt;GetEquPower(C34,BN34, DI34, FS34))</formula>
    </cfRule>
  </conditionalFormatting>
  <conditionalFormatting sqref="FK34">
    <cfRule type="expression" dxfId="2" priority="3059">
      <formula>AND(BT34&gt;=6,FK34&lt;&gt;0, GetEquPower(C34,BN34, DJ34, FS34)=0)</formula>
    </cfRule>
    <cfRule type="expression" dxfId="1" priority="3060">
      <formula>AND(BT34&gt;=6,FK34&lt;&gt;GetEquPower(C34,BN34, DJ34, FS34))</formula>
    </cfRule>
  </conditionalFormatting>
  <conditionalFormatting sqref="W34">
    <cfRule type="expression" dxfId="0" priority="2976">
      <formula xml:space="preserve"> NOT(ISLOGICAL($W$2))</formula>
    </cfRule>
  </conditionalFormatting>
  <conditionalFormatting sqref="F35">
    <cfRule type="expression" dxfId="0" priority="2903">
      <formula>F35&lt;&gt;RIGHT(SUBSTITUTE(E35,".",""),LEN(F35))</formula>
    </cfRule>
  </conditionalFormatting>
  <conditionalFormatting sqref="X35">
    <cfRule type="expression" dxfId="0" priority="2898">
      <formula xml:space="preserve"> NOT(ISLOGICAL($X$2))</formula>
    </cfRule>
    <cfRule type="expression" dxfId="0" priority="2902">
      <formula>AND(X35=TRUE,W35=FALSE)</formula>
    </cfRule>
  </conditionalFormatting>
  <conditionalFormatting sqref="Y35">
    <cfRule type="expression" dxfId="0" priority="2901">
      <formula>OR(AND(X35=FALSE,INT(Y35)&gt;0),AND(X35=TRUE,INT(Y35)&lt;=0))</formula>
    </cfRule>
  </conditionalFormatting>
  <conditionalFormatting sqref="AA35">
    <cfRule type="expression" dxfId="0" priority="2900">
      <formula>AND(Z35=FALSE,AA35&gt;0)</formula>
    </cfRule>
  </conditionalFormatting>
  <conditionalFormatting sqref="BV35:HY35">
    <cfRule type="containsErrors" dxfId="0" priority="2899">
      <formula>ISERROR(BV35)</formula>
    </cfRule>
  </conditionalFormatting>
  <conditionalFormatting sqref="Z35">
    <cfRule type="expression" dxfId="0" priority="2897">
      <formula>NOT(ISLOGICAL($Z$2))</formula>
    </cfRule>
  </conditionalFormatting>
  <conditionalFormatting sqref="AB35">
    <cfRule type="expression" dxfId="0" priority="2896">
      <formula>NOT(ISLOGICAL($AB$2))</formula>
    </cfRule>
  </conditionalFormatting>
  <conditionalFormatting sqref="AC35">
    <cfRule type="expression" dxfId="0" priority="2895">
      <formula>NOT(ISLOGICAL($AC$2))</formula>
    </cfRule>
  </conditionalFormatting>
  <conditionalFormatting sqref="B35:BU35">
    <cfRule type="containsErrors" dxfId="0" priority="2894">
      <formula>ISERROR(B35)</formula>
    </cfRule>
  </conditionalFormatting>
  <conditionalFormatting sqref="I35">
    <cfRule type="expression" dxfId="0" priority="2893">
      <formula>NOT(ISNUMBER($I$2))</formula>
    </cfRule>
  </conditionalFormatting>
  <conditionalFormatting sqref="D35">
    <cfRule type="expression" dxfId="0" priority="2892">
      <formula>ISBLANK($D$2)</formula>
    </cfRule>
  </conditionalFormatting>
  <conditionalFormatting sqref="DW35">
    <cfRule type="expression" dxfId="2" priority="2904">
      <formula>AND(BO35&gt;=1,DW35&lt;&gt;0, GetEquPower(C35,BI35, CA35, FN35)=0)</formula>
    </cfRule>
    <cfRule type="expression" dxfId="1" priority="2905">
      <formula>AND(BO35&gt;=1,DW35&lt;&gt;GetEquPower(C35,BI35, CA35, FN35))</formula>
    </cfRule>
  </conditionalFormatting>
  <conditionalFormatting sqref="DX35">
    <cfRule type="expression" dxfId="2" priority="2906">
      <formula>AND(BO35&gt;=2,DX35&lt;&gt;0, GetEquPower(C35,BI35, CB35, FN35)=0)</formula>
    </cfRule>
    <cfRule type="expression" dxfId="1" priority="2907">
      <formula>AND(BO35&gt;=2,DX35&lt;&gt;GetEquPower(C35,BI35, CB35, FN35))</formula>
    </cfRule>
  </conditionalFormatting>
  <conditionalFormatting sqref="DY35">
    <cfRule type="expression" dxfId="2" priority="2908">
      <formula>AND(BO35&gt;=3,DY35&lt;&gt;0, GetEquPower(C35,BI35, CC35, FN35)=0)</formula>
    </cfRule>
    <cfRule type="expression" dxfId="1" priority="2909">
      <formula>AND(BO35&gt;=3,DY35&lt;&gt;GetEquPower(C35,BI35, CC35, FN35))</formula>
    </cfRule>
  </conditionalFormatting>
  <conditionalFormatting sqref="ED35">
    <cfRule type="expression" dxfId="2" priority="2910">
      <formula>AND(BP35&gt;=1,ED35&lt;&gt;0, GetEquPower(C35,BJ35, CG35, FO35)=0)</formula>
    </cfRule>
    <cfRule type="expression" dxfId="1" priority="2911">
      <formula>AND(BP35&gt;=1,ED35&lt;&gt;GetEquPower(C35,BJ35, CG35, FO35))</formula>
    </cfRule>
  </conditionalFormatting>
  <conditionalFormatting sqref="EE35">
    <cfRule type="expression" dxfId="2" priority="2912">
      <formula>AND(BP35&gt;=2,EE35&lt;&gt;0, GetEquPower(C35,BJ35, CH35, FO35)=0)</formula>
    </cfRule>
    <cfRule type="expression" dxfId="1" priority="2913">
      <formula>AND(BP35&gt;=2,EE35&lt;&gt;GetEquPower(C35,BJ35, CH35, FO35))</formula>
    </cfRule>
  </conditionalFormatting>
  <conditionalFormatting sqref="EF35">
    <cfRule type="expression" dxfId="2" priority="2914">
      <formula>AND(BP35&gt;=3,EF35&lt;&gt;0, GetEquPower(C35,BJ35, CI35, FO35)=0)</formula>
    </cfRule>
    <cfRule type="expression" dxfId="1" priority="2915">
      <formula>AND(BP35&gt;=3,EF35&lt;&gt;GetEquPower(C35,BJ35, CI35, FO35))</formula>
    </cfRule>
  </conditionalFormatting>
  <conditionalFormatting sqref="EK35">
    <cfRule type="expression" dxfId="2" priority="2916">
      <formula>AND(BQ35&gt;=1,EK35&lt;&gt;0, GetEquPower(C35,BK35, CM35, FP35)=0)</formula>
    </cfRule>
    <cfRule type="expression" dxfId="1" priority="2917">
      <formula>AND(BQ35&gt;=1,EK35&lt;&gt;GetEquPower(C35,BK35, CM35, FP35))</formula>
    </cfRule>
  </conditionalFormatting>
  <conditionalFormatting sqref="EL35">
    <cfRule type="expression" dxfId="2" priority="2918">
      <formula>AND(BQ35&gt;=2,EL35&lt;&gt;0, GetEquPower(C35,BK35, CN35, FP35)=0)</formula>
    </cfRule>
    <cfRule type="expression" dxfId="1" priority="2919">
      <formula xml:space="preserve"> AND(BQ35&gt;=2,EL35&lt;&gt;GetEquPower(C35,BK35, CN35, FP35))</formula>
    </cfRule>
  </conditionalFormatting>
  <conditionalFormatting sqref="EM35">
    <cfRule type="expression" dxfId="2" priority="2920">
      <formula>AND(BQ35&gt;=3,EM35&lt;&gt;0, GetEquPower(C35,BK35, CO35, FP35)=0)</formula>
    </cfRule>
    <cfRule type="expression" dxfId="1" priority="2921">
      <formula xml:space="preserve"> AND(BQ35&gt;=3,EM35&lt;&gt;GetEquPower(C35,BK35, CO35, FP35))</formula>
    </cfRule>
  </conditionalFormatting>
  <conditionalFormatting sqref="ER35">
    <cfRule type="expression" dxfId="2" priority="2922">
      <formula>AND(BR35&gt;=1,ER35&lt;&gt;0, GetEquPower(C35,BL35, CS35, FQ35)=0)</formula>
    </cfRule>
    <cfRule type="expression" dxfId="1" priority="2923">
      <formula>AND(BR35&gt;=1,ER35&lt;&gt;GetEquPower(C35,BL35, CS35, FQ35))</formula>
    </cfRule>
  </conditionalFormatting>
  <conditionalFormatting sqref="ES35">
    <cfRule type="expression" dxfId="2" priority="2924">
      <formula>AND(BR35&gt;=2,ES35&lt;&gt;0, GetEquPower(C35,BL35, CT35, FQ35)=0)</formula>
    </cfRule>
    <cfRule type="expression" dxfId="1" priority="2925">
      <formula>AND(BR35&gt;=2,ES35&lt;&gt;GetEquPower(C35,BL35, CT35, FQ35))</formula>
    </cfRule>
  </conditionalFormatting>
  <conditionalFormatting sqref="ET35">
    <cfRule type="expression" dxfId="2" priority="2926">
      <formula>AND(BR35&gt;=3,ET35&lt;&gt;0, GetEquPower(C35,BL35, CU35, FQ35)=0)</formula>
    </cfRule>
    <cfRule type="expression" dxfId="1" priority="2927">
      <formula>AND(BR35&gt;=3,ET35&lt;&gt;GetEquPower(C35,BL35, CU35, FQ35))</formula>
    </cfRule>
  </conditionalFormatting>
  <conditionalFormatting sqref="EY35">
    <cfRule type="expression" dxfId="2" priority="2928">
      <formula>AND(BS35&gt;=1,EY35&lt;&gt;0, GetEquPower(C35,BM35, CY35, FR35)=0)</formula>
    </cfRule>
    <cfRule type="expression" dxfId="1" priority="2929">
      <formula>AND(BS35&gt;=1,EY35&lt;&gt;GetEquPower(C35,BM35, CY35, FR35))</formula>
    </cfRule>
  </conditionalFormatting>
  <conditionalFormatting sqref="EZ35">
    <cfRule type="expression" dxfId="2" priority="2930">
      <formula>AND(BS35&gt;=2,EZ35&lt;&gt;0, GetEquPower(C35,BM35, CZ35, FR35)=0)</formula>
    </cfRule>
    <cfRule type="expression" dxfId="1" priority="2931">
      <formula>AND(BS35&gt;=2,EZ35&lt;&gt;GetEquPower(C35,BM35, CZ35, FR35))</formula>
    </cfRule>
  </conditionalFormatting>
  <conditionalFormatting sqref="FA35">
    <cfRule type="expression" dxfId="2" priority="2932">
      <formula>AND(BS35&gt;=3,FA35&lt;&gt;0, GetEquPower(C35,BM35, DA35, FR35)=0)</formula>
    </cfRule>
    <cfRule type="expression" dxfId="1" priority="2933">
      <formula>AND(BS35&gt;=3,FA35&lt;&gt;GetEquPower(C35,BM35, DA35, FR35))</formula>
    </cfRule>
  </conditionalFormatting>
  <conditionalFormatting sqref="FF35">
    <cfRule type="expression" dxfId="2" priority="2934">
      <formula>AND(BT35&gt;=1,FF35&lt;&gt;0, GetEquPower(C35,BN35, DE35, FS35)=0)</formula>
    </cfRule>
    <cfRule type="expression" dxfId="1" priority="2935">
      <formula>AND(BT35&gt;=1,FF35&lt;&gt;GetEquPower(C35,BN35, DE35, FS35))</formula>
    </cfRule>
  </conditionalFormatting>
  <conditionalFormatting sqref="FG35">
    <cfRule type="expression" dxfId="2" priority="2936">
      <formula>AND(BT35&gt;=2,FG35&lt;&gt;0, GetEquPower(C35,BN35, DF35, FS35)=0)</formula>
    </cfRule>
    <cfRule type="expression" dxfId="1" priority="2937">
      <formula>AND(BT35&gt;=2,FG35&lt;&gt;GetEquPower(C35,BN35, DF35, FS35))</formula>
    </cfRule>
  </conditionalFormatting>
  <conditionalFormatting sqref="FH35">
    <cfRule type="expression" dxfId="2" priority="2938">
      <formula>AND(BT35&gt;=3,FH35&lt;&gt;0, GetEquPower(C35,BN35, DG35, FS35)=0)</formula>
    </cfRule>
    <cfRule type="expression" dxfId="1" priority="2939">
      <formula>AND(BT35&gt;=3,FH35&lt;&gt;GetEquPower(C35,BN35, DG35, FS35))</formula>
    </cfRule>
  </conditionalFormatting>
  <conditionalFormatting sqref="DZ35">
    <cfRule type="expression" dxfId="2" priority="2940">
      <formula>AND(BO35&gt;=4,DZ35&lt;&gt;0, GetEquPower(C35,BI35, CD35, FN35)=0)</formula>
    </cfRule>
    <cfRule type="expression" dxfId="1" priority="2941">
      <formula>AND(BO35&gt;=4, DZ35&lt;&gt;GetEquPower(C35,BI35, CD35, FN35))</formula>
    </cfRule>
  </conditionalFormatting>
  <conditionalFormatting sqref="EG35">
    <cfRule type="expression" dxfId="2" priority="2942">
      <formula>AND(BP35&gt;=4,EG35&lt;&gt;0, GetEquPower(C35,BJ35, CJ35, FO35)=0)</formula>
    </cfRule>
    <cfRule type="expression" dxfId="1" priority="2943">
      <formula>AND(BP35&gt;=4,EG35&lt;&gt;GetEquPower(C35,BJ35, CJ35, FO35))</formula>
    </cfRule>
  </conditionalFormatting>
  <conditionalFormatting sqref="EN35">
    <cfRule type="expression" dxfId="2" priority="2944">
      <formula>AND(BQ35&gt;=4,EN35&lt;&gt;0, GetEquPower(C35,BK35, CP35, FP35)=0)</formula>
    </cfRule>
    <cfRule type="expression" dxfId="1" priority="2945">
      <formula xml:space="preserve"> AND(BQ35&gt;=4,EN35&lt;&gt;GetEquPower(C35,BK35, CP35, FP35))</formula>
    </cfRule>
  </conditionalFormatting>
  <conditionalFormatting sqref="EU35">
    <cfRule type="expression" dxfId="2" priority="2946">
      <formula>AND(BR35&gt;=4,EU35&lt;&gt;0, GetEquPower(C35,BL35, CV35, FQ35)=0)</formula>
    </cfRule>
    <cfRule type="expression" dxfId="1" priority="2947">
      <formula>AND(BR35&gt;=4,EU35&lt;&gt;GetEquPower(C35,BL35, CV35, FQ35))</formula>
    </cfRule>
  </conditionalFormatting>
  <conditionalFormatting sqref="FB35">
    <cfRule type="expression" dxfId="2" priority="2948">
      <formula>AND(BS35&gt;=4,FB35&lt;&gt;0, GetEquPower(C35,BM35, DB35, FR35)=0)</formula>
    </cfRule>
    <cfRule type="expression" dxfId="1" priority="2949">
      <formula>AND(BS35&gt;=4,FB35&lt;&gt;GetEquPower(C35,BM35, DB35, FR35))</formula>
    </cfRule>
  </conditionalFormatting>
  <conditionalFormatting sqref="FI35">
    <cfRule type="expression" dxfId="2" priority="2950">
      <formula>AND(BT35&gt;=4,FI35&lt;&gt;0, GetEquPower(C35,BN35, DH35, FS35)=0)</formula>
    </cfRule>
    <cfRule type="expression" dxfId="1" priority="2951">
      <formula>AND(BT35&gt;=4,FI35&lt;&gt;GetEquPower(C35,BN35, DH35, FS35))</formula>
    </cfRule>
  </conditionalFormatting>
  <conditionalFormatting sqref="EA35">
    <cfRule type="expression" dxfId="2" priority="2952">
      <formula>AND(BO35&gt;=5,EA35&lt;&gt;0, GetEquPower(C35,BI35, CE35, FN35)=0)</formula>
    </cfRule>
    <cfRule type="expression" dxfId="1" priority="2953">
      <formula>AND(BO35&gt;=5, EA35&lt;&gt;GetEquPower(C35,BI35, CE35, FN35))</formula>
    </cfRule>
  </conditionalFormatting>
  <conditionalFormatting sqref="EB35">
    <cfRule type="expression" dxfId="2" priority="2954">
      <formula>AND(BO35&gt;=6,EB35&lt;&gt;0, GetEquPower(C35,BI35, CF35, FN35)=0)</formula>
    </cfRule>
    <cfRule type="expression" dxfId="1" priority="2955">
      <formula>AND(BO35&gt;=6, EB35&lt;&gt;GetEquPower(C35,BI35, CF35, FN35))</formula>
    </cfRule>
  </conditionalFormatting>
  <conditionalFormatting sqref="EH35">
    <cfRule type="expression" dxfId="2" priority="2956">
      <formula>AND(BP35&gt;=5,EH35&lt;&gt;0, GetEquPower(C35,BJ35, CK35, FO35)=0)</formula>
    </cfRule>
    <cfRule type="expression" dxfId="1" priority="2957">
      <formula>AND(BP35&gt;=5,EH35&lt;&gt;GetEquPower(C35,BJ35, CK35, FO35))</formula>
    </cfRule>
  </conditionalFormatting>
  <conditionalFormatting sqref="EI35">
    <cfRule type="expression" dxfId="2" priority="2958">
      <formula>AND(BP35&gt;=6,EI35&lt;&gt;0, GetEquPower(C35,BJ35, CL35, FO35)=0)</formula>
    </cfRule>
    <cfRule type="expression" dxfId="1" priority="2959">
      <formula>AND(BP35&gt;=6,EI35&lt;&gt;GetEquPower(C35,BJ35, CL35, FO35))</formula>
    </cfRule>
  </conditionalFormatting>
  <conditionalFormatting sqref="EO35">
    <cfRule type="expression" dxfId="2" priority="2960">
      <formula>AND(BQ35&gt;=5,EO35&lt;&gt;0, GetEquPower(C35,BK35, CQ35, FP35)=0)</formula>
    </cfRule>
    <cfRule type="expression" dxfId="1" priority="2961">
      <formula xml:space="preserve"> AND(BQ35&gt;=5,EO35&lt;&gt;GetEquPower(C35,BK35, CQ35, FP35))</formula>
    </cfRule>
  </conditionalFormatting>
  <conditionalFormatting sqref="EP35">
    <cfRule type="expression" dxfId="2" priority="2962">
      <formula>AND(BQ35&gt;=6,EP35&lt;&gt;0, GetEquPower(C35,BK35, CR35, FP35)=0)</formula>
    </cfRule>
    <cfRule type="expression" dxfId="1" priority="2963">
      <formula xml:space="preserve"> AND(BQ35&gt;=6,EP35&lt;&gt;GetEquPower(C35,BK35, CR35, FP35))</formula>
    </cfRule>
  </conditionalFormatting>
  <conditionalFormatting sqref="EV35">
    <cfRule type="expression" dxfId="2" priority="2964">
      <formula>AND(BR35&gt;=5,EV35&lt;&gt;0, GetEquPower(C35,BL35, CW35, FQ35)=0)</formula>
    </cfRule>
    <cfRule type="expression" dxfId="1" priority="2965">
      <formula>AND(BR35&gt;=5,EV35&lt;&gt;GetEquPower(C35,BL35, CW35, FQ35))</formula>
    </cfRule>
  </conditionalFormatting>
  <conditionalFormatting sqref="EW35">
    <cfRule type="expression" dxfId="2" priority="2966">
      <formula>AND(BR35&gt;=6,EW35&lt;&gt;0, GetEquPower(C35,BL35, CX35, FQ35)=0)</formula>
    </cfRule>
    <cfRule type="expression" dxfId="1" priority="2967">
      <formula>AND(BR35&gt;=6,EW35&lt;&gt;GetEquPower(C35,BL35, CX35, FQ35))</formula>
    </cfRule>
  </conditionalFormatting>
  <conditionalFormatting sqref="FC35">
    <cfRule type="expression" dxfId="2" priority="2968">
      <formula>AND(BS35&gt;=5,FC35&lt;&gt;0, GetEquPower(C35,BM35, DC35, FR35)=0)</formula>
    </cfRule>
    <cfRule type="expression" dxfId="1" priority="2969">
      <formula>AND(BS35&gt;=5,FC35&lt;&gt;GetEquPower(C35,BM35, DC35, FR35))</formula>
    </cfRule>
  </conditionalFormatting>
  <conditionalFormatting sqref="FD35">
    <cfRule type="expression" dxfId="2" priority="2970">
      <formula>AND(BS35&gt;=6,FD35&lt;&gt;0, GetEquPower(C35,BM35, DD35, FR35)=0)</formula>
    </cfRule>
    <cfRule type="expression" dxfId="1" priority="2971">
      <formula>AND(BS35&gt;=6,FD35&lt;&gt;GetEquPower(C35,BM35, DD35, FR35))</formula>
    </cfRule>
  </conditionalFormatting>
  <conditionalFormatting sqref="FJ35">
    <cfRule type="expression" dxfId="2" priority="2972">
      <formula>AND(BT35&gt;=5,FJ35&lt;&gt;0, GetEquPower(C35,BN35, DI35, FS35)=0)</formula>
    </cfRule>
    <cfRule type="expression" dxfId="1" priority="2973">
      <formula>AND(BT35&gt;=5,FJ35&lt;&gt;GetEquPower(C35,BN35, DI35, FS35))</formula>
    </cfRule>
  </conditionalFormatting>
  <conditionalFormatting sqref="FK35">
    <cfRule type="expression" dxfId="2" priority="2974">
      <formula>AND(BT35&gt;=6,FK35&lt;&gt;0, GetEquPower(C35,BN35, DJ35, FS35)=0)</formula>
    </cfRule>
    <cfRule type="expression" dxfId="1" priority="2975">
      <formula>AND(BT35&gt;=6,FK35&lt;&gt;GetEquPower(C35,BN35, DJ35, FS35))</formula>
    </cfRule>
  </conditionalFormatting>
  <conditionalFormatting sqref="W35">
    <cfRule type="expression" dxfId="0" priority="2891">
      <formula xml:space="preserve"> NOT(ISLOGICAL($W$2))</formula>
    </cfRule>
  </conditionalFormatting>
  <conditionalFormatting sqref="F36">
    <cfRule type="expression" dxfId="0" priority="2818">
      <formula>F36&lt;&gt;RIGHT(SUBSTITUTE(E36,".",""),LEN(F36))</formula>
    </cfRule>
  </conditionalFormatting>
  <conditionalFormatting sqref="X36">
    <cfRule type="expression" dxfId="0" priority="2813">
      <formula xml:space="preserve"> NOT(ISLOGICAL($X$2))</formula>
    </cfRule>
    <cfRule type="expression" dxfId="0" priority="2817">
      <formula>AND(X36=TRUE,W36=FALSE)</formula>
    </cfRule>
  </conditionalFormatting>
  <conditionalFormatting sqref="Y36">
    <cfRule type="expression" dxfId="0" priority="2816">
      <formula>OR(AND(X36=FALSE,INT(Y36)&gt;0),AND(X36=TRUE,INT(Y36)&lt;=0))</formula>
    </cfRule>
  </conditionalFormatting>
  <conditionalFormatting sqref="AA36">
    <cfRule type="expression" dxfId="0" priority="2815">
      <formula>AND(Z36=FALSE,AA36&gt;0)</formula>
    </cfRule>
  </conditionalFormatting>
  <conditionalFormatting sqref="BV36:HY36">
    <cfRule type="containsErrors" dxfId="0" priority="2814">
      <formula>ISERROR(BV36)</formula>
    </cfRule>
  </conditionalFormatting>
  <conditionalFormatting sqref="Z36">
    <cfRule type="expression" dxfId="0" priority="2812">
      <formula>NOT(ISLOGICAL($Z$2))</formula>
    </cfRule>
  </conditionalFormatting>
  <conditionalFormatting sqref="AB36">
    <cfRule type="expression" dxfId="0" priority="2811">
      <formula>NOT(ISLOGICAL($AB$2))</formula>
    </cfRule>
  </conditionalFormatting>
  <conditionalFormatting sqref="AC36">
    <cfRule type="expression" dxfId="0" priority="2810">
      <formula>NOT(ISLOGICAL($AC$2))</formula>
    </cfRule>
  </conditionalFormatting>
  <conditionalFormatting sqref="B36:BU36">
    <cfRule type="containsErrors" dxfId="0" priority="2809">
      <formula>ISERROR(B36)</formula>
    </cfRule>
  </conditionalFormatting>
  <conditionalFormatting sqref="I36">
    <cfRule type="expression" dxfId="0" priority="2808">
      <formula>NOT(ISNUMBER($I$2))</formula>
    </cfRule>
  </conditionalFormatting>
  <conditionalFormatting sqref="D36">
    <cfRule type="expression" dxfId="0" priority="2807">
      <formula>ISBLANK($D$2)</formula>
    </cfRule>
  </conditionalFormatting>
  <conditionalFormatting sqref="DW36">
    <cfRule type="expression" dxfId="2" priority="2819">
      <formula>AND(BO36&gt;=1,DW36&lt;&gt;0, GetEquPower(C36,BI36, CA36, FN36)=0)</formula>
    </cfRule>
    <cfRule type="expression" dxfId="1" priority="2820">
      <formula>AND(BO36&gt;=1,DW36&lt;&gt;GetEquPower(C36,BI36, CA36, FN36))</formula>
    </cfRule>
  </conditionalFormatting>
  <conditionalFormatting sqref="DX36">
    <cfRule type="expression" dxfId="2" priority="2821">
      <formula>AND(BO36&gt;=2,DX36&lt;&gt;0, GetEquPower(C36,BI36, CB36, FN36)=0)</formula>
    </cfRule>
    <cfRule type="expression" dxfId="1" priority="2822">
      <formula>AND(BO36&gt;=2,DX36&lt;&gt;GetEquPower(C36,BI36, CB36, FN36))</formula>
    </cfRule>
  </conditionalFormatting>
  <conditionalFormatting sqref="DY36">
    <cfRule type="expression" dxfId="2" priority="2823">
      <formula>AND(BO36&gt;=3,DY36&lt;&gt;0, GetEquPower(C36,BI36, CC36, FN36)=0)</formula>
    </cfRule>
    <cfRule type="expression" dxfId="1" priority="2824">
      <formula>AND(BO36&gt;=3,DY36&lt;&gt;GetEquPower(C36,BI36, CC36, FN36))</formula>
    </cfRule>
  </conditionalFormatting>
  <conditionalFormatting sqref="ED36">
    <cfRule type="expression" dxfId="2" priority="2825">
      <formula>AND(BP36&gt;=1,ED36&lt;&gt;0, GetEquPower(C36,BJ36, CG36, FO36)=0)</formula>
    </cfRule>
    <cfRule type="expression" dxfId="1" priority="2826">
      <formula>AND(BP36&gt;=1,ED36&lt;&gt;GetEquPower(C36,BJ36, CG36, FO36))</formula>
    </cfRule>
  </conditionalFormatting>
  <conditionalFormatting sqref="EE36">
    <cfRule type="expression" dxfId="2" priority="2827">
      <formula>AND(BP36&gt;=2,EE36&lt;&gt;0, GetEquPower(C36,BJ36, CH36, FO36)=0)</formula>
    </cfRule>
    <cfRule type="expression" dxfId="1" priority="2828">
      <formula>AND(BP36&gt;=2,EE36&lt;&gt;GetEquPower(C36,BJ36, CH36, FO36))</formula>
    </cfRule>
  </conditionalFormatting>
  <conditionalFormatting sqref="EF36">
    <cfRule type="expression" dxfId="2" priority="2829">
      <formula>AND(BP36&gt;=3,EF36&lt;&gt;0, GetEquPower(C36,BJ36, CI36, FO36)=0)</formula>
    </cfRule>
    <cfRule type="expression" dxfId="1" priority="2830">
      <formula>AND(BP36&gt;=3,EF36&lt;&gt;GetEquPower(C36,BJ36, CI36, FO36))</formula>
    </cfRule>
  </conditionalFormatting>
  <conditionalFormatting sqref="EK36">
    <cfRule type="expression" dxfId="2" priority="2831">
      <formula>AND(BQ36&gt;=1,EK36&lt;&gt;0, GetEquPower(C36,BK36, CM36, FP36)=0)</formula>
    </cfRule>
    <cfRule type="expression" dxfId="1" priority="2832">
      <formula>AND(BQ36&gt;=1,EK36&lt;&gt;GetEquPower(C36,BK36, CM36, FP36))</formula>
    </cfRule>
  </conditionalFormatting>
  <conditionalFormatting sqref="EL36">
    <cfRule type="expression" dxfId="2" priority="2833">
      <formula>AND(BQ36&gt;=2,EL36&lt;&gt;0, GetEquPower(C36,BK36, CN36, FP36)=0)</formula>
    </cfRule>
    <cfRule type="expression" dxfId="1" priority="2834">
      <formula xml:space="preserve"> AND(BQ36&gt;=2,EL36&lt;&gt;GetEquPower(C36,BK36, CN36, FP36))</formula>
    </cfRule>
  </conditionalFormatting>
  <conditionalFormatting sqref="EM36">
    <cfRule type="expression" dxfId="2" priority="2835">
      <formula>AND(BQ36&gt;=3,EM36&lt;&gt;0, GetEquPower(C36,BK36, CO36, FP36)=0)</formula>
    </cfRule>
    <cfRule type="expression" dxfId="1" priority="2836">
      <formula xml:space="preserve"> AND(BQ36&gt;=3,EM36&lt;&gt;GetEquPower(C36,BK36, CO36, FP36))</formula>
    </cfRule>
  </conditionalFormatting>
  <conditionalFormatting sqref="ER36">
    <cfRule type="expression" dxfId="2" priority="2837">
      <formula>AND(BR36&gt;=1,ER36&lt;&gt;0, GetEquPower(C36,BL36, CS36, FQ36)=0)</formula>
    </cfRule>
    <cfRule type="expression" dxfId="1" priority="2838">
      <formula>AND(BR36&gt;=1,ER36&lt;&gt;GetEquPower(C36,BL36, CS36, FQ36))</formula>
    </cfRule>
  </conditionalFormatting>
  <conditionalFormatting sqref="ES36">
    <cfRule type="expression" dxfId="2" priority="2839">
      <formula>AND(BR36&gt;=2,ES36&lt;&gt;0, GetEquPower(C36,BL36, CT36, FQ36)=0)</formula>
    </cfRule>
    <cfRule type="expression" dxfId="1" priority="2840">
      <formula>AND(BR36&gt;=2,ES36&lt;&gt;GetEquPower(C36,BL36, CT36, FQ36))</formula>
    </cfRule>
  </conditionalFormatting>
  <conditionalFormatting sqref="ET36">
    <cfRule type="expression" dxfId="2" priority="2841">
      <formula>AND(BR36&gt;=3,ET36&lt;&gt;0, GetEquPower(C36,BL36, CU36, FQ36)=0)</formula>
    </cfRule>
    <cfRule type="expression" dxfId="1" priority="2842">
      <formula>AND(BR36&gt;=3,ET36&lt;&gt;GetEquPower(C36,BL36, CU36, FQ36))</formula>
    </cfRule>
  </conditionalFormatting>
  <conditionalFormatting sqref="EY36">
    <cfRule type="expression" dxfId="2" priority="2843">
      <formula>AND(BS36&gt;=1,EY36&lt;&gt;0, GetEquPower(C36,BM36, CY36, FR36)=0)</formula>
    </cfRule>
    <cfRule type="expression" dxfId="1" priority="2844">
      <formula>AND(BS36&gt;=1,EY36&lt;&gt;GetEquPower(C36,BM36, CY36, FR36))</formula>
    </cfRule>
  </conditionalFormatting>
  <conditionalFormatting sqref="EZ36">
    <cfRule type="expression" dxfId="2" priority="2845">
      <formula>AND(BS36&gt;=2,EZ36&lt;&gt;0, GetEquPower(C36,BM36, CZ36, FR36)=0)</formula>
    </cfRule>
    <cfRule type="expression" dxfId="1" priority="2846">
      <formula>AND(BS36&gt;=2,EZ36&lt;&gt;GetEquPower(C36,BM36, CZ36, FR36))</formula>
    </cfRule>
  </conditionalFormatting>
  <conditionalFormatting sqref="FA36">
    <cfRule type="expression" dxfId="2" priority="2847">
      <formula>AND(BS36&gt;=3,FA36&lt;&gt;0, GetEquPower(C36,BM36, DA36, FR36)=0)</formula>
    </cfRule>
    <cfRule type="expression" dxfId="1" priority="2848">
      <formula>AND(BS36&gt;=3,FA36&lt;&gt;GetEquPower(C36,BM36, DA36, FR36))</formula>
    </cfRule>
  </conditionalFormatting>
  <conditionalFormatting sqref="FF36">
    <cfRule type="expression" dxfId="2" priority="2849">
      <formula>AND(BT36&gt;=1,FF36&lt;&gt;0, GetEquPower(C36,BN36, DE36, FS36)=0)</formula>
    </cfRule>
    <cfRule type="expression" dxfId="1" priority="2850">
      <formula>AND(BT36&gt;=1,FF36&lt;&gt;GetEquPower(C36,BN36, DE36, FS36))</formula>
    </cfRule>
  </conditionalFormatting>
  <conditionalFormatting sqref="FG36">
    <cfRule type="expression" dxfId="2" priority="2851">
      <formula>AND(BT36&gt;=2,FG36&lt;&gt;0, GetEquPower(C36,BN36, DF36, FS36)=0)</formula>
    </cfRule>
    <cfRule type="expression" dxfId="1" priority="2852">
      <formula>AND(BT36&gt;=2,FG36&lt;&gt;GetEquPower(C36,BN36, DF36, FS36))</formula>
    </cfRule>
  </conditionalFormatting>
  <conditionalFormatting sqref="FH36">
    <cfRule type="expression" dxfId="2" priority="2853">
      <formula>AND(BT36&gt;=3,FH36&lt;&gt;0, GetEquPower(C36,BN36, DG36, FS36)=0)</formula>
    </cfRule>
    <cfRule type="expression" dxfId="1" priority="2854">
      <formula>AND(BT36&gt;=3,FH36&lt;&gt;GetEquPower(C36,BN36, DG36, FS36))</formula>
    </cfRule>
  </conditionalFormatting>
  <conditionalFormatting sqref="DZ36">
    <cfRule type="expression" dxfId="2" priority="2855">
      <formula>AND(BO36&gt;=4,DZ36&lt;&gt;0, GetEquPower(C36,BI36, CD36, FN36)=0)</formula>
    </cfRule>
    <cfRule type="expression" dxfId="1" priority="2856">
      <formula>AND(BO36&gt;=4, DZ36&lt;&gt;GetEquPower(C36,BI36, CD36, FN36))</formula>
    </cfRule>
  </conditionalFormatting>
  <conditionalFormatting sqref="EG36">
    <cfRule type="expression" dxfId="2" priority="2857">
      <formula>AND(BP36&gt;=4,EG36&lt;&gt;0, GetEquPower(C36,BJ36, CJ36, FO36)=0)</formula>
    </cfRule>
    <cfRule type="expression" dxfId="1" priority="2858">
      <formula>AND(BP36&gt;=4,EG36&lt;&gt;GetEquPower(C36,BJ36, CJ36, FO36))</formula>
    </cfRule>
  </conditionalFormatting>
  <conditionalFormatting sqref="EN36">
    <cfRule type="expression" dxfId="2" priority="2859">
      <formula>AND(BQ36&gt;=4,EN36&lt;&gt;0, GetEquPower(C36,BK36, CP36, FP36)=0)</formula>
    </cfRule>
    <cfRule type="expression" dxfId="1" priority="2860">
      <formula xml:space="preserve"> AND(BQ36&gt;=4,EN36&lt;&gt;GetEquPower(C36,BK36, CP36, FP36))</formula>
    </cfRule>
  </conditionalFormatting>
  <conditionalFormatting sqref="EU36">
    <cfRule type="expression" dxfId="2" priority="2861">
      <formula>AND(BR36&gt;=4,EU36&lt;&gt;0, GetEquPower(C36,BL36, CV36, FQ36)=0)</formula>
    </cfRule>
    <cfRule type="expression" dxfId="1" priority="2862">
      <formula>AND(BR36&gt;=4,EU36&lt;&gt;GetEquPower(C36,BL36, CV36, FQ36))</formula>
    </cfRule>
  </conditionalFormatting>
  <conditionalFormatting sqref="FB36">
    <cfRule type="expression" dxfId="2" priority="2863">
      <formula>AND(BS36&gt;=4,FB36&lt;&gt;0, GetEquPower(C36,BM36, DB36, FR36)=0)</formula>
    </cfRule>
    <cfRule type="expression" dxfId="1" priority="2864">
      <formula>AND(BS36&gt;=4,FB36&lt;&gt;GetEquPower(C36,BM36, DB36, FR36))</formula>
    </cfRule>
  </conditionalFormatting>
  <conditionalFormatting sqref="FI36">
    <cfRule type="expression" dxfId="2" priority="2865">
      <formula>AND(BT36&gt;=4,FI36&lt;&gt;0, GetEquPower(C36,BN36, DH36, FS36)=0)</formula>
    </cfRule>
    <cfRule type="expression" dxfId="1" priority="2866">
      <formula>AND(BT36&gt;=4,FI36&lt;&gt;GetEquPower(C36,BN36, DH36, FS36))</formula>
    </cfRule>
  </conditionalFormatting>
  <conditionalFormatting sqref="EA36">
    <cfRule type="expression" dxfId="2" priority="2867">
      <formula>AND(BO36&gt;=5,EA36&lt;&gt;0, GetEquPower(C36,BI36, CE36, FN36)=0)</formula>
    </cfRule>
    <cfRule type="expression" dxfId="1" priority="2868">
      <formula>AND(BO36&gt;=5, EA36&lt;&gt;GetEquPower(C36,BI36, CE36, FN36))</formula>
    </cfRule>
  </conditionalFormatting>
  <conditionalFormatting sqref="EB36">
    <cfRule type="expression" dxfId="2" priority="2869">
      <formula>AND(BO36&gt;=6,EB36&lt;&gt;0, GetEquPower(C36,BI36, CF36, FN36)=0)</formula>
    </cfRule>
    <cfRule type="expression" dxfId="1" priority="2870">
      <formula>AND(BO36&gt;=6, EB36&lt;&gt;GetEquPower(C36,BI36, CF36, FN36))</formula>
    </cfRule>
  </conditionalFormatting>
  <conditionalFormatting sqref="EH36">
    <cfRule type="expression" dxfId="2" priority="2871">
      <formula>AND(BP36&gt;=5,EH36&lt;&gt;0, GetEquPower(C36,BJ36, CK36, FO36)=0)</formula>
    </cfRule>
    <cfRule type="expression" dxfId="1" priority="2872">
      <formula>AND(BP36&gt;=5,EH36&lt;&gt;GetEquPower(C36,BJ36, CK36, FO36))</formula>
    </cfRule>
  </conditionalFormatting>
  <conditionalFormatting sqref="EI36">
    <cfRule type="expression" dxfId="2" priority="2873">
      <formula>AND(BP36&gt;=6,EI36&lt;&gt;0, GetEquPower(C36,BJ36, CL36, FO36)=0)</formula>
    </cfRule>
    <cfRule type="expression" dxfId="1" priority="2874">
      <formula>AND(BP36&gt;=6,EI36&lt;&gt;GetEquPower(C36,BJ36, CL36, FO36))</formula>
    </cfRule>
  </conditionalFormatting>
  <conditionalFormatting sqref="EO36">
    <cfRule type="expression" dxfId="2" priority="2875">
      <formula>AND(BQ36&gt;=5,EO36&lt;&gt;0, GetEquPower(C36,BK36, CQ36, FP36)=0)</formula>
    </cfRule>
    <cfRule type="expression" dxfId="1" priority="2876">
      <formula xml:space="preserve"> AND(BQ36&gt;=5,EO36&lt;&gt;GetEquPower(C36,BK36, CQ36, FP36))</formula>
    </cfRule>
  </conditionalFormatting>
  <conditionalFormatting sqref="EP36">
    <cfRule type="expression" dxfId="2" priority="2877">
      <formula>AND(BQ36&gt;=6,EP36&lt;&gt;0, GetEquPower(C36,BK36, CR36, FP36)=0)</formula>
    </cfRule>
    <cfRule type="expression" dxfId="1" priority="2878">
      <formula xml:space="preserve"> AND(BQ36&gt;=6,EP36&lt;&gt;GetEquPower(C36,BK36, CR36, FP36))</formula>
    </cfRule>
  </conditionalFormatting>
  <conditionalFormatting sqref="EV36">
    <cfRule type="expression" dxfId="2" priority="2879">
      <formula>AND(BR36&gt;=5,EV36&lt;&gt;0, GetEquPower(C36,BL36, CW36, FQ36)=0)</formula>
    </cfRule>
    <cfRule type="expression" dxfId="1" priority="2880">
      <formula>AND(BR36&gt;=5,EV36&lt;&gt;GetEquPower(C36,BL36, CW36, FQ36))</formula>
    </cfRule>
  </conditionalFormatting>
  <conditionalFormatting sqref="EW36">
    <cfRule type="expression" dxfId="2" priority="2881">
      <formula>AND(BR36&gt;=6,EW36&lt;&gt;0, GetEquPower(C36,BL36, CX36, FQ36)=0)</formula>
    </cfRule>
    <cfRule type="expression" dxfId="1" priority="2882">
      <formula>AND(BR36&gt;=6,EW36&lt;&gt;GetEquPower(C36,BL36, CX36, FQ36))</formula>
    </cfRule>
  </conditionalFormatting>
  <conditionalFormatting sqref="FC36">
    <cfRule type="expression" dxfId="2" priority="2883">
      <formula>AND(BS36&gt;=5,FC36&lt;&gt;0, GetEquPower(C36,BM36, DC36, FR36)=0)</formula>
    </cfRule>
    <cfRule type="expression" dxfId="1" priority="2884">
      <formula>AND(BS36&gt;=5,FC36&lt;&gt;GetEquPower(C36,BM36, DC36, FR36))</formula>
    </cfRule>
  </conditionalFormatting>
  <conditionalFormatting sqref="FD36">
    <cfRule type="expression" dxfId="2" priority="2885">
      <formula>AND(BS36&gt;=6,FD36&lt;&gt;0, GetEquPower(C36,BM36, DD36, FR36)=0)</formula>
    </cfRule>
    <cfRule type="expression" dxfId="1" priority="2886">
      <formula>AND(BS36&gt;=6,FD36&lt;&gt;GetEquPower(C36,BM36, DD36, FR36))</formula>
    </cfRule>
  </conditionalFormatting>
  <conditionalFormatting sqref="FJ36">
    <cfRule type="expression" dxfId="2" priority="2887">
      <formula>AND(BT36&gt;=5,FJ36&lt;&gt;0, GetEquPower(C36,BN36, DI36, FS36)=0)</formula>
    </cfRule>
    <cfRule type="expression" dxfId="1" priority="2888">
      <formula>AND(BT36&gt;=5,FJ36&lt;&gt;GetEquPower(C36,BN36, DI36, FS36))</formula>
    </cfRule>
  </conditionalFormatting>
  <conditionalFormatting sqref="FK36">
    <cfRule type="expression" dxfId="2" priority="2889">
      <formula>AND(BT36&gt;=6,FK36&lt;&gt;0, GetEquPower(C36,BN36, DJ36, FS36)=0)</formula>
    </cfRule>
    <cfRule type="expression" dxfId="1" priority="2890">
      <formula>AND(BT36&gt;=6,FK36&lt;&gt;GetEquPower(C36,BN36, DJ36, FS36))</formula>
    </cfRule>
  </conditionalFormatting>
  <conditionalFormatting sqref="W36">
    <cfRule type="expression" dxfId="0" priority="2806">
      <formula xml:space="preserve"> NOT(ISLOGICAL($W$2))</formula>
    </cfRule>
  </conditionalFormatting>
  <conditionalFormatting sqref="F37">
    <cfRule type="expression" dxfId="0" priority="2733">
      <formula>F37&lt;&gt;RIGHT(SUBSTITUTE(E37,".",""),LEN(F37))</formula>
    </cfRule>
  </conditionalFormatting>
  <conditionalFormatting sqref="X37">
    <cfRule type="expression" dxfId="0" priority="2728">
      <formula xml:space="preserve"> NOT(ISLOGICAL($X$2))</formula>
    </cfRule>
    <cfRule type="expression" dxfId="0" priority="2732">
      <formula>AND(X37=TRUE,W37=FALSE)</formula>
    </cfRule>
  </conditionalFormatting>
  <conditionalFormatting sqref="Y37">
    <cfRule type="expression" dxfId="0" priority="2731">
      <formula>OR(AND(X37=FALSE,INT(Y37)&gt;0),AND(X37=TRUE,INT(Y37)&lt;=0))</formula>
    </cfRule>
  </conditionalFormatting>
  <conditionalFormatting sqref="AA37">
    <cfRule type="expression" dxfId="0" priority="2730">
      <formula>AND(Z37=FALSE,AA37&gt;0)</formula>
    </cfRule>
  </conditionalFormatting>
  <conditionalFormatting sqref="BV37:HY37">
    <cfRule type="containsErrors" dxfId="0" priority="2729">
      <formula>ISERROR(BV37)</formula>
    </cfRule>
  </conditionalFormatting>
  <conditionalFormatting sqref="Z37">
    <cfRule type="expression" dxfId="0" priority="2727">
      <formula>NOT(ISLOGICAL($Z$2))</formula>
    </cfRule>
  </conditionalFormatting>
  <conditionalFormatting sqref="AB37">
    <cfRule type="expression" dxfId="0" priority="2726">
      <formula>NOT(ISLOGICAL($AB$2))</formula>
    </cfRule>
  </conditionalFormatting>
  <conditionalFormatting sqref="AC37">
    <cfRule type="expression" dxfId="0" priority="2725">
      <formula>NOT(ISLOGICAL($AC$2))</formula>
    </cfRule>
  </conditionalFormatting>
  <conditionalFormatting sqref="B37:BU37">
    <cfRule type="containsErrors" dxfId="0" priority="2724">
      <formula>ISERROR(B37)</formula>
    </cfRule>
  </conditionalFormatting>
  <conditionalFormatting sqref="I37">
    <cfRule type="expression" dxfId="0" priority="2723">
      <formula>NOT(ISNUMBER($I$2))</formula>
    </cfRule>
  </conditionalFormatting>
  <conditionalFormatting sqref="D37">
    <cfRule type="expression" dxfId="0" priority="2722">
      <formula>ISBLANK($D$2)</formula>
    </cfRule>
  </conditionalFormatting>
  <conditionalFormatting sqref="DW37">
    <cfRule type="expression" dxfId="2" priority="2734">
      <formula>AND(BO37&gt;=1,DW37&lt;&gt;0, GetEquPower(C37,BI37, CA37, FN37)=0)</formula>
    </cfRule>
    <cfRule type="expression" dxfId="1" priority="2735">
      <formula>AND(BO37&gt;=1,DW37&lt;&gt;GetEquPower(C37,BI37, CA37, FN37))</formula>
    </cfRule>
  </conditionalFormatting>
  <conditionalFormatting sqref="DX37">
    <cfRule type="expression" dxfId="2" priority="2736">
      <formula>AND(BO37&gt;=2,DX37&lt;&gt;0, GetEquPower(C37,BI37, CB37, FN37)=0)</formula>
    </cfRule>
    <cfRule type="expression" dxfId="1" priority="2737">
      <formula>AND(BO37&gt;=2,DX37&lt;&gt;GetEquPower(C37,BI37, CB37, FN37))</formula>
    </cfRule>
  </conditionalFormatting>
  <conditionalFormatting sqref="DY37">
    <cfRule type="expression" dxfId="2" priority="2738">
      <formula>AND(BO37&gt;=3,DY37&lt;&gt;0, GetEquPower(C37,BI37, CC37, FN37)=0)</formula>
    </cfRule>
    <cfRule type="expression" dxfId="1" priority="2739">
      <formula>AND(BO37&gt;=3,DY37&lt;&gt;GetEquPower(C37,BI37, CC37, FN37))</formula>
    </cfRule>
  </conditionalFormatting>
  <conditionalFormatting sqref="ED37">
    <cfRule type="expression" dxfId="2" priority="2740">
      <formula>AND(BP37&gt;=1,ED37&lt;&gt;0, GetEquPower(C37,BJ37, CG37, FO37)=0)</formula>
    </cfRule>
    <cfRule type="expression" dxfId="1" priority="2741">
      <formula>AND(BP37&gt;=1,ED37&lt;&gt;GetEquPower(C37,BJ37, CG37, FO37))</formula>
    </cfRule>
  </conditionalFormatting>
  <conditionalFormatting sqref="EE37">
    <cfRule type="expression" dxfId="2" priority="2742">
      <formula>AND(BP37&gt;=2,EE37&lt;&gt;0, GetEquPower(C37,BJ37, CH37, FO37)=0)</formula>
    </cfRule>
    <cfRule type="expression" dxfId="1" priority="2743">
      <formula>AND(BP37&gt;=2,EE37&lt;&gt;GetEquPower(C37,BJ37, CH37, FO37))</formula>
    </cfRule>
  </conditionalFormatting>
  <conditionalFormatting sqref="EF37">
    <cfRule type="expression" dxfId="2" priority="2744">
      <formula>AND(BP37&gt;=3,EF37&lt;&gt;0, GetEquPower(C37,BJ37, CI37, FO37)=0)</formula>
    </cfRule>
    <cfRule type="expression" dxfId="1" priority="2745">
      <formula>AND(BP37&gt;=3,EF37&lt;&gt;GetEquPower(C37,BJ37, CI37, FO37))</formula>
    </cfRule>
  </conditionalFormatting>
  <conditionalFormatting sqref="EK37">
    <cfRule type="expression" dxfId="2" priority="2746">
      <formula>AND(BQ37&gt;=1,EK37&lt;&gt;0, GetEquPower(C37,BK37, CM37, FP37)=0)</formula>
    </cfRule>
    <cfRule type="expression" dxfId="1" priority="2747">
      <formula>AND(BQ37&gt;=1,EK37&lt;&gt;GetEquPower(C37,BK37, CM37, FP37))</formula>
    </cfRule>
  </conditionalFormatting>
  <conditionalFormatting sqref="EL37">
    <cfRule type="expression" dxfId="2" priority="2748">
      <formula>AND(BQ37&gt;=2,EL37&lt;&gt;0, GetEquPower(C37,BK37, CN37, FP37)=0)</formula>
    </cfRule>
    <cfRule type="expression" dxfId="1" priority="2749">
      <formula xml:space="preserve"> AND(BQ37&gt;=2,EL37&lt;&gt;GetEquPower(C37,BK37, CN37, FP37))</formula>
    </cfRule>
  </conditionalFormatting>
  <conditionalFormatting sqref="EM37">
    <cfRule type="expression" dxfId="2" priority="2750">
      <formula>AND(BQ37&gt;=3,EM37&lt;&gt;0, GetEquPower(C37,BK37, CO37, FP37)=0)</formula>
    </cfRule>
    <cfRule type="expression" dxfId="1" priority="2751">
      <formula xml:space="preserve"> AND(BQ37&gt;=3,EM37&lt;&gt;GetEquPower(C37,BK37, CO37, FP37))</formula>
    </cfRule>
  </conditionalFormatting>
  <conditionalFormatting sqref="ER37">
    <cfRule type="expression" dxfId="2" priority="2752">
      <formula>AND(BR37&gt;=1,ER37&lt;&gt;0, GetEquPower(C37,BL37, CS37, FQ37)=0)</formula>
    </cfRule>
    <cfRule type="expression" dxfId="1" priority="2753">
      <formula>AND(BR37&gt;=1,ER37&lt;&gt;GetEquPower(C37,BL37, CS37, FQ37))</formula>
    </cfRule>
  </conditionalFormatting>
  <conditionalFormatting sqref="ES37">
    <cfRule type="expression" dxfId="2" priority="2754">
      <formula>AND(BR37&gt;=2,ES37&lt;&gt;0, GetEquPower(C37,BL37, CT37, FQ37)=0)</formula>
    </cfRule>
    <cfRule type="expression" dxfId="1" priority="2755">
      <formula>AND(BR37&gt;=2,ES37&lt;&gt;GetEquPower(C37,BL37, CT37, FQ37))</formula>
    </cfRule>
  </conditionalFormatting>
  <conditionalFormatting sqref="ET37">
    <cfRule type="expression" dxfId="2" priority="2756">
      <formula>AND(BR37&gt;=3,ET37&lt;&gt;0, GetEquPower(C37,BL37, CU37, FQ37)=0)</formula>
    </cfRule>
    <cfRule type="expression" dxfId="1" priority="2757">
      <formula>AND(BR37&gt;=3,ET37&lt;&gt;GetEquPower(C37,BL37, CU37, FQ37))</formula>
    </cfRule>
  </conditionalFormatting>
  <conditionalFormatting sqref="EY37">
    <cfRule type="expression" dxfId="2" priority="2758">
      <formula>AND(BS37&gt;=1,EY37&lt;&gt;0, GetEquPower(C37,BM37, CY37, FR37)=0)</formula>
    </cfRule>
    <cfRule type="expression" dxfId="1" priority="2759">
      <formula>AND(BS37&gt;=1,EY37&lt;&gt;GetEquPower(C37,BM37, CY37, FR37))</formula>
    </cfRule>
  </conditionalFormatting>
  <conditionalFormatting sqref="EZ37">
    <cfRule type="expression" dxfId="2" priority="2760">
      <formula>AND(BS37&gt;=2,EZ37&lt;&gt;0, GetEquPower(C37,BM37, CZ37, FR37)=0)</formula>
    </cfRule>
    <cfRule type="expression" dxfId="1" priority="2761">
      <formula>AND(BS37&gt;=2,EZ37&lt;&gt;GetEquPower(C37,BM37, CZ37, FR37))</formula>
    </cfRule>
  </conditionalFormatting>
  <conditionalFormatting sqref="FA37">
    <cfRule type="expression" dxfId="2" priority="2762">
      <formula>AND(BS37&gt;=3,FA37&lt;&gt;0, GetEquPower(C37,BM37, DA37, FR37)=0)</formula>
    </cfRule>
    <cfRule type="expression" dxfId="1" priority="2763">
      <formula>AND(BS37&gt;=3,FA37&lt;&gt;GetEquPower(C37,BM37, DA37, FR37))</formula>
    </cfRule>
  </conditionalFormatting>
  <conditionalFormatting sqref="FF37">
    <cfRule type="expression" dxfId="2" priority="2764">
      <formula>AND(BT37&gt;=1,FF37&lt;&gt;0, GetEquPower(C37,BN37, DE37, FS37)=0)</formula>
    </cfRule>
    <cfRule type="expression" dxfId="1" priority="2765">
      <formula>AND(BT37&gt;=1,FF37&lt;&gt;GetEquPower(C37,BN37, DE37, FS37))</formula>
    </cfRule>
  </conditionalFormatting>
  <conditionalFormatting sqref="FG37">
    <cfRule type="expression" dxfId="2" priority="2766">
      <formula>AND(BT37&gt;=2,FG37&lt;&gt;0, GetEquPower(C37,BN37, DF37, FS37)=0)</formula>
    </cfRule>
    <cfRule type="expression" dxfId="1" priority="2767">
      <formula>AND(BT37&gt;=2,FG37&lt;&gt;GetEquPower(C37,BN37, DF37, FS37))</formula>
    </cfRule>
  </conditionalFormatting>
  <conditionalFormatting sqref="FH37">
    <cfRule type="expression" dxfId="2" priority="2768">
      <formula>AND(BT37&gt;=3,FH37&lt;&gt;0, GetEquPower(C37,BN37, DG37, FS37)=0)</formula>
    </cfRule>
    <cfRule type="expression" dxfId="1" priority="2769">
      <formula>AND(BT37&gt;=3,FH37&lt;&gt;GetEquPower(C37,BN37, DG37, FS37))</formula>
    </cfRule>
  </conditionalFormatting>
  <conditionalFormatting sqref="DZ37">
    <cfRule type="expression" dxfId="2" priority="2770">
      <formula>AND(BO37&gt;=4,DZ37&lt;&gt;0, GetEquPower(C37,BI37, CD37, FN37)=0)</formula>
    </cfRule>
    <cfRule type="expression" dxfId="1" priority="2771">
      <formula>AND(BO37&gt;=4, DZ37&lt;&gt;GetEquPower(C37,BI37, CD37, FN37))</formula>
    </cfRule>
  </conditionalFormatting>
  <conditionalFormatting sqref="EG37">
    <cfRule type="expression" dxfId="2" priority="2772">
      <formula>AND(BP37&gt;=4,EG37&lt;&gt;0, GetEquPower(C37,BJ37, CJ37, FO37)=0)</formula>
    </cfRule>
    <cfRule type="expression" dxfId="1" priority="2773">
      <formula>AND(BP37&gt;=4,EG37&lt;&gt;GetEquPower(C37,BJ37, CJ37, FO37))</formula>
    </cfRule>
  </conditionalFormatting>
  <conditionalFormatting sqref="EN37">
    <cfRule type="expression" dxfId="2" priority="2774">
      <formula>AND(BQ37&gt;=4,EN37&lt;&gt;0, GetEquPower(C37,BK37, CP37, FP37)=0)</formula>
    </cfRule>
    <cfRule type="expression" dxfId="1" priority="2775">
      <formula xml:space="preserve"> AND(BQ37&gt;=4,EN37&lt;&gt;GetEquPower(C37,BK37, CP37, FP37))</formula>
    </cfRule>
  </conditionalFormatting>
  <conditionalFormatting sqref="EU37">
    <cfRule type="expression" dxfId="2" priority="2776">
      <formula>AND(BR37&gt;=4,EU37&lt;&gt;0, GetEquPower(C37,BL37, CV37, FQ37)=0)</formula>
    </cfRule>
    <cfRule type="expression" dxfId="1" priority="2777">
      <formula>AND(BR37&gt;=4,EU37&lt;&gt;GetEquPower(C37,BL37, CV37, FQ37))</formula>
    </cfRule>
  </conditionalFormatting>
  <conditionalFormatting sqref="FB37">
    <cfRule type="expression" dxfId="2" priority="2778">
      <formula>AND(BS37&gt;=4,FB37&lt;&gt;0, GetEquPower(C37,BM37, DB37, FR37)=0)</formula>
    </cfRule>
    <cfRule type="expression" dxfId="1" priority="2779">
      <formula>AND(BS37&gt;=4,FB37&lt;&gt;GetEquPower(C37,BM37, DB37, FR37))</formula>
    </cfRule>
  </conditionalFormatting>
  <conditionalFormatting sqref="FI37">
    <cfRule type="expression" dxfId="2" priority="2780">
      <formula>AND(BT37&gt;=4,FI37&lt;&gt;0, GetEquPower(C37,BN37, DH37, FS37)=0)</formula>
    </cfRule>
    <cfRule type="expression" dxfId="1" priority="2781">
      <formula>AND(BT37&gt;=4,FI37&lt;&gt;GetEquPower(C37,BN37, DH37, FS37))</formula>
    </cfRule>
  </conditionalFormatting>
  <conditionalFormatting sqref="EA37">
    <cfRule type="expression" dxfId="2" priority="2782">
      <formula>AND(BO37&gt;=5,EA37&lt;&gt;0, GetEquPower(C37,BI37, CE37, FN37)=0)</formula>
    </cfRule>
    <cfRule type="expression" dxfId="1" priority="2783">
      <formula>AND(BO37&gt;=5, EA37&lt;&gt;GetEquPower(C37,BI37, CE37, FN37))</formula>
    </cfRule>
  </conditionalFormatting>
  <conditionalFormatting sqref="EB37">
    <cfRule type="expression" dxfId="2" priority="2784">
      <formula>AND(BO37&gt;=6,EB37&lt;&gt;0, GetEquPower(C37,BI37, CF37, FN37)=0)</formula>
    </cfRule>
    <cfRule type="expression" dxfId="1" priority="2785">
      <formula>AND(BO37&gt;=6, EB37&lt;&gt;GetEquPower(C37,BI37, CF37, FN37))</formula>
    </cfRule>
  </conditionalFormatting>
  <conditionalFormatting sqref="EH37">
    <cfRule type="expression" dxfId="2" priority="2786">
      <formula>AND(BP37&gt;=5,EH37&lt;&gt;0, GetEquPower(C37,BJ37, CK37, FO37)=0)</formula>
    </cfRule>
    <cfRule type="expression" dxfId="1" priority="2787">
      <formula>AND(BP37&gt;=5,EH37&lt;&gt;GetEquPower(C37,BJ37, CK37, FO37))</formula>
    </cfRule>
  </conditionalFormatting>
  <conditionalFormatting sqref="EI37">
    <cfRule type="expression" dxfId="2" priority="2788">
      <formula>AND(BP37&gt;=6,EI37&lt;&gt;0, GetEquPower(C37,BJ37, CL37, FO37)=0)</formula>
    </cfRule>
    <cfRule type="expression" dxfId="1" priority="2789">
      <formula>AND(BP37&gt;=6,EI37&lt;&gt;GetEquPower(C37,BJ37, CL37, FO37))</formula>
    </cfRule>
  </conditionalFormatting>
  <conditionalFormatting sqref="EO37">
    <cfRule type="expression" dxfId="2" priority="2790">
      <formula>AND(BQ37&gt;=5,EO37&lt;&gt;0, GetEquPower(C37,BK37, CQ37, FP37)=0)</formula>
    </cfRule>
    <cfRule type="expression" dxfId="1" priority="2791">
      <formula xml:space="preserve"> AND(BQ37&gt;=5,EO37&lt;&gt;GetEquPower(C37,BK37, CQ37, FP37))</formula>
    </cfRule>
  </conditionalFormatting>
  <conditionalFormatting sqref="EP37">
    <cfRule type="expression" dxfId="2" priority="2792">
      <formula>AND(BQ37&gt;=6,EP37&lt;&gt;0, GetEquPower(C37,BK37, CR37, FP37)=0)</formula>
    </cfRule>
    <cfRule type="expression" dxfId="1" priority="2793">
      <formula xml:space="preserve"> AND(BQ37&gt;=6,EP37&lt;&gt;GetEquPower(C37,BK37, CR37, FP37))</formula>
    </cfRule>
  </conditionalFormatting>
  <conditionalFormatting sqref="EV37">
    <cfRule type="expression" dxfId="2" priority="2794">
      <formula>AND(BR37&gt;=5,EV37&lt;&gt;0, GetEquPower(C37,BL37, CW37, FQ37)=0)</formula>
    </cfRule>
    <cfRule type="expression" dxfId="1" priority="2795">
      <formula>AND(BR37&gt;=5,EV37&lt;&gt;GetEquPower(C37,BL37, CW37, FQ37))</formula>
    </cfRule>
  </conditionalFormatting>
  <conditionalFormatting sqref="EW37">
    <cfRule type="expression" dxfId="2" priority="2796">
      <formula>AND(BR37&gt;=6,EW37&lt;&gt;0, GetEquPower(C37,BL37, CX37, FQ37)=0)</formula>
    </cfRule>
    <cfRule type="expression" dxfId="1" priority="2797">
      <formula>AND(BR37&gt;=6,EW37&lt;&gt;GetEquPower(C37,BL37, CX37, FQ37))</formula>
    </cfRule>
  </conditionalFormatting>
  <conditionalFormatting sqref="FC37">
    <cfRule type="expression" dxfId="2" priority="2798">
      <formula>AND(BS37&gt;=5,FC37&lt;&gt;0, GetEquPower(C37,BM37, DC37, FR37)=0)</formula>
    </cfRule>
    <cfRule type="expression" dxfId="1" priority="2799">
      <formula>AND(BS37&gt;=5,FC37&lt;&gt;GetEquPower(C37,BM37, DC37, FR37))</formula>
    </cfRule>
  </conditionalFormatting>
  <conditionalFormatting sqref="FD37">
    <cfRule type="expression" dxfId="2" priority="2800">
      <formula>AND(BS37&gt;=6,FD37&lt;&gt;0, GetEquPower(C37,BM37, DD37, FR37)=0)</formula>
    </cfRule>
    <cfRule type="expression" dxfId="1" priority="2801">
      <formula>AND(BS37&gt;=6,FD37&lt;&gt;GetEquPower(C37,BM37, DD37, FR37))</formula>
    </cfRule>
  </conditionalFormatting>
  <conditionalFormatting sqref="FJ37">
    <cfRule type="expression" dxfId="2" priority="2802">
      <formula>AND(BT37&gt;=5,FJ37&lt;&gt;0, GetEquPower(C37,BN37, DI37, FS37)=0)</formula>
    </cfRule>
    <cfRule type="expression" dxfId="1" priority="2803">
      <formula>AND(BT37&gt;=5,FJ37&lt;&gt;GetEquPower(C37,BN37, DI37, FS37))</formula>
    </cfRule>
  </conditionalFormatting>
  <conditionalFormatting sqref="FK37">
    <cfRule type="expression" dxfId="2" priority="2804">
      <formula>AND(BT37&gt;=6,FK37&lt;&gt;0, GetEquPower(C37,BN37, DJ37, FS37)=0)</formula>
    </cfRule>
    <cfRule type="expression" dxfId="1" priority="2805">
      <formula>AND(BT37&gt;=6,FK37&lt;&gt;GetEquPower(C37,BN37, DJ37, FS37))</formula>
    </cfRule>
  </conditionalFormatting>
  <conditionalFormatting sqref="W37">
    <cfRule type="expression" dxfId="0" priority="2721">
      <formula xml:space="preserve"> NOT(ISLOGICAL($W$2))</formula>
    </cfRule>
  </conditionalFormatting>
  <conditionalFormatting sqref="F38">
    <cfRule type="expression" dxfId="0" priority="2648">
      <formula>F38&lt;&gt;RIGHT(SUBSTITUTE(E38,".",""),LEN(F38))</formula>
    </cfRule>
  </conditionalFormatting>
  <conditionalFormatting sqref="X38">
    <cfRule type="expression" dxfId="0" priority="2643">
      <formula xml:space="preserve"> NOT(ISLOGICAL($X$2))</formula>
    </cfRule>
    <cfRule type="expression" dxfId="0" priority="2647">
      <formula>AND(X38=TRUE,W38=FALSE)</formula>
    </cfRule>
  </conditionalFormatting>
  <conditionalFormatting sqref="Y38">
    <cfRule type="expression" dxfId="0" priority="2646">
      <formula>OR(AND(X38=FALSE,INT(Y38)&gt;0),AND(X38=TRUE,INT(Y38)&lt;=0))</formula>
    </cfRule>
  </conditionalFormatting>
  <conditionalFormatting sqref="AA38">
    <cfRule type="expression" dxfId="0" priority="2645">
      <formula>AND(Z38=FALSE,AA38&gt;0)</formula>
    </cfRule>
  </conditionalFormatting>
  <conditionalFormatting sqref="BV38:HY38">
    <cfRule type="containsErrors" dxfId="0" priority="2644">
      <formula>ISERROR(BV38)</formula>
    </cfRule>
  </conditionalFormatting>
  <conditionalFormatting sqref="Z38">
    <cfRule type="expression" dxfId="0" priority="2642">
      <formula>NOT(ISLOGICAL($Z$2))</formula>
    </cfRule>
  </conditionalFormatting>
  <conditionalFormatting sqref="AB38">
    <cfRule type="expression" dxfId="0" priority="2641">
      <formula>NOT(ISLOGICAL($AB$2))</formula>
    </cfRule>
  </conditionalFormatting>
  <conditionalFormatting sqref="AC38">
    <cfRule type="expression" dxfId="0" priority="2640">
      <formula>NOT(ISLOGICAL($AC$2))</formula>
    </cfRule>
  </conditionalFormatting>
  <conditionalFormatting sqref="B38:BU38">
    <cfRule type="containsErrors" dxfId="0" priority="2639">
      <formula>ISERROR(B38)</formula>
    </cfRule>
  </conditionalFormatting>
  <conditionalFormatting sqref="I38">
    <cfRule type="expression" dxfId="0" priority="2638">
      <formula>NOT(ISNUMBER($I$2))</formula>
    </cfRule>
  </conditionalFormatting>
  <conditionalFormatting sqref="D38">
    <cfRule type="expression" dxfId="0" priority="2637">
      <formula>ISBLANK($D$2)</formula>
    </cfRule>
  </conditionalFormatting>
  <conditionalFormatting sqref="DW38">
    <cfRule type="expression" dxfId="2" priority="2649">
      <formula>AND(BO38&gt;=1,DW38&lt;&gt;0, GetEquPower(C38,BI38, CA38, FN38)=0)</formula>
    </cfRule>
    <cfRule type="expression" dxfId="1" priority="2650">
      <formula>AND(BO38&gt;=1,DW38&lt;&gt;GetEquPower(C38,BI38, CA38, FN38))</formula>
    </cfRule>
  </conditionalFormatting>
  <conditionalFormatting sqref="DX38">
    <cfRule type="expression" dxfId="2" priority="2651">
      <formula>AND(BO38&gt;=2,DX38&lt;&gt;0, GetEquPower(C38,BI38, CB38, FN38)=0)</formula>
    </cfRule>
    <cfRule type="expression" dxfId="1" priority="2652">
      <formula>AND(BO38&gt;=2,DX38&lt;&gt;GetEquPower(C38,BI38, CB38, FN38))</formula>
    </cfRule>
  </conditionalFormatting>
  <conditionalFormatting sqref="DY38">
    <cfRule type="expression" dxfId="2" priority="2653">
      <formula>AND(BO38&gt;=3,DY38&lt;&gt;0, GetEquPower(C38,BI38, CC38, FN38)=0)</formula>
    </cfRule>
    <cfRule type="expression" dxfId="1" priority="2654">
      <formula>AND(BO38&gt;=3,DY38&lt;&gt;GetEquPower(C38,BI38, CC38, FN38))</formula>
    </cfRule>
  </conditionalFormatting>
  <conditionalFormatting sqref="ED38">
    <cfRule type="expression" dxfId="2" priority="2655">
      <formula>AND(BP38&gt;=1,ED38&lt;&gt;0, GetEquPower(C38,BJ38, CG38, FO38)=0)</formula>
    </cfRule>
    <cfRule type="expression" dxfId="1" priority="2656">
      <formula>AND(BP38&gt;=1,ED38&lt;&gt;GetEquPower(C38,BJ38, CG38, FO38))</formula>
    </cfRule>
  </conditionalFormatting>
  <conditionalFormatting sqref="EE38">
    <cfRule type="expression" dxfId="2" priority="2657">
      <formula>AND(BP38&gt;=2,EE38&lt;&gt;0, GetEquPower(C38,BJ38, CH38, FO38)=0)</formula>
    </cfRule>
    <cfRule type="expression" dxfId="1" priority="2658">
      <formula>AND(BP38&gt;=2,EE38&lt;&gt;GetEquPower(C38,BJ38, CH38, FO38))</formula>
    </cfRule>
  </conditionalFormatting>
  <conditionalFormatting sqref="EF38">
    <cfRule type="expression" dxfId="2" priority="2659">
      <formula>AND(BP38&gt;=3,EF38&lt;&gt;0, GetEquPower(C38,BJ38, CI38, FO38)=0)</formula>
    </cfRule>
    <cfRule type="expression" dxfId="1" priority="2660">
      <formula>AND(BP38&gt;=3,EF38&lt;&gt;GetEquPower(C38,BJ38, CI38, FO38))</formula>
    </cfRule>
  </conditionalFormatting>
  <conditionalFormatting sqref="EK38">
    <cfRule type="expression" dxfId="2" priority="2661">
      <formula>AND(BQ38&gt;=1,EK38&lt;&gt;0, GetEquPower(C38,BK38, CM38, FP38)=0)</formula>
    </cfRule>
    <cfRule type="expression" dxfId="1" priority="2662">
      <formula>AND(BQ38&gt;=1,EK38&lt;&gt;GetEquPower(C38,BK38, CM38, FP38))</formula>
    </cfRule>
  </conditionalFormatting>
  <conditionalFormatting sqref="EL38">
    <cfRule type="expression" dxfId="2" priority="2663">
      <formula>AND(BQ38&gt;=2,EL38&lt;&gt;0, GetEquPower(C38,BK38, CN38, FP38)=0)</formula>
    </cfRule>
    <cfRule type="expression" dxfId="1" priority="2664">
      <formula xml:space="preserve"> AND(BQ38&gt;=2,EL38&lt;&gt;GetEquPower(C38,BK38, CN38, FP38))</formula>
    </cfRule>
  </conditionalFormatting>
  <conditionalFormatting sqref="EM38">
    <cfRule type="expression" dxfId="2" priority="2665">
      <formula>AND(BQ38&gt;=3,EM38&lt;&gt;0, GetEquPower(C38,BK38, CO38, FP38)=0)</formula>
    </cfRule>
    <cfRule type="expression" dxfId="1" priority="2666">
      <formula xml:space="preserve"> AND(BQ38&gt;=3,EM38&lt;&gt;GetEquPower(C38,BK38, CO38, FP38))</formula>
    </cfRule>
  </conditionalFormatting>
  <conditionalFormatting sqref="ER38">
    <cfRule type="expression" dxfId="2" priority="2667">
      <formula>AND(BR38&gt;=1,ER38&lt;&gt;0, GetEquPower(C38,BL38, CS38, FQ38)=0)</formula>
    </cfRule>
    <cfRule type="expression" dxfId="1" priority="2668">
      <formula>AND(BR38&gt;=1,ER38&lt;&gt;GetEquPower(C38,BL38, CS38, FQ38))</formula>
    </cfRule>
  </conditionalFormatting>
  <conditionalFormatting sqref="ES38">
    <cfRule type="expression" dxfId="2" priority="2669">
      <formula>AND(BR38&gt;=2,ES38&lt;&gt;0, GetEquPower(C38,BL38, CT38, FQ38)=0)</formula>
    </cfRule>
    <cfRule type="expression" dxfId="1" priority="2670">
      <formula>AND(BR38&gt;=2,ES38&lt;&gt;GetEquPower(C38,BL38, CT38, FQ38))</formula>
    </cfRule>
  </conditionalFormatting>
  <conditionalFormatting sqref="ET38">
    <cfRule type="expression" dxfId="2" priority="2671">
      <formula>AND(BR38&gt;=3,ET38&lt;&gt;0, GetEquPower(C38,BL38, CU38, FQ38)=0)</formula>
    </cfRule>
    <cfRule type="expression" dxfId="1" priority="2672">
      <formula>AND(BR38&gt;=3,ET38&lt;&gt;GetEquPower(C38,BL38, CU38, FQ38))</formula>
    </cfRule>
  </conditionalFormatting>
  <conditionalFormatting sqref="EY38">
    <cfRule type="expression" dxfId="2" priority="2673">
      <formula>AND(BS38&gt;=1,EY38&lt;&gt;0, GetEquPower(C38,BM38, CY38, FR38)=0)</formula>
    </cfRule>
    <cfRule type="expression" dxfId="1" priority="2674">
      <formula>AND(BS38&gt;=1,EY38&lt;&gt;GetEquPower(C38,BM38, CY38, FR38))</formula>
    </cfRule>
  </conditionalFormatting>
  <conditionalFormatting sqref="EZ38">
    <cfRule type="expression" dxfId="2" priority="2675">
      <formula>AND(BS38&gt;=2,EZ38&lt;&gt;0, GetEquPower(C38,BM38, CZ38, FR38)=0)</formula>
    </cfRule>
    <cfRule type="expression" dxfId="1" priority="2676">
      <formula>AND(BS38&gt;=2,EZ38&lt;&gt;GetEquPower(C38,BM38, CZ38, FR38))</formula>
    </cfRule>
  </conditionalFormatting>
  <conditionalFormatting sqref="FA38">
    <cfRule type="expression" dxfId="2" priority="2677">
      <formula>AND(BS38&gt;=3,FA38&lt;&gt;0, GetEquPower(C38,BM38, DA38, FR38)=0)</formula>
    </cfRule>
    <cfRule type="expression" dxfId="1" priority="2678">
      <formula>AND(BS38&gt;=3,FA38&lt;&gt;GetEquPower(C38,BM38, DA38, FR38))</formula>
    </cfRule>
  </conditionalFormatting>
  <conditionalFormatting sqref="FF38">
    <cfRule type="expression" dxfId="2" priority="2679">
      <formula>AND(BT38&gt;=1,FF38&lt;&gt;0, GetEquPower(C38,BN38, DE38, FS38)=0)</formula>
    </cfRule>
    <cfRule type="expression" dxfId="1" priority="2680">
      <formula>AND(BT38&gt;=1,FF38&lt;&gt;GetEquPower(C38,BN38, DE38, FS38))</formula>
    </cfRule>
  </conditionalFormatting>
  <conditionalFormatting sqref="FG38">
    <cfRule type="expression" dxfId="2" priority="2681">
      <formula>AND(BT38&gt;=2,FG38&lt;&gt;0, GetEquPower(C38,BN38, DF38, FS38)=0)</formula>
    </cfRule>
    <cfRule type="expression" dxfId="1" priority="2682">
      <formula>AND(BT38&gt;=2,FG38&lt;&gt;GetEquPower(C38,BN38, DF38, FS38))</formula>
    </cfRule>
  </conditionalFormatting>
  <conditionalFormatting sqref="FH38">
    <cfRule type="expression" dxfId="2" priority="2683">
      <formula>AND(BT38&gt;=3,FH38&lt;&gt;0, GetEquPower(C38,BN38, DG38, FS38)=0)</formula>
    </cfRule>
    <cfRule type="expression" dxfId="1" priority="2684">
      <formula>AND(BT38&gt;=3,FH38&lt;&gt;GetEquPower(C38,BN38, DG38, FS38))</formula>
    </cfRule>
  </conditionalFormatting>
  <conditionalFormatting sqref="DZ38">
    <cfRule type="expression" dxfId="2" priority="2685">
      <formula>AND(BO38&gt;=4,DZ38&lt;&gt;0, GetEquPower(C38,BI38, CD38, FN38)=0)</formula>
    </cfRule>
    <cfRule type="expression" dxfId="1" priority="2686">
      <formula>AND(BO38&gt;=4, DZ38&lt;&gt;GetEquPower(C38,BI38, CD38, FN38))</formula>
    </cfRule>
  </conditionalFormatting>
  <conditionalFormatting sqref="EG38">
    <cfRule type="expression" dxfId="2" priority="2687">
      <formula>AND(BP38&gt;=4,EG38&lt;&gt;0, GetEquPower(C38,BJ38, CJ38, FO38)=0)</formula>
    </cfRule>
    <cfRule type="expression" dxfId="1" priority="2688">
      <formula>AND(BP38&gt;=4,EG38&lt;&gt;GetEquPower(C38,BJ38, CJ38, FO38))</formula>
    </cfRule>
  </conditionalFormatting>
  <conditionalFormatting sqref="EN38">
    <cfRule type="expression" dxfId="2" priority="2689">
      <formula>AND(BQ38&gt;=4,EN38&lt;&gt;0, GetEquPower(C38,BK38, CP38, FP38)=0)</formula>
    </cfRule>
    <cfRule type="expression" dxfId="1" priority="2690">
      <formula xml:space="preserve"> AND(BQ38&gt;=4,EN38&lt;&gt;GetEquPower(C38,BK38, CP38, FP38))</formula>
    </cfRule>
  </conditionalFormatting>
  <conditionalFormatting sqref="EU38">
    <cfRule type="expression" dxfId="2" priority="2691">
      <formula>AND(BR38&gt;=4,EU38&lt;&gt;0, GetEquPower(C38,BL38, CV38, FQ38)=0)</formula>
    </cfRule>
    <cfRule type="expression" dxfId="1" priority="2692">
      <formula>AND(BR38&gt;=4,EU38&lt;&gt;GetEquPower(C38,BL38, CV38, FQ38))</formula>
    </cfRule>
  </conditionalFormatting>
  <conditionalFormatting sqref="FB38">
    <cfRule type="expression" dxfId="2" priority="2693">
      <formula>AND(BS38&gt;=4,FB38&lt;&gt;0, GetEquPower(C38,BM38, DB38, FR38)=0)</formula>
    </cfRule>
    <cfRule type="expression" dxfId="1" priority="2694">
      <formula>AND(BS38&gt;=4,FB38&lt;&gt;GetEquPower(C38,BM38, DB38, FR38))</formula>
    </cfRule>
  </conditionalFormatting>
  <conditionalFormatting sqref="FI38">
    <cfRule type="expression" dxfId="2" priority="2695">
      <formula>AND(BT38&gt;=4,FI38&lt;&gt;0, GetEquPower(C38,BN38, DH38, FS38)=0)</formula>
    </cfRule>
    <cfRule type="expression" dxfId="1" priority="2696">
      <formula>AND(BT38&gt;=4,FI38&lt;&gt;GetEquPower(C38,BN38, DH38, FS38))</formula>
    </cfRule>
  </conditionalFormatting>
  <conditionalFormatting sqref="EA38">
    <cfRule type="expression" dxfId="2" priority="2697">
      <formula>AND(BO38&gt;=5,EA38&lt;&gt;0, GetEquPower(C38,BI38, CE38, FN38)=0)</formula>
    </cfRule>
    <cfRule type="expression" dxfId="1" priority="2698">
      <formula>AND(BO38&gt;=5, EA38&lt;&gt;GetEquPower(C38,BI38, CE38, FN38))</formula>
    </cfRule>
  </conditionalFormatting>
  <conditionalFormatting sqref="EB38">
    <cfRule type="expression" dxfId="2" priority="2699">
      <formula>AND(BO38&gt;=6,EB38&lt;&gt;0, GetEquPower(C38,BI38, CF38, FN38)=0)</formula>
    </cfRule>
    <cfRule type="expression" dxfId="1" priority="2700">
      <formula>AND(BO38&gt;=6, EB38&lt;&gt;GetEquPower(C38,BI38, CF38, FN38))</formula>
    </cfRule>
  </conditionalFormatting>
  <conditionalFormatting sqref="EH38">
    <cfRule type="expression" dxfId="2" priority="2701">
      <formula>AND(BP38&gt;=5,EH38&lt;&gt;0, GetEquPower(C38,BJ38, CK38, FO38)=0)</formula>
    </cfRule>
    <cfRule type="expression" dxfId="1" priority="2702">
      <formula>AND(BP38&gt;=5,EH38&lt;&gt;GetEquPower(C38,BJ38, CK38, FO38))</formula>
    </cfRule>
  </conditionalFormatting>
  <conditionalFormatting sqref="EI38">
    <cfRule type="expression" dxfId="2" priority="2703">
      <formula>AND(BP38&gt;=6,EI38&lt;&gt;0, GetEquPower(C38,BJ38, CL38, FO38)=0)</formula>
    </cfRule>
    <cfRule type="expression" dxfId="1" priority="2704">
      <formula>AND(BP38&gt;=6,EI38&lt;&gt;GetEquPower(C38,BJ38, CL38, FO38))</formula>
    </cfRule>
  </conditionalFormatting>
  <conditionalFormatting sqref="EO38">
    <cfRule type="expression" dxfId="2" priority="2705">
      <formula>AND(BQ38&gt;=5,EO38&lt;&gt;0, GetEquPower(C38,BK38, CQ38, FP38)=0)</formula>
    </cfRule>
    <cfRule type="expression" dxfId="1" priority="2706">
      <formula xml:space="preserve"> AND(BQ38&gt;=5,EO38&lt;&gt;GetEquPower(C38,BK38, CQ38, FP38))</formula>
    </cfRule>
  </conditionalFormatting>
  <conditionalFormatting sqref="EP38">
    <cfRule type="expression" dxfId="2" priority="2707">
      <formula>AND(BQ38&gt;=6,EP38&lt;&gt;0, GetEquPower(C38,BK38, CR38, FP38)=0)</formula>
    </cfRule>
    <cfRule type="expression" dxfId="1" priority="2708">
      <formula xml:space="preserve"> AND(BQ38&gt;=6,EP38&lt;&gt;GetEquPower(C38,BK38, CR38, FP38))</formula>
    </cfRule>
  </conditionalFormatting>
  <conditionalFormatting sqref="EV38">
    <cfRule type="expression" dxfId="2" priority="2709">
      <formula>AND(BR38&gt;=5,EV38&lt;&gt;0, GetEquPower(C38,BL38, CW38, FQ38)=0)</formula>
    </cfRule>
    <cfRule type="expression" dxfId="1" priority="2710">
      <formula>AND(BR38&gt;=5,EV38&lt;&gt;GetEquPower(C38,BL38, CW38, FQ38))</formula>
    </cfRule>
  </conditionalFormatting>
  <conditionalFormatting sqref="EW38">
    <cfRule type="expression" dxfId="2" priority="2711">
      <formula>AND(BR38&gt;=6,EW38&lt;&gt;0, GetEquPower(C38,BL38, CX38, FQ38)=0)</formula>
    </cfRule>
    <cfRule type="expression" dxfId="1" priority="2712">
      <formula>AND(BR38&gt;=6,EW38&lt;&gt;GetEquPower(C38,BL38, CX38, FQ38))</formula>
    </cfRule>
  </conditionalFormatting>
  <conditionalFormatting sqref="FC38">
    <cfRule type="expression" dxfId="2" priority="2713">
      <formula>AND(BS38&gt;=5,FC38&lt;&gt;0, GetEquPower(C38,BM38, DC38, FR38)=0)</formula>
    </cfRule>
    <cfRule type="expression" dxfId="1" priority="2714">
      <formula>AND(BS38&gt;=5,FC38&lt;&gt;GetEquPower(C38,BM38, DC38, FR38))</formula>
    </cfRule>
  </conditionalFormatting>
  <conditionalFormatting sqref="FD38">
    <cfRule type="expression" dxfId="2" priority="2715">
      <formula>AND(BS38&gt;=6,FD38&lt;&gt;0, GetEquPower(C38,BM38, DD38, FR38)=0)</formula>
    </cfRule>
    <cfRule type="expression" dxfId="1" priority="2716">
      <formula>AND(BS38&gt;=6,FD38&lt;&gt;GetEquPower(C38,BM38, DD38, FR38))</formula>
    </cfRule>
  </conditionalFormatting>
  <conditionalFormatting sqref="FJ38">
    <cfRule type="expression" dxfId="2" priority="2717">
      <formula>AND(BT38&gt;=5,FJ38&lt;&gt;0, GetEquPower(C38,BN38, DI38, FS38)=0)</formula>
    </cfRule>
    <cfRule type="expression" dxfId="1" priority="2718">
      <formula>AND(BT38&gt;=5,FJ38&lt;&gt;GetEquPower(C38,BN38, DI38, FS38))</formula>
    </cfRule>
  </conditionalFormatting>
  <conditionalFormatting sqref="FK38">
    <cfRule type="expression" dxfId="2" priority="2719">
      <formula>AND(BT38&gt;=6,FK38&lt;&gt;0, GetEquPower(C38,BN38, DJ38, FS38)=0)</formula>
    </cfRule>
    <cfRule type="expression" dxfId="1" priority="2720">
      <formula>AND(BT38&gt;=6,FK38&lt;&gt;GetEquPower(C38,BN38, DJ38, FS38))</formula>
    </cfRule>
  </conditionalFormatting>
  <conditionalFormatting sqref="W38">
    <cfRule type="expression" dxfId="0" priority="2636">
      <formula xml:space="preserve"> NOT(ISLOGICAL($W$2))</formula>
    </cfRule>
  </conditionalFormatting>
  <conditionalFormatting sqref="F39">
    <cfRule type="expression" dxfId="0" priority="2563">
      <formula>F39&lt;&gt;RIGHT(SUBSTITUTE(E39,".",""),LEN(F39))</formula>
    </cfRule>
  </conditionalFormatting>
  <conditionalFormatting sqref="X39">
    <cfRule type="expression" dxfId="0" priority="2558">
      <formula xml:space="preserve"> NOT(ISLOGICAL($X$2))</formula>
    </cfRule>
    <cfRule type="expression" dxfId="0" priority="2562">
      <formula>AND(X39=TRUE,W39=FALSE)</formula>
    </cfRule>
  </conditionalFormatting>
  <conditionalFormatting sqref="Y39">
    <cfRule type="expression" dxfId="0" priority="2561">
      <formula>OR(AND(X39=FALSE,INT(Y39)&gt;0),AND(X39=TRUE,INT(Y39)&lt;=0))</formula>
    </cfRule>
  </conditionalFormatting>
  <conditionalFormatting sqref="AA39">
    <cfRule type="expression" dxfId="0" priority="2560">
      <formula>AND(Z39=FALSE,AA39&gt;0)</formula>
    </cfRule>
  </conditionalFormatting>
  <conditionalFormatting sqref="BV39:HY39">
    <cfRule type="containsErrors" dxfId="0" priority="2559">
      <formula>ISERROR(BV39)</formula>
    </cfRule>
  </conditionalFormatting>
  <conditionalFormatting sqref="Z39">
    <cfRule type="expression" dxfId="0" priority="2557">
      <formula>NOT(ISLOGICAL($Z$2))</formula>
    </cfRule>
  </conditionalFormatting>
  <conditionalFormatting sqref="AB39">
    <cfRule type="expression" dxfId="0" priority="2556">
      <formula>NOT(ISLOGICAL($AB$2))</formula>
    </cfRule>
  </conditionalFormatting>
  <conditionalFormatting sqref="AC39">
    <cfRule type="expression" dxfId="0" priority="2555">
      <formula>NOT(ISLOGICAL($AC$2))</formula>
    </cfRule>
  </conditionalFormatting>
  <conditionalFormatting sqref="B39:BU39">
    <cfRule type="containsErrors" dxfId="0" priority="2554">
      <formula>ISERROR(B39)</formula>
    </cfRule>
  </conditionalFormatting>
  <conditionalFormatting sqref="I39">
    <cfRule type="expression" dxfId="0" priority="2553">
      <formula>NOT(ISNUMBER($I$2))</formula>
    </cfRule>
  </conditionalFormatting>
  <conditionalFormatting sqref="D39">
    <cfRule type="expression" dxfId="0" priority="2552">
      <formula>ISBLANK($D$2)</formula>
    </cfRule>
  </conditionalFormatting>
  <conditionalFormatting sqref="DW39">
    <cfRule type="expression" dxfId="2" priority="2564">
      <formula>AND(BO39&gt;=1,DW39&lt;&gt;0, GetEquPower(C39,BI39, CA39, FN39)=0)</formula>
    </cfRule>
    <cfRule type="expression" dxfId="1" priority="2565">
      <formula>AND(BO39&gt;=1,DW39&lt;&gt;GetEquPower(C39,BI39, CA39, FN39))</formula>
    </cfRule>
  </conditionalFormatting>
  <conditionalFormatting sqref="DX39">
    <cfRule type="expression" dxfId="2" priority="2566">
      <formula>AND(BO39&gt;=2,DX39&lt;&gt;0, GetEquPower(C39,BI39, CB39, FN39)=0)</formula>
    </cfRule>
    <cfRule type="expression" dxfId="1" priority="2567">
      <formula>AND(BO39&gt;=2,DX39&lt;&gt;GetEquPower(C39,BI39, CB39, FN39))</formula>
    </cfRule>
  </conditionalFormatting>
  <conditionalFormatting sqref="DY39">
    <cfRule type="expression" dxfId="2" priority="2568">
      <formula>AND(BO39&gt;=3,DY39&lt;&gt;0, GetEquPower(C39,BI39, CC39, FN39)=0)</formula>
    </cfRule>
    <cfRule type="expression" dxfId="1" priority="2569">
      <formula>AND(BO39&gt;=3,DY39&lt;&gt;GetEquPower(C39,BI39, CC39, FN39))</formula>
    </cfRule>
  </conditionalFormatting>
  <conditionalFormatting sqref="ED39">
    <cfRule type="expression" dxfId="2" priority="2570">
      <formula>AND(BP39&gt;=1,ED39&lt;&gt;0, GetEquPower(C39,BJ39, CG39, FO39)=0)</formula>
    </cfRule>
    <cfRule type="expression" dxfId="1" priority="2571">
      <formula>AND(BP39&gt;=1,ED39&lt;&gt;GetEquPower(C39,BJ39, CG39, FO39))</formula>
    </cfRule>
  </conditionalFormatting>
  <conditionalFormatting sqref="EE39">
    <cfRule type="expression" dxfId="2" priority="2572">
      <formula>AND(BP39&gt;=2,EE39&lt;&gt;0, GetEquPower(C39,BJ39, CH39, FO39)=0)</formula>
    </cfRule>
    <cfRule type="expression" dxfId="1" priority="2573">
      <formula>AND(BP39&gt;=2,EE39&lt;&gt;GetEquPower(C39,BJ39, CH39, FO39))</formula>
    </cfRule>
  </conditionalFormatting>
  <conditionalFormatting sqref="EF39">
    <cfRule type="expression" dxfId="2" priority="2574">
      <formula>AND(BP39&gt;=3,EF39&lt;&gt;0, GetEquPower(C39,BJ39, CI39, FO39)=0)</formula>
    </cfRule>
    <cfRule type="expression" dxfId="1" priority="2575">
      <formula>AND(BP39&gt;=3,EF39&lt;&gt;GetEquPower(C39,BJ39, CI39, FO39))</formula>
    </cfRule>
  </conditionalFormatting>
  <conditionalFormatting sqref="EK39">
    <cfRule type="expression" dxfId="2" priority="2576">
      <formula>AND(BQ39&gt;=1,EK39&lt;&gt;0, GetEquPower(C39,BK39, CM39, FP39)=0)</formula>
    </cfRule>
    <cfRule type="expression" dxfId="1" priority="2577">
      <formula>AND(BQ39&gt;=1,EK39&lt;&gt;GetEquPower(C39,BK39, CM39, FP39))</formula>
    </cfRule>
  </conditionalFormatting>
  <conditionalFormatting sqref="EL39">
    <cfRule type="expression" dxfId="2" priority="2578">
      <formula>AND(BQ39&gt;=2,EL39&lt;&gt;0, GetEquPower(C39,BK39, CN39, FP39)=0)</formula>
    </cfRule>
    <cfRule type="expression" dxfId="1" priority="2579">
      <formula xml:space="preserve"> AND(BQ39&gt;=2,EL39&lt;&gt;GetEquPower(C39,BK39, CN39, FP39))</formula>
    </cfRule>
  </conditionalFormatting>
  <conditionalFormatting sqref="EM39">
    <cfRule type="expression" dxfId="2" priority="2580">
      <formula>AND(BQ39&gt;=3,EM39&lt;&gt;0, GetEquPower(C39,BK39, CO39, FP39)=0)</formula>
    </cfRule>
    <cfRule type="expression" dxfId="1" priority="2581">
      <formula xml:space="preserve"> AND(BQ39&gt;=3,EM39&lt;&gt;GetEquPower(C39,BK39, CO39, FP39))</formula>
    </cfRule>
  </conditionalFormatting>
  <conditionalFormatting sqref="ER39">
    <cfRule type="expression" dxfId="2" priority="2582">
      <formula>AND(BR39&gt;=1,ER39&lt;&gt;0, GetEquPower(C39,BL39, CS39, FQ39)=0)</formula>
    </cfRule>
    <cfRule type="expression" dxfId="1" priority="2583">
      <formula>AND(BR39&gt;=1,ER39&lt;&gt;GetEquPower(C39,BL39, CS39, FQ39))</formula>
    </cfRule>
  </conditionalFormatting>
  <conditionalFormatting sqref="ES39">
    <cfRule type="expression" dxfId="2" priority="2584">
      <formula>AND(BR39&gt;=2,ES39&lt;&gt;0, GetEquPower(C39,BL39, CT39, FQ39)=0)</formula>
    </cfRule>
    <cfRule type="expression" dxfId="1" priority="2585">
      <formula>AND(BR39&gt;=2,ES39&lt;&gt;GetEquPower(C39,BL39, CT39, FQ39))</formula>
    </cfRule>
  </conditionalFormatting>
  <conditionalFormatting sqref="ET39">
    <cfRule type="expression" dxfId="2" priority="2586">
      <formula>AND(BR39&gt;=3,ET39&lt;&gt;0, GetEquPower(C39,BL39, CU39, FQ39)=0)</formula>
    </cfRule>
    <cfRule type="expression" dxfId="1" priority="2587">
      <formula>AND(BR39&gt;=3,ET39&lt;&gt;GetEquPower(C39,BL39, CU39, FQ39))</formula>
    </cfRule>
  </conditionalFormatting>
  <conditionalFormatting sqref="EY39">
    <cfRule type="expression" dxfId="2" priority="2588">
      <formula>AND(BS39&gt;=1,EY39&lt;&gt;0, GetEquPower(C39,BM39, CY39, FR39)=0)</formula>
    </cfRule>
    <cfRule type="expression" dxfId="1" priority="2589">
      <formula>AND(BS39&gt;=1,EY39&lt;&gt;GetEquPower(C39,BM39, CY39, FR39))</formula>
    </cfRule>
  </conditionalFormatting>
  <conditionalFormatting sqref="EZ39">
    <cfRule type="expression" dxfId="2" priority="2590">
      <formula>AND(BS39&gt;=2,EZ39&lt;&gt;0, GetEquPower(C39,BM39, CZ39, FR39)=0)</formula>
    </cfRule>
    <cfRule type="expression" dxfId="1" priority="2591">
      <formula>AND(BS39&gt;=2,EZ39&lt;&gt;GetEquPower(C39,BM39, CZ39, FR39))</formula>
    </cfRule>
  </conditionalFormatting>
  <conditionalFormatting sqref="FA39">
    <cfRule type="expression" dxfId="2" priority="2592">
      <formula>AND(BS39&gt;=3,FA39&lt;&gt;0, GetEquPower(C39,BM39, DA39, FR39)=0)</formula>
    </cfRule>
    <cfRule type="expression" dxfId="1" priority="2593">
      <formula>AND(BS39&gt;=3,FA39&lt;&gt;GetEquPower(C39,BM39, DA39, FR39))</formula>
    </cfRule>
  </conditionalFormatting>
  <conditionalFormatting sqref="FF39">
    <cfRule type="expression" dxfId="2" priority="2594">
      <formula>AND(BT39&gt;=1,FF39&lt;&gt;0, GetEquPower(C39,BN39, DE39, FS39)=0)</formula>
    </cfRule>
    <cfRule type="expression" dxfId="1" priority="2595">
      <formula>AND(BT39&gt;=1,FF39&lt;&gt;GetEquPower(C39,BN39, DE39, FS39))</formula>
    </cfRule>
  </conditionalFormatting>
  <conditionalFormatting sqref="FG39">
    <cfRule type="expression" dxfId="2" priority="2596">
      <formula>AND(BT39&gt;=2,FG39&lt;&gt;0, GetEquPower(C39,BN39, DF39, FS39)=0)</formula>
    </cfRule>
    <cfRule type="expression" dxfId="1" priority="2597">
      <formula>AND(BT39&gt;=2,FG39&lt;&gt;GetEquPower(C39,BN39, DF39, FS39))</formula>
    </cfRule>
  </conditionalFormatting>
  <conditionalFormatting sqref="FH39">
    <cfRule type="expression" dxfId="2" priority="2598">
      <formula>AND(BT39&gt;=3,FH39&lt;&gt;0, GetEquPower(C39,BN39, DG39, FS39)=0)</formula>
    </cfRule>
    <cfRule type="expression" dxfId="1" priority="2599">
      <formula>AND(BT39&gt;=3,FH39&lt;&gt;GetEquPower(C39,BN39, DG39, FS39))</formula>
    </cfRule>
  </conditionalFormatting>
  <conditionalFormatting sqref="DZ39">
    <cfRule type="expression" dxfId="2" priority="2600">
      <formula>AND(BO39&gt;=4,DZ39&lt;&gt;0, GetEquPower(C39,BI39, CD39, FN39)=0)</formula>
    </cfRule>
    <cfRule type="expression" dxfId="1" priority="2601">
      <formula>AND(BO39&gt;=4, DZ39&lt;&gt;GetEquPower(C39,BI39, CD39, FN39))</formula>
    </cfRule>
  </conditionalFormatting>
  <conditionalFormatting sqref="EG39">
    <cfRule type="expression" dxfId="2" priority="2602">
      <formula>AND(BP39&gt;=4,EG39&lt;&gt;0, GetEquPower(C39,BJ39, CJ39, FO39)=0)</formula>
    </cfRule>
    <cfRule type="expression" dxfId="1" priority="2603">
      <formula>AND(BP39&gt;=4,EG39&lt;&gt;GetEquPower(C39,BJ39, CJ39, FO39))</formula>
    </cfRule>
  </conditionalFormatting>
  <conditionalFormatting sqref="EN39">
    <cfRule type="expression" dxfId="2" priority="2604">
      <formula>AND(BQ39&gt;=4,EN39&lt;&gt;0, GetEquPower(C39,BK39, CP39, FP39)=0)</formula>
    </cfRule>
    <cfRule type="expression" dxfId="1" priority="2605">
      <formula xml:space="preserve"> AND(BQ39&gt;=4,EN39&lt;&gt;GetEquPower(C39,BK39, CP39, FP39))</formula>
    </cfRule>
  </conditionalFormatting>
  <conditionalFormatting sqref="EU39">
    <cfRule type="expression" dxfId="2" priority="2606">
      <formula>AND(BR39&gt;=4,EU39&lt;&gt;0, GetEquPower(C39,BL39, CV39, FQ39)=0)</formula>
    </cfRule>
    <cfRule type="expression" dxfId="1" priority="2607">
      <formula>AND(BR39&gt;=4,EU39&lt;&gt;GetEquPower(C39,BL39, CV39, FQ39))</formula>
    </cfRule>
  </conditionalFormatting>
  <conditionalFormatting sqref="FB39">
    <cfRule type="expression" dxfId="2" priority="2608">
      <formula>AND(BS39&gt;=4,FB39&lt;&gt;0, GetEquPower(C39,BM39, DB39, FR39)=0)</formula>
    </cfRule>
    <cfRule type="expression" dxfId="1" priority="2609">
      <formula>AND(BS39&gt;=4,FB39&lt;&gt;GetEquPower(C39,BM39, DB39, FR39))</formula>
    </cfRule>
  </conditionalFormatting>
  <conditionalFormatting sqref="FI39">
    <cfRule type="expression" dxfId="2" priority="2610">
      <formula>AND(BT39&gt;=4,FI39&lt;&gt;0, GetEquPower(C39,BN39, DH39, FS39)=0)</formula>
    </cfRule>
    <cfRule type="expression" dxfId="1" priority="2611">
      <formula>AND(BT39&gt;=4,FI39&lt;&gt;GetEquPower(C39,BN39, DH39, FS39))</formula>
    </cfRule>
  </conditionalFormatting>
  <conditionalFormatting sqref="EA39">
    <cfRule type="expression" dxfId="2" priority="2612">
      <formula>AND(BO39&gt;=5,EA39&lt;&gt;0, GetEquPower(C39,BI39, CE39, FN39)=0)</formula>
    </cfRule>
    <cfRule type="expression" dxfId="1" priority="2613">
      <formula>AND(BO39&gt;=5, EA39&lt;&gt;GetEquPower(C39,BI39, CE39, FN39))</formula>
    </cfRule>
  </conditionalFormatting>
  <conditionalFormatting sqref="EB39">
    <cfRule type="expression" dxfId="2" priority="2614">
      <formula>AND(BO39&gt;=6,EB39&lt;&gt;0, GetEquPower(C39,BI39, CF39, FN39)=0)</formula>
    </cfRule>
    <cfRule type="expression" dxfId="1" priority="2615">
      <formula>AND(BO39&gt;=6, EB39&lt;&gt;GetEquPower(C39,BI39, CF39, FN39))</formula>
    </cfRule>
  </conditionalFormatting>
  <conditionalFormatting sqref="EH39">
    <cfRule type="expression" dxfId="2" priority="2616">
      <formula>AND(BP39&gt;=5,EH39&lt;&gt;0, GetEquPower(C39,BJ39, CK39, FO39)=0)</formula>
    </cfRule>
    <cfRule type="expression" dxfId="1" priority="2617">
      <formula>AND(BP39&gt;=5,EH39&lt;&gt;GetEquPower(C39,BJ39, CK39, FO39))</formula>
    </cfRule>
  </conditionalFormatting>
  <conditionalFormatting sqref="EI39">
    <cfRule type="expression" dxfId="2" priority="2618">
      <formula>AND(BP39&gt;=6,EI39&lt;&gt;0, GetEquPower(C39,BJ39, CL39, FO39)=0)</formula>
    </cfRule>
    <cfRule type="expression" dxfId="1" priority="2619">
      <formula>AND(BP39&gt;=6,EI39&lt;&gt;GetEquPower(C39,BJ39, CL39, FO39))</formula>
    </cfRule>
  </conditionalFormatting>
  <conditionalFormatting sqref="EO39">
    <cfRule type="expression" dxfId="2" priority="2620">
      <formula>AND(BQ39&gt;=5,EO39&lt;&gt;0, GetEquPower(C39,BK39, CQ39, FP39)=0)</formula>
    </cfRule>
    <cfRule type="expression" dxfId="1" priority="2621">
      <formula xml:space="preserve"> AND(BQ39&gt;=5,EO39&lt;&gt;GetEquPower(C39,BK39, CQ39, FP39))</formula>
    </cfRule>
  </conditionalFormatting>
  <conditionalFormatting sqref="EP39">
    <cfRule type="expression" dxfId="2" priority="2622">
      <formula>AND(BQ39&gt;=6,EP39&lt;&gt;0, GetEquPower(C39,BK39, CR39, FP39)=0)</formula>
    </cfRule>
    <cfRule type="expression" dxfId="1" priority="2623">
      <formula xml:space="preserve"> AND(BQ39&gt;=6,EP39&lt;&gt;GetEquPower(C39,BK39, CR39, FP39))</formula>
    </cfRule>
  </conditionalFormatting>
  <conditionalFormatting sqref="EV39">
    <cfRule type="expression" dxfId="2" priority="2624">
      <formula>AND(BR39&gt;=5,EV39&lt;&gt;0, GetEquPower(C39,BL39, CW39, FQ39)=0)</formula>
    </cfRule>
    <cfRule type="expression" dxfId="1" priority="2625">
      <formula>AND(BR39&gt;=5,EV39&lt;&gt;GetEquPower(C39,BL39, CW39, FQ39))</formula>
    </cfRule>
  </conditionalFormatting>
  <conditionalFormatting sqref="EW39">
    <cfRule type="expression" dxfId="2" priority="2626">
      <formula>AND(BR39&gt;=6,EW39&lt;&gt;0, GetEquPower(C39,BL39, CX39, FQ39)=0)</formula>
    </cfRule>
    <cfRule type="expression" dxfId="1" priority="2627">
      <formula>AND(BR39&gt;=6,EW39&lt;&gt;GetEquPower(C39,BL39, CX39, FQ39))</formula>
    </cfRule>
  </conditionalFormatting>
  <conditionalFormatting sqref="FC39">
    <cfRule type="expression" dxfId="2" priority="2628">
      <formula>AND(BS39&gt;=5,FC39&lt;&gt;0, GetEquPower(C39,BM39, DC39, FR39)=0)</formula>
    </cfRule>
    <cfRule type="expression" dxfId="1" priority="2629">
      <formula>AND(BS39&gt;=5,FC39&lt;&gt;GetEquPower(C39,BM39, DC39, FR39))</formula>
    </cfRule>
  </conditionalFormatting>
  <conditionalFormatting sqref="FD39">
    <cfRule type="expression" dxfId="2" priority="2630">
      <formula>AND(BS39&gt;=6,FD39&lt;&gt;0, GetEquPower(C39,BM39, DD39, FR39)=0)</formula>
    </cfRule>
    <cfRule type="expression" dxfId="1" priority="2631">
      <formula>AND(BS39&gt;=6,FD39&lt;&gt;GetEquPower(C39,BM39, DD39, FR39))</formula>
    </cfRule>
  </conditionalFormatting>
  <conditionalFormatting sqref="FJ39">
    <cfRule type="expression" dxfId="2" priority="2632">
      <formula>AND(BT39&gt;=5,FJ39&lt;&gt;0, GetEquPower(C39,BN39, DI39, FS39)=0)</formula>
    </cfRule>
    <cfRule type="expression" dxfId="1" priority="2633">
      <formula>AND(BT39&gt;=5,FJ39&lt;&gt;GetEquPower(C39,BN39, DI39, FS39))</formula>
    </cfRule>
  </conditionalFormatting>
  <conditionalFormatting sqref="FK39">
    <cfRule type="expression" dxfId="2" priority="2634">
      <formula>AND(BT39&gt;=6,FK39&lt;&gt;0, GetEquPower(C39,BN39, DJ39, FS39)=0)</formula>
    </cfRule>
    <cfRule type="expression" dxfId="1" priority="2635">
      <formula>AND(BT39&gt;=6,FK39&lt;&gt;GetEquPower(C39,BN39, DJ39, FS39))</formula>
    </cfRule>
  </conditionalFormatting>
  <conditionalFormatting sqref="W39">
    <cfRule type="expression" dxfId="0" priority="2551">
      <formula xml:space="preserve"> NOT(ISLOGICAL($W$2))</formula>
    </cfRule>
  </conditionalFormatting>
  <conditionalFormatting sqref="F40">
    <cfRule type="expression" dxfId="0" priority="2478">
      <formula>F40&lt;&gt;RIGHT(SUBSTITUTE(E40,".",""),LEN(F40))</formula>
    </cfRule>
  </conditionalFormatting>
  <conditionalFormatting sqref="X40">
    <cfRule type="expression" dxfId="0" priority="2473">
      <formula xml:space="preserve"> NOT(ISLOGICAL($X$2))</formula>
    </cfRule>
    <cfRule type="expression" dxfId="0" priority="2477">
      <formula>AND(X40=TRUE,W40=FALSE)</formula>
    </cfRule>
  </conditionalFormatting>
  <conditionalFormatting sqref="Y40">
    <cfRule type="expression" dxfId="0" priority="2476">
      <formula>OR(AND(X40=FALSE,INT(Y40)&gt;0),AND(X40=TRUE,INT(Y40)&lt;=0))</formula>
    </cfRule>
  </conditionalFormatting>
  <conditionalFormatting sqref="AA40">
    <cfRule type="expression" dxfId="0" priority="2475">
      <formula>AND(Z40=FALSE,AA40&gt;0)</formula>
    </cfRule>
  </conditionalFormatting>
  <conditionalFormatting sqref="BV40:HY40">
    <cfRule type="containsErrors" dxfId="0" priority="2474">
      <formula>ISERROR(BV40)</formula>
    </cfRule>
  </conditionalFormatting>
  <conditionalFormatting sqref="Z40">
    <cfRule type="expression" dxfId="0" priority="2472">
      <formula>NOT(ISLOGICAL($Z$2))</formula>
    </cfRule>
  </conditionalFormatting>
  <conditionalFormatting sqref="AB40">
    <cfRule type="expression" dxfId="0" priority="2471">
      <formula>NOT(ISLOGICAL($AB$2))</formula>
    </cfRule>
  </conditionalFormatting>
  <conditionalFormatting sqref="AC40">
    <cfRule type="expression" dxfId="0" priority="2470">
      <formula>NOT(ISLOGICAL($AC$2))</formula>
    </cfRule>
  </conditionalFormatting>
  <conditionalFormatting sqref="B40:BU40">
    <cfRule type="containsErrors" dxfId="0" priority="2469">
      <formula>ISERROR(B40)</formula>
    </cfRule>
  </conditionalFormatting>
  <conditionalFormatting sqref="I40">
    <cfRule type="expression" dxfId="0" priority="2468">
      <formula>NOT(ISNUMBER($I$2))</formula>
    </cfRule>
  </conditionalFormatting>
  <conditionalFormatting sqref="D40">
    <cfRule type="expression" dxfId="0" priority="2467">
      <formula>ISBLANK($D$2)</formula>
    </cfRule>
  </conditionalFormatting>
  <conditionalFormatting sqref="DW40">
    <cfRule type="expression" dxfId="2" priority="2479">
      <formula>AND(BO40&gt;=1,DW40&lt;&gt;0, GetEquPower(C40,BI40, CA40, FN40)=0)</formula>
    </cfRule>
    <cfRule type="expression" dxfId="1" priority="2480">
      <formula>AND(BO40&gt;=1,DW40&lt;&gt;GetEquPower(C40,BI40, CA40, FN40))</formula>
    </cfRule>
  </conditionalFormatting>
  <conditionalFormatting sqref="DX40">
    <cfRule type="expression" dxfId="2" priority="2481">
      <formula>AND(BO40&gt;=2,DX40&lt;&gt;0, GetEquPower(C40,BI40, CB40, FN40)=0)</formula>
    </cfRule>
    <cfRule type="expression" dxfId="1" priority="2482">
      <formula>AND(BO40&gt;=2,DX40&lt;&gt;GetEquPower(C40,BI40, CB40, FN40))</formula>
    </cfRule>
  </conditionalFormatting>
  <conditionalFormatting sqref="DY40">
    <cfRule type="expression" dxfId="2" priority="2483">
      <formula>AND(BO40&gt;=3,DY40&lt;&gt;0, GetEquPower(C40,BI40, CC40, FN40)=0)</formula>
    </cfRule>
    <cfRule type="expression" dxfId="1" priority="2484">
      <formula>AND(BO40&gt;=3,DY40&lt;&gt;GetEquPower(C40,BI40, CC40, FN40))</formula>
    </cfRule>
  </conditionalFormatting>
  <conditionalFormatting sqref="ED40">
    <cfRule type="expression" dxfId="2" priority="2485">
      <formula>AND(BP40&gt;=1,ED40&lt;&gt;0, GetEquPower(C40,BJ40, CG40, FO40)=0)</formula>
    </cfRule>
    <cfRule type="expression" dxfId="1" priority="2486">
      <formula>AND(BP40&gt;=1,ED40&lt;&gt;GetEquPower(C40,BJ40, CG40, FO40))</formula>
    </cfRule>
  </conditionalFormatting>
  <conditionalFormatting sqref="EE40">
    <cfRule type="expression" dxfId="2" priority="2487">
      <formula>AND(BP40&gt;=2,EE40&lt;&gt;0, GetEquPower(C40,BJ40, CH40, FO40)=0)</formula>
    </cfRule>
    <cfRule type="expression" dxfId="1" priority="2488">
      <formula>AND(BP40&gt;=2,EE40&lt;&gt;GetEquPower(C40,BJ40, CH40, FO40))</formula>
    </cfRule>
  </conditionalFormatting>
  <conditionalFormatting sqref="EF40">
    <cfRule type="expression" dxfId="2" priority="2489">
      <formula>AND(BP40&gt;=3,EF40&lt;&gt;0, GetEquPower(C40,BJ40, CI40, FO40)=0)</formula>
    </cfRule>
    <cfRule type="expression" dxfId="1" priority="2490">
      <formula>AND(BP40&gt;=3,EF40&lt;&gt;GetEquPower(C40,BJ40, CI40, FO40))</formula>
    </cfRule>
  </conditionalFormatting>
  <conditionalFormatting sqref="EK40">
    <cfRule type="expression" dxfId="2" priority="2491">
      <formula>AND(BQ40&gt;=1,EK40&lt;&gt;0, GetEquPower(C40,BK40, CM40, FP40)=0)</formula>
    </cfRule>
    <cfRule type="expression" dxfId="1" priority="2492">
      <formula>AND(BQ40&gt;=1,EK40&lt;&gt;GetEquPower(C40,BK40, CM40, FP40))</formula>
    </cfRule>
  </conditionalFormatting>
  <conditionalFormatting sqref="EL40">
    <cfRule type="expression" dxfId="2" priority="2493">
      <formula>AND(BQ40&gt;=2,EL40&lt;&gt;0, GetEquPower(C40,BK40, CN40, FP40)=0)</formula>
    </cfRule>
    <cfRule type="expression" dxfId="1" priority="2494">
      <formula xml:space="preserve"> AND(BQ40&gt;=2,EL40&lt;&gt;GetEquPower(C40,BK40, CN40, FP40))</formula>
    </cfRule>
  </conditionalFormatting>
  <conditionalFormatting sqref="EM40">
    <cfRule type="expression" dxfId="2" priority="2495">
      <formula>AND(BQ40&gt;=3,EM40&lt;&gt;0, GetEquPower(C40,BK40, CO40, FP40)=0)</formula>
    </cfRule>
    <cfRule type="expression" dxfId="1" priority="2496">
      <formula xml:space="preserve"> AND(BQ40&gt;=3,EM40&lt;&gt;GetEquPower(C40,BK40, CO40, FP40))</formula>
    </cfRule>
  </conditionalFormatting>
  <conditionalFormatting sqref="ER40">
    <cfRule type="expression" dxfId="2" priority="2497">
      <formula>AND(BR40&gt;=1,ER40&lt;&gt;0, GetEquPower(C40,BL40, CS40, FQ40)=0)</formula>
    </cfRule>
    <cfRule type="expression" dxfId="1" priority="2498">
      <formula>AND(BR40&gt;=1,ER40&lt;&gt;GetEquPower(C40,BL40, CS40, FQ40))</formula>
    </cfRule>
  </conditionalFormatting>
  <conditionalFormatting sqref="ES40">
    <cfRule type="expression" dxfId="2" priority="2499">
      <formula>AND(BR40&gt;=2,ES40&lt;&gt;0, GetEquPower(C40,BL40, CT40, FQ40)=0)</formula>
    </cfRule>
    <cfRule type="expression" dxfId="1" priority="2500">
      <formula>AND(BR40&gt;=2,ES40&lt;&gt;GetEquPower(C40,BL40, CT40, FQ40))</formula>
    </cfRule>
  </conditionalFormatting>
  <conditionalFormatting sqref="ET40">
    <cfRule type="expression" dxfId="2" priority="2501">
      <formula>AND(BR40&gt;=3,ET40&lt;&gt;0, GetEquPower(C40,BL40, CU40, FQ40)=0)</formula>
    </cfRule>
    <cfRule type="expression" dxfId="1" priority="2502">
      <formula>AND(BR40&gt;=3,ET40&lt;&gt;GetEquPower(C40,BL40, CU40, FQ40))</formula>
    </cfRule>
  </conditionalFormatting>
  <conditionalFormatting sqref="EY40">
    <cfRule type="expression" dxfId="2" priority="2503">
      <formula>AND(BS40&gt;=1,EY40&lt;&gt;0, GetEquPower(C40,BM40, CY40, FR40)=0)</formula>
    </cfRule>
    <cfRule type="expression" dxfId="1" priority="2504">
      <formula>AND(BS40&gt;=1,EY40&lt;&gt;GetEquPower(C40,BM40, CY40, FR40))</formula>
    </cfRule>
  </conditionalFormatting>
  <conditionalFormatting sqref="EZ40">
    <cfRule type="expression" dxfId="2" priority="2505">
      <formula>AND(BS40&gt;=2,EZ40&lt;&gt;0, GetEquPower(C40,BM40, CZ40, FR40)=0)</formula>
    </cfRule>
    <cfRule type="expression" dxfId="1" priority="2506">
      <formula>AND(BS40&gt;=2,EZ40&lt;&gt;GetEquPower(C40,BM40, CZ40, FR40))</formula>
    </cfRule>
  </conditionalFormatting>
  <conditionalFormatting sqref="FA40">
    <cfRule type="expression" dxfId="2" priority="2507">
      <formula>AND(BS40&gt;=3,FA40&lt;&gt;0, GetEquPower(C40,BM40, DA40, FR40)=0)</formula>
    </cfRule>
    <cfRule type="expression" dxfId="1" priority="2508">
      <formula>AND(BS40&gt;=3,FA40&lt;&gt;GetEquPower(C40,BM40, DA40, FR40))</formula>
    </cfRule>
  </conditionalFormatting>
  <conditionalFormatting sqref="FF40">
    <cfRule type="expression" dxfId="2" priority="2509">
      <formula>AND(BT40&gt;=1,FF40&lt;&gt;0, GetEquPower(C40,BN40, DE40, FS40)=0)</formula>
    </cfRule>
    <cfRule type="expression" dxfId="1" priority="2510">
      <formula>AND(BT40&gt;=1,FF40&lt;&gt;GetEquPower(C40,BN40, DE40, FS40))</formula>
    </cfRule>
  </conditionalFormatting>
  <conditionalFormatting sqref="FG40">
    <cfRule type="expression" dxfId="2" priority="2511">
      <formula>AND(BT40&gt;=2,FG40&lt;&gt;0, GetEquPower(C40,BN40, DF40, FS40)=0)</formula>
    </cfRule>
    <cfRule type="expression" dxfId="1" priority="2512">
      <formula>AND(BT40&gt;=2,FG40&lt;&gt;GetEquPower(C40,BN40, DF40, FS40))</formula>
    </cfRule>
  </conditionalFormatting>
  <conditionalFormatting sqref="FH40">
    <cfRule type="expression" dxfId="2" priority="2513">
      <formula>AND(BT40&gt;=3,FH40&lt;&gt;0, GetEquPower(C40,BN40, DG40, FS40)=0)</formula>
    </cfRule>
    <cfRule type="expression" dxfId="1" priority="2514">
      <formula>AND(BT40&gt;=3,FH40&lt;&gt;GetEquPower(C40,BN40, DG40, FS40))</formula>
    </cfRule>
  </conditionalFormatting>
  <conditionalFormatting sqref="DZ40">
    <cfRule type="expression" dxfId="2" priority="2515">
      <formula>AND(BO40&gt;=4,DZ40&lt;&gt;0, GetEquPower(C40,BI40, CD40, FN40)=0)</formula>
    </cfRule>
    <cfRule type="expression" dxfId="1" priority="2516">
      <formula>AND(BO40&gt;=4, DZ40&lt;&gt;GetEquPower(C40,BI40, CD40, FN40))</formula>
    </cfRule>
  </conditionalFormatting>
  <conditionalFormatting sqref="EG40">
    <cfRule type="expression" dxfId="2" priority="2517">
      <formula>AND(BP40&gt;=4,EG40&lt;&gt;0, GetEquPower(C40,BJ40, CJ40, FO40)=0)</formula>
    </cfRule>
    <cfRule type="expression" dxfId="1" priority="2518">
      <formula>AND(BP40&gt;=4,EG40&lt;&gt;GetEquPower(C40,BJ40, CJ40, FO40))</formula>
    </cfRule>
  </conditionalFormatting>
  <conditionalFormatting sqref="EN40">
    <cfRule type="expression" dxfId="2" priority="2519">
      <formula>AND(BQ40&gt;=4,EN40&lt;&gt;0, GetEquPower(C40,BK40, CP40, FP40)=0)</formula>
    </cfRule>
    <cfRule type="expression" dxfId="1" priority="2520">
      <formula xml:space="preserve"> AND(BQ40&gt;=4,EN40&lt;&gt;GetEquPower(C40,BK40, CP40, FP40))</formula>
    </cfRule>
  </conditionalFormatting>
  <conditionalFormatting sqref="EU40">
    <cfRule type="expression" dxfId="2" priority="2521">
      <formula>AND(BR40&gt;=4,EU40&lt;&gt;0, GetEquPower(C40,BL40, CV40, FQ40)=0)</formula>
    </cfRule>
    <cfRule type="expression" dxfId="1" priority="2522">
      <formula>AND(BR40&gt;=4,EU40&lt;&gt;GetEquPower(C40,BL40, CV40, FQ40))</formula>
    </cfRule>
  </conditionalFormatting>
  <conditionalFormatting sqref="FB40">
    <cfRule type="expression" dxfId="2" priority="2523">
      <formula>AND(BS40&gt;=4,FB40&lt;&gt;0, GetEquPower(C40,BM40, DB40, FR40)=0)</formula>
    </cfRule>
    <cfRule type="expression" dxfId="1" priority="2524">
      <formula>AND(BS40&gt;=4,FB40&lt;&gt;GetEquPower(C40,BM40, DB40, FR40))</formula>
    </cfRule>
  </conditionalFormatting>
  <conditionalFormatting sqref="FI40">
    <cfRule type="expression" dxfId="2" priority="2525">
      <formula>AND(BT40&gt;=4,FI40&lt;&gt;0, GetEquPower(C40,BN40, DH40, FS40)=0)</formula>
    </cfRule>
    <cfRule type="expression" dxfId="1" priority="2526">
      <formula>AND(BT40&gt;=4,FI40&lt;&gt;GetEquPower(C40,BN40, DH40, FS40))</formula>
    </cfRule>
  </conditionalFormatting>
  <conditionalFormatting sqref="EA40">
    <cfRule type="expression" dxfId="2" priority="2527">
      <formula>AND(BO40&gt;=5,EA40&lt;&gt;0, GetEquPower(C40,BI40, CE40, FN40)=0)</formula>
    </cfRule>
    <cfRule type="expression" dxfId="1" priority="2528">
      <formula>AND(BO40&gt;=5, EA40&lt;&gt;GetEquPower(C40,BI40, CE40, FN40))</formula>
    </cfRule>
  </conditionalFormatting>
  <conditionalFormatting sqref="EB40">
    <cfRule type="expression" dxfId="2" priority="2529">
      <formula>AND(BO40&gt;=6,EB40&lt;&gt;0, GetEquPower(C40,BI40, CF40, FN40)=0)</formula>
    </cfRule>
    <cfRule type="expression" dxfId="1" priority="2530">
      <formula>AND(BO40&gt;=6, EB40&lt;&gt;GetEquPower(C40,BI40, CF40, FN40))</formula>
    </cfRule>
  </conditionalFormatting>
  <conditionalFormatting sqref="EH40">
    <cfRule type="expression" dxfId="2" priority="2531">
      <formula>AND(BP40&gt;=5,EH40&lt;&gt;0, GetEquPower(C40,BJ40, CK40, FO40)=0)</formula>
    </cfRule>
    <cfRule type="expression" dxfId="1" priority="2532">
      <formula>AND(BP40&gt;=5,EH40&lt;&gt;GetEquPower(C40,BJ40, CK40, FO40))</formula>
    </cfRule>
  </conditionalFormatting>
  <conditionalFormatting sqref="EI40">
    <cfRule type="expression" dxfId="2" priority="2533">
      <formula>AND(BP40&gt;=6,EI40&lt;&gt;0, GetEquPower(C40,BJ40, CL40, FO40)=0)</formula>
    </cfRule>
    <cfRule type="expression" dxfId="1" priority="2534">
      <formula>AND(BP40&gt;=6,EI40&lt;&gt;GetEquPower(C40,BJ40, CL40, FO40))</formula>
    </cfRule>
  </conditionalFormatting>
  <conditionalFormatting sqref="EO40">
    <cfRule type="expression" dxfId="2" priority="2535">
      <formula>AND(BQ40&gt;=5,EO40&lt;&gt;0, GetEquPower(C40,BK40, CQ40, FP40)=0)</formula>
    </cfRule>
    <cfRule type="expression" dxfId="1" priority="2536">
      <formula xml:space="preserve"> AND(BQ40&gt;=5,EO40&lt;&gt;GetEquPower(C40,BK40, CQ40, FP40))</formula>
    </cfRule>
  </conditionalFormatting>
  <conditionalFormatting sqref="EP40">
    <cfRule type="expression" dxfId="2" priority="2537">
      <formula>AND(BQ40&gt;=6,EP40&lt;&gt;0, GetEquPower(C40,BK40, CR40, FP40)=0)</formula>
    </cfRule>
    <cfRule type="expression" dxfId="1" priority="2538">
      <formula xml:space="preserve"> AND(BQ40&gt;=6,EP40&lt;&gt;GetEquPower(C40,BK40, CR40, FP40))</formula>
    </cfRule>
  </conditionalFormatting>
  <conditionalFormatting sqref="EV40">
    <cfRule type="expression" dxfId="2" priority="2539">
      <formula>AND(BR40&gt;=5,EV40&lt;&gt;0, GetEquPower(C40,BL40, CW40, FQ40)=0)</formula>
    </cfRule>
    <cfRule type="expression" dxfId="1" priority="2540">
      <formula>AND(BR40&gt;=5,EV40&lt;&gt;GetEquPower(C40,BL40, CW40, FQ40))</formula>
    </cfRule>
  </conditionalFormatting>
  <conditionalFormatting sqref="EW40">
    <cfRule type="expression" dxfId="2" priority="2541">
      <formula>AND(BR40&gt;=6,EW40&lt;&gt;0, GetEquPower(C40,BL40, CX40, FQ40)=0)</formula>
    </cfRule>
    <cfRule type="expression" dxfId="1" priority="2542">
      <formula>AND(BR40&gt;=6,EW40&lt;&gt;GetEquPower(C40,BL40, CX40, FQ40))</formula>
    </cfRule>
  </conditionalFormatting>
  <conditionalFormatting sqref="FC40">
    <cfRule type="expression" dxfId="2" priority="2543">
      <formula>AND(BS40&gt;=5,FC40&lt;&gt;0, GetEquPower(C40,BM40, DC40, FR40)=0)</formula>
    </cfRule>
    <cfRule type="expression" dxfId="1" priority="2544">
      <formula>AND(BS40&gt;=5,FC40&lt;&gt;GetEquPower(C40,BM40, DC40, FR40))</formula>
    </cfRule>
  </conditionalFormatting>
  <conditionalFormatting sqref="FD40">
    <cfRule type="expression" dxfId="2" priority="2545">
      <formula>AND(BS40&gt;=6,FD40&lt;&gt;0, GetEquPower(C40,BM40, DD40, FR40)=0)</formula>
    </cfRule>
    <cfRule type="expression" dxfId="1" priority="2546">
      <formula>AND(BS40&gt;=6,FD40&lt;&gt;GetEquPower(C40,BM40, DD40, FR40))</formula>
    </cfRule>
  </conditionalFormatting>
  <conditionalFormatting sqref="FJ40">
    <cfRule type="expression" dxfId="2" priority="2547">
      <formula>AND(BT40&gt;=5,FJ40&lt;&gt;0, GetEquPower(C40,BN40, DI40, FS40)=0)</formula>
    </cfRule>
    <cfRule type="expression" dxfId="1" priority="2548">
      <formula>AND(BT40&gt;=5,FJ40&lt;&gt;GetEquPower(C40,BN40, DI40, FS40))</formula>
    </cfRule>
  </conditionalFormatting>
  <conditionalFormatting sqref="FK40">
    <cfRule type="expression" dxfId="2" priority="2549">
      <formula>AND(BT40&gt;=6,FK40&lt;&gt;0, GetEquPower(C40,BN40, DJ40, FS40)=0)</formula>
    </cfRule>
    <cfRule type="expression" dxfId="1" priority="2550">
      <formula>AND(BT40&gt;=6,FK40&lt;&gt;GetEquPower(C40,BN40, DJ40, FS40))</formula>
    </cfRule>
  </conditionalFormatting>
  <conditionalFormatting sqref="W40">
    <cfRule type="expression" dxfId="0" priority="2466">
      <formula xml:space="preserve"> NOT(ISLOGICAL($W$2))</formula>
    </cfRule>
  </conditionalFormatting>
  <conditionalFormatting sqref="F41">
    <cfRule type="expression" dxfId="0" priority="2393">
      <formula>F41&lt;&gt;RIGHT(SUBSTITUTE(E41,".",""),LEN(F41))</formula>
    </cfRule>
  </conditionalFormatting>
  <conditionalFormatting sqref="X41">
    <cfRule type="expression" dxfId="0" priority="2388">
      <formula xml:space="preserve"> NOT(ISLOGICAL($X$2))</formula>
    </cfRule>
    <cfRule type="expression" dxfId="0" priority="2392">
      <formula>AND(X41=TRUE,W41=FALSE)</formula>
    </cfRule>
  </conditionalFormatting>
  <conditionalFormatting sqref="Y41">
    <cfRule type="expression" dxfId="0" priority="2391">
      <formula>OR(AND(X41=FALSE,INT(Y41)&gt;0),AND(X41=TRUE,INT(Y41)&lt;=0))</formula>
    </cfRule>
  </conditionalFormatting>
  <conditionalFormatting sqref="AA41">
    <cfRule type="expression" dxfId="0" priority="2390">
      <formula>AND(Z41=FALSE,AA41&gt;0)</formula>
    </cfRule>
  </conditionalFormatting>
  <conditionalFormatting sqref="BV41:HY41">
    <cfRule type="containsErrors" dxfId="0" priority="2389">
      <formula>ISERROR(BV41)</formula>
    </cfRule>
  </conditionalFormatting>
  <conditionalFormatting sqref="Z41">
    <cfRule type="expression" dxfId="0" priority="2387">
      <formula>NOT(ISLOGICAL($Z$2))</formula>
    </cfRule>
  </conditionalFormatting>
  <conditionalFormatting sqref="AB41">
    <cfRule type="expression" dxfId="0" priority="2386">
      <formula>NOT(ISLOGICAL($AB$2))</formula>
    </cfRule>
  </conditionalFormatting>
  <conditionalFormatting sqref="AC41">
    <cfRule type="expression" dxfId="0" priority="2385">
      <formula>NOT(ISLOGICAL($AC$2))</formula>
    </cfRule>
  </conditionalFormatting>
  <conditionalFormatting sqref="B41:BU41">
    <cfRule type="containsErrors" dxfId="0" priority="2384">
      <formula>ISERROR(B41)</formula>
    </cfRule>
  </conditionalFormatting>
  <conditionalFormatting sqref="I41">
    <cfRule type="expression" dxfId="0" priority="2383">
      <formula>NOT(ISNUMBER($I$2))</formula>
    </cfRule>
  </conditionalFormatting>
  <conditionalFormatting sqref="D41">
    <cfRule type="expression" dxfId="0" priority="2382">
      <formula>ISBLANK($D$2)</formula>
    </cfRule>
  </conditionalFormatting>
  <conditionalFormatting sqref="DW41">
    <cfRule type="expression" dxfId="2" priority="2394">
      <formula>AND(BO41&gt;=1,DW41&lt;&gt;0, GetEquPower(C41,BI41, CA41, FN41)=0)</formula>
    </cfRule>
    <cfRule type="expression" dxfId="1" priority="2395">
      <formula>AND(BO41&gt;=1,DW41&lt;&gt;GetEquPower(C41,BI41, CA41, FN41))</formula>
    </cfRule>
  </conditionalFormatting>
  <conditionalFormatting sqref="DX41">
    <cfRule type="expression" dxfId="2" priority="2396">
      <formula>AND(BO41&gt;=2,DX41&lt;&gt;0, GetEquPower(C41,BI41, CB41, FN41)=0)</formula>
    </cfRule>
    <cfRule type="expression" dxfId="1" priority="2397">
      <formula>AND(BO41&gt;=2,DX41&lt;&gt;GetEquPower(C41,BI41, CB41, FN41))</formula>
    </cfRule>
  </conditionalFormatting>
  <conditionalFormatting sqref="DY41">
    <cfRule type="expression" dxfId="2" priority="2398">
      <formula>AND(BO41&gt;=3,DY41&lt;&gt;0, GetEquPower(C41,BI41, CC41, FN41)=0)</formula>
    </cfRule>
    <cfRule type="expression" dxfId="1" priority="2399">
      <formula>AND(BO41&gt;=3,DY41&lt;&gt;GetEquPower(C41,BI41, CC41, FN41))</formula>
    </cfRule>
  </conditionalFormatting>
  <conditionalFormatting sqref="ED41">
    <cfRule type="expression" dxfId="2" priority="2400">
      <formula>AND(BP41&gt;=1,ED41&lt;&gt;0, GetEquPower(C41,BJ41, CG41, FO41)=0)</formula>
    </cfRule>
    <cfRule type="expression" dxfId="1" priority="2401">
      <formula>AND(BP41&gt;=1,ED41&lt;&gt;GetEquPower(C41,BJ41, CG41, FO41))</formula>
    </cfRule>
  </conditionalFormatting>
  <conditionalFormatting sqref="EE41">
    <cfRule type="expression" dxfId="2" priority="2402">
      <formula>AND(BP41&gt;=2,EE41&lt;&gt;0, GetEquPower(C41,BJ41, CH41, FO41)=0)</formula>
    </cfRule>
    <cfRule type="expression" dxfId="1" priority="2403">
      <formula>AND(BP41&gt;=2,EE41&lt;&gt;GetEquPower(C41,BJ41, CH41, FO41))</formula>
    </cfRule>
  </conditionalFormatting>
  <conditionalFormatting sqref="EF41">
    <cfRule type="expression" dxfId="2" priority="2404">
      <formula>AND(BP41&gt;=3,EF41&lt;&gt;0, GetEquPower(C41,BJ41, CI41, FO41)=0)</formula>
    </cfRule>
    <cfRule type="expression" dxfId="1" priority="2405">
      <formula>AND(BP41&gt;=3,EF41&lt;&gt;GetEquPower(C41,BJ41, CI41, FO41))</formula>
    </cfRule>
  </conditionalFormatting>
  <conditionalFormatting sqref="EK41">
    <cfRule type="expression" dxfId="2" priority="2406">
      <formula>AND(BQ41&gt;=1,EK41&lt;&gt;0, GetEquPower(C41,BK41, CM41, FP41)=0)</formula>
    </cfRule>
    <cfRule type="expression" dxfId="1" priority="2407">
      <formula>AND(BQ41&gt;=1,EK41&lt;&gt;GetEquPower(C41,BK41, CM41, FP41))</formula>
    </cfRule>
  </conditionalFormatting>
  <conditionalFormatting sqref="EL41">
    <cfRule type="expression" dxfId="2" priority="2408">
      <formula>AND(BQ41&gt;=2,EL41&lt;&gt;0, GetEquPower(C41,BK41, CN41, FP41)=0)</formula>
    </cfRule>
    <cfRule type="expression" dxfId="1" priority="2409">
      <formula xml:space="preserve"> AND(BQ41&gt;=2,EL41&lt;&gt;GetEquPower(C41,BK41, CN41, FP41))</formula>
    </cfRule>
  </conditionalFormatting>
  <conditionalFormatting sqref="EM41">
    <cfRule type="expression" dxfId="2" priority="2410">
      <formula>AND(BQ41&gt;=3,EM41&lt;&gt;0, GetEquPower(C41,BK41, CO41, FP41)=0)</formula>
    </cfRule>
    <cfRule type="expression" dxfId="1" priority="2411">
      <formula xml:space="preserve"> AND(BQ41&gt;=3,EM41&lt;&gt;GetEquPower(C41,BK41, CO41, FP41))</formula>
    </cfRule>
  </conditionalFormatting>
  <conditionalFormatting sqref="ER41">
    <cfRule type="expression" dxfId="2" priority="2412">
      <formula>AND(BR41&gt;=1,ER41&lt;&gt;0, GetEquPower(C41,BL41, CS41, FQ41)=0)</formula>
    </cfRule>
    <cfRule type="expression" dxfId="1" priority="2413">
      <formula>AND(BR41&gt;=1,ER41&lt;&gt;GetEquPower(C41,BL41, CS41, FQ41))</formula>
    </cfRule>
  </conditionalFormatting>
  <conditionalFormatting sqref="ES41">
    <cfRule type="expression" dxfId="2" priority="2414">
      <formula>AND(BR41&gt;=2,ES41&lt;&gt;0, GetEquPower(C41,BL41, CT41, FQ41)=0)</formula>
    </cfRule>
    <cfRule type="expression" dxfId="1" priority="2415">
      <formula>AND(BR41&gt;=2,ES41&lt;&gt;GetEquPower(C41,BL41, CT41, FQ41))</formula>
    </cfRule>
  </conditionalFormatting>
  <conditionalFormatting sqref="ET41">
    <cfRule type="expression" dxfId="2" priority="2416">
      <formula>AND(BR41&gt;=3,ET41&lt;&gt;0, GetEquPower(C41,BL41, CU41, FQ41)=0)</formula>
    </cfRule>
    <cfRule type="expression" dxfId="1" priority="2417">
      <formula>AND(BR41&gt;=3,ET41&lt;&gt;GetEquPower(C41,BL41, CU41, FQ41))</formula>
    </cfRule>
  </conditionalFormatting>
  <conditionalFormatting sqref="EY41">
    <cfRule type="expression" dxfId="2" priority="2418">
      <formula>AND(BS41&gt;=1,EY41&lt;&gt;0, GetEquPower(C41,BM41, CY41, FR41)=0)</formula>
    </cfRule>
    <cfRule type="expression" dxfId="1" priority="2419">
      <formula>AND(BS41&gt;=1,EY41&lt;&gt;GetEquPower(C41,BM41, CY41, FR41))</formula>
    </cfRule>
  </conditionalFormatting>
  <conditionalFormatting sqref="EZ41">
    <cfRule type="expression" dxfId="2" priority="2420">
      <formula>AND(BS41&gt;=2,EZ41&lt;&gt;0, GetEquPower(C41,BM41, CZ41, FR41)=0)</formula>
    </cfRule>
    <cfRule type="expression" dxfId="1" priority="2421">
      <formula>AND(BS41&gt;=2,EZ41&lt;&gt;GetEquPower(C41,BM41, CZ41, FR41))</formula>
    </cfRule>
  </conditionalFormatting>
  <conditionalFormatting sqref="FA41">
    <cfRule type="expression" dxfId="2" priority="2422">
      <formula>AND(BS41&gt;=3,FA41&lt;&gt;0, GetEquPower(C41,BM41, DA41, FR41)=0)</formula>
    </cfRule>
    <cfRule type="expression" dxfId="1" priority="2423">
      <formula>AND(BS41&gt;=3,FA41&lt;&gt;GetEquPower(C41,BM41, DA41, FR41))</formula>
    </cfRule>
  </conditionalFormatting>
  <conditionalFormatting sqref="FF41">
    <cfRule type="expression" dxfId="2" priority="2424">
      <formula>AND(BT41&gt;=1,FF41&lt;&gt;0, GetEquPower(C41,BN41, DE41, FS41)=0)</formula>
    </cfRule>
    <cfRule type="expression" dxfId="1" priority="2425">
      <formula>AND(BT41&gt;=1,FF41&lt;&gt;GetEquPower(C41,BN41, DE41, FS41))</formula>
    </cfRule>
  </conditionalFormatting>
  <conditionalFormatting sqref="FG41">
    <cfRule type="expression" dxfId="2" priority="2426">
      <formula>AND(BT41&gt;=2,FG41&lt;&gt;0, GetEquPower(C41,BN41, DF41, FS41)=0)</formula>
    </cfRule>
    <cfRule type="expression" dxfId="1" priority="2427">
      <formula>AND(BT41&gt;=2,FG41&lt;&gt;GetEquPower(C41,BN41, DF41, FS41))</formula>
    </cfRule>
  </conditionalFormatting>
  <conditionalFormatting sqref="FH41">
    <cfRule type="expression" dxfId="2" priority="2428">
      <formula>AND(BT41&gt;=3,FH41&lt;&gt;0, GetEquPower(C41,BN41, DG41, FS41)=0)</formula>
    </cfRule>
    <cfRule type="expression" dxfId="1" priority="2429">
      <formula>AND(BT41&gt;=3,FH41&lt;&gt;GetEquPower(C41,BN41, DG41, FS41))</formula>
    </cfRule>
  </conditionalFormatting>
  <conditionalFormatting sqref="DZ41">
    <cfRule type="expression" dxfId="2" priority="2430">
      <formula>AND(BO41&gt;=4,DZ41&lt;&gt;0, GetEquPower(C41,BI41, CD41, FN41)=0)</formula>
    </cfRule>
    <cfRule type="expression" dxfId="1" priority="2431">
      <formula>AND(BO41&gt;=4, DZ41&lt;&gt;GetEquPower(C41,BI41, CD41, FN41))</formula>
    </cfRule>
  </conditionalFormatting>
  <conditionalFormatting sqref="EG41">
    <cfRule type="expression" dxfId="2" priority="2432">
      <formula>AND(BP41&gt;=4,EG41&lt;&gt;0, GetEquPower(C41,BJ41, CJ41, FO41)=0)</formula>
    </cfRule>
    <cfRule type="expression" dxfId="1" priority="2433">
      <formula>AND(BP41&gt;=4,EG41&lt;&gt;GetEquPower(C41,BJ41, CJ41, FO41))</formula>
    </cfRule>
  </conditionalFormatting>
  <conditionalFormatting sqref="EN41">
    <cfRule type="expression" dxfId="2" priority="2434">
      <formula>AND(BQ41&gt;=4,EN41&lt;&gt;0, GetEquPower(C41,BK41, CP41, FP41)=0)</formula>
    </cfRule>
    <cfRule type="expression" dxfId="1" priority="2435">
      <formula xml:space="preserve"> AND(BQ41&gt;=4,EN41&lt;&gt;GetEquPower(C41,BK41, CP41, FP41))</formula>
    </cfRule>
  </conditionalFormatting>
  <conditionalFormatting sqref="EU41">
    <cfRule type="expression" dxfId="2" priority="2436">
      <formula>AND(BR41&gt;=4,EU41&lt;&gt;0, GetEquPower(C41,BL41, CV41, FQ41)=0)</formula>
    </cfRule>
    <cfRule type="expression" dxfId="1" priority="2437">
      <formula>AND(BR41&gt;=4,EU41&lt;&gt;GetEquPower(C41,BL41, CV41, FQ41))</formula>
    </cfRule>
  </conditionalFormatting>
  <conditionalFormatting sqref="FB41">
    <cfRule type="expression" dxfId="2" priority="2438">
      <formula>AND(BS41&gt;=4,FB41&lt;&gt;0, GetEquPower(C41,BM41, DB41, FR41)=0)</formula>
    </cfRule>
    <cfRule type="expression" dxfId="1" priority="2439">
      <formula>AND(BS41&gt;=4,FB41&lt;&gt;GetEquPower(C41,BM41, DB41, FR41))</formula>
    </cfRule>
  </conditionalFormatting>
  <conditionalFormatting sqref="FI41">
    <cfRule type="expression" dxfId="2" priority="2440">
      <formula>AND(BT41&gt;=4,FI41&lt;&gt;0, GetEquPower(C41,BN41, DH41, FS41)=0)</formula>
    </cfRule>
    <cfRule type="expression" dxfId="1" priority="2441">
      <formula>AND(BT41&gt;=4,FI41&lt;&gt;GetEquPower(C41,BN41, DH41, FS41))</formula>
    </cfRule>
  </conditionalFormatting>
  <conditionalFormatting sqref="EA41">
    <cfRule type="expression" dxfId="2" priority="2442">
      <formula>AND(BO41&gt;=5,EA41&lt;&gt;0, GetEquPower(C41,BI41, CE41, FN41)=0)</formula>
    </cfRule>
    <cfRule type="expression" dxfId="1" priority="2443">
      <formula>AND(BO41&gt;=5, EA41&lt;&gt;GetEquPower(C41,BI41, CE41, FN41))</formula>
    </cfRule>
  </conditionalFormatting>
  <conditionalFormatting sqref="EB41">
    <cfRule type="expression" dxfId="2" priority="2444">
      <formula>AND(BO41&gt;=6,EB41&lt;&gt;0, GetEquPower(C41,BI41, CF41, FN41)=0)</formula>
    </cfRule>
    <cfRule type="expression" dxfId="1" priority="2445">
      <formula>AND(BO41&gt;=6, EB41&lt;&gt;GetEquPower(C41,BI41, CF41, FN41))</formula>
    </cfRule>
  </conditionalFormatting>
  <conditionalFormatting sqref="EH41">
    <cfRule type="expression" dxfId="2" priority="2446">
      <formula>AND(BP41&gt;=5,EH41&lt;&gt;0, GetEquPower(C41,BJ41, CK41, FO41)=0)</formula>
    </cfRule>
    <cfRule type="expression" dxfId="1" priority="2447">
      <formula>AND(BP41&gt;=5,EH41&lt;&gt;GetEquPower(C41,BJ41, CK41, FO41))</formula>
    </cfRule>
  </conditionalFormatting>
  <conditionalFormatting sqref="EI41">
    <cfRule type="expression" dxfId="2" priority="2448">
      <formula>AND(BP41&gt;=6,EI41&lt;&gt;0, GetEquPower(C41,BJ41, CL41, FO41)=0)</formula>
    </cfRule>
    <cfRule type="expression" dxfId="1" priority="2449">
      <formula>AND(BP41&gt;=6,EI41&lt;&gt;GetEquPower(C41,BJ41, CL41, FO41))</formula>
    </cfRule>
  </conditionalFormatting>
  <conditionalFormatting sqref="EO41">
    <cfRule type="expression" dxfId="2" priority="2450">
      <formula>AND(BQ41&gt;=5,EO41&lt;&gt;0, GetEquPower(C41,BK41, CQ41, FP41)=0)</formula>
    </cfRule>
    <cfRule type="expression" dxfId="1" priority="2451">
      <formula xml:space="preserve"> AND(BQ41&gt;=5,EO41&lt;&gt;GetEquPower(C41,BK41, CQ41, FP41))</formula>
    </cfRule>
  </conditionalFormatting>
  <conditionalFormatting sqref="EP41">
    <cfRule type="expression" dxfId="2" priority="2452">
      <formula>AND(BQ41&gt;=6,EP41&lt;&gt;0, GetEquPower(C41,BK41, CR41, FP41)=0)</formula>
    </cfRule>
    <cfRule type="expression" dxfId="1" priority="2453">
      <formula xml:space="preserve"> AND(BQ41&gt;=6,EP41&lt;&gt;GetEquPower(C41,BK41, CR41, FP41))</formula>
    </cfRule>
  </conditionalFormatting>
  <conditionalFormatting sqref="EV41">
    <cfRule type="expression" dxfId="2" priority="2454">
      <formula>AND(BR41&gt;=5,EV41&lt;&gt;0, GetEquPower(C41,BL41, CW41, FQ41)=0)</formula>
    </cfRule>
    <cfRule type="expression" dxfId="1" priority="2455">
      <formula>AND(BR41&gt;=5,EV41&lt;&gt;GetEquPower(C41,BL41, CW41, FQ41))</formula>
    </cfRule>
  </conditionalFormatting>
  <conditionalFormatting sqref="EW41">
    <cfRule type="expression" dxfId="2" priority="2456">
      <formula>AND(BR41&gt;=6,EW41&lt;&gt;0, GetEquPower(C41,BL41, CX41, FQ41)=0)</formula>
    </cfRule>
    <cfRule type="expression" dxfId="1" priority="2457">
      <formula>AND(BR41&gt;=6,EW41&lt;&gt;GetEquPower(C41,BL41, CX41, FQ41))</formula>
    </cfRule>
  </conditionalFormatting>
  <conditionalFormatting sqref="FC41">
    <cfRule type="expression" dxfId="2" priority="2458">
      <formula>AND(BS41&gt;=5,FC41&lt;&gt;0, GetEquPower(C41,BM41, DC41, FR41)=0)</formula>
    </cfRule>
    <cfRule type="expression" dxfId="1" priority="2459">
      <formula>AND(BS41&gt;=5,FC41&lt;&gt;GetEquPower(C41,BM41, DC41, FR41))</formula>
    </cfRule>
  </conditionalFormatting>
  <conditionalFormatting sqref="FD41">
    <cfRule type="expression" dxfId="2" priority="2460">
      <formula>AND(BS41&gt;=6,FD41&lt;&gt;0, GetEquPower(C41,BM41, DD41, FR41)=0)</formula>
    </cfRule>
    <cfRule type="expression" dxfId="1" priority="2461">
      <formula>AND(BS41&gt;=6,FD41&lt;&gt;GetEquPower(C41,BM41, DD41, FR41))</formula>
    </cfRule>
  </conditionalFormatting>
  <conditionalFormatting sqref="FJ41">
    <cfRule type="expression" dxfId="2" priority="2462">
      <formula>AND(BT41&gt;=5,FJ41&lt;&gt;0, GetEquPower(C41,BN41, DI41, FS41)=0)</formula>
    </cfRule>
    <cfRule type="expression" dxfId="1" priority="2463">
      <formula>AND(BT41&gt;=5,FJ41&lt;&gt;GetEquPower(C41,BN41, DI41, FS41))</formula>
    </cfRule>
  </conditionalFormatting>
  <conditionalFormatting sqref="FK41">
    <cfRule type="expression" dxfId="2" priority="2464">
      <formula>AND(BT41&gt;=6,FK41&lt;&gt;0, GetEquPower(C41,BN41, DJ41, FS41)=0)</formula>
    </cfRule>
    <cfRule type="expression" dxfId="1" priority="2465">
      <formula>AND(BT41&gt;=6,FK41&lt;&gt;GetEquPower(C41,BN41, DJ41, FS41))</formula>
    </cfRule>
  </conditionalFormatting>
  <conditionalFormatting sqref="W41">
    <cfRule type="expression" dxfId="0" priority="2381">
      <formula xml:space="preserve"> NOT(ISLOGICAL($W$2))</formula>
    </cfRule>
  </conditionalFormatting>
  <conditionalFormatting sqref="F42">
    <cfRule type="expression" dxfId="0" priority="2308">
      <formula>F42&lt;&gt;RIGHT(SUBSTITUTE(E42,".",""),LEN(F42))</formula>
    </cfRule>
  </conditionalFormatting>
  <conditionalFormatting sqref="X42">
    <cfRule type="expression" dxfId="0" priority="2303">
      <formula xml:space="preserve"> NOT(ISLOGICAL($X$2))</formula>
    </cfRule>
    <cfRule type="expression" dxfId="0" priority="2307">
      <formula>AND(X42=TRUE,W42=FALSE)</formula>
    </cfRule>
  </conditionalFormatting>
  <conditionalFormatting sqref="Y42">
    <cfRule type="expression" dxfId="0" priority="2306">
      <formula>OR(AND(X42=FALSE,INT(Y42)&gt;0),AND(X42=TRUE,INT(Y42)&lt;=0))</formula>
    </cfRule>
  </conditionalFormatting>
  <conditionalFormatting sqref="AA42">
    <cfRule type="expression" dxfId="0" priority="2305">
      <formula>AND(Z42=FALSE,AA42&gt;0)</formula>
    </cfRule>
  </conditionalFormatting>
  <conditionalFormatting sqref="BV42:HY42">
    <cfRule type="containsErrors" dxfId="0" priority="2304">
      <formula>ISERROR(BV42)</formula>
    </cfRule>
  </conditionalFormatting>
  <conditionalFormatting sqref="Z42">
    <cfRule type="expression" dxfId="0" priority="2302">
      <formula>NOT(ISLOGICAL($Z$2))</formula>
    </cfRule>
  </conditionalFormatting>
  <conditionalFormatting sqref="AB42">
    <cfRule type="expression" dxfId="0" priority="2301">
      <formula>NOT(ISLOGICAL($AB$2))</formula>
    </cfRule>
  </conditionalFormatting>
  <conditionalFormatting sqref="AC42">
    <cfRule type="expression" dxfId="0" priority="2300">
      <formula>NOT(ISLOGICAL($AC$2))</formula>
    </cfRule>
  </conditionalFormatting>
  <conditionalFormatting sqref="B42:BU42">
    <cfRule type="containsErrors" dxfId="0" priority="2299">
      <formula>ISERROR(B42)</formula>
    </cfRule>
  </conditionalFormatting>
  <conditionalFormatting sqref="I42">
    <cfRule type="expression" dxfId="0" priority="2298">
      <formula>NOT(ISNUMBER($I$2))</formula>
    </cfRule>
  </conditionalFormatting>
  <conditionalFormatting sqref="D42">
    <cfRule type="expression" dxfId="0" priority="2297">
      <formula>ISBLANK($D$2)</formula>
    </cfRule>
  </conditionalFormatting>
  <conditionalFormatting sqref="DW42">
    <cfRule type="expression" dxfId="2" priority="2309">
      <formula>AND(BO42&gt;=1,DW42&lt;&gt;0, GetEquPower(C42,BI42, CA42, FN42)=0)</formula>
    </cfRule>
    <cfRule type="expression" dxfId="1" priority="2310">
      <formula>AND(BO42&gt;=1,DW42&lt;&gt;GetEquPower(C42,BI42, CA42, FN42))</formula>
    </cfRule>
  </conditionalFormatting>
  <conditionalFormatting sqref="DX42">
    <cfRule type="expression" dxfId="2" priority="2311">
      <formula>AND(BO42&gt;=2,DX42&lt;&gt;0, GetEquPower(C42,BI42, CB42, FN42)=0)</formula>
    </cfRule>
    <cfRule type="expression" dxfId="1" priority="2312">
      <formula>AND(BO42&gt;=2,DX42&lt;&gt;GetEquPower(C42,BI42, CB42, FN42))</formula>
    </cfRule>
  </conditionalFormatting>
  <conditionalFormatting sqref="DY42">
    <cfRule type="expression" dxfId="2" priority="2313">
      <formula>AND(BO42&gt;=3,DY42&lt;&gt;0, GetEquPower(C42,BI42, CC42, FN42)=0)</formula>
    </cfRule>
    <cfRule type="expression" dxfId="1" priority="2314">
      <formula>AND(BO42&gt;=3,DY42&lt;&gt;GetEquPower(C42,BI42, CC42, FN42))</formula>
    </cfRule>
  </conditionalFormatting>
  <conditionalFormatting sqref="ED42">
    <cfRule type="expression" dxfId="2" priority="2315">
      <formula>AND(BP42&gt;=1,ED42&lt;&gt;0, GetEquPower(C42,BJ42, CG42, FO42)=0)</formula>
    </cfRule>
    <cfRule type="expression" dxfId="1" priority="2316">
      <formula>AND(BP42&gt;=1,ED42&lt;&gt;GetEquPower(C42,BJ42, CG42, FO42))</formula>
    </cfRule>
  </conditionalFormatting>
  <conditionalFormatting sqref="EE42">
    <cfRule type="expression" dxfId="2" priority="2317">
      <formula>AND(BP42&gt;=2,EE42&lt;&gt;0, GetEquPower(C42,BJ42, CH42, FO42)=0)</formula>
    </cfRule>
    <cfRule type="expression" dxfId="1" priority="2318">
      <formula>AND(BP42&gt;=2,EE42&lt;&gt;GetEquPower(C42,BJ42, CH42, FO42))</formula>
    </cfRule>
  </conditionalFormatting>
  <conditionalFormatting sqref="EF42">
    <cfRule type="expression" dxfId="2" priority="2319">
      <formula>AND(BP42&gt;=3,EF42&lt;&gt;0, GetEquPower(C42,BJ42, CI42, FO42)=0)</formula>
    </cfRule>
    <cfRule type="expression" dxfId="1" priority="2320">
      <formula>AND(BP42&gt;=3,EF42&lt;&gt;GetEquPower(C42,BJ42, CI42, FO42))</formula>
    </cfRule>
  </conditionalFormatting>
  <conditionalFormatting sqref="EK42">
    <cfRule type="expression" dxfId="2" priority="2321">
      <formula>AND(BQ42&gt;=1,EK42&lt;&gt;0, GetEquPower(C42,BK42, CM42, FP42)=0)</formula>
    </cfRule>
    <cfRule type="expression" dxfId="1" priority="2322">
      <formula>AND(BQ42&gt;=1,EK42&lt;&gt;GetEquPower(C42,BK42, CM42, FP42))</formula>
    </cfRule>
  </conditionalFormatting>
  <conditionalFormatting sqref="EL42">
    <cfRule type="expression" dxfId="2" priority="2323">
      <formula>AND(BQ42&gt;=2,EL42&lt;&gt;0, GetEquPower(C42,BK42, CN42, FP42)=0)</formula>
    </cfRule>
    <cfRule type="expression" dxfId="1" priority="2324">
      <formula xml:space="preserve"> AND(BQ42&gt;=2,EL42&lt;&gt;GetEquPower(C42,BK42, CN42, FP42))</formula>
    </cfRule>
  </conditionalFormatting>
  <conditionalFormatting sqref="EM42">
    <cfRule type="expression" dxfId="2" priority="2325">
      <formula>AND(BQ42&gt;=3,EM42&lt;&gt;0, GetEquPower(C42,BK42, CO42, FP42)=0)</formula>
    </cfRule>
    <cfRule type="expression" dxfId="1" priority="2326">
      <formula xml:space="preserve"> AND(BQ42&gt;=3,EM42&lt;&gt;GetEquPower(C42,BK42, CO42, FP42))</formula>
    </cfRule>
  </conditionalFormatting>
  <conditionalFormatting sqref="ER42">
    <cfRule type="expression" dxfId="2" priority="2327">
      <formula>AND(BR42&gt;=1,ER42&lt;&gt;0, GetEquPower(C42,BL42, CS42, FQ42)=0)</formula>
    </cfRule>
    <cfRule type="expression" dxfId="1" priority="2328">
      <formula>AND(BR42&gt;=1,ER42&lt;&gt;GetEquPower(C42,BL42, CS42, FQ42))</formula>
    </cfRule>
  </conditionalFormatting>
  <conditionalFormatting sqref="ES42">
    <cfRule type="expression" dxfId="2" priority="2329">
      <formula>AND(BR42&gt;=2,ES42&lt;&gt;0, GetEquPower(C42,BL42, CT42, FQ42)=0)</formula>
    </cfRule>
    <cfRule type="expression" dxfId="1" priority="2330">
      <formula>AND(BR42&gt;=2,ES42&lt;&gt;GetEquPower(C42,BL42, CT42, FQ42))</formula>
    </cfRule>
  </conditionalFormatting>
  <conditionalFormatting sqref="ET42">
    <cfRule type="expression" dxfId="2" priority="2331">
      <formula>AND(BR42&gt;=3,ET42&lt;&gt;0, GetEquPower(C42,BL42, CU42, FQ42)=0)</formula>
    </cfRule>
    <cfRule type="expression" dxfId="1" priority="2332">
      <formula>AND(BR42&gt;=3,ET42&lt;&gt;GetEquPower(C42,BL42, CU42, FQ42))</formula>
    </cfRule>
  </conditionalFormatting>
  <conditionalFormatting sqref="EY42">
    <cfRule type="expression" dxfId="2" priority="2333">
      <formula>AND(BS42&gt;=1,EY42&lt;&gt;0, GetEquPower(C42,BM42, CY42, FR42)=0)</formula>
    </cfRule>
    <cfRule type="expression" dxfId="1" priority="2334">
      <formula>AND(BS42&gt;=1,EY42&lt;&gt;GetEquPower(C42,BM42, CY42, FR42))</formula>
    </cfRule>
  </conditionalFormatting>
  <conditionalFormatting sqref="EZ42">
    <cfRule type="expression" dxfId="2" priority="2335">
      <formula>AND(BS42&gt;=2,EZ42&lt;&gt;0, GetEquPower(C42,BM42, CZ42, FR42)=0)</formula>
    </cfRule>
    <cfRule type="expression" dxfId="1" priority="2336">
      <formula>AND(BS42&gt;=2,EZ42&lt;&gt;GetEquPower(C42,BM42, CZ42, FR42))</formula>
    </cfRule>
  </conditionalFormatting>
  <conditionalFormatting sqref="FA42">
    <cfRule type="expression" dxfId="2" priority="2337">
      <formula>AND(BS42&gt;=3,FA42&lt;&gt;0, GetEquPower(C42,BM42, DA42, FR42)=0)</formula>
    </cfRule>
    <cfRule type="expression" dxfId="1" priority="2338">
      <formula>AND(BS42&gt;=3,FA42&lt;&gt;GetEquPower(C42,BM42, DA42, FR42))</formula>
    </cfRule>
  </conditionalFormatting>
  <conditionalFormatting sqref="FF42">
    <cfRule type="expression" dxfId="2" priority="2339">
      <formula>AND(BT42&gt;=1,FF42&lt;&gt;0, GetEquPower(C42,BN42, DE42, FS42)=0)</formula>
    </cfRule>
    <cfRule type="expression" dxfId="1" priority="2340">
      <formula>AND(BT42&gt;=1,FF42&lt;&gt;GetEquPower(C42,BN42, DE42, FS42))</formula>
    </cfRule>
  </conditionalFormatting>
  <conditionalFormatting sqref="FG42">
    <cfRule type="expression" dxfId="2" priority="2341">
      <formula>AND(BT42&gt;=2,FG42&lt;&gt;0, GetEquPower(C42,BN42, DF42, FS42)=0)</formula>
    </cfRule>
    <cfRule type="expression" dxfId="1" priority="2342">
      <formula>AND(BT42&gt;=2,FG42&lt;&gt;GetEquPower(C42,BN42, DF42, FS42))</formula>
    </cfRule>
  </conditionalFormatting>
  <conditionalFormatting sqref="FH42">
    <cfRule type="expression" dxfId="2" priority="2343">
      <formula>AND(BT42&gt;=3,FH42&lt;&gt;0, GetEquPower(C42,BN42, DG42, FS42)=0)</formula>
    </cfRule>
    <cfRule type="expression" dxfId="1" priority="2344">
      <formula>AND(BT42&gt;=3,FH42&lt;&gt;GetEquPower(C42,BN42, DG42, FS42))</formula>
    </cfRule>
  </conditionalFormatting>
  <conditionalFormatting sqref="DZ42">
    <cfRule type="expression" dxfId="2" priority="2345">
      <formula>AND(BO42&gt;=4,DZ42&lt;&gt;0, GetEquPower(C42,BI42, CD42, FN42)=0)</formula>
    </cfRule>
    <cfRule type="expression" dxfId="1" priority="2346">
      <formula>AND(BO42&gt;=4, DZ42&lt;&gt;GetEquPower(C42,BI42, CD42, FN42))</formula>
    </cfRule>
  </conditionalFormatting>
  <conditionalFormatting sqref="EG42">
    <cfRule type="expression" dxfId="2" priority="2347">
      <formula>AND(BP42&gt;=4,EG42&lt;&gt;0, GetEquPower(C42,BJ42, CJ42, FO42)=0)</formula>
    </cfRule>
    <cfRule type="expression" dxfId="1" priority="2348">
      <formula>AND(BP42&gt;=4,EG42&lt;&gt;GetEquPower(C42,BJ42, CJ42, FO42))</formula>
    </cfRule>
  </conditionalFormatting>
  <conditionalFormatting sqref="EN42">
    <cfRule type="expression" dxfId="2" priority="2349">
      <formula>AND(BQ42&gt;=4,EN42&lt;&gt;0, GetEquPower(C42,BK42, CP42, FP42)=0)</formula>
    </cfRule>
    <cfRule type="expression" dxfId="1" priority="2350">
      <formula xml:space="preserve"> AND(BQ42&gt;=4,EN42&lt;&gt;GetEquPower(C42,BK42, CP42, FP42))</formula>
    </cfRule>
  </conditionalFormatting>
  <conditionalFormatting sqref="EU42">
    <cfRule type="expression" dxfId="2" priority="2351">
      <formula>AND(BR42&gt;=4,EU42&lt;&gt;0, GetEquPower(C42,BL42, CV42, FQ42)=0)</formula>
    </cfRule>
    <cfRule type="expression" dxfId="1" priority="2352">
      <formula>AND(BR42&gt;=4,EU42&lt;&gt;GetEquPower(C42,BL42, CV42, FQ42))</formula>
    </cfRule>
  </conditionalFormatting>
  <conditionalFormatting sqref="FB42">
    <cfRule type="expression" dxfId="2" priority="2353">
      <formula>AND(BS42&gt;=4,FB42&lt;&gt;0, GetEquPower(C42,BM42, DB42, FR42)=0)</formula>
    </cfRule>
    <cfRule type="expression" dxfId="1" priority="2354">
      <formula>AND(BS42&gt;=4,FB42&lt;&gt;GetEquPower(C42,BM42, DB42, FR42))</formula>
    </cfRule>
  </conditionalFormatting>
  <conditionalFormatting sqref="FI42">
    <cfRule type="expression" dxfId="2" priority="2355">
      <formula>AND(BT42&gt;=4,FI42&lt;&gt;0, GetEquPower(C42,BN42, DH42, FS42)=0)</formula>
    </cfRule>
    <cfRule type="expression" dxfId="1" priority="2356">
      <formula>AND(BT42&gt;=4,FI42&lt;&gt;GetEquPower(C42,BN42, DH42, FS42))</formula>
    </cfRule>
  </conditionalFormatting>
  <conditionalFormatting sqref="EA42">
    <cfRule type="expression" dxfId="2" priority="2357">
      <formula>AND(BO42&gt;=5,EA42&lt;&gt;0, GetEquPower(C42,BI42, CE42, FN42)=0)</formula>
    </cfRule>
    <cfRule type="expression" dxfId="1" priority="2358">
      <formula>AND(BO42&gt;=5, EA42&lt;&gt;GetEquPower(C42,BI42, CE42, FN42))</formula>
    </cfRule>
  </conditionalFormatting>
  <conditionalFormatting sqref="EB42">
    <cfRule type="expression" dxfId="2" priority="2359">
      <formula>AND(BO42&gt;=6,EB42&lt;&gt;0, GetEquPower(C42,BI42, CF42, FN42)=0)</formula>
    </cfRule>
    <cfRule type="expression" dxfId="1" priority="2360">
      <formula>AND(BO42&gt;=6, EB42&lt;&gt;GetEquPower(C42,BI42, CF42, FN42))</formula>
    </cfRule>
  </conditionalFormatting>
  <conditionalFormatting sqref="EH42">
    <cfRule type="expression" dxfId="2" priority="2361">
      <formula>AND(BP42&gt;=5,EH42&lt;&gt;0, GetEquPower(C42,BJ42, CK42, FO42)=0)</formula>
    </cfRule>
    <cfRule type="expression" dxfId="1" priority="2362">
      <formula>AND(BP42&gt;=5,EH42&lt;&gt;GetEquPower(C42,BJ42, CK42, FO42))</formula>
    </cfRule>
  </conditionalFormatting>
  <conditionalFormatting sqref="EI42">
    <cfRule type="expression" dxfId="2" priority="2363">
      <formula>AND(BP42&gt;=6,EI42&lt;&gt;0, GetEquPower(C42,BJ42, CL42, FO42)=0)</formula>
    </cfRule>
    <cfRule type="expression" dxfId="1" priority="2364">
      <formula>AND(BP42&gt;=6,EI42&lt;&gt;GetEquPower(C42,BJ42, CL42, FO42))</formula>
    </cfRule>
  </conditionalFormatting>
  <conditionalFormatting sqref="EO42">
    <cfRule type="expression" dxfId="2" priority="2365">
      <formula>AND(BQ42&gt;=5,EO42&lt;&gt;0, GetEquPower(C42,BK42, CQ42, FP42)=0)</formula>
    </cfRule>
    <cfRule type="expression" dxfId="1" priority="2366">
      <formula xml:space="preserve"> AND(BQ42&gt;=5,EO42&lt;&gt;GetEquPower(C42,BK42, CQ42, FP42))</formula>
    </cfRule>
  </conditionalFormatting>
  <conditionalFormatting sqref="EP42">
    <cfRule type="expression" dxfId="2" priority="2367">
      <formula>AND(BQ42&gt;=6,EP42&lt;&gt;0, GetEquPower(C42,BK42, CR42, FP42)=0)</formula>
    </cfRule>
    <cfRule type="expression" dxfId="1" priority="2368">
      <formula xml:space="preserve"> AND(BQ42&gt;=6,EP42&lt;&gt;GetEquPower(C42,BK42, CR42, FP42))</formula>
    </cfRule>
  </conditionalFormatting>
  <conditionalFormatting sqref="EV42">
    <cfRule type="expression" dxfId="2" priority="2369">
      <formula>AND(BR42&gt;=5,EV42&lt;&gt;0, GetEquPower(C42,BL42, CW42, FQ42)=0)</formula>
    </cfRule>
    <cfRule type="expression" dxfId="1" priority="2370">
      <formula>AND(BR42&gt;=5,EV42&lt;&gt;GetEquPower(C42,BL42, CW42, FQ42))</formula>
    </cfRule>
  </conditionalFormatting>
  <conditionalFormatting sqref="EW42">
    <cfRule type="expression" dxfId="2" priority="2371">
      <formula>AND(BR42&gt;=6,EW42&lt;&gt;0, GetEquPower(C42,BL42, CX42, FQ42)=0)</formula>
    </cfRule>
    <cfRule type="expression" dxfId="1" priority="2372">
      <formula>AND(BR42&gt;=6,EW42&lt;&gt;GetEquPower(C42,BL42, CX42, FQ42))</formula>
    </cfRule>
  </conditionalFormatting>
  <conditionalFormatting sqref="FC42">
    <cfRule type="expression" dxfId="2" priority="2373">
      <formula>AND(BS42&gt;=5,FC42&lt;&gt;0, GetEquPower(C42,BM42, DC42, FR42)=0)</formula>
    </cfRule>
    <cfRule type="expression" dxfId="1" priority="2374">
      <formula>AND(BS42&gt;=5,FC42&lt;&gt;GetEquPower(C42,BM42, DC42, FR42))</formula>
    </cfRule>
  </conditionalFormatting>
  <conditionalFormatting sqref="FD42">
    <cfRule type="expression" dxfId="2" priority="2375">
      <formula>AND(BS42&gt;=6,FD42&lt;&gt;0, GetEquPower(C42,BM42, DD42, FR42)=0)</formula>
    </cfRule>
    <cfRule type="expression" dxfId="1" priority="2376">
      <formula>AND(BS42&gt;=6,FD42&lt;&gt;GetEquPower(C42,BM42, DD42, FR42))</formula>
    </cfRule>
  </conditionalFormatting>
  <conditionalFormatting sqref="FJ42">
    <cfRule type="expression" dxfId="2" priority="2377">
      <formula>AND(BT42&gt;=5,FJ42&lt;&gt;0, GetEquPower(C42,BN42, DI42, FS42)=0)</formula>
    </cfRule>
    <cfRule type="expression" dxfId="1" priority="2378">
      <formula>AND(BT42&gt;=5,FJ42&lt;&gt;GetEquPower(C42,BN42, DI42, FS42))</formula>
    </cfRule>
  </conditionalFormatting>
  <conditionalFormatting sqref="FK42">
    <cfRule type="expression" dxfId="2" priority="2379">
      <formula>AND(BT42&gt;=6,FK42&lt;&gt;0, GetEquPower(C42,BN42, DJ42, FS42)=0)</formula>
    </cfRule>
    <cfRule type="expression" dxfId="1" priority="2380">
      <formula>AND(BT42&gt;=6,FK42&lt;&gt;GetEquPower(C42,BN42, DJ42, FS42))</formula>
    </cfRule>
  </conditionalFormatting>
  <conditionalFormatting sqref="W42">
    <cfRule type="expression" dxfId="0" priority="2296">
      <formula xml:space="preserve"> NOT(ISLOGICAL($W$2))</formula>
    </cfRule>
  </conditionalFormatting>
  <conditionalFormatting sqref="F43">
    <cfRule type="expression" dxfId="0" priority="2223">
      <formula>F43&lt;&gt;RIGHT(SUBSTITUTE(E43,".",""),LEN(F43))</formula>
    </cfRule>
  </conditionalFormatting>
  <conditionalFormatting sqref="X43">
    <cfRule type="expression" dxfId="0" priority="2218">
      <formula xml:space="preserve"> NOT(ISLOGICAL($X$2))</formula>
    </cfRule>
    <cfRule type="expression" dxfId="0" priority="2222">
      <formula>AND(X43=TRUE,W43=FALSE)</formula>
    </cfRule>
  </conditionalFormatting>
  <conditionalFormatting sqref="Y43">
    <cfRule type="expression" dxfId="0" priority="2221">
      <formula>OR(AND(X43=FALSE,INT(Y43)&gt;0),AND(X43=TRUE,INT(Y43)&lt;=0))</formula>
    </cfRule>
  </conditionalFormatting>
  <conditionalFormatting sqref="AA43">
    <cfRule type="expression" dxfId="0" priority="2220">
      <formula>AND(Z43=FALSE,AA43&gt;0)</formula>
    </cfRule>
  </conditionalFormatting>
  <conditionalFormatting sqref="BV43:HY43">
    <cfRule type="containsErrors" dxfId="0" priority="2219">
      <formula>ISERROR(BV43)</formula>
    </cfRule>
  </conditionalFormatting>
  <conditionalFormatting sqref="Z43">
    <cfRule type="expression" dxfId="0" priority="2217">
      <formula>NOT(ISLOGICAL($Z$2))</formula>
    </cfRule>
  </conditionalFormatting>
  <conditionalFormatting sqref="AB43">
    <cfRule type="expression" dxfId="0" priority="2216">
      <formula>NOT(ISLOGICAL($AB$2))</formula>
    </cfRule>
  </conditionalFormatting>
  <conditionalFormatting sqref="AC43">
    <cfRule type="expression" dxfId="0" priority="2215">
      <formula>NOT(ISLOGICAL($AC$2))</formula>
    </cfRule>
  </conditionalFormatting>
  <conditionalFormatting sqref="B43:BU43">
    <cfRule type="containsErrors" dxfId="0" priority="2214">
      <formula>ISERROR(B43)</formula>
    </cfRule>
  </conditionalFormatting>
  <conditionalFormatting sqref="I43">
    <cfRule type="expression" dxfId="0" priority="2213">
      <formula>NOT(ISNUMBER($I$2))</formula>
    </cfRule>
  </conditionalFormatting>
  <conditionalFormatting sqref="D43">
    <cfRule type="expression" dxfId="0" priority="2212">
      <formula>ISBLANK($D$2)</formula>
    </cfRule>
  </conditionalFormatting>
  <conditionalFormatting sqref="DW43">
    <cfRule type="expression" dxfId="2" priority="2224">
      <formula>AND(BO43&gt;=1,DW43&lt;&gt;0, GetEquPower(C43,BI43, CA43, FN43)=0)</formula>
    </cfRule>
    <cfRule type="expression" dxfId="1" priority="2225">
      <formula>AND(BO43&gt;=1,DW43&lt;&gt;GetEquPower(C43,BI43, CA43, FN43))</formula>
    </cfRule>
  </conditionalFormatting>
  <conditionalFormatting sqref="DX43">
    <cfRule type="expression" dxfId="2" priority="2226">
      <formula>AND(BO43&gt;=2,DX43&lt;&gt;0, GetEquPower(C43,BI43, CB43, FN43)=0)</formula>
    </cfRule>
    <cfRule type="expression" dxfId="1" priority="2227">
      <formula>AND(BO43&gt;=2,DX43&lt;&gt;GetEquPower(C43,BI43, CB43, FN43))</formula>
    </cfRule>
  </conditionalFormatting>
  <conditionalFormatting sqref="DY43">
    <cfRule type="expression" dxfId="2" priority="2228">
      <formula>AND(BO43&gt;=3,DY43&lt;&gt;0, GetEquPower(C43,BI43, CC43, FN43)=0)</formula>
    </cfRule>
    <cfRule type="expression" dxfId="1" priority="2229">
      <formula>AND(BO43&gt;=3,DY43&lt;&gt;GetEquPower(C43,BI43, CC43, FN43))</formula>
    </cfRule>
  </conditionalFormatting>
  <conditionalFormatting sqref="ED43">
    <cfRule type="expression" dxfId="2" priority="2230">
      <formula>AND(BP43&gt;=1,ED43&lt;&gt;0, GetEquPower(C43,BJ43, CG43, FO43)=0)</formula>
    </cfRule>
    <cfRule type="expression" dxfId="1" priority="2231">
      <formula>AND(BP43&gt;=1,ED43&lt;&gt;GetEquPower(C43,BJ43, CG43, FO43))</formula>
    </cfRule>
  </conditionalFormatting>
  <conditionalFormatting sqref="EE43">
    <cfRule type="expression" dxfId="2" priority="2232">
      <formula>AND(BP43&gt;=2,EE43&lt;&gt;0, GetEquPower(C43,BJ43, CH43, FO43)=0)</formula>
    </cfRule>
    <cfRule type="expression" dxfId="1" priority="2233">
      <formula>AND(BP43&gt;=2,EE43&lt;&gt;GetEquPower(C43,BJ43, CH43, FO43))</formula>
    </cfRule>
  </conditionalFormatting>
  <conditionalFormatting sqref="EF43">
    <cfRule type="expression" dxfId="2" priority="2234">
      <formula>AND(BP43&gt;=3,EF43&lt;&gt;0, GetEquPower(C43,BJ43, CI43, FO43)=0)</formula>
    </cfRule>
    <cfRule type="expression" dxfId="1" priority="2235">
      <formula>AND(BP43&gt;=3,EF43&lt;&gt;GetEquPower(C43,BJ43, CI43, FO43))</formula>
    </cfRule>
  </conditionalFormatting>
  <conditionalFormatting sqref="EK43">
    <cfRule type="expression" dxfId="2" priority="2236">
      <formula>AND(BQ43&gt;=1,EK43&lt;&gt;0, GetEquPower(C43,BK43, CM43, FP43)=0)</formula>
    </cfRule>
    <cfRule type="expression" dxfId="1" priority="2237">
      <formula>AND(BQ43&gt;=1,EK43&lt;&gt;GetEquPower(C43,BK43, CM43, FP43))</formula>
    </cfRule>
  </conditionalFormatting>
  <conditionalFormatting sqref="EL43">
    <cfRule type="expression" dxfId="2" priority="2238">
      <formula>AND(BQ43&gt;=2,EL43&lt;&gt;0, GetEquPower(C43,BK43, CN43, FP43)=0)</formula>
    </cfRule>
    <cfRule type="expression" dxfId="1" priority="2239">
      <formula xml:space="preserve"> AND(BQ43&gt;=2,EL43&lt;&gt;GetEquPower(C43,BK43, CN43, FP43))</formula>
    </cfRule>
  </conditionalFormatting>
  <conditionalFormatting sqref="EM43">
    <cfRule type="expression" dxfId="2" priority="2240">
      <formula>AND(BQ43&gt;=3,EM43&lt;&gt;0, GetEquPower(C43,BK43, CO43, FP43)=0)</formula>
    </cfRule>
    <cfRule type="expression" dxfId="1" priority="2241">
      <formula xml:space="preserve"> AND(BQ43&gt;=3,EM43&lt;&gt;GetEquPower(C43,BK43, CO43, FP43))</formula>
    </cfRule>
  </conditionalFormatting>
  <conditionalFormatting sqref="ER43">
    <cfRule type="expression" dxfId="2" priority="2242">
      <formula>AND(BR43&gt;=1,ER43&lt;&gt;0, GetEquPower(C43,BL43, CS43, FQ43)=0)</formula>
    </cfRule>
    <cfRule type="expression" dxfId="1" priority="2243">
      <formula>AND(BR43&gt;=1,ER43&lt;&gt;GetEquPower(C43,BL43, CS43, FQ43))</formula>
    </cfRule>
  </conditionalFormatting>
  <conditionalFormatting sqref="ES43">
    <cfRule type="expression" dxfId="2" priority="2244">
      <formula>AND(BR43&gt;=2,ES43&lt;&gt;0, GetEquPower(C43,BL43, CT43, FQ43)=0)</formula>
    </cfRule>
    <cfRule type="expression" dxfId="1" priority="2245">
      <formula>AND(BR43&gt;=2,ES43&lt;&gt;GetEquPower(C43,BL43, CT43, FQ43))</formula>
    </cfRule>
  </conditionalFormatting>
  <conditionalFormatting sqref="ET43">
    <cfRule type="expression" dxfId="2" priority="2246">
      <formula>AND(BR43&gt;=3,ET43&lt;&gt;0, GetEquPower(C43,BL43, CU43, FQ43)=0)</formula>
    </cfRule>
    <cfRule type="expression" dxfId="1" priority="2247">
      <formula>AND(BR43&gt;=3,ET43&lt;&gt;GetEquPower(C43,BL43, CU43, FQ43))</formula>
    </cfRule>
  </conditionalFormatting>
  <conditionalFormatting sqref="EY43">
    <cfRule type="expression" dxfId="2" priority="2248">
      <formula>AND(BS43&gt;=1,EY43&lt;&gt;0, GetEquPower(C43,BM43, CY43, FR43)=0)</formula>
    </cfRule>
    <cfRule type="expression" dxfId="1" priority="2249">
      <formula>AND(BS43&gt;=1,EY43&lt;&gt;GetEquPower(C43,BM43, CY43, FR43))</formula>
    </cfRule>
  </conditionalFormatting>
  <conditionalFormatting sqref="EZ43">
    <cfRule type="expression" dxfId="2" priority="2250">
      <formula>AND(BS43&gt;=2,EZ43&lt;&gt;0, GetEquPower(C43,BM43, CZ43, FR43)=0)</formula>
    </cfRule>
    <cfRule type="expression" dxfId="1" priority="2251">
      <formula>AND(BS43&gt;=2,EZ43&lt;&gt;GetEquPower(C43,BM43, CZ43, FR43))</formula>
    </cfRule>
  </conditionalFormatting>
  <conditionalFormatting sqref="FA43">
    <cfRule type="expression" dxfId="2" priority="2252">
      <formula>AND(BS43&gt;=3,FA43&lt;&gt;0, GetEquPower(C43,BM43, DA43, FR43)=0)</formula>
    </cfRule>
    <cfRule type="expression" dxfId="1" priority="2253">
      <formula>AND(BS43&gt;=3,FA43&lt;&gt;GetEquPower(C43,BM43, DA43, FR43))</formula>
    </cfRule>
  </conditionalFormatting>
  <conditionalFormatting sqref="FF43">
    <cfRule type="expression" dxfId="2" priority="2254">
      <formula>AND(BT43&gt;=1,FF43&lt;&gt;0, GetEquPower(C43,BN43, DE43, FS43)=0)</formula>
    </cfRule>
    <cfRule type="expression" dxfId="1" priority="2255">
      <formula>AND(BT43&gt;=1,FF43&lt;&gt;GetEquPower(C43,BN43, DE43, FS43))</formula>
    </cfRule>
  </conditionalFormatting>
  <conditionalFormatting sqref="FG43">
    <cfRule type="expression" dxfId="2" priority="2256">
      <formula>AND(BT43&gt;=2,FG43&lt;&gt;0, GetEquPower(C43,BN43, DF43, FS43)=0)</formula>
    </cfRule>
    <cfRule type="expression" dxfId="1" priority="2257">
      <formula>AND(BT43&gt;=2,FG43&lt;&gt;GetEquPower(C43,BN43, DF43, FS43))</formula>
    </cfRule>
  </conditionalFormatting>
  <conditionalFormatting sqref="FH43">
    <cfRule type="expression" dxfId="2" priority="2258">
      <formula>AND(BT43&gt;=3,FH43&lt;&gt;0, GetEquPower(C43,BN43, DG43, FS43)=0)</formula>
    </cfRule>
    <cfRule type="expression" dxfId="1" priority="2259">
      <formula>AND(BT43&gt;=3,FH43&lt;&gt;GetEquPower(C43,BN43, DG43, FS43))</formula>
    </cfRule>
  </conditionalFormatting>
  <conditionalFormatting sqref="DZ43">
    <cfRule type="expression" dxfId="2" priority="2260">
      <formula>AND(BO43&gt;=4,DZ43&lt;&gt;0, GetEquPower(C43,BI43, CD43, FN43)=0)</formula>
    </cfRule>
    <cfRule type="expression" dxfId="1" priority="2261">
      <formula>AND(BO43&gt;=4, DZ43&lt;&gt;GetEquPower(C43,BI43, CD43, FN43))</formula>
    </cfRule>
  </conditionalFormatting>
  <conditionalFormatting sqref="EG43">
    <cfRule type="expression" dxfId="2" priority="2262">
      <formula>AND(BP43&gt;=4,EG43&lt;&gt;0, GetEquPower(C43,BJ43, CJ43, FO43)=0)</formula>
    </cfRule>
    <cfRule type="expression" dxfId="1" priority="2263">
      <formula>AND(BP43&gt;=4,EG43&lt;&gt;GetEquPower(C43,BJ43, CJ43, FO43))</formula>
    </cfRule>
  </conditionalFormatting>
  <conditionalFormatting sqref="EN43">
    <cfRule type="expression" dxfId="2" priority="2264">
      <formula>AND(BQ43&gt;=4,EN43&lt;&gt;0, GetEquPower(C43,BK43, CP43, FP43)=0)</formula>
    </cfRule>
    <cfRule type="expression" dxfId="1" priority="2265">
      <formula xml:space="preserve"> AND(BQ43&gt;=4,EN43&lt;&gt;GetEquPower(C43,BK43, CP43, FP43))</formula>
    </cfRule>
  </conditionalFormatting>
  <conditionalFormatting sqref="EU43">
    <cfRule type="expression" dxfId="2" priority="2266">
      <formula>AND(BR43&gt;=4,EU43&lt;&gt;0, GetEquPower(C43,BL43, CV43, FQ43)=0)</formula>
    </cfRule>
    <cfRule type="expression" dxfId="1" priority="2267">
      <formula>AND(BR43&gt;=4,EU43&lt;&gt;GetEquPower(C43,BL43, CV43, FQ43))</formula>
    </cfRule>
  </conditionalFormatting>
  <conditionalFormatting sqref="FB43">
    <cfRule type="expression" dxfId="2" priority="2268">
      <formula>AND(BS43&gt;=4,FB43&lt;&gt;0, GetEquPower(C43,BM43, DB43, FR43)=0)</formula>
    </cfRule>
    <cfRule type="expression" dxfId="1" priority="2269">
      <formula>AND(BS43&gt;=4,FB43&lt;&gt;GetEquPower(C43,BM43, DB43, FR43))</formula>
    </cfRule>
  </conditionalFormatting>
  <conditionalFormatting sqref="FI43">
    <cfRule type="expression" dxfId="2" priority="2270">
      <formula>AND(BT43&gt;=4,FI43&lt;&gt;0, GetEquPower(C43,BN43, DH43, FS43)=0)</formula>
    </cfRule>
    <cfRule type="expression" dxfId="1" priority="2271">
      <formula>AND(BT43&gt;=4,FI43&lt;&gt;GetEquPower(C43,BN43, DH43, FS43))</formula>
    </cfRule>
  </conditionalFormatting>
  <conditionalFormatting sqref="EA43">
    <cfRule type="expression" dxfId="2" priority="2272">
      <formula>AND(BO43&gt;=5,EA43&lt;&gt;0, GetEquPower(C43,BI43, CE43, FN43)=0)</formula>
    </cfRule>
    <cfRule type="expression" dxfId="1" priority="2273">
      <formula>AND(BO43&gt;=5, EA43&lt;&gt;GetEquPower(C43,BI43, CE43, FN43))</formula>
    </cfRule>
  </conditionalFormatting>
  <conditionalFormatting sqref="EB43">
    <cfRule type="expression" dxfId="2" priority="2274">
      <formula>AND(BO43&gt;=6,EB43&lt;&gt;0, GetEquPower(C43,BI43, CF43, FN43)=0)</formula>
    </cfRule>
    <cfRule type="expression" dxfId="1" priority="2275">
      <formula>AND(BO43&gt;=6, EB43&lt;&gt;GetEquPower(C43,BI43, CF43, FN43))</formula>
    </cfRule>
  </conditionalFormatting>
  <conditionalFormatting sqref="EH43">
    <cfRule type="expression" dxfId="2" priority="2276">
      <formula>AND(BP43&gt;=5,EH43&lt;&gt;0, GetEquPower(C43,BJ43, CK43, FO43)=0)</formula>
    </cfRule>
    <cfRule type="expression" dxfId="1" priority="2277">
      <formula>AND(BP43&gt;=5,EH43&lt;&gt;GetEquPower(C43,BJ43, CK43, FO43))</formula>
    </cfRule>
  </conditionalFormatting>
  <conditionalFormatting sqref="EI43">
    <cfRule type="expression" dxfId="2" priority="2278">
      <formula>AND(BP43&gt;=6,EI43&lt;&gt;0, GetEquPower(C43,BJ43, CL43, FO43)=0)</formula>
    </cfRule>
    <cfRule type="expression" dxfId="1" priority="2279">
      <formula>AND(BP43&gt;=6,EI43&lt;&gt;GetEquPower(C43,BJ43, CL43, FO43))</formula>
    </cfRule>
  </conditionalFormatting>
  <conditionalFormatting sqref="EO43">
    <cfRule type="expression" dxfId="2" priority="2280">
      <formula>AND(BQ43&gt;=5,EO43&lt;&gt;0, GetEquPower(C43,BK43, CQ43, FP43)=0)</formula>
    </cfRule>
    <cfRule type="expression" dxfId="1" priority="2281">
      <formula xml:space="preserve"> AND(BQ43&gt;=5,EO43&lt;&gt;GetEquPower(C43,BK43, CQ43, FP43))</formula>
    </cfRule>
  </conditionalFormatting>
  <conditionalFormatting sqref="EP43">
    <cfRule type="expression" dxfId="2" priority="2282">
      <formula>AND(BQ43&gt;=6,EP43&lt;&gt;0, GetEquPower(C43,BK43, CR43, FP43)=0)</formula>
    </cfRule>
    <cfRule type="expression" dxfId="1" priority="2283">
      <formula xml:space="preserve"> AND(BQ43&gt;=6,EP43&lt;&gt;GetEquPower(C43,BK43, CR43, FP43))</formula>
    </cfRule>
  </conditionalFormatting>
  <conditionalFormatting sqref="EV43">
    <cfRule type="expression" dxfId="2" priority="2284">
      <formula>AND(BR43&gt;=5,EV43&lt;&gt;0, GetEquPower(C43,BL43, CW43, FQ43)=0)</formula>
    </cfRule>
    <cfRule type="expression" dxfId="1" priority="2285">
      <formula>AND(BR43&gt;=5,EV43&lt;&gt;GetEquPower(C43,BL43, CW43, FQ43))</formula>
    </cfRule>
  </conditionalFormatting>
  <conditionalFormatting sqref="EW43">
    <cfRule type="expression" dxfId="2" priority="2286">
      <formula>AND(BR43&gt;=6,EW43&lt;&gt;0, GetEquPower(C43,BL43, CX43, FQ43)=0)</formula>
    </cfRule>
    <cfRule type="expression" dxfId="1" priority="2287">
      <formula>AND(BR43&gt;=6,EW43&lt;&gt;GetEquPower(C43,BL43, CX43, FQ43))</formula>
    </cfRule>
  </conditionalFormatting>
  <conditionalFormatting sqref="FC43">
    <cfRule type="expression" dxfId="2" priority="2288">
      <formula>AND(BS43&gt;=5,FC43&lt;&gt;0, GetEquPower(C43,BM43, DC43, FR43)=0)</formula>
    </cfRule>
    <cfRule type="expression" dxfId="1" priority="2289">
      <formula>AND(BS43&gt;=5,FC43&lt;&gt;GetEquPower(C43,BM43, DC43, FR43))</formula>
    </cfRule>
  </conditionalFormatting>
  <conditionalFormatting sqref="FD43">
    <cfRule type="expression" dxfId="2" priority="2290">
      <formula>AND(BS43&gt;=6,FD43&lt;&gt;0, GetEquPower(C43,BM43, DD43, FR43)=0)</formula>
    </cfRule>
    <cfRule type="expression" dxfId="1" priority="2291">
      <formula>AND(BS43&gt;=6,FD43&lt;&gt;GetEquPower(C43,BM43, DD43, FR43))</formula>
    </cfRule>
  </conditionalFormatting>
  <conditionalFormatting sqref="FJ43">
    <cfRule type="expression" dxfId="2" priority="2292">
      <formula>AND(BT43&gt;=5,FJ43&lt;&gt;0, GetEquPower(C43,BN43, DI43, FS43)=0)</formula>
    </cfRule>
    <cfRule type="expression" dxfId="1" priority="2293">
      <formula>AND(BT43&gt;=5,FJ43&lt;&gt;GetEquPower(C43,BN43, DI43, FS43))</formula>
    </cfRule>
  </conditionalFormatting>
  <conditionalFormatting sqref="FK43">
    <cfRule type="expression" dxfId="2" priority="2294">
      <formula>AND(BT43&gt;=6,FK43&lt;&gt;0, GetEquPower(C43,BN43, DJ43, FS43)=0)</formula>
    </cfRule>
    <cfRule type="expression" dxfId="1" priority="2295">
      <formula>AND(BT43&gt;=6,FK43&lt;&gt;GetEquPower(C43,BN43, DJ43, FS43))</formula>
    </cfRule>
  </conditionalFormatting>
  <conditionalFormatting sqref="W43">
    <cfRule type="expression" dxfId="0" priority="2211">
      <formula xml:space="preserve"> NOT(ISLOGICAL($W$2))</formula>
    </cfRule>
  </conditionalFormatting>
  <conditionalFormatting sqref="F44">
    <cfRule type="expression" dxfId="0" priority="2138">
      <formula>F44&lt;&gt;RIGHT(SUBSTITUTE(E44,".",""),LEN(F44))</formula>
    </cfRule>
  </conditionalFormatting>
  <conditionalFormatting sqref="X44">
    <cfRule type="expression" dxfId="0" priority="2133">
      <formula xml:space="preserve"> NOT(ISLOGICAL($X$2))</formula>
    </cfRule>
    <cfRule type="expression" dxfId="0" priority="2137">
      <formula>AND(X44=TRUE,W44=FALSE)</formula>
    </cfRule>
  </conditionalFormatting>
  <conditionalFormatting sqref="Y44">
    <cfRule type="expression" dxfId="0" priority="2136">
      <formula>OR(AND(X44=FALSE,INT(Y44)&gt;0),AND(X44=TRUE,INT(Y44)&lt;=0))</formula>
    </cfRule>
  </conditionalFormatting>
  <conditionalFormatting sqref="AA44">
    <cfRule type="expression" dxfId="0" priority="2135">
      <formula>AND(Z44=FALSE,AA44&gt;0)</formula>
    </cfRule>
  </conditionalFormatting>
  <conditionalFormatting sqref="BV44:HY44">
    <cfRule type="containsErrors" dxfId="0" priority="2134">
      <formula>ISERROR(BV44)</formula>
    </cfRule>
  </conditionalFormatting>
  <conditionalFormatting sqref="Z44">
    <cfRule type="expression" dxfId="0" priority="2132">
      <formula>NOT(ISLOGICAL($Z$2))</formula>
    </cfRule>
  </conditionalFormatting>
  <conditionalFormatting sqref="AB44">
    <cfRule type="expression" dxfId="0" priority="2131">
      <formula>NOT(ISLOGICAL($AB$2))</formula>
    </cfRule>
  </conditionalFormatting>
  <conditionalFormatting sqref="AC44">
    <cfRule type="expression" dxfId="0" priority="2130">
      <formula>NOT(ISLOGICAL($AC$2))</formula>
    </cfRule>
  </conditionalFormatting>
  <conditionalFormatting sqref="B44:BU44">
    <cfRule type="containsErrors" dxfId="0" priority="2129">
      <formula>ISERROR(B44)</formula>
    </cfRule>
  </conditionalFormatting>
  <conditionalFormatting sqref="I44">
    <cfRule type="expression" dxfId="0" priority="2128">
      <formula>NOT(ISNUMBER($I$2))</formula>
    </cfRule>
  </conditionalFormatting>
  <conditionalFormatting sqref="D44">
    <cfRule type="expression" dxfId="0" priority="2127">
      <formula>ISBLANK($D$2)</formula>
    </cfRule>
  </conditionalFormatting>
  <conditionalFormatting sqref="DW44">
    <cfRule type="expression" dxfId="2" priority="2139">
      <formula>AND(BO44&gt;=1,DW44&lt;&gt;0, GetEquPower(C44,BI44, CA44, FN44)=0)</formula>
    </cfRule>
    <cfRule type="expression" dxfId="1" priority="2140">
      <formula>AND(BO44&gt;=1,DW44&lt;&gt;GetEquPower(C44,BI44, CA44, FN44))</formula>
    </cfRule>
  </conditionalFormatting>
  <conditionalFormatting sqref="DX44">
    <cfRule type="expression" dxfId="2" priority="2141">
      <formula>AND(BO44&gt;=2,DX44&lt;&gt;0, GetEquPower(C44,BI44, CB44, FN44)=0)</formula>
    </cfRule>
    <cfRule type="expression" dxfId="1" priority="2142">
      <formula>AND(BO44&gt;=2,DX44&lt;&gt;GetEquPower(C44,BI44, CB44, FN44))</formula>
    </cfRule>
  </conditionalFormatting>
  <conditionalFormatting sqref="DY44">
    <cfRule type="expression" dxfId="2" priority="2143">
      <formula>AND(BO44&gt;=3,DY44&lt;&gt;0, GetEquPower(C44,BI44, CC44, FN44)=0)</formula>
    </cfRule>
    <cfRule type="expression" dxfId="1" priority="2144">
      <formula>AND(BO44&gt;=3,DY44&lt;&gt;GetEquPower(C44,BI44, CC44, FN44))</formula>
    </cfRule>
  </conditionalFormatting>
  <conditionalFormatting sqref="ED44">
    <cfRule type="expression" dxfId="2" priority="2145">
      <formula>AND(BP44&gt;=1,ED44&lt;&gt;0, GetEquPower(C44,BJ44, CG44, FO44)=0)</formula>
    </cfRule>
    <cfRule type="expression" dxfId="1" priority="2146">
      <formula>AND(BP44&gt;=1,ED44&lt;&gt;GetEquPower(C44,BJ44, CG44, FO44))</formula>
    </cfRule>
  </conditionalFormatting>
  <conditionalFormatting sqref="EE44">
    <cfRule type="expression" dxfId="2" priority="2147">
      <formula>AND(BP44&gt;=2,EE44&lt;&gt;0, GetEquPower(C44,BJ44, CH44, FO44)=0)</formula>
    </cfRule>
    <cfRule type="expression" dxfId="1" priority="2148">
      <formula>AND(BP44&gt;=2,EE44&lt;&gt;GetEquPower(C44,BJ44, CH44, FO44))</formula>
    </cfRule>
  </conditionalFormatting>
  <conditionalFormatting sqref="EF44">
    <cfRule type="expression" dxfId="2" priority="2149">
      <formula>AND(BP44&gt;=3,EF44&lt;&gt;0, GetEquPower(C44,BJ44, CI44, FO44)=0)</formula>
    </cfRule>
    <cfRule type="expression" dxfId="1" priority="2150">
      <formula>AND(BP44&gt;=3,EF44&lt;&gt;GetEquPower(C44,BJ44, CI44, FO44))</formula>
    </cfRule>
  </conditionalFormatting>
  <conditionalFormatting sqref="EK44">
    <cfRule type="expression" dxfId="2" priority="2151">
      <formula>AND(BQ44&gt;=1,EK44&lt;&gt;0, GetEquPower(C44,BK44, CM44, FP44)=0)</formula>
    </cfRule>
    <cfRule type="expression" dxfId="1" priority="2152">
      <formula>AND(BQ44&gt;=1,EK44&lt;&gt;GetEquPower(C44,BK44, CM44, FP44))</formula>
    </cfRule>
  </conditionalFormatting>
  <conditionalFormatting sqref="EL44">
    <cfRule type="expression" dxfId="2" priority="2153">
      <formula>AND(BQ44&gt;=2,EL44&lt;&gt;0, GetEquPower(C44,BK44, CN44, FP44)=0)</formula>
    </cfRule>
    <cfRule type="expression" dxfId="1" priority="2154">
      <formula xml:space="preserve"> AND(BQ44&gt;=2,EL44&lt;&gt;GetEquPower(C44,BK44, CN44, FP44))</formula>
    </cfRule>
  </conditionalFormatting>
  <conditionalFormatting sqref="EM44">
    <cfRule type="expression" dxfId="2" priority="2155">
      <formula>AND(BQ44&gt;=3,EM44&lt;&gt;0, GetEquPower(C44,BK44, CO44, FP44)=0)</formula>
    </cfRule>
    <cfRule type="expression" dxfId="1" priority="2156">
      <formula xml:space="preserve"> AND(BQ44&gt;=3,EM44&lt;&gt;GetEquPower(C44,BK44, CO44, FP44))</formula>
    </cfRule>
  </conditionalFormatting>
  <conditionalFormatting sqref="ER44">
    <cfRule type="expression" dxfId="2" priority="2157">
      <formula>AND(BR44&gt;=1,ER44&lt;&gt;0, GetEquPower(C44,BL44, CS44, FQ44)=0)</formula>
    </cfRule>
    <cfRule type="expression" dxfId="1" priority="2158">
      <formula>AND(BR44&gt;=1,ER44&lt;&gt;GetEquPower(C44,BL44, CS44, FQ44))</formula>
    </cfRule>
  </conditionalFormatting>
  <conditionalFormatting sqref="ES44">
    <cfRule type="expression" dxfId="2" priority="2159">
      <formula>AND(BR44&gt;=2,ES44&lt;&gt;0, GetEquPower(C44,BL44, CT44, FQ44)=0)</formula>
    </cfRule>
    <cfRule type="expression" dxfId="1" priority="2160">
      <formula>AND(BR44&gt;=2,ES44&lt;&gt;GetEquPower(C44,BL44, CT44, FQ44))</formula>
    </cfRule>
  </conditionalFormatting>
  <conditionalFormatting sqref="ET44">
    <cfRule type="expression" dxfId="2" priority="2161">
      <formula>AND(BR44&gt;=3,ET44&lt;&gt;0, GetEquPower(C44,BL44, CU44, FQ44)=0)</formula>
    </cfRule>
    <cfRule type="expression" dxfId="1" priority="2162">
      <formula>AND(BR44&gt;=3,ET44&lt;&gt;GetEquPower(C44,BL44, CU44, FQ44))</formula>
    </cfRule>
  </conditionalFormatting>
  <conditionalFormatting sqref="EY44">
    <cfRule type="expression" dxfId="2" priority="2163">
      <formula>AND(BS44&gt;=1,EY44&lt;&gt;0, GetEquPower(C44,BM44, CY44, FR44)=0)</formula>
    </cfRule>
    <cfRule type="expression" dxfId="1" priority="2164">
      <formula>AND(BS44&gt;=1,EY44&lt;&gt;GetEquPower(C44,BM44, CY44, FR44))</formula>
    </cfRule>
  </conditionalFormatting>
  <conditionalFormatting sqref="EZ44">
    <cfRule type="expression" dxfId="2" priority="2165">
      <formula>AND(BS44&gt;=2,EZ44&lt;&gt;0, GetEquPower(C44,BM44, CZ44, FR44)=0)</formula>
    </cfRule>
    <cfRule type="expression" dxfId="1" priority="2166">
      <formula>AND(BS44&gt;=2,EZ44&lt;&gt;GetEquPower(C44,BM44, CZ44, FR44))</formula>
    </cfRule>
  </conditionalFormatting>
  <conditionalFormatting sqref="FA44">
    <cfRule type="expression" dxfId="2" priority="2167">
      <formula>AND(BS44&gt;=3,FA44&lt;&gt;0, GetEquPower(C44,BM44, DA44, FR44)=0)</formula>
    </cfRule>
    <cfRule type="expression" dxfId="1" priority="2168">
      <formula>AND(BS44&gt;=3,FA44&lt;&gt;GetEquPower(C44,BM44, DA44, FR44))</formula>
    </cfRule>
  </conditionalFormatting>
  <conditionalFormatting sqref="FF44">
    <cfRule type="expression" dxfId="2" priority="2169">
      <formula>AND(BT44&gt;=1,FF44&lt;&gt;0, GetEquPower(C44,BN44, DE44, FS44)=0)</formula>
    </cfRule>
    <cfRule type="expression" dxfId="1" priority="2170">
      <formula>AND(BT44&gt;=1,FF44&lt;&gt;GetEquPower(C44,BN44, DE44, FS44))</formula>
    </cfRule>
  </conditionalFormatting>
  <conditionalFormatting sqref="FG44">
    <cfRule type="expression" dxfId="2" priority="2171">
      <formula>AND(BT44&gt;=2,FG44&lt;&gt;0, GetEquPower(C44,BN44, DF44, FS44)=0)</formula>
    </cfRule>
    <cfRule type="expression" dxfId="1" priority="2172">
      <formula>AND(BT44&gt;=2,FG44&lt;&gt;GetEquPower(C44,BN44, DF44, FS44))</formula>
    </cfRule>
  </conditionalFormatting>
  <conditionalFormatting sqref="FH44">
    <cfRule type="expression" dxfId="2" priority="2173">
      <formula>AND(BT44&gt;=3,FH44&lt;&gt;0, GetEquPower(C44,BN44, DG44, FS44)=0)</formula>
    </cfRule>
    <cfRule type="expression" dxfId="1" priority="2174">
      <formula>AND(BT44&gt;=3,FH44&lt;&gt;GetEquPower(C44,BN44, DG44, FS44))</formula>
    </cfRule>
  </conditionalFormatting>
  <conditionalFormatting sqref="DZ44">
    <cfRule type="expression" dxfId="2" priority="2175">
      <formula>AND(BO44&gt;=4,DZ44&lt;&gt;0, GetEquPower(C44,BI44, CD44, FN44)=0)</formula>
    </cfRule>
    <cfRule type="expression" dxfId="1" priority="2176">
      <formula>AND(BO44&gt;=4, DZ44&lt;&gt;GetEquPower(C44,BI44, CD44, FN44))</formula>
    </cfRule>
  </conditionalFormatting>
  <conditionalFormatting sqref="EG44">
    <cfRule type="expression" dxfId="2" priority="2177">
      <formula>AND(BP44&gt;=4,EG44&lt;&gt;0, GetEquPower(C44,BJ44, CJ44, FO44)=0)</formula>
    </cfRule>
    <cfRule type="expression" dxfId="1" priority="2178">
      <formula>AND(BP44&gt;=4,EG44&lt;&gt;GetEquPower(C44,BJ44, CJ44, FO44))</formula>
    </cfRule>
  </conditionalFormatting>
  <conditionalFormatting sqref="EN44">
    <cfRule type="expression" dxfId="2" priority="2179">
      <formula>AND(BQ44&gt;=4,EN44&lt;&gt;0, GetEquPower(C44,BK44, CP44, FP44)=0)</formula>
    </cfRule>
    <cfRule type="expression" dxfId="1" priority="2180">
      <formula xml:space="preserve"> AND(BQ44&gt;=4,EN44&lt;&gt;GetEquPower(C44,BK44, CP44, FP44))</formula>
    </cfRule>
  </conditionalFormatting>
  <conditionalFormatting sqref="EU44">
    <cfRule type="expression" dxfId="2" priority="2181">
      <formula>AND(BR44&gt;=4,EU44&lt;&gt;0, GetEquPower(C44,BL44, CV44, FQ44)=0)</formula>
    </cfRule>
    <cfRule type="expression" dxfId="1" priority="2182">
      <formula>AND(BR44&gt;=4,EU44&lt;&gt;GetEquPower(C44,BL44, CV44, FQ44))</formula>
    </cfRule>
  </conditionalFormatting>
  <conditionalFormatting sqref="FB44">
    <cfRule type="expression" dxfId="2" priority="2183">
      <formula>AND(BS44&gt;=4,FB44&lt;&gt;0, GetEquPower(C44,BM44, DB44, FR44)=0)</formula>
    </cfRule>
    <cfRule type="expression" dxfId="1" priority="2184">
      <formula>AND(BS44&gt;=4,FB44&lt;&gt;GetEquPower(C44,BM44, DB44, FR44))</formula>
    </cfRule>
  </conditionalFormatting>
  <conditionalFormatting sqref="FI44">
    <cfRule type="expression" dxfId="2" priority="2185">
      <formula>AND(BT44&gt;=4,FI44&lt;&gt;0, GetEquPower(C44,BN44, DH44, FS44)=0)</formula>
    </cfRule>
    <cfRule type="expression" dxfId="1" priority="2186">
      <formula>AND(BT44&gt;=4,FI44&lt;&gt;GetEquPower(C44,BN44, DH44, FS44))</formula>
    </cfRule>
  </conditionalFormatting>
  <conditionalFormatting sqref="EA44">
    <cfRule type="expression" dxfId="2" priority="2187">
      <formula>AND(BO44&gt;=5,EA44&lt;&gt;0, GetEquPower(C44,BI44, CE44, FN44)=0)</formula>
    </cfRule>
    <cfRule type="expression" dxfId="1" priority="2188">
      <formula>AND(BO44&gt;=5, EA44&lt;&gt;GetEquPower(C44,BI44, CE44, FN44))</formula>
    </cfRule>
  </conditionalFormatting>
  <conditionalFormatting sqref="EB44">
    <cfRule type="expression" dxfId="2" priority="2189">
      <formula>AND(BO44&gt;=6,EB44&lt;&gt;0, GetEquPower(C44,BI44, CF44, FN44)=0)</formula>
    </cfRule>
    <cfRule type="expression" dxfId="1" priority="2190">
      <formula>AND(BO44&gt;=6, EB44&lt;&gt;GetEquPower(C44,BI44, CF44, FN44))</formula>
    </cfRule>
  </conditionalFormatting>
  <conditionalFormatting sqref="EH44">
    <cfRule type="expression" dxfId="2" priority="2191">
      <formula>AND(BP44&gt;=5,EH44&lt;&gt;0, GetEquPower(C44,BJ44, CK44, FO44)=0)</formula>
    </cfRule>
    <cfRule type="expression" dxfId="1" priority="2192">
      <formula>AND(BP44&gt;=5,EH44&lt;&gt;GetEquPower(C44,BJ44, CK44, FO44))</formula>
    </cfRule>
  </conditionalFormatting>
  <conditionalFormatting sqref="EI44">
    <cfRule type="expression" dxfId="2" priority="2193">
      <formula>AND(BP44&gt;=6,EI44&lt;&gt;0, GetEquPower(C44,BJ44, CL44, FO44)=0)</formula>
    </cfRule>
    <cfRule type="expression" dxfId="1" priority="2194">
      <formula>AND(BP44&gt;=6,EI44&lt;&gt;GetEquPower(C44,BJ44, CL44, FO44))</formula>
    </cfRule>
  </conditionalFormatting>
  <conditionalFormatting sqref="EO44">
    <cfRule type="expression" dxfId="2" priority="2195">
      <formula>AND(BQ44&gt;=5,EO44&lt;&gt;0, GetEquPower(C44,BK44, CQ44, FP44)=0)</formula>
    </cfRule>
    <cfRule type="expression" dxfId="1" priority="2196">
      <formula xml:space="preserve"> AND(BQ44&gt;=5,EO44&lt;&gt;GetEquPower(C44,BK44, CQ44, FP44))</formula>
    </cfRule>
  </conditionalFormatting>
  <conditionalFormatting sqref="EP44">
    <cfRule type="expression" dxfId="2" priority="2197">
      <formula>AND(BQ44&gt;=6,EP44&lt;&gt;0, GetEquPower(C44,BK44, CR44, FP44)=0)</formula>
    </cfRule>
    <cfRule type="expression" dxfId="1" priority="2198">
      <formula xml:space="preserve"> AND(BQ44&gt;=6,EP44&lt;&gt;GetEquPower(C44,BK44, CR44, FP44))</formula>
    </cfRule>
  </conditionalFormatting>
  <conditionalFormatting sqref="EV44">
    <cfRule type="expression" dxfId="2" priority="2199">
      <formula>AND(BR44&gt;=5,EV44&lt;&gt;0, GetEquPower(C44,BL44, CW44, FQ44)=0)</formula>
    </cfRule>
    <cfRule type="expression" dxfId="1" priority="2200">
      <formula>AND(BR44&gt;=5,EV44&lt;&gt;GetEquPower(C44,BL44, CW44, FQ44))</formula>
    </cfRule>
  </conditionalFormatting>
  <conditionalFormatting sqref="EW44">
    <cfRule type="expression" dxfId="2" priority="2201">
      <formula>AND(BR44&gt;=6,EW44&lt;&gt;0, GetEquPower(C44,BL44, CX44, FQ44)=0)</formula>
    </cfRule>
    <cfRule type="expression" dxfId="1" priority="2202">
      <formula>AND(BR44&gt;=6,EW44&lt;&gt;GetEquPower(C44,BL44, CX44, FQ44))</formula>
    </cfRule>
  </conditionalFormatting>
  <conditionalFormatting sqref="FC44">
    <cfRule type="expression" dxfId="2" priority="2203">
      <formula>AND(BS44&gt;=5,FC44&lt;&gt;0, GetEquPower(C44,BM44, DC44, FR44)=0)</formula>
    </cfRule>
    <cfRule type="expression" dxfId="1" priority="2204">
      <formula>AND(BS44&gt;=5,FC44&lt;&gt;GetEquPower(C44,BM44, DC44, FR44))</formula>
    </cfRule>
  </conditionalFormatting>
  <conditionalFormatting sqref="FD44">
    <cfRule type="expression" dxfId="2" priority="2205">
      <formula>AND(BS44&gt;=6,FD44&lt;&gt;0, GetEquPower(C44,BM44, DD44, FR44)=0)</formula>
    </cfRule>
    <cfRule type="expression" dxfId="1" priority="2206">
      <formula>AND(BS44&gt;=6,FD44&lt;&gt;GetEquPower(C44,BM44, DD44, FR44))</formula>
    </cfRule>
  </conditionalFormatting>
  <conditionalFormatting sqref="FJ44">
    <cfRule type="expression" dxfId="2" priority="2207">
      <formula>AND(BT44&gt;=5,FJ44&lt;&gt;0, GetEquPower(C44,BN44, DI44, FS44)=0)</formula>
    </cfRule>
    <cfRule type="expression" dxfId="1" priority="2208">
      <formula>AND(BT44&gt;=5,FJ44&lt;&gt;GetEquPower(C44,BN44, DI44, FS44))</formula>
    </cfRule>
  </conditionalFormatting>
  <conditionalFormatting sqref="FK44">
    <cfRule type="expression" dxfId="2" priority="2209">
      <formula>AND(BT44&gt;=6,FK44&lt;&gt;0, GetEquPower(C44,BN44, DJ44, FS44)=0)</formula>
    </cfRule>
    <cfRule type="expression" dxfId="1" priority="2210">
      <formula>AND(BT44&gt;=6,FK44&lt;&gt;GetEquPower(C44,BN44, DJ44, FS44))</formula>
    </cfRule>
  </conditionalFormatting>
  <conditionalFormatting sqref="W44">
    <cfRule type="expression" dxfId="0" priority="2126">
      <formula xml:space="preserve"> NOT(ISLOGICAL($W$2))</formula>
    </cfRule>
  </conditionalFormatting>
  <conditionalFormatting sqref="F45">
    <cfRule type="expression" dxfId="0" priority="2053">
      <formula>F45&lt;&gt;RIGHT(SUBSTITUTE(E45,".",""),LEN(F45))</formula>
    </cfRule>
  </conditionalFormatting>
  <conditionalFormatting sqref="X45">
    <cfRule type="expression" dxfId="0" priority="2048">
      <formula xml:space="preserve"> NOT(ISLOGICAL($X$2))</formula>
    </cfRule>
    <cfRule type="expression" dxfId="0" priority="2052">
      <formula>AND(X45=TRUE,W45=FALSE)</formula>
    </cfRule>
  </conditionalFormatting>
  <conditionalFormatting sqref="Y45">
    <cfRule type="expression" dxfId="0" priority="2051">
      <formula>OR(AND(X45=FALSE,INT(Y45)&gt;0),AND(X45=TRUE,INT(Y45)&lt;=0))</formula>
    </cfRule>
  </conditionalFormatting>
  <conditionalFormatting sqref="AA45">
    <cfRule type="expression" dxfId="0" priority="2050">
      <formula>AND(Z45=FALSE,AA45&gt;0)</formula>
    </cfRule>
  </conditionalFormatting>
  <conditionalFormatting sqref="BV45:HY45">
    <cfRule type="containsErrors" dxfId="0" priority="2049">
      <formula>ISERROR(BV45)</formula>
    </cfRule>
  </conditionalFormatting>
  <conditionalFormatting sqref="Z45">
    <cfRule type="expression" dxfId="0" priority="2047">
      <formula>NOT(ISLOGICAL($Z$2))</formula>
    </cfRule>
  </conditionalFormatting>
  <conditionalFormatting sqref="AB45">
    <cfRule type="expression" dxfId="0" priority="2046">
      <formula>NOT(ISLOGICAL($AB$2))</formula>
    </cfRule>
  </conditionalFormatting>
  <conditionalFormatting sqref="AC45">
    <cfRule type="expression" dxfId="0" priority="2045">
      <formula>NOT(ISLOGICAL($AC$2))</formula>
    </cfRule>
  </conditionalFormatting>
  <conditionalFormatting sqref="B45:BU45">
    <cfRule type="containsErrors" dxfId="0" priority="2044">
      <formula>ISERROR(B45)</formula>
    </cfRule>
  </conditionalFormatting>
  <conditionalFormatting sqref="I45">
    <cfRule type="expression" dxfId="0" priority="2043">
      <formula>NOT(ISNUMBER($I$2))</formula>
    </cfRule>
  </conditionalFormatting>
  <conditionalFormatting sqref="D45">
    <cfRule type="expression" dxfId="0" priority="2042">
      <formula>ISBLANK($D$2)</formula>
    </cfRule>
  </conditionalFormatting>
  <conditionalFormatting sqref="DW45">
    <cfRule type="expression" dxfId="2" priority="2054">
      <formula>AND(BO45&gt;=1,DW45&lt;&gt;0, GetEquPower(C45,BI45, CA45, FN45)=0)</formula>
    </cfRule>
    <cfRule type="expression" dxfId="1" priority="2055">
      <formula>AND(BO45&gt;=1,DW45&lt;&gt;GetEquPower(C45,BI45, CA45, FN45))</formula>
    </cfRule>
  </conditionalFormatting>
  <conditionalFormatting sqref="DX45">
    <cfRule type="expression" dxfId="2" priority="2056">
      <formula>AND(BO45&gt;=2,DX45&lt;&gt;0, GetEquPower(C45,BI45, CB45, FN45)=0)</formula>
    </cfRule>
    <cfRule type="expression" dxfId="1" priority="2057">
      <formula>AND(BO45&gt;=2,DX45&lt;&gt;GetEquPower(C45,BI45, CB45, FN45))</formula>
    </cfRule>
  </conditionalFormatting>
  <conditionalFormatting sqref="DY45">
    <cfRule type="expression" dxfId="2" priority="2058">
      <formula>AND(BO45&gt;=3,DY45&lt;&gt;0, GetEquPower(C45,BI45, CC45, FN45)=0)</formula>
    </cfRule>
    <cfRule type="expression" dxfId="1" priority="2059">
      <formula>AND(BO45&gt;=3,DY45&lt;&gt;GetEquPower(C45,BI45, CC45, FN45))</formula>
    </cfRule>
  </conditionalFormatting>
  <conditionalFormatting sqref="ED45">
    <cfRule type="expression" dxfId="2" priority="2060">
      <formula>AND(BP45&gt;=1,ED45&lt;&gt;0, GetEquPower(C45,BJ45, CG45, FO45)=0)</formula>
    </cfRule>
    <cfRule type="expression" dxfId="1" priority="2061">
      <formula>AND(BP45&gt;=1,ED45&lt;&gt;GetEquPower(C45,BJ45, CG45, FO45))</formula>
    </cfRule>
  </conditionalFormatting>
  <conditionalFormatting sqref="EE45">
    <cfRule type="expression" dxfId="2" priority="2062">
      <formula>AND(BP45&gt;=2,EE45&lt;&gt;0, GetEquPower(C45,BJ45, CH45, FO45)=0)</formula>
    </cfRule>
    <cfRule type="expression" dxfId="1" priority="2063">
      <formula>AND(BP45&gt;=2,EE45&lt;&gt;GetEquPower(C45,BJ45, CH45, FO45))</formula>
    </cfRule>
  </conditionalFormatting>
  <conditionalFormatting sqref="EF45">
    <cfRule type="expression" dxfId="2" priority="2064">
      <formula>AND(BP45&gt;=3,EF45&lt;&gt;0, GetEquPower(C45,BJ45, CI45, FO45)=0)</formula>
    </cfRule>
    <cfRule type="expression" dxfId="1" priority="2065">
      <formula>AND(BP45&gt;=3,EF45&lt;&gt;GetEquPower(C45,BJ45, CI45, FO45))</formula>
    </cfRule>
  </conditionalFormatting>
  <conditionalFormatting sqref="EK45">
    <cfRule type="expression" dxfId="2" priority="2066">
      <formula>AND(BQ45&gt;=1,EK45&lt;&gt;0, GetEquPower(C45,BK45, CM45, FP45)=0)</formula>
    </cfRule>
    <cfRule type="expression" dxfId="1" priority="2067">
      <formula>AND(BQ45&gt;=1,EK45&lt;&gt;GetEquPower(C45,BK45, CM45, FP45))</formula>
    </cfRule>
  </conditionalFormatting>
  <conditionalFormatting sqref="EL45">
    <cfRule type="expression" dxfId="2" priority="2068">
      <formula>AND(BQ45&gt;=2,EL45&lt;&gt;0, GetEquPower(C45,BK45, CN45, FP45)=0)</formula>
    </cfRule>
    <cfRule type="expression" dxfId="1" priority="2069">
      <formula xml:space="preserve"> AND(BQ45&gt;=2,EL45&lt;&gt;GetEquPower(C45,BK45, CN45, FP45))</formula>
    </cfRule>
  </conditionalFormatting>
  <conditionalFormatting sqref="EM45">
    <cfRule type="expression" dxfId="2" priority="2070">
      <formula>AND(BQ45&gt;=3,EM45&lt;&gt;0, GetEquPower(C45,BK45, CO45, FP45)=0)</formula>
    </cfRule>
    <cfRule type="expression" dxfId="1" priority="2071">
      <formula xml:space="preserve"> AND(BQ45&gt;=3,EM45&lt;&gt;GetEquPower(C45,BK45, CO45, FP45))</formula>
    </cfRule>
  </conditionalFormatting>
  <conditionalFormatting sqref="ER45">
    <cfRule type="expression" dxfId="2" priority="2072">
      <formula>AND(BR45&gt;=1,ER45&lt;&gt;0, GetEquPower(C45,BL45, CS45, FQ45)=0)</formula>
    </cfRule>
    <cfRule type="expression" dxfId="1" priority="2073">
      <formula>AND(BR45&gt;=1,ER45&lt;&gt;GetEquPower(C45,BL45, CS45, FQ45))</formula>
    </cfRule>
  </conditionalFormatting>
  <conditionalFormatting sqref="ES45">
    <cfRule type="expression" dxfId="2" priority="2074">
      <formula>AND(BR45&gt;=2,ES45&lt;&gt;0, GetEquPower(C45,BL45, CT45, FQ45)=0)</formula>
    </cfRule>
    <cfRule type="expression" dxfId="1" priority="2075">
      <formula>AND(BR45&gt;=2,ES45&lt;&gt;GetEquPower(C45,BL45, CT45, FQ45))</formula>
    </cfRule>
  </conditionalFormatting>
  <conditionalFormatting sqref="ET45">
    <cfRule type="expression" dxfId="2" priority="2076">
      <formula>AND(BR45&gt;=3,ET45&lt;&gt;0, GetEquPower(C45,BL45, CU45, FQ45)=0)</formula>
    </cfRule>
    <cfRule type="expression" dxfId="1" priority="2077">
      <formula>AND(BR45&gt;=3,ET45&lt;&gt;GetEquPower(C45,BL45, CU45, FQ45))</formula>
    </cfRule>
  </conditionalFormatting>
  <conditionalFormatting sqref="EY45">
    <cfRule type="expression" dxfId="2" priority="2078">
      <formula>AND(BS45&gt;=1,EY45&lt;&gt;0, GetEquPower(C45,BM45, CY45, FR45)=0)</formula>
    </cfRule>
    <cfRule type="expression" dxfId="1" priority="2079">
      <formula>AND(BS45&gt;=1,EY45&lt;&gt;GetEquPower(C45,BM45, CY45, FR45))</formula>
    </cfRule>
  </conditionalFormatting>
  <conditionalFormatting sqref="EZ45">
    <cfRule type="expression" dxfId="2" priority="2080">
      <formula>AND(BS45&gt;=2,EZ45&lt;&gt;0, GetEquPower(C45,BM45, CZ45, FR45)=0)</formula>
    </cfRule>
    <cfRule type="expression" dxfId="1" priority="2081">
      <formula>AND(BS45&gt;=2,EZ45&lt;&gt;GetEquPower(C45,BM45, CZ45, FR45))</formula>
    </cfRule>
  </conditionalFormatting>
  <conditionalFormatting sqref="FA45">
    <cfRule type="expression" dxfId="2" priority="2082">
      <formula>AND(BS45&gt;=3,FA45&lt;&gt;0, GetEquPower(C45,BM45, DA45, FR45)=0)</formula>
    </cfRule>
    <cfRule type="expression" dxfId="1" priority="2083">
      <formula>AND(BS45&gt;=3,FA45&lt;&gt;GetEquPower(C45,BM45, DA45, FR45))</formula>
    </cfRule>
  </conditionalFormatting>
  <conditionalFormatting sqref="FF45">
    <cfRule type="expression" dxfId="2" priority="2084">
      <formula>AND(BT45&gt;=1,FF45&lt;&gt;0, GetEquPower(C45,BN45, DE45, FS45)=0)</formula>
    </cfRule>
    <cfRule type="expression" dxfId="1" priority="2085">
      <formula>AND(BT45&gt;=1,FF45&lt;&gt;GetEquPower(C45,BN45, DE45, FS45))</formula>
    </cfRule>
  </conditionalFormatting>
  <conditionalFormatting sqref="FG45">
    <cfRule type="expression" dxfId="2" priority="2086">
      <formula>AND(BT45&gt;=2,FG45&lt;&gt;0, GetEquPower(C45,BN45, DF45, FS45)=0)</formula>
    </cfRule>
    <cfRule type="expression" dxfId="1" priority="2087">
      <formula>AND(BT45&gt;=2,FG45&lt;&gt;GetEquPower(C45,BN45, DF45, FS45))</formula>
    </cfRule>
  </conditionalFormatting>
  <conditionalFormatting sqref="FH45">
    <cfRule type="expression" dxfId="2" priority="2088">
      <formula>AND(BT45&gt;=3,FH45&lt;&gt;0, GetEquPower(C45,BN45, DG45, FS45)=0)</formula>
    </cfRule>
    <cfRule type="expression" dxfId="1" priority="2089">
      <formula>AND(BT45&gt;=3,FH45&lt;&gt;GetEquPower(C45,BN45, DG45, FS45))</formula>
    </cfRule>
  </conditionalFormatting>
  <conditionalFormatting sqref="DZ45">
    <cfRule type="expression" dxfId="2" priority="2090">
      <formula>AND(BO45&gt;=4,DZ45&lt;&gt;0, GetEquPower(C45,BI45, CD45, FN45)=0)</formula>
    </cfRule>
    <cfRule type="expression" dxfId="1" priority="2091">
      <formula>AND(BO45&gt;=4, DZ45&lt;&gt;GetEquPower(C45,BI45, CD45, FN45))</formula>
    </cfRule>
  </conditionalFormatting>
  <conditionalFormatting sqref="EG45">
    <cfRule type="expression" dxfId="2" priority="2092">
      <formula>AND(BP45&gt;=4,EG45&lt;&gt;0, GetEquPower(C45,BJ45, CJ45, FO45)=0)</formula>
    </cfRule>
    <cfRule type="expression" dxfId="1" priority="2093">
      <formula>AND(BP45&gt;=4,EG45&lt;&gt;GetEquPower(C45,BJ45, CJ45, FO45))</formula>
    </cfRule>
  </conditionalFormatting>
  <conditionalFormatting sqref="EN45">
    <cfRule type="expression" dxfId="2" priority="2094">
      <formula>AND(BQ45&gt;=4,EN45&lt;&gt;0, GetEquPower(C45,BK45, CP45, FP45)=0)</formula>
    </cfRule>
    <cfRule type="expression" dxfId="1" priority="2095">
      <formula xml:space="preserve"> AND(BQ45&gt;=4,EN45&lt;&gt;GetEquPower(C45,BK45, CP45, FP45))</formula>
    </cfRule>
  </conditionalFormatting>
  <conditionalFormatting sqref="EU45">
    <cfRule type="expression" dxfId="2" priority="2096">
      <formula>AND(BR45&gt;=4,EU45&lt;&gt;0, GetEquPower(C45,BL45, CV45, FQ45)=0)</formula>
    </cfRule>
    <cfRule type="expression" dxfId="1" priority="2097">
      <formula>AND(BR45&gt;=4,EU45&lt;&gt;GetEquPower(C45,BL45, CV45, FQ45))</formula>
    </cfRule>
  </conditionalFormatting>
  <conditionalFormatting sqref="FB45">
    <cfRule type="expression" dxfId="2" priority="2098">
      <formula>AND(BS45&gt;=4,FB45&lt;&gt;0, GetEquPower(C45,BM45, DB45, FR45)=0)</formula>
    </cfRule>
    <cfRule type="expression" dxfId="1" priority="2099">
      <formula>AND(BS45&gt;=4,FB45&lt;&gt;GetEquPower(C45,BM45, DB45, FR45))</formula>
    </cfRule>
  </conditionalFormatting>
  <conditionalFormatting sqref="FI45">
    <cfRule type="expression" dxfId="2" priority="2100">
      <formula>AND(BT45&gt;=4,FI45&lt;&gt;0, GetEquPower(C45,BN45, DH45, FS45)=0)</formula>
    </cfRule>
    <cfRule type="expression" dxfId="1" priority="2101">
      <formula>AND(BT45&gt;=4,FI45&lt;&gt;GetEquPower(C45,BN45, DH45, FS45))</formula>
    </cfRule>
  </conditionalFormatting>
  <conditionalFormatting sqref="EA45">
    <cfRule type="expression" dxfId="2" priority="2102">
      <formula>AND(BO45&gt;=5,EA45&lt;&gt;0, GetEquPower(C45,BI45, CE45, FN45)=0)</formula>
    </cfRule>
    <cfRule type="expression" dxfId="1" priority="2103">
      <formula>AND(BO45&gt;=5, EA45&lt;&gt;GetEquPower(C45,BI45, CE45, FN45))</formula>
    </cfRule>
  </conditionalFormatting>
  <conditionalFormatting sqref="EB45">
    <cfRule type="expression" dxfId="2" priority="2104">
      <formula>AND(BO45&gt;=6,EB45&lt;&gt;0, GetEquPower(C45,BI45, CF45, FN45)=0)</formula>
    </cfRule>
    <cfRule type="expression" dxfId="1" priority="2105">
      <formula>AND(BO45&gt;=6, EB45&lt;&gt;GetEquPower(C45,BI45, CF45, FN45))</formula>
    </cfRule>
  </conditionalFormatting>
  <conditionalFormatting sqref="EH45">
    <cfRule type="expression" dxfId="2" priority="2106">
      <formula>AND(BP45&gt;=5,EH45&lt;&gt;0, GetEquPower(C45,BJ45, CK45, FO45)=0)</formula>
    </cfRule>
    <cfRule type="expression" dxfId="1" priority="2107">
      <formula>AND(BP45&gt;=5,EH45&lt;&gt;GetEquPower(C45,BJ45, CK45, FO45))</formula>
    </cfRule>
  </conditionalFormatting>
  <conditionalFormatting sqref="EI45">
    <cfRule type="expression" dxfId="2" priority="2108">
      <formula>AND(BP45&gt;=6,EI45&lt;&gt;0, GetEquPower(C45,BJ45, CL45, FO45)=0)</formula>
    </cfRule>
    <cfRule type="expression" dxfId="1" priority="2109">
      <formula>AND(BP45&gt;=6,EI45&lt;&gt;GetEquPower(C45,BJ45, CL45, FO45))</formula>
    </cfRule>
  </conditionalFormatting>
  <conditionalFormatting sqref="EO45">
    <cfRule type="expression" dxfId="2" priority="2110">
      <formula>AND(BQ45&gt;=5,EO45&lt;&gt;0, GetEquPower(C45,BK45, CQ45, FP45)=0)</formula>
    </cfRule>
    <cfRule type="expression" dxfId="1" priority="2111">
      <formula xml:space="preserve"> AND(BQ45&gt;=5,EO45&lt;&gt;GetEquPower(C45,BK45, CQ45, FP45))</formula>
    </cfRule>
  </conditionalFormatting>
  <conditionalFormatting sqref="EP45">
    <cfRule type="expression" dxfId="2" priority="2112">
      <formula>AND(BQ45&gt;=6,EP45&lt;&gt;0, GetEquPower(C45,BK45, CR45, FP45)=0)</formula>
    </cfRule>
    <cfRule type="expression" dxfId="1" priority="2113">
      <formula xml:space="preserve"> AND(BQ45&gt;=6,EP45&lt;&gt;GetEquPower(C45,BK45, CR45, FP45))</formula>
    </cfRule>
  </conditionalFormatting>
  <conditionalFormatting sqref="EV45">
    <cfRule type="expression" dxfId="2" priority="2114">
      <formula>AND(BR45&gt;=5,EV45&lt;&gt;0, GetEquPower(C45,BL45, CW45, FQ45)=0)</formula>
    </cfRule>
    <cfRule type="expression" dxfId="1" priority="2115">
      <formula>AND(BR45&gt;=5,EV45&lt;&gt;GetEquPower(C45,BL45, CW45, FQ45))</formula>
    </cfRule>
  </conditionalFormatting>
  <conditionalFormatting sqref="EW45">
    <cfRule type="expression" dxfId="2" priority="2116">
      <formula>AND(BR45&gt;=6,EW45&lt;&gt;0, GetEquPower(C45,BL45, CX45, FQ45)=0)</formula>
    </cfRule>
    <cfRule type="expression" dxfId="1" priority="2117">
      <formula>AND(BR45&gt;=6,EW45&lt;&gt;GetEquPower(C45,BL45, CX45, FQ45))</formula>
    </cfRule>
  </conditionalFormatting>
  <conditionalFormatting sqref="FC45">
    <cfRule type="expression" dxfId="2" priority="2118">
      <formula>AND(BS45&gt;=5,FC45&lt;&gt;0, GetEquPower(C45,BM45, DC45, FR45)=0)</formula>
    </cfRule>
    <cfRule type="expression" dxfId="1" priority="2119">
      <formula>AND(BS45&gt;=5,FC45&lt;&gt;GetEquPower(C45,BM45, DC45, FR45))</formula>
    </cfRule>
  </conditionalFormatting>
  <conditionalFormatting sqref="FD45">
    <cfRule type="expression" dxfId="2" priority="2120">
      <formula>AND(BS45&gt;=6,FD45&lt;&gt;0, GetEquPower(C45,BM45, DD45, FR45)=0)</formula>
    </cfRule>
    <cfRule type="expression" dxfId="1" priority="2121">
      <formula>AND(BS45&gt;=6,FD45&lt;&gt;GetEquPower(C45,BM45, DD45, FR45))</formula>
    </cfRule>
  </conditionalFormatting>
  <conditionalFormatting sqref="FJ45">
    <cfRule type="expression" dxfId="2" priority="2122">
      <formula>AND(BT45&gt;=5,FJ45&lt;&gt;0, GetEquPower(C45,BN45, DI45, FS45)=0)</formula>
    </cfRule>
    <cfRule type="expression" dxfId="1" priority="2123">
      <formula>AND(BT45&gt;=5,FJ45&lt;&gt;GetEquPower(C45,BN45, DI45, FS45))</formula>
    </cfRule>
  </conditionalFormatting>
  <conditionalFormatting sqref="FK45">
    <cfRule type="expression" dxfId="2" priority="2124">
      <formula>AND(BT45&gt;=6,FK45&lt;&gt;0, GetEquPower(C45,BN45, DJ45, FS45)=0)</formula>
    </cfRule>
    <cfRule type="expression" dxfId="1" priority="2125">
      <formula>AND(BT45&gt;=6,FK45&lt;&gt;GetEquPower(C45,BN45, DJ45, FS45))</formula>
    </cfRule>
  </conditionalFormatting>
  <conditionalFormatting sqref="W45">
    <cfRule type="expression" dxfId="0" priority="2041">
      <formula xml:space="preserve"> NOT(ISLOGICAL($W$2))</formula>
    </cfRule>
  </conditionalFormatting>
  <conditionalFormatting sqref="F46">
    <cfRule type="expression" dxfId="0" priority="1968">
      <formula>F46&lt;&gt;RIGHT(SUBSTITUTE(E46,".",""),LEN(F46))</formula>
    </cfRule>
  </conditionalFormatting>
  <conditionalFormatting sqref="X46">
    <cfRule type="expression" dxfId="0" priority="1963">
      <formula xml:space="preserve"> NOT(ISLOGICAL($X$2))</formula>
    </cfRule>
    <cfRule type="expression" dxfId="0" priority="1967">
      <formula>AND(X46=TRUE,W46=FALSE)</formula>
    </cfRule>
  </conditionalFormatting>
  <conditionalFormatting sqref="Y46">
    <cfRule type="expression" dxfId="0" priority="1966">
      <formula>OR(AND(X46=FALSE,INT(Y46)&gt;0),AND(X46=TRUE,INT(Y46)&lt;=0))</formula>
    </cfRule>
  </conditionalFormatting>
  <conditionalFormatting sqref="AA46">
    <cfRule type="expression" dxfId="0" priority="1965">
      <formula>AND(Z46=FALSE,AA46&gt;0)</formula>
    </cfRule>
  </conditionalFormatting>
  <conditionalFormatting sqref="BV46:HY46">
    <cfRule type="containsErrors" dxfId="0" priority="1964">
      <formula>ISERROR(BV46)</formula>
    </cfRule>
  </conditionalFormatting>
  <conditionalFormatting sqref="Z46">
    <cfRule type="expression" dxfId="0" priority="1962">
      <formula>NOT(ISLOGICAL($Z$2))</formula>
    </cfRule>
  </conditionalFormatting>
  <conditionalFormatting sqref="AB46">
    <cfRule type="expression" dxfId="0" priority="1961">
      <formula>NOT(ISLOGICAL($AB$2))</formula>
    </cfRule>
  </conditionalFormatting>
  <conditionalFormatting sqref="AC46">
    <cfRule type="expression" dxfId="0" priority="1960">
      <formula>NOT(ISLOGICAL($AC$2))</formula>
    </cfRule>
  </conditionalFormatting>
  <conditionalFormatting sqref="B46:BU46">
    <cfRule type="containsErrors" dxfId="0" priority="1959">
      <formula>ISERROR(B46)</formula>
    </cfRule>
  </conditionalFormatting>
  <conditionalFormatting sqref="I46">
    <cfRule type="expression" dxfId="0" priority="1958">
      <formula>NOT(ISNUMBER($I$2))</formula>
    </cfRule>
  </conditionalFormatting>
  <conditionalFormatting sqref="D46">
    <cfRule type="expression" dxfId="0" priority="1957">
      <formula>ISBLANK($D$2)</formula>
    </cfRule>
  </conditionalFormatting>
  <conditionalFormatting sqref="DW46">
    <cfRule type="expression" dxfId="2" priority="1969">
      <formula>AND(BO46&gt;=1,DW46&lt;&gt;0, GetEquPower(C46,BI46, CA46, FN46)=0)</formula>
    </cfRule>
    <cfRule type="expression" dxfId="1" priority="1970">
      <formula>AND(BO46&gt;=1,DW46&lt;&gt;GetEquPower(C46,BI46, CA46, FN46))</formula>
    </cfRule>
  </conditionalFormatting>
  <conditionalFormatting sqref="DX46">
    <cfRule type="expression" dxfId="2" priority="1971">
      <formula>AND(BO46&gt;=2,DX46&lt;&gt;0, GetEquPower(C46,BI46, CB46, FN46)=0)</formula>
    </cfRule>
    <cfRule type="expression" dxfId="1" priority="1972">
      <formula>AND(BO46&gt;=2,DX46&lt;&gt;GetEquPower(C46,BI46, CB46, FN46))</formula>
    </cfRule>
  </conditionalFormatting>
  <conditionalFormatting sqref="DY46">
    <cfRule type="expression" dxfId="2" priority="1973">
      <formula>AND(BO46&gt;=3,DY46&lt;&gt;0, GetEquPower(C46,BI46, CC46, FN46)=0)</formula>
    </cfRule>
    <cfRule type="expression" dxfId="1" priority="1974">
      <formula>AND(BO46&gt;=3,DY46&lt;&gt;GetEquPower(C46,BI46, CC46, FN46))</formula>
    </cfRule>
  </conditionalFormatting>
  <conditionalFormatting sqref="ED46">
    <cfRule type="expression" dxfId="2" priority="1975">
      <formula>AND(BP46&gt;=1,ED46&lt;&gt;0, GetEquPower(C46,BJ46, CG46, FO46)=0)</formula>
    </cfRule>
    <cfRule type="expression" dxfId="1" priority="1976">
      <formula>AND(BP46&gt;=1,ED46&lt;&gt;GetEquPower(C46,BJ46, CG46, FO46))</formula>
    </cfRule>
  </conditionalFormatting>
  <conditionalFormatting sqref="EE46">
    <cfRule type="expression" dxfId="2" priority="1977">
      <formula>AND(BP46&gt;=2,EE46&lt;&gt;0, GetEquPower(C46,BJ46, CH46, FO46)=0)</formula>
    </cfRule>
    <cfRule type="expression" dxfId="1" priority="1978">
      <formula>AND(BP46&gt;=2,EE46&lt;&gt;GetEquPower(C46,BJ46, CH46, FO46))</formula>
    </cfRule>
  </conditionalFormatting>
  <conditionalFormatting sqref="EF46">
    <cfRule type="expression" dxfId="2" priority="1979">
      <formula>AND(BP46&gt;=3,EF46&lt;&gt;0, GetEquPower(C46,BJ46, CI46, FO46)=0)</formula>
    </cfRule>
    <cfRule type="expression" dxfId="1" priority="1980">
      <formula>AND(BP46&gt;=3,EF46&lt;&gt;GetEquPower(C46,BJ46, CI46, FO46))</formula>
    </cfRule>
  </conditionalFormatting>
  <conditionalFormatting sqref="EK46">
    <cfRule type="expression" dxfId="2" priority="1981">
      <formula>AND(BQ46&gt;=1,EK46&lt;&gt;0, GetEquPower(C46,BK46, CM46, FP46)=0)</formula>
    </cfRule>
    <cfRule type="expression" dxfId="1" priority="1982">
      <formula>AND(BQ46&gt;=1,EK46&lt;&gt;GetEquPower(C46,BK46, CM46, FP46))</formula>
    </cfRule>
  </conditionalFormatting>
  <conditionalFormatting sqref="EL46">
    <cfRule type="expression" dxfId="2" priority="1983">
      <formula>AND(BQ46&gt;=2,EL46&lt;&gt;0, GetEquPower(C46,BK46, CN46, FP46)=0)</formula>
    </cfRule>
    <cfRule type="expression" dxfId="1" priority="1984">
      <formula xml:space="preserve"> AND(BQ46&gt;=2,EL46&lt;&gt;GetEquPower(C46,BK46, CN46, FP46))</formula>
    </cfRule>
  </conditionalFormatting>
  <conditionalFormatting sqref="EM46">
    <cfRule type="expression" dxfId="2" priority="1985">
      <formula>AND(BQ46&gt;=3,EM46&lt;&gt;0, GetEquPower(C46,BK46, CO46, FP46)=0)</formula>
    </cfRule>
    <cfRule type="expression" dxfId="1" priority="1986">
      <formula xml:space="preserve"> AND(BQ46&gt;=3,EM46&lt;&gt;GetEquPower(C46,BK46, CO46, FP46))</formula>
    </cfRule>
  </conditionalFormatting>
  <conditionalFormatting sqref="ER46">
    <cfRule type="expression" dxfId="2" priority="1987">
      <formula>AND(BR46&gt;=1,ER46&lt;&gt;0, GetEquPower(C46,BL46, CS46, FQ46)=0)</formula>
    </cfRule>
    <cfRule type="expression" dxfId="1" priority="1988">
      <formula>AND(BR46&gt;=1,ER46&lt;&gt;GetEquPower(C46,BL46, CS46, FQ46))</formula>
    </cfRule>
  </conditionalFormatting>
  <conditionalFormatting sqref="ES46">
    <cfRule type="expression" dxfId="2" priority="1989">
      <formula>AND(BR46&gt;=2,ES46&lt;&gt;0, GetEquPower(C46,BL46, CT46, FQ46)=0)</formula>
    </cfRule>
    <cfRule type="expression" dxfId="1" priority="1990">
      <formula>AND(BR46&gt;=2,ES46&lt;&gt;GetEquPower(C46,BL46, CT46, FQ46))</formula>
    </cfRule>
  </conditionalFormatting>
  <conditionalFormatting sqref="ET46">
    <cfRule type="expression" dxfId="2" priority="1991">
      <formula>AND(BR46&gt;=3,ET46&lt;&gt;0, GetEquPower(C46,BL46, CU46, FQ46)=0)</formula>
    </cfRule>
    <cfRule type="expression" dxfId="1" priority="1992">
      <formula>AND(BR46&gt;=3,ET46&lt;&gt;GetEquPower(C46,BL46, CU46, FQ46))</formula>
    </cfRule>
  </conditionalFormatting>
  <conditionalFormatting sqref="EY46">
    <cfRule type="expression" dxfId="2" priority="1993">
      <formula>AND(BS46&gt;=1,EY46&lt;&gt;0, GetEquPower(C46,BM46, CY46, FR46)=0)</formula>
    </cfRule>
    <cfRule type="expression" dxfId="1" priority="1994">
      <formula>AND(BS46&gt;=1,EY46&lt;&gt;GetEquPower(C46,BM46, CY46, FR46))</formula>
    </cfRule>
  </conditionalFormatting>
  <conditionalFormatting sqref="EZ46">
    <cfRule type="expression" dxfId="2" priority="1995">
      <formula>AND(BS46&gt;=2,EZ46&lt;&gt;0, GetEquPower(C46,BM46, CZ46, FR46)=0)</formula>
    </cfRule>
    <cfRule type="expression" dxfId="1" priority="1996">
      <formula>AND(BS46&gt;=2,EZ46&lt;&gt;GetEquPower(C46,BM46, CZ46, FR46))</formula>
    </cfRule>
  </conditionalFormatting>
  <conditionalFormatting sqref="FA46">
    <cfRule type="expression" dxfId="2" priority="1997">
      <formula>AND(BS46&gt;=3,FA46&lt;&gt;0, GetEquPower(C46,BM46, DA46, FR46)=0)</formula>
    </cfRule>
    <cfRule type="expression" dxfId="1" priority="1998">
      <formula>AND(BS46&gt;=3,FA46&lt;&gt;GetEquPower(C46,BM46, DA46, FR46))</formula>
    </cfRule>
  </conditionalFormatting>
  <conditionalFormatting sqref="FF46">
    <cfRule type="expression" dxfId="2" priority="1999">
      <formula>AND(BT46&gt;=1,FF46&lt;&gt;0, GetEquPower(C46,BN46, DE46, FS46)=0)</formula>
    </cfRule>
    <cfRule type="expression" dxfId="1" priority="2000">
      <formula>AND(BT46&gt;=1,FF46&lt;&gt;GetEquPower(C46,BN46, DE46, FS46))</formula>
    </cfRule>
  </conditionalFormatting>
  <conditionalFormatting sqref="FG46">
    <cfRule type="expression" dxfId="2" priority="2001">
      <formula>AND(BT46&gt;=2,FG46&lt;&gt;0, GetEquPower(C46,BN46, DF46, FS46)=0)</formula>
    </cfRule>
    <cfRule type="expression" dxfId="1" priority="2002">
      <formula>AND(BT46&gt;=2,FG46&lt;&gt;GetEquPower(C46,BN46, DF46, FS46))</formula>
    </cfRule>
  </conditionalFormatting>
  <conditionalFormatting sqref="FH46">
    <cfRule type="expression" dxfId="2" priority="2003">
      <formula>AND(BT46&gt;=3,FH46&lt;&gt;0, GetEquPower(C46,BN46, DG46, FS46)=0)</formula>
    </cfRule>
    <cfRule type="expression" dxfId="1" priority="2004">
      <formula>AND(BT46&gt;=3,FH46&lt;&gt;GetEquPower(C46,BN46, DG46, FS46))</formula>
    </cfRule>
  </conditionalFormatting>
  <conditionalFormatting sqref="DZ46">
    <cfRule type="expression" dxfId="2" priority="2005">
      <formula>AND(BO46&gt;=4,DZ46&lt;&gt;0, GetEquPower(C46,BI46, CD46, FN46)=0)</formula>
    </cfRule>
    <cfRule type="expression" dxfId="1" priority="2006">
      <formula>AND(BO46&gt;=4, DZ46&lt;&gt;GetEquPower(C46,BI46, CD46, FN46))</formula>
    </cfRule>
  </conditionalFormatting>
  <conditionalFormatting sqref="EG46">
    <cfRule type="expression" dxfId="2" priority="2007">
      <formula>AND(BP46&gt;=4,EG46&lt;&gt;0, GetEquPower(C46,BJ46, CJ46, FO46)=0)</formula>
    </cfRule>
    <cfRule type="expression" dxfId="1" priority="2008">
      <formula>AND(BP46&gt;=4,EG46&lt;&gt;GetEquPower(C46,BJ46, CJ46, FO46))</formula>
    </cfRule>
  </conditionalFormatting>
  <conditionalFormatting sqref="EN46">
    <cfRule type="expression" dxfId="2" priority="2009">
      <formula>AND(BQ46&gt;=4,EN46&lt;&gt;0, GetEquPower(C46,BK46, CP46, FP46)=0)</formula>
    </cfRule>
    <cfRule type="expression" dxfId="1" priority="2010">
      <formula xml:space="preserve"> AND(BQ46&gt;=4,EN46&lt;&gt;GetEquPower(C46,BK46, CP46, FP46))</formula>
    </cfRule>
  </conditionalFormatting>
  <conditionalFormatting sqref="EU46">
    <cfRule type="expression" dxfId="2" priority="2011">
      <formula>AND(BR46&gt;=4,EU46&lt;&gt;0, GetEquPower(C46,BL46, CV46, FQ46)=0)</formula>
    </cfRule>
    <cfRule type="expression" dxfId="1" priority="2012">
      <formula>AND(BR46&gt;=4,EU46&lt;&gt;GetEquPower(C46,BL46, CV46, FQ46))</formula>
    </cfRule>
  </conditionalFormatting>
  <conditionalFormatting sqref="FB46">
    <cfRule type="expression" dxfId="2" priority="2013">
      <formula>AND(BS46&gt;=4,FB46&lt;&gt;0, GetEquPower(C46,BM46, DB46, FR46)=0)</formula>
    </cfRule>
    <cfRule type="expression" dxfId="1" priority="2014">
      <formula>AND(BS46&gt;=4,FB46&lt;&gt;GetEquPower(C46,BM46, DB46, FR46))</formula>
    </cfRule>
  </conditionalFormatting>
  <conditionalFormatting sqref="FI46">
    <cfRule type="expression" dxfId="2" priority="2015">
      <formula>AND(BT46&gt;=4,FI46&lt;&gt;0, GetEquPower(C46,BN46, DH46, FS46)=0)</formula>
    </cfRule>
    <cfRule type="expression" dxfId="1" priority="2016">
      <formula>AND(BT46&gt;=4,FI46&lt;&gt;GetEquPower(C46,BN46, DH46, FS46))</formula>
    </cfRule>
  </conditionalFormatting>
  <conditionalFormatting sqref="EA46">
    <cfRule type="expression" dxfId="2" priority="2017">
      <formula>AND(BO46&gt;=5,EA46&lt;&gt;0, GetEquPower(C46,BI46, CE46, FN46)=0)</formula>
    </cfRule>
    <cfRule type="expression" dxfId="1" priority="2018">
      <formula>AND(BO46&gt;=5, EA46&lt;&gt;GetEquPower(C46,BI46, CE46, FN46))</formula>
    </cfRule>
  </conditionalFormatting>
  <conditionalFormatting sqref="EB46">
    <cfRule type="expression" dxfId="2" priority="2019">
      <formula>AND(BO46&gt;=6,EB46&lt;&gt;0, GetEquPower(C46,BI46, CF46, FN46)=0)</formula>
    </cfRule>
    <cfRule type="expression" dxfId="1" priority="2020">
      <formula>AND(BO46&gt;=6, EB46&lt;&gt;GetEquPower(C46,BI46, CF46, FN46))</formula>
    </cfRule>
  </conditionalFormatting>
  <conditionalFormatting sqref="EH46">
    <cfRule type="expression" dxfId="2" priority="2021">
      <formula>AND(BP46&gt;=5,EH46&lt;&gt;0, GetEquPower(C46,BJ46, CK46, FO46)=0)</formula>
    </cfRule>
    <cfRule type="expression" dxfId="1" priority="2022">
      <formula>AND(BP46&gt;=5,EH46&lt;&gt;GetEquPower(C46,BJ46, CK46, FO46))</formula>
    </cfRule>
  </conditionalFormatting>
  <conditionalFormatting sqref="EI46">
    <cfRule type="expression" dxfId="2" priority="2023">
      <formula>AND(BP46&gt;=6,EI46&lt;&gt;0, GetEquPower(C46,BJ46, CL46, FO46)=0)</formula>
    </cfRule>
    <cfRule type="expression" dxfId="1" priority="2024">
      <formula>AND(BP46&gt;=6,EI46&lt;&gt;GetEquPower(C46,BJ46, CL46, FO46))</formula>
    </cfRule>
  </conditionalFormatting>
  <conditionalFormatting sqref="EO46">
    <cfRule type="expression" dxfId="2" priority="2025">
      <formula>AND(BQ46&gt;=5,EO46&lt;&gt;0, GetEquPower(C46,BK46, CQ46, FP46)=0)</formula>
    </cfRule>
    <cfRule type="expression" dxfId="1" priority="2026">
      <formula xml:space="preserve"> AND(BQ46&gt;=5,EO46&lt;&gt;GetEquPower(C46,BK46, CQ46, FP46))</formula>
    </cfRule>
  </conditionalFormatting>
  <conditionalFormatting sqref="EP46">
    <cfRule type="expression" dxfId="2" priority="2027">
      <formula>AND(BQ46&gt;=6,EP46&lt;&gt;0, GetEquPower(C46,BK46, CR46, FP46)=0)</formula>
    </cfRule>
    <cfRule type="expression" dxfId="1" priority="2028">
      <formula xml:space="preserve"> AND(BQ46&gt;=6,EP46&lt;&gt;GetEquPower(C46,BK46, CR46, FP46))</formula>
    </cfRule>
  </conditionalFormatting>
  <conditionalFormatting sqref="EV46">
    <cfRule type="expression" dxfId="2" priority="2029">
      <formula>AND(BR46&gt;=5,EV46&lt;&gt;0, GetEquPower(C46,BL46, CW46, FQ46)=0)</formula>
    </cfRule>
    <cfRule type="expression" dxfId="1" priority="2030">
      <formula>AND(BR46&gt;=5,EV46&lt;&gt;GetEquPower(C46,BL46, CW46, FQ46))</formula>
    </cfRule>
  </conditionalFormatting>
  <conditionalFormatting sqref="EW46">
    <cfRule type="expression" dxfId="2" priority="2031">
      <formula>AND(BR46&gt;=6,EW46&lt;&gt;0, GetEquPower(C46,BL46, CX46, FQ46)=0)</formula>
    </cfRule>
    <cfRule type="expression" dxfId="1" priority="2032">
      <formula>AND(BR46&gt;=6,EW46&lt;&gt;GetEquPower(C46,BL46, CX46, FQ46))</formula>
    </cfRule>
  </conditionalFormatting>
  <conditionalFormatting sqref="FC46">
    <cfRule type="expression" dxfId="2" priority="2033">
      <formula>AND(BS46&gt;=5,FC46&lt;&gt;0, GetEquPower(C46,BM46, DC46, FR46)=0)</formula>
    </cfRule>
    <cfRule type="expression" dxfId="1" priority="2034">
      <formula>AND(BS46&gt;=5,FC46&lt;&gt;GetEquPower(C46,BM46, DC46, FR46))</formula>
    </cfRule>
  </conditionalFormatting>
  <conditionalFormatting sqref="FD46">
    <cfRule type="expression" dxfId="2" priority="2035">
      <formula>AND(BS46&gt;=6,FD46&lt;&gt;0, GetEquPower(C46,BM46, DD46, FR46)=0)</formula>
    </cfRule>
    <cfRule type="expression" dxfId="1" priority="2036">
      <formula>AND(BS46&gt;=6,FD46&lt;&gt;GetEquPower(C46,BM46, DD46, FR46))</formula>
    </cfRule>
  </conditionalFormatting>
  <conditionalFormatting sqref="FJ46">
    <cfRule type="expression" dxfId="2" priority="2037">
      <formula>AND(BT46&gt;=5,FJ46&lt;&gt;0, GetEquPower(C46,BN46, DI46, FS46)=0)</formula>
    </cfRule>
    <cfRule type="expression" dxfId="1" priority="2038">
      <formula>AND(BT46&gt;=5,FJ46&lt;&gt;GetEquPower(C46,BN46, DI46, FS46))</formula>
    </cfRule>
  </conditionalFormatting>
  <conditionalFormatting sqref="FK46">
    <cfRule type="expression" dxfId="2" priority="2039">
      <formula>AND(BT46&gt;=6,FK46&lt;&gt;0, GetEquPower(C46,BN46, DJ46, FS46)=0)</formula>
    </cfRule>
    <cfRule type="expression" dxfId="1" priority="2040">
      <formula>AND(BT46&gt;=6,FK46&lt;&gt;GetEquPower(C46,BN46, DJ46, FS46))</formula>
    </cfRule>
  </conditionalFormatting>
  <conditionalFormatting sqref="W46">
    <cfRule type="expression" dxfId="0" priority="1956">
      <formula xml:space="preserve"> NOT(ISLOGICAL($W$2))</formula>
    </cfRule>
  </conditionalFormatting>
  <conditionalFormatting sqref="F47">
    <cfRule type="expression" dxfId="0" priority="1883">
      <formula>F47&lt;&gt;RIGHT(SUBSTITUTE(E47,".",""),LEN(F47))</formula>
    </cfRule>
  </conditionalFormatting>
  <conditionalFormatting sqref="X47">
    <cfRule type="expression" dxfId="0" priority="1878">
      <formula xml:space="preserve"> NOT(ISLOGICAL($X$2))</formula>
    </cfRule>
    <cfRule type="expression" dxfId="0" priority="1882">
      <formula>AND(X47=TRUE,W47=FALSE)</formula>
    </cfRule>
  </conditionalFormatting>
  <conditionalFormatting sqref="Y47">
    <cfRule type="expression" dxfId="0" priority="1881">
      <formula>OR(AND(X47=FALSE,INT(Y47)&gt;0),AND(X47=TRUE,INT(Y47)&lt;=0))</formula>
    </cfRule>
  </conditionalFormatting>
  <conditionalFormatting sqref="AA47">
    <cfRule type="expression" dxfId="0" priority="1880">
      <formula>AND(Z47=FALSE,AA47&gt;0)</formula>
    </cfRule>
  </conditionalFormatting>
  <conditionalFormatting sqref="BV47:HY47">
    <cfRule type="containsErrors" dxfId="0" priority="1879">
      <formula>ISERROR(BV47)</formula>
    </cfRule>
  </conditionalFormatting>
  <conditionalFormatting sqref="Z47">
    <cfRule type="expression" dxfId="0" priority="1877">
      <formula>NOT(ISLOGICAL($Z$2))</formula>
    </cfRule>
  </conditionalFormatting>
  <conditionalFormatting sqref="AB47">
    <cfRule type="expression" dxfId="0" priority="1876">
      <formula>NOT(ISLOGICAL($AB$2))</formula>
    </cfRule>
  </conditionalFormatting>
  <conditionalFormatting sqref="AC47">
    <cfRule type="expression" dxfId="0" priority="1875">
      <formula>NOT(ISLOGICAL($AC$2))</formula>
    </cfRule>
  </conditionalFormatting>
  <conditionalFormatting sqref="B47:BU47">
    <cfRule type="containsErrors" dxfId="0" priority="1874">
      <formula>ISERROR(B47)</formula>
    </cfRule>
  </conditionalFormatting>
  <conditionalFormatting sqref="I47">
    <cfRule type="expression" dxfId="0" priority="1873">
      <formula>NOT(ISNUMBER($I$2))</formula>
    </cfRule>
  </conditionalFormatting>
  <conditionalFormatting sqref="D47">
    <cfRule type="expression" dxfId="0" priority="1872">
      <formula>ISBLANK($D$2)</formula>
    </cfRule>
  </conditionalFormatting>
  <conditionalFormatting sqref="DW47">
    <cfRule type="expression" dxfId="2" priority="1884">
      <formula>AND(BO47&gt;=1,DW47&lt;&gt;0, GetEquPower(C47,BI47, CA47, FN47)=0)</formula>
    </cfRule>
    <cfRule type="expression" dxfId="1" priority="1885">
      <formula>AND(BO47&gt;=1,DW47&lt;&gt;GetEquPower(C47,BI47, CA47, FN47))</formula>
    </cfRule>
  </conditionalFormatting>
  <conditionalFormatting sqref="DX47">
    <cfRule type="expression" dxfId="2" priority="1886">
      <formula>AND(BO47&gt;=2,DX47&lt;&gt;0, GetEquPower(C47,BI47, CB47, FN47)=0)</formula>
    </cfRule>
    <cfRule type="expression" dxfId="1" priority="1887">
      <formula>AND(BO47&gt;=2,DX47&lt;&gt;GetEquPower(C47,BI47, CB47, FN47))</formula>
    </cfRule>
  </conditionalFormatting>
  <conditionalFormatting sqref="DY47">
    <cfRule type="expression" dxfId="2" priority="1888">
      <formula>AND(BO47&gt;=3,DY47&lt;&gt;0, GetEquPower(C47,BI47, CC47, FN47)=0)</formula>
    </cfRule>
    <cfRule type="expression" dxfId="1" priority="1889">
      <formula>AND(BO47&gt;=3,DY47&lt;&gt;GetEquPower(C47,BI47, CC47, FN47))</formula>
    </cfRule>
  </conditionalFormatting>
  <conditionalFormatting sqref="ED47">
    <cfRule type="expression" dxfId="2" priority="1890">
      <formula>AND(BP47&gt;=1,ED47&lt;&gt;0, GetEquPower(C47,BJ47, CG47, FO47)=0)</formula>
    </cfRule>
    <cfRule type="expression" dxfId="1" priority="1891">
      <formula>AND(BP47&gt;=1,ED47&lt;&gt;GetEquPower(C47,BJ47, CG47, FO47))</formula>
    </cfRule>
  </conditionalFormatting>
  <conditionalFormatting sqref="EE47">
    <cfRule type="expression" dxfId="2" priority="1892">
      <formula>AND(BP47&gt;=2,EE47&lt;&gt;0, GetEquPower(C47,BJ47, CH47, FO47)=0)</formula>
    </cfRule>
    <cfRule type="expression" dxfId="1" priority="1893">
      <formula>AND(BP47&gt;=2,EE47&lt;&gt;GetEquPower(C47,BJ47, CH47, FO47))</formula>
    </cfRule>
  </conditionalFormatting>
  <conditionalFormatting sqref="EF47">
    <cfRule type="expression" dxfId="2" priority="1894">
      <formula>AND(BP47&gt;=3,EF47&lt;&gt;0, GetEquPower(C47,BJ47, CI47, FO47)=0)</formula>
    </cfRule>
    <cfRule type="expression" dxfId="1" priority="1895">
      <formula>AND(BP47&gt;=3,EF47&lt;&gt;GetEquPower(C47,BJ47, CI47, FO47))</formula>
    </cfRule>
  </conditionalFormatting>
  <conditionalFormatting sqref="EK47">
    <cfRule type="expression" dxfId="2" priority="1896">
      <formula>AND(BQ47&gt;=1,EK47&lt;&gt;0, GetEquPower(C47,BK47, CM47, FP47)=0)</formula>
    </cfRule>
    <cfRule type="expression" dxfId="1" priority="1897">
      <formula>AND(BQ47&gt;=1,EK47&lt;&gt;GetEquPower(C47,BK47, CM47, FP47))</formula>
    </cfRule>
  </conditionalFormatting>
  <conditionalFormatting sqref="EL47">
    <cfRule type="expression" dxfId="2" priority="1898">
      <formula>AND(BQ47&gt;=2,EL47&lt;&gt;0, GetEquPower(C47,BK47, CN47, FP47)=0)</formula>
    </cfRule>
    <cfRule type="expression" dxfId="1" priority="1899">
      <formula xml:space="preserve"> AND(BQ47&gt;=2,EL47&lt;&gt;GetEquPower(C47,BK47, CN47, FP47))</formula>
    </cfRule>
  </conditionalFormatting>
  <conditionalFormatting sqref="EM47">
    <cfRule type="expression" dxfId="2" priority="1900">
      <formula>AND(BQ47&gt;=3,EM47&lt;&gt;0, GetEquPower(C47,BK47, CO47, FP47)=0)</formula>
    </cfRule>
    <cfRule type="expression" dxfId="1" priority="1901">
      <formula xml:space="preserve"> AND(BQ47&gt;=3,EM47&lt;&gt;GetEquPower(C47,BK47, CO47, FP47))</formula>
    </cfRule>
  </conditionalFormatting>
  <conditionalFormatting sqref="ER47">
    <cfRule type="expression" dxfId="2" priority="1902">
      <formula>AND(BR47&gt;=1,ER47&lt;&gt;0, GetEquPower(C47,BL47, CS47, FQ47)=0)</formula>
    </cfRule>
    <cfRule type="expression" dxfId="1" priority="1903">
      <formula>AND(BR47&gt;=1,ER47&lt;&gt;GetEquPower(C47,BL47, CS47, FQ47))</formula>
    </cfRule>
  </conditionalFormatting>
  <conditionalFormatting sqref="ES47">
    <cfRule type="expression" dxfId="2" priority="1904">
      <formula>AND(BR47&gt;=2,ES47&lt;&gt;0, GetEquPower(C47,BL47, CT47, FQ47)=0)</formula>
    </cfRule>
    <cfRule type="expression" dxfId="1" priority="1905">
      <formula>AND(BR47&gt;=2,ES47&lt;&gt;GetEquPower(C47,BL47, CT47, FQ47))</formula>
    </cfRule>
  </conditionalFormatting>
  <conditionalFormatting sqref="ET47">
    <cfRule type="expression" dxfId="2" priority="1906">
      <formula>AND(BR47&gt;=3,ET47&lt;&gt;0, GetEquPower(C47,BL47, CU47, FQ47)=0)</formula>
    </cfRule>
    <cfRule type="expression" dxfId="1" priority="1907">
      <formula>AND(BR47&gt;=3,ET47&lt;&gt;GetEquPower(C47,BL47, CU47, FQ47))</formula>
    </cfRule>
  </conditionalFormatting>
  <conditionalFormatting sqref="EY47">
    <cfRule type="expression" dxfId="2" priority="1908">
      <formula>AND(BS47&gt;=1,EY47&lt;&gt;0, GetEquPower(C47,BM47, CY47, FR47)=0)</formula>
    </cfRule>
    <cfRule type="expression" dxfId="1" priority="1909">
      <formula>AND(BS47&gt;=1,EY47&lt;&gt;GetEquPower(C47,BM47, CY47, FR47))</formula>
    </cfRule>
  </conditionalFormatting>
  <conditionalFormatting sqref="EZ47">
    <cfRule type="expression" dxfId="2" priority="1910">
      <formula>AND(BS47&gt;=2,EZ47&lt;&gt;0, GetEquPower(C47,BM47, CZ47, FR47)=0)</formula>
    </cfRule>
    <cfRule type="expression" dxfId="1" priority="1911">
      <formula>AND(BS47&gt;=2,EZ47&lt;&gt;GetEquPower(C47,BM47, CZ47, FR47))</formula>
    </cfRule>
  </conditionalFormatting>
  <conditionalFormatting sqref="FA47">
    <cfRule type="expression" dxfId="2" priority="1912">
      <formula>AND(BS47&gt;=3,FA47&lt;&gt;0, GetEquPower(C47,BM47, DA47, FR47)=0)</formula>
    </cfRule>
    <cfRule type="expression" dxfId="1" priority="1913">
      <formula>AND(BS47&gt;=3,FA47&lt;&gt;GetEquPower(C47,BM47, DA47, FR47))</formula>
    </cfRule>
  </conditionalFormatting>
  <conditionalFormatting sqref="FF47">
    <cfRule type="expression" dxfId="2" priority="1914">
      <formula>AND(BT47&gt;=1,FF47&lt;&gt;0, GetEquPower(C47,BN47, DE47, FS47)=0)</formula>
    </cfRule>
    <cfRule type="expression" dxfId="1" priority="1915">
      <formula>AND(BT47&gt;=1,FF47&lt;&gt;GetEquPower(C47,BN47, DE47, FS47))</formula>
    </cfRule>
  </conditionalFormatting>
  <conditionalFormatting sqref="FG47">
    <cfRule type="expression" dxfId="2" priority="1916">
      <formula>AND(BT47&gt;=2,FG47&lt;&gt;0, GetEquPower(C47,BN47, DF47, FS47)=0)</formula>
    </cfRule>
    <cfRule type="expression" dxfId="1" priority="1917">
      <formula>AND(BT47&gt;=2,FG47&lt;&gt;GetEquPower(C47,BN47, DF47, FS47))</formula>
    </cfRule>
  </conditionalFormatting>
  <conditionalFormatting sqref="FH47">
    <cfRule type="expression" dxfId="2" priority="1918">
      <formula>AND(BT47&gt;=3,FH47&lt;&gt;0, GetEquPower(C47,BN47, DG47, FS47)=0)</formula>
    </cfRule>
    <cfRule type="expression" dxfId="1" priority="1919">
      <formula>AND(BT47&gt;=3,FH47&lt;&gt;GetEquPower(C47,BN47, DG47, FS47))</formula>
    </cfRule>
  </conditionalFormatting>
  <conditionalFormatting sqref="DZ47">
    <cfRule type="expression" dxfId="2" priority="1920">
      <formula>AND(BO47&gt;=4,DZ47&lt;&gt;0, GetEquPower(C47,BI47, CD47, FN47)=0)</formula>
    </cfRule>
    <cfRule type="expression" dxfId="1" priority="1921">
      <formula>AND(BO47&gt;=4, DZ47&lt;&gt;GetEquPower(C47,BI47, CD47, FN47))</formula>
    </cfRule>
  </conditionalFormatting>
  <conditionalFormatting sqref="EG47">
    <cfRule type="expression" dxfId="2" priority="1922">
      <formula>AND(BP47&gt;=4,EG47&lt;&gt;0, GetEquPower(C47,BJ47, CJ47, FO47)=0)</formula>
    </cfRule>
    <cfRule type="expression" dxfId="1" priority="1923">
      <formula>AND(BP47&gt;=4,EG47&lt;&gt;GetEquPower(C47,BJ47, CJ47, FO47))</formula>
    </cfRule>
  </conditionalFormatting>
  <conditionalFormatting sqref="EN47">
    <cfRule type="expression" dxfId="2" priority="1924">
      <formula>AND(BQ47&gt;=4,EN47&lt;&gt;0, GetEquPower(C47,BK47, CP47, FP47)=0)</formula>
    </cfRule>
    <cfRule type="expression" dxfId="1" priority="1925">
      <formula xml:space="preserve"> AND(BQ47&gt;=4,EN47&lt;&gt;GetEquPower(C47,BK47, CP47, FP47))</formula>
    </cfRule>
  </conditionalFormatting>
  <conditionalFormatting sqref="EU47">
    <cfRule type="expression" dxfId="2" priority="1926">
      <formula>AND(BR47&gt;=4,EU47&lt;&gt;0, GetEquPower(C47,BL47, CV47, FQ47)=0)</formula>
    </cfRule>
    <cfRule type="expression" dxfId="1" priority="1927">
      <formula>AND(BR47&gt;=4,EU47&lt;&gt;GetEquPower(C47,BL47, CV47, FQ47))</formula>
    </cfRule>
  </conditionalFormatting>
  <conditionalFormatting sqref="FB47">
    <cfRule type="expression" dxfId="2" priority="1928">
      <formula>AND(BS47&gt;=4,FB47&lt;&gt;0, GetEquPower(C47,BM47, DB47, FR47)=0)</formula>
    </cfRule>
    <cfRule type="expression" dxfId="1" priority="1929">
      <formula>AND(BS47&gt;=4,FB47&lt;&gt;GetEquPower(C47,BM47, DB47, FR47))</formula>
    </cfRule>
  </conditionalFormatting>
  <conditionalFormatting sqref="FI47">
    <cfRule type="expression" dxfId="2" priority="1930">
      <formula>AND(BT47&gt;=4,FI47&lt;&gt;0, GetEquPower(C47,BN47, DH47, FS47)=0)</formula>
    </cfRule>
    <cfRule type="expression" dxfId="1" priority="1931">
      <formula>AND(BT47&gt;=4,FI47&lt;&gt;GetEquPower(C47,BN47, DH47, FS47))</formula>
    </cfRule>
  </conditionalFormatting>
  <conditionalFormatting sqref="EA47">
    <cfRule type="expression" dxfId="2" priority="1932">
      <formula>AND(BO47&gt;=5,EA47&lt;&gt;0, GetEquPower(C47,BI47, CE47, FN47)=0)</formula>
    </cfRule>
    <cfRule type="expression" dxfId="1" priority="1933">
      <formula>AND(BO47&gt;=5, EA47&lt;&gt;GetEquPower(C47,BI47, CE47, FN47))</formula>
    </cfRule>
  </conditionalFormatting>
  <conditionalFormatting sqref="EB47">
    <cfRule type="expression" dxfId="2" priority="1934">
      <formula>AND(BO47&gt;=6,EB47&lt;&gt;0, GetEquPower(C47,BI47, CF47, FN47)=0)</formula>
    </cfRule>
    <cfRule type="expression" dxfId="1" priority="1935">
      <formula>AND(BO47&gt;=6, EB47&lt;&gt;GetEquPower(C47,BI47, CF47, FN47))</formula>
    </cfRule>
  </conditionalFormatting>
  <conditionalFormatting sqref="EH47">
    <cfRule type="expression" dxfId="2" priority="1936">
      <formula>AND(BP47&gt;=5,EH47&lt;&gt;0, GetEquPower(C47,BJ47, CK47, FO47)=0)</formula>
    </cfRule>
    <cfRule type="expression" dxfId="1" priority="1937">
      <formula>AND(BP47&gt;=5,EH47&lt;&gt;GetEquPower(C47,BJ47, CK47, FO47))</formula>
    </cfRule>
  </conditionalFormatting>
  <conditionalFormatting sqref="EI47">
    <cfRule type="expression" dxfId="2" priority="1938">
      <formula>AND(BP47&gt;=6,EI47&lt;&gt;0, GetEquPower(C47,BJ47, CL47, FO47)=0)</formula>
    </cfRule>
    <cfRule type="expression" dxfId="1" priority="1939">
      <formula>AND(BP47&gt;=6,EI47&lt;&gt;GetEquPower(C47,BJ47, CL47, FO47))</formula>
    </cfRule>
  </conditionalFormatting>
  <conditionalFormatting sqref="EO47">
    <cfRule type="expression" dxfId="2" priority="1940">
      <formula>AND(BQ47&gt;=5,EO47&lt;&gt;0, GetEquPower(C47,BK47, CQ47, FP47)=0)</formula>
    </cfRule>
    <cfRule type="expression" dxfId="1" priority="1941">
      <formula xml:space="preserve"> AND(BQ47&gt;=5,EO47&lt;&gt;GetEquPower(C47,BK47, CQ47, FP47))</formula>
    </cfRule>
  </conditionalFormatting>
  <conditionalFormatting sqref="EP47">
    <cfRule type="expression" dxfId="2" priority="1942">
      <formula>AND(BQ47&gt;=6,EP47&lt;&gt;0, GetEquPower(C47,BK47, CR47, FP47)=0)</formula>
    </cfRule>
    <cfRule type="expression" dxfId="1" priority="1943">
      <formula xml:space="preserve"> AND(BQ47&gt;=6,EP47&lt;&gt;GetEquPower(C47,BK47, CR47, FP47))</formula>
    </cfRule>
  </conditionalFormatting>
  <conditionalFormatting sqref="EV47">
    <cfRule type="expression" dxfId="2" priority="1944">
      <formula>AND(BR47&gt;=5,EV47&lt;&gt;0, GetEquPower(C47,BL47, CW47, FQ47)=0)</formula>
    </cfRule>
    <cfRule type="expression" dxfId="1" priority="1945">
      <formula>AND(BR47&gt;=5,EV47&lt;&gt;GetEquPower(C47,BL47, CW47, FQ47))</formula>
    </cfRule>
  </conditionalFormatting>
  <conditionalFormatting sqref="EW47">
    <cfRule type="expression" dxfId="2" priority="1946">
      <formula>AND(BR47&gt;=6,EW47&lt;&gt;0, GetEquPower(C47,BL47, CX47, FQ47)=0)</formula>
    </cfRule>
    <cfRule type="expression" dxfId="1" priority="1947">
      <formula>AND(BR47&gt;=6,EW47&lt;&gt;GetEquPower(C47,BL47, CX47, FQ47))</formula>
    </cfRule>
  </conditionalFormatting>
  <conditionalFormatting sqref="FC47">
    <cfRule type="expression" dxfId="2" priority="1948">
      <formula>AND(BS47&gt;=5,FC47&lt;&gt;0, GetEquPower(C47,BM47, DC47, FR47)=0)</formula>
    </cfRule>
    <cfRule type="expression" dxfId="1" priority="1949">
      <formula>AND(BS47&gt;=5,FC47&lt;&gt;GetEquPower(C47,BM47, DC47, FR47))</formula>
    </cfRule>
  </conditionalFormatting>
  <conditionalFormatting sqref="FD47">
    <cfRule type="expression" dxfId="2" priority="1950">
      <formula>AND(BS47&gt;=6,FD47&lt;&gt;0, GetEquPower(C47,BM47, DD47, FR47)=0)</formula>
    </cfRule>
    <cfRule type="expression" dxfId="1" priority="1951">
      <formula>AND(BS47&gt;=6,FD47&lt;&gt;GetEquPower(C47,BM47, DD47, FR47))</formula>
    </cfRule>
  </conditionalFormatting>
  <conditionalFormatting sqref="FJ47">
    <cfRule type="expression" dxfId="2" priority="1952">
      <formula>AND(BT47&gt;=5,FJ47&lt;&gt;0, GetEquPower(C47,BN47, DI47, FS47)=0)</formula>
    </cfRule>
    <cfRule type="expression" dxfId="1" priority="1953">
      <formula>AND(BT47&gt;=5,FJ47&lt;&gt;GetEquPower(C47,BN47, DI47, FS47))</formula>
    </cfRule>
  </conditionalFormatting>
  <conditionalFormatting sqref="FK47">
    <cfRule type="expression" dxfId="2" priority="1954">
      <formula>AND(BT47&gt;=6,FK47&lt;&gt;0, GetEquPower(C47,BN47, DJ47, FS47)=0)</formula>
    </cfRule>
    <cfRule type="expression" dxfId="1" priority="1955">
      <formula>AND(BT47&gt;=6,FK47&lt;&gt;GetEquPower(C47,BN47, DJ47, FS47))</formula>
    </cfRule>
  </conditionalFormatting>
  <conditionalFormatting sqref="W47">
    <cfRule type="expression" dxfId="0" priority="1871">
      <formula xml:space="preserve"> NOT(ISLOGICAL($W$2))</formula>
    </cfRule>
  </conditionalFormatting>
  <conditionalFormatting sqref="F48">
    <cfRule type="expression" dxfId="0" priority="1798">
      <formula>F48&lt;&gt;RIGHT(SUBSTITUTE(E48,".",""),LEN(F48))</formula>
    </cfRule>
  </conditionalFormatting>
  <conditionalFormatting sqref="X48">
    <cfRule type="expression" dxfId="0" priority="1793">
      <formula xml:space="preserve"> NOT(ISLOGICAL($X$2))</formula>
    </cfRule>
    <cfRule type="expression" dxfId="0" priority="1797">
      <formula>AND(X48=TRUE,W48=FALSE)</formula>
    </cfRule>
  </conditionalFormatting>
  <conditionalFormatting sqref="Y48">
    <cfRule type="expression" dxfId="0" priority="1796">
      <formula>OR(AND(X48=FALSE,INT(Y48)&gt;0),AND(X48=TRUE,INT(Y48)&lt;=0))</formula>
    </cfRule>
  </conditionalFormatting>
  <conditionalFormatting sqref="AA48">
    <cfRule type="expression" dxfId="0" priority="1795">
      <formula>AND(Z48=FALSE,AA48&gt;0)</formula>
    </cfRule>
  </conditionalFormatting>
  <conditionalFormatting sqref="BV48:HY48">
    <cfRule type="containsErrors" dxfId="0" priority="1794">
      <formula>ISERROR(BV48)</formula>
    </cfRule>
  </conditionalFormatting>
  <conditionalFormatting sqref="Z48">
    <cfRule type="expression" dxfId="0" priority="1792">
      <formula>NOT(ISLOGICAL($Z$2))</formula>
    </cfRule>
  </conditionalFormatting>
  <conditionalFormatting sqref="AB48">
    <cfRule type="expression" dxfId="0" priority="1791">
      <formula>NOT(ISLOGICAL($AB$2))</formula>
    </cfRule>
  </conditionalFormatting>
  <conditionalFormatting sqref="AC48">
    <cfRule type="expression" dxfId="0" priority="1790">
      <formula>NOT(ISLOGICAL($AC$2))</formula>
    </cfRule>
  </conditionalFormatting>
  <conditionalFormatting sqref="B48:BU48">
    <cfRule type="containsErrors" dxfId="0" priority="1789">
      <formula>ISERROR(B48)</formula>
    </cfRule>
  </conditionalFormatting>
  <conditionalFormatting sqref="I48">
    <cfRule type="expression" dxfId="0" priority="1788">
      <formula>NOT(ISNUMBER($I$2))</formula>
    </cfRule>
  </conditionalFormatting>
  <conditionalFormatting sqref="D48">
    <cfRule type="expression" dxfId="0" priority="1787">
      <formula>ISBLANK($D$2)</formula>
    </cfRule>
  </conditionalFormatting>
  <conditionalFormatting sqref="DW48">
    <cfRule type="expression" dxfId="2" priority="1799">
      <formula>AND(BO48&gt;=1,DW48&lt;&gt;0, GetEquPower(C48,BI48, CA48, FN48)=0)</formula>
    </cfRule>
    <cfRule type="expression" dxfId="1" priority="1800">
      <formula>AND(BO48&gt;=1,DW48&lt;&gt;GetEquPower(C48,BI48, CA48, FN48))</formula>
    </cfRule>
  </conditionalFormatting>
  <conditionalFormatting sqref="DX48">
    <cfRule type="expression" dxfId="2" priority="1801">
      <formula>AND(BO48&gt;=2,DX48&lt;&gt;0, GetEquPower(C48,BI48, CB48, FN48)=0)</formula>
    </cfRule>
    <cfRule type="expression" dxfId="1" priority="1802">
      <formula>AND(BO48&gt;=2,DX48&lt;&gt;GetEquPower(C48,BI48, CB48, FN48))</formula>
    </cfRule>
  </conditionalFormatting>
  <conditionalFormatting sqref="DY48">
    <cfRule type="expression" dxfId="2" priority="1803">
      <formula>AND(BO48&gt;=3,DY48&lt;&gt;0, GetEquPower(C48,BI48, CC48, FN48)=0)</formula>
    </cfRule>
    <cfRule type="expression" dxfId="1" priority="1804">
      <formula>AND(BO48&gt;=3,DY48&lt;&gt;GetEquPower(C48,BI48, CC48, FN48))</formula>
    </cfRule>
  </conditionalFormatting>
  <conditionalFormatting sqref="ED48">
    <cfRule type="expression" dxfId="2" priority="1805">
      <formula>AND(BP48&gt;=1,ED48&lt;&gt;0, GetEquPower(C48,BJ48, CG48, FO48)=0)</formula>
    </cfRule>
    <cfRule type="expression" dxfId="1" priority="1806">
      <formula>AND(BP48&gt;=1,ED48&lt;&gt;GetEquPower(C48,BJ48, CG48, FO48))</formula>
    </cfRule>
  </conditionalFormatting>
  <conditionalFormatting sqref="EE48">
    <cfRule type="expression" dxfId="2" priority="1807">
      <formula>AND(BP48&gt;=2,EE48&lt;&gt;0, GetEquPower(C48,BJ48, CH48, FO48)=0)</formula>
    </cfRule>
    <cfRule type="expression" dxfId="1" priority="1808">
      <formula>AND(BP48&gt;=2,EE48&lt;&gt;GetEquPower(C48,BJ48, CH48, FO48))</formula>
    </cfRule>
  </conditionalFormatting>
  <conditionalFormatting sqref="EF48">
    <cfRule type="expression" dxfId="2" priority="1809">
      <formula>AND(BP48&gt;=3,EF48&lt;&gt;0, GetEquPower(C48,BJ48, CI48, FO48)=0)</formula>
    </cfRule>
    <cfRule type="expression" dxfId="1" priority="1810">
      <formula>AND(BP48&gt;=3,EF48&lt;&gt;GetEquPower(C48,BJ48, CI48, FO48))</formula>
    </cfRule>
  </conditionalFormatting>
  <conditionalFormatting sqref="EK48">
    <cfRule type="expression" dxfId="2" priority="1811">
      <formula>AND(BQ48&gt;=1,EK48&lt;&gt;0, GetEquPower(C48,BK48, CM48, FP48)=0)</formula>
    </cfRule>
    <cfRule type="expression" dxfId="1" priority="1812">
      <formula>AND(BQ48&gt;=1,EK48&lt;&gt;GetEquPower(C48,BK48, CM48, FP48))</formula>
    </cfRule>
  </conditionalFormatting>
  <conditionalFormatting sqref="EL48">
    <cfRule type="expression" dxfId="2" priority="1813">
      <formula>AND(BQ48&gt;=2,EL48&lt;&gt;0, GetEquPower(C48,BK48, CN48, FP48)=0)</formula>
    </cfRule>
    <cfRule type="expression" dxfId="1" priority="1814">
      <formula xml:space="preserve"> AND(BQ48&gt;=2,EL48&lt;&gt;GetEquPower(C48,BK48, CN48, FP48))</formula>
    </cfRule>
  </conditionalFormatting>
  <conditionalFormatting sqref="EM48">
    <cfRule type="expression" dxfId="2" priority="1815">
      <formula>AND(BQ48&gt;=3,EM48&lt;&gt;0, GetEquPower(C48,BK48, CO48, FP48)=0)</formula>
    </cfRule>
    <cfRule type="expression" dxfId="1" priority="1816">
      <formula xml:space="preserve"> AND(BQ48&gt;=3,EM48&lt;&gt;GetEquPower(C48,BK48, CO48, FP48))</formula>
    </cfRule>
  </conditionalFormatting>
  <conditionalFormatting sqref="ER48">
    <cfRule type="expression" dxfId="2" priority="1817">
      <formula>AND(BR48&gt;=1,ER48&lt;&gt;0, GetEquPower(C48,BL48, CS48, FQ48)=0)</formula>
    </cfRule>
    <cfRule type="expression" dxfId="1" priority="1818">
      <formula>AND(BR48&gt;=1,ER48&lt;&gt;GetEquPower(C48,BL48, CS48, FQ48))</formula>
    </cfRule>
  </conditionalFormatting>
  <conditionalFormatting sqref="ES48">
    <cfRule type="expression" dxfId="2" priority="1819">
      <formula>AND(BR48&gt;=2,ES48&lt;&gt;0, GetEquPower(C48,BL48, CT48, FQ48)=0)</formula>
    </cfRule>
    <cfRule type="expression" dxfId="1" priority="1820">
      <formula>AND(BR48&gt;=2,ES48&lt;&gt;GetEquPower(C48,BL48, CT48, FQ48))</formula>
    </cfRule>
  </conditionalFormatting>
  <conditionalFormatting sqref="ET48">
    <cfRule type="expression" dxfId="2" priority="1821">
      <formula>AND(BR48&gt;=3,ET48&lt;&gt;0, GetEquPower(C48,BL48, CU48, FQ48)=0)</formula>
    </cfRule>
    <cfRule type="expression" dxfId="1" priority="1822">
      <formula>AND(BR48&gt;=3,ET48&lt;&gt;GetEquPower(C48,BL48, CU48, FQ48))</formula>
    </cfRule>
  </conditionalFormatting>
  <conditionalFormatting sqref="EY48">
    <cfRule type="expression" dxfId="2" priority="1823">
      <formula>AND(BS48&gt;=1,EY48&lt;&gt;0, GetEquPower(C48,BM48, CY48, FR48)=0)</formula>
    </cfRule>
    <cfRule type="expression" dxfId="1" priority="1824">
      <formula>AND(BS48&gt;=1,EY48&lt;&gt;GetEquPower(C48,BM48, CY48, FR48))</formula>
    </cfRule>
  </conditionalFormatting>
  <conditionalFormatting sqref="EZ48">
    <cfRule type="expression" dxfId="2" priority="1825">
      <formula>AND(BS48&gt;=2,EZ48&lt;&gt;0, GetEquPower(C48,BM48, CZ48, FR48)=0)</formula>
    </cfRule>
    <cfRule type="expression" dxfId="1" priority="1826">
      <formula>AND(BS48&gt;=2,EZ48&lt;&gt;GetEquPower(C48,BM48, CZ48, FR48))</formula>
    </cfRule>
  </conditionalFormatting>
  <conditionalFormatting sqref="FA48">
    <cfRule type="expression" dxfId="2" priority="1827">
      <formula>AND(BS48&gt;=3,FA48&lt;&gt;0, GetEquPower(C48,BM48, DA48, FR48)=0)</formula>
    </cfRule>
    <cfRule type="expression" dxfId="1" priority="1828">
      <formula>AND(BS48&gt;=3,FA48&lt;&gt;GetEquPower(C48,BM48, DA48, FR48))</formula>
    </cfRule>
  </conditionalFormatting>
  <conditionalFormatting sqref="FF48">
    <cfRule type="expression" dxfId="2" priority="1829">
      <formula>AND(BT48&gt;=1,FF48&lt;&gt;0, GetEquPower(C48,BN48, DE48, FS48)=0)</formula>
    </cfRule>
    <cfRule type="expression" dxfId="1" priority="1830">
      <formula>AND(BT48&gt;=1,FF48&lt;&gt;GetEquPower(C48,BN48, DE48, FS48))</formula>
    </cfRule>
  </conditionalFormatting>
  <conditionalFormatting sqref="FG48">
    <cfRule type="expression" dxfId="2" priority="1831">
      <formula>AND(BT48&gt;=2,FG48&lt;&gt;0, GetEquPower(C48,BN48, DF48, FS48)=0)</formula>
    </cfRule>
    <cfRule type="expression" dxfId="1" priority="1832">
      <formula>AND(BT48&gt;=2,FG48&lt;&gt;GetEquPower(C48,BN48, DF48, FS48))</formula>
    </cfRule>
  </conditionalFormatting>
  <conditionalFormatting sqref="FH48">
    <cfRule type="expression" dxfId="2" priority="1833">
      <formula>AND(BT48&gt;=3,FH48&lt;&gt;0, GetEquPower(C48,BN48, DG48, FS48)=0)</formula>
    </cfRule>
    <cfRule type="expression" dxfId="1" priority="1834">
      <formula>AND(BT48&gt;=3,FH48&lt;&gt;GetEquPower(C48,BN48, DG48, FS48))</formula>
    </cfRule>
  </conditionalFormatting>
  <conditionalFormatting sqref="DZ48">
    <cfRule type="expression" dxfId="2" priority="1835">
      <formula>AND(BO48&gt;=4,DZ48&lt;&gt;0, GetEquPower(C48,BI48, CD48, FN48)=0)</formula>
    </cfRule>
    <cfRule type="expression" dxfId="1" priority="1836">
      <formula>AND(BO48&gt;=4, DZ48&lt;&gt;GetEquPower(C48,BI48, CD48, FN48))</formula>
    </cfRule>
  </conditionalFormatting>
  <conditionalFormatting sqref="EG48">
    <cfRule type="expression" dxfId="2" priority="1837">
      <formula>AND(BP48&gt;=4,EG48&lt;&gt;0, GetEquPower(C48,BJ48, CJ48, FO48)=0)</formula>
    </cfRule>
    <cfRule type="expression" dxfId="1" priority="1838">
      <formula>AND(BP48&gt;=4,EG48&lt;&gt;GetEquPower(C48,BJ48, CJ48, FO48))</formula>
    </cfRule>
  </conditionalFormatting>
  <conditionalFormatting sqref="EN48">
    <cfRule type="expression" dxfId="2" priority="1839">
      <formula>AND(BQ48&gt;=4,EN48&lt;&gt;0, GetEquPower(C48,BK48, CP48, FP48)=0)</formula>
    </cfRule>
    <cfRule type="expression" dxfId="1" priority="1840">
      <formula xml:space="preserve"> AND(BQ48&gt;=4,EN48&lt;&gt;GetEquPower(C48,BK48, CP48, FP48))</formula>
    </cfRule>
  </conditionalFormatting>
  <conditionalFormatting sqref="EU48">
    <cfRule type="expression" dxfId="2" priority="1841">
      <formula>AND(BR48&gt;=4,EU48&lt;&gt;0, GetEquPower(C48,BL48, CV48, FQ48)=0)</formula>
    </cfRule>
    <cfRule type="expression" dxfId="1" priority="1842">
      <formula>AND(BR48&gt;=4,EU48&lt;&gt;GetEquPower(C48,BL48, CV48, FQ48))</formula>
    </cfRule>
  </conditionalFormatting>
  <conditionalFormatting sqref="FB48">
    <cfRule type="expression" dxfId="2" priority="1843">
      <formula>AND(BS48&gt;=4,FB48&lt;&gt;0, GetEquPower(C48,BM48, DB48, FR48)=0)</formula>
    </cfRule>
    <cfRule type="expression" dxfId="1" priority="1844">
      <formula>AND(BS48&gt;=4,FB48&lt;&gt;GetEquPower(C48,BM48, DB48, FR48))</formula>
    </cfRule>
  </conditionalFormatting>
  <conditionalFormatting sqref="FI48">
    <cfRule type="expression" dxfId="2" priority="1845">
      <formula>AND(BT48&gt;=4,FI48&lt;&gt;0, GetEquPower(C48,BN48, DH48, FS48)=0)</formula>
    </cfRule>
    <cfRule type="expression" dxfId="1" priority="1846">
      <formula>AND(BT48&gt;=4,FI48&lt;&gt;GetEquPower(C48,BN48, DH48, FS48))</formula>
    </cfRule>
  </conditionalFormatting>
  <conditionalFormatting sqref="EA48">
    <cfRule type="expression" dxfId="2" priority="1847">
      <formula>AND(BO48&gt;=5,EA48&lt;&gt;0, GetEquPower(C48,BI48, CE48, FN48)=0)</formula>
    </cfRule>
    <cfRule type="expression" dxfId="1" priority="1848">
      <formula>AND(BO48&gt;=5, EA48&lt;&gt;GetEquPower(C48,BI48, CE48, FN48))</formula>
    </cfRule>
  </conditionalFormatting>
  <conditionalFormatting sqref="EB48">
    <cfRule type="expression" dxfId="2" priority="1849">
      <formula>AND(BO48&gt;=6,EB48&lt;&gt;0, GetEquPower(C48,BI48, CF48, FN48)=0)</formula>
    </cfRule>
    <cfRule type="expression" dxfId="1" priority="1850">
      <formula>AND(BO48&gt;=6, EB48&lt;&gt;GetEquPower(C48,BI48, CF48, FN48))</formula>
    </cfRule>
  </conditionalFormatting>
  <conditionalFormatting sqref="EH48">
    <cfRule type="expression" dxfId="2" priority="1851">
      <formula>AND(BP48&gt;=5,EH48&lt;&gt;0, GetEquPower(C48,BJ48, CK48, FO48)=0)</formula>
    </cfRule>
    <cfRule type="expression" dxfId="1" priority="1852">
      <formula>AND(BP48&gt;=5,EH48&lt;&gt;GetEquPower(C48,BJ48, CK48, FO48))</formula>
    </cfRule>
  </conditionalFormatting>
  <conditionalFormatting sqref="EI48">
    <cfRule type="expression" dxfId="2" priority="1853">
      <formula>AND(BP48&gt;=6,EI48&lt;&gt;0, GetEquPower(C48,BJ48, CL48, FO48)=0)</formula>
    </cfRule>
    <cfRule type="expression" dxfId="1" priority="1854">
      <formula>AND(BP48&gt;=6,EI48&lt;&gt;GetEquPower(C48,BJ48, CL48, FO48))</formula>
    </cfRule>
  </conditionalFormatting>
  <conditionalFormatting sqref="EO48">
    <cfRule type="expression" dxfId="2" priority="1855">
      <formula>AND(BQ48&gt;=5,EO48&lt;&gt;0, GetEquPower(C48,BK48, CQ48, FP48)=0)</formula>
    </cfRule>
    <cfRule type="expression" dxfId="1" priority="1856">
      <formula xml:space="preserve"> AND(BQ48&gt;=5,EO48&lt;&gt;GetEquPower(C48,BK48, CQ48, FP48))</formula>
    </cfRule>
  </conditionalFormatting>
  <conditionalFormatting sqref="EP48">
    <cfRule type="expression" dxfId="2" priority="1857">
      <formula>AND(BQ48&gt;=6,EP48&lt;&gt;0, GetEquPower(C48,BK48, CR48, FP48)=0)</formula>
    </cfRule>
    <cfRule type="expression" dxfId="1" priority="1858">
      <formula xml:space="preserve"> AND(BQ48&gt;=6,EP48&lt;&gt;GetEquPower(C48,BK48, CR48, FP48))</formula>
    </cfRule>
  </conditionalFormatting>
  <conditionalFormatting sqref="EV48">
    <cfRule type="expression" dxfId="2" priority="1859">
      <formula>AND(BR48&gt;=5,EV48&lt;&gt;0, GetEquPower(C48,BL48, CW48, FQ48)=0)</formula>
    </cfRule>
    <cfRule type="expression" dxfId="1" priority="1860">
      <formula>AND(BR48&gt;=5,EV48&lt;&gt;GetEquPower(C48,BL48, CW48, FQ48))</formula>
    </cfRule>
  </conditionalFormatting>
  <conditionalFormatting sqref="EW48">
    <cfRule type="expression" dxfId="2" priority="1861">
      <formula>AND(BR48&gt;=6,EW48&lt;&gt;0, GetEquPower(C48,BL48, CX48, FQ48)=0)</formula>
    </cfRule>
    <cfRule type="expression" dxfId="1" priority="1862">
      <formula>AND(BR48&gt;=6,EW48&lt;&gt;GetEquPower(C48,BL48, CX48, FQ48))</formula>
    </cfRule>
  </conditionalFormatting>
  <conditionalFormatting sqref="FC48">
    <cfRule type="expression" dxfId="2" priority="1863">
      <formula>AND(BS48&gt;=5,FC48&lt;&gt;0, GetEquPower(C48,BM48, DC48, FR48)=0)</formula>
    </cfRule>
    <cfRule type="expression" dxfId="1" priority="1864">
      <formula>AND(BS48&gt;=5,FC48&lt;&gt;GetEquPower(C48,BM48, DC48, FR48))</formula>
    </cfRule>
  </conditionalFormatting>
  <conditionalFormatting sqref="FD48">
    <cfRule type="expression" dxfId="2" priority="1865">
      <formula>AND(BS48&gt;=6,FD48&lt;&gt;0, GetEquPower(C48,BM48, DD48, FR48)=0)</formula>
    </cfRule>
    <cfRule type="expression" dxfId="1" priority="1866">
      <formula>AND(BS48&gt;=6,FD48&lt;&gt;GetEquPower(C48,BM48, DD48, FR48))</formula>
    </cfRule>
  </conditionalFormatting>
  <conditionalFormatting sqref="FJ48">
    <cfRule type="expression" dxfId="2" priority="1867">
      <formula>AND(BT48&gt;=5,FJ48&lt;&gt;0, GetEquPower(C48,BN48, DI48, FS48)=0)</formula>
    </cfRule>
    <cfRule type="expression" dxfId="1" priority="1868">
      <formula>AND(BT48&gt;=5,FJ48&lt;&gt;GetEquPower(C48,BN48, DI48, FS48))</formula>
    </cfRule>
  </conditionalFormatting>
  <conditionalFormatting sqref="FK48">
    <cfRule type="expression" dxfId="2" priority="1869">
      <formula>AND(BT48&gt;=6,FK48&lt;&gt;0, GetEquPower(C48,BN48, DJ48, FS48)=0)</formula>
    </cfRule>
    <cfRule type="expression" dxfId="1" priority="1870">
      <formula>AND(BT48&gt;=6,FK48&lt;&gt;GetEquPower(C48,BN48, DJ48, FS48))</formula>
    </cfRule>
  </conditionalFormatting>
  <conditionalFormatting sqref="W48">
    <cfRule type="expression" dxfId="0" priority="1786">
      <formula xml:space="preserve"> NOT(ISLOGICAL($W$2))</formula>
    </cfRule>
  </conditionalFormatting>
  <conditionalFormatting sqref="F49">
    <cfRule type="expression" dxfId="0" priority="1713">
      <formula>F49&lt;&gt;RIGHT(SUBSTITUTE(E49,".",""),LEN(F49))</formula>
    </cfRule>
  </conditionalFormatting>
  <conditionalFormatting sqref="X49">
    <cfRule type="expression" dxfId="0" priority="1708">
      <formula xml:space="preserve"> NOT(ISLOGICAL($X$2))</formula>
    </cfRule>
    <cfRule type="expression" dxfId="0" priority="1712">
      <formula>AND(X49=TRUE,W49=FALSE)</formula>
    </cfRule>
  </conditionalFormatting>
  <conditionalFormatting sqref="Y49">
    <cfRule type="expression" dxfId="0" priority="1711">
      <formula>OR(AND(X49=FALSE,INT(Y49)&gt;0),AND(X49=TRUE,INT(Y49)&lt;=0))</formula>
    </cfRule>
  </conditionalFormatting>
  <conditionalFormatting sqref="AA49">
    <cfRule type="expression" dxfId="0" priority="1710">
      <formula>AND(Z49=FALSE,AA49&gt;0)</formula>
    </cfRule>
  </conditionalFormatting>
  <conditionalFormatting sqref="BV49:HY49">
    <cfRule type="containsErrors" dxfId="0" priority="1709">
      <formula>ISERROR(BV49)</formula>
    </cfRule>
  </conditionalFormatting>
  <conditionalFormatting sqref="Z49">
    <cfRule type="expression" dxfId="0" priority="1707">
      <formula>NOT(ISLOGICAL($Z$2))</formula>
    </cfRule>
  </conditionalFormatting>
  <conditionalFormatting sqref="AB49">
    <cfRule type="expression" dxfId="0" priority="1706">
      <formula>NOT(ISLOGICAL($AB$2))</formula>
    </cfRule>
  </conditionalFormatting>
  <conditionalFormatting sqref="AC49">
    <cfRule type="expression" dxfId="0" priority="1705">
      <formula>NOT(ISLOGICAL($AC$2))</formula>
    </cfRule>
  </conditionalFormatting>
  <conditionalFormatting sqref="B49:BU49">
    <cfRule type="containsErrors" dxfId="0" priority="1704">
      <formula>ISERROR(B49)</formula>
    </cfRule>
  </conditionalFormatting>
  <conditionalFormatting sqref="I49">
    <cfRule type="expression" dxfId="0" priority="1703">
      <formula>NOT(ISNUMBER($I$2))</formula>
    </cfRule>
  </conditionalFormatting>
  <conditionalFormatting sqref="D49">
    <cfRule type="expression" dxfId="0" priority="1702">
      <formula>ISBLANK($D$2)</formula>
    </cfRule>
  </conditionalFormatting>
  <conditionalFormatting sqref="DW49">
    <cfRule type="expression" dxfId="2" priority="1714">
      <formula>AND(BO49&gt;=1,DW49&lt;&gt;0, GetEquPower(C49,BI49, CA49, FN49)=0)</formula>
    </cfRule>
    <cfRule type="expression" dxfId="1" priority="1715">
      <formula>AND(BO49&gt;=1,DW49&lt;&gt;GetEquPower(C49,BI49, CA49, FN49))</formula>
    </cfRule>
  </conditionalFormatting>
  <conditionalFormatting sqref="DX49">
    <cfRule type="expression" dxfId="2" priority="1716">
      <formula>AND(BO49&gt;=2,DX49&lt;&gt;0, GetEquPower(C49,BI49, CB49, FN49)=0)</formula>
    </cfRule>
    <cfRule type="expression" dxfId="1" priority="1717">
      <formula>AND(BO49&gt;=2,DX49&lt;&gt;GetEquPower(C49,BI49, CB49, FN49))</formula>
    </cfRule>
  </conditionalFormatting>
  <conditionalFormatting sqref="DY49">
    <cfRule type="expression" dxfId="2" priority="1718">
      <formula>AND(BO49&gt;=3,DY49&lt;&gt;0, GetEquPower(C49,BI49, CC49, FN49)=0)</formula>
    </cfRule>
    <cfRule type="expression" dxfId="1" priority="1719">
      <formula>AND(BO49&gt;=3,DY49&lt;&gt;GetEquPower(C49,BI49, CC49, FN49))</formula>
    </cfRule>
  </conditionalFormatting>
  <conditionalFormatting sqref="ED49">
    <cfRule type="expression" dxfId="2" priority="1720">
      <formula>AND(BP49&gt;=1,ED49&lt;&gt;0, GetEquPower(C49,BJ49, CG49, FO49)=0)</formula>
    </cfRule>
    <cfRule type="expression" dxfId="1" priority="1721">
      <formula>AND(BP49&gt;=1,ED49&lt;&gt;GetEquPower(C49,BJ49, CG49, FO49))</formula>
    </cfRule>
  </conditionalFormatting>
  <conditionalFormatting sqref="EE49">
    <cfRule type="expression" dxfId="2" priority="1722">
      <formula>AND(BP49&gt;=2,EE49&lt;&gt;0, GetEquPower(C49,BJ49, CH49, FO49)=0)</formula>
    </cfRule>
    <cfRule type="expression" dxfId="1" priority="1723">
      <formula>AND(BP49&gt;=2,EE49&lt;&gt;GetEquPower(C49,BJ49, CH49, FO49))</formula>
    </cfRule>
  </conditionalFormatting>
  <conditionalFormatting sqref="EF49">
    <cfRule type="expression" dxfId="2" priority="1724">
      <formula>AND(BP49&gt;=3,EF49&lt;&gt;0, GetEquPower(C49,BJ49, CI49, FO49)=0)</formula>
    </cfRule>
    <cfRule type="expression" dxfId="1" priority="1725">
      <formula>AND(BP49&gt;=3,EF49&lt;&gt;GetEquPower(C49,BJ49, CI49, FO49))</formula>
    </cfRule>
  </conditionalFormatting>
  <conditionalFormatting sqref="EK49">
    <cfRule type="expression" dxfId="2" priority="1726">
      <formula>AND(BQ49&gt;=1,EK49&lt;&gt;0, GetEquPower(C49,BK49, CM49, FP49)=0)</formula>
    </cfRule>
    <cfRule type="expression" dxfId="1" priority="1727">
      <formula>AND(BQ49&gt;=1,EK49&lt;&gt;GetEquPower(C49,BK49, CM49, FP49))</formula>
    </cfRule>
  </conditionalFormatting>
  <conditionalFormatting sqref="EL49">
    <cfRule type="expression" dxfId="2" priority="1728">
      <formula>AND(BQ49&gt;=2,EL49&lt;&gt;0, GetEquPower(C49,BK49, CN49, FP49)=0)</formula>
    </cfRule>
    <cfRule type="expression" dxfId="1" priority="1729">
      <formula xml:space="preserve"> AND(BQ49&gt;=2,EL49&lt;&gt;GetEquPower(C49,BK49, CN49, FP49))</formula>
    </cfRule>
  </conditionalFormatting>
  <conditionalFormatting sqref="EM49">
    <cfRule type="expression" dxfId="2" priority="1730">
      <formula>AND(BQ49&gt;=3,EM49&lt;&gt;0, GetEquPower(C49,BK49, CO49, FP49)=0)</formula>
    </cfRule>
    <cfRule type="expression" dxfId="1" priority="1731">
      <formula xml:space="preserve"> AND(BQ49&gt;=3,EM49&lt;&gt;GetEquPower(C49,BK49, CO49, FP49))</formula>
    </cfRule>
  </conditionalFormatting>
  <conditionalFormatting sqref="ER49">
    <cfRule type="expression" dxfId="2" priority="1732">
      <formula>AND(BR49&gt;=1,ER49&lt;&gt;0, GetEquPower(C49,BL49, CS49, FQ49)=0)</formula>
    </cfRule>
    <cfRule type="expression" dxfId="1" priority="1733">
      <formula>AND(BR49&gt;=1,ER49&lt;&gt;GetEquPower(C49,BL49, CS49, FQ49))</formula>
    </cfRule>
  </conditionalFormatting>
  <conditionalFormatting sqref="ES49">
    <cfRule type="expression" dxfId="2" priority="1734">
      <formula>AND(BR49&gt;=2,ES49&lt;&gt;0, GetEquPower(C49,BL49, CT49, FQ49)=0)</formula>
    </cfRule>
    <cfRule type="expression" dxfId="1" priority="1735">
      <formula>AND(BR49&gt;=2,ES49&lt;&gt;GetEquPower(C49,BL49, CT49, FQ49))</formula>
    </cfRule>
  </conditionalFormatting>
  <conditionalFormatting sqref="ET49">
    <cfRule type="expression" dxfId="2" priority="1736">
      <formula>AND(BR49&gt;=3,ET49&lt;&gt;0, GetEquPower(C49,BL49, CU49, FQ49)=0)</formula>
    </cfRule>
    <cfRule type="expression" dxfId="1" priority="1737">
      <formula>AND(BR49&gt;=3,ET49&lt;&gt;GetEquPower(C49,BL49, CU49, FQ49))</formula>
    </cfRule>
  </conditionalFormatting>
  <conditionalFormatting sqref="EY49">
    <cfRule type="expression" dxfId="2" priority="1738">
      <formula>AND(BS49&gt;=1,EY49&lt;&gt;0, GetEquPower(C49,BM49, CY49, FR49)=0)</formula>
    </cfRule>
    <cfRule type="expression" dxfId="1" priority="1739">
      <formula>AND(BS49&gt;=1,EY49&lt;&gt;GetEquPower(C49,BM49, CY49, FR49))</formula>
    </cfRule>
  </conditionalFormatting>
  <conditionalFormatting sqref="EZ49">
    <cfRule type="expression" dxfId="2" priority="1740">
      <formula>AND(BS49&gt;=2,EZ49&lt;&gt;0, GetEquPower(C49,BM49, CZ49, FR49)=0)</formula>
    </cfRule>
    <cfRule type="expression" dxfId="1" priority="1741">
      <formula>AND(BS49&gt;=2,EZ49&lt;&gt;GetEquPower(C49,BM49, CZ49, FR49))</formula>
    </cfRule>
  </conditionalFormatting>
  <conditionalFormatting sqref="FA49">
    <cfRule type="expression" dxfId="2" priority="1742">
      <formula>AND(BS49&gt;=3,FA49&lt;&gt;0, GetEquPower(C49,BM49, DA49, FR49)=0)</formula>
    </cfRule>
    <cfRule type="expression" dxfId="1" priority="1743">
      <formula>AND(BS49&gt;=3,FA49&lt;&gt;GetEquPower(C49,BM49, DA49, FR49))</formula>
    </cfRule>
  </conditionalFormatting>
  <conditionalFormatting sqref="FF49">
    <cfRule type="expression" dxfId="2" priority="1744">
      <formula>AND(BT49&gt;=1,FF49&lt;&gt;0, GetEquPower(C49,BN49, DE49, FS49)=0)</formula>
    </cfRule>
    <cfRule type="expression" dxfId="1" priority="1745">
      <formula>AND(BT49&gt;=1,FF49&lt;&gt;GetEquPower(C49,BN49, DE49, FS49))</formula>
    </cfRule>
  </conditionalFormatting>
  <conditionalFormatting sqref="FG49">
    <cfRule type="expression" dxfId="2" priority="1746">
      <formula>AND(BT49&gt;=2,FG49&lt;&gt;0, GetEquPower(C49,BN49, DF49, FS49)=0)</formula>
    </cfRule>
    <cfRule type="expression" dxfId="1" priority="1747">
      <formula>AND(BT49&gt;=2,FG49&lt;&gt;GetEquPower(C49,BN49, DF49, FS49))</formula>
    </cfRule>
  </conditionalFormatting>
  <conditionalFormatting sqref="FH49">
    <cfRule type="expression" dxfId="2" priority="1748">
      <formula>AND(BT49&gt;=3,FH49&lt;&gt;0, GetEquPower(C49,BN49, DG49, FS49)=0)</formula>
    </cfRule>
    <cfRule type="expression" dxfId="1" priority="1749">
      <formula>AND(BT49&gt;=3,FH49&lt;&gt;GetEquPower(C49,BN49, DG49, FS49))</formula>
    </cfRule>
  </conditionalFormatting>
  <conditionalFormatting sqref="DZ49">
    <cfRule type="expression" dxfId="2" priority="1750">
      <formula>AND(BO49&gt;=4,DZ49&lt;&gt;0, GetEquPower(C49,BI49, CD49, FN49)=0)</formula>
    </cfRule>
    <cfRule type="expression" dxfId="1" priority="1751">
      <formula>AND(BO49&gt;=4, DZ49&lt;&gt;GetEquPower(C49,BI49, CD49, FN49))</formula>
    </cfRule>
  </conditionalFormatting>
  <conditionalFormatting sqref="EG49">
    <cfRule type="expression" dxfId="2" priority="1752">
      <formula>AND(BP49&gt;=4,EG49&lt;&gt;0, GetEquPower(C49,BJ49, CJ49, FO49)=0)</formula>
    </cfRule>
    <cfRule type="expression" dxfId="1" priority="1753">
      <formula>AND(BP49&gt;=4,EG49&lt;&gt;GetEquPower(C49,BJ49, CJ49, FO49))</formula>
    </cfRule>
  </conditionalFormatting>
  <conditionalFormatting sqref="EN49">
    <cfRule type="expression" dxfId="2" priority="1754">
      <formula>AND(BQ49&gt;=4,EN49&lt;&gt;0, GetEquPower(C49,BK49, CP49, FP49)=0)</formula>
    </cfRule>
    <cfRule type="expression" dxfId="1" priority="1755">
      <formula xml:space="preserve"> AND(BQ49&gt;=4,EN49&lt;&gt;GetEquPower(C49,BK49, CP49, FP49))</formula>
    </cfRule>
  </conditionalFormatting>
  <conditionalFormatting sqref="EU49">
    <cfRule type="expression" dxfId="2" priority="1756">
      <formula>AND(BR49&gt;=4,EU49&lt;&gt;0, GetEquPower(C49,BL49, CV49, FQ49)=0)</formula>
    </cfRule>
    <cfRule type="expression" dxfId="1" priority="1757">
      <formula>AND(BR49&gt;=4,EU49&lt;&gt;GetEquPower(C49,BL49, CV49, FQ49))</formula>
    </cfRule>
  </conditionalFormatting>
  <conditionalFormatting sqref="FB49">
    <cfRule type="expression" dxfId="2" priority="1758">
      <formula>AND(BS49&gt;=4,FB49&lt;&gt;0, GetEquPower(C49,BM49, DB49, FR49)=0)</formula>
    </cfRule>
    <cfRule type="expression" dxfId="1" priority="1759">
      <formula>AND(BS49&gt;=4,FB49&lt;&gt;GetEquPower(C49,BM49, DB49, FR49))</formula>
    </cfRule>
  </conditionalFormatting>
  <conditionalFormatting sqref="FI49">
    <cfRule type="expression" dxfId="2" priority="1760">
      <formula>AND(BT49&gt;=4,FI49&lt;&gt;0, GetEquPower(C49,BN49, DH49, FS49)=0)</formula>
    </cfRule>
    <cfRule type="expression" dxfId="1" priority="1761">
      <formula>AND(BT49&gt;=4,FI49&lt;&gt;GetEquPower(C49,BN49, DH49, FS49))</formula>
    </cfRule>
  </conditionalFormatting>
  <conditionalFormatting sqref="EA49">
    <cfRule type="expression" dxfId="2" priority="1762">
      <formula>AND(BO49&gt;=5,EA49&lt;&gt;0, GetEquPower(C49,BI49, CE49, FN49)=0)</formula>
    </cfRule>
    <cfRule type="expression" dxfId="1" priority="1763">
      <formula>AND(BO49&gt;=5, EA49&lt;&gt;GetEquPower(C49,BI49, CE49, FN49))</formula>
    </cfRule>
  </conditionalFormatting>
  <conditionalFormatting sqref="EB49">
    <cfRule type="expression" dxfId="2" priority="1764">
      <formula>AND(BO49&gt;=6,EB49&lt;&gt;0, GetEquPower(C49,BI49, CF49, FN49)=0)</formula>
    </cfRule>
    <cfRule type="expression" dxfId="1" priority="1765">
      <formula>AND(BO49&gt;=6, EB49&lt;&gt;GetEquPower(C49,BI49, CF49, FN49))</formula>
    </cfRule>
  </conditionalFormatting>
  <conditionalFormatting sqref="EH49">
    <cfRule type="expression" dxfId="2" priority="1766">
      <formula>AND(BP49&gt;=5,EH49&lt;&gt;0, GetEquPower(C49,BJ49, CK49, FO49)=0)</formula>
    </cfRule>
    <cfRule type="expression" dxfId="1" priority="1767">
      <formula>AND(BP49&gt;=5,EH49&lt;&gt;GetEquPower(C49,BJ49, CK49, FO49))</formula>
    </cfRule>
  </conditionalFormatting>
  <conditionalFormatting sqref="EI49">
    <cfRule type="expression" dxfId="2" priority="1768">
      <formula>AND(BP49&gt;=6,EI49&lt;&gt;0, GetEquPower(C49,BJ49, CL49, FO49)=0)</formula>
    </cfRule>
    <cfRule type="expression" dxfId="1" priority="1769">
      <formula>AND(BP49&gt;=6,EI49&lt;&gt;GetEquPower(C49,BJ49, CL49, FO49))</formula>
    </cfRule>
  </conditionalFormatting>
  <conditionalFormatting sqref="EO49">
    <cfRule type="expression" dxfId="2" priority="1770">
      <formula>AND(BQ49&gt;=5,EO49&lt;&gt;0, GetEquPower(C49,BK49, CQ49, FP49)=0)</formula>
    </cfRule>
    <cfRule type="expression" dxfId="1" priority="1771">
      <formula xml:space="preserve"> AND(BQ49&gt;=5,EO49&lt;&gt;GetEquPower(C49,BK49, CQ49, FP49))</formula>
    </cfRule>
  </conditionalFormatting>
  <conditionalFormatting sqref="EP49">
    <cfRule type="expression" dxfId="2" priority="1772">
      <formula>AND(BQ49&gt;=6,EP49&lt;&gt;0, GetEquPower(C49,BK49, CR49, FP49)=0)</formula>
    </cfRule>
    <cfRule type="expression" dxfId="1" priority="1773">
      <formula xml:space="preserve"> AND(BQ49&gt;=6,EP49&lt;&gt;GetEquPower(C49,BK49, CR49, FP49))</formula>
    </cfRule>
  </conditionalFormatting>
  <conditionalFormatting sqref="EV49">
    <cfRule type="expression" dxfId="2" priority="1774">
      <formula>AND(BR49&gt;=5,EV49&lt;&gt;0, GetEquPower(C49,BL49, CW49, FQ49)=0)</formula>
    </cfRule>
    <cfRule type="expression" dxfId="1" priority="1775">
      <formula>AND(BR49&gt;=5,EV49&lt;&gt;GetEquPower(C49,BL49, CW49, FQ49))</formula>
    </cfRule>
  </conditionalFormatting>
  <conditionalFormatting sqref="EW49">
    <cfRule type="expression" dxfId="2" priority="1776">
      <formula>AND(BR49&gt;=6,EW49&lt;&gt;0, GetEquPower(C49,BL49, CX49, FQ49)=0)</formula>
    </cfRule>
    <cfRule type="expression" dxfId="1" priority="1777">
      <formula>AND(BR49&gt;=6,EW49&lt;&gt;GetEquPower(C49,BL49, CX49, FQ49))</formula>
    </cfRule>
  </conditionalFormatting>
  <conditionalFormatting sqref="FC49">
    <cfRule type="expression" dxfId="2" priority="1778">
      <formula>AND(BS49&gt;=5,FC49&lt;&gt;0, GetEquPower(C49,BM49, DC49, FR49)=0)</formula>
    </cfRule>
    <cfRule type="expression" dxfId="1" priority="1779">
      <formula>AND(BS49&gt;=5,FC49&lt;&gt;GetEquPower(C49,BM49, DC49, FR49))</formula>
    </cfRule>
  </conditionalFormatting>
  <conditionalFormatting sqref="FD49">
    <cfRule type="expression" dxfId="2" priority="1780">
      <formula>AND(BS49&gt;=6,FD49&lt;&gt;0, GetEquPower(C49,BM49, DD49, FR49)=0)</formula>
    </cfRule>
    <cfRule type="expression" dxfId="1" priority="1781">
      <formula>AND(BS49&gt;=6,FD49&lt;&gt;GetEquPower(C49,BM49, DD49, FR49))</formula>
    </cfRule>
  </conditionalFormatting>
  <conditionalFormatting sqref="FJ49">
    <cfRule type="expression" dxfId="2" priority="1782">
      <formula>AND(BT49&gt;=5,FJ49&lt;&gt;0, GetEquPower(C49,BN49, DI49, FS49)=0)</formula>
    </cfRule>
    <cfRule type="expression" dxfId="1" priority="1783">
      <formula>AND(BT49&gt;=5,FJ49&lt;&gt;GetEquPower(C49,BN49, DI49, FS49))</formula>
    </cfRule>
  </conditionalFormatting>
  <conditionalFormatting sqref="FK49">
    <cfRule type="expression" dxfId="2" priority="1784">
      <formula>AND(BT49&gt;=6,FK49&lt;&gt;0, GetEquPower(C49,BN49, DJ49, FS49)=0)</formula>
    </cfRule>
    <cfRule type="expression" dxfId="1" priority="1785">
      <formula>AND(BT49&gt;=6,FK49&lt;&gt;GetEquPower(C49,BN49, DJ49, FS49))</formula>
    </cfRule>
  </conditionalFormatting>
  <conditionalFormatting sqref="W49">
    <cfRule type="expression" dxfId="0" priority="1701">
      <formula xml:space="preserve"> NOT(ISLOGICAL($W$2))</formula>
    </cfRule>
  </conditionalFormatting>
  <conditionalFormatting sqref="F50">
    <cfRule type="expression" dxfId="0" priority="1628">
      <formula>F50&lt;&gt;RIGHT(SUBSTITUTE(E50,".",""),LEN(F50))</formula>
    </cfRule>
  </conditionalFormatting>
  <conditionalFormatting sqref="X50">
    <cfRule type="expression" dxfId="0" priority="1623">
      <formula xml:space="preserve"> NOT(ISLOGICAL($X$2))</formula>
    </cfRule>
    <cfRule type="expression" dxfId="0" priority="1627">
      <formula>AND(X50=TRUE,W50=FALSE)</formula>
    </cfRule>
  </conditionalFormatting>
  <conditionalFormatting sqref="Y50">
    <cfRule type="expression" dxfId="0" priority="1626">
      <formula>OR(AND(X50=FALSE,INT(Y50)&gt;0),AND(X50=TRUE,INT(Y50)&lt;=0))</formula>
    </cfRule>
  </conditionalFormatting>
  <conditionalFormatting sqref="AA50">
    <cfRule type="expression" dxfId="0" priority="1625">
      <formula>AND(Z50=FALSE,AA50&gt;0)</formula>
    </cfRule>
  </conditionalFormatting>
  <conditionalFormatting sqref="BV50:HY50">
    <cfRule type="containsErrors" dxfId="0" priority="1624">
      <formula>ISERROR(BV50)</formula>
    </cfRule>
  </conditionalFormatting>
  <conditionalFormatting sqref="Z50">
    <cfRule type="expression" dxfId="0" priority="1622">
      <formula>NOT(ISLOGICAL($Z$2))</formula>
    </cfRule>
  </conditionalFormatting>
  <conditionalFormatting sqref="AB50">
    <cfRule type="expression" dxfId="0" priority="1621">
      <formula>NOT(ISLOGICAL($AB$2))</formula>
    </cfRule>
  </conditionalFormatting>
  <conditionalFormatting sqref="AC50">
    <cfRule type="expression" dxfId="0" priority="1620">
      <formula>NOT(ISLOGICAL($AC$2))</formula>
    </cfRule>
  </conditionalFormatting>
  <conditionalFormatting sqref="B50:BU50">
    <cfRule type="containsErrors" dxfId="0" priority="1619">
      <formula>ISERROR(B50)</formula>
    </cfRule>
  </conditionalFormatting>
  <conditionalFormatting sqref="I50">
    <cfRule type="expression" dxfId="0" priority="1618">
      <formula>NOT(ISNUMBER($I$2))</formula>
    </cfRule>
  </conditionalFormatting>
  <conditionalFormatting sqref="D50">
    <cfRule type="expression" dxfId="0" priority="1617">
      <formula>ISBLANK($D$2)</formula>
    </cfRule>
  </conditionalFormatting>
  <conditionalFormatting sqref="DW50">
    <cfRule type="expression" dxfId="2" priority="1629">
      <formula>AND(BO50&gt;=1,DW50&lt;&gt;0, GetEquPower(C50,BI50, CA50, FN50)=0)</formula>
    </cfRule>
    <cfRule type="expression" dxfId="1" priority="1630">
      <formula>AND(BO50&gt;=1,DW50&lt;&gt;GetEquPower(C50,BI50, CA50, FN50))</formula>
    </cfRule>
  </conditionalFormatting>
  <conditionalFormatting sqref="DX50">
    <cfRule type="expression" dxfId="2" priority="1631">
      <formula>AND(BO50&gt;=2,DX50&lt;&gt;0, GetEquPower(C50,BI50, CB50, FN50)=0)</formula>
    </cfRule>
    <cfRule type="expression" dxfId="1" priority="1632">
      <formula>AND(BO50&gt;=2,DX50&lt;&gt;GetEquPower(C50,BI50, CB50, FN50))</formula>
    </cfRule>
  </conditionalFormatting>
  <conditionalFormatting sqref="DY50">
    <cfRule type="expression" dxfId="2" priority="1633">
      <formula>AND(BO50&gt;=3,DY50&lt;&gt;0, GetEquPower(C50,BI50, CC50, FN50)=0)</formula>
    </cfRule>
    <cfRule type="expression" dxfId="1" priority="1634">
      <formula>AND(BO50&gt;=3,DY50&lt;&gt;GetEquPower(C50,BI50, CC50, FN50))</formula>
    </cfRule>
  </conditionalFormatting>
  <conditionalFormatting sqref="ED50">
    <cfRule type="expression" dxfId="2" priority="1635">
      <formula>AND(BP50&gt;=1,ED50&lt;&gt;0, GetEquPower(C50,BJ50, CG50, FO50)=0)</formula>
    </cfRule>
    <cfRule type="expression" dxfId="1" priority="1636">
      <formula>AND(BP50&gt;=1,ED50&lt;&gt;GetEquPower(C50,BJ50, CG50, FO50))</formula>
    </cfRule>
  </conditionalFormatting>
  <conditionalFormatting sqref="EE50">
    <cfRule type="expression" dxfId="2" priority="1637">
      <formula>AND(BP50&gt;=2,EE50&lt;&gt;0, GetEquPower(C50,BJ50, CH50, FO50)=0)</formula>
    </cfRule>
    <cfRule type="expression" dxfId="1" priority="1638">
      <formula>AND(BP50&gt;=2,EE50&lt;&gt;GetEquPower(C50,BJ50, CH50, FO50))</formula>
    </cfRule>
  </conditionalFormatting>
  <conditionalFormatting sqref="EF50">
    <cfRule type="expression" dxfId="2" priority="1639">
      <formula>AND(BP50&gt;=3,EF50&lt;&gt;0, GetEquPower(C50,BJ50, CI50, FO50)=0)</formula>
    </cfRule>
    <cfRule type="expression" dxfId="1" priority="1640">
      <formula>AND(BP50&gt;=3,EF50&lt;&gt;GetEquPower(C50,BJ50, CI50, FO50))</formula>
    </cfRule>
  </conditionalFormatting>
  <conditionalFormatting sqref="EK50">
    <cfRule type="expression" dxfId="2" priority="1641">
      <formula>AND(BQ50&gt;=1,EK50&lt;&gt;0, GetEquPower(C50,BK50, CM50, FP50)=0)</formula>
    </cfRule>
    <cfRule type="expression" dxfId="1" priority="1642">
      <formula>AND(BQ50&gt;=1,EK50&lt;&gt;GetEquPower(C50,BK50, CM50, FP50))</formula>
    </cfRule>
  </conditionalFormatting>
  <conditionalFormatting sqref="EL50">
    <cfRule type="expression" dxfId="2" priority="1643">
      <formula>AND(BQ50&gt;=2,EL50&lt;&gt;0, GetEquPower(C50,BK50, CN50, FP50)=0)</formula>
    </cfRule>
    <cfRule type="expression" dxfId="1" priority="1644">
      <formula xml:space="preserve"> AND(BQ50&gt;=2,EL50&lt;&gt;GetEquPower(C50,BK50, CN50, FP50))</formula>
    </cfRule>
  </conditionalFormatting>
  <conditionalFormatting sqref="EM50">
    <cfRule type="expression" dxfId="2" priority="1645">
      <formula>AND(BQ50&gt;=3,EM50&lt;&gt;0, GetEquPower(C50,BK50, CO50, FP50)=0)</formula>
    </cfRule>
    <cfRule type="expression" dxfId="1" priority="1646">
      <formula xml:space="preserve"> AND(BQ50&gt;=3,EM50&lt;&gt;GetEquPower(C50,BK50, CO50, FP50))</formula>
    </cfRule>
  </conditionalFormatting>
  <conditionalFormatting sqref="ER50">
    <cfRule type="expression" dxfId="2" priority="1647">
      <formula>AND(BR50&gt;=1,ER50&lt;&gt;0, GetEquPower(C50,BL50, CS50, FQ50)=0)</formula>
    </cfRule>
    <cfRule type="expression" dxfId="1" priority="1648">
      <formula>AND(BR50&gt;=1,ER50&lt;&gt;GetEquPower(C50,BL50, CS50, FQ50))</formula>
    </cfRule>
  </conditionalFormatting>
  <conditionalFormatting sqref="ES50">
    <cfRule type="expression" dxfId="2" priority="1649">
      <formula>AND(BR50&gt;=2,ES50&lt;&gt;0, GetEquPower(C50,BL50, CT50, FQ50)=0)</formula>
    </cfRule>
    <cfRule type="expression" dxfId="1" priority="1650">
      <formula>AND(BR50&gt;=2,ES50&lt;&gt;GetEquPower(C50,BL50, CT50, FQ50))</formula>
    </cfRule>
  </conditionalFormatting>
  <conditionalFormatting sqref="ET50">
    <cfRule type="expression" dxfId="2" priority="1651">
      <formula>AND(BR50&gt;=3,ET50&lt;&gt;0, GetEquPower(C50,BL50, CU50, FQ50)=0)</formula>
    </cfRule>
    <cfRule type="expression" dxfId="1" priority="1652">
      <formula>AND(BR50&gt;=3,ET50&lt;&gt;GetEquPower(C50,BL50, CU50, FQ50))</formula>
    </cfRule>
  </conditionalFormatting>
  <conditionalFormatting sqref="EY50">
    <cfRule type="expression" dxfId="2" priority="1653">
      <formula>AND(BS50&gt;=1,EY50&lt;&gt;0, GetEquPower(C50,BM50, CY50, FR50)=0)</formula>
    </cfRule>
    <cfRule type="expression" dxfId="1" priority="1654">
      <formula>AND(BS50&gt;=1,EY50&lt;&gt;GetEquPower(C50,BM50, CY50, FR50))</formula>
    </cfRule>
  </conditionalFormatting>
  <conditionalFormatting sqref="EZ50">
    <cfRule type="expression" dxfId="2" priority="1655">
      <formula>AND(BS50&gt;=2,EZ50&lt;&gt;0, GetEquPower(C50,BM50, CZ50, FR50)=0)</formula>
    </cfRule>
    <cfRule type="expression" dxfId="1" priority="1656">
      <formula>AND(BS50&gt;=2,EZ50&lt;&gt;GetEquPower(C50,BM50, CZ50, FR50))</formula>
    </cfRule>
  </conditionalFormatting>
  <conditionalFormatting sqref="FA50">
    <cfRule type="expression" dxfId="2" priority="1657">
      <formula>AND(BS50&gt;=3,FA50&lt;&gt;0, GetEquPower(C50,BM50, DA50, FR50)=0)</formula>
    </cfRule>
    <cfRule type="expression" dxfId="1" priority="1658">
      <formula>AND(BS50&gt;=3,FA50&lt;&gt;GetEquPower(C50,BM50, DA50, FR50))</formula>
    </cfRule>
  </conditionalFormatting>
  <conditionalFormatting sqref="FF50">
    <cfRule type="expression" dxfId="2" priority="1659">
      <formula>AND(BT50&gt;=1,FF50&lt;&gt;0, GetEquPower(C50,BN50, DE50, FS50)=0)</formula>
    </cfRule>
    <cfRule type="expression" dxfId="1" priority="1660">
      <formula>AND(BT50&gt;=1,FF50&lt;&gt;GetEquPower(C50,BN50, DE50, FS50))</formula>
    </cfRule>
  </conditionalFormatting>
  <conditionalFormatting sqref="FG50">
    <cfRule type="expression" dxfId="2" priority="1661">
      <formula>AND(BT50&gt;=2,FG50&lt;&gt;0, GetEquPower(C50,BN50, DF50, FS50)=0)</formula>
    </cfRule>
    <cfRule type="expression" dxfId="1" priority="1662">
      <formula>AND(BT50&gt;=2,FG50&lt;&gt;GetEquPower(C50,BN50, DF50, FS50))</formula>
    </cfRule>
  </conditionalFormatting>
  <conditionalFormatting sqref="FH50">
    <cfRule type="expression" dxfId="2" priority="1663">
      <formula>AND(BT50&gt;=3,FH50&lt;&gt;0, GetEquPower(C50,BN50, DG50, FS50)=0)</formula>
    </cfRule>
    <cfRule type="expression" dxfId="1" priority="1664">
      <formula>AND(BT50&gt;=3,FH50&lt;&gt;GetEquPower(C50,BN50, DG50, FS50))</formula>
    </cfRule>
  </conditionalFormatting>
  <conditionalFormatting sqref="DZ50">
    <cfRule type="expression" dxfId="2" priority="1665">
      <formula>AND(BO50&gt;=4,DZ50&lt;&gt;0, GetEquPower(C50,BI50, CD50, FN50)=0)</formula>
    </cfRule>
    <cfRule type="expression" dxfId="1" priority="1666">
      <formula>AND(BO50&gt;=4, DZ50&lt;&gt;GetEquPower(C50,BI50, CD50, FN50))</formula>
    </cfRule>
  </conditionalFormatting>
  <conditionalFormatting sqref="EG50">
    <cfRule type="expression" dxfId="2" priority="1667">
      <formula>AND(BP50&gt;=4,EG50&lt;&gt;0, GetEquPower(C50,BJ50, CJ50, FO50)=0)</formula>
    </cfRule>
    <cfRule type="expression" dxfId="1" priority="1668">
      <formula>AND(BP50&gt;=4,EG50&lt;&gt;GetEquPower(C50,BJ50, CJ50, FO50))</formula>
    </cfRule>
  </conditionalFormatting>
  <conditionalFormatting sqref="EN50">
    <cfRule type="expression" dxfId="2" priority="1669">
      <formula>AND(BQ50&gt;=4,EN50&lt;&gt;0, GetEquPower(C50,BK50, CP50, FP50)=0)</formula>
    </cfRule>
    <cfRule type="expression" dxfId="1" priority="1670">
      <formula xml:space="preserve"> AND(BQ50&gt;=4,EN50&lt;&gt;GetEquPower(C50,BK50, CP50, FP50))</formula>
    </cfRule>
  </conditionalFormatting>
  <conditionalFormatting sqref="EU50">
    <cfRule type="expression" dxfId="2" priority="1671">
      <formula>AND(BR50&gt;=4,EU50&lt;&gt;0, GetEquPower(C50,BL50, CV50, FQ50)=0)</formula>
    </cfRule>
    <cfRule type="expression" dxfId="1" priority="1672">
      <formula>AND(BR50&gt;=4,EU50&lt;&gt;GetEquPower(C50,BL50, CV50, FQ50))</formula>
    </cfRule>
  </conditionalFormatting>
  <conditionalFormatting sqref="FB50">
    <cfRule type="expression" dxfId="2" priority="1673">
      <formula>AND(BS50&gt;=4,FB50&lt;&gt;0, GetEquPower(C50,BM50, DB50, FR50)=0)</formula>
    </cfRule>
    <cfRule type="expression" dxfId="1" priority="1674">
      <formula>AND(BS50&gt;=4,FB50&lt;&gt;GetEquPower(C50,BM50, DB50, FR50))</formula>
    </cfRule>
  </conditionalFormatting>
  <conditionalFormatting sqref="FI50">
    <cfRule type="expression" dxfId="2" priority="1675">
      <formula>AND(BT50&gt;=4,FI50&lt;&gt;0, GetEquPower(C50,BN50, DH50, FS50)=0)</formula>
    </cfRule>
    <cfRule type="expression" dxfId="1" priority="1676">
      <formula>AND(BT50&gt;=4,FI50&lt;&gt;GetEquPower(C50,BN50, DH50, FS50))</formula>
    </cfRule>
  </conditionalFormatting>
  <conditionalFormatting sqref="EA50">
    <cfRule type="expression" dxfId="2" priority="1677">
      <formula>AND(BO50&gt;=5,EA50&lt;&gt;0, GetEquPower(C50,BI50, CE50, FN50)=0)</formula>
    </cfRule>
    <cfRule type="expression" dxfId="1" priority="1678">
      <formula>AND(BO50&gt;=5, EA50&lt;&gt;GetEquPower(C50,BI50, CE50, FN50))</formula>
    </cfRule>
  </conditionalFormatting>
  <conditionalFormatting sqref="EB50">
    <cfRule type="expression" dxfId="2" priority="1679">
      <formula>AND(BO50&gt;=6,EB50&lt;&gt;0, GetEquPower(C50,BI50, CF50, FN50)=0)</formula>
    </cfRule>
    <cfRule type="expression" dxfId="1" priority="1680">
      <formula>AND(BO50&gt;=6, EB50&lt;&gt;GetEquPower(C50,BI50, CF50, FN50))</formula>
    </cfRule>
  </conditionalFormatting>
  <conditionalFormatting sqref="EH50">
    <cfRule type="expression" dxfId="2" priority="1681">
      <formula>AND(BP50&gt;=5,EH50&lt;&gt;0, GetEquPower(C50,BJ50, CK50, FO50)=0)</formula>
    </cfRule>
    <cfRule type="expression" dxfId="1" priority="1682">
      <formula>AND(BP50&gt;=5,EH50&lt;&gt;GetEquPower(C50,BJ50, CK50, FO50))</formula>
    </cfRule>
  </conditionalFormatting>
  <conditionalFormatting sqref="EI50">
    <cfRule type="expression" dxfId="2" priority="1683">
      <formula>AND(BP50&gt;=6,EI50&lt;&gt;0, GetEquPower(C50,BJ50, CL50, FO50)=0)</formula>
    </cfRule>
    <cfRule type="expression" dxfId="1" priority="1684">
      <formula>AND(BP50&gt;=6,EI50&lt;&gt;GetEquPower(C50,BJ50, CL50, FO50))</formula>
    </cfRule>
  </conditionalFormatting>
  <conditionalFormatting sqref="EO50">
    <cfRule type="expression" dxfId="2" priority="1685">
      <formula>AND(BQ50&gt;=5,EO50&lt;&gt;0, GetEquPower(C50,BK50, CQ50, FP50)=0)</formula>
    </cfRule>
    <cfRule type="expression" dxfId="1" priority="1686">
      <formula xml:space="preserve"> AND(BQ50&gt;=5,EO50&lt;&gt;GetEquPower(C50,BK50, CQ50, FP50))</formula>
    </cfRule>
  </conditionalFormatting>
  <conditionalFormatting sqref="EP50">
    <cfRule type="expression" dxfId="2" priority="1687">
      <formula>AND(BQ50&gt;=6,EP50&lt;&gt;0, GetEquPower(C50,BK50, CR50, FP50)=0)</formula>
    </cfRule>
    <cfRule type="expression" dxfId="1" priority="1688">
      <formula xml:space="preserve"> AND(BQ50&gt;=6,EP50&lt;&gt;GetEquPower(C50,BK50, CR50, FP50))</formula>
    </cfRule>
  </conditionalFormatting>
  <conditionalFormatting sqref="EV50">
    <cfRule type="expression" dxfId="2" priority="1689">
      <formula>AND(BR50&gt;=5,EV50&lt;&gt;0, GetEquPower(C50,BL50, CW50, FQ50)=0)</formula>
    </cfRule>
    <cfRule type="expression" dxfId="1" priority="1690">
      <formula>AND(BR50&gt;=5,EV50&lt;&gt;GetEquPower(C50,BL50, CW50, FQ50))</formula>
    </cfRule>
  </conditionalFormatting>
  <conditionalFormatting sqref="EW50">
    <cfRule type="expression" dxfId="2" priority="1691">
      <formula>AND(BR50&gt;=6,EW50&lt;&gt;0, GetEquPower(C50,BL50, CX50, FQ50)=0)</formula>
    </cfRule>
    <cfRule type="expression" dxfId="1" priority="1692">
      <formula>AND(BR50&gt;=6,EW50&lt;&gt;GetEquPower(C50,BL50, CX50, FQ50))</formula>
    </cfRule>
  </conditionalFormatting>
  <conditionalFormatting sqref="FC50">
    <cfRule type="expression" dxfId="2" priority="1693">
      <formula>AND(BS50&gt;=5,FC50&lt;&gt;0, GetEquPower(C50,BM50, DC50, FR50)=0)</formula>
    </cfRule>
    <cfRule type="expression" dxfId="1" priority="1694">
      <formula>AND(BS50&gt;=5,FC50&lt;&gt;GetEquPower(C50,BM50, DC50, FR50))</formula>
    </cfRule>
  </conditionalFormatting>
  <conditionalFormatting sqref="FD50">
    <cfRule type="expression" dxfId="2" priority="1695">
      <formula>AND(BS50&gt;=6,FD50&lt;&gt;0, GetEquPower(C50,BM50, DD50, FR50)=0)</formula>
    </cfRule>
    <cfRule type="expression" dxfId="1" priority="1696">
      <formula>AND(BS50&gt;=6,FD50&lt;&gt;GetEquPower(C50,BM50, DD50, FR50))</formula>
    </cfRule>
  </conditionalFormatting>
  <conditionalFormatting sqref="FJ50">
    <cfRule type="expression" dxfId="2" priority="1697">
      <formula>AND(BT50&gt;=5,FJ50&lt;&gt;0, GetEquPower(C50,BN50, DI50, FS50)=0)</formula>
    </cfRule>
    <cfRule type="expression" dxfId="1" priority="1698">
      <formula>AND(BT50&gt;=5,FJ50&lt;&gt;GetEquPower(C50,BN50, DI50, FS50))</formula>
    </cfRule>
  </conditionalFormatting>
  <conditionalFormatting sqref="FK50">
    <cfRule type="expression" dxfId="2" priority="1699">
      <formula>AND(BT50&gt;=6,FK50&lt;&gt;0, GetEquPower(C50,BN50, DJ50, FS50)=0)</formula>
    </cfRule>
    <cfRule type="expression" dxfId="1" priority="1700">
      <formula>AND(BT50&gt;=6,FK50&lt;&gt;GetEquPower(C50,BN50, DJ50, FS50))</formula>
    </cfRule>
  </conditionalFormatting>
  <conditionalFormatting sqref="W50">
    <cfRule type="expression" dxfId="0" priority="1616">
      <formula xml:space="preserve"> NOT(ISLOGICAL($W$2))</formula>
    </cfRule>
  </conditionalFormatting>
  <conditionalFormatting sqref="F51">
    <cfRule type="expression" dxfId="0" priority="1543">
      <formula>F51&lt;&gt;RIGHT(SUBSTITUTE(E51,".",""),LEN(F51))</formula>
    </cfRule>
  </conditionalFormatting>
  <conditionalFormatting sqref="X51">
    <cfRule type="expression" dxfId="0" priority="1538">
      <formula xml:space="preserve"> NOT(ISLOGICAL($X$2))</formula>
    </cfRule>
    <cfRule type="expression" dxfId="0" priority="1542">
      <formula>AND(X51=TRUE,W51=FALSE)</formula>
    </cfRule>
  </conditionalFormatting>
  <conditionalFormatting sqref="Y51">
    <cfRule type="expression" dxfId="0" priority="1541">
      <formula>OR(AND(X51=FALSE,INT(Y51)&gt;0),AND(X51=TRUE,INT(Y51)&lt;=0))</formula>
    </cfRule>
  </conditionalFormatting>
  <conditionalFormatting sqref="AA51">
    <cfRule type="expression" dxfId="0" priority="1540">
      <formula>AND(Z51=FALSE,AA51&gt;0)</formula>
    </cfRule>
  </conditionalFormatting>
  <conditionalFormatting sqref="BV51:HY51">
    <cfRule type="containsErrors" dxfId="0" priority="1539">
      <formula>ISERROR(BV51)</formula>
    </cfRule>
  </conditionalFormatting>
  <conditionalFormatting sqref="Z51">
    <cfRule type="expression" dxfId="0" priority="1537">
      <formula>NOT(ISLOGICAL($Z$2))</formula>
    </cfRule>
  </conditionalFormatting>
  <conditionalFormatting sqref="AB51">
    <cfRule type="expression" dxfId="0" priority="1536">
      <formula>NOT(ISLOGICAL($AB$2))</formula>
    </cfRule>
  </conditionalFormatting>
  <conditionalFormatting sqref="AC51">
    <cfRule type="expression" dxfId="0" priority="1535">
      <formula>NOT(ISLOGICAL($AC$2))</formula>
    </cfRule>
  </conditionalFormatting>
  <conditionalFormatting sqref="B51:BU51">
    <cfRule type="containsErrors" dxfId="0" priority="1534">
      <formula>ISERROR(B51)</formula>
    </cfRule>
  </conditionalFormatting>
  <conditionalFormatting sqref="I51">
    <cfRule type="expression" dxfId="0" priority="1533">
      <formula>NOT(ISNUMBER($I$2))</formula>
    </cfRule>
  </conditionalFormatting>
  <conditionalFormatting sqref="D51">
    <cfRule type="expression" dxfId="0" priority="1532">
      <formula>ISBLANK($D$2)</formula>
    </cfRule>
  </conditionalFormatting>
  <conditionalFormatting sqref="DW51">
    <cfRule type="expression" dxfId="2" priority="1544">
      <formula>AND(BO51&gt;=1,DW51&lt;&gt;0, GetEquPower(C51,BI51, CA51, FN51)=0)</formula>
    </cfRule>
    <cfRule type="expression" dxfId="1" priority="1545">
      <formula>AND(BO51&gt;=1,DW51&lt;&gt;GetEquPower(C51,BI51, CA51, FN51))</formula>
    </cfRule>
  </conditionalFormatting>
  <conditionalFormatting sqref="DX51">
    <cfRule type="expression" dxfId="2" priority="1546">
      <formula>AND(BO51&gt;=2,DX51&lt;&gt;0, GetEquPower(C51,BI51, CB51, FN51)=0)</formula>
    </cfRule>
    <cfRule type="expression" dxfId="1" priority="1547">
      <formula>AND(BO51&gt;=2,DX51&lt;&gt;GetEquPower(C51,BI51, CB51, FN51))</formula>
    </cfRule>
  </conditionalFormatting>
  <conditionalFormatting sqref="DY51">
    <cfRule type="expression" dxfId="2" priority="1548">
      <formula>AND(BO51&gt;=3,DY51&lt;&gt;0, GetEquPower(C51,BI51, CC51, FN51)=0)</formula>
    </cfRule>
    <cfRule type="expression" dxfId="1" priority="1549">
      <formula>AND(BO51&gt;=3,DY51&lt;&gt;GetEquPower(C51,BI51, CC51, FN51))</formula>
    </cfRule>
  </conditionalFormatting>
  <conditionalFormatting sqref="ED51">
    <cfRule type="expression" dxfId="2" priority="1550">
      <formula>AND(BP51&gt;=1,ED51&lt;&gt;0, GetEquPower(C51,BJ51, CG51, FO51)=0)</formula>
    </cfRule>
    <cfRule type="expression" dxfId="1" priority="1551">
      <formula>AND(BP51&gt;=1,ED51&lt;&gt;GetEquPower(C51,BJ51, CG51, FO51))</formula>
    </cfRule>
  </conditionalFormatting>
  <conditionalFormatting sqref="EE51">
    <cfRule type="expression" dxfId="2" priority="1552">
      <formula>AND(BP51&gt;=2,EE51&lt;&gt;0, GetEquPower(C51,BJ51, CH51, FO51)=0)</formula>
    </cfRule>
    <cfRule type="expression" dxfId="1" priority="1553">
      <formula>AND(BP51&gt;=2,EE51&lt;&gt;GetEquPower(C51,BJ51, CH51, FO51))</formula>
    </cfRule>
  </conditionalFormatting>
  <conditionalFormatting sqref="EF51">
    <cfRule type="expression" dxfId="2" priority="1554">
      <formula>AND(BP51&gt;=3,EF51&lt;&gt;0, GetEquPower(C51,BJ51, CI51, FO51)=0)</formula>
    </cfRule>
    <cfRule type="expression" dxfId="1" priority="1555">
      <formula>AND(BP51&gt;=3,EF51&lt;&gt;GetEquPower(C51,BJ51, CI51, FO51))</formula>
    </cfRule>
  </conditionalFormatting>
  <conditionalFormatting sqref="EK51">
    <cfRule type="expression" dxfId="2" priority="1556">
      <formula>AND(BQ51&gt;=1,EK51&lt;&gt;0, GetEquPower(C51,BK51, CM51, FP51)=0)</formula>
    </cfRule>
    <cfRule type="expression" dxfId="1" priority="1557">
      <formula>AND(BQ51&gt;=1,EK51&lt;&gt;GetEquPower(C51,BK51, CM51, FP51))</formula>
    </cfRule>
  </conditionalFormatting>
  <conditionalFormatting sqref="EL51">
    <cfRule type="expression" dxfId="2" priority="1558">
      <formula>AND(BQ51&gt;=2,EL51&lt;&gt;0, GetEquPower(C51,BK51, CN51, FP51)=0)</formula>
    </cfRule>
    <cfRule type="expression" dxfId="1" priority="1559">
      <formula xml:space="preserve"> AND(BQ51&gt;=2,EL51&lt;&gt;GetEquPower(C51,BK51, CN51, FP51))</formula>
    </cfRule>
  </conditionalFormatting>
  <conditionalFormatting sqref="EM51">
    <cfRule type="expression" dxfId="2" priority="1560">
      <formula>AND(BQ51&gt;=3,EM51&lt;&gt;0, GetEquPower(C51,BK51, CO51, FP51)=0)</formula>
    </cfRule>
    <cfRule type="expression" dxfId="1" priority="1561">
      <formula xml:space="preserve"> AND(BQ51&gt;=3,EM51&lt;&gt;GetEquPower(C51,BK51, CO51, FP51))</formula>
    </cfRule>
  </conditionalFormatting>
  <conditionalFormatting sqref="ER51">
    <cfRule type="expression" dxfId="2" priority="1562">
      <formula>AND(BR51&gt;=1,ER51&lt;&gt;0, GetEquPower(C51,BL51, CS51, FQ51)=0)</formula>
    </cfRule>
    <cfRule type="expression" dxfId="1" priority="1563">
      <formula>AND(BR51&gt;=1,ER51&lt;&gt;GetEquPower(C51,BL51, CS51, FQ51))</formula>
    </cfRule>
  </conditionalFormatting>
  <conditionalFormatting sqref="ES51">
    <cfRule type="expression" dxfId="2" priority="1564">
      <formula>AND(BR51&gt;=2,ES51&lt;&gt;0, GetEquPower(C51,BL51, CT51, FQ51)=0)</formula>
    </cfRule>
    <cfRule type="expression" dxfId="1" priority="1565">
      <formula>AND(BR51&gt;=2,ES51&lt;&gt;GetEquPower(C51,BL51, CT51, FQ51))</formula>
    </cfRule>
  </conditionalFormatting>
  <conditionalFormatting sqref="ET51">
    <cfRule type="expression" dxfId="2" priority="1566">
      <formula>AND(BR51&gt;=3,ET51&lt;&gt;0, GetEquPower(C51,BL51, CU51, FQ51)=0)</formula>
    </cfRule>
    <cfRule type="expression" dxfId="1" priority="1567">
      <formula>AND(BR51&gt;=3,ET51&lt;&gt;GetEquPower(C51,BL51, CU51, FQ51))</formula>
    </cfRule>
  </conditionalFormatting>
  <conditionalFormatting sqref="EY51">
    <cfRule type="expression" dxfId="2" priority="1568">
      <formula>AND(BS51&gt;=1,EY51&lt;&gt;0, GetEquPower(C51,BM51, CY51, FR51)=0)</formula>
    </cfRule>
    <cfRule type="expression" dxfId="1" priority="1569">
      <formula>AND(BS51&gt;=1,EY51&lt;&gt;GetEquPower(C51,BM51, CY51, FR51))</formula>
    </cfRule>
  </conditionalFormatting>
  <conditionalFormatting sqref="EZ51">
    <cfRule type="expression" dxfId="2" priority="1570">
      <formula>AND(BS51&gt;=2,EZ51&lt;&gt;0, GetEquPower(C51,BM51, CZ51, FR51)=0)</formula>
    </cfRule>
    <cfRule type="expression" dxfId="1" priority="1571">
      <formula>AND(BS51&gt;=2,EZ51&lt;&gt;GetEquPower(C51,BM51, CZ51, FR51))</formula>
    </cfRule>
  </conditionalFormatting>
  <conditionalFormatting sqref="FA51">
    <cfRule type="expression" dxfId="2" priority="1572">
      <formula>AND(BS51&gt;=3,FA51&lt;&gt;0, GetEquPower(C51,BM51, DA51, FR51)=0)</formula>
    </cfRule>
    <cfRule type="expression" dxfId="1" priority="1573">
      <formula>AND(BS51&gt;=3,FA51&lt;&gt;GetEquPower(C51,BM51, DA51, FR51))</formula>
    </cfRule>
  </conditionalFormatting>
  <conditionalFormatting sqref="FF51">
    <cfRule type="expression" dxfId="2" priority="1574">
      <formula>AND(BT51&gt;=1,FF51&lt;&gt;0, GetEquPower(C51,BN51, DE51, FS51)=0)</formula>
    </cfRule>
    <cfRule type="expression" dxfId="1" priority="1575">
      <formula>AND(BT51&gt;=1,FF51&lt;&gt;GetEquPower(C51,BN51, DE51, FS51))</formula>
    </cfRule>
  </conditionalFormatting>
  <conditionalFormatting sqref="FG51">
    <cfRule type="expression" dxfId="2" priority="1576">
      <formula>AND(BT51&gt;=2,FG51&lt;&gt;0, GetEquPower(C51,BN51, DF51, FS51)=0)</formula>
    </cfRule>
    <cfRule type="expression" dxfId="1" priority="1577">
      <formula>AND(BT51&gt;=2,FG51&lt;&gt;GetEquPower(C51,BN51, DF51, FS51))</formula>
    </cfRule>
  </conditionalFormatting>
  <conditionalFormatting sqref="FH51">
    <cfRule type="expression" dxfId="2" priority="1578">
      <formula>AND(BT51&gt;=3,FH51&lt;&gt;0, GetEquPower(C51,BN51, DG51, FS51)=0)</formula>
    </cfRule>
    <cfRule type="expression" dxfId="1" priority="1579">
      <formula>AND(BT51&gt;=3,FH51&lt;&gt;GetEquPower(C51,BN51, DG51, FS51))</formula>
    </cfRule>
  </conditionalFormatting>
  <conditionalFormatting sqref="DZ51">
    <cfRule type="expression" dxfId="2" priority="1580">
      <formula>AND(BO51&gt;=4,DZ51&lt;&gt;0, GetEquPower(C51,BI51, CD51, FN51)=0)</formula>
    </cfRule>
    <cfRule type="expression" dxfId="1" priority="1581">
      <formula>AND(BO51&gt;=4, DZ51&lt;&gt;GetEquPower(C51,BI51, CD51, FN51))</formula>
    </cfRule>
  </conditionalFormatting>
  <conditionalFormatting sqref="EG51">
    <cfRule type="expression" dxfId="2" priority="1582">
      <formula>AND(BP51&gt;=4,EG51&lt;&gt;0, GetEquPower(C51,BJ51, CJ51, FO51)=0)</formula>
    </cfRule>
    <cfRule type="expression" dxfId="1" priority="1583">
      <formula>AND(BP51&gt;=4,EG51&lt;&gt;GetEquPower(C51,BJ51, CJ51, FO51))</formula>
    </cfRule>
  </conditionalFormatting>
  <conditionalFormatting sqref="EN51">
    <cfRule type="expression" dxfId="2" priority="1584">
      <formula>AND(BQ51&gt;=4,EN51&lt;&gt;0, GetEquPower(C51,BK51, CP51, FP51)=0)</formula>
    </cfRule>
    <cfRule type="expression" dxfId="1" priority="1585">
      <formula xml:space="preserve"> AND(BQ51&gt;=4,EN51&lt;&gt;GetEquPower(C51,BK51, CP51, FP51))</formula>
    </cfRule>
  </conditionalFormatting>
  <conditionalFormatting sqref="EU51">
    <cfRule type="expression" dxfId="2" priority="1586">
      <formula>AND(BR51&gt;=4,EU51&lt;&gt;0, GetEquPower(C51,BL51, CV51, FQ51)=0)</formula>
    </cfRule>
    <cfRule type="expression" dxfId="1" priority="1587">
      <formula>AND(BR51&gt;=4,EU51&lt;&gt;GetEquPower(C51,BL51, CV51, FQ51))</formula>
    </cfRule>
  </conditionalFormatting>
  <conditionalFormatting sqref="FB51">
    <cfRule type="expression" dxfId="2" priority="1588">
      <formula>AND(BS51&gt;=4,FB51&lt;&gt;0, GetEquPower(C51,BM51, DB51, FR51)=0)</formula>
    </cfRule>
    <cfRule type="expression" dxfId="1" priority="1589">
      <formula>AND(BS51&gt;=4,FB51&lt;&gt;GetEquPower(C51,BM51, DB51, FR51))</formula>
    </cfRule>
  </conditionalFormatting>
  <conditionalFormatting sqref="FI51">
    <cfRule type="expression" dxfId="2" priority="1590">
      <formula>AND(BT51&gt;=4,FI51&lt;&gt;0, GetEquPower(C51,BN51, DH51, FS51)=0)</formula>
    </cfRule>
    <cfRule type="expression" dxfId="1" priority="1591">
      <formula>AND(BT51&gt;=4,FI51&lt;&gt;GetEquPower(C51,BN51, DH51, FS51))</formula>
    </cfRule>
  </conditionalFormatting>
  <conditionalFormatting sqref="EA51">
    <cfRule type="expression" dxfId="2" priority="1592">
      <formula>AND(BO51&gt;=5,EA51&lt;&gt;0, GetEquPower(C51,BI51, CE51, FN51)=0)</formula>
    </cfRule>
    <cfRule type="expression" dxfId="1" priority="1593">
      <formula>AND(BO51&gt;=5, EA51&lt;&gt;GetEquPower(C51,BI51, CE51, FN51))</formula>
    </cfRule>
  </conditionalFormatting>
  <conditionalFormatting sqref="EB51">
    <cfRule type="expression" dxfId="2" priority="1594">
      <formula>AND(BO51&gt;=6,EB51&lt;&gt;0, GetEquPower(C51,BI51, CF51, FN51)=0)</formula>
    </cfRule>
    <cfRule type="expression" dxfId="1" priority="1595">
      <formula>AND(BO51&gt;=6, EB51&lt;&gt;GetEquPower(C51,BI51, CF51, FN51))</formula>
    </cfRule>
  </conditionalFormatting>
  <conditionalFormatting sqref="EH51">
    <cfRule type="expression" dxfId="2" priority="1596">
      <formula>AND(BP51&gt;=5,EH51&lt;&gt;0, GetEquPower(C51,BJ51, CK51, FO51)=0)</formula>
    </cfRule>
    <cfRule type="expression" dxfId="1" priority="1597">
      <formula>AND(BP51&gt;=5,EH51&lt;&gt;GetEquPower(C51,BJ51, CK51, FO51))</formula>
    </cfRule>
  </conditionalFormatting>
  <conditionalFormatting sqref="EI51">
    <cfRule type="expression" dxfId="2" priority="1598">
      <formula>AND(BP51&gt;=6,EI51&lt;&gt;0, GetEquPower(C51,BJ51, CL51, FO51)=0)</formula>
    </cfRule>
    <cfRule type="expression" dxfId="1" priority="1599">
      <formula>AND(BP51&gt;=6,EI51&lt;&gt;GetEquPower(C51,BJ51, CL51, FO51))</formula>
    </cfRule>
  </conditionalFormatting>
  <conditionalFormatting sqref="EO51">
    <cfRule type="expression" dxfId="2" priority="1600">
      <formula>AND(BQ51&gt;=5,EO51&lt;&gt;0, GetEquPower(C51,BK51, CQ51, FP51)=0)</formula>
    </cfRule>
    <cfRule type="expression" dxfId="1" priority="1601">
      <formula xml:space="preserve"> AND(BQ51&gt;=5,EO51&lt;&gt;GetEquPower(C51,BK51, CQ51, FP51))</formula>
    </cfRule>
  </conditionalFormatting>
  <conditionalFormatting sqref="EP51">
    <cfRule type="expression" dxfId="2" priority="1602">
      <formula>AND(BQ51&gt;=6,EP51&lt;&gt;0, GetEquPower(C51,BK51, CR51, FP51)=0)</formula>
    </cfRule>
    <cfRule type="expression" dxfId="1" priority="1603">
      <formula xml:space="preserve"> AND(BQ51&gt;=6,EP51&lt;&gt;GetEquPower(C51,BK51, CR51, FP51))</formula>
    </cfRule>
  </conditionalFormatting>
  <conditionalFormatting sqref="EV51">
    <cfRule type="expression" dxfId="2" priority="1604">
      <formula>AND(BR51&gt;=5,EV51&lt;&gt;0, GetEquPower(C51,BL51, CW51, FQ51)=0)</formula>
    </cfRule>
    <cfRule type="expression" dxfId="1" priority="1605">
      <formula>AND(BR51&gt;=5,EV51&lt;&gt;GetEquPower(C51,BL51, CW51, FQ51))</formula>
    </cfRule>
  </conditionalFormatting>
  <conditionalFormatting sqref="EW51">
    <cfRule type="expression" dxfId="2" priority="1606">
      <formula>AND(BR51&gt;=6,EW51&lt;&gt;0, GetEquPower(C51,BL51, CX51, FQ51)=0)</formula>
    </cfRule>
    <cfRule type="expression" dxfId="1" priority="1607">
      <formula>AND(BR51&gt;=6,EW51&lt;&gt;GetEquPower(C51,BL51, CX51, FQ51))</formula>
    </cfRule>
  </conditionalFormatting>
  <conditionalFormatting sqref="FC51">
    <cfRule type="expression" dxfId="2" priority="1608">
      <formula>AND(BS51&gt;=5,FC51&lt;&gt;0, GetEquPower(C51,BM51, DC51, FR51)=0)</formula>
    </cfRule>
    <cfRule type="expression" dxfId="1" priority="1609">
      <formula>AND(BS51&gt;=5,FC51&lt;&gt;GetEquPower(C51,BM51, DC51, FR51))</formula>
    </cfRule>
  </conditionalFormatting>
  <conditionalFormatting sqref="FD51">
    <cfRule type="expression" dxfId="2" priority="1610">
      <formula>AND(BS51&gt;=6,FD51&lt;&gt;0, GetEquPower(C51,BM51, DD51, FR51)=0)</formula>
    </cfRule>
    <cfRule type="expression" dxfId="1" priority="1611">
      <formula>AND(BS51&gt;=6,FD51&lt;&gt;GetEquPower(C51,BM51, DD51, FR51))</formula>
    </cfRule>
  </conditionalFormatting>
  <conditionalFormatting sqref="FJ51">
    <cfRule type="expression" dxfId="2" priority="1612">
      <formula>AND(BT51&gt;=5,FJ51&lt;&gt;0, GetEquPower(C51,BN51, DI51, FS51)=0)</formula>
    </cfRule>
    <cfRule type="expression" dxfId="1" priority="1613">
      <formula>AND(BT51&gt;=5,FJ51&lt;&gt;GetEquPower(C51,BN51, DI51, FS51))</formula>
    </cfRule>
  </conditionalFormatting>
  <conditionalFormatting sqref="FK51">
    <cfRule type="expression" dxfId="2" priority="1614">
      <formula>AND(BT51&gt;=6,FK51&lt;&gt;0, GetEquPower(C51,BN51, DJ51, FS51)=0)</formula>
    </cfRule>
    <cfRule type="expression" dxfId="1" priority="1615">
      <formula>AND(BT51&gt;=6,FK51&lt;&gt;GetEquPower(C51,BN51, DJ51, FS51))</formula>
    </cfRule>
  </conditionalFormatting>
  <conditionalFormatting sqref="W51">
    <cfRule type="expression" dxfId="0" priority="1531">
      <formula xml:space="preserve"> NOT(ISLOGICAL($W$2))</formula>
    </cfRule>
  </conditionalFormatting>
  <conditionalFormatting sqref="F52">
    <cfRule type="expression" dxfId="0" priority="1458">
      <formula>F52&lt;&gt;RIGHT(SUBSTITUTE(E52,".",""),LEN(F52))</formula>
    </cfRule>
  </conditionalFormatting>
  <conditionalFormatting sqref="X52">
    <cfRule type="expression" dxfId="0" priority="1453">
      <formula xml:space="preserve"> NOT(ISLOGICAL($X$2))</formula>
    </cfRule>
    <cfRule type="expression" dxfId="0" priority="1457">
      <formula>AND(X52=TRUE,W52=FALSE)</formula>
    </cfRule>
  </conditionalFormatting>
  <conditionalFormatting sqref="Y52">
    <cfRule type="expression" dxfId="0" priority="1456">
      <formula>OR(AND(X52=FALSE,INT(Y52)&gt;0),AND(X52=TRUE,INT(Y52)&lt;=0))</formula>
    </cfRule>
  </conditionalFormatting>
  <conditionalFormatting sqref="AA52">
    <cfRule type="expression" dxfId="0" priority="1455">
      <formula>AND(Z52=FALSE,AA52&gt;0)</formula>
    </cfRule>
  </conditionalFormatting>
  <conditionalFormatting sqref="BV52:HY52">
    <cfRule type="containsErrors" dxfId="0" priority="1454">
      <formula>ISERROR(BV52)</formula>
    </cfRule>
  </conditionalFormatting>
  <conditionalFormatting sqref="Z52">
    <cfRule type="expression" dxfId="0" priority="1452">
      <formula>NOT(ISLOGICAL($Z$2))</formula>
    </cfRule>
  </conditionalFormatting>
  <conditionalFormatting sqref="AB52">
    <cfRule type="expression" dxfId="0" priority="1451">
      <formula>NOT(ISLOGICAL($AB$2))</formula>
    </cfRule>
  </conditionalFormatting>
  <conditionalFormatting sqref="AC52">
    <cfRule type="expression" dxfId="0" priority="1450">
      <formula>NOT(ISLOGICAL($AC$2))</formula>
    </cfRule>
  </conditionalFormatting>
  <conditionalFormatting sqref="B52:BU52">
    <cfRule type="containsErrors" dxfId="0" priority="1449">
      <formula>ISERROR(B52)</formula>
    </cfRule>
  </conditionalFormatting>
  <conditionalFormatting sqref="I52">
    <cfRule type="expression" dxfId="0" priority="1448">
      <formula>NOT(ISNUMBER($I$2))</formula>
    </cfRule>
  </conditionalFormatting>
  <conditionalFormatting sqref="D52">
    <cfRule type="expression" dxfId="0" priority="1447">
      <formula>ISBLANK($D$2)</formula>
    </cfRule>
  </conditionalFormatting>
  <conditionalFormatting sqref="DW52">
    <cfRule type="expression" dxfId="2" priority="1459">
      <formula>AND(BO52&gt;=1,DW52&lt;&gt;0, GetEquPower(C52,BI52, CA52, FN52)=0)</formula>
    </cfRule>
    <cfRule type="expression" dxfId="1" priority="1460">
      <formula>AND(BO52&gt;=1,DW52&lt;&gt;GetEquPower(C52,BI52, CA52, FN52))</formula>
    </cfRule>
  </conditionalFormatting>
  <conditionalFormatting sqref="DX52">
    <cfRule type="expression" dxfId="2" priority="1461">
      <formula>AND(BO52&gt;=2,DX52&lt;&gt;0, GetEquPower(C52,BI52, CB52, FN52)=0)</formula>
    </cfRule>
    <cfRule type="expression" dxfId="1" priority="1462">
      <formula>AND(BO52&gt;=2,DX52&lt;&gt;GetEquPower(C52,BI52, CB52, FN52))</formula>
    </cfRule>
  </conditionalFormatting>
  <conditionalFormatting sqref="DY52">
    <cfRule type="expression" dxfId="2" priority="1463">
      <formula>AND(BO52&gt;=3,DY52&lt;&gt;0, GetEquPower(C52,BI52, CC52, FN52)=0)</formula>
    </cfRule>
    <cfRule type="expression" dxfId="1" priority="1464">
      <formula>AND(BO52&gt;=3,DY52&lt;&gt;GetEquPower(C52,BI52, CC52, FN52))</formula>
    </cfRule>
  </conditionalFormatting>
  <conditionalFormatting sqref="ED52">
    <cfRule type="expression" dxfId="2" priority="1465">
      <formula>AND(BP52&gt;=1,ED52&lt;&gt;0, GetEquPower(C52,BJ52, CG52, FO52)=0)</formula>
    </cfRule>
    <cfRule type="expression" dxfId="1" priority="1466">
      <formula>AND(BP52&gt;=1,ED52&lt;&gt;GetEquPower(C52,BJ52, CG52, FO52))</formula>
    </cfRule>
  </conditionalFormatting>
  <conditionalFormatting sqref="EE52">
    <cfRule type="expression" dxfId="2" priority="1467">
      <formula>AND(BP52&gt;=2,EE52&lt;&gt;0, GetEquPower(C52,BJ52, CH52, FO52)=0)</formula>
    </cfRule>
    <cfRule type="expression" dxfId="1" priority="1468">
      <formula>AND(BP52&gt;=2,EE52&lt;&gt;GetEquPower(C52,BJ52, CH52, FO52))</formula>
    </cfRule>
  </conditionalFormatting>
  <conditionalFormatting sqref="EF52">
    <cfRule type="expression" dxfId="2" priority="1469">
      <formula>AND(BP52&gt;=3,EF52&lt;&gt;0, GetEquPower(C52,BJ52, CI52, FO52)=0)</formula>
    </cfRule>
    <cfRule type="expression" dxfId="1" priority="1470">
      <formula>AND(BP52&gt;=3,EF52&lt;&gt;GetEquPower(C52,BJ52, CI52, FO52))</formula>
    </cfRule>
  </conditionalFormatting>
  <conditionalFormatting sqref="EK52">
    <cfRule type="expression" dxfId="2" priority="1471">
      <formula>AND(BQ52&gt;=1,EK52&lt;&gt;0, GetEquPower(C52,BK52, CM52, FP52)=0)</formula>
    </cfRule>
    <cfRule type="expression" dxfId="1" priority="1472">
      <formula>AND(BQ52&gt;=1,EK52&lt;&gt;GetEquPower(C52,BK52, CM52, FP52))</formula>
    </cfRule>
  </conditionalFormatting>
  <conditionalFormatting sqref="EL52">
    <cfRule type="expression" dxfId="2" priority="1473">
      <formula>AND(BQ52&gt;=2,EL52&lt;&gt;0, GetEquPower(C52,BK52, CN52, FP52)=0)</formula>
    </cfRule>
    <cfRule type="expression" dxfId="1" priority="1474">
      <formula xml:space="preserve"> AND(BQ52&gt;=2,EL52&lt;&gt;GetEquPower(C52,BK52, CN52, FP52))</formula>
    </cfRule>
  </conditionalFormatting>
  <conditionalFormatting sqref="EM52">
    <cfRule type="expression" dxfId="2" priority="1475">
      <formula>AND(BQ52&gt;=3,EM52&lt;&gt;0, GetEquPower(C52,BK52, CO52, FP52)=0)</formula>
    </cfRule>
    <cfRule type="expression" dxfId="1" priority="1476">
      <formula xml:space="preserve"> AND(BQ52&gt;=3,EM52&lt;&gt;GetEquPower(C52,BK52, CO52, FP52))</formula>
    </cfRule>
  </conditionalFormatting>
  <conditionalFormatting sqref="ER52">
    <cfRule type="expression" dxfId="2" priority="1477">
      <formula>AND(BR52&gt;=1,ER52&lt;&gt;0, GetEquPower(C52,BL52, CS52, FQ52)=0)</formula>
    </cfRule>
    <cfRule type="expression" dxfId="1" priority="1478">
      <formula>AND(BR52&gt;=1,ER52&lt;&gt;GetEquPower(C52,BL52, CS52, FQ52))</formula>
    </cfRule>
  </conditionalFormatting>
  <conditionalFormatting sqref="ES52">
    <cfRule type="expression" dxfId="2" priority="1479">
      <formula>AND(BR52&gt;=2,ES52&lt;&gt;0, GetEquPower(C52,BL52, CT52, FQ52)=0)</formula>
    </cfRule>
    <cfRule type="expression" dxfId="1" priority="1480">
      <formula>AND(BR52&gt;=2,ES52&lt;&gt;GetEquPower(C52,BL52, CT52, FQ52))</formula>
    </cfRule>
  </conditionalFormatting>
  <conditionalFormatting sqref="ET52">
    <cfRule type="expression" dxfId="2" priority="1481">
      <formula>AND(BR52&gt;=3,ET52&lt;&gt;0, GetEquPower(C52,BL52, CU52, FQ52)=0)</formula>
    </cfRule>
    <cfRule type="expression" dxfId="1" priority="1482">
      <formula>AND(BR52&gt;=3,ET52&lt;&gt;GetEquPower(C52,BL52, CU52, FQ52))</formula>
    </cfRule>
  </conditionalFormatting>
  <conditionalFormatting sqref="EY52">
    <cfRule type="expression" dxfId="2" priority="1483">
      <formula>AND(BS52&gt;=1,EY52&lt;&gt;0, GetEquPower(C52,BM52, CY52, FR52)=0)</formula>
    </cfRule>
    <cfRule type="expression" dxfId="1" priority="1484">
      <formula>AND(BS52&gt;=1,EY52&lt;&gt;GetEquPower(C52,BM52, CY52, FR52))</formula>
    </cfRule>
  </conditionalFormatting>
  <conditionalFormatting sqref="EZ52">
    <cfRule type="expression" dxfId="2" priority="1485">
      <formula>AND(BS52&gt;=2,EZ52&lt;&gt;0, GetEquPower(C52,BM52, CZ52, FR52)=0)</formula>
    </cfRule>
    <cfRule type="expression" dxfId="1" priority="1486">
      <formula>AND(BS52&gt;=2,EZ52&lt;&gt;GetEquPower(C52,BM52, CZ52, FR52))</formula>
    </cfRule>
  </conditionalFormatting>
  <conditionalFormatting sqref="FA52">
    <cfRule type="expression" dxfId="2" priority="1487">
      <formula>AND(BS52&gt;=3,FA52&lt;&gt;0, GetEquPower(C52,BM52, DA52, FR52)=0)</formula>
    </cfRule>
    <cfRule type="expression" dxfId="1" priority="1488">
      <formula>AND(BS52&gt;=3,FA52&lt;&gt;GetEquPower(C52,BM52, DA52, FR52))</formula>
    </cfRule>
  </conditionalFormatting>
  <conditionalFormatting sqref="FF52">
    <cfRule type="expression" dxfId="2" priority="1489">
      <formula>AND(BT52&gt;=1,FF52&lt;&gt;0, GetEquPower(C52,BN52, DE52, FS52)=0)</formula>
    </cfRule>
    <cfRule type="expression" dxfId="1" priority="1490">
      <formula>AND(BT52&gt;=1,FF52&lt;&gt;GetEquPower(C52,BN52, DE52, FS52))</formula>
    </cfRule>
  </conditionalFormatting>
  <conditionalFormatting sqref="FG52">
    <cfRule type="expression" dxfId="2" priority="1491">
      <formula>AND(BT52&gt;=2,FG52&lt;&gt;0, GetEquPower(C52,BN52, DF52, FS52)=0)</formula>
    </cfRule>
    <cfRule type="expression" dxfId="1" priority="1492">
      <formula>AND(BT52&gt;=2,FG52&lt;&gt;GetEquPower(C52,BN52, DF52, FS52))</formula>
    </cfRule>
  </conditionalFormatting>
  <conditionalFormatting sqref="FH52">
    <cfRule type="expression" dxfId="2" priority="1493">
      <formula>AND(BT52&gt;=3,FH52&lt;&gt;0, GetEquPower(C52,BN52, DG52, FS52)=0)</formula>
    </cfRule>
    <cfRule type="expression" dxfId="1" priority="1494">
      <formula>AND(BT52&gt;=3,FH52&lt;&gt;GetEquPower(C52,BN52, DG52, FS52))</formula>
    </cfRule>
  </conditionalFormatting>
  <conditionalFormatting sqref="DZ52">
    <cfRule type="expression" dxfId="2" priority="1495">
      <formula>AND(BO52&gt;=4,DZ52&lt;&gt;0, GetEquPower(C52,BI52, CD52, FN52)=0)</formula>
    </cfRule>
    <cfRule type="expression" dxfId="1" priority="1496">
      <formula>AND(BO52&gt;=4, DZ52&lt;&gt;GetEquPower(C52,BI52, CD52, FN52))</formula>
    </cfRule>
  </conditionalFormatting>
  <conditionalFormatting sqref="EG52">
    <cfRule type="expression" dxfId="2" priority="1497">
      <formula>AND(BP52&gt;=4,EG52&lt;&gt;0, GetEquPower(C52,BJ52, CJ52, FO52)=0)</formula>
    </cfRule>
    <cfRule type="expression" dxfId="1" priority="1498">
      <formula>AND(BP52&gt;=4,EG52&lt;&gt;GetEquPower(C52,BJ52, CJ52, FO52))</formula>
    </cfRule>
  </conditionalFormatting>
  <conditionalFormatting sqref="EN52">
    <cfRule type="expression" dxfId="2" priority="1499">
      <formula>AND(BQ52&gt;=4,EN52&lt;&gt;0, GetEquPower(C52,BK52, CP52, FP52)=0)</formula>
    </cfRule>
    <cfRule type="expression" dxfId="1" priority="1500">
      <formula xml:space="preserve"> AND(BQ52&gt;=4,EN52&lt;&gt;GetEquPower(C52,BK52, CP52, FP52))</formula>
    </cfRule>
  </conditionalFormatting>
  <conditionalFormatting sqref="EU52">
    <cfRule type="expression" dxfId="2" priority="1501">
      <formula>AND(BR52&gt;=4,EU52&lt;&gt;0, GetEquPower(C52,BL52, CV52, FQ52)=0)</formula>
    </cfRule>
    <cfRule type="expression" dxfId="1" priority="1502">
      <formula>AND(BR52&gt;=4,EU52&lt;&gt;GetEquPower(C52,BL52, CV52, FQ52))</formula>
    </cfRule>
  </conditionalFormatting>
  <conditionalFormatting sqref="FB52">
    <cfRule type="expression" dxfId="2" priority="1503">
      <formula>AND(BS52&gt;=4,FB52&lt;&gt;0, GetEquPower(C52,BM52, DB52, FR52)=0)</formula>
    </cfRule>
    <cfRule type="expression" dxfId="1" priority="1504">
      <formula>AND(BS52&gt;=4,FB52&lt;&gt;GetEquPower(C52,BM52, DB52, FR52))</formula>
    </cfRule>
  </conditionalFormatting>
  <conditionalFormatting sqref="FI52">
    <cfRule type="expression" dxfId="2" priority="1505">
      <formula>AND(BT52&gt;=4,FI52&lt;&gt;0, GetEquPower(C52,BN52, DH52, FS52)=0)</formula>
    </cfRule>
    <cfRule type="expression" dxfId="1" priority="1506">
      <formula>AND(BT52&gt;=4,FI52&lt;&gt;GetEquPower(C52,BN52, DH52, FS52))</formula>
    </cfRule>
  </conditionalFormatting>
  <conditionalFormatting sqref="EA52">
    <cfRule type="expression" dxfId="2" priority="1507">
      <formula>AND(BO52&gt;=5,EA52&lt;&gt;0, GetEquPower(C52,BI52, CE52, FN52)=0)</formula>
    </cfRule>
    <cfRule type="expression" dxfId="1" priority="1508">
      <formula>AND(BO52&gt;=5, EA52&lt;&gt;GetEquPower(C52,BI52, CE52, FN52))</formula>
    </cfRule>
  </conditionalFormatting>
  <conditionalFormatting sqref="EB52">
    <cfRule type="expression" dxfId="2" priority="1509">
      <formula>AND(BO52&gt;=6,EB52&lt;&gt;0, GetEquPower(C52,BI52, CF52, FN52)=0)</formula>
    </cfRule>
    <cfRule type="expression" dxfId="1" priority="1510">
      <formula>AND(BO52&gt;=6, EB52&lt;&gt;GetEquPower(C52,BI52, CF52, FN52))</formula>
    </cfRule>
  </conditionalFormatting>
  <conditionalFormatting sqref="EH52">
    <cfRule type="expression" dxfId="2" priority="1511">
      <formula>AND(BP52&gt;=5,EH52&lt;&gt;0, GetEquPower(C52,BJ52, CK52, FO52)=0)</formula>
    </cfRule>
    <cfRule type="expression" dxfId="1" priority="1512">
      <formula>AND(BP52&gt;=5,EH52&lt;&gt;GetEquPower(C52,BJ52, CK52, FO52))</formula>
    </cfRule>
  </conditionalFormatting>
  <conditionalFormatting sqref="EI52">
    <cfRule type="expression" dxfId="2" priority="1513">
      <formula>AND(BP52&gt;=6,EI52&lt;&gt;0, GetEquPower(C52,BJ52, CL52, FO52)=0)</formula>
    </cfRule>
    <cfRule type="expression" dxfId="1" priority="1514">
      <formula>AND(BP52&gt;=6,EI52&lt;&gt;GetEquPower(C52,BJ52, CL52, FO52))</formula>
    </cfRule>
  </conditionalFormatting>
  <conditionalFormatting sqref="EO52">
    <cfRule type="expression" dxfId="2" priority="1515">
      <formula>AND(BQ52&gt;=5,EO52&lt;&gt;0, GetEquPower(C52,BK52, CQ52, FP52)=0)</formula>
    </cfRule>
    <cfRule type="expression" dxfId="1" priority="1516">
      <formula xml:space="preserve"> AND(BQ52&gt;=5,EO52&lt;&gt;GetEquPower(C52,BK52, CQ52, FP52))</formula>
    </cfRule>
  </conditionalFormatting>
  <conditionalFormatting sqref="EP52">
    <cfRule type="expression" dxfId="2" priority="1517">
      <formula>AND(BQ52&gt;=6,EP52&lt;&gt;0, GetEquPower(C52,BK52, CR52, FP52)=0)</formula>
    </cfRule>
    <cfRule type="expression" dxfId="1" priority="1518">
      <formula xml:space="preserve"> AND(BQ52&gt;=6,EP52&lt;&gt;GetEquPower(C52,BK52, CR52, FP52))</formula>
    </cfRule>
  </conditionalFormatting>
  <conditionalFormatting sqref="EV52">
    <cfRule type="expression" dxfId="2" priority="1519">
      <formula>AND(BR52&gt;=5,EV52&lt;&gt;0, GetEquPower(C52,BL52, CW52, FQ52)=0)</formula>
    </cfRule>
    <cfRule type="expression" dxfId="1" priority="1520">
      <formula>AND(BR52&gt;=5,EV52&lt;&gt;GetEquPower(C52,BL52, CW52, FQ52))</formula>
    </cfRule>
  </conditionalFormatting>
  <conditionalFormatting sqref="EW52">
    <cfRule type="expression" dxfId="2" priority="1521">
      <formula>AND(BR52&gt;=6,EW52&lt;&gt;0, GetEquPower(C52,BL52, CX52, FQ52)=0)</formula>
    </cfRule>
    <cfRule type="expression" dxfId="1" priority="1522">
      <formula>AND(BR52&gt;=6,EW52&lt;&gt;GetEquPower(C52,BL52, CX52, FQ52))</formula>
    </cfRule>
  </conditionalFormatting>
  <conditionalFormatting sqref="FC52">
    <cfRule type="expression" dxfId="2" priority="1523">
      <formula>AND(BS52&gt;=5,FC52&lt;&gt;0, GetEquPower(C52,BM52, DC52, FR52)=0)</formula>
    </cfRule>
    <cfRule type="expression" dxfId="1" priority="1524">
      <formula>AND(BS52&gt;=5,FC52&lt;&gt;GetEquPower(C52,BM52, DC52, FR52))</formula>
    </cfRule>
  </conditionalFormatting>
  <conditionalFormatting sqref="FD52">
    <cfRule type="expression" dxfId="2" priority="1525">
      <formula>AND(BS52&gt;=6,FD52&lt;&gt;0, GetEquPower(C52,BM52, DD52, FR52)=0)</formula>
    </cfRule>
    <cfRule type="expression" dxfId="1" priority="1526">
      <formula>AND(BS52&gt;=6,FD52&lt;&gt;GetEquPower(C52,BM52, DD52, FR52))</formula>
    </cfRule>
  </conditionalFormatting>
  <conditionalFormatting sqref="FJ52">
    <cfRule type="expression" dxfId="2" priority="1527">
      <formula>AND(BT52&gt;=5,FJ52&lt;&gt;0, GetEquPower(C52,BN52, DI52, FS52)=0)</formula>
    </cfRule>
    <cfRule type="expression" dxfId="1" priority="1528">
      <formula>AND(BT52&gt;=5,FJ52&lt;&gt;GetEquPower(C52,BN52, DI52, FS52))</formula>
    </cfRule>
  </conditionalFormatting>
  <conditionalFormatting sqref="FK52">
    <cfRule type="expression" dxfId="2" priority="1529">
      <formula>AND(BT52&gt;=6,FK52&lt;&gt;0, GetEquPower(C52,BN52, DJ52, FS52)=0)</formula>
    </cfRule>
    <cfRule type="expression" dxfId="1" priority="1530">
      <formula>AND(BT52&gt;=6,FK52&lt;&gt;GetEquPower(C52,BN52, DJ52, FS52))</formula>
    </cfRule>
  </conditionalFormatting>
  <conditionalFormatting sqref="W52">
    <cfRule type="expression" dxfId="0" priority="1446">
      <formula xml:space="preserve"> NOT(ISLOGICAL($W$2))</formula>
    </cfRule>
  </conditionalFormatting>
  <conditionalFormatting sqref="F53">
    <cfRule type="expression" dxfId="0" priority="1373">
      <formula>F53&lt;&gt;RIGHT(SUBSTITUTE(E53,".",""),LEN(F53))</formula>
    </cfRule>
  </conditionalFormatting>
  <conditionalFormatting sqref="X53">
    <cfRule type="expression" dxfId="0" priority="1368">
      <formula xml:space="preserve"> NOT(ISLOGICAL($X$2))</formula>
    </cfRule>
    <cfRule type="expression" dxfId="0" priority="1372">
      <formula>AND(X53=TRUE,W53=FALSE)</formula>
    </cfRule>
  </conditionalFormatting>
  <conditionalFormatting sqref="Y53">
    <cfRule type="expression" dxfId="0" priority="1371">
      <formula>OR(AND(X53=FALSE,INT(Y53)&gt;0),AND(X53=TRUE,INT(Y53)&lt;=0))</formula>
    </cfRule>
  </conditionalFormatting>
  <conditionalFormatting sqref="AA53">
    <cfRule type="expression" dxfId="0" priority="1370">
      <formula>AND(Z53=FALSE,AA53&gt;0)</formula>
    </cfRule>
  </conditionalFormatting>
  <conditionalFormatting sqref="BV53:HY53">
    <cfRule type="containsErrors" dxfId="0" priority="1369">
      <formula>ISERROR(BV53)</formula>
    </cfRule>
  </conditionalFormatting>
  <conditionalFormatting sqref="Z53">
    <cfRule type="expression" dxfId="0" priority="1367">
      <formula>NOT(ISLOGICAL($Z$2))</formula>
    </cfRule>
  </conditionalFormatting>
  <conditionalFormatting sqref="AB53">
    <cfRule type="expression" dxfId="0" priority="1366">
      <formula>NOT(ISLOGICAL($AB$2))</formula>
    </cfRule>
  </conditionalFormatting>
  <conditionalFormatting sqref="AC53">
    <cfRule type="expression" dxfId="0" priority="1365">
      <formula>NOT(ISLOGICAL($AC$2))</formula>
    </cfRule>
  </conditionalFormatting>
  <conditionalFormatting sqref="B53:BU53">
    <cfRule type="containsErrors" dxfId="0" priority="1364">
      <formula>ISERROR(B53)</formula>
    </cfRule>
  </conditionalFormatting>
  <conditionalFormatting sqref="I53">
    <cfRule type="expression" dxfId="0" priority="1363">
      <formula>NOT(ISNUMBER($I$2))</formula>
    </cfRule>
  </conditionalFormatting>
  <conditionalFormatting sqref="D53">
    <cfRule type="expression" dxfId="0" priority="1362">
      <formula>ISBLANK($D$2)</formula>
    </cfRule>
  </conditionalFormatting>
  <conditionalFormatting sqref="DW53">
    <cfRule type="expression" dxfId="2" priority="1374">
      <formula>AND(BO53&gt;=1,DW53&lt;&gt;0, GetEquPower(C53,BI53, CA53, FN53)=0)</formula>
    </cfRule>
    <cfRule type="expression" dxfId="1" priority="1375">
      <formula>AND(BO53&gt;=1,DW53&lt;&gt;GetEquPower(C53,BI53, CA53, FN53))</formula>
    </cfRule>
  </conditionalFormatting>
  <conditionalFormatting sqref="DX53">
    <cfRule type="expression" dxfId="2" priority="1376">
      <formula>AND(BO53&gt;=2,DX53&lt;&gt;0, GetEquPower(C53,BI53, CB53, FN53)=0)</formula>
    </cfRule>
    <cfRule type="expression" dxfId="1" priority="1377">
      <formula>AND(BO53&gt;=2,DX53&lt;&gt;GetEquPower(C53,BI53, CB53, FN53))</formula>
    </cfRule>
  </conditionalFormatting>
  <conditionalFormatting sqref="DY53">
    <cfRule type="expression" dxfId="2" priority="1378">
      <formula>AND(BO53&gt;=3,DY53&lt;&gt;0, GetEquPower(C53,BI53, CC53, FN53)=0)</formula>
    </cfRule>
    <cfRule type="expression" dxfId="1" priority="1379">
      <formula>AND(BO53&gt;=3,DY53&lt;&gt;GetEquPower(C53,BI53, CC53, FN53))</formula>
    </cfRule>
  </conditionalFormatting>
  <conditionalFormatting sqref="ED53">
    <cfRule type="expression" dxfId="2" priority="1380">
      <formula>AND(BP53&gt;=1,ED53&lt;&gt;0, GetEquPower(C53,BJ53, CG53, FO53)=0)</formula>
    </cfRule>
    <cfRule type="expression" dxfId="1" priority="1381">
      <formula>AND(BP53&gt;=1,ED53&lt;&gt;GetEquPower(C53,BJ53, CG53, FO53))</formula>
    </cfRule>
  </conditionalFormatting>
  <conditionalFormatting sqref="EE53">
    <cfRule type="expression" dxfId="2" priority="1382">
      <formula>AND(BP53&gt;=2,EE53&lt;&gt;0, GetEquPower(C53,BJ53, CH53, FO53)=0)</formula>
    </cfRule>
    <cfRule type="expression" dxfId="1" priority="1383">
      <formula>AND(BP53&gt;=2,EE53&lt;&gt;GetEquPower(C53,BJ53, CH53, FO53))</formula>
    </cfRule>
  </conditionalFormatting>
  <conditionalFormatting sqref="EF53">
    <cfRule type="expression" dxfId="2" priority="1384">
      <formula>AND(BP53&gt;=3,EF53&lt;&gt;0, GetEquPower(C53,BJ53, CI53, FO53)=0)</formula>
    </cfRule>
    <cfRule type="expression" dxfId="1" priority="1385">
      <formula>AND(BP53&gt;=3,EF53&lt;&gt;GetEquPower(C53,BJ53, CI53, FO53))</formula>
    </cfRule>
  </conditionalFormatting>
  <conditionalFormatting sqref="EK53">
    <cfRule type="expression" dxfId="2" priority="1386">
      <formula>AND(BQ53&gt;=1,EK53&lt;&gt;0, GetEquPower(C53,BK53, CM53, FP53)=0)</formula>
    </cfRule>
    <cfRule type="expression" dxfId="1" priority="1387">
      <formula>AND(BQ53&gt;=1,EK53&lt;&gt;GetEquPower(C53,BK53, CM53, FP53))</formula>
    </cfRule>
  </conditionalFormatting>
  <conditionalFormatting sqref="EL53">
    <cfRule type="expression" dxfId="2" priority="1388">
      <formula>AND(BQ53&gt;=2,EL53&lt;&gt;0, GetEquPower(C53,BK53, CN53, FP53)=0)</formula>
    </cfRule>
    <cfRule type="expression" dxfId="1" priority="1389">
      <formula xml:space="preserve"> AND(BQ53&gt;=2,EL53&lt;&gt;GetEquPower(C53,BK53, CN53, FP53))</formula>
    </cfRule>
  </conditionalFormatting>
  <conditionalFormatting sqref="EM53">
    <cfRule type="expression" dxfId="2" priority="1390">
      <formula>AND(BQ53&gt;=3,EM53&lt;&gt;0, GetEquPower(C53,BK53, CO53, FP53)=0)</formula>
    </cfRule>
    <cfRule type="expression" dxfId="1" priority="1391">
      <formula xml:space="preserve"> AND(BQ53&gt;=3,EM53&lt;&gt;GetEquPower(C53,BK53, CO53, FP53))</formula>
    </cfRule>
  </conditionalFormatting>
  <conditionalFormatting sqref="ER53">
    <cfRule type="expression" dxfId="2" priority="1392">
      <formula>AND(BR53&gt;=1,ER53&lt;&gt;0, GetEquPower(C53,BL53, CS53, FQ53)=0)</formula>
    </cfRule>
    <cfRule type="expression" dxfId="1" priority="1393">
      <formula>AND(BR53&gt;=1,ER53&lt;&gt;GetEquPower(C53,BL53, CS53, FQ53))</formula>
    </cfRule>
  </conditionalFormatting>
  <conditionalFormatting sqref="ES53">
    <cfRule type="expression" dxfId="2" priority="1394">
      <formula>AND(BR53&gt;=2,ES53&lt;&gt;0, GetEquPower(C53,BL53, CT53, FQ53)=0)</formula>
    </cfRule>
    <cfRule type="expression" dxfId="1" priority="1395">
      <formula>AND(BR53&gt;=2,ES53&lt;&gt;GetEquPower(C53,BL53, CT53, FQ53))</formula>
    </cfRule>
  </conditionalFormatting>
  <conditionalFormatting sqref="ET53">
    <cfRule type="expression" dxfId="2" priority="1396">
      <formula>AND(BR53&gt;=3,ET53&lt;&gt;0, GetEquPower(C53,BL53, CU53, FQ53)=0)</formula>
    </cfRule>
    <cfRule type="expression" dxfId="1" priority="1397">
      <formula>AND(BR53&gt;=3,ET53&lt;&gt;GetEquPower(C53,BL53, CU53, FQ53))</formula>
    </cfRule>
  </conditionalFormatting>
  <conditionalFormatting sqref="EY53">
    <cfRule type="expression" dxfId="2" priority="1398">
      <formula>AND(BS53&gt;=1,EY53&lt;&gt;0, GetEquPower(C53,BM53, CY53, FR53)=0)</formula>
    </cfRule>
    <cfRule type="expression" dxfId="1" priority="1399">
      <formula>AND(BS53&gt;=1,EY53&lt;&gt;GetEquPower(C53,BM53, CY53, FR53))</formula>
    </cfRule>
  </conditionalFormatting>
  <conditionalFormatting sqref="EZ53">
    <cfRule type="expression" dxfId="2" priority="1400">
      <formula>AND(BS53&gt;=2,EZ53&lt;&gt;0, GetEquPower(C53,BM53, CZ53, FR53)=0)</formula>
    </cfRule>
    <cfRule type="expression" dxfId="1" priority="1401">
      <formula>AND(BS53&gt;=2,EZ53&lt;&gt;GetEquPower(C53,BM53, CZ53, FR53))</formula>
    </cfRule>
  </conditionalFormatting>
  <conditionalFormatting sqref="FA53">
    <cfRule type="expression" dxfId="2" priority="1402">
      <formula>AND(BS53&gt;=3,FA53&lt;&gt;0, GetEquPower(C53,BM53, DA53, FR53)=0)</formula>
    </cfRule>
    <cfRule type="expression" dxfId="1" priority="1403">
      <formula>AND(BS53&gt;=3,FA53&lt;&gt;GetEquPower(C53,BM53, DA53, FR53))</formula>
    </cfRule>
  </conditionalFormatting>
  <conditionalFormatting sqref="FF53">
    <cfRule type="expression" dxfId="2" priority="1404">
      <formula>AND(BT53&gt;=1,FF53&lt;&gt;0, GetEquPower(C53,BN53, DE53, FS53)=0)</formula>
    </cfRule>
    <cfRule type="expression" dxfId="1" priority="1405">
      <formula>AND(BT53&gt;=1,FF53&lt;&gt;GetEquPower(C53,BN53, DE53, FS53))</formula>
    </cfRule>
  </conditionalFormatting>
  <conditionalFormatting sqref="FG53">
    <cfRule type="expression" dxfId="2" priority="1406">
      <formula>AND(BT53&gt;=2,FG53&lt;&gt;0, GetEquPower(C53,BN53, DF53, FS53)=0)</formula>
    </cfRule>
    <cfRule type="expression" dxfId="1" priority="1407">
      <formula>AND(BT53&gt;=2,FG53&lt;&gt;GetEquPower(C53,BN53, DF53, FS53))</formula>
    </cfRule>
  </conditionalFormatting>
  <conditionalFormatting sqref="FH53">
    <cfRule type="expression" dxfId="2" priority="1408">
      <formula>AND(BT53&gt;=3,FH53&lt;&gt;0, GetEquPower(C53,BN53, DG53, FS53)=0)</formula>
    </cfRule>
    <cfRule type="expression" dxfId="1" priority="1409">
      <formula>AND(BT53&gt;=3,FH53&lt;&gt;GetEquPower(C53,BN53, DG53, FS53))</formula>
    </cfRule>
  </conditionalFormatting>
  <conditionalFormatting sqref="DZ53">
    <cfRule type="expression" dxfId="2" priority="1410">
      <formula>AND(BO53&gt;=4,DZ53&lt;&gt;0, GetEquPower(C53,BI53, CD53, FN53)=0)</formula>
    </cfRule>
    <cfRule type="expression" dxfId="1" priority="1411">
      <formula>AND(BO53&gt;=4, DZ53&lt;&gt;GetEquPower(C53,BI53, CD53, FN53))</formula>
    </cfRule>
  </conditionalFormatting>
  <conditionalFormatting sqref="EG53">
    <cfRule type="expression" dxfId="2" priority="1412">
      <formula>AND(BP53&gt;=4,EG53&lt;&gt;0, GetEquPower(C53,BJ53, CJ53, FO53)=0)</formula>
    </cfRule>
    <cfRule type="expression" dxfId="1" priority="1413">
      <formula>AND(BP53&gt;=4,EG53&lt;&gt;GetEquPower(C53,BJ53, CJ53, FO53))</formula>
    </cfRule>
  </conditionalFormatting>
  <conditionalFormatting sqref="EN53">
    <cfRule type="expression" dxfId="2" priority="1414">
      <formula>AND(BQ53&gt;=4,EN53&lt;&gt;0, GetEquPower(C53,BK53, CP53, FP53)=0)</formula>
    </cfRule>
    <cfRule type="expression" dxfId="1" priority="1415">
      <formula xml:space="preserve"> AND(BQ53&gt;=4,EN53&lt;&gt;GetEquPower(C53,BK53, CP53, FP53))</formula>
    </cfRule>
  </conditionalFormatting>
  <conditionalFormatting sqref="EU53">
    <cfRule type="expression" dxfId="2" priority="1416">
      <formula>AND(BR53&gt;=4,EU53&lt;&gt;0, GetEquPower(C53,BL53, CV53, FQ53)=0)</formula>
    </cfRule>
    <cfRule type="expression" dxfId="1" priority="1417">
      <formula>AND(BR53&gt;=4,EU53&lt;&gt;GetEquPower(C53,BL53, CV53, FQ53))</formula>
    </cfRule>
  </conditionalFormatting>
  <conditionalFormatting sqref="FB53">
    <cfRule type="expression" dxfId="2" priority="1418">
      <formula>AND(BS53&gt;=4,FB53&lt;&gt;0, GetEquPower(C53,BM53, DB53, FR53)=0)</formula>
    </cfRule>
    <cfRule type="expression" dxfId="1" priority="1419">
      <formula>AND(BS53&gt;=4,FB53&lt;&gt;GetEquPower(C53,BM53, DB53, FR53))</formula>
    </cfRule>
  </conditionalFormatting>
  <conditionalFormatting sqref="FI53">
    <cfRule type="expression" dxfId="2" priority="1420">
      <formula>AND(BT53&gt;=4,FI53&lt;&gt;0, GetEquPower(C53,BN53, DH53, FS53)=0)</formula>
    </cfRule>
    <cfRule type="expression" dxfId="1" priority="1421">
      <formula>AND(BT53&gt;=4,FI53&lt;&gt;GetEquPower(C53,BN53, DH53, FS53))</formula>
    </cfRule>
  </conditionalFormatting>
  <conditionalFormatting sqref="EA53">
    <cfRule type="expression" dxfId="2" priority="1422">
      <formula>AND(BO53&gt;=5,EA53&lt;&gt;0, GetEquPower(C53,BI53, CE53, FN53)=0)</formula>
    </cfRule>
    <cfRule type="expression" dxfId="1" priority="1423">
      <formula>AND(BO53&gt;=5, EA53&lt;&gt;GetEquPower(C53,BI53, CE53, FN53))</formula>
    </cfRule>
  </conditionalFormatting>
  <conditionalFormatting sqref="EB53">
    <cfRule type="expression" dxfId="2" priority="1424">
      <formula>AND(BO53&gt;=6,EB53&lt;&gt;0, GetEquPower(C53,BI53, CF53, FN53)=0)</formula>
    </cfRule>
    <cfRule type="expression" dxfId="1" priority="1425">
      <formula>AND(BO53&gt;=6, EB53&lt;&gt;GetEquPower(C53,BI53, CF53, FN53))</formula>
    </cfRule>
  </conditionalFormatting>
  <conditionalFormatting sqref="EH53">
    <cfRule type="expression" dxfId="2" priority="1426">
      <formula>AND(BP53&gt;=5,EH53&lt;&gt;0, GetEquPower(C53,BJ53, CK53, FO53)=0)</formula>
    </cfRule>
    <cfRule type="expression" dxfId="1" priority="1427">
      <formula>AND(BP53&gt;=5,EH53&lt;&gt;GetEquPower(C53,BJ53, CK53, FO53))</formula>
    </cfRule>
  </conditionalFormatting>
  <conditionalFormatting sqref="EI53">
    <cfRule type="expression" dxfId="2" priority="1428">
      <formula>AND(BP53&gt;=6,EI53&lt;&gt;0, GetEquPower(C53,BJ53, CL53, FO53)=0)</formula>
    </cfRule>
    <cfRule type="expression" dxfId="1" priority="1429">
      <formula>AND(BP53&gt;=6,EI53&lt;&gt;GetEquPower(C53,BJ53, CL53, FO53))</formula>
    </cfRule>
  </conditionalFormatting>
  <conditionalFormatting sqref="EO53">
    <cfRule type="expression" dxfId="2" priority="1430">
      <formula>AND(BQ53&gt;=5,EO53&lt;&gt;0, GetEquPower(C53,BK53, CQ53, FP53)=0)</formula>
    </cfRule>
    <cfRule type="expression" dxfId="1" priority="1431">
      <formula xml:space="preserve"> AND(BQ53&gt;=5,EO53&lt;&gt;GetEquPower(C53,BK53, CQ53, FP53))</formula>
    </cfRule>
  </conditionalFormatting>
  <conditionalFormatting sqref="EP53">
    <cfRule type="expression" dxfId="2" priority="1432">
      <formula>AND(BQ53&gt;=6,EP53&lt;&gt;0, GetEquPower(C53,BK53, CR53, FP53)=0)</formula>
    </cfRule>
    <cfRule type="expression" dxfId="1" priority="1433">
      <formula xml:space="preserve"> AND(BQ53&gt;=6,EP53&lt;&gt;GetEquPower(C53,BK53, CR53, FP53))</formula>
    </cfRule>
  </conditionalFormatting>
  <conditionalFormatting sqref="EV53">
    <cfRule type="expression" dxfId="2" priority="1434">
      <formula>AND(BR53&gt;=5,EV53&lt;&gt;0, GetEquPower(C53,BL53, CW53, FQ53)=0)</formula>
    </cfRule>
    <cfRule type="expression" dxfId="1" priority="1435">
      <formula>AND(BR53&gt;=5,EV53&lt;&gt;GetEquPower(C53,BL53, CW53, FQ53))</formula>
    </cfRule>
  </conditionalFormatting>
  <conditionalFormatting sqref="EW53">
    <cfRule type="expression" dxfId="2" priority="1436">
      <formula>AND(BR53&gt;=6,EW53&lt;&gt;0, GetEquPower(C53,BL53, CX53, FQ53)=0)</formula>
    </cfRule>
    <cfRule type="expression" dxfId="1" priority="1437">
      <formula>AND(BR53&gt;=6,EW53&lt;&gt;GetEquPower(C53,BL53, CX53, FQ53))</formula>
    </cfRule>
  </conditionalFormatting>
  <conditionalFormatting sqref="FC53">
    <cfRule type="expression" dxfId="2" priority="1438">
      <formula>AND(BS53&gt;=5,FC53&lt;&gt;0, GetEquPower(C53,BM53, DC53, FR53)=0)</formula>
    </cfRule>
    <cfRule type="expression" dxfId="1" priority="1439">
      <formula>AND(BS53&gt;=5,FC53&lt;&gt;GetEquPower(C53,BM53, DC53, FR53))</formula>
    </cfRule>
  </conditionalFormatting>
  <conditionalFormatting sqref="FD53">
    <cfRule type="expression" dxfId="2" priority="1440">
      <formula>AND(BS53&gt;=6,FD53&lt;&gt;0, GetEquPower(C53,BM53, DD53, FR53)=0)</formula>
    </cfRule>
    <cfRule type="expression" dxfId="1" priority="1441">
      <formula>AND(BS53&gt;=6,FD53&lt;&gt;GetEquPower(C53,BM53, DD53, FR53))</formula>
    </cfRule>
  </conditionalFormatting>
  <conditionalFormatting sqref="FJ53">
    <cfRule type="expression" dxfId="2" priority="1442">
      <formula>AND(BT53&gt;=5,FJ53&lt;&gt;0, GetEquPower(C53,BN53, DI53, FS53)=0)</formula>
    </cfRule>
    <cfRule type="expression" dxfId="1" priority="1443">
      <formula>AND(BT53&gt;=5,FJ53&lt;&gt;GetEquPower(C53,BN53, DI53, FS53))</formula>
    </cfRule>
  </conditionalFormatting>
  <conditionalFormatting sqref="FK53">
    <cfRule type="expression" dxfId="2" priority="1444">
      <formula>AND(BT53&gt;=6,FK53&lt;&gt;0, GetEquPower(C53,BN53, DJ53, FS53)=0)</formula>
    </cfRule>
    <cfRule type="expression" dxfId="1" priority="1445">
      <formula>AND(BT53&gt;=6,FK53&lt;&gt;GetEquPower(C53,BN53, DJ53, FS53))</formula>
    </cfRule>
  </conditionalFormatting>
  <conditionalFormatting sqref="W53">
    <cfRule type="expression" dxfId="0" priority="1361">
      <formula xml:space="preserve"> NOT(ISLOGICAL($W$2))</formula>
    </cfRule>
  </conditionalFormatting>
  <conditionalFormatting sqref="F54">
    <cfRule type="expression" dxfId="0" priority="1288">
      <formula>F54&lt;&gt;RIGHT(SUBSTITUTE(E54,".",""),LEN(F54))</formula>
    </cfRule>
  </conditionalFormatting>
  <conditionalFormatting sqref="X54">
    <cfRule type="expression" dxfId="0" priority="1283">
      <formula xml:space="preserve"> NOT(ISLOGICAL($X$2))</formula>
    </cfRule>
    <cfRule type="expression" dxfId="0" priority="1287">
      <formula>AND(X54=TRUE,W54=FALSE)</formula>
    </cfRule>
  </conditionalFormatting>
  <conditionalFormatting sqref="Y54">
    <cfRule type="expression" dxfId="0" priority="1286">
      <formula>OR(AND(X54=FALSE,INT(Y54)&gt;0),AND(X54=TRUE,INT(Y54)&lt;=0))</formula>
    </cfRule>
  </conditionalFormatting>
  <conditionalFormatting sqref="AA54">
    <cfRule type="expression" dxfId="0" priority="1285">
      <formula>AND(Z54=FALSE,AA54&gt;0)</formula>
    </cfRule>
  </conditionalFormatting>
  <conditionalFormatting sqref="BV54:HY54">
    <cfRule type="containsErrors" dxfId="0" priority="1284">
      <formula>ISERROR(BV54)</formula>
    </cfRule>
  </conditionalFormatting>
  <conditionalFormatting sqref="Z54">
    <cfRule type="expression" dxfId="0" priority="1282">
      <formula>NOT(ISLOGICAL($Z$2))</formula>
    </cfRule>
  </conditionalFormatting>
  <conditionalFormatting sqref="AB54">
    <cfRule type="expression" dxfId="0" priority="1281">
      <formula>NOT(ISLOGICAL($AB$2))</formula>
    </cfRule>
  </conditionalFormatting>
  <conditionalFormatting sqref="AC54">
    <cfRule type="expression" dxfId="0" priority="1280">
      <formula>NOT(ISLOGICAL($AC$2))</formula>
    </cfRule>
  </conditionalFormatting>
  <conditionalFormatting sqref="B54:BU54">
    <cfRule type="containsErrors" dxfId="0" priority="1279">
      <formula>ISERROR(B54)</formula>
    </cfRule>
  </conditionalFormatting>
  <conditionalFormatting sqref="I54">
    <cfRule type="expression" dxfId="0" priority="1278">
      <formula>NOT(ISNUMBER($I$2))</formula>
    </cfRule>
  </conditionalFormatting>
  <conditionalFormatting sqref="D54">
    <cfRule type="expression" dxfId="0" priority="1277">
      <formula>ISBLANK($D$2)</formula>
    </cfRule>
  </conditionalFormatting>
  <conditionalFormatting sqref="DW54">
    <cfRule type="expression" dxfId="2" priority="1289">
      <formula>AND(BO54&gt;=1,DW54&lt;&gt;0, GetEquPower(C54,BI54, CA54, FN54)=0)</formula>
    </cfRule>
    <cfRule type="expression" dxfId="1" priority="1290">
      <formula>AND(BO54&gt;=1,DW54&lt;&gt;GetEquPower(C54,BI54, CA54, FN54))</formula>
    </cfRule>
  </conditionalFormatting>
  <conditionalFormatting sqref="DX54">
    <cfRule type="expression" dxfId="2" priority="1291">
      <formula>AND(BO54&gt;=2,DX54&lt;&gt;0, GetEquPower(C54,BI54, CB54, FN54)=0)</formula>
    </cfRule>
    <cfRule type="expression" dxfId="1" priority="1292">
      <formula>AND(BO54&gt;=2,DX54&lt;&gt;GetEquPower(C54,BI54, CB54, FN54))</formula>
    </cfRule>
  </conditionalFormatting>
  <conditionalFormatting sqref="DY54">
    <cfRule type="expression" dxfId="2" priority="1293">
      <formula>AND(BO54&gt;=3,DY54&lt;&gt;0, GetEquPower(C54,BI54, CC54, FN54)=0)</formula>
    </cfRule>
    <cfRule type="expression" dxfId="1" priority="1294">
      <formula>AND(BO54&gt;=3,DY54&lt;&gt;GetEquPower(C54,BI54, CC54, FN54))</formula>
    </cfRule>
  </conditionalFormatting>
  <conditionalFormatting sqref="ED54">
    <cfRule type="expression" dxfId="2" priority="1295">
      <formula>AND(BP54&gt;=1,ED54&lt;&gt;0, GetEquPower(C54,BJ54, CG54, FO54)=0)</formula>
    </cfRule>
    <cfRule type="expression" dxfId="1" priority="1296">
      <formula>AND(BP54&gt;=1,ED54&lt;&gt;GetEquPower(C54,BJ54, CG54, FO54))</formula>
    </cfRule>
  </conditionalFormatting>
  <conditionalFormatting sqref="EE54">
    <cfRule type="expression" dxfId="2" priority="1297">
      <formula>AND(BP54&gt;=2,EE54&lt;&gt;0, GetEquPower(C54,BJ54, CH54, FO54)=0)</formula>
    </cfRule>
    <cfRule type="expression" dxfId="1" priority="1298">
      <formula>AND(BP54&gt;=2,EE54&lt;&gt;GetEquPower(C54,BJ54, CH54, FO54))</formula>
    </cfRule>
  </conditionalFormatting>
  <conditionalFormatting sqref="EF54">
    <cfRule type="expression" dxfId="2" priority="1299">
      <formula>AND(BP54&gt;=3,EF54&lt;&gt;0, GetEquPower(C54,BJ54, CI54, FO54)=0)</formula>
    </cfRule>
    <cfRule type="expression" dxfId="1" priority="1300">
      <formula>AND(BP54&gt;=3,EF54&lt;&gt;GetEquPower(C54,BJ54, CI54, FO54))</formula>
    </cfRule>
  </conditionalFormatting>
  <conditionalFormatting sqref="EK54">
    <cfRule type="expression" dxfId="2" priority="1301">
      <formula>AND(BQ54&gt;=1,EK54&lt;&gt;0, GetEquPower(C54,BK54, CM54, FP54)=0)</formula>
    </cfRule>
    <cfRule type="expression" dxfId="1" priority="1302">
      <formula>AND(BQ54&gt;=1,EK54&lt;&gt;GetEquPower(C54,BK54, CM54, FP54))</formula>
    </cfRule>
  </conditionalFormatting>
  <conditionalFormatting sqref="EL54">
    <cfRule type="expression" dxfId="2" priority="1303">
      <formula>AND(BQ54&gt;=2,EL54&lt;&gt;0, GetEquPower(C54,BK54, CN54, FP54)=0)</formula>
    </cfRule>
    <cfRule type="expression" dxfId="1" priority="1304">
      <formula xml:space="preserve"> AND(BQ54&gt;=2,EL54&lt;&gt;GetEquPower(C54,BK54, CN54, FP54))</formula>
    </cfRule>
  </conditionalFormatting>
  <conditionalFormatting sqref="EM54">
    <cfRule type="expression" dxfId="2" priority="1305">
      <formula>AND(BQ54&gt;=3,EM54&lt;&gt;0, GetEquPower(C54,BK54, CO54, FP54)=0)</formula>
    </cfRule>
    <cfRule type="expression" dxfId="1" priority="1306">
      <formula xml:space="preserve"> AND(BQ54&gt;=3,EM54&lt;&gt;GetEquPower(C54,BK54, CO54, FP54))</formula>
    </cfRule>
  </conditionalFormatting>
  <conditionalFormatting sqref="ER54">
    <cfRule type="expression" dxfId="2" priority="1307">
      <formula>AND(BR54&gt;=1,ER54&lt;&gt;0, GetEquPower(C54,BL54, CS54, FQ54)=0)</formula>
    </cfRule>
    <cfRule type="expression" dxfId="1" priority="1308">
      <formula>AND(BR54&gt;=1,ER54&lt;&gt;GetEquPower(C54,BL54, CS54, FQ54))</formula>
    </cfRule>
  </conditionalFormatting>
  <conditionalFormatting sqref="ES54">
    <cfRule type="expression" dxfId="2" priority="1309">
      <formula>AND(BR54&gt;=2,ES54&lt;&gt;0, GetEquPower(C54,BL54, CT54, FQ54)=0)</formula>
    </cfRule>
    <cfRule type="expression" dxfId="1" priority="1310">
      <formula>AND(BR54&gt;=2,ES54&lt;&gt;GetEquPower(C54,BL54, CT54, FQ54))</formula>
    </cfRule>
  </conditionalFormatting>
  <conditionalFormatting sqref="ET54">
    <cfRule type="expression" dxfId="2" priority="1311">
      <formula>AND(BR54&gt;=3,ET54&lt;&gt;0, GetEquPower(C54,BL54, CU54, FQ54)=0)</formula>
    </cfRule>
    <cfRule type="expression" dxfId="1" priority="1312">
      <formula>AND(BR54&gt;=3,ET54&lt;&gt;GetEquPower(C54,BL54, CU54, FQ54))</formula>
    </cfRule>
  </conditionalFormatting>
  <conditionalFormatting sqref="EY54">
    <cfRule type="expression" dxfId="2" priority="1313">
      <formula>AND(BS54&gt;=1,EY54&lt;&gt;0, GetEquPower(C54,BM54, CY54, FR54)=0)</formula>
    </cfRule>
    <cfRule type="expression" dxfId="1" priority="1314">
      <formula>AND(BS54&gt;=1,EY54&lt;&gt;GetEquPower(C54,BM54, CY54, FR54))</formula>
    </cfRule>
  </conditionalFormatting>
  <conditionalFormatting sqref="EZ54">
    <cfRule type="expression" dxfId="2" priority="1315">
      <formula>AND(BS54&gt;=2,EZ54&lt;&gt;0, GetEquPower(C54,BM54, CZ54, FR54)=0)</formula>
    </cfRule>
    <cfRule type="expression" dxfId="1" priority="1316">
      <formula>AND(BS54&gt;=2,EZ54&lt;&gt;GetEquPower(C54,BM54, CZ54, FR54))</formula>
    </cfRule>
  </conditionalFormatting>
  <conditionalFormatting sqref="FA54">
    <cfRule type="expression" dxfId="2" priority="1317">
      <formula>AND(BS54&gt;=3,FA54&lt;&gt;0, GetEquPower(C54,BM54, DA54, FR54)=0)</formula>
    </cfRule>
    <cfRule type="expression" dxfId="1" priority="1318">
      <formula>AND(BS54&gt;=3,FA54&lt;&gt;GetEquPower(C54,BM54, DA54, FR54))</formula>
    </cfRule>
  </conditionalFormatting>
  <conditionalFormatting sqref="FF54">
    <cfRule type="expression" dxfId="2" priority="1319">
      <formula>AND(BT54&gt;=1,FF54&lt;&gt;0, GetEquPower(C54,BN54, DE54, FS54)=0)</formula>
    </cfRule>
    <cfRule type="expression" dxfId="1" priority="1320">
      <formula>AND(BT54&gt;=1,FF54&lt;&gt;GetEquPower(C54,BN54, DE54, FS54))</formula>
    </cfRule>
  </conditionalFormatting>
  <conditionalFormatting sqref="FG54">
    <cfRule type="expression" dxfId="2" priority="1321">
      <formula>AND(BT54&gt;=2,FG54&lt;&gt;0, GetEquPower(C54,BN54, DF54, FS54)=0)</formula>
    </cfRule>
    <cfRule type="expression" dxfId="1" priority="1322">
      <formula>AND(BT54&gt;=2,FG54&lt;&gt;GetEquPower(C54,BN54, DF54, FS54))</formula>
    </cfRule>
  </conditionalFormatting>
  <conditionalFormatting sqref="FH54">
    <cfRule type="expression" dxfId="2" priority="1323">
      <formula>AND(BT54&gt;=3,FH54&lt;&gt;0, GetEquPower(C54,BN54, DG54, FS54)=0)</formula>
    </cfRule>
    <cfRule type="expression" dxfId="1" priority="1324">
      <formula>AND(BT54&gt;=3,FH54&lt;&gt;GetEquPower(C54,BN54, DG54, FS54))</formula>
    </cfRule>
  </conditionalFormatting>
  <conditionalFormatting sqref="DZ54">
    <cfRule type="expression" dxfId="2" priority="1325">
      <formula>AND(BO54&gt;=4,DZ54&lt;&gt;0, GetEquPower(C54,BI54, CD54, FN54)=0)</formula>
    </cfRule>
    <cfRule type="expression" dxfId="1" priority="1326">
      <formula>AND(BO54&gt;=4, DZ54&lt;&gt;GetEquPower(C54,BI54, CD54, FN54))</formula>
    </cfRule>
  </conditionalFormatting>
  <conditionalFormatting sqref="EG54">
    <cfRule type="expression" dxfId="2" priority="1327">
      <formula>AND(BP54&gt;=4,EG54&lt;&gt;0, GetEquPower(C54,BJ54, CJ54, FO54)=0)</formula>
    </cfRule>
    <cfRule type="expression" dxfId="1" priority="1328">
      <formula>AND(BP54&gt;=4,EG54&lt;&gt;GetEquPower(C54,BJ54, CJ54, FO54))</formula>
    </cfRule>
  </conditionalFormatting>
  <conditionalFormatting sqref="EN54">
    <cfRule type="expression" dxfId="2" priority="1329">
      <formula>AND(BQ54&gt;=4,EN54&lt;&gt;0, GetEquPower(C54,BK54, CP54, FP54)=0)</formula>
    </cfRule>
    <cfRule type="expression" dxfId="1" priority="1330">
      <formula xml:space="preserve"> AND(BQ54&gt;=4,EN54&lt;&gt;GetEquPower(C54,BK54, CP54, FP54))</formula>
    </cfRule>
  </conditionalFormatting>
  <conditionalFormatting sqref="EU54">
    <cfRule type="expression" dxfId="2" priority="1331">
      <formula>AND(BR54&gt;=4,EU54&lt;&gt;0, GetEquPower(C54,BL54, CV54, FQ54)=0)</formula>
    </cfRule>
    <cfRule type="expression" dxfId="1" priority="1332">
      <formula>AND(BR54&gt;=4,EU54&lt;&gt;GetEquPower(C54,BL54, CV54, FQ54))</formula>
    </cfRule>
  </conditionalFormatting>
  <conditionalFormatting sqref="FB54">
    <cfRule type="expression" dxfId="2" priority="1333">
      <formula>AND(BS54&gt;=4,FB54&lt;&gt;0, GetEquPower(C54,BM54, DB54, FR54)=0)</formula>
    </cfRule>
    <cfRule type="expression" dxfId="1" priority="1334">
      <formula>AND(BS54&gt;=4,FB54&lt;&gt;GetEquPower(C54,BM54, DB54, FR54))</formula>
    </cfRule>
  </conditionalFormatting>
  <conditionalFormatting sqref="FI54">
    <cfRule type="expression" dxfId="2" priority="1335">
      <formula>AND(BT54&gt;=4,FI54&lt;&gt;0, GetEquPower(C54,BN54, DH54, FS54)=0)</formula>
    </cfRule>
    <cfRule type="expression" dxfId="1" priority="1336">
      <formula>AND(BT54&gt;=4,FI54&lt;&gt;GetEquPower(C54,BN54, DH54, FS54))</formula>
    </cfRule>
  </conditionalFormatting>
  <conditionalFormatting sqref="EA54">
    <cfRule type="expression" dxfId="2" priority="1337">
      <formula>AND(BO54&gt;=5,EA54&lt;&gt;0, GetEquPower(C54,BI54, CE54, FN54)=0)</formula>
    </cfRule>
    <cfRule type="expression" dxfId="1" priority="1338">
      <formula>AND(BO54&gt;=5, EA54&lt;&gt;GetEquPower(C54,BI54, CE54, FN54))</formula>
    </cfRule>
  </conditionalFormatting>
  <conditionalFormatting sqref="EB54">
    <cfRule type="expression" dxfId="2" priority="1339">
      <formula>AND(BO54&gt;=6,EB54&lt;&gt;0, GetEquPower(C54,BI54, CF54, FN54)=0)</formula>
    </cfRule>
    <cfRule type="expression" dxfId="1" priority="1340">
      <formula>AND(BO54&gt;=6, EB54&lt;&gt;GetEquPower(C54,BI54, CF54, FN54))</formula>
    </cfRule>
  </conditionalFormatting>
  <conditionalFormatting sqref="EH54">
    <cfRule type="expression" dxfId="2" priority="1341">
      <formula>AND(BP54&gt;=5,EH54&lt;&gt;0, GetEquPower(C54,BJ54, CK54, FO54)=0)</formula>
    </cfRule>
    <cfRule type="expression" dxfId="1" priority="1342">
      <formula>AND(BP54&gt;=5,EH54&lt;&gt;GetEquPower(C54,BJ54, CK54, FO54))</formula>
    </cfRule>
  </conditionalFormatting>
  <conditionalFormatting sqref="EI54">
    <cfRule type="expression" dxfId="2" priority="1343">
      <formula>AND(BP54&gt;=6,EI54&lt;&gt;0, GetEquPower(C54,BJ54, CL54, FO54)=0)</formula>
    </cfRule>
    <cfRule type="expression" dxfId="1" priority="1344">
      <formula>AND(BP54&gt;=6,EI54&lt;&gt;GetEquPower(C54,BJ54, CL54, FO54))</formula>
    </cfRule>
  </conditionalFormatting>
  <conditionalFormatting sqref="EO54">
    <cfRule type="expression" dxfId="2" priority="1345">
      <formula>AND(BQ54&gt;=5,EO54&lt;&gt;0, GetEquPower(C54,BK54, CQ54, FP54)=0)</formula>
    </cfRule>
    <cfRule type="expression" dxfId="1" priority="1346">
      <formula xml:space="preserve"> AND(BQ54&gt;=5,EO54&lt;&gt;GetEquPower(C54,BK54, CQ54, FP54))</formula>
    </cfRule>
  </conditionalFormatting>
  <conditionalFormatting sqref="EP54">
    <cfRule type="expression" dxfId="2" priority="1347">
      <formula>AND(BQ54&gt;=6,EP54&lt;&gt;0, GetEquPower(C54,BK54, CR54, FP54)=0)</formula>
    </cfRule>
    <cfRule type="expression" dxfId="1" priority="1348">
      <formula xml:space="preserve"> AND(BQ54&gt;=6,EP54&lt;&gt;GetEquPower(C54,BK54, CR54, FP54))</formula>
    </cfRule>
  </conditionalFormatting>
  <conditionalFormatting sqref="EV54">
    <cfRule type="expression" dxfId="2" priority="1349">
      <formula>AND(BR54&gt;=5,EV54&lt;&gt;0, GetEquPower(C54,BL54, CW54, FQ54)=0)</formula>
    </cfRule>
    <cfRule type="expression" dxfId="1" priority="1350">
      <formula>AND(BR54&gt;=5,EV54&lt;&gt;GetEquPower(C54,BL54, CW54, FQ54))</formula>
    </cfRule>
  </conditionalFormatting>
  <conditionalFormatting sqref="EW54">
    <cfRule type="expression" dxfId="2" priority="1351">
      <formula>AND(BR54&gt;=6,EW54&lt;&gt;0, GetEquPower(C54,BL54, CX54, FQ54)=0)</formula>
    </cfRule>
    <cfRule type="expression" dxfId="1" priority="1352">
      <formula>AND(BR54&gt;=6,EW54&lt;&gt;GetEquPower(C54,BL54, CX54, FQ54))</formula>
    </cfRule>
  </conditionalFormatting>
  <conditionalFormatting sqref="FC54">
    <cfRule type="expression" dxfId="2" priority="1353">
      <formula>AND(BS54&gt;=5,FC54&lt;&gt;0, GetEquPower(C54,BM54, DC54, FR54)=0)</formula>
    </cfRule>
    <cfRule type="expression" dxfId="1" priority="1354">
      <formula>AND(BS54&gt;=5,FC54&lt;&gt;GetEquPower(C54,BM54, DC54, FR54))</formula>
    </cfRule>
  </conditionalFormatting>
  <conditionalFormatting sqref="FD54">
    <cfRule type="expression" dxfId="2" priority="1355">
      <formula>AND(BS54&gt;=6,FD54&lt;&gt;0, GetEquPower(C54,BM54, DD54, FR54)=0)</formula>
    </cfRule>
    <cfRule type="expression" dxfId="1" priority="1356">
      <formula>AND(BS54&gt;=6,FD54&lt;&gt;GetEquPower(C54,BM54, DD54, FR54))</formula>
    </cfRule>
  </conditionalFormatting>
  <conditionalFormatting sqref="FJ54">
    <cfRule type="expression" dxfId="2" priority="1357">
      <formula>AND(BT54&gt;=5,FJ54&lt;&gt;0, GetEquPower(C54,BN54, DI54, FS54)=0)</formula>
    </cfRule>
    <cfRule type="expression" dxfId="1" priority="1358">
      <formula>AND(BT54&gt;=5,FJ54&lt;&gt;GetEquPower(C54,BN54, DI54, FS54))</formula>
    </cfRule>
  </conditionalFormatting>
  <conditionalFormatting sqref="FK54">
    <cfRule type="expression" dxfId="2" priority="1359">
      <formula>AND(BT54&gt;=6,FK54&lt;&gt;0, GetEquPower(C54,BN54, DJ54, FS54)=0)</formula>
    </cfRule>
    <cfRule type="expression" dxfId="1" priority="1360">
      <formula>AND(BT54&gt;=6,FK54&lt;&gt;GetEquPower(C54,BN54, DJ54, FS54))</formula>
    </cfRule>
  </conditionalFormatting>
  <conditionalFormatting sqref="W54">
    <cfRule type="expression" dxfId="0" priority="1276">
      <formula xml:space="preserve"> NOT(ISLOGICAL($W$2))</formula>
    </cfRule>
  </conditionalFormatting>
  <conditionalFormatting sqref="F55">
    <cfRule type="expression" dxfId="0" priority="1203">
      <formula>F55&lt;&gt;RIGHT(SUBSTITUTE(E55,".",""),LEN(F55))</formula>
    </cfRule>
  </conditionalFormatting>
  <conditionalFormatting sqref="X55">
    <cfRule type="expression" dxfId="0" priority="1198">
      <formula xml:space="preserve"> NOT(ISLOGICAL($X$2))</formula>
    </cfRule>
    <cfRule type="expression" dxfId="0" priority="1202">
      <formula>AND(X55=TRUE,W55=FALSE)</formula>
    </cfRule>
  </conditionalFormatting>
  <conditionalFormatting sqref="Y55">
    <cfRule type="expression" dxfId="0" priority="1201">
      <formula>OR(AND(X55=FALSE,INT(Y55)&gt;0),AND(X55=TRUE,INT(Y55)&lt;=0))</formula>
    </cfRule>
  </conditionalFormatting>
  <conditionalFormatting sqref="AA55">
    <cfRule type="expression" dxfId="0" priority="1200">
      <formula>AND(Z55=FALSE,AA55&gt;0)</formula>
    </cfRule>
  </conditionalFormatting>
  <conditionalFormatting sqref="BV55:HY55">
    <cfRule type="containsErrors" dxfId="0" priority="1199">
      <formula>ISERROR(BV55)</formula>
    </cfRule>
  </conditionalFormatting>
  <conditionalFormatting sqref="Z55">
    <cfRule type="expression" dxfId="0" priority="1197">
      <formula>NOT(ISLOGICAL($Z$2))</formula>
    </cfRule>
  </conditionalFormatting>
  <conditionalFormatting sqref="AB55">
    <cfRule type="expression" dxfId="0" priority="1196">
      <formula>NOT(ISLOGICAL($AB$2))</formula>
    </cfRule>
  </conditionalFormatting>
  <conditionalFormatting sqref="AC55">
    <cfRule type="expression" dxfId="0" priority="1195">
      <formula>NOT(ISLOGICAL($AC$2))</formula>
    </cfRule>
  </conditionalFormatting>
  <conditionalFormatting sqref="B55:BU55">
    <cfRule type="containsErrors" dxfId="0" priority="1194">
      <formula>ISERROR(B55)</formula>
    </cfRule>
  </conditionalFormatting>
  <conditionalFormatting sqref="I55">
    <cfRule type="expression" dxfId="0" priority="1193">
      <formula>NOT(ISNUMBER($I$2))</formula>
    </cfRule>
  </conditionalFormatting>
  <conditionalFormatting sqref="D55">
    <cfRule type="expression" dxfId="0" priority="1192">
      <formula>ISBLANK($D$2)</formula>
    </cfRule>
  </conditionalFormatting>
  <conditionalFormatting sqref="DW55">
    <cfRule type="expression" dxfId="2" priority="1204">
      <formula>AND(BO55&gt;=1,DW55&lt;&gt;0, GetEquPower(C55,BI55, CA55, FN55)=0)</formula>
    </cfRule>
    <cfRule type="expression" dxfId="1" priority="1205">
      <formula>AND(BO55&gt;=1,DW55&lt;&gt;GetEquPower(C55,BI55, CA55, FN55))</formula>
    </cfRule>
  </conditionalFormatting>
  <conditionalFormatting sqref="DX55">
    <cfRule type="expression" dxfId="2" priority="1206">
      <formula>AND(BO55&gt;=2,DX55&lt;&gt;0, GetEquPower(C55,BI55, CB55, FN55)=0)</formula>
    </cfRule>
    <cfRule type="expression" dxfId="1" priority="1207">
      <formula>AND(BO55&gt;=2,DX55&lt;&gt;GetEquPower(C55,BI55, CB55, FN55))</formula>
    </cfRule>
  </conditionalFormatting>
  <conditionalFormatting sqref="DY55">
    <cfRule type="expression" dxfId="2" priority="1208">
      <formula>AND(BO55&gt;=3,DY55&lt;&gt;0, GetEquPower(C55,BI55, CC55, FN55)=0)</formula>
    </cfRule>
    <cfRule type="expression" dxfId="1" priority="1209">
      <formula>AND(BO55&gt;=3,DY55&lt;&gt;GetEquPower(C55,BI55, CC55, FN55))</formula>
    </cfRule>
  </conditionalFormatting>
  <conditionalFormatting sqref="ED55">
    <cfRule type="expression" dxfId="2" priority="1210">
      <formula>AND(BP55&gt;=1,ED55&lt;&gt;0, GetEquPower(C55,BJ55, CG55, FO55)=0)</formula>
    </cfRule>
    <cfRule type="expression" dxfId="1" priority="1211">
      <formula>AND(BP55&gt;=1,ED55&lt;&gt;GetEquPower(C55,BJ55, CG55, FO55))</formula>
    </cfRule>
  </conditionalFormatting>
  <conditionalFormatting sqref="EE55">
    <cfRule type="expression" dxfId="2" priority="1212">
      <formula>AND(BP55&gt;=2,EE55&lt;&gt;0, GetEquPower(C55,BJ55, CH55, FO55)=0)</formula>
    </cfRule>
    <cfRule type="expression" dxfId="1" priority="1213">
      <formula>AND(BP55&gt;=2,EE55&lt;&gt;GetEquPower(C55,BJ55, CH55, FO55))</formula>
    </cfRule>
  </conditionalFormatting>
  <conditionalFormatting sqref="EF55">
    <cfRule type="expression" dxfId="2" priority="1214">
      <formula>AND(BP55&gt;=3,EF55&lt;&gt;0, GetEquPower(C55,BJ55, CI55, FO55)=0)</formula>
    </cfRule>
    <cfRule type="expression" dxfId="1" priority="1215">
      <formula>AND(BP55&gt;=3,EF55&lt;&gt;GetEquPower(C55,BJ55, CI55, FO55))</formula>
    </cfRule>
  </conditionalFormatting>
  <conditionalFormatting sqref="EK55">
    <cfRule type="expression" dxfId="2" priority="1216">
      <formula>AND(BQ55&gt;=1,EK55&lt;&gt;0, GetEquPower(C55,BK55, CM55, FP55)=0)</formula>
    </cfRule>
    <cfRule type="expression" dxfId="1" priority="1217">
      <formula>AND(BQ55&gt;=1,EK55&lt;&gt;GetEquPower(C55,BK55, CM55, FP55))</formula>
    </cfRule>
  </conditionalFormatting>
  <conditionalFormatting sqref="EL55">
    <cfRule type="expression" dxfId="2" priority="1218">
      <formula>AND(BQ55&gt;=2,EL55&lt;&gt;0, GetEquPower(C55,BK55, CN55, FP55)=0)</formula>
    </cfRule>
    <cfRule type="expression" dxfId="1" priority="1219">
      <formula xml:space="preserve"> AND(BQ55&gt;=2,EL55&lt;&gt;GetEquPower(C55,BK55, CN55, FP55))</formula>
    </cfRule>
  </conditionalFormatting>
  <conditionalFormatting sqref="EM55">
    <cfRule type="expression" dxfId="2" priority="1220">
      <formula>AND(BQ55&gt;=3,EM55&lt;&gt;0, GetEquPower(C55,BK55, CO55, FP55)=0)</formula>
    </cfRule>
    <cfRule type="expression" dxfId="1" priority="1221">
      <formula xml:space="preserve"> AND(BQ55&gt;=3,EM55&lt;&gt;GetEquPower(C55,BK55, CO55, FP55))</formula>
    </cfRule>
  </conditionalFormatting>
  <conditionalFormatting sqref="ER55">
    <cfRule type="expression" dxfId="2" priority="1222">
      <formula>AND(BR55&gt;=1,ER55&lt;&gt;0, GetEquPower(C55,BL55, CS55, FQ55)=0)</formula>
    </cfRule>
    <cfRule type="expression" dxfId="1" priority="1223">
      <formula>AND(BR55&gt;=1,ER55&lt;&gt;GetEquPower(C55,BL55, CS55, FQ55))</formula>
    </cfRule>
  </conditionalFormatting>
  <conditionalFormatting sqref="ES55">
    <cfRule type="expression" dxfId="2" priority="1224">
      <formula>AND(BR55&gt;=2,ES55&lt;&gt;0, GetEquPower(C55,BL55, CT55, FQ55)=0)</formula>
    </cfRule>
    <cfRule type="expression" dxfId="1" priority="1225">
      <formula>AND(BR55&gt;=2,ES55&lt;&gt;GetEquPower(C55,BL55, CT55, FQ55))</formula>
    </cfRule>
  </conditionalFormatting>
  <conditionalFormatting sqref="ET55">
    <cfRule type="expression" dxfId="2" priority="1226">
      <formula>AND(BR55&gt;=3,ET55&lt;&gt;0, GetEquPower(C55,BL55, CU55, FQ55)=0)</formula>
    </cfRule>
    <cfRule type="expression" dxfId="1" priority="1227">
      <formula>AND(BR55&gt;=3,ET55&lt;&gt;GetEquPower(C55,BL55, CU55, FQ55))</formula>
    </cfRule>
  </conditionalFormatting>
  <conditionalFormatting sqref="EY55">
    <cfRule type="expression" dxfId="2" priority="1228">
      <formula>AND(BS55&gt;=1,EY55&lt;&gt;0, GetEquPower(C55,BM55, CY55, FR55)=0)</formula>
    </cfRule>
    <cfRule type="expression" dxfId="1" priority="1229">
      <formula>AND(BS55&gt;=1,EY55&lt;&gt;GetEquPower(C55,BM55, CY55, FR55))</formula>
    </cfRule>
  </conditionalFormatting>
  <conditionalFormatting sqref="EZ55">
    <cfRule type="expression" dxfId="2" priority="1230">
      <formula>AND(BS55&gt;=2,EZ55&lt;&gt;0, GetEquPower(C55,BM55, CZ55, FR55)=0)</formula>
    </cfRule>
    <cfRule type="expression" dxfId="1" priority="1231">
      <formula>AND(BS55&gt;=2,EZ55&lt;&gt;GetEquPower(C55,BM55, CZ55, FR55))</formula>
    </cfRule>
  </conditionalFormatting>
  <conditionalFormatting sqref="FA55">
    <cfRule type="expression" dxfId="2" priority="1232">
      <formula>AND(BS55&gt;=3,FA55&lt;&gt;0, GetEquPower(C55,BM55, DA55, FR55)=0)</formula>
    </cfRule>
    <cfRule type="expression" dxfId="1" priority="1233">
      <formula>AND(BS55&gt;=3,FA55&lt;&gt;GetEquPower(C55,BM55, DA55, FR55))</formula>
    </cfRule>
  </conditionalFormatting>
  <conditionalFormatting sqref="FF55">
    <cfRule type="expression" dxfId="2" priority="1234">
      <formula>AND(BT55&gt;=1,FF55&lt;&gt;0, GetEquPower(C55,BN55, DE55, FS55)=0)</formula>
    </cfRule>
    <cfRule type="expression" dxfId="1" priority="1235">
      <formula>AND(BT55&gt;=1,FF55&lt;&gt;GetEquPower(C55,BN55, DE55, FS55))</formula>
    </cfRule>
  </conditionalFormatting>
  <conditionalFormatting sqref="FG55">
    <cfRule type="expression" dxfId="2" priority="1236">
      <formula>AND(BT55&gt;=2,FG55&lt;&gt;0, GetEquPower(C55,BN55, DF55, FS55)=0)</formula>
    </cfRule>
    <cfRule type="expression" dxfId="1" priority="1237">
      <formula>AND(BT55&gt;=2,FG55&lt;&gt;GetEquPower(C55,BN55, DF55, FS55))</formula>
    </cfRule>
  </conditionalFormatting>
  <conditionalFormatting sqref="FH55">
    <cfRule type="expression" dxfId="2" priority="1238">
      <formula>AND(BT55&gt;=3,FH55&lt;&gt;0, GetEquPower(C55,BN55, DG55, FS55)=0)</formula>
    </cfRule>
    <cfRule type="expression" dxfId="1" priority="1239">
      <formula>AND(BT55&gt;=3,FH55&lt;&gt;GetEquPower(C55,BN55, DG55, FS55))</formula>
    </cfRule>
  </conditionalFormatting>
  <conditionalFormatting sqref="DZ55">
    <cfRule type="expression" dxfId="2" priority="1240">
      <formula>AND(BO55&gt;=4,DZ55&lt;&gt;0, GetEquPower(C55,BI55, CD55, FN55)=0)</formula>
    </cfRule>
    <cfRule type="expression" dxfId="1" priority="1241">
      <formula>AND(BO55&gt;=4, DZ55&lt;&gt;GetEquPower(C55,BI55, CD55, FN55))</formula>
    </cfRule>
  </conditionalFormatting>
  <conditionalFormatting sqref="EG55">
    <cfRule type="expression" dxfId="2" priority="1242">
      <formula>AND(BP55&gt;=4,EG55&lt;&gt;0, GetEquPower(C55,BJ55, CJ55, FO55)=0)</formula>
    </cfRule>
    <cfRule type="expression" dxfId="1" priority="1243">
      <formula>AND(BP55&gt;=4,EG55&lt;&gt;GetEquPower(C55,BJ55, CJ55, FO55))</formula>
    </cfRule>
  </conditionalFormatting>
  <conditionalFormatting sqref="EN55">
    <cfRule type="expression" dxfId="2" priority="1244">
      <formula>AND(BQ55&gt;=4,EN55&lt;&gt;0, GetEquPower(C55,BK55, CP55, FP55)=0)</formula>
    </cfRule>
    <cfRule type="expression" dxfId="1" priority="1245">
      <formula xml:space="preserve"> AND(BQ55&gt;=4,EN55&lt;&gt;GetEquPower(C55,BK55, CP55, FP55))</formula>
    </cfRule>
  </conditionalFormatting>
  <conditionalFormatting sqref="EU55">
    <cfRule type="expression" dxfId="2" priority="1246">
      <formula>AND(BR55&gt;=4,EU55&lt;&gt;0, GetEquPower(C55,BL55, CV55, FQ55)=0)</formula>
    </cfRule>
    <cfRule type="expression" dxfId="1" priority="1247">
      <formula>AND(BR55&gt;=4,EU55&lt;&gt;GetEquPower(C55,BL55, CV55, FQ55))</formula>
    </cfRule>
  </conditionalFormatting>
  <conditionalFormatting sqref="FB55">
    <cfRule type="expression" dxfId="2" priority="1248">
      <formula>AND(BS55&gt;=4,FB55&lt;&gt;0, GetEquPower(C55,BM55, DB55, FR55)=0)</formula>
    </cfRule>
    <cfRule type="expression" dxfId="1" priority="1249">
      <formula>AND(BS55&gt;=4,FB55&lt;&gt;GetEquPower(C55,BM55, DB55, FR55))</formula>
    </cfRule>
  </conditionalFormatting>
  <conditionalFormatting sqref="FI55">
    <cfRule type="expression" dxfId="2" priority="1250">
      <formula>AND(BT55&gt;=4,FI55&lt;&gt;0, GetEquPower(C55,BN55, DH55, FS55)=0)</formula>
    </cfRule>
    <cfRule type="expression" dxfId="1" priority="1251">
      <formula>AND(BT55&gt;=4,FI55&lt;&gt;GetEquPower(C55,BN55, DH55, FS55))</formula>
    </cfRule>
  </conditionalFormatting>
  <conditionalFormatting sqref="EA55">
    <cfRule type="expression" dxfId="2" priority="1252">
      <formula>AND(BO55&gt;=5,EA55&lt;&gt;0, GetEquPower(C55,BI55, CE55, FN55)=0)</formula>
    </cfRule>
    <cfRule type="expression" dxfId="1" priority="1253">
      <formula>AND(BO55&gt;=5, EA55&lt;&gt;GetEquPower(C55,BI55, CE55, FN55))</formula>
    </cfRule>
  </conditionalFormatting>
  <conditionalFormatting sqref="EB55">
    <cfRule type="expression" dxfId="2" priority="1254">
      <formula>AND(BO55&gt;=6,EB55&lt;&gt;0, GetEquPower(C55,BI55, CF55, FN55)=0)</formula>
    </cfRule>
    <cfRule type="expression" dxfId="1" priority="1255">
      <formula>AND(BO55&gt;=6, EB55&lt;&gt;GetEquPower(C55,BI55, CF55, FN55))</formula>
    </cfRule>
  </conditionalFormatting>
  <conditionalFormatting sqref="EH55">
    <cfRule type="expression" dxfId="2" priority="1256">
      <formula>AND(BP55&gt;=5,EH55&lt;&gt;0, GetEquPower(C55,BJ55, CK55, FO55)=0)</formula>
    </cfRule>
    <cfRule type="expression" dxfId="1" priority="1257">
      <formula>AND(BP55&gt;=5,EH55&lt;&gt;GetEquPower(C55,BJ55, CK55, FO55))</formula>
    </cfRule>
  </conditionalFormatting>
  <conditionalFormatting sqref="EI55">
    <cfRule type="expression" dxfId="2" priority="1258">
      <formula>AND(BP55&gt;=6,EI55&lt;&gt;0, GetEquPower(C55,BJ55, CL55, FO55)=0)</formula>
    </cfRule>
    <cfRule type="expression" dxfId="1" priority="1259">
      <formula>AND(BP55&gt;=6,EI55&lt;&gt;GetEquPower(C55,BJ55, CL55, FO55))</formula>
    </cfRule>
  </conditionalFormatting>
  <conditionalFormatting sqref="EO55">
    <cfRule type="expression" dxfId="2" priority="1260">
      <formula>AND(BQ55&gt;=5,EO55&lt;&gt;0, GetEquPower(C55,BK55, CQ55, FP55)=0)</formula>
    </cfRule>
    <cfRule type="expression" dxfId="1" priority="1261">
      <formula xml:space="preserve"> AND(BQ55&gt;=5,EO55&lt;&gt;GetEquPower(C55,BK55, CQ55, FP55))</formula>
    </cfRule>
  </conditionalFormatting>
  <conditionalFormatting sqref="EP55">
    <cfRule type="expression" dxfId="2" priority="1262">
      <formula>AND(BQ55&gt;=6,EP55&lt;&gt;0, GetEquPower(C55,BK55, CR55, FP55)=0)</formula>
    </cfRule>
    <cfRule type="expression" dxfId="1" priority="1263">
      <formula xml:space="preserve"> AND(BQ55&gt;=6,EP55&lt;&gt;GetEquPower(C55,BK55, CR55, FP55))</formula>
    </cfRule>
  </conditionalFormatting>
  <conditionalFormatting sqref="EV55">
    <cfRule type="expression" dxfId="2" priority="1264">
      <formula>AND(BR55&gt;=5,EV55&lt;&gt;0, GetEquPower(C55,BL55, CW55, FQ55)=0)</formula>
    </cfRule>
    <cfRule type="expression" dxfId="1" priority="1265">
      <formula>AND(BR55&gt;=5,EV55&lt;&gt;GetEquPower(C55,BL55, CW55, FQ55))</formula>
    </cfRule>
  </conditionalFormatting>
  <conditionalFormatting sqref="EW55">
    <cfRule type="expression" dxfId="2" priority="1266">
      <formula>AND(BR55&gt;=6,EW55&lt;&gt;0, GetEquPower(C55,BL55, CX55, FQ55)=0)</formula>
    </cfRule>
    <cfRule type="expression" dxfId="1" priority="1267">
      <formula>AND(BR55&gt;=6,EW55&lt;&gt;GetEquPower(C55,BL55, CX55, FQ55))</formula>
    </cfRule>
  </conditionalFormatting>
  <conditionalFormatting sqref="FC55">
    <cfRule type="expression" dxfId="2" priority="1268">
      <formula>AND(BS55&gt;=5,FC55&lt;&gt;0, GetEquPower(C55,BM55, DC55, FR55)=0)</formula>
    </cfRule>
    <cfRule type="expression" dxfId="1" priority="1269">
      <formula>AND(BS55&gt;=5,FC55&lt;&gt;GetEquPower(C55,BM55, DC55, FR55))</formula>
    </cfRule>
  </conditionalFormatting>
  <conditionalFormatting sqref="FD55">
    <cfRule type="expression" dxfId="2" priority="1270">
      <formula>AND(BS55&gt;=6,FD55&lt;&gt;0, GetEquPower(C55,BM55, DD55, FR55)=0)</formula>
    </cfRule>
    <cfRule type="expression" dxfId="1" priority="1271">
      <formula>AND(BS55&gt;=6,FD55&lt;&gt;GetEquPower(C55,BM55, DD55, FR55))</formula>
    </cfRule>
  </conditionalFormatting>
  <conditionalFormatting sqref="FJ55">
    <cfRule type="expression" dxfId="2" priority="1272">
      <formula>AND(BT55&gt;=5,FJ55&lt;&gt;0, GetEquPower(C55,BN55, DI55, FS55)=0)</formula>
    </cfRule>
    <cfRule type="expression" dxfId="1" priority="1273">
      <formula>AND(BT55&gt;=5,FJ55&lt;&gt;GetEquPower(C55,BN55, DI55, FS55))</formula>
    </cfRule>
  </conditionalFormatting>
  <conditionalFormatting sqref="FK55">
    <cfRule type="expression" dxfId="2" priority="1274">
      <formula>AND(BT55&gt;=6,FK55&lt;&gt;0, GetEquPower(C55,BN55, DJ55, FS55)=0)</formula>
    </cfRule>
    <cfRule type="expression" dxfId="1" priority="1275">
      <formula>AND(BT55&gt;=6,FK55&lt;&gt;GetEquPower(C55,BN55, DJ55, FS55))</formula>
    </cfRule>
  </conditionalFormatting>
  <conditionalFormatting sqref="W55">
    <cfRule type="expression" dxfId="0" priority="1191">
      <formula xml:space="preserve"> NOT(ISLOGICAL($W$2))</formula>
    </cfRule>
  </conditionalFormatting>
  <conditionalFormatting sqref="F56">
    <cfRule type="expression" dxfId="0" priority="1118">
      <formula>F56&lt;&gt;RIGHT(SUBSTITUTE(E56,".",""),LEN(F56))</formula>
    </cfRule>
  </conditionalFormatting>
  <conditionalFormatting sqref="X56">
    <cfRule type="expression" dxfId="0" priority="1113">
      <formula xml:space="preserve"> NOT(ISLOGICAL($X$2))</formula>
    </cfRule>
    <cfRule type="expression" dxfId="0" priority="1117">
      <formula>AND(X56=TRUE,W56=FALSE)</formula>
    </cfRule>
  </conditionalFormatting>
  <conditionalFormatting sqref="Y56">
    <cfRule type="expression" dxfId="0" priority="1116">
      <formula>OR(AND(X56=FALSE,INT(Y56)&gt;0),AND(X56=TRUE,INT(Y56)&lt;=0))</formula>
    </cfRule>
  </conditionalFormatting>
  <conditionalFormatting sqref="AA56">
    <cfRule type="expression" dxfId="0" priority="1115">
      <formula>AND(Z56=FALSE,AA56&gt;0)</formula>
    </cfRule>
  </conditionalFormatting>
  <conditionalFormatting sqref="BV56:HY56">
    <cfRule type="containsErrors" dxfId="0" priority="1114">
      <formula>ISERROR(BV56)</formula>
    </cfRule>
  </conditionalFormatting>
  <conditionalFormatting sqref="Z56">
    <cfRule type="expression" dxfId="0" priority="1112">
      <formula>NOT(ISLOGICAL($Z$2))</formula>
    </cfRule>
  </conditionalFormatting>
  <conditionalFormatting sqref="AB56">
    <cfRule type="expression" dxfId="0" priority="1111">
      <formula>NOT(ISLOGICAL($AB$2))</formula>
    </cfRule>
  </conditionalFormatting>
  <conditionalFormatting sqref="AC56">
    <cfRule type="expression" dxfId="0" priority="1110">
      <formula>NOT(ISLOGICAL($AC$2))</formula>
    </cfRule>
  </conditionalFormatting>
  <conditionalFormatting sqref="B56:BU56">
    <cfRule type="containsErrors" dxfId="0" priority="1109">
      <formula>ISERROR(B56)</formula>
    </cfRule>
  </conditionalFormatting>
  <conditionalFormatting sqref="I56">
    <cfRule type="expression" dxfId="0" priority="1108">
      <formula>NOT(ISNUMBER($I$2))</formula>
    </cfRule>
  </conditionalFormatting>
  <conditionalFormatting sqref="D56">
    <cfRule type="expression" dxfId="0" priority="1107">
      <formula>ISBLANK($D$2)</formula>
    </cfRule>
  </conditionalFormatting>
  <conditionalFormatting sqref="DW56">
    <cfRule type="expression" dxfId="2" priority="1119">
      <formula>AND(BO56&gt;=1,DW56&lt;&gt;0, GetEquPower(C56,BI56, CA56, FN56)=0)</formula>
    </cfRule>
    <cfRule type="expression" dxfId="1" priority="1120">
      <formula>AND(BO56&gt;=1,DW56&lt;&gt;GetEquPower(C56,BI56, CA56, FN56))</formula>
    </cfRule>
  </conditionalFormatting>
  <conditionalFormatting sqref="DX56">
    <cfRule type="expression" dxfId="2" priority="1121">
      <formula>AND(BO56&gt;=2,DX56&lt;&gt;0, GetEquPower(C56,BI56, CB56, FN56)=0)</formula>
    </cfRule>
    <cfRule type="expression" dxfId="1" priority="1122">
      <formula>AND(BO56&gt;=2,DX56&lt;&gt;GetEquPower(C56,BI56, CB56, FN56))</formula>
    </cfRule>
  </conditionalFormatting>
  <conditionalFormatting sqref="DY56">
    <cfRule type="expression" dxfId="2" priority="1123">
      <formula>AND(BO56&gt;=3,DY56&lt;&gt;0, GetEquPower(C56,BI56, CC56, FN56)=0)</formula>
    </cfRule>
    <cfRule type="expression" dxfId="1" priority="1124">
      <formula>AND(BO56&gt;=3,DY56&lt;&gt;GetEquPower(C56,BI56, CC56, FN56))</formula>
    </cfRule>
  </conditionalFormatting>
  <conditionalFormatting sqref="ED56">
    <cfRule type="expression" dxfId="2" priority="1125">
      <formula>AND(BP56&gt;=1,ED56&lt;&gt;0, GetEquPower(C56,BJ56, CG56, FO56)=0)</formula>
    </cfRule>
    <cfRule type="expression" dxfId="1" priority="1126">
      <formula>AND(BP56&gt;=1,ED56&lt;&gt;GetEquPower(C56,BJ56, CG56, FO56))</formula>
    </cfRule>
  </conditionalFormatting>
  <conditionalFormatting sqref="EE56">
    <cfRule type="expression" dxfId="2" priority="1127">
      <formula>AND(BP56&gt;=2,EE56&lt;&gt;0, GetEquPower(C56,BJ56, CH56, FO56)=0)</formula>
    </cfRule>
    <cfRule type="expression" dxfId="1" priority="1128">
      <formula>AND(BP56&gt;=2,EE56&lt;&gt;GetEquPower(C56,BJ56, CH56, FO56))</formula>
    </cfRule>
  </conditionalFormatting>
  <conditionalFormatting sqref="EF56">
    <cfRule type="expression" dxfId="2" priority="1129">
      <formula>AND(BP56&gt;=3,EF56&lt;&gt;0, GetEquPower(C56,BJ56, CI56, FO56)=0)</formula>
    </cfRule>
    <cfRule type="expression" dxfId="1" priority="1130">
      <formula>AND(BP56&gt;=3,EF56&lt;&gt;GetEquPower(C56,BJ56, CI56, FO56))</formula>
    </cfRule>
  </conditionalFormatting>
  <conditionalFormatting sqref="EK56">
    <cfRule type="expression" dxfId="2" priority="1131">
      <formula>AND(BQ56&gt;=1,EK56&lt;&gt;0, GetEquPower(C56,BK56, CM56, FP56)=0)</formula>
    </cfRule>
    <cfRule type="expression" dxfId="1" priority="1132">
      <formula>AND(BQ56&gt;=1,EK56&lt;&gt;GetEquPower(C56,BK56, CM56, FP56))</formula>
    </cfRule>
  </conditionalFormatting>
  <conditionalFormatting sqref="EL56">
    <cfRule type="expression" dxfId="2" priority="1133">
      <formula>AND(BQ56&gt;=2,EL56&lt;&gt;0, GetEquPower(C56,BK56, CN56, FP56)=0)</formula>
    </cfRule>
    <cfRule type="expression" dxfId="1" priority="1134">
      <formula xml:space="preserve"> AND(BQ56&gt;=2,EL56&lt;&gt;GetEquPower(C56,BK56, CN56, FP56))</formula>
    </cfRule>
  </conditionalFormatting>
  <conditionalFormatting sqref="EM56">
    <cfRule type="expression" dxfId="2" priority="1135">
      <formula>AND(BQ56&gt;=3,EM56&lt;&gt;0, GetEquPower(C56,BK56, CO56, FP56)=0)</formula>
    </cfRule>
    <cfRule type="expression" dxfId="1" priority="1136">
      <formula xml:space="preserve"> AND(BQ56&gt;=3,EM56&lt;&gt;GetEquPower(C56,BK56, CO56, FP56))</formula>
    </cfRule>
  </conditionalFormatting>
  <conditionalFormatting sqref="ER56">
    <cfRule type="expression" dxfId="2" priority="1137">
      <formula>AND(BR56&gt;=1,ER56&lt;&gt;0, GetEquPower(C56,BL56, CS56, FQ56)=0)</formula>
    </cfRule>
    <cfRule type="expression" dxfId="1" priority="1138">
      <formula>AND(BR56&gt;=1,ER56&lt;&gt;GetEquPower(C56,BL56, CS56, FQ56))</formula>
    </cfRule>
  </conditionalFormatting>
  <conditionalFormatting sqref="ES56">
    <cfRule type="expression" dxfId="2" priority="1139">
      <formula>AND(BR56&gt;=2,ES56&lt;&gt;0, GetEquPower(C56,BL56, CT56, FQ56)=0)</formula>
    </cfRule>
    <cfRule type="expression" dxfId="1" priority="1140">
      <formula>AND(BR56&gt;=2,ES56&lt;&gt;GetEquPower(C56,BL56, CT56, FQ56))</formula>
    </cfRule>
  </conditionalFormatting>
  <conditionalFormatting sqref="ET56">
    <cfRule type="expression" dxfId="2" priority="1141">
      <formula>AND(BR56&gt;=3,ET56&lt;&gt;0, GetEquPower(C56,BL56, CU56, FQ56)=0)</formula>
    </cfRule>
    <cfRule type="expression" dxfId="1" priority="1142">
      <formula>AND(BR56&gt;=3,ET56&lt;&gt;GetEquPower(C56,BL56, CU56, FQ56))</formula>
    </cfRule>
  </conditionalFormatting>
  <conditionalFormatting sqref="EY56">
    <cfRule type="expression" dxfId="2" priority="1143">
      <formula>AND(BS56&gt;=1,EY56&lt;&gt;0, GetEquPower(C56,BM56, CY56, FR56)=0)</formula>
    </cfRule>
    <cfRule type="expression" dxfId="1" priority="1144">
      <formula>AND(BS56&gt;=1,EY56&lt;&gt;GetEquPower(C56,BM56, CY56, FR56))</formula>
    </cfRule>
  </conditionalFormatting>
  <conditionalFormatting sqref="EZ56">
    <cfRule type="expression" dxfId="2" priority="1145">
      <formula>AND(BS56&gt;=2,EZ56&lt;&gt;0, GetEquPower(C56,BM56, CZ56, FR56)=0)</formula>
    </cfRule>
    <cfRule type="expression" dxfId="1" priority="1146">
      <formula>AND(BS56&gt;=2,EZ56&lt;&gt;GetEquPower(C56,BM56, CZ56, FR56))</formula>
    </cfRule>
  </conditionalFormatting>
  <conditionalFormatting sqref="FA56">
    <cfRule type="expression" dxfId="2" priority="1147">
      <formula>AND(BS56&gt;=3,FA56&lt;&gt;0, GetEquPower(C56,BM56, DA56, FR56)=0)</formula>
    </cfRule>
    <cfRule type="expression" dxfId="1" priority="1148">
      <formula>AND(BS56&gt;=3,FA56&lt;&gt;GetEquPower(C56,BM56, DA56, FR56))</formula>
    </cfRule>
  </conditionalFormatting>
  <conditionalFormatting sqref="FF56">
    <cfRule type="expression" dxfId="2" priority="1149">
      <formula>AND(BT56&gt;=1,FF56&lt;&gt;0, GetEquPower(C56,BN56, DE56, FS56)=0)</formula>
    </cfRule>
    <cfRule type="expression" dxfId="1" priority="1150">
      <formula>AND(BT56&gt;=1,FF56&lt;&gt;GetEquPower(C56,BN56, DE56, FS56))</formula>
    </cfRule>
  </conditionalFormatting>
  <conditionalFormatting sqref="FG56">
    <cfRule type="expression" dxfId="2" priority="1151">
      <formula>AND(BT56&gt;=2,FG56&lt;&gt;0, GetEquPower(C56,BN56, DF56, FS56)=0)</formula>
    </cfRule>
    <cfRule type="expression" dxfId="1" priority="1152">
      <formula>AND(BT56&gt;=2,FG56&lt;&gt;GetEquPower(C56,BN56, DF56, FS56))</formula>
    </cfRule>
  </conditionalFormatting>
  <conditionalFormatting sqref="FH56">
    <cfRule type="expression" dxfId="2" priority="1153">
      <formula>AND(BT56&gt;=3,FH56&lt;&gt;0, GetEquPower(C56,BN56, DG56, FS56)=0)</formula>
    </cfRule>
    <cfRule type="expression" dxfId="1" priority="1154">
      <formula>AND(BT56&gt;=3,FH56&lt;&gt;GetEquPower(C56,BN56, DG56, FS56))</formula>
    </cfRule>
  </conditionalFormatting>
  <conditionalFormatting sqref="DZ56">
    <cfRule type="expression" dxfId="2" priority="1155">
      <formula>AND(BO56&gt;=4,DZ56&lt;&gt;0, GetEquPower(C56,BI56, CD56, FN56)=0)</formula>
    </cfRule>
    <cfRule type="expression" dxfId="1" priority="1156">
      <formula>AND(BO56&gt;=4, DZ56&lt;&gt;GetEquPower(C56,BI56, CD56, FN56))</formula>
    </cfRule>
  </conditionalFormatting>
  <conditionalFormatting sqref="EG56">
    <cfRule type="expression" dxfId="2" priority="1157">
      <formula>AND(BP56&gt;=4,EG56&lt;&gt;0, GetEquPower(C56,BJ56, CJ56, FO56)=0)</formula>
    </cfRule>
    <cfRule type="expression" dxfId="1" priority="1158">
      <formula>AND(BP56&gt;=4,EG56&lt;&gt;GetEquPower(C56,BJ56, CJ56, FO56))</formula>
    </cfRule>
  </conditionalFormatting>
  <conditionalFormatting sqref="EN56">
    <cfRule type="expression" dxfId="2" priority="1159">
      <formula>AND(BQ56&gt;=4,EN56&lt;&gt;0, GetEquPower(C56,BK56, CP56, FP56)=0)</formula>
    </cfRule>
    <cfRule type="expression" dxfId="1" priority="1160">
      <formula xml:space="preserve"> AND(BQ56&gt;=4,EN56&lt;&gt;GetEquPower(C56,BK56, CP56, FP56))</formula>
    </cfRule>
  </conditionalFormatting>
  <conditionalFormatting sqref="EU56">
    <cfRule type="expression" dxfId="2" priority="1161">
      <formula>AND(BR56&gt;=4,EU56&lt;&gt;0, GetEquPower(C56,BL56, CV56, FQ56)=0)</formula>
    </cfRule>
    <cfRule type="expression" dxfId="1" priority="1162">
      <formula>AND(BR56&gt;=4,EU56&lt;&gt;GetEquPower(C56,BL56, CV56, FQ56))</formula>
    </cfRule>
  </conditionalFormatting>
  <conditionalFormatting sqref="FB56">
    <cfRule type="expression" dxfId="2" priority="1163">
      <formula>AND(BS56&gt;=4,FB56&lt;&gt;0, GetEquPower(C56,BM56, DB56, FR56)=0)</formula>
    </cfRule>
    <cfRule type="expression" dxfId="1" priority="1164">
      <formula>AND(BS56&gt;=4,FB56&lt;&gt;GetEquPower(C56,BM56, DB56, FR56))</formula>
    </cfRule>
  </conditionalFormatting>
  <conditionalFormatting sqref="FI56">
    <cfRule type="expression" dxfId="2" priority="1165">
      <formula>AND(BT56&gt;=4,FI56&lt;&gt;0, GetEquPower(C56,BN56, DH56, FS56)=0)</formula>
    </cfRule>
    <cfRule type="expression" dxfId="1" priority="1166">
      <formula>AND(BT56&gt;=4,FI56&lt;&gt;GetEquPower(C56,BN56, DH56, FS56))</formula>
    </cfRule>
  </conditionalFormatting>
  <conditionalFormatting sqref="EA56">
    <cfRule type="expression" dxfId="2" priority="1167">
      <formula>AND(BO56&gt;=5,EA56&lt;&gt;0, GetEquPower(C56,BI56, CE56, FN56)=0)</formula>
    </cfRule>
    <cfRule type="expression" dxfId="1" priority="1168">
      <formula>AND(BO56&gt;=5, EA56&lt;&gt;GetEquPower(C56,BI56, CE56, FN56))</formula>
    </cfRule>
  </conditionalFormatting>
  <conditionalFormatting sqref="EB56">
    <cfRule type="expression" dxfId="2" priority="1169">
      <formula>AND(BO56&gt;=6,EB56&lt;&gt;0, GetEquPower(C56,BI56, CF56, FN56)=0)</formula>
    </cfRule>
    <cfRule type="expression" dxfId="1" priority="1170">
      <formula>AND(BO56&gt;=6, EB56&lt;&gt;GetEquPower(C56,BI56, CF56, FN56))</formula>
    </cfRule>
  </conditionalFormatting>
  <conditionalFormatting sqref="EH56">
    <cfRule type="expression" dxfId="2" priority="1171">
      <formula>AND(BP56&gt;=5,EH56&lt;&gt;0, GetEquPower(C56,BJ56, CK56, FO56)=0)</formula>
    </cfRule>
    <cfRule type="expression" dxfId="1" priority="1172">
      <formula>AND(BP56&gt;=5,EH56&lt;&gt;GetEquPower(C56,BJ56, CK56, FO56))</formula>
    </cfRule>
  </conditionalFormatting>
  <conditionalFormatting sqref="EI56">
    <cfRule type="expression" dxfId="2" priority="1173">
      <formula>AND(BP56&gt;=6,EI56&lt;&gt;0, GetEquPower(C56,BJ56, CL56, FO56)=0)</formula>
    </cfRule>
    <cfRule type="expression" dxfId="1" priority="1174">
      <formula>AND(BP56&gt;=6,EI56&lt;&gt;GetEquPower(C56,BJ56, CL56, FO56))</formula>
    </cfRule>
  </conditionalFormatting>
  <conditionalFormatting sqref="EO56">
    <cfRule type="expression" dxfId="2" priority="1175">
      <formula>AND(BQ56&gt;=5,EO56&lt;&gt;0, GetEquPower(C56,BK56, CQ56, FP56)=0)</formula>
    </cfRule>
    <cfRule type="expression" dxfId="1" priority="1176">
      <formula xml:space="preserve"> AND(BQ56&gt;=5,EO56&lt;&gt;GetEquPower(C56,BK56, CQ56, FP56))</formula>
    </cfRule>
  </conditionalFormatting>
  <conditionalFormatting sqref="EP56">
    <cfRule type="expression" dxfId="2" priority="1177">
      <formula>AND(BQ56&gt;=6,EP56&lt;&gt;0, GetEquPower(C56,BK56, CR56, FP56)=0)</formula>
    </cfRule>
    <cfRule type="expression" dxfId="1" priority="1178">
      <formula xml:space="preserve"> AND(BQ56&gt;=6,EP56&lt;&gt;GetEquPower(C56,BK56, CR56, FP56))</formula>
    </cfRule>
  </conditionalFormatting>
  <conditionalFormatting sqref="EV56">
    <cfRule type="expression" dxfId="2" priority="1179">
      <formula>AND(BR56&gt;=5,EV56&lt;&gt;0, GetEquPower(C56,BL56, CW56, FQ56)=0)</formula>
    </cfRule>
    <cfRule type="expression" dxfId="1" priority="1180">
      <formula>AND(BR56&gt;=5,EV56&lt;&gt;GetEquPower(C56,BL56, CW56, FQ56))</formula>
    </cfRule>
  </conditionalFormatting>
  <conditionalFormatting sqref="EW56">
    <cfRule type="expression" dxfId="2" priority="1181">
      <formula>AND(BR56&gt;=6,EW56&lt;&gt;0, GetEquPower(C56,BL56, CX56, FQ56)=0)</formula>
    </cfRule>
    <cfRule type="expression" dxfId="1" priority="1182">
      <formula>AND(BR56&gt;=6,EW56&lt;&gt;GetEquPower(C56,BL56, CX56, FQ56))</formula>
    </cfRule>
  </conditionalFormatting>
  <conditionalFormatting sqref="FC56">
    <cfRule type="expression" dxfId="2" priority="1183">
      <formula>AND(BS56&gt;=5,FC56&lt;&gt;0, GetEquPower(C56,BM56, DC56, FR56)=0)</formula>
    </cfRule>
    <cfRule type="expression" dxfId="1" priority="1184">
      <formula>AND(BS56&gt;=5,FC56&lt;&gt;GetEquPower(C56,BM56, DC56, FR56))</formula>
    </cfRule>
  </conditionalFormatting>
  <conditionalFormatting sqref="FD56">
    <cfRule type="expression" dxfId="2" priority="1185">
      <formula>AND(BS56&gt;=6,FD56&lt;&gt;0, GetEquPower(C56,BM56, DD56, FR56)=0)</formula>
    </cfRule>
    <cfRule type="expression" dxfId="1" priority="1186">
      <formula>AND(BS56&gt;=6,FD56&lt;&gt;GetEquPower(C56,BM56, DD56, FR56))</formula>
    </cfRule>
  </conditionalFormatting>
  <conditionalFormatting sqref="FJ56">
    <cfRule type="expression" dxfId="2" priority="1187">
      <formula>AND(BT56&gt;=5,FJ56&lt;&gt;0, GetEquPower(C56,BN56, DI56, FS56)=0)</formula>
    </cfRule>
    <cfRule type="expression" dxfId="1" priority="1188">
      <formula>AND(BT56&gt;=5,FJ56&lt;&gt;GetEquPower(C56,BN56, DI56, FS56))</formula>
    </cfRule>
  </conditionalFormatting>
  <conditionalFormatting sqref="FK56">
    <cfRule type="expression" dxfId="2" priority="1189">
      <formula>AND(BT56&gt;=6,FK56&lt;&gt;0, GetEquPower(C56,BN56, DJ56, FS56)=0)</formula>
    </cfRule>
    <cfRule type="expression" dxfId="1" priority="1190">
      <formula>AND(BT56&gt;=6,FK56&lt;&gt;GetEquPower(C56,BN56, DJ56, FS56))</formula>
    </cfRule>
  </conditionalFormatting>
  <conditionalFormatting sqref="W56">
    <cfRule type="expression" dxfId="0" priority="1106">
      <formula xml:space="preserve"> NOT(ISLOGICAL($W$2))</formula>
    </cfRule>
  </conditionalFormatting>
  <conditionalFormatting sqref="F57">
    <cfRule type="expression" dxfId="0" priority="1033">
      <formula>F57&lt;&gt;RIGHT(SUBSTITUTE(E57,".",""),LEN(F57))</formula>
    </cfRule>
  </conditionalFormatting>
  <conditionalFormatting sqref="X57">
    <cfRule type="expression" dxfId="0" priority="1028">
      <formula xml:space="preserve"> NOT(ISLOGICAL($X$2))</formula>
    </cfRule>
    <cfRule type="expression" dxfId="0" priority="1032">
      <formula>AND(X57=TRUE,W57=FALSE)</formula>
    </cfRule>
  </conditionalFormatting>
  <conditionalFormatting sqref="Y57">
    <cfRule type="expression" dxfId="0" priority="1031">
      <formula>OR(AND(X57=FALSE,INT(Y57)&gt;0),AND(X57=TRUE,INT(Y57)&lt;=0))</formula>
    </cfRule>
  </conditionalFormatting>
  <conditionalFormatting sqref="AA57">
    <cfRule type="expression" dxfId="0" priority="1030">
      <formula>AND(Z57=FALSE,AA57&gt;0)</formula>
    </cfRule>
  </conditionalFormatting>
  <conditionalFormatting sqref="BV57:HY57">
    <cfRule type="containsErrors" dxfId="0" priority="1029">
      <formula>ISERROR(BV57)</formula>
    </cfRule>
  </conditionalFormatting>
  <conditionalFormatting sqref="Z57">
    <cfRule type="expression" dxfId="0" priority="1027">
      <formula>NOT(ISLOGICAL($Z$2))</formula>
    </cfRule>
  </conditionalFormatting>
  <conditionalFormatting sqref="AB57">
    <cfRule type="expression" dxfId="0" priority="1026">
      <formula>NOT(ISLOGICAL($AB$2))</formula>
    </cfRule>
  </conditionalFormatting>
  <conditionalFormatting sqref="AC57">
    <cfRule type="expression" dxfId="0" priority="1025">
      <formula>NOT(ISLOGICAL($AC$2))</formula>
    </cfRule>
  </conditionalFormatting>
  <conditionalFormatting sqref="B57:BU57">
    <cfRule type="containsErrors" dxfId="0" priority="1024">
      <formula>ISERROR(B57)</formula>
    </cfRule>
  </conditionalFormatting>
  <conditionalFormatting sqref="I57">
    <cfRule type="expression" dxfId="0" priority="1023">
      <formula>NOT(ISNUMBER($I$2))</formula>
    </cfRule>
  </conditionalFormatting>
  <conditionalFormatting sqref="D57">
    <cfRule type="expression" dxfId="0" priority="1022">
      <formula>ISBLANK($D$2)</formula>
    </cfRule>
  </conditionalFormatting>
  <conditionalFormatting sqref="DW57">
    <cfRule type="expression" dxfId="2" priority="1034">
      <formula>AND(BO57&gt;=1,DW57&lt;&gt;0, GetEquPower(C57,BI57, CA57, FN57)=0)</formula>
    </cfRule>
    <cfRule type="expression" dxfId="1" priority="1035">
      <formula>AND(BO57&gt;=1,DW57&lt;&gt;GetEquPower(C57,BI57, CA57, FN57))</formula>
    </cfRule>
  </conditionalFormatting>
  <conditionalFormatting sqref="DX57">
    <cfRule type="expression" dxfId="2" priority="1036">
      <formula>AND(BO57&gt;=2,DX57&lt;&gt;0, GetEquPower(C57,BI57, CB57, FN57)=0)</formula>
    </cfRule>
    <cfRule type="expression" dxfId="1" priority="1037">
      <formula>AND(BO57&gt;=2,DX57&lt;&gt;GetEquPower(C57,BI57, CB57, FN57))</formula>
    </cfRule>
  </conditionalFormatting>
  <conditionalFormatting sqref="DY57">
    <cfRule type="expression" dxfId="2" priority="1038">
      <formula>AND(BO57&gt;=3,DY57&lt;&gt;0, GetEquPower(C57,BI57, CC57, FN57)=0)</formula>
    </cfRule>
    <cfRule type="expression" dxfId="1" priority="1039">
      <formula>AND(BO57&gt;=3,DY57&lt;&gt;GetEquPower(C57,BI57, CC57, FN57))</formula>
    </cfRule>
  </conditionalFormatting>
  <conditionalFormatting sqref="ED57">
    <cfRule type="expression" dxfId="2" priority="1040">
      <formula>AND(BP57&gt;=1,ED57&lt;&gt;0, GetEquPower(C57,BJ57, CG57, FO57)=0)</formula>
    </cfRule>
    <cfRule type="expression" dxfId="1" priority="1041">
      <formula>AND(BP57&gt;=1,ED57&lt;&gt;GetEquPower(C57,BJ57, CG57, FO57))</formula>
    </cfRule>
  </conditionalFormatting>
  <conditionalFormatting sqref="EE57">
    <cfRule type="expression" dxfId="2" priority="1042">
      <formula>AND(BP57&gt;=2,EE57&lt;&gt;0, GetEquPower(C57,BJ57, CH57, FO57)=0)</formula>
    </cfRule>
    <cfRule type="expression" dxfId="1" priority="1043">
      <formula>AND(BP57&gt;=2,EE57&lt;&gt;GetEquPower(C57,BJ57, CH57, FO57))</formula>
    </cfRule>
  </conditionalFormatting>
  <conditionalFormatting sqref="EF57">
    <cfRule type="expression" dxfId="2" priority="1044">
      <formula>AND(BP57&gt;=3,EF57&lt;&gt;0, GetEquPower(C57,BJ57, CI57, FO57)=0)</formula>
    </cfRule>
    <cfRule type="expression" dxfId="1" priority="1045">
      <formula>AND(BP57&gt;=3,EF57&lt;&gt;GetEquPower(C57,BJ57, CI57, FO57))</formula>
    </cfRule>
  </conditionalFormatting>
  <conditionalFormatting sqref="EK57">
    <cfRule type="expression" dxfId="2" priority="1046">
      <formula>AND(BQ57&gt;=1,EK57&lt;&gt;0, GetEquPower(C57,BK57, CM57, FP57)=0)</formula>
    </cfRule>
    <cfRule type="expression" dxfId="1" priority="1047">
      <formula>AND(BQ57&gt;=1,EK57&lt;&gt;GetEquPower(C57,BK57, CM57, FP57))</formula>
    </cfRule>
  </conditionalFormatting>
  <conditionalFormatting sqref="EL57">
    <cfRule type="expression" dxfId="2" priority="1048">
      <formula>AND(BQ57&gt;=2,EL57&lt;&gt;0, GetEquPower(C57,BK57, CN57, FP57)=0)</formula>
    </cfRule>
    <cfRule type="expression" dxfId="1" priority="1049">
      <formula xml:space="preserve"> AND(BQ57&gt;=2,EL57&lt;&gt;GetEquPower(C57,BK57, CN57, FP57))</formula>
    </cfRule>
  </conditionalFormatting>
  <conditionalFormatting sqref="EM57">
    <cfRule type="expression" dxfId="2" priority="1050">
      <formula>AND(BQ57&gt;=3,EM57&lt;&gt;0, GetEquPower(C57,BK57, CO57, FP57)=0)</formula>
    </cfRule>
    <cfRule type="expression" dxfId="1" priority="1051">
      <formula xml:space="preserve"> AND(BQ57&gt;=3,EM57&lt;&gt;GetEquPower(C57,BK57, CO57, FP57))</formula>
    </cfRule>
  </conditionalFormatting>
  <conditionalFormatting sqref="ER57">
    <cfRule type="expression" dxfId="2" priority="1052">
      <formula>AND(BR57&gt;=1,ER57&lt;&gt;0, GetEquPower(C57,BL57, CS57, FQ57)=0)</formula>
    </cfRule>
    <cfRule type="expression" dxfId="1" priority="1053">
      <formula>AND(BR57&gt;=1,ER57&lt;&gt;GetEquPower(C57,BL57, CS57, FQ57))</formula>
    </cfRule>
  </conditionalFormatting>
  <conditionalFormatting sqref="ES57">
    <cfRule type="expression" dxfId="2" priority="1054">
      <formula>AND(BR57&gt;=2,ES57&lt;&gt;0, GetEquPower(C57,BL57, CT57, FQ57)=0)</formula>
    </cfRule>
    <cfRule type="expression" dxfId="1" priority="1055">
      <formula>AND(BR57&gt;=2,ES57&lt;&gt;GetEquPower(C57,BL57, CT57, FQ57))</formula>
    </cfRule>
  </conditionalFormatting>
  <conditionalFormatting sqref="ET57">
    <cfRule type="expression" dxfId="2" priority="1056">
      <formula>AND(BR57&gt;=3,ET57&lt;&gt;0, GetEquPower(C57,BL57, CU57, FQ57)=0)</formula>
    </cfRule>
    <cfRule type="expression" dxfId="1" priority="1057">
      <formula>AND(BR57&gt;=3,ET57&lt;&gt;GetEquPower(C57,BL57, CU57, FQ57))</formula>
    </cfRule>
  </conditionalFormatting>
  <conditionalFormatting sqref="EY57">
    <cfRule type="expression" dxfId="2" priority="1058">
      <formula>AND(BS57&gt;=1,EY57&lt;&gt;0, GetEquPower(C57,BM57, CY57, FR57)=0)</formula>
    </cfRule>
    <cfRule type="expression" dxfId="1" priority="1059">
      <formula>AND(BS57&gt;=1,EY57&lt;&gt;GetEquPower(C57,BM57, CY57, FR57))</formula>
    </cfRule>
  </conditionalFormatting>
  <conditionalFormatting sqref="EZ57">
    <cfRule type="expression" dxfId="2" priority="1060">
      <formula>AND(BS57&gt;=2,EZ57&lt;&gt;0, GetEquPower(C57,BM57, CZ57, FR57)=0)</formula>
    </cfRule>
    <cfRule type="expression" dxfId="1" priority="1061">
      <formula>AND(BS57&gt;=2,EZ57&lt;&gt;GetEquPower(C57,BM57, CZ57, FR57))</formula>
    </cfRule>
  </conditionalFormatting>
  <conditionalFormatting sqref="FA57">
    <cfRule type="expression" dxfId="2" priority="1062">
      <formula>AND(BS57&gt;=3,FA57&lt;&gt;0, GetEquPower(C57,BM57, DA57, FR57)=0)</formula>
    </cfRule>
    <cfRule type="expression" dxfId="1" priority="1063">
      <formula>AND(BS57&gt;=3,FA57&lt;&gt;GetEquPower(C57,BM57, DA57, FR57))</formula>
    </cfRule>
  </conditionalFormatting>
  <conditionalFormatting sqref="FF57">
    <cfRule type="expression" dxfId="2" priority="1064">
      <formula>AND(BT57&gt;=1,FF57&lt;&gt;0, GetEquPower(C57,BN57, DE57, FS57)=0)</formula>
    </cfRule>
    <cfRule type="expression" dxfId="1" priority="1065">
      <formula>AND(BT57&gt;=1,FF57&lt;&gt;GetEquPower(C57,BN57, DE57, FS57))</formula>
    </cfRule>
  </conditionalFormatting>
  <conditionalFormatting sqref="FG57">
    <cfRule type="expression" dxfId="2" priority="1066">
      <formula>AND(BT57&gt;=2,FG57&lt;&gt;0, GetEquPower(C57,BN57, DF57, FS57)=0)</formula>
    </cfRule>
    <cfRule type="expression" dxfId="1" priority="1067">
      <formula>AND(BT57&gt;=2,FG57&lt;&gt;GetEquPower(C57,BN57, DF57, FS57))</formula>
    </cfRule>
  </conditionalFormatting>
  <conditionalFormatting sqref="FH57">
    <cfRule type="expression" dxfId="2" priority="1068">
      <formula>AND(BT57&gt;=3,FH57&lt;&gt;0, GetEquPower(C57,BN57, DG57, FS57)=0)</formula>
    </cfRule>
    <cfRule type="expression" dxfId="1" priority="1069">
      <formula>AND(BT57&gt;=3,FH57&lt;&gt;GetEquPower(C57,BN57, DG57, FS57))</formula>
    </cfRule>
  </conditionalFormatting>
  <conditionalFormatting sqref="DZ57">
    <cfRule type="expression" dxfId="2" priority="1070">
      <formula>AND(BO57&gt;=4,DZ57&lt;&gt;0, GetEquPower(C57,BI57, CD57, FN57)=0)</formula>
    </cfRule>
    <cfRule type="expression" dxfId="1" priority="1071">
      <formula>AND(BO57&gt;=4, DZ57&lt;&gt;GetEquPower(C57,BI57, CD57, FN57))</formula>
    </cfRule>
  </conditionalFormatting>
  <conditionalFormatting sqref="EG57">
    <cfRule type="expression" dxfId="2" priority="1072">
      <formula>AND(BP57&gt;=4,EG57&lt;&gt;0, GetEquPower(C57,BJ57, CJ57, FO57)=0)</formula>
    </cfRule>
    <cfRule type="expression" dxfId="1" priority="1073">
      <formula>AND(BP57&gt;=4,EG57&lt;&gt;GetEquPower(C57,BJ57, CJ57, FO57))</formula>
    </cfRule>
  </conditionalFormatting>
  <conditionalFormatting sqref="EN57">
    <cfRule type="expression" dxfId="2" priority="1074">
      <formula>AND(BQ57&gt;=4,EN57&lt;&gt;0, GetEquPower(C57,BK57, CP57, FP57)=0)</formula>
    </cfRule>
    <cfRule type="expression" dxfId="1" priority="1075">
      <formula xml:space="preserve"> AND(BQ57&gt;=4,EN57&lt;&gt;GetEquPower(C57,BK57, CP57, FP57))</formula>
    </cfRule>
  </conditionalFormatting>
  <conditionalFormatting sqref="EU57">
    <cfRule type="expression" dxfId="2" priority="1076">
      <formula>AND(BR57&gt;=4,EU57&lt;&gt;0, GetEquPower(C57,BL57, CV57, FQ57)=0)</formula>
    </cfRule>
    <cfRule type="expression" dxfId="1" priority="1077">
      <formula>AND(BR57&gt;=4,EU57&lt;&gt;GetEquPower(C57,BL57, CV57, FQ57))</formula>
    </cfRule>
  </conditionalFormatting>
  <conditionalFormatting sqref="FB57">
    <cfRule type="expression" dxfId="2" priority="1078">
      <formula>AND(BS57&gt;=4,FB57&lt;&gt;0, GetEquPower(C57,BM57, DB57, FR57)=0)</formula>
    </cfRule>
    <cfRule type="expression" dxfId="1" priority="1079">
      <formula>AND(BS57&gt;=4,FB57&lt;&gt;GetEquPower(C57,BM57, DB57, FR57))</formula>
    </cfRule>
  </conditionalFormatting>
  <conditionalFormatting sqref="FI57">
    <cfRule type="expression" dxfId="2" priority="1080">
      <formula>AND(BT57&gt;=4,FI57&lt;&gt;0, GetEquPower(C57,BN57, DH57, FS57)=0)</formula>
    </cfRule>
    <cfRule type="expression" dxfId="1" priority="1081">
      <formula>AND(BT57&gt;=4,FI57&lt;&gt;GetEquPower(C57,BN57, DH57, FS57))</formula>
    </cfRule>
  </conditionalFormatting>
  <conditionalFormatting sqref="EA57">
    <cfRule type="expression" dxfId="2" priority="1082">
      <formula>AND(BO57&gt;=5,EA57&lt;&gt;0, GetEquPower(C57,BI57, CE57, FN57)=0)</formula>
    </cfRule>
    <cfRule type="expression" dxfId="1" priority="1083">
      <formula>AND(BO57&gt;=5, EA57&lt;&gt;GetEquPower(C57,BI57, CE57, FN57))</formula>
    </cfRule>
  </conditionalFormatting>
  <conditionalFormatting sqref="EB57">
    <cfRule type="expression" dxfId="2" priority="1084">
      <formula>AND(BO57&gt;=6,EB57&lt;&gt;0, GetEquPower(C57,BI57, CF57, FN57)=0)</formula>
    </cfRule>
    <cfRule type="expression" dxfId="1" priority="1085">
      <formula>AND(BO57&gt;=6, EB57&lt;&gt;GetEquPower(C57,BI57, CF57, FN57))</formula>
    </cfRule>
  </conditionalFormatting>
  <conditionalFormatting sqref="EH57">
    <cfRule type="expression" dxfId="2" priority="1086">
      <formula>AND(BP57&gt;=5,EH57&lt;&gt;0, GetEquPower(C57,BJ57, CK57, FO57)=0)</formula>
    </cfRule>
    <cfRule type="expression" dxfId="1" priority="1087">
      <formula>AND(BP57&gt;=5,EH57&lt;&gt;GetEquPower(C57,BJ57, CK57, FO57))</formula>
    </cfRule>
  </conditionalFormatting>
  <conditionalFormatting sqref="EI57">
    <cfRule type="expression" dxfId="2" priority="1088">
      <formula>AND(BP57&gt;=6,EI57&lt;&gt;0, GetEquPower(C57,BJ57, CL57, FO57)=0)</formula>
    </cfRule>
    <cfRule type="expression" dxfId="1" priority="1089">
      <formula>AND(BP57&gt;=6,EI57&lt;&gt;GetEquPower(C57,BJ57, CL57, FO57))</formula>
    </cfRule>
  </conditionalFormatting>
  <conditionalFormatting sqref="EO57">
    <cfRule type="expression" dxfId="2" priority="1090">
      <formula>AND(BQ57&gt;=5,EO57&lt;&gt;0, GetEquPower(C57,BK57, CQ57, FP57)=0)</formula>
    </cfRule>
    <cfRule type="expression" dxfId="1" priority="1091">
      <formula xml:space="preserve"> AND(BQ57&gt;=5,EO57&lt;&gt;GetEquPower(C57,BK57, CQ57, FP57))</formula>
    </cfRule>
  </conditionalFormatting>
  <conditionalFormatting sqref="EP57">
    <cfRule type="expression" dxfId="2" priority="1092">
      <formula>AND(BQ57&gt;=6,EP57&lt;&gt;0, GetEquPower(C57,BK57, CR57, FP57)=0)</formula>
    </cfRule>
    <cfRule type="expression" dxfId="1" priority="1093">
      <formula xml:space="preserve"> AND(BQ57&gt;=6,EP57&lt;&gt;GetEquPower(C57,BK57, CR57, FP57))</formula>
    </cfRule>
  </conditionalFormatting>
  <conditionalFormatting sqref="EV57">
    <cfRule type="expression" dxfId="2" priority="1094">
      <formula>AND(BR57&gt;=5,EV57&lt;&gt;0, GetEquPower(C57,BL57, CW57, FQ57)=0)</formula>
    </cfRule>
    <cfRule type="expression" dxfId="1" priority="1095">
      <formula>AND(BR57&gt;=5,EV57&lt;&gt;GetEquPower(C57,BL57, CW57, FQ57))</formula>
    </cfRule>
  </conditionalFormatting>
  <conditionalFormatting sqref="EW57">
    <cfRule type="expression" dxfId="2" priority="1096">
      <formula>AND(BR57&gt;=6,EW57&lt;&gt;0, GetEquPower(C57,BL57, CX57, FQ57)=0)</formula>
    </cfRule>
    <cfRule type="expression" dxfId="1" priority="1097">
      <formula>AND(BR57&gt;=6,EW57&lt;&gt;GetEquPower(C57,BL57, CX57, FQ57))</formula>
    </cfRule>
  </conditionalFormatting>
  <conditionalFormatting sqref="FC57">
    <cfRule type="expression" dxfId="2" priority="1098">
      <formula>AND(BS57&gt;=5,FC57&lt;&gt;0, GetEquPower(C57,BM57, DC57, FR57)=0)</formula>
    </cfRule>
    <cfRule type="expression" dxfId="1" priority="1099">
      <formula>AND(BS57&gt;=5,FC57&lt;&gt;GetEquPower(C57,BM57, DC57, FR57))</formula>
    </cfRule>
  </conditionalFormatting>
  <conditionalFormatting sqref="FD57">
    <cfRule type="expression" dxfId="2" priority="1100">
      <formula>AND(BS57&gt;=6,FD57&lt;&gt;0, GetEquPower(C57,BM57, DD57, FR57)=0)</formula>
    </cfRule>
    <cfRule type="expression" dxfId="1" priority="1101">
      <formula>AND(BS57&gt;=6,FD57&lt;&gt;GetEquPower(C57,BM57, DD57, FR57))</formula>
    </cfRule>
  </conditionalFormatting>
  <conditionalFormatting sqref="FJ57">
    <cfRule type="expression" dxfId="2" priority="1102">
      <formula>AND(BT57&gt;=5,FJ57&lt;&gt;0, GetEquPower(C57,BN57, DI57, FS57)=0)</formula>
    </cfRule>
    <cfRule type="expression" dxfId="1" priority="1103">
      <formula>AND(BT57&gt;=5,FJ57&lt;&gt;GetEquPower(C57,BN57, DI57, FS57))</formula>
    </cfRule>
  </conditionalFormatting>
  <conditionalFormatting sqref="FK57">
    <cfRule type="expression" dxfId="2" priority="1104">
      <formula>AND(BT57&gt;=6,FK57&lt;&gt;0, GetEquPower(C57,BN57, DJ57, FS57)=0)</formula>
    </cfRule>
    <cfRule type="expression" dxfId="1" priority="1105">
      <formula>AND(BT57&gt;=6,FK57&lt;&gt;GetEquPower(C57,BN57, DJ57, FS57))</formula>
    </cfRule>
  </conditionalFormatting>
  <conditionalFormatting sqref="W57">
    <cfRule type="expression" dxfId="0" priority="1021">
      <formula xml:space="preserve"> NOT(ISLOGICAL($W$2))</formula>
    </cfRule>
  </conditionalFormatting>
  <conditionalFormatting sqref="F58">
    <cfRule type="expression" dxfId="0" priority="948">
      <formula>F58&lt;&gt;RIGHT(SUBSTITUTE(E58,".",""),LEN(F58))</formula>
    </cfRule>
  </conditionalFormatting>
  <conditionalFormatting sqref="X58">
    <cfRule type="expression" dxfId="0" priority="943">
      <formula xml:space="preserve"> NOT(ISLOGICAL($X$2))</formula>
    </cfRule>
    <cfRule type="expression" dxfId="0" priority="947">
      <formula>AND(X58=TRUE,W58=FALSE)</formula>
    </cfRule>
  </conditionalFormatting>
  <conditionalFormatting sqref="Y58">
    <cfRule type="expression" dxfId="0" priority="946">
      <formula>OR(AND(X58=FALSE,INT(Y58)&gt;0),AND(X58=TRUE,INT(Y58)&lt;=0))</formula>
    </cfRule>
  </conditionalFormatting>
  <conditionalFormatting sqref="AA58">
    <cfRule type="expression" dxfId="0" priority="945">
      <formula>AND(Z58=FALSE,AA58&gt;0)</formula>
    </cfRule>
  </conditionalFormatting>
  <conditionalFormatting sqref="BV58:HY58">
    <cfRule type="containsErrors" dxfId="0" priority="944">
      <formula>ISERROR(BV58)</formula>
    </cfRule>
  </conditionalFormatting>
  <conditionalFormatting sqref="Z58">
    <cfRule type="expression" dxfId="0" priority="942">
      <formula>NOT(ISLOGICAL($Z$2))</formula>
    </cfRule>
  </conditionalFormatting>
  <conditionalFormatting sqref="AB58">
    <cfRule type="expression" dxfId="0" priority="941">
      <formula>NOT(ISLOGICAL($AB$2))</formula>
    </cfRule>
  </conditionalFormatting>
  <conditionalFormatting sqref="AC58">
    <cfRule type="expression" dxfId="0" priority="940">
      <formula>NOT(ISLOGICAL($AC$2))</formula>
    </cfRule>
  </conditionalFormatting>
  <conditionalFormatting sqref="B58:BU58">
    <cfRule type="containsErrors" dxfId="0" priority="939">
      <formula>ISERROR(B58)</formula>
    </cfRule>
  </conditionalFormatting>
  <conditionalFormatting sqref="I58">
    <cfRule type="expression" dxfId="0" priority="938">
      <formula>NOT(ISNUMBER($I$2))</formula>
    </cfRule>
  </conditionalFormatting>
  <conditionalFormatting sqref="D58">
    <cfRule type="expression" dxfId="0" priority="937">
      <formula>ISBLANK($D$2)</formula>
    </cfRule>
  </conditionalFormatting>
  <conditionalFormatting sqref="DW58">
    <cfRule type="expression" dxfId="2" priority="949">
      <formula>AND(BO58&gt;=1,DW58&lt;&gt;0, GetEquPower(C58,BI58, CA58, FN58)=0)</formula>
    </cfRule>
    <cfRule type="expression" dxfId="1" priority="950">
      <formula>AND(BO58&gt;=1,DW58&lt;&gt;GetEquPower(C58,BI58, CA58, FN58))</formula>
    </cfRule>
  </conditionalFormatting>
  <conditionalFormatting sqref="DX58">
    <cfRule type="expression" dxfId="2" priority="951">
      <formula>AND(BO58&gt;=2,DX58&lt;&gt;0, GetEquPower(C58,BI58, CB58, FN58)=0)</formula>
    </cfRule>
    <cfRule type="expression" dxfId="1" priority="952">
      <formula>AND(BO58&gt;=2,DX58&lt;&gt;GetEquPower(C58,BI58, CB58, FN58))</formula>
    </cfRule>
  </conditionalFormatting>
  <conditionalFormatting sqref="DY58">
    <cfRule type="expression" dxfId="2" priority="953">
      <formula>AND(BO58&gt;=3,DY58&lt;&gt;0, GetEquPower(C58,BI58, CC58, FN58)=0)</formula>
    </cfRule>
    <cfRule type="expression" dxfId="1" priority="954">
      <formula>AND(BO58&gt;=3,DY58&lt;&gt;GetEquPower(C58,BI58, CC58, FN58))</formula>
    </cfRule>
  </conditionalFormatting>
  <conditionalFormatting sqref="ED58">
    <cfRule type="expression" dxfId="2" priority="955">
      <formula>AND(BP58&gt;=1,ED58&lt;&gt;0, GetEquPower(C58,BJ58, CG58, FO58)=0)</formula>
    </cfRule>
    <cfRule type="expression" dxfId="1" priority="956">
      <formula>AND(BP58&gt;=1,ED58&lt;&gt;GetEquPower(C58,BJ58, CG58, FO58))</formula>
    </cfRule>
  </conditionalFormatting>
  <conditionalFormatting sqref="EE58">
    <cfRule type="expression" dxfId="2" priority="957">
      <formula>AND(BP58&gt;=2,EE58&lt;&gt;0, GetEquPower(C58,BJ58, CH58, FO58)=0)</formula>
    </cfRule>
    <cfRule type="expression" dxfId="1" priority="958">
      <formula>AND(BP58&gt;=2,EE58&lt;&gt;GetEquPower(C58,BJ58, CH58, FO58))</formula>
    </cfRule>
  </conditionalFormatting>
  <conditionalFormatting sqref="EF58">
    <cfRule type="expression" dxfId="2" priority="959">
      <formula>AND(BP58&gt;=3,EF58&lt;&gt;0, GetEquPower(C58,BJ58, CI58, FO58)=0)</formula>
    </cfRule>
    <cfRule type="expression" dxfId="1" priority="960">
      <formula>AND(BP58&gt;=3,EF58&lt;&gt;GetEquPower(C58,BJ58, CI58, FO58))</formula>
    </cfRule>
  </conditionalFormatting>
  <conditionalFormatting sqref="EK58">
    <cfRule type="expression" dxfId="2" priority="961">
      <formula>AND(BQ58&gt;=1,EK58&lt;&gt;0, GetEquPower(C58,BK58, CM58, FP58)=0)</formula>
    </cfRule>
    <cfRule type="expression" dxfId="1" priority="962">
      <formula>AND(BQ58&gt;=1,EK58&lt;&gt;GetEquPower(C58,BK58, CM58, FP58))</formula>
    </cfRule>
  </conditionalFormatting>
  <conditionalFormatting sqref="EL58">
    <cfRule type="expression" dxfId="2" priority="963">
      <formula>AND(BQ58&gt;=2,EL58&lt;&gt;0, GetEquPower(C58,BK58, CN58, FP58)=0)</formula>
    </cfRule>
    <cfRule type="expression" dxfId="1" priority="964">
      <formula xml:space="preserve"> AND(BQ58&gt;=2,EL58&lt;&gt;GetEquPower(C58,BK58, CN58, FP58))</formula>
    </cfRule>
  </conditionalFormatting>
  <conditionalFormatting sqref="EM58">
    <cfRule type="expression" dxfId="2" priority="965">
      <formula>AND(BQ58&gt;=3,EM58&lt;&gt;0, GetEquPower(C58,BK58, CO58, FP58)=0)</formula>
    </cfRule>
    <cfRule type="expression" dxfId="1" priority="966">
      <formula xml:space="preserve"> AND(BQ58&gt;=3,EM58&lt;&gt;GetEquPower(C58,BK58, CO58, FP58))</formula>
    </cfRule>
  </conditionalFormatting>
  <conditionalFormatting sqref="ER58">
    <cfRule type="expression" dxfId="2" priority="967">
      <formula>AND(BR58&gt;=1,ER58&lt;&gt;0, GetEquPower(C58,BL58, CS58, FQ58)=0)</formula>
    </cfRule>
    <cfRule type="expression" dxfId="1" priority="968">
      <formula>AND(BR58&gt;=1,ER58&lt;&gt;GetEquPower(C58,BL58, CS58, FQ58))</formula>
    </cfRule>
  </conditionalFormatting>
  <conditionalFormatting sqref="ES58">
    <cfRule type="expression" dxfId="2" priority="969">
      <formula>AND(BR58&gt;=2,ES58&lt;&gt;0, GetEquPower(C58,BL58, CT58, FQ58)=0)</formula>
    </cfRule>
    <cfRule type="expression" dxfId="1" priority="970">
      <formula>AND(BR58&gt;=2,ES58&lt;&gt;GetEquPower(C58,BL58, CT58, FQ58))</formula>
    </cfRule>
  </conditionalFormatting>
  <conditionalFormatting sqref="ET58">
    <cfRule type="expression" dxfId="2" priority="971">
      <formula>AND(BR58&gt;=3,ET58&lt;&gt;0, GetEquPower(C58,BL58, CU58, FQ58)=0)</formula>
    </cfRule>
    <cfRule type="expression" dxfId="1" priority="972">
      <formula>AND(BR58&gt;=3,ET58&lt;&gt;GetEquPower(C58,BL58, CU58, FQ58))</formula>
    </cfRule>
  </conditionalFormatting>
  <conditionalFormatting sqref="EY58">
    <cfRule type="expression" dxfId="2" priority="973">
      <formula>AND(BS58&gt;=1,EY58&lt;&gt;0, GetEquPower(C58,BM58, CY58, FR58)=0)</formula>
    </cfRule>
    <cfRule type="expression" dxfId="1" priority="974">
      <formula>AND(BS58&gt;=1,EY58&lt;&gt;GetEquPower(C58,BM58, CY58, FR58))</formula>
    </cfRule>
  </conditionalFormatting>
  <conditionalFormatting sqref="EZ58">
    <cfRule type="expression" dxfId="2" priority="975">
      <formula>AND(BS58&gt;=2,EZ58&lt;&gt;0, GetEquPower(C58,BM58, CZ58, FR58)=0)</formula>
    </cfRule>
    <cfRule type="expression" dxfId="1" priority="976">
      <formula>AND(BS58&gt;=2,EZ58&lt;&gt;GetEquPower(C58,BM58, CZ58, FR58))</formula>
    </cfRule>
  </conditionalFormatting>
  <conditionalFormatting sqref="FA58">
    <cfRule type="expression" dxfId="2" priority="977">
      <formula>AND(BS58&gt;=3,FA58&lt;&gt;0, GetEquPower(C58,BM58, DA58, FR58)=0)</formula>
    </cfRule>
    <cfRule type="expression" dxfId="1" priority="978">
      <formula>AND(BS58&gt;=3,FA58&lt;&gt;GetEquPower(C58,BM58, DA58, FR58))</formula>
    </cfRule>
  </conditionalFormatting>
  <conditionalFormatting sqref="FF58">
    <cfRule type="expression" dxfId="2" priority="979">
      <formula>AND(BT58&gt;=1,FF58&lt;&gt;0, GetEquPower(C58,BN58, DE58, FS58)=0)</formula>
    </cfRule>
    <cfRule type="expression" dxfId="1" priority="980">
      <formula>AND(BT58&gt;=1,FF58&lt;&gt;GetEquPower(C58,BN58, DE58, FS58))</formula>
    </cfRule>
  </conditionalFormatting>
  <conditionalFormatting sqref="FG58">
    <cfRule type="expression" dxfId="2" priority="981">
      <formula>AND(BT58&gt;=2,FG58&lt;&gt;0, GetEquPower(C58,BN58, DF58, FS58)=0)</formula>
    </cfRule>
    <cfRule type="expression" dxfId="1" priority="982">
      <formula>AND(BT58&gt;=2,FG58&lt;&gt;GetEquPower(C58,BN58, DF58, FS58))</formula>
    </cfRule>
  </conditionalFormatting>
  <conditionalFormatting sqref="FH58">
    <cfRule type="expression" dxfId="2" priority="983">
      <formula>AND(BT58&gt;=3,FH58&lt;&gt;0, GetEquPower(C58,BN58, DG58, FS58)=0)</formula>
    </cfRule>
    <cfRule type="expression" dxfId="1" priority="984">
      <formula>AND(BT58&gt;=3,FH58&lt;&gt;GetEquPower(C58,BN58, DG58, FS58))</formula>
    </cfRule>
  </conditionalFormatting>
  <conditionalFormatting sqref="DZ58">
    <cfRule type="expression" dxfId="2" priority="985">
      <formula>AND(BO58&gt;=4,DZ58&lt;&gt;0, GetEquPower(C58,BI58, CD58, FN58)=0)</formula>
    </cfRule>
    <cfRule type="expression" dxfId="1" priority="986">
      <formula>AND(BO58&gt;=4, DZ58&lt;&gt;GetEquPower(C58,BI58, CD58, FN58))</formula>
    </cfRule>
  </conditionalFormatting>
  <conditionalFormatting sqref="EG58">
    <cfRule type="expression" dxfId="2" priority="987">
      <formula>AND(BP58&gt;=4,EG58&lt;&gt;0, GetEquPower(C58,BJ58, CJ58, FO58)=0)</formula>
    </cfRule>
    <cfRule type="expression" dxfId="1" priority="988">
      <formula>AND(BP58&gt;=4,EG58&lt;&gt;GetEquPower(C58,BJ58, CJ58, FO58))</formula>
    </cfRule>
  </conditionalFormatting>
  <conditionalFormatting sqref="EN58">
    <cfRule type="expression" dxfId="2" priority="989">
      <formula>AND(BQ58&gt;=4,EN58&lt;&gt;0, GetEquPower(C58,BK58, CP58, FP58)=0)</formula>
    </cfRule>
    <cfRule type="expression" dxfId="1" priority="990">
      <formula xml:space="preserve"> AND(BQ58&gt;=4,EN58&lt;&gt;GetEquPower(C58,BK58, CP58, FP58))</formula>
    </cfRule>
  </conditionalFormatting>
  <conditionalFormatting sqref="EU58">
    <cfRule type="expression" dxfId="2" priority="991">
      <formula>AND(BR58&gt;=4,EU58&lt;&gt;0, GetEquPower(C58,BL58, CV58, FQ58)=0)</formula>
    </cfRule>
    <cfRule type="expression" dxfId="1" priority="992">
      <formula>AND(BR58&gt;=4,EU58&lt;&gt;GetEquPower(C58,BL58, CV58, FQ58))</formula>
    </cfRule>
  </conditionalFormatting>
  <conditionalFormatting sqref="FB58">
    <cfRule type="expression" dxfId="2" priority="993">
      <formula>AND(BS58&gt;=4,FB58&lt;&gt;0, GetEquPower(C58,BM58, DB58, FR58)=0)</formula>
    </cfRule>
    <cfRule type="expression" dxfId="1" priority="994">
      <formula>AND(BS58&gt;=4,FB58&lt;&gt;GetEquPower(C58,BM58, DB58, FR58))</formula>
    </cfRule>
  </conditionalFormatting>
  <conditionalFormatting sqref="FI58">
    <cfRule type="expression" dxfId="2" priority="995">
      <formula>AND(BT58&gt;=4,FI58&lt;&gt;0, GetEquPower(C58,BN58, DH58, FS58)=0)</formula>
    </cfRule>
    <cfRule type="expression" dxfId="1" priority="996">
      <formula>AND(BT58&gt;=4,FI58&lt;&gt;GetEquPower(C58,BN58, DH58, FS58))</formula>
    </cfRule>
  </conditionalFormatting>
  <conditionalFormatting sqref="EA58">
    <cfRule type="expression" dxfId="2" priority="997">
      <formula>AND(BO58&gt;=5,EA58&lt;&gt;0, GetEquPower(C58,BI58, CE58, FN58)=0)</formula>
    </cfRule>
    <cfRule type="expression" dxfId="1" priority="998">
      <formula>AND(BO58&gt;=5, EA58&lt;&gt;GetEquPower(C58,BI58, CE58, FN58))</formula>
    </cfRule>
  </conditionalFormatting>
  <conditionalFormatting sqref="EB58">
    <cfRule type="expression" dxfId="2" priority="999">
      <formula>AND(BO58&gt;=6,EB58&lt;&gt;0, GetEquPower(C58,BI58, CF58, FN58)=0)</formula>
    </cfRule>
    <cfRule type="expression" dxfId="1" priority="1000">
      <formula>AND(BO58&gt;=6, EB58&lt;&gt;GetEquPower(C58,BI58, CF58, FN58))</formula>
    </cfRule>
  </conditionalFormatting>
  <conditionalFormatting sqref="EH58">
    <cfRule type="expression" dxfId="2" priority="1001">
      <formula>AND(BP58&gt;=5,EH58&lt;&gt;0, GetEquPower(C58,BJ58, CK58, FO58)=0)</formula>
    </cfRule>
    <cfRule type="expression" dxfId="1" priority="1002">
      <formula>AND(BP58&gt;=5,EH58&lt;&gt;GetEquPower(C58,BJ58, CK58, FO58))</formula>
    </cfRule>
  </conditionalFormatting>
  <conditionalFormatting sqref="EI58">
    <cfRule type="expression" dxfId="2" priority="1003">
      <formula>AND(BP58&gt;=6,EI58&lt;&gt;0, GetEquPower(C58,BJ58, CL58, FO58)=0)</formula>
    </cfRule>
    <cfRule type="expression" dxfId="1" priority="1004">
      <formula>AND(BP58&gt;=6,EI58&lt;&gt;GetEquPower(C58,BJ58, CL58, FO58))</formula>
    </cfRule>
  </conditionalFormatting>
  <conditionalFormatting sqref="EO58">
    <cfRule type="expression" dxfId="2" priority="1005">
      <formula>AND(BQ58&gt;=5,EO58&lt;&gt;0, GetEquPower(C58,BK58, CQ58, FP58)=0)</formula>
    </cfRule>
    <cfRule type="expression" dxfId="1" priority="1006">
      <formula xml:space="preserve"> AND(BQ58&gt;=5,EO58&lt;&gt;GetEquPower(C58,BK58, CQ58, FP58))</formula>
    </cfRule>
  </conditionalFormatting>
  <conditionalFormatting sqref="EP58">
    <cfRule type="expression" dxfId="2" priority="1007">
      <formula>AND(BQ58&gt;=6,EP58&lt;&gt;0, GetEquPower(C58,BK58, CR58, FP58)=0)</formula>
    </cfRule>
    <cfRule type="expression" dxfId="1" priority="1008">
      <formula xml:space="preserve"> AND(BQ58&gt;=6,EP58&lt;&gt;GetEquPower(C58,BK58, CR58, FP58))</formula>
    </cfRule>
  </conditionalFormatting>
  <conditionalFormatting sqref="EV58">
    <cfRule type="expression" dxfId="2" priority="1009">
      <formula>AND(BR58&gt;=5,EV58&lt;&gt;0, GetEquPower(C58,BL58, CW58, FQ58)=0)</formula>
    </cfRule>
    <cfRule type="expression" dxfId="1" priority="1010">
      <formula>AND(BR58&gt;=5,EV58&lt;&gt;GetEquPower(C58,BL58, CW58, FQ58))</formula>
    </cfRule>
  </conditionalFormatting>
  <conditionalFormatting sqref="EW58">
    <cfRule type="expression" dxfId="2" priority="1011">
      <formula>AND(BR58&gt;=6,EW58&lt;&gt;0, GetEquPower(C58,BL58, CX58, FQ58)=0)</formula>
    </cfRule>
    <cfRule type="expression" dxfId="1" priority="1012">
      <formula>AND(BR58&gt;=6,EW58&lt;&gt;GetEquPower(C58,BL58, CX58, FQ58))</formula>
    </cfRule>
  </conditionalFormatting>
  <conditionalFormatting sqref="FC58">
    <cfRule type="expression" dxfId="2" priority="1013">
      <formula>AND(BS58&gt;=5,FC58&lt;&gt;0, GetEquPower(C58,BM58, DC58, FR58)=0)</formula>
    </cfRule>
    <cfRule type="expression" dxfId="1" priority="1014">
      <formula>AND(BS58&gt;=5,FC58&lt;&gt;GetEquPower(C58,BM58, DC58, FR58))</formula>
    </cfRule>
  </conditionalFormatting>
  <conditionalFormatting sqref="FD58">
    <cfRule type="expression" dxfId="2" priority="1015">
      <formula>AND(BS58&gt;=6,FD58&lt;&gt;0, GetEquPower(C58,BM58, DD58, FR58)=0)</formula>
    </cfRule>
    <cfRule type="expression" dxfId="1" priority="1016">
      <formula>AND(BS58&gt;=6,FD58&lt;&gt;GetEquPower(C58,BM58, DD58, FR58))</formula>
    </cfRule>
  </conditionalFormatting>
  <conditionalFormatting sqref="FJ58">
    <cfRule type="expression" dxfId="2" priority="1017">
      <formula>AND(BT58&gt;=5,FJ58&lt;&gt;0, GetEquPower(C58,BN58, DI58, FS58)=0)</formula>
    </cfRule>
    <cfRule type="expression" dxfId="1" priority="1018">
      <formula>AND(BT58&gt;=5,FJ58&lt;&gt;GetEquPower(C58,BN58, DI58, FS58))</formula>
    </cfRule>
  </conditionalFormatting>
  <conditionalFormatting sqref="FK58">
    <cfRule type="expression" dxfId="2" priority="1019">
      <formula>AND(BT58&gt;=6,FK58&lt;&gt;0, GetEquPower(C58,BN58, DJ58, FS58)=0)</formula>
    </cfRule>
    <cfRule type="expression" dxfId="1" priority="1020">
      <formula>AND(BT58&gt;=6,FK58&lt;&gt;GetEquPower(C58,BN58, DJ58, FS58))</formula>
    </cfRule>
  </conditionalFormatting>
  <conditionalFormatting sqref="W58">
    <cfRule type="expression" dxfId="0" priority="936">
      <formula xml:space="preserve"> NOT(ISLOGICAL($W$2))</formula>
    </cfRule>
  </conditionalFormatting>
  <conditionalFormatting sqref="F59">
    <cfRule type="expression" dxfId="0" priority="863">
      <formula>F59&lt;&gt;RIGHT(SUBSTITUTE(E59,".",""),LEN(F59))</formula>
    </cfRule>
  </conditionalFormatting>
  <conditionalFormatting sqref="X59">
    <cfRule type="expression" dxfId="0" priority="858">
      <formula xml:space="preserve"> NOT(ISLOGICAL($X$2))</formula>
    </cfRule>
    <cfRule type="expression" dxfId="0" priority="862">
      <formula>AND(X59=TRUE,W59=FALSE)</formula>
    </cfRule>
  </conditionalFormatting>
  <conditionalFormatting sqref="Y59">
    <cfRule type="expression" dxfId="0" priority="861">
      <formula>OR(AND(X59=FALSE,INT(Y59)&gt;0),AND(X59=TRUE,INT(Y59)&lt;=0))</formula>
    </cfRule>
  </conditionalFormatting>
  <conditionalFormatting sqref="AA59">
    <cfRule type="expression" dxfId="0" priority="860">
      <formula>AND(Z59=FALSE,AA59&gt;0)</formula>
    </cfRule>
  </conditionalFormatting>
  <conditionalFormatting sqref="BV59:HY59">
    <cfRule type="containsErrors" dxfId="0" priority="859">
      <formula>ISERROR(BV59)</formula>
    </cfRule>
  </conditionalFormatting>
  <conditionalFormatting sqref="Z59">
    <cfRule type="expression" dxfId="0" priority="857">
      <formula>NOT(ISLOGICAL($Z$2))</formula>
    </cfRule>
  </conditionalFormatting>
  <conditionalFormatting sqref="AB59">
    <cfRule type="expression" dxfId="0" priority="856">
      <formula>NOT(ISLOGICAL($AB$2))</formula>
    </cfRule>
  </conditionalFormatting>
  <conditionalFormatting sqref="AC59">
    <cfRule type="expression" dxfId="0" priority="855">
      <formula>NOT(ISLOGICAL($AC$2))</formula>
    </cfRule>
  </conditionalFormatting>
  <conditionalFormatting sqref="B59:BU59">
    <cfRule type="containsErrors" dxfId="0" priority="854">
      <formula>ISERROR(B59)</formula>
    </cfRule>
  </conditionalFormatting>
  <conditionalFormatting sqref="I59">
    <cfRule type="expression" dxfId="0" priority="853">
      <formula>NOT(ISNUMBER($I$2))</formula>
    </cfRule>
  </conditionalFormatting>
  <conditionalFormatting sqref="D59">
    <cfRule type="expression" dxfId="0" priority="852">
      <formula>ISBLANK($D$2)</formula>
    </cfRule>
  </conditionalFormatting>
  <conditionalFormatting sqref="DW59">
    <cfRule type="expression" dxfId="2" priority="864">
      <formula>AND(BO59&gt;=1,DW59&lt;&gt;0, GetEquPower(C59,BI59, CA59, FN59)=0)</formula>
    </cfRule>
    <cfRule type="expression" dxfId="1" priority="865">
      <formula>AND(BO59&gt;=1,DW59&lt;&gt;GetEquPower(C59,BI59, CA59, FN59))</formula>
    </cfRule>
  </conditionalFormatting>
  <conditionalFormatting sqref="DX59">
    <cfRule type="expression" dxfId="2" priority="866">
      <formula>AND(BO59&gt;=2,DX59&lt;&gt;0, GetEquPower(C59,BI59, CB59, FN59)=0)</formula>
    </cfRule>
    <cfRule type="expression" dxfId="1" priority="867">
      <formula>AND(BO59&gt;=2,DX59&lt;&gt;GetEquPower(C59,BI59, CB59, FN59))</formula>
    </cfRule>
  </conditionalFormatting>
  <conditionalFormatting sqref="DY59">
    <cfRule type="expression" dxfId="2" priority="868">
      <formula>AND(BO59&gt;=3,DY59&lt;&gt;0, GetEquPower(C59,BI59, CC59, FN59)=0)</formula>
    </cfRule>
    <cfRule type="expression" dxfId="1" priority="869">
      <formula>AND(BO59&gt;=3,DY59&lt;&gt;GetEquPower(C59,BI59, CC59, FN59))</formula>
    </cfRule>
  </conditionalFormatting>
  <conditionalFormatting sqref="ED59">
    <cfRule type="expression" dxfId="2" priority="870">
      <formula>AND(BP59&gt;=1,ED59&lt;&gt;0, GetEquPower(C59,BJ59, CG59, FO59)=0)</formula>
    </cfRule>
    <cfRule type="expression" dxfId="1" priority="871">
      <formula>AND(BP59&gt;=1,ED59&lt;&gt;GetEquPower(C59,BJ59, CG59, FO59))</formula>
    </cfRule>
  </conditionalFormatting>
  <conditionalFormatting sqref="EE59">
    <cfRule type="expression" dxfId="2" priority="872">
      <formula>AND(BP59&gt;=2,EE59&lt;&gt;0, GetEquPower(C59,BJ59, CH59, FO59)=0)</formula>
    </cfRule>
    <cfRule type="expression" dxfId="1" priority="873">
      <formula>AND(BP59&gt;=2,EE59&lt;&gt;GetEquPower(C59,BJ59, CH59, FO59))</formula>
    </cfRule>
  </conditionalFormatting>
  <conditionalFormatting sqref="EF59">
    <cfRule type="expression" dxfId="2" priority="874">
      <formula>AND(BP59&gt;=3,EF59&lt;&gt;0, GetEquPower(C59,BJ59, CI59, FO59)=0)</formula>
    </cfRule>
    <cfRule type="expression" dxfId="1" priority="875">
      <formula>AND(BP59&gt;=3,EF59&lt;&gt;GetEquPower(C59,BJ59, CI59, FO59))</formula>
    </cfRule>
  </conditionalFormatting>
  <conditionalFormatting sqref="EK59">
    <cfRule type="expression" dxfId="2" priority="876">
      <formula>AND(BQ59&gt;=1,EK59&lt;&gt;0, GetEquPower(C59,BK59, CM59, FP59)=0)</formula>
    </cfRule>
    <cfRule type="expression" dxfId="1" priority="877">
      <formula>AND(BQ59&gt;=1,EK59&lt;&gt;GetEquPower(C59,BK59, CM59, FP59))</formula>
    </cfRule>
  </conditionalFormatting>
  <conditionalFormatting sqref="EL59">
    <cfRule type="expression" dxfId="2" priority="878">
      <formula>AND(BQ59&gt;=2,EL59&lt;&gt;0, GetEquPower(C59,BK59, CN59, FP59)=0)</formula>
    </cfRule>
    <cfRule type="expression" dxfId="1" priority="879">
      <formula xml:space="preserve"> AND(BQ59&gt;=2,EL59&lt;&gt;GetEquPower(C59,BK59, CN59, FP59))</formula>
    </cfRule>
  </conditionalFormatting>
  <conditionalFormatting sqref="EM59">
    <cfRule type="expression" dxfId="2" priority="880">
      <formula>AND(BQ59&gt;=3,EM59&lt;&gt;0, GetEquPower(C59,BK59, CO59, FP59)=0)</formula>
    </cfRule>
    <cfRule type="expression" dxfId="1" priority="881">
      <formula xml:space="preserve"> AND(BQ59&gt;=3,EM59&lt;&gt;GetEquPower(C59,BK59, CO59, FP59))</formula>
    </cfRule>
  </conditionalFormatting>
  <conditionalFormatting sqref="ER59">
    <cfRule type="expression" dxfId="2" priority="882">
      <formula>AND(BR59&gt;=1,ER59&lt;&gt;0, GetEquPower(C59,BL59, CS59, FQ59)=0)</formula>
    </cfRule>
    <cfRule type="expression" dxfId="1" priority="883">
      <formula>AND(BR59&gt;=1,ER59&lt;&gt;GetEquPower(C59,BL59, CS59, FQ59))</formula>
    </cfRule>
  </conditionalFormatting>
  <conditionalFormatting sqref="ES59">
    <cfRule type="expression" dxfId="2" priority="884">
      <formula>AND(BR59&gt;=2,ES59&lt;&gt;0, GetEquPower(C59,BL59, CT59, FQ59)=0)</formula>
    </cfRule>
    <cfRule type="expression" dxfId="1" priority="885">
      <formula>AND(BR59&gt;=2,ES59&lt;&gt;GetEquPower(C59,BL59, CT59, FQ59))</formula>
    </cfRule>
  </conditionalFormatting>
  <conditionalFormatting sqref="ET59">
    <cfRule type="expression" dxfId="2" priority="886">
      <formula>AND(BR59&gt;=3,ET59&lt;&gt;0, GetEquPower(C59,BL59, CU59, FQ59)=0)</formula>
    </cfRule>
    <cfRule type="expression" dxfId="1" priority="887">
      <formula>AND(BR59&gt;=3,ET59&lt;&gt;GetEquPower(C59,BL59, CU59, FQ59))</formula>
    </cfRule>
  </conditionalFormatting>
  <conditionalFormatting sqref="EY59">
    <cfRule type="expression" dxfId="2" priority="888">
      <formula>AND(BS59&gt;=1,EY59&lt;&gt;0, GetEquPower(C59,BM59, CY59, FR59)=0)</formula>
    </cfRule>
    <cfRule type="expression" dxfId="1" priority="889">
      <formula>AND(BS59&gt;=1,EY59&lt;&gt;GetEquPower(C59,BM59, CY59, FR59))</formula>
    </cfRule>
  </conditionalFormatting>
  <conditionalFormatting sqref="EZ59">
    <cfRule type="expression" dxfId="2" priority="890">
      <formula>AND(BS59&gt;=2,EZ59&lt;&gt;0, GetEquPower(C59,BM59, CZ59, FR59)=0)</formula>
    </cfRule>
    <cfRule type="expression" dxfId="1" priority="891">
      <formula>AND(BS59&gt;=2,EZ59&lt;&gt;GetEquPower(C59,BM59, CZ59, FR59))</formula>
    </cfRule>
  </conditionalFormatting>
  <conditionalFormatting sqref="FA59">
    <cfRule type="expression" dxfId="2" priority="892">
      <formula>AND(BS59&gt;=3,FA59&lt;&gt;0, GetEquPower(C59,BM59, DA59, FR59)=0)</formula>
    </cfRule>
    <cfRule type="expression" dxfId="1" priority="893">
      <formula>AND(BS59&gt;=3,FA59&lt;&gt;GetEquPower(C59,BM59, DA59, FR59))</formula>
    </cfRule>
  </conditionalFormatting>
  <conditionalFormatting sqref="FF59">
    <cfRule type="expression" dxfId="2" priority="894">
      <formula>AND(BT59&gt;=1,FF59&lt;&gt;0, GetEquPower(C59,BN59, DE59, FS59)=0)</formula>
    </cfRule>
    <cfRule type="expression" dxfId="1" priority="895">
      <formula>AND(BT59&gt;=1,FF59&lt;&gt;GetEquPower(C59,BN59, DE59, FS59))</formula>
    </cfRule>
  </conditionalFormatting>
  <conditionalFormatting sqref="FG59">
    <cfRule type="expression" dxfId="2" priority="896">
      <formula>AND(BT59&gt;=2,FG59&lt;&gt;0, GetEquPower(C59,BN59, DF59, FS59)=0)</formula>
    </cfRule>
    <cfRule type="expression" dxfId="1" priority="897">
      <formula>AND(BT59&gt;=2,FG59&lt;&gt;GetEquPower(C59,BN59, DF59, FS59))</formula>
    </cfRule>
  </conditionalFormatting>
  <conditionalFormatting sqref="FH59">
    <cfRule type="expression" dxfId="2" priority="898">
      <formula>AND(BT59&gt;=3,FH59&lt;&gt;0, GetEquPower(C59,BN59, DG59, FS59)=0)</formula>
    </cfRule>
    <cfRule type="expression" dxfId="1" priority="899">
      <formula>AND(BT59&gt;=3,FH59&lt;&gt;GetEquPower(C59,BN59, DG59, FS59))</formula>
    </cfRule>
  </conditionalFormatting>
  <conditionalFormatting sqref="DZ59">
    <cfRule type="expression" dxfId="2" priority="900">
      <formula>AND(BO59&gt;=4,DZ59&lt;&gt;0, GetEquPower(C59,BI59, CD59, FN59)=0)</formula>
    </cfRule>
    <cfRule type="expression" dxfId="1" priority="901">
      <formula>AND(BO59&gt;=4, DZ59&lt;&gt;GetEquPower(C59,BI59, CD59, FN59))</formula>
    </cfRule>
  </conditionalFormatting>
  <conditionalFormatting sqref="EG59">
    <cfRule type="expression" dxfId="2" priority="902">
      <formula>AND(BP59&gt;=4,EG59&lt;&gt;0, GetEquPower(C59,BJ59, CJ59, FO59)=0)</formula>
    </cfRule>
    <cfRule type="expression" dxfId="1" priority="903">
      <formula>AND(BP59&gt;=4,EG59&lt;&gt;GetEquPower(C59,BJ59, CJ59, FO59))</formula>
    </cfRule>
  </conditionalFormatting>
  <conditionalFormatting sqref="EN59">
    <cfRule type="expression" dxfId="2" priority="904">
      <formula>AND(BQ59&gt;=4,EN59&lt;&gt;0, GetEquPower(C59,BK59, CP59, FP59)=0)</formula>
    </cfRule>
    <cfRule type="expression" dxfId="1" priority="905">
      <formula xml:space="preserve"> AND(BQ59&gt;=4,EN59&lt;&gt;GetEquPower(C59,BK59, CP59, FP59))</formula>
    </cfRule>
  </conditionalFormatting>
  <conditionalFormatting sqref="EU59">
    <cfRule type="expression" dxfId="2" priority="906">
      <formula>AND(BR59&gt;=4,EU59&lt;&gt;0, GetEquPower(C59,BL59, CV59, FQ59)=0)</formula>
    </cfRule>
    <cfRule type="expression" dxfId="1" priority="907">
      <formula>AND(BR59&gt;=4,EU59&lt;&gt;GetEquPower(C59,BL59, CV59, FQ59))</formula>
    </cfRule>
  </conditionalFormatting>
  <conditionalFormatting sqref="FB59">
    <cfRule type="expression" dxfId="2" priority="908">
      <formula>AND(BS59&gt;=4,FB59&lt;&gt;0, GetEquPower(C59,BM59, DB59, FR59)=0)</formula>
    </cfRule>
    <cfRule type="expression" dxfId="1" priority="909">
      <formula>AND(BS59&gt;=4,FB59&lt;&gt;GetEquPower(C59,BM59, DB59, FR59))</formula>
    </cfRule>
  </conditionalFormatting>
  <conditionalFormatting sqref="FI59">
    <cfRule type="expression" dxfId="2" priority="910">
      <formula>AND(BT59&gt;=4,FI59&lt;&gt;0, GetEquPower(C59,BN59, DH59, FS59)=0)</formula>
    </cfRule>
    <cfRule type="expression" dxfId="1" priority="911">
      <formula>AND(BT59&gt;=4,FI59&lt;&gt;GetEquPower(C59,BN59, DH59, FS59))</formula>
    </cfRule>
  </conditionalFormatting>
  <conditionalFormatting sqref="EA59">
    <cfRule type="expression" dxfId="2" priority="912">
      <formula>AND(BO59&gt;=5,EA59&lt;&gt;0, GetEquPower(C59,BI59, CE59, FN59)=0)</formula>
    </cfRule>
    <cfRule type="expression" dxfId="1" priority="913">
      <formula>AND(BO59&gt;=5, EA59&lt;&gt;GetEquPower(C59,BI59, CE59, FN59))</formula>
    </cfRule>
  </conditionalFormatting>
  <conditionalFormatting sqref="EB59">
    <cfRule type="expression" dxfId="2" priority="914">
      <formula>AND(BO59&gt;=6,EB59&lt;&gt;0, GetEquPower(C59,BI59, CF59, FN59)=0)</formula>
    </cfRule>
    <cfRule type="expression" dxfId="1" priority="915">
      <formula>AND(BO59&gt;=6, EB59&lt;&gt;GetEquPower(C59,BI59, CF59, FN59))</formula>
    </cfRule>
  </conditionalFormatting>
  <conditionalFormatting sqref="EH59">
    <cfRule type="expression" dxfId="2" priority="916">
      <formula>AND(BP59&gt;=5,EH59&lt;&gt;0, GetEquPower(C59,BJ59, CK59, FO59)=0)</formula>
    </cfRule>
    <cfRule type="expression" dxfId="1" priority="917">
      <formula>AND(BP59&gt;=5,EH59&lt;&gt;GetEquPower(C59,BJ59, CK59, FO59))</formula>
    </cfRule>
  </conditionalFormatting>
  <conditionalFormatting sqref="EI59">
    <cfRule type="expression" dxfId="2" priority="918">
      <formula>AND(BP59&gt;=6,EI59&lt;&gt;0, GetEquPower(C59,BJ59, CL59, FO59)=0)</formula>
    </cfRule>
    <cfRule type="expression" dxfId="1" priority="919">
      <formula>AND(BP59&gt;=6,EI59&lt;&gt;GetEquPower(C59,BJ59, CL59, FO59))</formula>
    </cfRule>
  </conditionalFormatting>
  <conditionalFormatting sqref="EO59">
    <cfRule type="expression" dxfId="2" priority="920">
      <formula>AND(BQ59&gt;=5,EO59&lt;&gt;0, GetEquPower(C59,BK59, CQ59, FP59)=0)</formula>
    </cfRule>
    <cfRule type="expression" dxfId="1" priority="921">
      <formula xml:space="preserve"> AND(BQ59&gt;=5,EO59&lt;&gt;GetEquPower(C59,BK59, CQ59, FP59))</formula>
    </cfRule>
  </conditionalFormatting>
  <conditionalFormatting sqref="EP59">
    <cfRule type="expression" dxfId="2" priority="922">
      <formula>AND(BQ59&gt;=6,EP59&lt;&gt;0, GetEquPower(C59,BK59, CR59, FP59)=0)</formula>
    </cfRule>
    <cfRule type="expression" dxfId="1" priority="923">
      <formula xml:space="preserve"> AND(BQ59&gt;=6,EP59&lt;&gt;GetEquPower(C59,BK59, CR59, FP59))</formula>
    </cfRule>
  </conditionalFormatting>
  <conditionalFormatting sqref="EV59">
    <cfRule type="expression" dxfId="2" priority="924">
      <formula>AND(BR59&gt;=5,EV59&lt;&gt;0, GetEquPower(C59,BL59, CW59, FQ59)=0)</formula>
    </cfRule>
    <cfRule type="expression" dxfId="1" priority="925">
      <formula>AND(BR59&gt;=5,EV59&lt;&gt;GetEquPower(C59,BL59, CW59, FQ59))</formula>
    </cfRule>
  </conditionalFormatting>
  <conditionalFormatting sqref="EW59">
    <cfRule type="expression" dxfId="2" priority="926">
      <formula>AND(BR59&gt;=6,EW59&lt;&gt;0, GetEquPower(C59,BL59, CX59, FQ59)=0)</formula>
    </cfRule>
    <cfRule type="expression" dxfId="1" priority="927">
      <formula>AND(BR59&gt;=6,EW59&lt;&gt;GetEquPower(C59,BL59, CX59, FQ59))</formula>
    </cfRule>
  </conditionalFormatting>
  <conditionalFormatting sqref="FC59">
    <cfRule type="expression" dxfId="2" priority="928">
      <formula>AND(BS59&gt;=5,FC59&lt;&gt;0, GetEquPower(C59,BM59, DC59, FR59)=0)</formula>
    </cfRule>
    <cfRule type="expression" dxfId="1" priority="929">
      <formula>AND(BS59&gt;=5,FC59&lt;&gt;GetEquPower(C59,BM59, DC59, FR59))</formula>
    </cfRule>
  </conditionalFormatting>
  <conditionalFormatting sqref="FD59">
    <cfRule type="expression" dxfId="2" priority="930">
      <formula>AND(BS59&gt;=6,FD59&lt;&gt;0, GetEquPower(C59,BM59, DD59, FR59)=0)</formula>
    </cfRule>
    <cfRule type="expression" dxfId="1" priority="931">
      <formula>AND(BS59&gt;=6,FD59&lt;&gt;GetEquPower(C59,BM59, DD59, FR59))</formula>
    </cfRule>
  </conditionalFormatting>
  <conditionalFormatting sqref="FJ59">
    <cfRule type="expression" dxfId="2" priority="932">
      <formula>AND(BT59&gt;=5,FJ59&lt;&gt;0, GetEquPower(C59,BN59, DI59, FS59)=0)</formula>
    </cfRule>
    <cfRule type="expression" dxfId="1" priority="933">
      <formula>AND(BT59&gt;=5,FJ59&lt;&gt;GetEquPower(C59,BN59, DI59, FS59))</formula>
    </cfRule>
  </conditionalFormatting>
  <conditionalFormatting sqref="FK59">
    <cfRule type="expression" dxfId="2" priority="934">
      <formula>AND(BT59&gt;=6,FK59&lt;&gt;0, GetEquPower(C59,BN59, DJ59, FS59)=0)</formula>
    </cfRule>
    <cfRule type="expression" dxfId="1" priority="935">
      <formula>AND(BT59&gt;=6,FK59&lt;&gt;GetEquPower(C59,BN59, DJ59, FS59))</formula>
    </cfRule>
  </conditionalFormatting>
  <conditionalFormatting sqref="W59">
    <cfRule type="expression" dxfId="0" priority="851">
      <formula xml:space="preserve"> NOT(ISLOGICAL($W$2))</formula>
    </cfRule>
  </conditionalFormatting>
  <conditionalFormatting sqref="F60">
    <cfRule type="expression" dxfId="0" priority="778">
      <formula>F60&lt;&gt;RIGHT(SUBSTITUTE(E60,".",""),LEN(F60))</formula>
    </cfRule>
  </conditionalFormatting>
  <conditionalFormatting sqref="X60">
    <cfRule type="expression" dxfId="0" priority="773">
      <formula xml:space="preserve"> NOT(ISLOGICAL($X$2))</formula>
    </cfRule>
    <cfRule type="expression" dxfId="0" priority="777">
      <formula>AND(X60=TRUE,W60=FALSE)</formula>
    </cfRule>
  </conditionalFormatting>
  <conditionalFormatting sqref="Y60">
    <cfRule type="expression" dxfId="0" priority="776">
      <formula>OR(AND(X60=FALSE,INT(Y60)&gt;0),AND(X60=TRUE,INT(Y60)&lt;=0))</formula>
    </cfRule>
  </conditionalFormatting>
  <conditionalFormatting sqref="AA60">
    <cfRule type="expression" dxfId="0" priority="775">
      <formula>AND(Z60=FALSE,AA60&gt;0)</formula>
    </cfRule>
  </conditionalFormatting>
  <conditionalFormatting sqref="BV60:HY60">
    <cfRule type="containsErrors" dxfId="0" priority="774">
      <formula>ISERROR(BV60)</formula>
    </cfRule>
  </conditionalFormatting>
  <conditionalFormatting sqref="Z60">
    <cfRule type="expression" dxfId="0" priority="772">
      <formula>NOT(ISLOGICAL($Z$2))</formula>
    </cfRule>
  </conditionalFormatting>
  <conditionalFormatting sqref="AB60">
    <cfRule type="expression" dxfId="0" priority="771">
      <formula>NOT(ISLOGICAL($AB$2))</formula>
    </cfRule>
  </conditionalFormatting>
  <conditionalFormatting sqref="AC60">
    <cfRule type="expression" dxfId="0" priority="770">
      <formula>NOT(ISLOGICAL($AC$2))</formula>
    </cfRule>
  </conditionalFormatting>
  <conditionalFormatting sqref="B60:BU60">
    <cfRule type="containsErrors" dxfId="0" priority="769">
      <formula>ISERROR(B60)</formula>
    </cfRule>
  </conditionalFormatting>
  <conditionalFormatting sqref="I60">
    <cfRule type="expression" dxfId="0" priority="768">
      <formula>NOT(ISNUMBER($I$2))</formula>
    </cfRule>
  </conditionalFormatting>
  <conditionalFormatting sqref="D60">
    <cfRule type="expression" dxfId="0" priority="767">
      <formula>ISBLANK($D$2)</formula>
    </cfRule>
  </conditionalFormatting>
  <conditionalFormatting sqref="DW60">
    <cfRule type="expression" dxfId="2" priority="779">
      <formula>AND(BO60&gt;=1,DW60&lt;&gt;0, GetEquPower(C60,BI60, CA60, FN60)=0)</formula>
    </cfRule>
    <cfRule type="expression" dxfId="1" priority="780">
      <formula>AND(BO60&gt;=1,DW60&lt;&gt;GetEquPower(C60,BI60, CA60, FN60))</formula>
    </cfRule>
  </conditionalFormatting>
  <conditionalFormatting sqref="DX60">
    <cfRule type="expression" dxfId="2" priority="781">
      <formula>AND(BO60&gt;=2,DX60&lt;&gt;0, GetEquPower(C60,BI60, CB60, FN60)=0)</formula>
    </cfRule>
    <cfRule type="expression" dxfId="1" priority="782">
      <formula>AND(BO60&gt;=2,DX60&lt;&gt;GetEquPower(C60,BI60, CB60, FN60))</formula>
    </cfRule>
  </conditionalFormatting>
  <conditionalFormatting sqref="DY60">
    <cfRule type="expression" dxfId="2" priority="783">
      <formula>AND(BO60&gt;=3,DY60&lt;&gt;0, GetEquPower(C60,BI60, CC60, FN60)=0)</formula>
    </cfRule>
    <cfRule type="expression" dxfId="1" priority="784">
      <formula>AND(BO60&gt;=3,DY60&lt;&gt;GetEquPower(C60,BI60, CC60, FN60))</formula>
    </cfRule>
  </conditionalFormatting>
  <conditionalFormatting sqref="ED60">
    <cfRule type="expression" dxfId="2" priority="785">
      <formula>AND(BP60&gt;=1,ED60&lt;&gt;0, GetEquPower(C60,BJ60, CG60, FO60)=0)</formula>
    </cfRule>
    <cfRule type="expression" dxfId="1" priority="786">
      <formula>AND(BP60&gt;=1,ED60&lt;&gt;GetEquPower(C60,BJ60, CG60, FO60))</formula>
    </cfRule>
  </conditionalFormatting>
  <conditionalFormatting sqref="EE60">
    <cfRule type="expression" dxfId="2" priority="787">
      <formula>AND(BP60&gt;=2,EE60&lt;&gt;0, GetEquPower(C60,BJ60, CH60, FO60)=0)</formula>
    </cfRule>
    <cfRule type="expression" dxfId="1" priority="788">
      <formula>AND(BP60&gt;=2,EE60&lt;&gt;GetEquPower(C60,BJ60, CH60, FO60))</formula>
    </cfRule>
  </conditionalFormatting>
  <conditionalFormatting sqref="EF60">
    <cfRule type="expression" dxfId="2" priority="789">
      <formula>AND(BP60&gt;=3,EF60&lt;&gt;0, GetEquPower(C60,BJ60, CI60, FO60)=0)</formula>
    </cfRule>
    <cfRule type="expression" dxfId="1" priority="790">
      <formula>AND(BP60&gt;=3,EF60&lt;&gt;GetEquPower(C60,BJ60, CI60, FO60))</formula>
    </cfRule>
  </conditionalFormatting>
  <conditionalFormatting sqref="EK60">
    <cfRule type="expression" dxfId="2" priority="791">
      <formula>AND(BQ60&gt;=1,EK60&lt;&gt;0, GetEquPower(C60,BK60, CM60, FP60)=0)</formula>
    </cfRule>
    <cfRule type="expression" dxfId="1" priority="792">
      <formula>AND(BQ60&gt;=1,EK60&lt;&gt;GetEquPower(C60,BK60, CM60, FP60))</formula>
    </cfRule>
  </conditionalFormatting>
  <conditionalFormatting sqref="EL60">
    <cfRule type="expression" dxfId="2" priority="793">
      <formula>AND(BQ60&gt;=2,EL60&lt;&gt;0, GetEquPower(C60,BK60, CN60, FP60)=0)</formula>
    </cfRule>
    <cfRule type="expression" dxfId="1" priority="794">
      <formula xml:space="preserve"> AND(BQ60&gt;=2,EL60&lt;&gt;GetEquPower(C60,BK60, CN60, FP60))</formula>
    </cfRule>
  </conditionalFormatting>
  <conditionalFormatting sqref="EM60">
    <cfRule type="expression" dxfId="2" priority="795">
      <formula>AND(BQ60&gt;=3,EM60&lt;&gt;0, GetEquPower(C60,BK60, CO60, FP60)=0)</formula>
    </cfRule>
    <cfRule type="expression" dxfId="1" priority="796">
      <formula xml:space="preserve"> AND(BQ60&gt;=3,EM60&lt;&gt;GetEquPower(C60,BK60, CO60, FP60))</formula>
    </cfRule>
  </conditionalFormatting>
  <conditionalFormatting sqref="ER60">
    <cfRule type="expression" dxfId="2" priority="797">
      <formula>AND(BR60&gt;=1,ER60&lt;&gt;0, GetEquPower(C60,BL60, CS60, FQ60)=0)</formula>
    </cfRule>
    <cfRule type="expression" dxfId="1" priority="798">
      <formula>AND(BR60&gt;=1,ER60&lt;&gt;GetEquPower(C60,BL60, CS60, FQ60))</formula>
    </cfRule>
  </conditionalFormatting>
  <conditionalFormatting sqref="ES60">
    <cfRule type="expression" dxfId="2" priority="799">
      <formula>AND(BR60&gt;=2,ES60&lt;&gt;0, GetEquPower(C60,BL60, CT60, FQ60)=0)</formula>
    </cfRule>
    <cfRule type="expression" dxfId="1" priority="800">
      <formula>AND(BR60&gt;=2,ES60&lt;&gt;GetEquPower(C60,BL60, CT60, FQ60))</formula>
    </cfRule>
  </conditionalFormatting>
  <conditionalFormatting sqref="ET60">
    <cfRule type="expression" dxfId="2" priority="801">
      <formula>AND(BR60&gt;=3,ET60&lt;&gt;0, GetEquPower(C60,BL60, CU60, FQ60)=0)</formula>
    </cfRule>
    <cfRule type="expression" dxfId="1" priority="802">
      <formula>AND(BR60&gt;=3,ET60&lt;&gt;GetEquPower(C60,BL60, CU60, FQ60))</formula>
    </cfRule>
  </conditionalFormatting>
  <conditionalFormatting sqref="EY60">
    <cfRule type="expression" dxfId="2" priority="803">
      <formula>AND(BS60&gt;=1,EY60&lt;&gt;0, GetEquPower(C60,BM60, CY60, FR60)=0)</formula>
    </cfRule>
    <cfRule type="expression" dxfId="1" priority="804">
      <formula>AND(BS60&gt;=1,EY60&lt;&gt;GetEquPower(C60,BM60, CY60, FR60))</formula>
    </cfRule>
  </conditionalFormatting>
  <conditionalFormatting sqref="EZ60">
    <cfRule type="expression" dxfId="2" priority="805">
      <formula>AND(BS60&gt;=2,EZ60&lt;&gt;0, GetEquPower(C60,BM60, CZ60, FR60)=0)</formula>
    </cfRule>
    <cfRule type="expression" dxfId="1" priority="806">
      <formula>AND(BS60&gt;=2,EZ60&lt;&gt;GetEquPower(C60,BM60, CZ60, FR60))</formula>
    </cfRule>
  </conditionalFormatting>
  <conditionalFormatting sqref="FA60">
    <cfRule type="expression" dxfId="2" priority="807">
      <formula>AND(BS60&gt;=3,FA60&lt;&gt;0, GetEquPower(C60,BM60, DA60, FR60)=0)</formula>
    </cfRule>
    <cfRule type="expression" dxfId="1" priority="808">
      <formula>AND(BS60&gt;=3,FA60&lt;&gt;GetEquPower(C60,BM60, DA60, FR60))</formula>
    </cfRule>
  </conditionalFormatting>
  <conditionalFormatting sqref="FF60">
    <cfRule type="expression" dxfId="2" priority="809">
      <formula>AND(BT60&gt;=1,FF60&lt;&gt;0, GetEquPower(C60,BN60, DE60, FS60)=0)</formula>
    </cfRule>
    <cfRule type="expression" dxfId="1" priority="810">
      <formula>AND(BT60&gt;=1,FF60&lt;&gt;GetEquPower(C60,BN60, DE60, FS60))</formula>
    </cfRule>
  </conditionalFormatting>
  <conditionalFormatting sqref="FG60">
    <cfRule type="expression" dxfId="2" priority="811">
      <formula>AND(BT60&gt;=2,FG60&lt;&gt;0, GetEquPower(C60,BN60, DF60, FS60)=0)</formula>
    </cfRule>
    <cfRule type="expression" dxfId="1" priority="812">
      <formula>AND(BT60&gt;=2,FG60&lt;&gt;GetEquPower(C60,BN60, DF60, FS60))</formula>
    </cfRule>
  </conditionalFormatting>
  <conditionalFormatting sqref="FH60">
    <cfRule type="expression" dxfId="2" priority="813">
      <formula>AND(BT60&gt;=3,FH60&lt;&gt;0, GetEquPower(C60,BN60, DG60, FS60)=0)</formula>
    </cfRule>
    <cfRule type="expression" dxfId="1" priority="814">
      <formula>AND(BT60&gt;=3,FH60&lt;&gt;GetEquPower(C60,BN60, DG60, FS60))</formula>
    </cfRule>
  </conditionalFormatting>
  <conditionalFormatting sqref="DZ60">
    <cfRule type="expression" dxfId="2" priority="815">
      <formula>AND(BO60&gt;=4,DZ60&lt;&gt;0, GetEquPower(C60,BI60, CD60, FN60)=0)</formula>
    </cfRule>
    <cfRule type="expression" dxfId="1" priority="816">
      <formula>AND(BO60&gt;=4, DZ60&lt;&gt;GetEquPower(C60,BI60, CD60, FN60))</formula>
    </cfRule>
  </conditionalFormatting>
  <conditionalFormatting sqref="EG60">
    <cfRule type="expression" dxfId="2" priority="817">
      <formula>AND(BP60&gt;=4,EG60&lt;&gt;0, GetEquPower(C60,BJ60, CJ60, FO60)=0)</formula>
    </cfRule>
    <cfRule type="expression" dxfId="1" priority="818">
      <formula>AND(BP60&gt;=4,EG60&lt;&gt;GetEquPower(C60,BJ60, CJ60, FO60))</formula>
    </cfRule>
  </conditionalFormatting>
  <conditionalFormatting sqref="EN60">
    <cfRule type="expression" dxfId="2" priority="819">
      <formula>AND(BQ60&gt;=4,EN60&lt;&gt;0, GetEquPower(C60,BK60, CP60, FP60)=0)</formula>
    </cfRule>
    <cfRule type="expression" dxfId="1" priority="820">
      <formula xml:space="preserve"> AND(BQ60&gt;=4,EN60&lt;&gt;GetEquPower(C60,BK60, CP60, FP60))</formula>
    </cfRule>
  </conditionalFormatting>
  <conditionalFormatting sqref="EU60">
    <cfRule type="expression" dxfId="2" priority="821">
      <formula>AND(BR60&gt;=4,EU60&lt;&gt;0, GetEquPower(C60,BL60, CV60, FQ60)=0)</formula>
    </cfRule>
    <cfRule type="expression" dxfId="1" priority="822">
      <formula>AND(BR60&gt;=4,EU60&lt;&gt;GetEquPower(C60,BL60, CV60, FQ60))</formula>
    </cfRule>
  </conditionalFormatting>
  <conditionalFormatting sqref="FB60">
    <cfRule type="expression" dxfId="2" priority="823">
      <formula>AND(BS60&gt;=4,FB60&lt;&gt;0, GetEquPower(C60,BM60, DB60, FR60)=0)</formula>
    </cfRule>
    <cfRule type="expression" dxfId="1" priority="824">
      <formula>AND(BS60&gt;=4,FB60&lt;&gt;GetEquPower(C60,BM60, DB60, FR60))</formula>
    </cfRule>
  </conditionalFormatting>
  <conditionalFormatting sqref="FI60">
    <cfRule type="expression" dxfId="2" priority="825">
      <formula>AND(BT60&gt;=4,FI60&lt;&gt;0, GetEquPower(C60,BN60, DH60, FS60)=0)</formula>
    </cfRule>
    <cfRule type="expression" dxfId="1" priority="826">
      <formula>AND(BT60&gt;=4,FI60&lt;&gt;GetEquPower(C60,BN60, DH60, FS60))</formula>
    </cfRule>
  </conditionalFormatting>
  <conditionalFormatting sqref="EA60">
    <cfRule type="expression" dxfId="2" priority="827">
      <formula>AND(BO60&gt;=5,EA60&lt;&gt;0, GetEquPower(C60,BI60, CE60, FN60)=0)</formula>
    </cfRule>
    <cfRule type="expression" dxfId="1" priority="828">
      <formula>AND(BO60&gt;=5, EA60&lt;&gt;GetEquPower(C60,BI60, CE60, FN60))</formula>
    </cfRule>
  </conditionalFormatting>
  <conditionalFormatting sqref="EB60">
    <cfRule type="expression" dxfId="2" priority="829">
      <formula>AND(BO60&gt;=6,EB60&lt;&gt;0, GetEquPower(C60,BI60, CF60, FN60)=0)</formula>
    </cfRule>
    <cfRule type="expression" dxfId="1" priority="830">
      <formula>AND(BO60&gt;=6, EB60&lt;&gt;GetEquPower(C60,BI60, CF60, FN60))</formula>
    </cfRule>
  </conditionalFormatting>
  <conditionalFormatting sqref="EH60">
    <cfRule type="expression" dxfId="2" priority="831">
      <formula>AND(BP60&gt;=5,EH60&lt;&gt;0, GetEquPower(C60,BJ60, CK60, FO60)=0)</formula>
    </cfRule>
    <cfRule type="expression" dxfId="1" priority="832">
      <formula>AND(BP60&gt;=5,EH60&lt;&gt;GetEquPower(C60,BJ60, CK60, FO60))</formula>
    </cfRule>
  </conditionalFormatting>
  <conditionalFormatting sqref="EI60">
    <cfRule type="expression" dxfId="2" priority="833">
      <formula>AND(BP60&gt;=6,EI60&lt;&gt;0, GetEquPower(C60,BJ60, CL60, FO60)=0)</formula>
    </cfRule>
    <cfRule type="expression" dxfId="1" priority="834">
      <formula>AND(BP60&gt;=6,EI60&lt;&gt;GetEquPower(C60,BJ60, CL60, FO60))</formula>
    </cfRule>
  </conditionalFormatting>
  <conditionalFormatting sqref="EO60">
    <cfRule type="expression" dxfId="2" priority="835">
      <formula>AND(BQ60&gt;=5,EO60&lt;&gt;0, GetEquPower(C60,BK60, CQ60, FP60)=0)</formula>
    </cfRule>
    <cfRule type="expression" dxfId="1" priority="836">
      <formula xml:space="preserve"> AND(BQ60&gt;=5,EO60&lt;&gt;GetEquPower(C60,BK60, CQ60, FP60))</formula>
    </cfRule>
  </conditionalFormatting>
  <conditionalFormatting sqref="EP60">
    <cfRule type="expression" dxfId="2" priority="837">
      <formula>AND(BQ60&gt;=6,EP60&lt;&gt;0, GetEquPower(C60,BK60, CR60, FP60)=0)</formula>
    </cfRule>
    <cfRule type="expression" dxfId="1" priority="838">
      <formula xml:space="preserve"> AND(BQ60&gt;=6,EP60&lt;&gt;GetEquPower(C60,BK60, CR60, FP60))</formula>
    </cfRule>
  </conditionalFormatting>
  <conditionalFormatting sqref="EV60">
    <cfRule type="expression" dxfId="2" priority="839">
      <formula>AND(BR60&gt;=5,EV60&lt;&gt;0, GetEquPower(C60,BL60, CW60, FQ60)=0)</formula>
    </cfRule>
    <cfRule type="expression" dxfId="1" priority="840">
      <formula>AND(BR60&gt;=5,EV60&lt;&gt;GetEquPower(C60,BL60, CW60, FQ60))</formula>
    </cfRule>
  </conditionalFormatting>
  <conditionalFormatting sqref="EW60">
    <cfRule type="expression" dxfId="2" priority="841">
      <formula>AND(BR60&gt;=6,EW60&lt;&gt;0, GetEquPower(C60,BL60, CX60, FQ60)=0)</formula>
    </cfRule>
    <cfRule type="expression" dxfId="1" priority="842">
      <formula>AND(BR60&gt;=6,EW60&lt;&gt;GetEquPower(C60,BL60, CX60, FQ60))</formula>
    </cfRule>
  </conditionalFormatting>
  <conditionalFormatting sqref="FC60">
    <cfRule type="expression" dxfId="2" priority="843">
      <formula>AND(BS60&gt;=5,FC60&lt;&gt;0, GetEquPower(C60,BM60, DC60, FR60)=0)</formula>
    </cfRule>
    <cfRule type="expression" dxfId="1" priority="844">
      <formula>AND(BS60&gt;=5,FC60&lt;&gt;GetEquPower(C60,BM60, DC60, FR60))</formula>
    </cfRule>
  </conditionalFormatting>
  <conditionalFormatting sqref="FD60">
    <cfRule type="expression" dxfId="2" priority="845">
      <formula>AND(BS60&gt;=6,FD60&lt;&gt;0, GetEquPower(C60,BM60, DD60, FR60)=0)</formula>
    </cfRule>
    <cfRule type="expression" dxfId="1" priority="846">
      <formula>AND(BS60&gt;=6,FD60&lt;&gt;GetEquPower(C60,BM60, DD60, FR60))</formula>
    </cfRule>
  </conditionalFormatting>
  <conditionalFormatting sqref="FJ60">
    <cfRule type="expression" dxfId="2" priority="847">
      <formula>AND(BT60&gt;=5,FJ60&lt;&gt;0, GetEquPower(C60,BN60, DI60, FS60)=0)</formula>
    </cfRule>
    <cfRule type="expression" dxfId="1" priority="848">
      <formula>AND(BT60&gt;=5,FJ60&lt;&gt;GetEquPower(C60,BN60, DI60, FS60))</formula>
    </cfRule>
  </conditionalFormatting>
  <conditionalFormatting sqref="FK60">
    <cfRule type="expression" dxfId="2" priority="849">
      <formula>AND(BT60&gt;=6,FK60&lt;&gt;0, GetEquPower(C60,BN60, DJ60, FS60)=0)</formula>
    </cfRule>
    <cfRule type="expression" dxfId="1" priority="850">
      <formula>AND(BT60&gt;=6,FK60&lt;&gt;GetEquPower(C60,BN60, DJ60, FS60))</formula>
    </cfRule>
  </conditionalFormatting>
  <conditionalFormatting sqref="W60">
    <cfRule type="expression" dxfId="0" priority="766">
      <formula xml:space="preserve"> NOT(ISLOGICAL($W$2))</formula>
    </cfRule>
  </conditionalFormatting>
  <conditionalFormatting sqref="F61">
    <cfRule type="expression" dxfId="0" priority="693">
      <formula>F61&lt;&gt;RIGHT(SUBSTITUTE(E61,".",""),LEN(F61))</formula>
    </cfRule>
  </conditionalFormatting>
  <conditionalFormatting sqref="X61">
    <cfRule type="expression" dxfId="0" priority="688">
      <formula xml:space="preserve"> NOT(ISLOGICAL($X$2))</formula>
    </cfRule>
    <cfRule type="expression" dxfId="0" priority="692">
      <formula>AND(X61=TRUE,W61=FALSE)</formula>
    </cfRule>
  </conditionalFormatting>
  <conditionalFormatting sqref="Y61">
    <cfRule type="expression" dxfId="0" priority="691">
      <formula>OR(AND(X61=FALSE,INT(Y61)&gt;0),AND(X61=TRUE,INT(Y61)&lt;=0))</formula>
    </cfRule>
  </conditionalFormatting>
  <conditionalFormatting sqref="AA61">
    <cfRule type="expression" dxfId="0" priority="690">
      <formula>AND(Z61=FALSE,AA61&gt;0)</formula>
    </cfRule>
  </conditionalFormatting>
  <conditionalFormatting sqref="BV61:HY61">
    <cfRule type="containsErrors" dxfId="0" priority="689">
      <formula>ISERROR(BV61)</formula>
    </cfRule>
  </conditionalFormatting>
  <conditionalFormatting sqref="Z61">
    <cfRule type="expression" dxfId="0" priority="687">
      <formula>NOT(ISLOGICAL($Z$2))</formula>
    </cfRule>
  </conditionalFormatting>
  <conditionalFormatting sqref="AB61">
    <cfRule type="expression" dxfId="0" priority="686">
      <formula>NOT(ISLOGICAL($AB$2))</formula>
    </cfRule>
  </conditionalFormatting>
  <conditionalFormatting sqref="AC61">
    <cfRule type="expression" dxfId="0" priority="685">
      <formula>NOT(ISLOGICAL($AC$2))</formula>
    </cfRule>
  </conditionalFormatting>
  <conditionalFormatting sqref="B61:BU61">
    <cfRule type="containsErrors" dxfId="0" priority="684">
      <formula>ISERROR(B61)</formula>
    </cfRule>
  </conditionalFormatting>
  <conditionalFormatting sqref="I61">
    <cfRule type="expression" dxfId="0" priority="683">
      <formula>NOT(ISNUMBER($I$2))</formula>
    </cfRule>
  </conditionalFormatting>
  <conditionalFormatting sqref="D61">
    <cfRule type="expression" dxfId="0" priority="682">
      <formula>ISBLANK($D$2)</formula>
    </cfRule>
  </conditionalFormatting>
  <conditionalFormatting sqref="DW61">
    <cfRule type="expression" dxfId="2" priority="694">
      <formula>AND(BO61&gt;=1,DW61&lt;&gt;0, GetEquPower(C61,BI61, CA61, FN61)=0)</formula>
    </cfRule>
    <cfRule type="expression" dxfId="1" priority="695">
      <formula>AND(BO61&gt;=1,DW61&lt;&gt;GetEquPower(C61,BI61, CA61, FN61))</formula>
    </cfRule>
  </conditionalFormatting>
  <conditionalFormatting sqref="DX61">
    <cfRule type="expression" dxfId="2" priority="696">
      <formula>AND(BO61&gt;=2,DX61&lt;&gt;0, GetEquPower(C61,BI61, CB61, FN61)=0)</formula>
    </cfRule>
    <cfRule type="expression" dxfId="1" priority="697">
      <formula>AND(BO61&gt;=2,DX61&lt;&gt;GetEquPower(C61,BI61, CB61, FN61))</formula>
    </cfRule>
  </conditionalFormatting>
  <conditionalFormatting sqref="DY61">
    <cfRule type="expression" dxfId="2" priority="698">
      <formula>AND(BO61&gt;=3,DY61&lt;&gt;0, GetEquPower(C61,BI61, CC61, FN61)=0)</formula>
    </cfRule>
    <cfRule type="expression" dxfId="1" priority="699">
      <formula>AND(BO61&gt;=3,DY61&lt;&gt;GetEquPower(C61,BI61, CC61, FN61))</formula>
    </cfRule>
  </conditionalFormatting>
  <conditionalFormatting sqref="ED61">
    <cfRule type="expression" dxfId="2" priority="700">
      <formula>AND(BP61&gt;=1,ED61&lt;&gt;0, GetEquPower(C61,BJ61, CG61, FO61)=0)</formula>
    </cfRule>
    <cfRule type="expression" dxfId="1" priority="701">
      <formula>AND(BP61&gt;=1,ED61&lt;&gt;GetEquPower(C61,BJ61, CG61, FO61))</formula>
    </cfRule>
  </conditionalFormatting>
  <conditionalFormatting sqref="EE61">
    <cfRule type="expression" dxfId="2" priority="702">
      <formula>AND(BP61&gt;=2,EE61&lt;&gt;0, GetEquPower(C61,BJ61, CH61, FO61)=0)</formula>
    </cfRule>
    <cfRule type="expression" dxfId="1" priority="703">
      <formula>AND(BP61&gt;=2,EE61&lt;&gt;GetEquPower(C61,BJ61, CH61, FO61))</formula>
    </cfRule>
  </conditionalFormatting>
  <conditionalFormatting sqref="EF61">
    <cfRule type="expression" dxfId="2" priority="704">
      <formula>AND(BP61&gt;=3,EF61&lt;&gt;0, GetEquPower(C61,BJ61, CI61, FO61)=0)</formula>
    </cfRule>
    <cfRule type="expression" dxfId="1" priority="705">
      <formula>AND(BP61&gt;=3,EF61&lt;&gt;GetEquPower(C61,BJ61, CI61, FO61))</formula>
    </cfRule>
  </conditionalFormatting>
  <conditionalFormatting sqref="EK61">
    <cfRule type="expression" dxfId="2" priority="706">
      <formula>AND(BQ61&gt;=1,EK61&lt;&gt;0, GetEquPower(C61,BK61, CM61, FP61)=0)</formula>
    </cfRule>
    <cfRule type="expression" dxfId="1" priority="707">
      <formula>AND(BQ61&gt;=1,EK61&lt;&gt;GetEquPower(C61,BK61, CM61, FP61))</formula>
    </cfRule>
  </conditionalFormatting>
  <conditionalFormatting sqref="EL61">
    <cfRule type="expression" dxfId="2" priority="708">
      <formula>AND(BQ61&gt;=2,EL61&lt;&gt;0, GetEquPower(C61,BK61, CN61, FP61)=0)</formula>
    </cfRule>
    <cfRule type="expression" dxfId="1" priority="709">
      <formula xml:space="preserve"> AND(BQ61&gt;=2,EL61&lt;&gt;GetEquPower(C61,BK61, CN61, FP61))</formula>
    </cfRule>
  </conditionalFormatting>
  <conditionalFormatting sqref="EM61">
    <cfRule type="expression" dxfId="2" priority="710">
      <formula>AND(BQ61&gt;=3,EM61&lt;&gt;0, GetEquPower(C61,BK61, CO61, FP61)=0)</formula>
    </cfRule>
    <cfRule type="expression" dxfId="1" priority="711">
      <formula xml:space="preserve"> AND(BQ61&gt;=3,EM61&lt;&gt;GetEquPower(C61,BK61, CO61, FP61))</formula>
    </cfRule>
  </conditionalFormatting>
  <conditionalFormatting sqref="ER61">
    <cfRule type="expression" dxfId="2" priority="712">
      <formula>AND(BR61&gt;=1,ER61&lt;&gt;0, GetEquPower(C61,BL61, CS61, FQ61)=0)</formula>
    </cfRule>
    <cfRule type="expression" dxfId="1" priority="713">
      <formula>AND(BR61&gt;=1,ER61&lt;&gt;GetEquPower(C61,BL61, CS61, FQ61))</formula>
    </cfRule>
  </conditionalFormatting>
  <conditionalFormatting sqref="ES61">
    <cfRule type="expression" dxfId="2" priority="714">
      <formula>AND(BR61&gt;=2,ES61&lt;&gt;0, GetEquPower(C61,BL61, CT61, FQ61)=0)</formula>
    </cfRule>
    <cfRule type="expression" dxfId="1" priority="715">
      <formula>AND(BR61&gt;=2,ES61&lt;&gt;GetEquPower(C61,BL61, CT61, FQ61))</formula>
    </cfRule>
  </conditionalFormatting>
  <conditionalFormatting sqref="ET61">
    <cfRule type="expression" dxfId="2" priority="716">
      <formula>AND(BR61&gt;=3,ET61&lt;&gt;0, GetEquPower(C61,BL61, CU61, FQ61)=0)</formula>
    </cfRule>
    <cfRule type="expression" dxfId="1" priority="717">
      <formula>AND(BR61&gt;=3,ET61&lt;&gt;GetEquPower(C61,BL61, CU61, FQ61))</formula>
    </cfRule>
  </conditionalFormatting>
  <conditionalFormatting sqref="EY61">
    <cfRule type="expression" dxfId="2" priority="718">
      <formula>AND(BS61&gt;=1,EY61&lt;&gt;0, GetEquPower(C61,BM61, CY61, FR61)=0)</formula>
    </cfRule>
    <cfRule type="expression" dxfId="1" priority="719">
      <formula>AND(BS61&gt;=1,EY61&lt;&gt;GetEquPower(C61,BM61, CY61, FR61))</formula>
    </cfRule>
  </conditionalFormatting>
  <conditionalFormatting sqref="EZ61">
    <cfRule type="expression" dxfId="2" priority="720">
      <formula>AND(BS61&gt;=2,EZ61&lt;&gt;0, GetEquPower(C61,BM61, CZ61, FR61)=0)</formula>
    </cfRule>
    <cfRule type="expression" dxfId="1" priority="721">
      <formula>AND(BS61&gt;=2,EZ61&lt;&gt;GetEquPower(C61,BM61, CZ61, FR61))</formula>
    </cfRule>
  </conditionalFormatting>
  <conditionalFormatting sqref="FA61">
    <cfRule type="expression" dxfId="2" priority="722">
      <formula>AND(BS61&gt;=3,FA61&lt;&gt;0, GetEquPower(C61,BM61, DA61, FR61)=0)</formula>
    </cfRule>
    <cfRule type="expression" dxfId="1" priority="723">
      <formula>AND(BS61&gt;=3,FA61&lt;&gt;GetEquPower(C61,BM61, DA61, FR61))</formula>
    </cfRule>
  </conditionalFormatting>
  <conditionalFormatting sqref="FF61">
    <cfRule type="expression" dxfId="2" priority="724">
      <formula>AND(BT61&gt;=1,FF61&lt;&gt;0, GetEquPower(C61,BN61, DE61, FS61)=0)</formula>
    </cfRule>
    <cfRule type="expression" dxfId="1" priority="725">
      <formula>AND(BT61&gt;=1,FF61&lt;&gt;GetEquPower(C61,BN61, DE61, FS61))</formula>
    </cfRule>
  </conditionalFormatting>
  <conditionalFormatting sqref="FG61">
    <cfRule type="expression" dxfId="2" priority="726">
      <formula>AND(BT61&gt;=2,FG61&lt;&gt;0, GetEquPower(C61,BN61, DF61, FS61)=0)</formula>
    </cfRule>
    <cfRule type="expression" dxfId="1" priority="727">
      <formula>AND(BT61&gt;=2,FG61&lt;&gt;GetEquPower(C61,BN61, DF61, FS61))</formula>
    </cfRule>
  </conditionalFormatting>
  <conditionalFormatting sqref="FH61">
    <cfRule type="expression" dxfId="2" priority="728">
      <formula>AND(BT61&gt;=3,FH61&lt;&gt;0, GetEquPower(C61,BN61, DG61, FS61)=0)</formula>
    </cfRule>
    <cfRule type="expression" dxfId="1" priority="729">
      <formula>AND(BT61&gt;=3,FH61&lt;&gt;GetEquPower(C61,BN61, DG61, FS61))</formula>
    </cfRule>
  </conditionalFormatting>
  <conditionalFormatting sqref="DZ61">
    <cfRule type="expression" dxfId="2" priority="730">
      <formula>AND(BO61&gt;=4,DZ61&lt;&gt;0, GetEquPower(C61,BI61, CD61, FN61)=0)</formula>
    </cfRule>
    <cfRule type="expression" dxfId="1" priority="731">
      <formula>AND(BO61&gt;=4, DZ61&lt;&gt;GetEquPower(C61,BI61, CD61, FN61))</formula>
    </cfRule>
  </conditionalFormatting>
  <conditionalFormatting sqref="EG61">
    <cfRule type="expression" dxfId="2" priority="732">
      <formula>AND(BP61&gt;=4,EG61&lt;&gt;0, GetEquPower(C61,BJ61, CJ61, FO61)=0)</formula>
    </cfRule>
    <cfRule type="expression" dxfId="1" priority="733">
      <formula>AND(BP61&gt;=4,EG61&lt;&gt;GetEquPower(C61,BJ61, CJ61, FO61))</formula>
    </cfRule>
  </conditionalFormatting>
  <conditionalFormatting sqref="EN61">
    <cfRule type="expression" dxfId="2" priority="734">
      <formula>AND(BQ61&gt;=4,EN61&lt;&gt;0, GetEquPower(C61,BK61, CP61, FP61)=0)</formula>
    </cfRule>
    <cfRule type="expression" dxfId="1" priority="735">
      <formula xml:space="preserve"> AND(BQ61&gt;=4,EN61&lt;&gt;GetEquPower(C61,BK61, CP61, FP61))</formula>
    </cfRule>
  </conditionalFormatting>
  <conditionalFormatting sqref="EU61">
    <cfRule type="expression" dxfId="2" priority="736">
      <formula>AND(BR61&gt;=4,EU61&lt;&gt;0, GetEquPower(C61,BL61, CV61, FQ61)=0)</formula>
    </cfRule>
    <cfRule type="expression" dxfId="1" priority="737">
      <formula>AND(BR61&gt;=4,EU61&lt;&gt;GetEquPower(C61,BL61, CV61, FQ61))</formula>
    </cfRule>
  </conditionalFormatting>
  <conditionalFormatting sqref="FB61">
    <cfRule type="expression" dxfId="2" priority="738">
      <formula>AND(BS61&gt;=4,FB61&lt;&gt;0, GetEquPower(C61,BM61, DB61, FR61)=0)</formula>
    </cfRule>
    <cfRule type="expression" dxfId="1" priority="739">
      <formula>AND(BS61&gt;=4,FB61&lt;&gt;GetEquPower(C61,BM61, DB61, FR61))</formula>
    </cfRule>
  </conditionalFormatting>
  <conditionalFormatting sqref="FI61">
    <cfRule type="expression" dxfId="2" priority="740">
      <formula>AND(BT61&gt;=4,FI61&lt;&gt;0, GetEquPower(C61,BN61, DH61, FS61)=0)</formula>
    </cfRule>
    <cfRule type="expression" dxfId="1" priority="741">
      <formula>AND(BT61&gt;=4,FI61&lt;&gt;GetEquPower(C61,BN61, DH61, FS61))</formula>
    </cfRule>
  </conditionalFormatting>
  <conditionalFormatting sqref="EA61">
    <cfRule type="expression" dxfId="2" priority="742">
      <formula>AND(BO61&gt;=5,EA61&lt;&gt;0, GetEquPower(C61,BI61, CE61, FN61)=0)</formula>
    </cfRule>
    <cfRule type="expression" dxfId="1" priority="743">
      <formula>AND(BO61&gt;=5, EA61&lt;&gt;GetEquPower(C61,BI61, CE61, FN61))</formula>
    </cfRule>
  </conditionalFormatting>
  <conditionalFormatting sqref="EB61">
    <cfRule type="expression" dxfId="2" priority="744">
      <formula>AND(BO61&gt;=6,EB61&lt;&gt;0, GetEquPower(C61,BI61, CF61, FN61)=0)</formula>
    </cfRule>
    <cfRule type="expression" dxfId="1" priority="745">
      <formula>AND(BO61&gt;=6, EB61&lt;&gt;GetEquPower(C61,BI61, CF61, FN61))</formula>
    </cfRule>
  </conditionalFormatting>
  <conditionalFormatting sqref="EH61">
    <cfRule type="expression" dxfId="2" priority="746">
      <formula>AND(BP61&gt;=5,EH61&lt;&gt;0, GetEquPower(C61,BJ61, CK61, FO61)=0)</formula>
    </cfRule>
    <cfRule type="expression" dxfId="1" priority="747">
      <formula>AND(BP61&gt;=5,EH61&lt;&gt;GetEquPower(C61,BJ61, CK61, FO61))</formula>
    </cfRule>
  </conditionalFormatting>
  <conditionalFormatting sqref="EI61">
    <cfRule type="expression" dxfId="2" priority="748">
      <formula>AND(BP61&gt;=6,EI61&lt;&gt;0, GetEquPower(C61,BJ61, CL61, FO61)=0)</formula>
    </cfRule>
    <cfRule type="expression" dxfId="1" priority="749">
      <formula>AND(BP61&gt;=6,EI61&lt;&gt;GetEquPower(C61,BJ61, CL61, FO61))</formula>
    </cfRule>
  </conditionalFormatting>
  <conditionalFormatting sqref="EO61">
    <cfRule type="expression" dxfId="2" priority="750">
      <formula>AND(BQ61&gt;=5,EO61&lt;&gt;0, GetEquPower(C61,BK61, CQ61, FP61)=0)</formula>
    </cfRule>
    <cfRule type="expression" dxfId="1" priority="751">
      <formula xml:space="preserve"> AND(BQ61&gt;=5,EO61&lt;&gt;GetEquPower(C61,BK61, CQ61, FP61))</formula>
    </cfRule>
  </conditionalFormatting>
  <conditionalFormatting sqref="EP61">
    <cfRule type="expression" dxfId="2" priority="752">
      <formula>AND(BQ61&gt;=6,EP61&lt;&gt;0, GetEquPower(C61,BK61, CR61, FP61)=0)</formula>
    </cfRule>
    <cfRule type="expression" dxfId="1" priority="753">
      <formula xml:space="preserve"> AND(BQ61&gt;=6,EP61&lt;&gt;GetEquPower(C61,BK61, CR61, FP61))</formula>
    </cfRule>
  </conditionalFormatting>
  <conditionalFormatting sqref="EV61">
    <cfRule type="expression" dxfId="2" priority="754">
      <formula>AND(BR61&gt;=5,EV61&lt;&gt;0, GetEquPower(C61,BL61, CW61, FQ61)=0)</formula>
    </cfRule>
    <cfRule type="expression" dxfId="1" priority="755">
      <formula>AND(BR61&gt;=5,EV61&lt;&gt;GetEquPower(C61,BL61, CW61, FQ61))</formula>
    </cfRule>
  </conditionalFormatting>
  <conditionalFormatting sqref="EW61">
    <cfRule type="expression" dxfId="2" priority="756">
      <formula>AND(BR61&gt;=6,EW61&lt;&gt;0, GetEquPower(C61,BL61, CX61, FQ61)=0)</formula>
    </cfRule>
    <cfRule type="expression" dxfId="1" priority="757">
      <formula>AND(BR61&gt;=6,EW61&lt;&gt;GetEquPower(C61,BL61, CX61, FQ61))</formula>
    </cfRule>
  </conditionalFormatting>
  <conditionalFormatting sqref="FC61">
    <cfRule type="expression" dxfId="2" priority="758">
      <formula>AND(BS61&gt;=5,FC61&lt;&gt;0, GetEquPower(C61,BM61, DC61, FR61)=0)</formula>
    </cfRule>
    <cfRule type="expression" dxfId="1" priority="759">
      <formula>AND(BS61&gt;=5,FC61&lt;&gt;GetEquPower(C61,BM61, DC61, FR61))</formula>
    </cfRule>
  </conditionalFormatting>
  <conditionalFormatting sqref="FD61">
    <cfRule type="expression" dxfId="2" priority="760">
      <formula>AND(BS61&gt;=6,FD61&lt;&gt;0, GetEquPower(C61,BM61, DD61, FR61)=0)</formula>
    </cfRule>
    <cfRule type="expression" dxfId="1" priority="761">
      <formula>AND(BS61&gt;=6,FD61&lt;&gt;GetEquPower(C61,BM61, DD61, FR61))</formula>
    </cfRule>
  </conditionalFormatting>
  <conditionalFormatting sqref="FJ61">
    <cfRule type="expression" dxfId="2" priority="762">
      <formula>AND(BT61&gt;=5,FJ61&lt;&gt;0, GetEquPower(C61,BN61, DI61, FS61)=0)</formula>
    </cfRule>
    <cfRule type="expression" dxfId="1" priority="763">
      <formula>AND(BT61&gt;=5,FJ61&lt;&gt;GetEquPower(C61,BN61, DI61, FS61))</formula>
    </cfRule>
  </conditionalFormatting>
  <conditionalFormatting sqref="FK61">
    <cfRule type="expression" dxfId="2" priority="764">
      <formula>AND(BT61&gt;=6,FK61&lt;&gt;0, GetEquPower(C61,BN61, DJ61, FS61)=0)</formula>
    </cfRule>
    <cfRule type="expression" dxfId="1" priority="765">
      <formula>AND(BT61&gt;=6,FK61&lt;&gt;GetEquPower(C61,BN61, DJ61, FS61))</formula>
    </cfRule>
  </conditionalFormatting>
  <conditionalFormatting sqref="W61">
    <cfRule type="expression" dxfId="0" priority="681">
      <formula xml:space="preserve"> NOT(ISLOGICAL($W$2))</formula>
    </cfRule>
  </conditionalFormatting>
  <conditionalFormatting sqref="F62">
    <cfRule type="expression" dxfId="0" priority="608">
      <formula>F62&lt;&gt;RIGHT(SUBSTITUTE(E62,".",""),LEN(F62))</formula>
    </cfRule>
  </conditionalFormatting>
  <conditionalFormatting sqref="X62">
    <cfRule type="expression" dxfId="0" priority="603">
      <formula xml:space="preserve"> NOT(ISLOGICAL($X$2))</formula>
    </cfRule>
    <cfRule type="expression" dxfId="0" priority="607">
      <formula>AND(X62=TRUE,W62=FALSE)</formula>
    </cfRule>
  </conditionalFormatting>
  <conditionalFormatting sqref="Y62">
    <cfRule type="expression" dxfId="0" priority="606">
      <formula>OR(AND(X62=FALSE,INT(Y62)&gt;0),AND(X62=TRUE,INT(Y62)&lt;=0))</formula>
    </cfRule>
  </conditionalFormatting>
  <conditionalFormatting sqref="AA62">
    <cfRule type="expression" dxfId="0" priority="605">
      <formula>AND(Z62=FALSE,AA62&gt;0)</formula>
    </cfRule>
  </conditionalFormatting>
  <conditionalFormatting sqref="BV62:HY62">
    <cfRule type="containsErrors" dxfId="0" priority="604">
      <formula>ISERROR(BV62)</formula>
    </cfRule>
  </conditionalFormatting>
  <conditionalFormatting sqref="Z62">
    <cfRule type="expression" dxfId="0" priority="602">
      <formula>NOT(ISLOGICAL($Z$2))</formula>
    </cfRule>
  </conditionalFormatting>
  <conditionalFormatting sqref="AB62">
    <cfRule type="expression" dxfId="0" priority="601">
      <formula>NOT(ISLOGICAL($AB$2))</formula>
    </cfRule>
  </conditionalFormatting>
  <conditionalFormatting sqref="AC62">
    <cfRule type="expression" dxfId="0" priority="600">
      <formula>NOT(ISLOGICAL($AC$2))</formula>
    </cfRule>
  </conditionalFormatting>
  <conditionalFormatting sqref="B62:BU62">
    <cfRule type="containsErrors" dxfId="0" priority="599">
      <formula>ISERROR(B62)</formula>
    </cfRule>
  </conditionalFormatting>
  <conditionalFormatting sqref="I62">
    <cfRule type="expression" dxfId="0" priority="598">
      <formula>NOT(ISNUMBER($I$2))</formula>
    </cfRule>
  </conditionalFormatting>
  <conditionalFormatting sqref="D62">
    <cfRule type="expression" dxfId="0" priority="597">
      <formula>ISBLANK($D$2)</formula>
    </cfRule>
  </conditionalFormatting>
  <conditionalFormatting sqref="DW62">
    <cfRule type="expression" dxfId="2" priority="609">
      <formula>AND(BO62&gt;=1,DW62&lt;&gt;0, GetEquPower(C62,BI62, CA62, FN62)=0)</formula>
    </cfRule>
    <cfRule type="expression" dxfId="1" priority="610">
      <formula>AND(BO62&gt;=1,DW62&lt;&gt;GetEquPower(C62,BI62, CA62, FN62))</formula>
    </cfRule>
  </conditionalFormatting>
  <conditionalFormatting sqref="DX62">
    <cfRule type="expression" dxfId="2" priority="611">
      <formula>AND(BO62&gt;=2,DX62&lt;&gt;0, GetEquPower(C62,BI62, CB62, FN62)=0)</formula>
    </cfRule>
    <cfRule type="expression" dxfId="1" priority="612">
      <formula>AND(BO62&gt;=2,DX62&lt;&gt;GetEquPower(C62,BI62, CB62, FN62))</formula>
    </cfRule>
  </conditionalFormatting>
  <conditionalFormatting sqref="DY62">
    <cfRule type="expression" dxfId="2" priority="613">
      <formula>AND(BO62&gt;=3,DY62&lt;&gt;0, GetEquPower(C62,BI62, CC62, FN62)=0)</formula>
    </cfRule>
    <cfRule type="expression" dxfId="1" priority="614">
      <formula>AND(BO62&gt;=3,DY62&lt;&gt;GetEquPower(C62,BI62, CC62, FN62))</formula>
    </cfRule>
  </conditionalFormatting>
  <conditionalFormatting sqref="ED62">
    <cfRule type="expression" dxfId="2" priority="615">
      <formula>AND(BP62&gt;=1,ED62&lt;&gt;0, GetEquPower(C62,BJ62, CG62, FO62)=0)</formula>
    </cfRule>
    <cfRule type="expression" dxfId="1" priority="616">
      <formula>AND(BP62&gt;=1,ED62&lt;&gt;GetEquPower(C62,BJ62, CG62, FO62))</formula>
    </cfRule>
  </conditionalFormatting>
  <conditionalFormatting sqref="EE62">
    <cfRule type="expression" dxfId="2" priority="617">
      <formula>AND(BP62&gt;=2,EE62&lt;&gt;0, GetEquPower(C62,BJ62, CH62, FO62)=0)</formula>
    </cfRule>
    <cfRule type="expression" dxfId="1" priority="618">
      <formula>AND(BP62&gt;=2,EE62&lt;&gt;GetEquPower(C62,BJ62, CH62, FO62))</formula>
    </cfRule>
  </conditionalFormatting>
  <conditionalFormatting sqref="EF62">
    <cfRule type="expression" dxfId="2" priority="619">
      <formula>AND(BP62&gt;=3,EF62&lt;&gt;0, GetEquPower(C62,BJ62, CI62, FO62)=0)</formula>
    </cfRule>
    <cfRule type="expression" dxfId="1" priority="620">
      <formula>AND(BP62&gt;=3,EF62&lt;&gt;GetEquPower(C62,BJ62, CI62, FO62))</formula>
    </cfRule>
  </conditionalFormatting>
  <conditionalFormatting sqref="EK62">
    <cfRule type="expression" dxfId="2" priority="621">
      <formula>AND(BQ62&gt;=1,EK62&lt;&gt;0, GetEquPower(C62,BK62, CM62, FP62)=0)</formula>
    </cfRule>
    <cfRule type="expression" dxfId="1" priority="622">
      <formula>AND(BQ62&gt;=1,EK62&lt;&gt;GetEquPower(C62,BK62, CM62, FP62))</formula>
    </cfRule>
  </conditionalFormatting>
  <conditionalFormatting sqref="EL62">
    <cfRule type="expression" dxfId="2" priority="623">
      <formula>AND(BQ62&gt;=2,EL62&lt;&gt;0, GetEquPower(C62,BK62, CN62, FP62)=0)</formula>
    </cfRule>
    <cfRule type="expression" dxfId="1" priority="624">
      <formula xml:space="preserve"> AND(BQ62&gt;=2,EL62&lt;&gt;GetEquPower(C62,BK62, CN62, FP62))</formula>
    </cfRule>
  </conditionalFormatting>
  <conditionalFormatting sqref="EM62">
    <cfRule type="expression" dxfId="2" priority="625">
      <formula>AND(BQ62&gt;=3,EM62&lt;&gt;0, GetEquPower(C62,BK62, CO62, FP62)=0)</formula>
    </cfRule>
    <cfRule type="expression" dxfId="1" priority="626">
      <formula xml:space="preserve"> AND(BQ62&gt;=3,EM62&lt;&gt;GetEquPower(C62,BK62, CO62, FP62))</formula>
    </cfRule>
  </conditionalFormatting>
  <conditionalFormatting sqref="ER62">
    <cfRule type="expression" dxfId="2" priority="627">
      <formula>AND(BR62&gt;=1,ER62&lt;&gt;0, GetEquPower(C62,BL62, CS62, FQ62)=0)</formula>
    </cfRule>
    <cfRule type="expression" dxfId="1" priority="628">
      <formula>AND(BR62&gt;=1,ER62&lt;&gt;GetEquPower(C62,BL62, CS62, FQ62))</formula>
    </cfRule>
  </conditionalFormatting>
  <conditionalFormatting sqref="ES62">
    <cfRule type="expression" dxfId="2" priority="629">
      <formula>AND(BR62&gt;=2,ES62&lt;&gt;0, GetEquPower(C62,BL62, CT62, FQ62)=0)</formula>
    </cfRule>
    <cfRule type="expression" dxfId="1" priority="630">
      <formula>AND(BR62&gt;=2,ES62&lt;&gt;GetEquPower(C62,BL62, CT62, FQ62))</formula>
    </cfRule>
  </conditionalFormatting>
  <conditionalFormatting sqref="ET62">
    <cfRule type="expression" dxfId="2" priority="631">
      <formula>AND(BR62&gt;=3,ET62&lt;&gt;0, GetEquPower(C62,BL62, CU62, FQ62)=0)</formula>
    </cfRule>
    <cfRule type="expression" dxfId="1" priority="632">
      <formula>AND(BR62&gt;=3,ET62&lt;&gt;GetEquPower(C62,BL62, CU62, FQ62))</formula>
    </cfRule>
  </conditionalFormatting>
  <conditionalFormatting sqref="EY62">
    <cfRule type="expression" dxfId="2" priority="633">
      <formula>AND(BS62&gt;=1,EY62&lt;&gt;0, GetEquPower(C62,BM62, CY62, FR62)=0)</formula>
    </cfRule>
    <cfRule type="expression" dxfId="1" priority="634">
      <formula>AND(BS62&gt;=1,EY62&lt;&gt;GetEquPower(C62,BM62, CY62, FR62))</formula>
    </cfRule>
  </conditionalFormatting>
  <conditionalFormatting sqref="EZ62">
    <cfRule type="expression" dxfId="2" priority="635">
      <formula>AND(BS62&gt;=2,EZ62&lt;&gt;0, GetEquPower(C62,BM62, CZ62, FR62)=0)</formula>
    </cfRule>
    <cfRule type="expression" dxfId="1" priority="636">
      <formula>AND(BS62&gt;=2,EZ62&lt;&gt;GetEquPower(C62,BM62, CZ62, FR62))</formula>
    </cfRule>
  </conditionalFormatting>
  <conditionalFormatting sqref="FA62">
    <cfRule type="expression" dxfId="2" priority="637">
      <formula>AND(BS62&gt;=3,FA62&lt;&gt;0, GetEquPower(C62,BM62, DA62, FR62)=0)</formula>
    </cfRule>
    <cfRule type="expression" dxfId="1" priority="638">
      <formula>AND(BS62&gt;=3,FA62&lt;&gt;GetEquPower(C62,BM62, DA62, FR62))</formula>
    </cfRule>
  </conditionalFormatting>
  <conditionalFormatting sqref="FF62">
    <cfRule type="expression" dxfId="2" priority="639">
      <formula>AND(BT62&gt;=1,FF62&lt;&gt;0, GetEquPower(C62,BN62, DE62, FS62)=0)</formula>
    </cfRule>
    <cfRule type="expression" dxfId="1" priority="640">
      <formula>AND(BT62&gt;=1,FF62&lt;&gt;GetEquPower(C62,BN62, DE62, FS62))</formula>
    </cfRule>
  </conditionalFormatting>
  <conditionalFormatting sqref="FG62">
    <cfRule type="expression" dxfId="2" priority="641">
      <formula>AND(BT62&gt;=2,FG62&lt;&gt;0, GetEquPower(C62,BN62, DF62, FS62)=0)</formula>
    </cfRule>
    <cfRule type="expression" dxfId="1" priority="642">
      <formula>AND(BT62&gt;=2,FG62&lt;&gt;GetEquPower(C62,BN62, DF62, FS62))</formula>
    </cfRule>
  </conditionalFormatting>
  <conditionalFormatting sqref="FH62">
    <cfRule type="expression" dxfId="2" priority="643">
      <formula>AND(BT62&gt;=3,FH62&lt;&gt;0, GetEquPower(C62,BN62, DG62, FS62)=0)</formula>
    </cfRule>
    <cfRule type="expression" dxfId="1" priority="644">
      <formula>AND(BT62&gt;=3,FH62&lt;&gt;GetEquPower(C62,BN62, DG62, FS62))</formula>
    </cfRule>
  </conditionalFormatting>
  <conditionalFormatting sqref="DZ62">
    <cfRule type="expression" dxfId="2" priority="645">
      <formula>AND(BO62&gt;=4,DZ62&lt;&gt;0, GetEquPower(C62,BI62, CD62, FN62)=0)</formula>
    </cfRule>
    <cfRule type="expression" dxfId="1" priority="646">
      <formula>AND(BO62&gt;=4, DZ62&lt;&gt;GetEquPower(C62,BI62, CD62, FN62))</formula>
    </cfRule>
  </conditionalFormatting>
  <conditionalFormatting sqref="EG62">
    <cfRule type="expression" dxfId="2" priority="647">
      <formula>AND(BP62&gt;=4,EG62&lt;&gt;0, GetEquPower(C62,BJ62, CJ62, FO62)=0)</formula>
    </cfRule>
    <cfRule type="expression" dxfId="1" priority="648">
      <formula>AND(BP62&gt;=4,EG62&lt;&gt;GetEquPower(C62,BJ62, CJ62, FO62))</formula>
    </cfRule>
  </conditionalFormatting>
  <conditionalFormatting sqref="EN62">
    <cfRule type="expression" dxfId="2" priority="649">
      <formula>AND(BQ62&gt;=4,EN62&lt;&gt;0, GetEquPower(C62,BK62, CP62, FP62)=0)</formula>
    </cfRule>
    <cfRule type="expression" dxfId="1" priority="650">
      <formula xml:space="preserve"> AND(BQ62&gt;=4,EN62&lt;&gt;GetEquPower(C62,BK62, CP62, FP62))</formula>
    </cfRule>
  </conditionalFormatting>
  <conditionalFormatting sqref="EU62">
    <cfRule type="expression" dxfId="2" priority="651">
      <formula>AND(BR62&gt;=4,EU62&lt;&gt;0, GetEquPower(C62,BL62, CV62, FQ62)=0)</formula>
    </cfRule>
    <cfRule type="expression" dxfId="1" priority="652">
      <formula>AND(BR62&gt;=4,EU62&lt;&gt;GetEquPower(C62,BL62, CV62, FQ62))</formula>
    </cfRule>
  </conditionalFormatting>
  <conditionalFormatting sqref="FB62">
    <cfRule type="expression" dxfId="2" priority="653">
      <formula>AND(BS62&gt;=4,FB62&lt;&gt;0, GetEquPower(C62,BM62, DB62, FR62)=0)</formula>
    </cfRule>
    <cfRule type="expression" dxfId="1" priority="654">
      <formula>AND(BS62&gt;=4,FB62&lt;&gt;GetEquPower(C62,BM62, DB62, FR62))</formula>
    </cfRule>
  </conditionalFormatting>
  <conditionalFormatting sqref="FI62">
    <cfRule type="expression" dxfId="2" priority="655">
      <formula>AND(BT62&gt;=4,FI62&lt;&gt;0, GetEquPower(C62,BN62, DH62, FS62)=0)</formula>
    </cfRule>
    <cfRule type="expression" dxfId="1" priority="656">
      <formula>AND(BT62&gt;=4,FI62&lt;&gt;GetEquPower(C62,BN62, DH62, FS62))</formula>
    </cfRule>
  </conditionalFormatting>
  <conditionalFormatting sqref="EA62">
    <cfRule type="expression" dxfId="2" priority="657">
      <formula>AND(BO62&gt;=5,EA62&lt;&gt;0, GetEquPower(C62,BI62, CE62, FN62)=0)</formula>
    </cfRule>
    <cfRule type="expression" dxfId="1" priority="658">
      <formula>AND(BO62&gt;=5, EA62&lt;&gt;GetEquPower(C62,BI62, CE62, FN62))</formula>
    </cfRule>
  </conditionalFormatting>
  <conditionalFormatting sqref="EB62">
    <cfRule type="expression" dxfId="2" priority="659">
      <formula>AND(BO62&gt;=6,EB62&lt;&gt;0, GetEquPower(C62,BI62, CF62, FN62)=0)</formula>
    </cfRule>
    <cfRule type="expression" dxfId="1" priority="660">
      <formula>AND(BO62&gt;=6, EB62&lt;&gt;GetEquPower(C62,BI62, CF62, FN62))</formula>
    </cfRule>
  </conditionalFormatting>
  <conditionalFormatting sqref="EH62">
    <cfRule type="expression" dxfId="2" priority="661">
      <formula>AND(BP62&gt;=5,EH62&lt;&gt;0, GetEquPower(C62,BJ62, CK62, FO62)=0)</formula>
    </cfRule>
    <cfRule type="expression" dxfId="1" priority="662">
      <formula>AND(BP62&gt;=5,EH62&lt;&gt;GetEquPower(C62,BJ62, CK62, FO62))</formula>
    </cfRule>
  </conditionalFormatting>
  <conditionalFormatting sqref="EI62">
    <cfRule type="expression" dxfId="2" priority="663">
      <formula>AND(BP62&gt;=6,EI62&lt;&gt;0, GetEquPower(C62,BJ62, CL62, FO62)=0)</formula>
    </cfRule>
    <cfRule type="expression" dxfId="1" priority="664">
      <formula>AND(BP62&gt;=6,EI62&lt;&gt;GetEquPower(C62,BJ62, CL62, FO62))</formula>
    </cfRule>
  </conditionalFormatting>
  <conditionalFormatting sqref="EO62">
    <cfRule type="expression" dxfId="2" priority="665">
      <formula>AND(BQ62&gt;=5,EO62&lt;&gt;0, GetEquPower(C62,BK62, CQ62, FP62)=0)</formula>
    </cfRule>
    <cfRule type="expression" dxfId="1" priority="666">
      <formula xml:space="preserve"> AND(BQ62&gt;=5,EO62&lt;&gt;GetEquPower(C62,BK62, CQ62, FP62))</formula>
    </cfRule>
  </conditionalFormatting>
  <conditionalFormatting sqref="EP62">
    <cfRule type="expression" dxfId="2" priority="667">
      <formula>AND(BQ62&gt;=6,EP62&lt;&gt;0, GetEquPower(C62,BK62, CR62, FP62)=0)</formula>
    </cfRule>
    <cfRule type="expression" dxfId="1" priority="668">
      <formula xml:space="preserve"> AND(BQ62&gt;=6,EP62&lt;&gt;GetEquPower(C62,BK62, CR62, FP62))</formula>
    </cfRule>
  </conditionalFormatting>
  <conditionalFormatting sqref="EV62">
    <cfRule type="expression" dxfId="2" priority="669">
      <formula>AND(BR62&gt;=5,EV62&lt;&gt;0, GetEquPower(C62,BL62, CW62, FQ62)=0)</formula>
    </cfRule>
    <cfRule type="expression" dxfId="1" priority="670">
      <formula>AND(BR62&gt;=5,EV62&lt;&gt;GetEquPower(C62,BL62, CW62, FQ62))</formula>
    </cfRule>
  </conditionalFormatting>
  <conditionalFormatting sqref="EW62">
    <cfRule type="expression" dxfId="2" priority="671">
      <formula>AND(BR62&gt;=6,EW62&lt;&gt;0, GetEquPower(C62,BL62, CX62, FQ62)=0)</formula>
    </cfRule>
    <cfRule type="expression" dxfId="1" priority="672">
      <formula>AND(BR62&gt;=6,EW62&lt;&gt;GetEquPower(C62,BL62, CX62, FQ62))</formula>
    </cfRule>
  </conditionalFormatting>
  <conditionalFormatting sqref="FC62">
    <cfRule type="expression" dxfId="2" priority="673">
      <formula>AND(BS62&gt;=5,FC62&lt;&gt;0, GetEquPower(C62,BM62, DC62, FR62)=0)</formula>
    </cfRule>
    <cfRule type="expression" dxfId="1" priority="674">
      <formula>AND(BS62&gt;=5,FC62&lt;&gt;GetEquPower(C62,BM62, DC62, FR62))</formula>
    </cfRule>
  </conditionalFormatting>
  <conditionalFormatting sqref="FD62">
    <cfRule type="expression" dxfId="2" priority="675">
      <formula>AND(BS62&gt;=6,FD62&lt;&gt;0, GetEquPower(C62,BM62, DD62, FR62)=0)</formula>
    </cfRule>
    <cfRule type="expression" dxfId="1" priority="676">
      <formula>AND(BS62&gt;=6,FD62&lt;&gt;GetEquPower(C62,BM62, DD62, FR62))</formula>
    </cfRule>
  </conditionalFormatting>
  <conditionalFormatting sqref="FJ62">
    <cfRule type="expression" dxfId="2" priority="677">
      <formula>AND(BT62&gt;=5,FJ62&lt;&gt;0, GetEquPower(C62,BN62, DI62, FS62)=0)</formula>
    </cfRule>
    <cfRule type="expression" dxfId="1" priority="678">
      <formula>AND(BT62&gt;=5,FJ62&lt;&gt;GetEquPower(C62,BN62, DI62, FS62))</formula>
    </cfRule>
  </conditionalFormatting>
  <conditionalFormatting sqref="FK62">
    <cfRule type="expression" dxfId="2" priority="679">
      <formula>AND(BT62&gt;=6,FK62&lt;&gt;0, GetEquPower(C62,BN62, DJ62, FS62)=0)</formula>
    </cfRule>
    <cfRule type="expression" dxfId="1" priority="680">
      <formula>AND(BT62&gt;=6,FK62&lt;&gt;GetEquPower(C62,BN62, DJ62, FS62))</formula>
    </cfRule>
  </conditionalFormatting>
  <conditionalFormatting sqref="W62">
    <cfRule type="expression" dxfId="0" priority="596">
      <formula xml:space="preserve"> NOT(ISLOGICAL($W$2))</formula>
    </cfRule>
  </conditionalFormatting>
  <conditionalFormatting sqref="F63">
    <cfRule type="expression" dxfId="0" priority="523">
      <formula>F63&lt;&gt;RIGHT(SUBSTITUTE(E63,".",""),LEN(F63))</formula>
    </cfRule>
  </conditionalFormatting>
  <conditionalFormatting sqref="X63">
    <cfRule type="expression" dxfId="0" priority="518">
      <formula xml:space="preserve"> NOT(ISLOGICAL($X$2))</formula>
    </cfRule>
    <cfRule type="expression" dxfId="0" priority="522">
      <formula>AND(X63=TRUE,W63=FALSE)</formula>
    </cfRule>
  </conditionalFormatting>
  <conditionalFormatting sqref="Y63">
    <cfRule type="expression" dxfId="0" priority="521">
      <formula>OR(AND(X63=FALSE,INT(Y63)&gt;0),AND(X63=TRUE,INT(Y63)&lt;=0))</formula>
    </cfRule>
  </conditionalFormatting>
  <conditionalFormatting sqref="AA63">
    <cfRule type="expression" dxfId="0" priority="520">
      <formula>AND(Z63=FALSE,AA63&gt;0)</formula>
    </cfRule>
  </conditionalFormatting>
  <conditionalFormatting sqref="BV63:HY63">
    <cfRule type="containsErrors" dxfId="0" priority="519">
      <formula>ISERROR(BV63)</formula>
    </cfRule>
  </conditionalFormatting>
  <conditionalFormatting sqref="Z63">
    <cfRule type="expression" dxfId="0" priority="517">
      <formula>NOT(ISLOGICAL($Z$2))</formula>
    </cfRule>
  </conditionalFormatting>
  <conditionalFormatting sqref="AB63">
    <cfRule type="expression" dxfId="0" priority="516">
      <formula>NOT(ISLOGICAL($AB$2))</formula>
    </cfRule>
  </conditionalFormatting>
  <conditionalFormatting sqref="AC63">
    <cfRule type="expression" dxfId="0" priority="515">
      <formula>NOT(ISLOGICAL($AC$2))</formula>
    </cfRule>
  </conditionalFormatting>
  <conditionalFormatting sqref="B63:BU63">
    <cfRule type="containsErrors" dxfId="0" priority="514">
      <formula>ISERROR(B63)</formula>
    </cfRule>
  </conditionalFormatting>
  <conditionalFormatting sqref="I63">
    <cfRule type="expression" dxfId="0" priority="513">
      <formula>NOT(ISNUMBER($I$2))</formula>
    </cfRule>
  </conditionalFormatting>
  <conditionalFormatting sqref="D63">
    <cfRule type="expression" dxfId="0" priority="512">
      <formula>ISBLANK($D$2)</formula>
    </cfRule>
  </conditionalFormatting>
  <conditionalFormatting sqref="DW63">
    <cfRule type="expression" dxfId="2" priority="524">
      <formula>AND(BO63&gt;=1,DW63&lt;&gt;0, GetEquPower(C63,BI63, CA63, FN63)=0)</formula>
    </cfRule>
    <cfRule type="expression" dxfId="1" priority="525">
      <formula>AND(BO63&gt;=1,DW63&lt;&gt;GetEquPower(C63,BI63, CA63, FN63))</formula>
    </cfRule>
  </conditionalFormatting>
  <conditionalFormatting sqref="DX63">
    <cfRule type="expression" dxfId="2" priority="526">
      <formula>AND(BO63&gt;=2,DX63&lt;&gt;0, GetEquPower(C63,BI63, CB63, FN63)=0)</formula>
    </cfRule>
    <cfRule type="expression" dxfId="1" priority="527">
      <formula>AND(BO63&gt;=2,DX63&lt;&gt;GetEquPower(C63,BI63, CB63, FN63))</formula>
    </cfRule>
  </conditionalFormatting>
  <conditionalFormatting sqref="DY63">
    <cfRule type="expression" dxfId="2" priority="528">
      <formula>AND(BO63&gt;=3,DY63&lt;&gt;0, GetEquPower(C63,BI63, CC63, FN63)=0)</formula>
    </cfRule>
    <cfRule type="expression" dxfId="1" priority="529">
      <formula>AND(BO63&gt;=3,DY63&lt;&gt;GetEquPower(C63,BI63, CC63, FN63))</formula>
    </cfRule>
  </conditionalFormatting>
  <conditionalFormatting sqref="ED63">
    <cfRule type="expression" dxfId="2" priority="530">
      <formula>AND(BP63&gt;=1,ED63&lt;&gt;0, GetEquPower(C63,BJ63, CG63, FO63)=0)</formula>
    </cfRule>
    <cfRule type="expression" dxfId="1" priority="531">
      <formula>AND(BP63&gt;=1,ED63&lt;&gt;GetEquPower(C63,BJ63, CG63, FO63))</formula>
    </cfRule>
  </conditionalFormatting>
  <conditionalFormatting sqref="EE63">
    <cfRule type="expression" dxfId="2" priority="532">
      <formula>AND(BP63&gt;=2,EE63&lt;&gt;0, GetEquPower(C63,BJ63, CH63, FO63)=0)</formula>
    </cfRule>
    <cfRule type="expression" dxfId="1" priority="533">
      <formula>AND(BP63&gt;=2,EE63&lt;&gt;GetEquPower(C63,BJ63, CH63, FO63))</formula>
    </cfRule>
  </conditionalFormatting>
  <conditionalFormatting sqref="EF63">
    <cfRule type="expression" dxfId="2" priority="534">
      <formula>AND(BP63&gt;=3,EF63&lt;&gt;0, GetEquPower(C63,BJ63, CI63, FO63)=0)</formula>
    </cfRule>
    <cfRule type="expression" dxfId="1" priority="535">
      <formula>AND(BP63&gt;=3,EF63&lt;&gt;GetEquPower(C63,BJ63, CI63, FO63))</formula>
    </cfRule>
  </conditionalFormatting>
  <conditionalFormatting sqref="EK63">
    <cfRule type="expression" dxfId="2" priority="536">
      <formula>AND(BQ63&gt;=1,EK63&lt;&gt;0, GetEquPower(C63,BK63, CM63, FP63)=0)</formula>
    </cfRule>
    <cfRule type="expression" dxfId="1" priority="537">
      <formula>AND(BQ63&gt;=1,EK63&lt;&gt;GetEquPower(C63,BK63, CM63, FP63))</formula>
    </cfRule>
  </conditionalFormatting>
  <conditionalFormatting sqref="EL63">
    <cfRule type="expression" dxfId="2" priority="538">
      <formula>AND(BQ63&gt;=2,EL63&lt;&gt;0, GetEquPower(C63,BK63, CN63, FP63)=0)</formula>
    </cfRule>
    <cfRule type="expression" dxfId="1" priority="539">
      <formula xml:space="preserve"> AND(BQ63&gt;=2,EL63&lt;&gt;GetEquPower(C63,BK63, CN63, FP63))</formula>
    </cfRule>
  </conditionalFormatting>
  <conditionalFormatting sqref="EM63">
    <cfRule type="expression" dxfId="2" priority="540">
      <formula>AND(BQ63&gt;=3,EM63&lt;&gt;0, GetEquPower(C63,BK63, CO63, FP63)=0)</formula>
    </cfRule>
    <cfRule type="expression" dxfId="1" priority="541">
      <formula xml:space="preserve"> AND(BQ63&gt;=3,EM63&lt;&gt;GetEquPower(C63,BK63, CO63, FP63))</formula>
    </cfRule>
  </conditionalFormatting>
  <conditionalFormatting sqref="ER63">
    <cfRule type="expression" dxfId="2" priority="542">
      <formula>AND(BR63&gt;=1,ER63&lt;&gt;0, GetEquPower(C63,BL63, CS63, FQ63)=0)</formula>
    </cfRule>
    <cfRule type="expression" dxfId="1" priority="543">
      <formula>AND(BR63&gt;=1,ER63&lt;&gt;GetEquPower(C63,BL63, CS63, FQ63))</formula>
    </cfRule>
  </conditionalFormatting>
  <conditionalFormatting sqref="ES63">
    <cfRule type="expression" dxfId="2" priority="544">
      <formula>AND(BR63&gt;=2,ES63&lt;&gt;0, GetEquPower(C63,BL63, CT63, FQ63)=0)</formula>
    </cfRule>
    <cfRule type="expression" dxfId="1" priority="545">
      <formula>AND(BR63&gt;=2,ES63&lt;&gt;GetEquPower(C63,BL63, CT63, FQ63))</formula>
    </cfRule>
  </conditionalFormatting>
  <conditionalFormatting sqref="ET63">
    <cfRule type="expression" dxfId="2" priority="546">
      <formula>AND(BR63&gt;=3,ET63&lt;&gt;0, GetEquPower(C63,BL63, CU63, FQ63)=0)</formula>
    </cfRule>
    <cfRule type="expression" dxfId="1" priority="547">
      <formula>AND(BR63&gt;=3,ET63&lt;&gt;GetEquPower(C63,BL63, CU63, FQ63))</formula>
    </cfRule>
  </conditionalFormatting>
  <conditionalFormatting sqref="EY63">
    <cfRule type="expression" dxfId="2" priority="548">
      <formula>AND(BS63&gt;=1,EY63&lt;&gt;0, GetEquPower(C63,BM63, CY63, FR63)=0)</formula>
    </cfRule>
    <cfRule type="expression" dxfId="1" priority="549">
      <formula>AND(BS63&gt;=1,EY63&lt;&gt;GetEquPower(C63,BM63, CY63, FR63))</formula>
    </cfRule>
  </conditionalFormatting>
  <conditionalFormatting sqref="EZ63">
    <cfRule type="expression" dxfId="2" priority="550">
      <formula>AND(BS63&gt;=2,EZ63&lt;&gt;0, GetEquPower(C63,BM63, CZ63, FR63)=0)</formula>
    </cfRule>
    <cfRule type="expression" dxfId="1" priority="551">
      <formula>AND(BS63&gt;=2,EZ63&lt;&gt;GetEquPower(C63,BM63, CZ63, FR63))</formula>
    </cfRule>
  </conditionalFormatting>
  <conditionalFormatting sqref="FA63">
    <cfRule type="expression" dxfId="2" priority="552">
      <formula>AND(BS63&gt;=3,FA63&lt;&gt;0, GetEquPower(C63,BM63, DA63, FR63)=0)</formula>
    </cfRule>
    <cfRule type="expression" dxfId="1" priority="553">
      <formula>AND(BS63&gt;=3,FA63&lt;&gt;GetEquPower(C63,BM63, DA63, FR63))</formula>
    </cfRule>
  </conditionalFormatting>
  <conditionalFormatting sqref="FF63">
    <cfRule type="expression" dxfId="2" priority="554">
      <formula>AND(BT63&gt;=1,FF63&lt;&gt;0, GetEquPower(C63,BN63, DE63, FS63)=0)</formula>
    </cfRule>
    <cfRule type="expression" dxfId="1" priority="555">
      <formula>AND(BT63&gt;=1,FF63&lt;&gt;GetEquPower(C63,BN63, DE63, FS63))</formula>
    </cfRule>
  </conditionalFormatting>
  <conditionalFormatting sqref="FG63">
    <cfRule type="expression" dxfId="2" priority="556">
      <formula>AND(BT63&gt;=2,FG63&lt;&gt;0, GetEquPower(C63,BN63, DF63, FS63)=0)</formula>
    </cfRule>
    <cfRule type="expression" dxfId="1" priority="557">
      <formula>AND(BT63&gt;=2,FG63&lt;&gt;GetEquPower(C63,BN63, DF63, FS63))</formula>
    </cfRule>
  </conditionalFormatting>
  <conditionalFormatting sqref="FH63">
    <cfRule type="expression" dxfId="2" priority="558">
      <formula>AND(BT63&gt;=3,FH63&lt;&gt;0, GetEquPower(C63,BN63, DG63, FS63)=0)</formula>
    </cfRule>
    <cfRule type="expression" dxfId="1" priority="559">
      <formula>AND(BT63&gt;=3,FH63&lt;&gt;GetEquPower(C63,BN63, DG63, FS63))</formula>
    </cfRule>
  </conditionalFormatting>
  <conditionalFormatting sqref="DZ63">
    <cfRule type="expression" dxfId="2" priority="560">
      <formula>AND(BO63&gt;=4,DZ63&lt;&gt;0, GetEquPower(C63,BI63, CD63, FN63)=0)</formula>
    </cfRule>
    <cfRule type="expression" dxfId="1" priority="561">
      <formula>AND(BO63&gt;=4, DZ63&lt;&gt;GetEquPower(C63,BI63, CD63, FN63))</formula>
    </cfRule>
  </conditionalFormatting>
  <conditionalFormatting sqref="EG63">
    <cfRule type="expression" dxfId="2" priority="562">
      <formula>AND(BP63&gt;=4,EG63&lt;&gt;0, GetEquPower(C63,BJ63, CJ63, FO63)=0)</formula>
    </cfRule>
    <cfRule type="expression" dxfId="1" priority="563">
      <formula>AND(BP63&gt;=4,EG63&lt;&gt;GetEquPower(C63,BJ63, CJ63, FO63))</formula>
    </cfRule>
  </conditionalFormatting>
  <conditionalFormatting sqref="EN63">
    <cfRule type="expression" dxfId="2" priority="564">
      <formula>AND(BQ63&gt;=4,EN63&lt;&gt;0, GetEquPower(C63,BK63, CP63, FP63)=0)</formula>
    </cfRule>
    <cfRule type="expression" dxfId="1" priority="565">
      <formula xml:space="preserve"> AND(BQ63&gt;=4,EN63&lt;&gt;GetEquPower(C63,BK63, CP63, FP63))</formula>
    </cfRule>
  </conditionalFormatting>
  <conditionalFormatting sqref="EU63">
    <cfRule type="expression" dxfId="2" priority="566">
      <formula>AND(BR63&gt;=4,EU63&lt;&gt;0, GetEquPower(C63,BL63, CV63, FQ63)=0)</formula>
    </cfRule>
    <cfRule type="expression" dxfId="1" priority="567">
      <formula>AND(BR63&gt;=4,EU63&lt;&gt;GetEquPower(C63,BL63, CV63, FQ63))</formula>
    </cfRule>
  </conditionalFormatting>
  <conditionalFormatting sqref="FB63">
    <cfRule type="expression" dxfId="2" priority="568">
      <formula>AND(BS63&gt;=4,FB63&lt;&gt;0, GetEquPower(C63,BM63, DB63, FR63)=0)</formula>
    </cfRule>
    <cfRule type="expression" dxfId="1" priority="569">
      <formula>AND(BS63&gt;=4,FB63&lt;&gt;GetEquPower(C63,BM63, DB63, FR63))</formula>
    </cfRule>
  </conditionalFormatting>
  <conditionalFormatting sqref="FI63">
    <cfRule type="expression" dxfId="2" priority="570">
      <formula>AND(BT63&gt;=4,FI63&lt;&gt;0, GetEquPower(C63,BN63, DH63, FS63)=0)</formula>
    </cfRule>
    <cfRule type="expression" dxfId="1" priority="571">
      <formula>AND(BT63&gt;=4,FI63&lt;&gt;GetEquPower(C63,BN63, DH63, FS63))</formula>
    </cfRule>
  </conditionalFormatting>
  <conditionalFormatting sqref="EA63">
    <cfRule type="expression" dxfId="2" priority="572">
      <formula>AND(BO63&gt;=5,EA63&lt;&gt;0, GetEquPower(C63,BI63, CE63, FN63)=0)</formula>
    </cfRule>
    <cfRule type="expression" dxfId="1" priority="573">
      <formula>AND(BO63&gt;=5, EA63&lt;&gt;GetEquPower(C63,BI63, CE63, FN63))</formula>
    </cfRule>
  </conditionalFormatting>
  <conditionalFormatting sqref="EB63">
    <cfRule type="expression" dxfId="2" priority="574">
      <formula>AND(BO63&gt;=6,EB63&lt;&gt;0, GetEquPower(C63,BI63, CF63, FN63)=0)</formula>
    </cfRule>
    <cfRule type="expression" dxfId="1" priority="575">
      <formula>AND(BO63&gt;=6, EB63&lt;&gt;GetEquPower(C63,BI63, CF63, FN63))</formula>
    </cfRule>
  </conditionalFormatting>
  <conditionalFormatting sqref="EH63">
    <cfRule type="expression" dxfId="2" priority="576">
      <formula>AND(BP63&gt;=5,EH63&lt;&gt;0, GetEquPower(C63,BJ63, CK63, FO63)=0)</formula>
    </cfRule>
    <cfRule type="expression" dxfId="1" priority="577">
      <formula>AND(BP63&gt;=5,EH63&lt;&gt;GetEquPower(C63,BJ63, CK63, FO63))</formula>
    </cfRule>
  </conditionalFormatting>
  <conditionalFormatting sqref="EI63">
    <cfRule type="expression" dxfId="2" priority="578">
      <formula>AND(BP63&gt;=6,EI63&lt;&gt;0, GetEquPower(C63,BJ63, CL63, FO63)=0)</formula>
    </cfRule>
    <cfRule type="expression" dxfId="1" priority="579">
      <formula>AND(BP63&gt;=6,EI63&lt;&gt;GetEquPower(C63,BJ63, CL63, FO63))</formula>
    </cfRule>
  </conditionalFormatting>
  <conditionalFormatting sqref="EO63">
    <cfRule type="expression" dxfId="2" priority="580">
      <formula>AND(BQ63&gt;=5,EO63&lt;&gt;0, GetEquPower(C63,BK63, CQ63, FP63)=0)</formula>
    </cfRule>
    <cfRule type="expression" dxfId="1" priority="581">
      <formula xml:space="preserve"> AND(BQ63&gt;=5,EO63&lt;&gt;GetEquPower(C63,BK63, CQ63, FP63))</formula>
    </cfRule>
  </conditionalFormatting>
  <conditionalFormatting sqref="EP63">
    <cfRule type="expression" dxfId="2" priority="582">
      <formula>AND(BQ63&gt;=6,EP63&lt;&gt;0, GetEquPower(C63,BK63, CR63, FP63)=0)</formula>
    </cfRule>
    <cfRule type="expression" dxfId="1" priority="583">
      <formula xml:space="preserve"> AND(BQ63&gt;=6,EP63&lt;&gt;GetEquPower(C63,BK63, CR63, FP63))</formula>
    </cfRule>
  </conditionalFormatting>
  <conditionalFormatting sqref="EV63">
    <cfRule type="expression" dxfId="2" priority="584">
      <formula>AND(BR63&gt;=5,EV63&lt;&gt;0, GetEquPower(C63,BL63, CW63, FQ63)=0)</formula>
    </cfRule>
    <cfRule type="expression" dxfId="1" priority="585">
      <formula>AND(BR63&gt;=5,EV63&lt;&gt;GetEquPower(C63,BL63, CW63, FQ63))</formula>
    </cfRule>
  </conditionalFormatting>
  <conditionalFormatting sqref="EW63">
    <cfRule type="expression" dxfId="2" priority="586">
      <formula>AND(BR63&gt;=6,EW63&lt;&gt;0, GetEquPower(C63,BL63, CX63, FQ63)=0)</formula>
    </cfRule>
    <cfRule type="expression" dxfId="1" priority="587">
      <formula>AND(BR63&gt;=6,EW63&lt;&gt;GetEquPower(C63,BL63, CX63, FQ63))</formula>
    </cfRule>
  </conditionalFormatting>
  <conditionalFormatting sqref="FC63">
    <cfRule type="expression" dxfId="2" priority="588">
      <formula>AND(BS63&gt;=5,FC63&lt;&gt;0, GetEquPower(C63,BM63, DC63, FR63)=0)</formula>
    </cfRule>
    <cfRule type="expression" dxfId="1" priority="589">
      <formula>AND(BS63&gt;=5,FC63&lt;&gt;GetEquPower(C63,BM63, DC63, FR63))</formula>
    </cfRule>
  </conditionalFormatting>
  <conditionalFormatting sqref="FD63">
    <cfRule type="expression" dxfId="2" priority="590">
      <formula>AND(BS63&gt;=6,FD63&lt;&gt;0, GetEquPower(C63,BM63, DD63, FR63)=0)</formula>
    </cfRule>
    <cfRule type="expression" dxfId="1" priority="591">
      <formula>AND(BS63&gt;=6,FD63&lt;&gt;GetEquPower(C63,BM63, DD63, FR63))</formula>
    </cfRule>
  </conditionalFormatting>
  <conditionalFormatting sqref="FJ63">
    <cfRule type="expression" dxfId="2" priority="592">
      <formula>AND(BT63&gt;=5,FJ63&lt;&gt;0, GetEquPower(C63,BN63, DI63, FS63)=0)</formula>
    </cfRule>
    <cfRule type="expression" dxfId="1" priority="593">
      <formula>AND(BT63&gt;=5,FJ63&lt;&gt;GetEquPower(C63,BN63, DI63, FS63))</formula>
    </cfRule>
  </conditionalFormatting>
  <conditionalFormatting sqref="FK63">
    <cfRule type="expression" dxfId="2" priority="594">
      <formula>AND(BT63&gt;=6,FK63&lt;&gt;0, GetEquPower(C63,BN63, DJ63, FS63)=0)</formula>
    </cfRule>
    <cfRule type="expression" dxfId="1" priority="595">
      <formula>AND(BT63&gt;=6,FK63&lt;&gt;GetEquPower(C63,BN63, DJ63, FS63))</formula>
    </cfRule>
  </conditionalFormatting>
  <conditionalFormatting sqref="W63">
    <cfRule type="expression" dxfId="0" priority="511">
      <formula xml:space="preserve"> NOT(ISLOGICAL($W$2))</formula>
    </cfRule>
  </conditionalFormatting>
  <conditionalFormatting sqref="F64">
    <cfRule type="expression" dxfId="0" priority="438">
      <formula>F64&lt;&gt;RIGHT(SUBSTITUTE(E64,".",""),LEN(F64))</formula>
    </cfRule>
  </conditionalFormatting>
  <conditionalFormatting sqref="X64">
    <cfRule type="expression" dxfId="0" priority="433">
      <formula xml:space="preserve"> NOT(ISLOGICAL($X$2))</formula>
    </cfRule>
    <cfRule type="expression" dxfId="0" priority="437">
      <formula>AND(X64=TRUE,W64=FALSE)</formula>
    </cfRule>
  </conditionalFormatting>
  <conditionalFormatting sqref="Y64">
    <cfRule type="expression" dxfId="0" priority="436">
      <formula>OR(AND(X64=FALSE,INT(Y64)&gt;0),AND(X64=TRUE,INT(Y64)&lt;=0))</formula>
    </cfRule>
  </conditionalFormatting>
  <conditionalFormatting sqref="AA64">
    <cfRule type="expression" dxfId="0" priority="435">
      <formula>AND(Z64=FALSE,AA64&gt;0)</formula>
    </cfRule>
  </conditionalFormatting>
  <conditionalFormatting sqref="BV64:HY64">
    <cfRule type="containsErrors" dxfId="0" priority="434">
      <formula>ISERROR(BV64)</formula>
    </cfRule>
  </conditionalFormatting>
  <conditionalFormatting sqref="Z64">
    <cfRule type="expression" dxfId="0" priority="432">
      <formula>NOT(ISLOGICAL($Z$2))</formula>
    </cfRule>
  </conditionalFormatting>
  <conditionalFormatting sqref="AB64">
    <cfRule type="expression" dxfId="0" priority="431">
      <formula>NOT(ISLOGICAL($AB$2))</formula>
    </cfRule>
  </conditionalFormatting>
  <conditionalFormatting sqref="AC64">
    <cfRule type="expression" dxfId="0" priority="430">
      <formula>NOT(ISLOGICAL($AC$2))</formula>
    </cfRule>
  </conditionalFormatting>
  <conditionalFormatting sqref="B64:BU64">
    <cfRule type="containsErrors" dxfId="0" priority="429">
      <formula>ISERROR(B64)</formula>
    </cfRule>
  </conditionalFormatting>
  <conditionalFormatting sqref="I64">
    <cfRule type="expression" dxfId="0" priority="428">
      <formula>NOT(ISNUMBER($I$2))</formula>
    </cfRule>
  </conditionalFormatting>
  <conditionalFormatting sqref="D64">
    <cfRule type="expression" dxfId="0" priority="427">
      <formula>ISBLANK($D$2)</formula>
    </cfRule>
  </conditionalFormatting>
  <conditionalFormatting sqref="DW64">
    <cfRule type="expression" dxfId="2" priority="439">
      <formula>AND(BO64&gt;=1,DW64&lt;&gt;0, GetEquPower(C64,BI64, CA64, FN64)=0)</formula>
    </cfRule>
    <cfRule type="expression" dxfId="1" priority="440">
      <formula>AND(BO64&gt;=1,DW64&lt;&gt;GetEquPower(C64,BI64, CA64, FN64))</formula>
    </cfRule>
  </conditionalFormatting>
  <conditionalFormatting sqref="DX64">
    <cfRule type="expression" dxfId="2" priority="441">
      <formula>AND(BO64&gt;=2,DX64&lt;&gt;0, GetEquPower(C64,BI64, CB64, FN64)=0)</formula>
    </cfRule>
    <cfRule type="expression" dxfId="1" priority="442">
      <formula>AND(BO64&gt;=2,DX64&lt;&gt;GetEquPower(C64,BI64, CB64, FN64))</formula>
    </cfRule>
  </conditionalFormatting>
  <conditionalFormatting sqref="DY64">
    <cfRule type="expression" dxfId="2" priority="443">
      <formula>AND(BO64&gt;=3,DY64&lt;&gt;0, GetEquPower(C64,BI64, CC64, FN64)=0)</formula>
    </cfRule>
    <cfRule type="expression" dxfId="1" priority="444">
      <formula>AND(BO64&gt;=3,DY64&lt;&gt;GetEquPower(C64,BI64, CC64, FN64))</formula>
    </cfRule>
  </conditionalFormatting>
  <conditionalFormatting sqref="ED64">
    <cfRule type="expression" dxfId="2" priority="445">
      <formula>AND(BP64&gt;=1,ED64&lt;&gt;0, GetEquPower(C64,BJ64, CG64, FO64)=0)</formula>
    </cfRule>
    <cfRule type="expression" dxfId="1" priority="446">
      <formula>AND(BP64&gt;=1,ED64&lt;&gt;GetEquPower(C64,BJ64, CG64, FO64))</formula>
    </cfRule>
  </conditionalFormatting>
  <conditionalFormatting sqref="EE64">
    <cfRule type="expression" dxfId="2" priority="447">
      <formula>AND(BP64&gt;=2,EE64&lt;&gt;0, GetEquPower(C64,BJ64, CH64, FO64)=0)</formula>
    </cfRule>
    <cfRule type="expression" dxfId="1" priority="448">
      <formula>AND(BP64&gt;=2,EE64&lt;&gt;GetEquPower(C64,BJ64, CH64, FO64))</formula>
    </cfRule>
  </conditionalFormatting>
  <conditionalFormatting sqref="EF64">
    <cfRule type="expression" dxfId="2" priority="449">
      <formula>AND(BP64&gt;=3,EF64&lt;&gt;0, GetEquPower(C64,BJ64, CI64, FO64)=0)</formula>
    </cfRule>
    <cfRule type="expression" dxfId="1" priority="450">
      <formula>AND(BP64&gt;=3,EF64&lt;&gt;GetEquPower(C64,BJ64, CI64, FO64))</formula>
    </cfRule>
  </conditionalFormatting>
  <conditionalFormatting sqref="EK64">
    <cfRule type="expression" dxfId="2" priority="451">
      <formula>AND(BQ64&gt;=1,EK64&lt;&gt;0, GetEquPower(C64,BK64, CM64, FP64)=0)</formula>
    </cfRule>
    <cfRule type="expression" dxfId="1" priority="452">
      <formula>AND(BQ64&gt;=1,EK64&lt;&gt;GetEquPower(C64,BK64, CM64, FP64))</formula>
    </cfRule>
  </conditionalFormatting>
  <conditionalFormatting sqref="EL64">
    <cfRule type="expression" dxfId="2" priority="453">
      <formula>AND(BQ64&gt;=2,EL64&lt;&gt;0, GetEquPower(C64,BK64, CN64, FP64)=0)</formula>
    </cfRule>
    <cfRule type="expression" dxfId="1" priority="454">
      <formula xml:space="preserve"> AND(BQ64&gt;=2,EL64&lt;&gt;GetEquPower(C64,BK64, CN64, FP64))</formula>
    </cfRule>
  </conditionalFormatting>
  <conditionalFormatting sqref="EM64">
    <cfRule type="expression" dxfId="2" priority="455">
      <formula>AND(BQ64&gt;=3,EM64&lt;&gt;0, GetEquPower(C64,BK64, CO64, FP64)=0)</formula>
    </cfRule>
    <cfRule type="expression" dxfId="1" priority="456">
      <formula xml:space="preserve"> AND(BQ64&gt;=3,EM64&lt;&gt;GetEquPower(C64,BK64, CO64, FP64))</formula>
    </cfRule>
  </conditionalFormatting>
  <conditionalFormatting sqref="ER64">
    <cfRule type="expression" dxfId="2" priority="457">
      <formula>AND(BR64&gt;=1,ER64&lt;&gt;0, GetEquPower(C64,BL64, CS64, FQ64)=0)</formula>
    </cfRule>
    <cfRule type="expression" dxfId="1" priority="458">
      <formula>AND(BR64&gt;=1,ER64&lt;&gt;GetEquPower(C64,BL64, CS64, FQ64))</formula>
    </cfRule>
  </conditionalFormatting>
  <conditionalFormatting sqref="ES64">
    <cfRule type="expression" dxfId="2" priority="459">
      <formula>AND(BR64&gt;=2,ES64&lt;&gt;0, GetEquPower(C64,BL64, CT64, FQ64)=0)</formula>
    </cfRule>
    <cfRule type="expression" dxfId="1" priority="460">
      <formula>AND(BR64&gt;=2,ES64&lt;&gt;GetEquPower(C64,BL64, CT64, FQ64))</formula>
    </cfRule>
  </conditionalFormatting>
  <conditionalFormatting sqref="ET64">
    <cfRule type="expression" dxfId="2" priority="461">
      <formula>AND(BR64&gt;=3,ET64&lt;&gt;0, GetEquPower(C64,BL64, CU64, FQ64)=0)</formula>
    </cfRule>
    <cfRule type="expression" dxfId="1" priority="462">
      <formula>AND(BR64&gt;=3,ET64&lt;&gt;GetEquPower(C64,BL64, CU64, FQ64))</formula>
    </cfRule>
  </conditionalFormatting>
  <conditionalFormatting sqref="EY64">
    <cfRule type="expression" dxfId="2" priority="463">
      <formula>AND(BS64&gt;=1,EY64&lt;&gt;0, GetEquPower(C64,BM64, CY64, FR64)=0)</formula>
    </cfRule>
    <cfRule type="expression" dxfId="1" priority="464">
      <formula>AND(BS64&gt;=1,EY64&lt;&gt;GetEquPower(C64,BM64, CY64, FR64))</formula>
    </cfRule>
  </conditionalFormatting>
  <conditionalFormatting sqref="EZ64">
    <cfRule type="expression" dxfId="2" priority="465">
      <formula>AND(BS64&gt;=2,EZ64&lt;&gt;0, GetEquPower(C64,BM64, CZ64, FR64)=0)</formula>
    </cfRule>
    <cfRule type="expression" dxfId="1" priority="466">
      <formula>AND(BS64&gt;=2,EZ64&lt;&gt;GetEquPower(C64,BM64, CZ64, FR64))</formula>
    </cfRule>
  </conditionalFormatting>
  <conditionalFormatting sqref="FA64">
    <cfRule type="expression" dxfId="2" priority="467">
      <formula>AND(BS64&gt;=3,FA64&lt;&gt;0, GetEquPower(C64,BM64, DA64, FR64)=0)</formula>
    </cfRule>
    <cfRule type="expression" dxfId="1" priority="468">
      <formula>AND(BS64&gt;=3,FA64&lt;&gt;GetEquPower(C64,BM64, DA64, FR64))</formula>
    </cfRule>
  </conditionalFormatting>
  <conditionalFormatting sqref="FF64">
    <cfRule type="expression" dxfId="2" priority="469">
      <formula>AND(BT64&gt;=1,FF64&lt;&gt;0, GetEquPower(C64,BN64, DE64, FS64)=0)</formula>
    </cfRule>
    <cfRule type="expression" dxfId="1" priority="470">
      <formula>AND(BT64&gt;=1,FF64&lt;&gt;GetEquPower(C64,BN64, DE64, FS64))</formula>
    </cfRule>
  </conditionalFormatting>
  <conditionalFormatting sqref="FG64">
    <cfRule type="expression" dxfId="2" priority="471">
      <formula>AND(BT64&gt;=2,FG64&lt;&gt;0, GetEquPower(C64,BN64, DF64, FS64)=0)</formula>
    </cfRule>
    <cfRule type="expression" dxfId="1" priority="472">
      <formula>AND(BT64&gt;=2,FG64&lt;&gt;GetEquPower(C64,BN64, DF64, FS64))</formula>
    </cfRule>
  </conditionalFormatting>
  <conditionalFormatting sqref="FH64">
    <cfRule type="expression" dxfId="2" priority="473">
      <formula>AND(BT64&gt;=3,FH64&lt;&gt;0, GetEquPower(C64,BN64, DG64, FS64)=0)</formula>
    </cfRule>
    <cfRule type="expression" dxfId="1" priority="474">
      <formula>AND(BT64&gt;=3,FH64&lt;&gt;GetEquPower(C64,BN64, DG64, FS64))</formula>
    </cfRule>
  </conditionalFormatting>
  <conditionalFormatting sqref="DZ64">
    <cfRule type="expression" dxfId="2" priority="475">
      <formula>AND(BO64&gt;=4,DZ64&lt;&gt;0, GetEquPower(C64,BI64, CD64, FN64)=0)</formula>
    </cfRule>
    <cfRule type="expression" dxfId="1" priority="476">
      <formula>AND(BO64&gt;=4, DZ64&lt;&gt;GetEquPower(C64,BI64, CD64, FN64))</formula>
    </cfRule>
  </conditionalFormatting>
  <conditionalFormatting sqref="EG64">
    <cfRule type="expression" dxfId="2" priority="477">
      <formula>AND(BP64&gt;=4,EG64&lt;&gt;0, GetEquPower(C64,BJ64, CJ64, FO64)=0)</formula>
    </cfRule>
    <cfRule type="expression" dxfId="1" priority="478">
      <formula>AND(BP64&gt;=4,EG64&lt;&gt;GetEquPower(C64,BJ64, CJ64, FO64))</formula>
    </cfRule>
  </conditionalFormatting>
  <conditionalFormatting sqref="EN64">
    <cfRule type="expression" dxfId="2" priority="479">
      <formula>AND(BQ64&gt;=4,EN64&lt;&gt;0, GetEquPower(C64,BK64, CP64, FP64)=0)</formula>
    </cfRule>
    <cfRule type="expression" dxfId="1" priority="480">
      <formula xml:space="preserve"> AND(BQ64&gt;=4,EN64&lt;&gt;GetEquPower(C64,BK64, CP64, FP64))</formula>
    </cfRule>
  </conditionalFormatting>
  <conditionalFormatting sqref="EU64">
    <cfRule type="expression" dxfId="2" priority="481">
      <formula>AND(BR64&gt;=4,EU64&lt;&gt;0, GetEquPower(C64,BL64, CV64, FQ64)=0)</formula>
    </cfRule>
    <cfRule type="expression" dxfId="1" priority="482">
      <formula>AND(BR64&gt;=4,EU64&lt;&gt;GetEquPower(C64,BL64, CV64, FQ64))</formula>
    </cfRule>
  </conditionalFormatting>
  <conditionalFormatting sqref="FB64">
    <cfRule type="expression" dxfId="2" priority="483">
      <formula>AND(BS64&gt;=4,FB64&lt;&gt;0, GetEquPower(C64,BM64, DB64, FR64)=0)</formula>
    </cfRule>
    <cfRule type="expression" dxfId="1" priority="484">
      <formula>AND(BS64&gt;=4,FB64&lt;&gt;GetEquPower(C64,BM64, DB64, FR64))</formula>
    </cfRule>
  </conditionalFormatting>
  <conditionalFormatting sqref="FI64">
    <cfRule type="expression" dxfId="2" priority="485">
      <formula>AND(BT64&gt;=4,FI64&lt;&gt;0, GetEquPower(C64,BN64, DH64, FS64)=0)</formula>
    </cfRule>
    <cfRule type="expression" dxfId="1" priority="486">
      <formula>AND(BT64&gt;=4,FI64&lt;&gt;GetEquPower(C64,BN64, DH64, FS64))</formula>
    </cfRule>
  </conditionalFormatting>
  <conditionalFormatting sqref="EA64">
    <cfRule type="expression" dxfId="2" priority="487">
      <formula>AND(BO64&gt;=5,EA64&lt;&gt;0, GetEquPower(C64,BI64, CE64, FN64)=0)</formula>
    </cfRule>
    <cfRule type="expression" dxfId="1" priority="488">
      <formula>AND(BO64&gt;=5, EA64&lt;&gt;GetEquPower(C64,BI64, CE64, FN64))</formula>
    </cfRule>
  </conditionalFormatting>
  <conditionalFormatting sqref="EB64">
    <cfRule type="expression" dxfId="2" priority="489">
      <formula>AND(BO64&gt;=6,EB64&lt;&gt;0, GetEquPower(C64,BI64, CF64, FN64)=0)</formula>
    </cfRule>
    <cfRule type="expression" dxfId="1" priority="490">
      <formula>AND(BO64&gt;=6, EB64&lt;&gt;GetEquPower(C64,BI64, CF64, FN64))</formula>
    </cfRule>
  </conditionalFormatting>
  <conditionalFormatting sqref="EH64">
    <cfRule type="expression" dxfId="2" priority="491">
      <formula>AND(BP64&gt;=5,EH64&lt;&gt;0, GetEquPower(C64,BJ64, CK64, FO64)=0)</formula>
    </cfRule>
    <cfRule type="expression" dxfId="1" priority="492">
      <formula>AND(BP64&gt;=5,EH64&lt;&gt;GetEquPower(C64,BJ64, CK64, FO64))</formula>
    </cfRule>
  </conditionalFormatting>
  <conditionalFormatting sqref="EI64">
    <cfRule type="expression" dxfId="2" priority="493">
      <formula>AND(BP64&gt;=6,EI64&lt;&gt;0, GetEquPower(C64,BJ64, CL64, FO64)=0)</formula>
    </cfRule>
    <cfRule type="expression" dxfId="1" priority="494">
      <formula>AND(BP64&gt;=6,EI64&lt;&gt;GetEquPower(C64,BJ64, CL64, FO64))</formula>
    </cfRule>
  </conditionalFormatting>
  <conditionalFormatting sqref="EO64">
    <cfRule type="expression" dxfId="2" priority="495">
      <formula>AND(BQ64&gt;=5,EO64&lt;&gt;0, GetEquPower(C64,BK64, CQ64, FP64)=0)</formula>
    </cfRule>
    <cfRule type="expression" dxfId="1" priority="496">
      <formula xml:space="preserve"> AND(BQ64&gt;=5,EO64&lt;&gt;GetEquPower(C64,BK64, CQ64, FP64))</formula>
    </cfRule>
  </conditionalFormatting>
  <conditionalFormatting sqref="EP64">
    <cfRule type="expression" dxfId="2" priority="497">
      <formula>AND(BQ64&gt;=6,EP64&lt;&gt;0, GetEquPower(C64,BK64, CR64, FP64)=0)</formula>
    </cfRule>
    <cfRule type="expression" dxfId="1" priority="498">
      <formula xml:space="preserve"> AND(BQ64&gt;=6,EP64&lt;&gt;GetEquPower(C64,BK64, CR64, FP64))</formula>
    </cfRule>
  </conditionalFormatting>
  <conditionalFormatting sqref="EV64">
    <cfRule type="expression" dxfId="2" priority="499">
      <formula>AND(BR64&gt;=5,EV64&lt;&gt;0, GetEquPower(C64,BL64, CW64, FQ64)=0)</formula>
    </cfRule>
    <cfRule type="expression" dxfId="1" priority="500">
      <formula>AND(BR64&gt;=5,EV64&lt;&gt;GetEquPower(C64,BL64, CW64, FQ64))</formula>
    </cfRule>
  </conditionalFormatting>
  <conditionalFormatting sqref="EW64">
    <cfRule type="expression" dxfId="2" priority="501">
      <formula>AND(BR64&gt;=6,EW64&lt;&gt;0, GetEquPower(C64,BL64, CX64, FQ64)=0)</formula>
    </cfRule>
    <cfRule type="expression" dxfId="1" priority="502">
      <formula>AND(BR64&gt;=6,EW64&lt;&gt;GetEquPower(C64,BL64, CX64, FQ64))</formula>
    </cfRule>
  </conditionalFormatting>
  <conditionalFormatting sqref="FC64">
    <cfRule type="expression" dxfId="2" priority="503">
      <formula>AND(BS64&gt;=5,FC64&lt;&gt;0, GetEquPower(C64,BM64, DC64, FR64)=0)</formula>
    </cfRule>
    <cfRule type="expression" dxfId="1" priority="504">
      <formula>AND(BS64&gt;=5,FC64&lt;&gt;GetEquPower(C64,BM64, DC64, FR64))</formula>
    </cfRule>
  </conditionalFormatting>
  <conditionalFormatting sqref="FD64">
    <cfRule type="expression" dxfId="2" priority="505">
      <formula>AND(BS64&gt;=6,FD64&lt;&gt;0, GetEquPower(C64,BM64, DD64, FR64)=0)</formula>
    </cfRule>
    <cfRule type="expression" dxfId="1" priority="506">
      <formula>AND(BS64&gt;=6,FD64&lt;&gt;GetEquPower(C64,BM64, DD64, FR64))</formula>
    </cfRule>
  </conditionalFormatting>
  <conditionalFormatting sqref="FJ64">
    <cfRule type="expression" dxfId="2" priority="507">
      <formula>AND(BT64&gt;=5,FJ64&lt;&gt;0, GetEquPower(C64,BN64, DI64, FS64)=0)</formula>
    </cfRule>
    <cfRule type="expression" dxfId="1" priority="508">
      <formula>AND(BT64&gt;=5,FJ64&lt;&gt;GetEquPower(C64,BN64, DI64, FS64))</formula>
    </cfRule>
  </conditionalFormatting>
  <conditionalFormatting sqref="FK64">
    <cfRule type="expression" dxfId="2" priority="509">
      <formula>AND(BT64&gt;=6,FK64&lt;&gt;0, GetEquPower(C64,BN64, DJ64, FS64)=0)</formula>
    </cfRule>
    <cfRule type="expression" dxfId="1" priority="510">
      <formula>AND(BT64&gt;=6,FK64&lt;&gt;GetEquPower(C64,BN64, DJ64, FS64))</formula>
    </cfRule>
  </conditionalFormatting>
  <conditionalFormatting sqref="W64">
    <cfRule type="expression" dxfId="0" priority="426">
      <formula xml:space="preserve"> NOT(ISLOGICAL($W$2))</formula>
    </cfRule>
  </conditionalFormatting>
  <conditionalFormatting sqref="F65">
    <cfRule type="expression" dxfId="0" priority="353">
      <formula>F65&lt;&gt;RIGHT(SUBSTITUTE(E65,".",""),LEN(F65))</formula>
    </cfRule>
  </conditionalFormatting>
  <conditionalFormatting sqref="X65">
    <cfRule type="expression" dxfId="0" priority="348">
      <formula xml:space="preserve"> NOT(ISLOGICAL($X$2))</formula>
    </cfRule>
    <cfRule type="expression" dxfId="0" priority="352">
      <formula>AND(X65=TRUE,W65=FALSE)</formula>
    </cfRule>
  </conditionalFormatting>
  <conditionalFormatting sqref="Y65">
    <cfRule type="expression" dxfId="0" priority="351">
      <formula>OR(AND(X65=FALSE,INT(Y65)&gt;0),AND(X65=TRUE,INT(Y65)&lt;=0))</formula>
    </cfRule>
  </conditionalFormatting>
  <conditionalFormatting sqref="AA65">
    <cfRule type="expression" dxfId="0" priority="350">
      <formula>AND(Z65=FALSE,AA65&gt;0)</formula>
    </cfRule>
  </conditionalFormatting>
  <conditionalFormatting sqref="BV65:HY65">
    <cfRule type="containsErrors" dxfId="0" priority="349">
      <formula>ISERROR(BV65)</formula>
    </cfRule>
  </conditionalFormatting>
  <conditionalFormatting sqref="Z65">
    <cfRule type="expression" dxfId="0" priority="347">
      <formula>NOT(ISLOGICAL($Z$2))</formula>
    </cfRule>
  </conditionalFormatting>
  <conditionalFormatting sqref="AB65">
    <cfRule type="expression" dxfId="0" priority="346">
      <formula>NOT(ISLOGICAL($AB$2))</formula>
    </cfRule>
  </conditionalFormatting>
  <conditionalFormatting sqref="AC65">
    <cfRule type="expression" dxfId="0" priority="345">
      <formula>NOT(ISLOGICAL($AC$2))</formula>
    </cfRule>
  </conditionalFormatting>
  <conditionalFormatting sqref="B65:BU65">
    <cfRule type="containsErrors" dxfId="0" priority="344">
      <formula>ISERROR(B65)</formula>
    </cfRule>
  </conditionalFormatting>
  <conditionalFormatting sqref="I65">
    <cfRule type="expression" dxfId="0" priority="343">
      <formula>NOT(ISNUMBER($I$2))</formula>
    </cfRule>
  </conditionalFormatting>
  <conditionalFormatting sqref="D65">
    <cfRule type="expression" dxfId="0" priority="342">
      <formula>ISBLANK($D$2)</formula>
    </cfRule>
  </conditionalFormatting>
  <conditionalFormatting sqref="DW65">
    <cfRule type="expression" dxfId="2" priority="354">
      <formula>AND(BO65&gt;=1,DW65&lt;&gt;0, GetEquPower(C65,BI65, CA65, FN65)=0)</formula>
    </cfRule>
    <cfRule type="expression" dxfId="1" priority="355">
      <formula>AND(BO65&gt;=1,DW65&lt;&gt;GetEquPower(C65,BI65, CA65, FN65))</formula>
    </cfRule>
  </conditionalFormatting>
  <conditionalFormatting sqref="DX65">
    <cfRule type="expression" dxfId="2" priority="356">
      <formula>AND(BO65&gt;=2,DX65&lt;&gt;0, GetEquPower(C65,BI65, CB65, FN65)=0)</formula>
    </cfRule>
    <cfRule type="expression" dxfId="1" priority="357">
      <formula>AND(BO65&gt;=2,DX65&lt;&gt;GetEquPower(C65,BI65, CB65, FN65))</formula>
    </cfRule>
  </conditionalFormatting>
  <conditionalFormatting sqref="DY65">
    <cfRule type="expression" dxfId="2" priority="358">
      <formula>AND(BO65&gt;=3,DY65&lt;&gt;0, GetEquPower(C65,BI65, CC65, FN65)=0)</formula>
    </cfRule>
    <cfRule type="expression" dxfId="1" priority="359">
      <formula>AND(BO65&gt;=3,DY65&lt;&gt;GetEquPower(C65,BI65, CC65, FN65))</formula>
    </cfRule>
  </conditionalFormatting>
  <conditionalFormatting sqref="ED65">
    <cfRule type="expression" dxfId="2" priority="360">
      <formula>AND(BP65&gt;=1,ED65&lt;&gt;0, GetEquPower(C65,BJ65, CG65, FO65)=0)</formula>
    </cfRule>
    <cfRule type="expression" dxfId="1" priority="361">
      <formula>AND(BP65&gt;=1,ED65&lt;&gt;GetEquPower(C65,BJ65, CG65, FO65))</formula>
    </cfRule>
  </conditionalFormatting>
  <conditionalFormatting sqref="EE65">
    <cfRule type="expression" dxfId="2" priority="362">
      <formula>AND(BP65&gt;=2,EE65&lt;&gt;0, GetEquPower(C65,BJ65, CH65, FO65)=0)</formula>
    </cfRule>
    <cfRule type="expression" dxfId="1" priority="363">
      <formula>AND(BP65&gt;=2,EE65&lt;&gt;GetEquPower(C65,BJ65, CH65, FO65))</formula>
    </cfRule>
  </conditionalFormatting>
  <conditionalFormatting sqref="EF65">
    <cfRule type="expression" dxfId="2" priority="364">
      <formula>AND(BP65&gt;=3,EF65&lt;&gt;0, GetEquPower(C65,BJ65, CI65, FO65)=0)</formula>
    </cfRule>
    <cfRule type="expression" dxfId="1" priority="365">
      <formula>AND(BP65&gt;=3,EF65&lt;&gt;GetEquPower(C65,BJ65, CI65, FO65))</formula>
    </cfRule>
  </conditionalFormatting>
  <conditionalFormatting sqref="EK65">
    <cfRule type="expression" dxfId="2" priority="366">
      <formula>AND(BQ65&gt;=1,EK65&lt;&gt;0, GetEquPower(C65,BK65, CM65, FP65)=0)</formula>
    </cfRule>
    <cfRule type="expression" dxfId="1" priority="367">
      <formula>AND(BQ65&gt;=1,EK65&lt;&gt;GetEquPower(C65,BK65, CM65, FP65))</formula>
    </cfRule>
  </conditionalFormatting>
  <conditionalFormatting sqref="EL65">
    <cfRule type="expression" dxfId="2" priority="368">
      <formula>AND(BQ65&gt;=2,EL65&lt;&gt;0, GetEquPower(C65,BK65, CN65, FP65)=0)</formula>
    </cfRule>
    <cfRule type="expression" dxfId="1" priority="369">
      <formula xml:space="preserve"> AND(BQ65&gt;=2,EL65&lt;&gt;GetEquPower(C65,BK65, CN65, FP65))</formula>
    </cfRule>
  </conditionalFormatting>
  <conditionalFormatting sqref="EM65">
    <cfRule type="expression" dxfId="2" priority="370">
      <formula>AND(BQ65&gt;=3,EM65&lt;&gt;0, GetEquPower(C65,BK65, CO65, FP65)=0)</formula>
    </cfRule>
    <cfRule type="expression" dxfId="1" priority="371">
      <formula xml:space="preserve"> AND(BQ65&gt;=3,EM65&lt;&gt;GetEquPower(C65,BK65, CO65, FP65))</formula>
    </cfRule>
  </conditionalFormatting>
  <conditionalFormatting sqref="ER65">
    <cfRule type="expression" dxfId="2" priority="372">
      <formula>AND(BR65&gt;=1,ER65&lt;&gt;0, GetEquPower(C65,BL65, CS65, FQ65)=0)</formula>
    </cfRule>
    <cfRule type="expression" dxfId="1" priority="373">
      <formula>AND(BR65&gt;=1,ER65&lt;&gt;GetEquPower(C65,BL65, CS65, FQ65))</formula>
    </cfRule>
  </conditionalFormatting>
  <conditionalFormatting sqref="ES65">
    <cfRule type="expression" dxfId="2" priority="374">
      <formula>AND(BR65&gt;=2,ES65&lt;&gt;0, GetEquPower(C65,BL65, CT65, FQ65)=0)</formula>
    </cfRule>
    <cfRule type="expression" dxfId="1" priority="375">
      <formula>AND(BR65&gt;=2,ES65&lt;&gt;GetEquPower(C65,BL65, CT65, FQ65))</formula>
    </cfRule>
  </conditionalFormatting>
  <conditionalFormatting sqref="ET65">
    <cfRule type="expression" dxfId="2" priority="376">
      <formula>AND(BR65&gt;=3,ET65&lt;&gt;0, GetEquPower(C65,BL65, CU65, FQ65)=0)</formula>
    </cfRule>
    <cfRule type="expression" dxfId="1" priority="377">
      <formula>AND(BR65&gt;=3,ET65&lt;&gt;GetEquPower(C65,BL65, CU65, FQ65))</formula>
    </cfRule>
  </conditionalFormatting>
  <conditionalFormatting sqref="EY65">
    <cfRule type="expression" dxfId="2" priority="378">
      <formula>AND(BS65&gt;=1,EY65&lt;&gt;0, GetEquPower(C65,BM65, CY65, FR65)=0)</formula>
    </cfRule>
    <cfRule type="expression" dxfId="1" priority="379">
      <formula>AND(BS65&gt;=1,EY65&lt;&gt;GetEquPower(C65,BM65, CY65, FR65))</formula>
    </cfRule>
  </conditionalFormatting>
  <conditionalFormatting sqref="EZ65">
    <cfRule type="expression" dxfId="2" priority="380">
      <formula>AND(BS65&gt;=2,EZ65&lt;&gt;0, GetEquPower(C65,BM65, CZ65, FR65)=0)</formula>
    </cfRule>
    <cfRule type="expression" dxfId="1" priority="381">
      <formula>AND(BS65&gt;=2,EZ65&lt;&gt;GetEquPower(C65,BM65, CZ65, FR65))</formula>
    </cfRule>
  </conditionalFormatting>
  <conditionalFormatting sqref="FA65">
    <cfRule type="expression" dxfId="2" priority="382">
      <formula>AND(BS65&gt;=3,FA65&lt;&gt;0, GetEquPower(C65,BM65, DA65, FR65)=0)</formula>
    </cfRule>
    <cfRule type="expression" dxfId="1" priority="383">
      <formula>AND(BS65&gt;=3,FA65&lt;&gt;GetEquPower(C65,BM65, DA65, FR65))</formula>
    </cfRule>
  </conditionalFormatting>
  <conditionalFormatting sqref="FF65">
    <cfRule type="expression" dxfId="2" priority="384">
      <formula>AND(BT65&gt;=1,FF65&lt;&gt;0, GetEquPower(C65,BN65, DE65, FS65)=0)</formula>
    </cfRule>
    <cfRule type="expression" dxfId="1" priority="385">
      <formula>AND(BT65&gt;=1,FF65&lt;&gt;GetEquPower(C65,BN65, DE65, FS65))</formula>
    </cfRule>
  </conditionalFormatting>
  <conditionalFormatting sqref="FG65">
    <cfRule type="expression" dxfId="2" priority="386">
      <formula>AND(BT65&gt;=2,FG65&lt;&gt;0, GetEquPower(C65,BN65, DF65, FS65)=0)</formula>
    </cfRule>
    <cfRule type="expression" dxfId="1" priority="387">
      <formula>AND(BT65&gt;=2,FG65&lt;&gt;GetEquPower(C65,BN65, DF65, FS65))</formula>
    </cfRule>
  </conditionalFormatting>
  <conditionalFormatting sqref="FH65">
    <cfRule type="expression" dxfId="2" priority="388">
      <formula>AND(BT65&gt;=3,FH65&lt;&gt;0, GetEquPower(C65,BN65, DG65, FS65)=0)</formula>
    </cfRule>
    <cfRule type="expression" dxfId="1" priority="389">
      <formula>AND(BT65&gt;=3,FH65&lt;&gt;GetEquPower(C65,BN65, DG65, FS65))</formula>
    </cfRule>
  </conditionalFormatting>
  <conditionalFormatting sqref="DZ65">
    <cfRule type="expression" dxfId="2" priority="390">
      <formula>AND(BO65&gt;=4,DZ65&lt;&gt;0, GetEquPower(C65,BI65, CD65, FN65)=0)</formula>
    </cfRule>
    <cfRule type="expression" dxfId="1" priority="391">
      <formula>AND(BO65&gt;=4, DZ65&lt;&gt;GetEquPower(C65,BI65, CD65, FN65))</formula>
    </cfRule>
  </conditionalFormatting>
  <conditionalFormatting sqref="EG65">
    <cfRule type="expression" dxfId="2" priority="392">
      <formula>AND(BP65&gt;=4,EG65&lt;&gt;0, GetEquPower(C65,BJ65, CJ65, FO65)=0)</formula>
    </cfRule>
    <cfRule type="expression" dxfId="1" priority="393">
      <formula>AND(BP65&gt;=4,EG65&lt;&gt;GetEquPower(C65,BJ65, CJ65, FO65))</formula>
    </cfRule>
  </conditionalFormatting>
  <conditionalFormatting sqref="EN65">
    <cfRule type="expression" dxfId="2" priority="394">
      <formula>AND(BQ65&gt;=4,EN65&lt;&gt;0, GetEquPower(C65,BK65, CP65, FP65)=0)</formula>
    </cfRule>
    <cfRule type="expression" dxfId="1" priority="395">
      <formula xml:space="preserve"> AND(BQ65&gt;=4,EN65&lt;&gt;GetEquPower(C65,BK65, CP65, FP65))</formula>
    </cfRule>
  </conditionalFormatting>
  <conditionalFormatting sqref="EU65">
    <cfRule type="expression" dxfId="2" priority="396">
      <formula>AND(BR65&gt;=4,EU65&lt;&gt;0, GetEquPower(C65,BL65, CV65, FQ65)=0)</formula>
    </cfRule>
    <cfRule type="expression" dxfId="1" priority="397">
      <formula>AND(BR65&gt;=4,EU65&lt;&gt;GetEquPower(C65,BL65, CV65, FQ65))</formula>
    </cfRule>
  </conditionalFormatting>
  <conditionalFormatting sqref="FB65">
    <cfRule type="expression" dxfId="2" priority="398">
      <formula>AND(BS65&gt;=4,FB65&lt;&gt;0, GetEquPower(C65,BM65, DB65, FR65)=0)</formula>
    </cfRule>
    <cfRule type="expression" dxfId="1" priority="399">
      <formula>AND(BS65&gt;=4,FB65&lt;&gt;GetEquPower(C65,BM65, DB65, FR65))</formula>
    </cfRule>
  </conditionalFormatting>
  <conditionalFormatting sqref="FI65">
    <cfRule type="expression" dxfId="2" priority="400">
      <formula>AND(BT65&gt;=4,FI65&lt;&gt;0, GetEquPower(C65,BN65, DH65, FS65)=0)</formula>
    </cfRule>
    <cfRule type="expression" dxfId="1" priority="401">
      <formula>AND(BT65&gt;=4,FI65&lt;&gt;GetEquPower(C65,BN65, DH65, FS65))</formula>
    </cfRule>
  </conditionalFormatting>
  <conditionalFormatting sqref="EA65">
    <cfRule type="expression" dxfId="2" priority="402">
      <formula>AND(BO65&gt;=5,EA65&lt;&gt;0, GetEquPower(C65,BI65, CE65, FN65)=0)</formula>
    </cfRule>
    <cfRule type="expression" dxfId="1" priority="403">
      <formula>AND(BO65&gt;=5, EA65&lt;&gt;GetEquPower(C65,BI65, CE65, FN65))</formula>
    </cfRule>
  </conditionalFormatting>
  <conditionalFormatting sqref="EB65">
    <cfRule type="expression" dxfId="2" priority="404">
      <formula>AND(BO65&gt;=6,EB65&lt;&gt;0, GetEquPower(C65,BI65, CF65, FN65)=0)</formula>
    </cfRule>
    <cfRule type="expression" dxfId="1" priority="405">
      <formula>AND(BO65&gt;=6, EB65&lt;&gt;GetEquPower(C65,BI65, CF65, FN65))</formula>
    </cfRule>
  </conditionalFormatting>
  <conditionalFormatting sqref="EH65">
    <cfRule type="expression" dxfId="2" priority="406">
      <formula>AND(BP65&gt;=5,EH65&lt;&gt;0, GetEquPower(C65,BJ65, CK65, FO65)=0)</formula>
    </cfRule>
    <cfRule type="expression" dxfId="1" priority="407">
      <formula>AND(BP65&gt;=5,EH65&lt;&gt;GetEquPower(C65,BJ65, CK65, FO65))</formula>
    </cfRule>
  </conditionalFormatting>
  <conditionalFormatting sqref="EI65">
    <cfRule type="expression" dxfId="2" priority="408">
      <formula>AND(BP65&gt;=6,EI65&lt;&gt;0, GetEquPower(C65,BJ65, CL65, FO65)=0)</formula>
    </cfRule>
    <cfRule type="expression" dxfId="1" priority="409">
      <formula>AND(BP65&gt;=6,EI65&lt;&gt;GetEquPower(C65,BJ65, CL65, FO65))</formula>
    </cfRule>
  </conditionalFormatting>
  <conditionalFormatting sqref="EO65">
    <cfRule type="expression" dxfId="2" priority="410">
      <formula>AND(BQ65&gt;=5,EO65&lt;&gt;0, GetEquPower(C65,BK65, CQ65, FP65)=0)</formula>
    </cfRule>
    <cfRule type="expression" dxfId="1" priority="411">
      <formula xml:space="preserve"> AND(BQ65&gt;=5,EO65&lt;&gt;GetEquPower(C65,BK65, CQ65, FP65))</formula>
    </cfRule>
  </conditionalFormatting>
  <conditionalFormatting sqref="EP65">
    <cfRule type="expression" dxfId="2" priority="412">
      <formula>AND(BQ65&gt;=6,EP65&lt;&gt;0, GetEquPower(C65,BK65, CR65, FP65)=0)</formula>
    </cfRule>
    <cfRule type="expression" dxfId="1" priority="413">
      <formula xml:space="preserve"> AND(BQ65&gt;=6,EP65&lt;&gt;GetEquPower(C65,BK65, CR65, FP65))</formula>
    </cfRule>
  </conditionalFormatting>
  <conditionalFormatting sqref="EV65">
    <cfRule type="expression" dxfId="2" priority="414">
      <formula>AND(BR65&gt;=5,EV65&lt;&gt;0, GetEquPower(C65,BL65, CW65, FQ65)=0)</formula>
    </cfRule>
    <cfRule type="expression" dxfId="1" priority="415">
      <formula>AND(BR65&gt;=5,EV65&lt;&gt;GetEquPower(C65,BL65, CW65, FQ65))</formula>
    </cfRule>
  </conditionalFormatting>
  <conditionalFormatting sqref="EW65">
    <cfRule type="expression" dxfId="2" priority="416">
      <formula>AND(BR65&gt;=6,EW65&lt;&gt;0, GetEquPower(C65,BL65, CX65, FQ65)=0)</formula>
    </cfRule>
    <cfRule type="expression" dxfId="1" priority="417">
      <formula>AND(BR65&gt;=6,EW65&lt;&gt;GetEquPower(C65,BL65, CX65, FQ65))</formula>
    </cfRule>
  </conditionalFormatting>
  <conditionalFormatting sqref="FC65">
    <cfRule type="expression" dxfId="2" priority="418">
      <formula>AND(BS65&gt;=5,FC65&lt;&gt;0, GetEquPower(C65,BM65, DC65, FR65)=0)</formula>
    </cfRule>
    <cfRule type="expression" dxfId="1" priority="419">
      <formula>AND(BS65&gt;=5,FC65&lt;&gt;GetEquPower(C65,BM65, DC65, FR65))</formula>
    </cfRule>
  </conditionalFormatting>
  <conditionalFormatting sqref="FD65">
    <cfRule type="expression" dxfId="2" priority="420">
      <formula>AND(BS65&gt;=6,FD65&lt;&gt;0, GetEquPower(C65,BM65, DD65, FR65)=0)</formula>
    </cfRule>
    <cfRule type="expression" dxfId="1" priority="421">
      <formula>AND(BS65&gt;=6,FD65&lt;&gt;GetEquPower(C65,BM65, DD65, FR65))</formula>
    </cfRule>
  </conditionalFormatting>
  <conditionalFormatting sqref="FJ65">
    <cfRule type="expression" dxfId="2" priority="422">
      <formula>AND(BT65&gt;=5,FJ65&lt;&gt;0, GetEquPower(C65,BN65, DI65, FS65)=0)</formula>
    </cfRule>
    <cfRule type="expression" dxfId="1" priority="423">
      <formula>AND(BT65&gt;=5,FJ65&lt;&gt;GetEquPower(C65,BN65, DI65, FS65))</formula>
    </cfRule>
  </conditionalFormatting>
  <conditionalFormatting sqref="FK65">
    <cfRule type="expression" dxfId="2" priority="424">
      <formula>AND(BT65&gt;=6,FK65&lt;&gt;0, GetEquPower(C65,BN65, DJ65, FS65)=0)</formula>
    </cfRule>
    <cfRule type="expression" dxfId="1" priority="425">
      <formula>AND(BT65&gt;=6,FK65&lt;&gt;GetEquPower(C65,BN65, DJ65, FS65))</formula>
    </cfRule>
  </conditionalFormatting>
  <conditionalFormatting sqref="W65">
    <cfRule type="expression" dxfId="0" priority="341">
      <formula xml:space="preserve"> NOT(ISLOGICAL($W$2))</formula>
    </cfRule>
  </conditionalFormatting>
  <conditionalFormatting sqref="F66">
    <cfRule type="expression" dxfId="0" priority="268">
      <formula>F66&lt;&gt;RIGHT(SUBSTITUTE(E66,".",""),LEN(F66))</formula>
    </cfRule>
  </conditionalFormatting>
  <conditionalFormatting sqref="X66">
    <cfRule type="expression" dxfId="0" priority="263">
      <formula xml:space="preserve"> NOT(ISLOGICAL($X$2))</formula>
    </cfRule>
    <cfRule type="expression" dxfId="0" priority="267">
      <formula>AND(X66=TRUE,W66=FALSE)</formula>
    </cfRule>
  </conditionalFormatting>
  <conditionalFormatting sqref="Y66">
    <cfRule type="expression" dxfId="0" priority="266">
      <formula>OR(AND(X66=FALSE,INT(Y66)&gt;0),AND(X66=TRUE,INT(Y66)&lt;=0))</formula>
    </cfRule>
  </conditionalFormatting>
  <conditionalFormatting sqref="AA66">
    <cfRule type="expression" dxfId="0" priority="265">
      <formula>AND(Z66=FALSE,AA66&gt;0)</formula>
    </cfRule>
  </conditionalFormatting>
  <conditionalFormatting sqref="BV66:HY66">
    <cfRule type="containsErrors" dxfId="0" priority="264">
      <formula>ISERROR(BV66)</formula>
    </cfRule>
  </conditionalFormatting>
  <conditionalFormatting sqref="Z66">
    <cfRule type="expression" dxfId="0" priority="262">
      <formula>NOT(ISLOGICAL($Z$2))</formula>
    </cfRule>
  </conditionalFormatting>
  <conditionalFormatting sqref="AB66">
    <cfRule type="expression" dxfId="0" priority="261">
      <formula>NOT(ISLOGICAL($AB$2))</formula>
    </cfRule>
  </conditionalFormatting>
  <conditionalFormatting sqref="AC66">
    <cfRule type="expression" dxfId="0" priority="260">
      <formula>NOT(ISLOGICAL($AC$2))</formula>
    </cfRule>
  </conditionalFormatting>
  <conditionalFormatting sqref="B66:BU66">
    <cfRule type="containsErrors" dxfId="0" priority="259">
      <formula>ISERROR(B66)</formula>
    </cfRule>
  </conditionalFormatting>
  <conditionalFormatting sqref="I66">
    <cfRule type="expression" dxfId="0" priority="258">
      <formula>NOT(ISNUMBER($I$2))</formula>
    </cfRule>
  </conditionalFormatting>
  <conditionalFormatting sqref="D66">
    <cfRule type="expression" dxfId="0" priority="257">
      <formula>ISBLANK($D$2)</formula>
    </cfRule>
  </conditionalFormatting>
  <conditionalFormatting sqref="DW66">
    <cfRule type="expression" dxfId="2" priority="269">
      <formula>AND(BO66&gt;=1,DW66&lt;&gt;0, GetEquPower(C66,BI66, CA66, FN66)=0)</formula>
    </cfRule>
    <cfRule type="expression" dxfId="1" priority="270">
      <formula>AND(BO66&gt;=1,DW66&lt;&gt;GetEquPower(C66,BI66, CA66, FN66))</formula>
    </cfRule>
  </conditionalFormatting>
  <conditionalFormatting sqref="DX66">
    <cfRule type="expression" dxfId="2" priority="271">
      <formula>AND(BO66&gt;=2,DX66&lt;&gt;0, GetEquPower(C66,BI66, CB66, FN66)=0)</formula>
    </cfRule>
    <cfRule type="expression" dxfId="1" priority="272">
      <formula>AND(BO66&gt;=2,DX66&lt;&gt;GetEquPower(C66,BI66, CB66, FN66))</formula>
    </cfRule>
  </conditionalFormatting>
  <conditionalFormatting sqref="DY66">
    <cfRule type="expression" dxfId="2" priority="273">
      <formula>AND(BO66&gt;=3,DY66&lt;&gt;0, GetEquPower(C66,BI66, CC66, FN66)=0)</formula>
    </cfRule>
    <cfRule type="expression" dxfId="1" priority="274">
      <formula>AND(BO66&gt;=3,DY66&lt;&gt;GetEquPower(C66,BI66, CC66, FN66))</formula>
    </cfRule>
  </conditionalFormatting>
  <conditionalFormatting sqref="ED66">
    <cfRule type="expression" dxfId="2" priority="275">
      <formula>AND(BP66&gt;=1,ED66&lt;&gt;0, GetEquPower(C66,BJ66, CG66, FO66)=0)</formula>
    </cfRule>
    <cfRule type="expression" dxfId="1" priority="276">
      <formula>AND(BP66&gt;=1,ED66&lt;&gt;GetEquPower(C66,BJ66, CG66, FO66))</formula>
    </cfRule>
  </conditionalFormatting>
  <conditionalFormatting sqref="EE66">
    <cfRule type="expression" dxfId="2" priority="277">
      <formula>AND(BP66&gt;=2,EE66&lt;&gt;0, GetEquPower(C66,BJ66, CH66, FO66)=0)</formula>
    </cfRule>
    <cfRule type="expression" dxfId="1" priority="278">
      <formula>AND(BP66&gt;=2,EE66&lt;&gt;GetEquPower(C66,BJ66, CH66, FO66))</formula>
    </cfRule>
  </conditionalFormatting>
  <conditionalFormatting sqref="EF66">
    <cfRule type="expression" dxfId="2" priority="279">
      <formula>AND(BP66&gt;=3,EF66&lt;&gt;0, GetEquPower(C66,BJ66, CI66, FO66)=0)</formula>
    </cfRule>
    <cfRule type="expression" dxfId="1" priority="280">
      <formula>AND(BP66&gt;=3,EF66&lt;&gt;GetEquPower(C66,BJ66, CI66, FO66))</formula>
    </cfRule>
  </conditionalFormatting>
  <conditionalFormatting sqref="EK66">
    <cfRule type="expression" dxfId="2" priority="281">
      <formula>AND(BQ66&gt;=1,EK66&lt;&gt;0, GetEquPower(C66,BK66, CM66, FP66)=0)</formula>
    </cfRule>
    <cfRule type="expression" dxfId="1" priority="282">
      <formula>AND(BQ66&gt;=1,EK66&lt;&gt;GetEquPower(C66,BK66, CM66, FP66))</formula>
    </cfRule>
  </conditionalFormatting>
  <conditionalFormatting sqref="EL66">
    <cfRule type="expression" dxfId="2" priority="283">
      <formula>AND(BQ66&gt;=2,EL66&lt;&gt;0, GetEquPower(C66,BK66, CN66, FP66)=0)</formula>
    </cfRule>
    <cfRule type="expression" dxfId="1" priority="284">
      <formula xml:space="preserve"> AND(BQ66&gt;=2,EL66&lt;&gt;GetEquPower(C66,BK66, CN66, FP66))</formula>
    </cfRule>
  </conditionalFormatting>
  <conditionalFormatting sqref="EM66">
    <cfRule type="expression" dxfId="2" priority="285">
      <formula>AND(BQ66&gt;=3,EM66&lt;&gt;0, GetEquPower(C66,BK66, CO66, FP66)=0)</formula>
    </cfRule>
    <cfRule type="expression" dxfId="1" priority="286">
      <formula xml:space="preserve"> AND(BQ66&gt;=3,EM66&lt;&gt;GetEquPower(C66,BK66, CO66, FP66))</formula>
    </cfRule>
  </conditionalFormatting>
  <conditionalFormatting sqref="ER66">
    <cfRule type="expression" dxfId="2" priority="287">
      <formula>AND(BR66&gt;=1,ER66&lt;&gt;0, GetEquPower(C66,BL66, CS66, FQ66)=0)</formula>
    </cfRule>
    <cfRule type="expression" dxfId="1" priority="288">
      <formula>AND(BR66&gt;=1,ER66&lt;&gt;GetEquPower(C66,BL66, CS66, FQ66))</formula>
    </cfRule>
  </conditionalFormatting>
  <conditionalFormatting sqref="ES66">
    <cfRule type="expression" dxfId="2" priority="289">
      <formula>AND(BR66&gt;=2,ES66&lt;&gt;0, GetEquPower(C66,BL66, CT66, FQ66)=0)</formula>
    </cfRule>
    <cfRule type="expression" dxfId="1" priority="290">
      <formula>AND(BR66&gt;=2,ES66&lt;&gt;GetEquPower(C66,BL66, CT66, FQ66))</formula>
    </cfRule>
  </conditionalFormatting>
  <conditionalFormatting sqref="ET66">
    <cfRule type="expression" dxfId="2" priority="291">
      <formula>AND(BR66&gt;=3,ET66&lt;&gt;0, GetEquPower(C66,BL66, CU66, FQ66)=0)</formula>
    </cfRule>
    <cfRule type="expression" dxfId="1" priority="292">
      <formula>AND(BR66&gt;=3,ET66&lt;&gt;GetEquPower(C66,BL66, CU66, FQ66))</formula>
    </cfRule>
  </conditionalFormatting>
  <conditionalFormatting sqref="EY66">
    <cfRule type="expression" dxfId="2" priority="293">
      <formula>AND(BS66&gt;=1,EY66&lt;&gt;0, GetEquPower(C66,BM66, CY66, FR66)=0)</formula>
    </cfRule>
    <cfRule type="expression" dxfId="1" priority="294">
      <formula>AND(BS66&gt;=1,EY66&lt;&gt;GetEquPower(C66,BM66, CY66, FR66))</formula>
    </cfRule>
  </conditionalFormatting>
  <conditionalFormatting sqref="EZ66">
    <cfRule type="expression" dxfId="2" priority="295">
      <formula>AND(BS66&gt;=2,EZ66&lt;&gt;0, GetEquPower(C66,BM66, CZ66, FR66)=0)</formula>
    </cfRule>
    <cfRule type="expression" dxfId="1" priority="296">
      <formula>AND(BS66&gt;=2,EZ66&lt;&gt;GetEquPower(C66,BM66, CZ66, FR66))</formula>
    </cfRule>
  </conditionalFormatting>
  <conditionalFormatting sqref="FA66">
    <cfRule type="expression" dxfId="2" priority="297">
      <formula>AND(BS66&gt;=3,FA66&lt;&gt;0, GetEquPower(C66,BM66, DA66, FR66)=0)</formula>
    </cfRule>
    <cfRule type="expression" dxfId="1" priority="298">
      <formula>AND(BS66&gt;=3,FA66&lt;&gt;GetEquPower(C66,BM66, DA66, FR66))</formula>
    </cfRule>
  </conditionalFormatting>
  <conditionalFormatting sqref="FF66">
    <cfRule type="expression" dxfId="2" priority="299">
      <formula>AND(BT66&gt;=1,FF66&lt;&gt;0, GetEquPower(C66,BN66, DE66, FS66)=0)</formula>
    </cfRule>
    <cfRule type="expression" dxfId="1" priority="300">
      <formula>AND(BT66&gt;=1,FF66&lt;&gt;GetEquPower(C66,BN66, DE66, FS66))</formula>
    </cfRule>
  </conditionalFormatting>
  <conditionalFormatting sqref="FG66">
    <cfRule type="expression" dxfId="2" priority="301">
      <formula>AND(BT66&gt;=2,FG66&lt;&gt;0, GetEquPower(C66,BN66, DF66, FS66)=0)</formula>
    </cfRule>
    <cfRule type="expression" dxfId="1" priority="302">
      <formula>AND(BT66&gt;=2,FG66&lt;&gt;GetEquPower(C66,BN66, DF66, FS66))</formula>
    </cfRule>
  </conditionalFormatting>
  <conditionalFormatting sqref="FH66">
    <cfRule type="expression" dxfId="2" priority="303">
      <formula>AND(BT66&gt;=3,FH66&lt;&gt;0, GetEquPower(C66,BN66, DG66, FS66)=0)</formula>
    </cfRule>
    <cfRule type="expression" dxfId="1" priority="304">
      <formula>AND(BT66&gt;=3,FH66&lt;&gt;GetEquPower(C66,BN66, DG66, FS66))</formula>
    </cfRule>
  </conditionalFormatting>
  <conditionalFormatting sqref="DZ66">
    <cfRule type="expression" dxfId="2" priority="305">
      <formula>AND(BO66&gt;=4,DZ66&lt;&gt;0, GetEquPower(C66,BI66, CD66, FN66)=0)</formula>
    </cfRule>
    <cfRule type="expression" dxfId="1" priority="306">
      <formula>AND(BO66&gt;=4, DZ66&lt;&gt;GetEquPower(C66,BI66, CD66, FN66))</formula>
    </cfRule>
  </conditionalFormatting>
  <conditionalFormatting sqref="EG66">
    <cfRule type="expression" dxfId="2" priority="307">
      <formula>AND(BP66&gt;=4,EG66&lt;&gt;0, GetEquPower(C66,BJ66, CJ66, FO66)=0)</formula>
    </cfRule>
    <cfRule type="expression" dxfId="1" priority="308">
      <formula>AND(BP66&gt;=4,EG66&lt;&gt;GetEquPower(C66,BJ66, CJ66, FO66))</formula>
    </cfRule>
  </conditionalFormatting>
  <conditionalFormatting sqref="EN66">
    <cfRule type="expression" dxfId="2" priority="309">
      <formula>AND(BQ66&gt;=4,EN66&lt;&gt;0, GetEquPower(C66,BK66, CP66, FP66)=0)</formula>
    </cfRule>
    <cfRule type="expression" dxfId="1" priority="310">
      <formula xml:space="preserve"> AND(BQ66&gt;=4,EN66&lt;&gt;GetEquPower(C66,BK66, CP66, FP66))</formula>
    </cfRule>
  </conditionalFormatting>
  <conditionalFormatting sqref="EU66">
    <cfRule type="expression" dxfId="2" priority="311">
      <formula>AND(BR66&gt;=4,EU66&lt;&gt;0, GetEquPower(C66,BL66, CV66, FQ66)=0)</formula>
    </cfRule>
    <cfRule type="expression" dxfId="1" priority="312">
      <formula>AND(BR66&gt;=4,EU66&lt;&gt;GetEquPower(C66,BL66, CV66, FQ66))</formula>
    </cfRule>
  </conditionalFormatting>
  <conditionalFormatting sqref="FB66">
    <cfRule type="expression" dxfId="2" priority="313">
      <formula>AND(BS66&gt;=4,FB66&lt;&gt;0, GetEquPower(C66,BM66, DB66, FR66)=0)</formula>
    </cfRule>
    <cfRule type="expression" dxfId="1" priority="314">
      <formula>AND(BS66&gt;=4,FB66&lt;&gt;GetEquPower(C66,BM66, DB66, FR66))</formula>
    </cfRule>
  </conditionalFormatting>
  <conditionalFormatting sqref="FI66">
    <cfRule type="expression" dxfId="2" priority="315">
      <formula>AND(BT66&gt;=4,FI66&lt;&gt;0, GetEquPower(C66,BN66, DH66, FS66)=0)</formula>
    </cfRule>
    <cfRule type="expression" dxfId="1" priority="316">
      <formula>AND(BT66&gt;=4,FI66&lt;&gt;GetEquPower(C66,BN66, DH66, FS66))</formula>
    </cfRule>
  </conditionalFormatting>
  <conditionalFormatting sqref="EA66">
    <cfRule type="expression" dxfId="2" priority="317">
      <formula>AND(BO66&gt;=5,EA66&lt;&gt;0, GetEquPower(C66,BI66, CE66, FN66)=0)</formula>
    </cfRule>
    <cfRule type="expression" dxfId="1" priority="318">
      <formula>AND(BO66&gt;=5, EA66&lt;&gt;GetEquPower(C66,BI66, CE66, FN66))</formula>
    </cfRule>
  </conditionalFormatting>
  <conditionalFormatting sqref="EB66">
    <cfRule type="expression" dxfId="2" priority="319">
      <formula>AND(BO66&gt;=6,EB66&lt;&gt;0, GetEquPower(C66,BI66, CF66, FN66)=0)</formula>
    </cfRule>
    <cfRule type="expression" dxfId="1" priority="320">
      <formula>AND(BO66&gt;=6, EB66&lt;&gt;GetEquPower(C66,BI66, CF66, FN66))</formula>
    </cfRule>
  </conditionalFormatting>
  <conditionalFormatting sqref="EH66">
    <cfRule type="expression" dxfId="2" priority="321">
      <formula>AND(BP66&gt;=5,EH66&lt;&gt;0, GetEquPower(C66,BJ66, CK66, FO66)=0)</formula>
    </cfRule>
    <cfRule type="expression" dxfId="1" priority="322">
      <formula>AND(BP66&gt;=5,EH66&lt;&gt;GetEquPower(C66,BJ66, CK66, FO66))</formula>
    </cfRule>
  </conditionalFormatting>
  <conditionalFormatting sqref="EI66">
    <cfRule type="expression" dxfId="2" priority="323">
      <formula>AND(BP66&gt;=6,EI66&lt;&gt;0, GetEquPower(C66,BJ66, CL66, FO66)=0)</formula>
    </cfRule>
    <cfRule type="expression" dxfId="1" priority="324">
      <formula>AND(BP66&gt;=6,EI66&lt;&gt;GetEquPower(C66,BJ66, CL66, FO66))</formula>
    </cfRule>
  </conditionalFormatting>
  <conditionalFormatting sqref="EO66">
    <cfRule type="expression" dxfId="2" priority="325">
      <formula>AND(BQ66&gt;=5,EO66&lt;&gt;0, GetEquPower(C66,BK66, CQ66, FP66)=0)</formula>
    </cfRule>
    <cfRule type="expression" dxfId="1" priority="326">
      <formula xml:space="preserve"> AND(BQ66&gt;=5,EO66&lt;&gt;GetEquPower(C66,BK66, CQ66, FP66))</formula>
    </cfRule>
  </conditionalFormatting>
  <conditionalFormatting sqref="EP66">
    <cfRule type="expression" dxfId="2" priority="327">
      <formula>AND(BQ66&gt;=6,EP66&lt;&gt;0, GetEquPower(C66,BK66, CR66, FP66)=0)</formula>
    </cfRule>
    <cfRule type="expression" dxfId="1" priority="328">
      <formula xml:space="preserve"> AND(BQ66&gt;=6,EP66&lt;&gt;GetEquPower(C66,BK66, CR66, FP66))</formula>
    </cfRule>
  </conditionalFormatting>
  <conditionalFormatting sqref="EV66">
    <cfRule type="expression" dxfId="2" priority="329">
      <formula>AND(BR66&gt;=5,EV66&lt;&gt;0, GetEquPower(C66,BL66, CW66, FQ66)=0)</formula>
    </cfRule>
    <cfRule type="expression" dxfId="1" priority="330">
      <formula>AND(BR66&gt;=5,EV66&lt;&gt;GetEquPower(C66,BL66, CW66, FQ66))</formula>
    </cfRule>
  </conditionalFormatting>
  <conditionalFormatting sqref="EW66">
    <cfRule type="expression" dxfId="2" priority="331">
      <formula>AND(BR66&gt;=6,EW66&lt;&gt;0, GetEquPower(C66,BL66, CX66, FQ66)=0)</formula>
    </cfRule>
    <cfRule type="expression" dxfId="1" priority="332">
      <formula>AND(BR66&gt;=6,EW66&lt;&gt;GetEquPower(C66,BL66, CX66, FQ66))</formula>
    </cfRule>
  </conditionalFormatting>
  <conditionalFormatting sqref="FC66">
    <cfRule type="expression" dxfId="2" priority="333">
      <formula>AND(BS66&gt;=5,FC66&lt;&gt;0, GetEquPower(C66,BM66, DC66, FR66)=0)</formula>
    </cfRule>
    <cfRule type="expression" dxfId="1" priority="334">
      <formula>AND(BS66&gt;=5,FC66&lt;&gt;GetEquPower(C66,BM66, DC66, FR66))</formula>
    </cfRule>
  </conditionalFormatting>
  <conditionalFormatting sqref="FD66">
    <cfRule type="expression" dxfId="2" priority="335">
      <formula>AND(BS66&gt;=6,FD66&lt;&gt;0, GetEquPower(C66,BM66, DD66, FR66)=0)</formula>
    </cfRule>
    <cfRule type="expression" dxfId="1" priority="336">
      <formula>AND(BS66&gt;=6,FD66&lt;&gt;GetEquPower(C66,BM66, DD66, FR66))</formula>
    </cfRule>
  </conditionalFormatting>
  <conditionalFormatting sqref="FJ66">
    <cfRule type="expression" dxfId="2" priority="337">
      <formula>AND(BT66&gt;=5,FJ66&lt;&gt;0, GetEquPower(C66,BN66, DI66, FS66)=0)</formula>
    </cfRule>
    <cfRule type="expression" dxfId="1" priority="338">
      <formula>AND(BT66&gt;=5,FJ66&lt;&gt;GetEquPower(C66,BN66, DI66, FS66))</formula>
    </cfRule>
  </conditionalFormatting>
  <conditionalFormatting sqref="FK66">
    <cfRule type="expression" dxfId="2" priority="339">
      <formula>AND(BT66&gt;=6,FK66&lt;&gt;0, GetEquPower(C66,BN66, DJ66, FS66)=0)</formula>
    </cfRule>
    <cfRule type="expression" dxfId="1" priority="340">
      <formula>AND(BT66&gt;=6,FK66&lt;&gt;GetEquPower(C66,BN66, DJ66, FS66))</formula>
    </cfRule>
  </conditionalFormatting>
  <conditionalFormatting sqref="W66">
    <cfRule type="expression" dxfId="0" priority="256">
      <formula xml:space="preserve"> NOT(ISLOGICAL($W$2))</formula>
    </cfRule>
  </conditionalFormatting>
  <conditionalFormatting sqref="F67">
    <cfRule type="expression" dxfId="0" priority="183">
      <formula>F67&lt;&gt;RIGHT(SUBSTITUTE(E67,".",""),LEN(F67))</formula>
    </cfRule>
  </conditionalFormatting>
  <conditionalFormatting sqref="X67">
    <cfRule type="expression" dxfId="0" priority="178">
      <formula xml:space="preserve"> NOT(ISLOGICAL($X$2))</formula>
    </cfRule>
    <cfRule type="expression" dxfId="0" priority="182">
      <formula>AND(X67=TRUE,W67=FALSE)</formula>
    </cfRule>
  </conditionalFormatting>
  <conditionalFormatting sqref="Y67">
    <cfRule type="expression" dxfId="0" priority="181">
      <formula>OR(AND(X67=FALSE,INT(Y67)&gt;0),AND(X67=TRUE,INT(Y67)&lt;=0))</formula>
    </cfRule>
  </conditionalFormatting>
  <conditionalFormatting sqref="AA67">
    <cfRule type="expression" dxfId="0" priority="180">
      <formula>AND(Z67=FALSE,AA67&gt;0)</formula>
    </cfRule>
  </conditionalFormatting>
  <conditionalFormatting sqref="BV67:HY67">
    <cfRule type="containsErrors" dxfId="0" priority="179">
      <formula>ISERROR(BV67)</formula>
    </cfRule>
  </conditionalFormatting>
  <conditionalFormatting sqref="Z67">
    <cfRule type="expression" dxfId="0" priority="177">
      <formula>NOT(ISLOGICAL($Z$2))</formula>
    </cfRule>
  </conditionalFormatting>
  <conditionalFormatting sqref="AB67">
    <cfRule type="expression" dxfId="0" priority="176">
      <formula>NOT(ISLOGICAL($AB$2))</formula>
    </cfRule>
  </conditionalFormatting>
  <conditionalFormatting sqref="AC67">
    <cfRule type="expression" dxfId="0" priority="175">
      <formula>NOT(ISLOGICAL($AC$2))</formula>
    </cfRule>
  </conditionalFormatting>
  <conditionalFormatting sqref="B67:BU67">
    <cfRule type="containsErrors" dxfId="0" priority="174">
      <formula>ISERROR(B67)</formula>
    </cfRule>
  </conditionalFormatting>
  <conditionalFormatting sqref="I67">
    <cfRule type="expression" dxfId="0" priority="173">
      <formula>NOT(ISNUMBER($I$2))</formula>
    </cfRule>
  </conditionalFormatting>
  <conditionalFormatting sqref="D67">
    <cfRule type="expression" dxfId="0" priority="172">
      <formula>ISBLANK($D$2)</formula>
    </cfRule>
  </conditionalFormatting>
  <conditionalFormatting sqref="DW67">
    <cfRule type="expression" dxfId="2" priority="184">
      <formula>AND(BO67&gt;=1,DW67&lt;&gt;0, GetEquPower(C67,BI67, CA67, FN67)=0)</formula>
    </cfRule>
    <cfRule type="expression" dxfId="1" priority="185">
      <formula>AND(BO67&gt;=1,DW67&lt;&gt;GetEquPower(C67,BI67, CA67, FN67))</formula>
    </cfRule>
  </conditionalFormatting>
  <conditionalFormatting sqref="DX67">
    <cfRule type="expression" dxfId="2" priority="186">
      <formula>AND(BO67&gt;=2,DX67&lt;&gt;0, GetEquPower(C67,BI67, CB67, FN67)=0)</formula>
    </cfRule>
    <cfRule type="expression" dxfId="1" priority="187">
      <formula>AND(BO67&gt;=2,DX67&lt;&gt;GetEquPower(C67,BI67, CB67, FN67))</formula>
    </cfRule>
  </conditionalFormatting>
  <conditionalFormatting sqref="DY67">
    <cfRule type="expression" dxfId="2" priority="188">
      <formula>AND(BO67&gt;=3,DY67&lt;&gt;0, GetEquPower(C67,BI67, CC67, FN67)=0)</formula>
    </cfRule>
    <cfRule type="expression" dxfId="1" priority="189">
      <formula>AND(BO67&gt;=3,DY67&lt;&gt;GetEquPower(C67,BI67, CC67, FN67))</formula>
    </cfRule>
  </conditionalFormatting>
  <conditionalFormatting sqref="ED67">
    <cfRule type="expression" dxfId="2" priority="190">
      <formula>AND(BP67&gt;=1,ED67&lt;&gt;0, GetEquPower(C67,BJ67, CG67, FO67)=0)</formula>
    </cfRule>
    <cfRule type="expression" dxfId="1" priority="191">
      <formula>AND(BP67&gt;=1,ED67&lt;&gt;GetEquPower(C67,BJ67, CG67, FO67))</formula>
    </cfRule>
  </conditionalFormatting>
  <conditionalFormatting sqref="EE67">
    <cfRule type="expression" dxfId="2" priority="192">
      <formula>AND(BP67&gt;=2,EE67&lt;&gt;0, GetEquPower(C67,BJ67, CH67, FO67)=0)</formula>
    </cfRule>
    <cfRule type="expression" dxfId="1" priority="193">
      <formula>AND(BP67&gt;=2,EE67&lt;&gt;GetEquPower(C67,BJ67, CH67, FO67))</formula>
    </cfRule>
  </conditionalFormatting>
  <conditionalFormatting sqref="EF67">
    <cfRule type="expression" dxfId="2" priority="194">
      <formula>AND(BP67&gt;=3,EF67&lt;&gt;0, GetEquPower(C67,BJ67, CI67, FO67)=0)</formula>
    </cfRule>
    <cfRule type="expression" dxfId="1" priority="195">
      <formula>AND(BP67&gt;=3,EF67&lt;&gt;GetEquPower(C67,BJ67, CI67, FO67))</formula>
    </cfRule>
  </conditionalFormatting>
  <conditionalFormatting sqref="EK67">
    <cfRule type="expression" dxfId="2" priority="196">
      <formula>AND(BQ67&gt;=1,EK67&lt;&gt;0, GetEquPower(C67,BK67, CM67, FP67)=0)</formula>
    </cfRule>
    <cfRule type="expression" dxfId="1" priority="197">
      <formula>AND(BQ67&gt;=1,EK67&lt;&gt;GetEquPower(C67,BK67, CM67, FP67))</formula>
    </cfRule>
  </conditionalFormatting>
  <conditionalFormatting sqref="EL67">
    <cfRule type="expression" dxfId="2" priority="198">
      <formula>AND(BQ67&gt;=2,EL67&lt;&gt;0, GetEquPower(C67,BK67, CN67, FP67)=0)</formula>
    </cfRule>
    <cfRule type="expression" dxfId="1" priority="199">
      <formula xml:space="preserve"> AND(BQ67&gt;=2,EL67&lt;&gt;GetEquPower(C67,BK67, CN67, FP67))</formula>
    </cfRule>
  </conditionalFormatting>
  <conditionalFormatting sqref="EM67">
    <cfRule type="expression" dxfId="2" priority="200">
      <formula>AND(BQ67&gt;=3,EM67&lt;&gt;0, GetEquPower(C67,BK67, CO67, FP67)=0)</formula>
    </cfRule>
    <cfRule type="expression" dxfId="1" priority="201">
      <formula xml:space="preserve"> AND(BQ67&gt;=3,EM67&lt;&gt;GetEquPower(C67,BK67, CO67, FP67))</formula>
    </cfRule>
  </conditionalFormatting>
  <conditionalFormatting sqref="ER67">
    <cfRule type="expression" dxfId="2" priority="202">
      <formula>AND(BR67&gt;=1,ER67&lt;&gt;0, GetEquPower(C67,BL67, CS67, FQ67)=0)</formula>
    </cfRule>
    <cfRule type="expression" dxfId="1" priority="203">
      <formula>AND(BR67&gt;=1,ER67&lt;&gt;GetEquPower(C67,BL67, CS67, FQ67))</formula>
    </cfRule>
  </conditionalFormatting>
  <conditionalFormatting sqref="ES67">
    <cfRule type="expression" dxfId="2" priority="204">
      <formula>AND(BR67&gt;=2,ES67&lt;&gt;0, GetEquPower(C67,BL67, CT67, FQ67)=0)</formula>
    </cfRule>
    <cfRule type="expression" dxfId="1" priority="205">
      <formula>AND(BR67&gt;=2,ES67&lt;&gt;GetEquPower(C67,BL67, CT67, FQ67))</formula>
    </cfRule>
  </conditionalFormatting>
  <conditionalFormatting sqref="ET67">
    <cfRule type="expression" dxfId="2" priority="206">
      <formula>AND(BR67&gt;=3,ET67&lt;&gt;0, GetEquPower(C67,BL67, CU67, FQ67)=0)</formula>
    </cfRule>
    <cfRule type="expression" dxfId="1" priority="207">
      <formula>AND(BR67&gt;=3,ET67&lt;&gt;GetEquPower(C67,BL67, CU67, FQ67))</formula>
    </cfRule>
  </conditionalFormatting>
  <conditionalFormatting sqref="EY67">
    <cfRule type="expression" dxfId="2" priority="208">
      <formula>AND(BS67&gt;=1,EY67&lt;&gt;0, GetEquPower(C67,BM67, CY67, FR67)=0)</formula>
    </cfRule>
    <cfRule type="expression" dxfId="1" priority="209">
      <formula>AND(BS67&gt;=1,EY67&lt;&gt;GetEquPower(C67,BM67, CY67, FR67))</formula>
    </cfRule>
  </conditionalFormatting>
  <conditionalFormatting sqref="EZ67">
    <cfRule type="expression" dxfId="2" priority="210">
      <formula>AND(BS67&gt;=2,EZ67&lt;&gt;0, GetEquPower(C67,BM67, CZ67, FR67)=0)</formula>
    </cfRule>
    <cfRule type="expression" dxfId="1" priority="211">
      <formula>AND(BS67&gt;=2,EZ67&lt;&gt;GetEquPower(C67,BM67, CZ67, FR67))</formula>
    </cfRule>
  </conditionalFormatting>
  <conditionalFormatting sqref="FA67">
    <cfRule type="expression" dxfId="2" priority="212">
      <formula>AND(BS67&gt;=3,FA67&lt;&gt;0, GetEquPower(C67,BM67, DA67, FR67)=0)</formula>
    </cfRule>
    <cfRule type="expression" dxfId="1" priority="213">
      <formula>AND(BS67&gt;=3,FA67&lt;&gt;GetEquPower(C67,BM67, DA67, FR67))</formula>
    </cfRule>
  </conditionalFormatting>
  <conditionalFormatting sqref="FF67">
    <cfRule type="expression" dxfId="2" priority="214">
      <formula>AND(BT67&gt;=1,FF67&lt;&gt;0, GetEquPower(C67,BN67, DE67, FS67)=0)</formula>
    </cfRule>
    <cfRule type="expression" dxfId="1" priority="215">
      <formula>AND(BT67&gt;=1,FF67&lt;&gt;GetEquPower(C67,BN67, DE67, FS67))</formula>
    </cfRule>
  </conditionalFormatting>
  <conditionalFormatting sqref="FG67">
    <cfRule type="expression" dxfId="2" priority="216">
      <formula>AND(BT67&gt;=2,FG67&lt;&gt;0, GetEquPower(C67,BN67, DF67, FS67)=0)</formula>
    </cfRule>
    <cfRule type="expression" dxfId="1" priority="217">
      <formula>AND(BT67&gt;=2,FG67&lt;&gt;GetEquPower(C67,BN67, DF67, FS67))</formula>
    </cfRule>
  </conditionalFormatting>
  <conditionalFormatting sqref="FH67">
    <cfRule type="expression" dxfId="2" priority="218">
      <formula>AND(BT67&gt;=3,FH67&lt;&gt;0, GetEquPower(C67,BN67, DG67, FS67)=0)</formula>
    </cfRule>
    <cfRule type="expression" dxfId="1" priority="219">
      <formula>AND(BT67&gt;=3,FH67&lt;&gt;GetEquPower(C67,BN67, DG67, FS67))</formula>
    </cfRule>
  </conditionalFormatting>
  <conditionalFormatting sqref="DZ67">
    <cfRule type="expression" dxfId="2" priority="220">
      <formula>AND(BO67&gt;=4,DZ67&lt;&gt;0, GetEquPower(C67,BI67, CD67, FN67)=0)</formula>
    </cfRule>
    <cfRule type="expression" dxfId="1" priority="221">
      <formula>AND(BO67&gt;=4, DZ67&lt;&gt;GetEquPower(C67,BI67, CD67, FN67))</formula>
    </cfRule>
  </conditionalFormatting>
  <conditionalFormatting sqref="EG67">
    <cfRule type="expression" dxfId="2" priority="222">
      <formula>AND(BP67&gt;=4,EG67&lt;&gt;0, GetEquPower(C67,BJ67, CJ67, FO67)=0)</formula>
    </cfRule>
    <cfRule type="expression" dxfId="1" priority="223">
      <formula>AND(BP67&gt;=4,EG67&lt;&gt;GetEquPower(C67,BJ67, CJ67, FO67))</formula>
    </cfRule>
  </conditionalFormatting>
  <conditionalFormatting sqref="EN67">
    <cfRule type="expression" dxfId="2" priority="224">
      <formula>AND(BQ67&gt;=4,EN67&lt;&gt;0, GetEquPower(C67,BK67, CP67, FP67)=0)</formula>
    </cfRule>
    <cfRule type="expression" dxfId="1" priority="225">
      <formula xml:space="preserve"> AND(BQ67&gt;=4,EN67&lt;&gt;GetEquPower(C67,BK67, CP67, FP67))</formula>
    </cfRule>
  </conditionalFormatting>
  <conditionalFormatting sqref="EU67">
    <cfRule type="expression" dxfId="2" priority="226">
      <formula>AND(BR67&gt;=4,EU67&lt;&gt;0, GetEquPower(C67,BL67, CV67, FQ67)=0)</formula>
    </cfRule>
    <cfRule type="expression" dxfId="1" priority="227">
      <formula>AND(BR67&gt;=4,EU67&lt;&gt;GetEquPower(C67,BL67, CV67, FQ67))</formula>
    </cfRule>
  </conditionalFormatting>
  <conditionalFormatting sqref="FB67">
    <cfRule type="expression" dxfId="2" priority="228">
      <formula>AND(BS67&gt;=4,FB67&lt;&gt;0, GetEquPower(C67,BM67, DB67, FR67)=0)</formula>
    </cfRule>
    <cfRule type="expression" dxfId="1" priority="229">
      <formula>AND(BS67&gt;=4,FB67&lt;&gt;GetEquPower(C67,BM67, DB67, FR67))</formula>
    </cfRule>
  </conditionalFormatting>
  <conditionalFormatting sqref="FI67">
    <cfRule type="expression" dxfId="2" priority="230">
      <formula>AND(BT67&gt;=4,FI67&lt;&gt;0, GetEquPower(C67,BN67, DH67, FS67)=0)</formula>
    </cfRule>
    <cfRule type="expression" dxfId="1" priority="231">
      <formula>AND(BT67&gt;=4,FI67&lt;&gt;GetEquPower(C67,BN67, DH67, FS67))</formula>
    </cfRule>
  </conditionalFormatting>
  <conditionalFormatting sqref="EA67">
    <cfRule type="expression" dxfId="2" priority="232">
      <formula>AND(BO67&gt;=5,EA67&lt;&gt;0, GetEquPower(C67,BI67, CE67, FN67)=0)</formula>
    </cfRule>
    <cfRule type="expression" dxfId="1" priority="233">
      <formula>AND(BO67&gt;=5, EA67&lt;&gt;GetEquPower(C67,BI67, CE67, FN67))</formula>
    </cfRule>
  </conditionalFormatting>
  <conditionalFormatting sqref="EB67">
    <cfRule type="expression" dxfId="2" priority="234">
      <formula>AND(BO67&gt;=6,EB67&lt;&gt;0, GetEquPower(C67,BI67, CF67, FN67)=0)</formula>
    </cfRule>
    <cfRule type="expression" dxfId="1" priority="235">
      <formula>AND(BO67&gt;=6, EB67&lt;&gt;GetEquPower(C67,BI67, CF67, FN67))</formula>
    </cfRule>
  </conditionalFormatting>
  <conditionalFormatting sqref="EH67">
    <cfRule type="expression" dxfId="2" priority="236">
      <formula>AND(BP67&gt;=5,EH67&lt;&gt;0, GetEquPower(C67,BJ67, CK67, FO67)=0)</formula>
    </cfRule>
    <cfRule type="expression" dxfId="1" priority="237">
      <formula>AND(BP67&gt;=5,EH67&lt;&gt;GetEquPower(C67,BJ67, CK67, FO67))</formula>
    </cfRule>
  </conditionalFormatting>
  <conditionalFormatting sqref="EI67">
    <cfRule type="expression" dxfId="2" priority="238">
      <formula>AND(BP67&gt;=6,EI67&lt;&gt;0, GetEquPower(C67,BJ67, CL67, FO67)=0)</formula>
    </cfRule>
    <cfRule type="expression" dxfId="1" priority="239">
      <formula>AND(BP67&gt;=6,EI67&lt;&gt;GetEquPower(C67,BJ67, CL67, FO67))</formula>
    </cfRule>
  </conditionalFormatting>
  <conditionalFormatting sqref="EO67">
    <cfRule type="expression" dxfId="2" priority="240">
      <formula>AND(BQ67&gt;=5,EO67&lt;&gt;0, GetEquPower(C67,BK67, CQ67, FP67)=0)</formula>
    </cfRule>
    <cfRule type="expression" dxfId="1" priority="241">
      <formula xml:space="preserve"> AND(BQ67&gt;=5,EO67&lt;&gt;GetEquPower(C67,BK67, CQ67, FP67))</formula>
    </cfRule>
  </conditionalFormatting>
  <conditionalFormatting sqref="EP67">
    <cfRule type="expression" dxfId="2" priority="242">
      <formula>AND(BQ67&gt;=6,EP67&lt;&gt;0, GetEquPower(C67,BK67, CR67, FP67)=0)</formula>
    </cfRule>
    <cfRule type="expression" dxfId="1" priority="243">
      <formula xml:space="preserve"> AND(BQ67&gt;=6,EP67&lt;&gt;GetEquPower(C67,BK67, CR67, FP67))</formula>
    </cfRule>
  </conditionalFormatting>
  <conditionalFormatting sqref="EV67">
    <cfRule type="expression" dxfId="2" priority="244">
      <formula>AND(BR67&gt;=5,EV67&lt;&gt;0, GetEquPower(C67,BL67, CW67, FQ67)=0)</formula>
    </cfRule>
    <cfRule type="expression" dxfId="1" priority="245">
      <formula>AND(BR67&gt;=5,EV67&lt;&gt;GetEquPower(C67,BL67, CW67, FQ67))</formula>
    </cfRule>
  </conditionalFormatting>
  <conditionalFormatting sqref="EW67">
    <cfRule type="expression" dxfId="2" priority="246">
      <formula>AND(BR67&gt;=6,EW67&lt;&gt;0, GetEquPower(C67,BL67, CX67, FQ67)=0)</formula>
    </cfRule>
    <cfRule type="expression" dxfId="1" priority="247">
      <formula>AND(BR67&gt;=6,EW67&lt;&gt;GetEquPower(C67,BL67, CX67, FQ67))</formula>
    </cfRule>
  </conditionalFormatting>
  <conditionalFormatting sqref="FC67">
    <cfRule type="expression" dxfId="2" priority="248">
      <formula>AND(BS67&gt;=5,FC67&lt;&gt;0, GetEquPower(C67,BM67, DC67, FR67)=0)</formula>
    </cfRule>
    <cfRule type="expression" dxfId="1" priority="249">
      <formula>AND(BS67&gt;=5,FC67&lt;&gt;GetEquPower(C67,BM67, DC67, FR67))</formula>
    </cfRule>
  </conditionalFormatting>
  <conditionalFormatting sqref="FD67">
    <cfRule type="expression" dxfId="2" priority="250">
      <formula>AND(BS67&gt;=6,FD67&lt;&gt;0, GetEquPower(C67,BM67, DD67, FR67)=0)</formula>
    </cfRule>
    <cfRule type="expression" dxfId="1" priority="251">
      <formula>AND(BS67&gt;=6,FD67&lt;&gt;GetEquPower(C67,BM67, DD67, FR67))</formula>
    </cfRule>
  </conditionalFormatting>
  <conditionalFormatting sqref="FJ67">
    <cfRule type="expression" dxfId="2" priority="252">
      <formula>AND(BT67&gt;=5,FJ67&lt;&gt;0, GetEquPower(C67,BN67, DI67, FS67)=0)</formula>
    </cfRule>
    <cfRule type="expression" dxfId="1" priority="253">
      <formula>AND(BT67&gt;=5,FJ67&lt;&gt;GetEquPower(C67,BN67, DI67, FS67))</formula>
    </cfRule>
  </conditionalFormatting>
  <conditionalFormatting sqref="FK67">
    <cfRule type="expression" dxfId="2" priority="254">
      <formula>AND(BT67&gt;=6,FK67&lt;&gt;0, GetEquPower(C67,BN67, DJ67, FS67)=0)</formula>
    </cfRule>
    <cfRule type="expression" dxfId="1" priority="255">
      <formula>AND(BT67&gt;=6,FK67&lt;&gt;GetEquPower(C67,BN67, DJ67, FS67))</formula>
    </cfRule>
  </conditionalFormatting>
  <conditionalFormatting sqref="W67">
    <cfRule type="expression" dxfId="0" priority="171">
      <formula xml:space="preserve"> NOT(ISLOGICAL($W$2))</formula>
    </cfRule>
  </conditionalFormatting>
  <conditionalFormatting sqref="F68">
    <cfRule type="expression" dxfId="0" priority="98">
      <formula>F68&lt;&gt;RIGHT(SUBSTITUTE(E68,".",""),LEN(F68))</formula>
    </cfRule>
  </conditionalFormatting>
  <conditionalFormatting sqref="X68">
    <cfRule type="expression" dxfId="0" priority="93">
      <formula xml:space="preserve"> NOT(ISLOGICAL($X$2))</formula>
    </cfRule>
    <cfRule type="expression" dxfId="0" priority="97">
      <formula>AND(X68=TRUE,W68=FALSE)</formula>
    </cfRule>
  </conditionalFormatting>
  <conditionalFormatting sqref="Y68">
    <cfRule type="expression" dxfId="0" priority="96">
      <formula>OR(AND(X68=FALSE,INT(Y68)&gt;0),AND(X68=TRUE,INT(Y68)&lt;=0))</formula>
    </cfRule>
  </conditionalFormatting>
  <conditionalFormatting sqref="AA68">
    <cfRule type="expression" dxfId="0" priority="95">
      <formula>AND(Z68=FALSE,AA68&gt;0)</formula>
    </cfRule>
  </conditionalFormatting>
  <conditionalFormatting sqref="BV68:HY68">
    <cfRule type="containsErrors" dxfId="0" priority="94">
      <formula>ISERROR(BV68)</formula>
    </cfRule>
  </conditionalFormatting>
  <conditionalFormatting sqref="Z68">
    <cfRule type="expression" dxfId="0" priority="92">
      <formula>NOT(ISLOGICAL($Z$2))</formula>
    </cfRule>
  </conditionalFormatting>
  <conditionalFormatting sqref="AB68">
    <cfRule type="expression" dxfId="0" priority="91">
      <formula>NOT(ISLOGICAL($AB$2))</formula>
    </cfRule>
  </conditionalFormatting>
  <conditionalFormatting sqref="AC68">
    <cfRule type="expression" dxfId="0" priority="90">
      <formula>NOT(ISLOGICAL($AC$2))</formula>
    </cfRule>
  </conditionalFormatting>
  <conditionalFormatting sqref="B68:BU68">
    <cfRule type="containsErrors" dxfId="0" priority="89">
      <formula>ISERROR(B68)</formula>
    </cfRule>
  </conditionalFormatting>
  <conditionalFormatting sqref="I68">
    <cfRule type="expression" dxfId="0" priority="88">
      <formula>NOT(ISNUMBER($I$2))</formula>
    </cfRule>
  </conditionalFormatting>
  <conditionalFormatting sqref="D68">
    <cfRule type="expression" dxfId="0" priority="87">
      <formula>ISBLANK($D$2)</formula>
    </cfRule>
  </conditionalFormatting>
  <conditionalFormatting sqref="DW68">
    <cfRule type="expression" dxfId="2" priority="99">
      <formula>AND(BO68&gt;=1,DW68&lt;&gt;0, GetEquPower(C68,BI68, CA68, FN68)=0)</formula>
    </cfRule>
    <cfRule type="expression" dxfId="1" priority="100">
      <formula>AND(BO68&gt;=1,DW68&lt;&gt;GetEquPower(C68,BI68, CA68, FN68))</formula>
    </cfRule>
  </conditionalFormatting>
  <conditionalFormatting sqref="DX68">
    <cfRule type="expression" dxfId="2" priority="101">
      <formula>AND(BO68&gt;=2,DX68&lt;&gt;0, GetEquPower(C68,BI68, CB68, FN68)=0)</formula>
    </cfRule>
    <cfRule type="expression" dxfId="1" priority="102">
      <formula>AND(BO68&gt;=2,DX68&lt;&gt;GetEquPower(C68,BI68, CB68, FN68))</formula>
    </cfRule>
  </conditionalFormatting>
  <conditionalFormatting sqref="DY68">
    <cfRule type="expression" dxfId="2" priority="103">
      <formula>AND(BO68&gt;=3,DY68&lt;&gt;0, GetEquPower(C68,BI68, CC68, FN68)=0)</formula>
    </cfRule>
    <cfRule type="expression" dxfId="1" priority="104">
      <formula>AND(BO68&gt;=3,DY68&lt;&gt;GetEquPower(C68,BI68, CC68, FN68))</formula>
    </cfRule>
  </conditionalFormatting>
  <conditionalFormatting sqref="ED68">
    <cfRule type="expression" dxfId="2" priority="105">
      <formula>AND(BP68&gt;=1,ED68&lt;&gt;0, GetEquPower(C68,BJ68, CG68, FO68)=0)</formula>
    </cfRule>
    <cfRule type="expression" dxfId="1" priority="106">
      <formula>AND(BP68&gt;=1,ED68&lt;&gt;GetEquPower(C68,BJ68, CG68, FO68))</formula>
    </cfRule>
  </conditionalFormatting>
  <conditionalFormatting sqref="EE68">
    <cfRule type="expression" dxfId="2" priority="107">
      <formula>AND(BP68&gt;=2,EE68&lt;&gt;0, GetEquPower(C68,BJ68, CH68, FO68)=0)</formula>
    </cfRule>
    <cfRule type="expression" dxfId="1" priority="108">
      <formula>AND(BP68&gt;=2,EE68&lt;&gt;GetEquPower(C68,BJ68, CH68, FO68))</formula>
    </cfRule>
  </conditionalFormatting>
  <conditionalFormatting sqref="EF68">
    <cfRule type="expression" dxfId="2" priority="109">
      <formula>AND(BP68&gt;=3,EF68&lt;&gt;0, GetEquPower(C68,BJ68, CI68, FO68)=0)</formula>
    </cfRule>
    <cfRule type="expression" dxfId="1" priority="110">
      <formula>AND(BP68&gt;=3,EF68&lt;&gt;GetEquPower(C68,BJ68, CI68, FO68))</formula>
    </cfRule>
  </conditionalFormatting>
  <conditionalFormatting sqref="EK68">
    <cfRule type="expression" dxfId="2" priority="111">
      <formula>AND(BQ68&gt;=1,EK68&lt;&gt;0, GetEquPower(C68,BK68, CM68, FP68)=0)</formula>
    </cfRule>
    <cfRule type="expression" dxfId="1" priority="112">
      <formula>AND(BQ68&gt;=1,EK68&lt;&gt;GetEquPower(C68,BK68, CM68, FP68))</formula>
    </cfRule>
  </conditionalFormatting>
  <conditionalFormatting sqref="EL68">
    <cfRule type="expression" dxfId="2" priority="113">
      <formula>AND(BQ68&gt;=2,EL68&lt;&gt;0, GetEquPower(C68,BK68, CN68, FP68)=0)</formula>
    </cfRule>
    <cfRule type="expression" dxfId="1" priority="114">
      <formula xml:space="preserve"> AND(BQ68&gt;=2,EL68&lt;&gt;GetEquPower(C68,BK68, CN68, FP68))</formula>
    </cfRule>
  </conditionalFormatting>
  <conditionalFormatting sqref="EM68">
    <cfRule type="expression" dxfId="2" priority="115">
      <formula>AND(BQ68&gt;=3,EM68&lt;&gt;0, GetEquPower(C68,BK68, CO68, FP68)=0)</formula>
    </cfRule>
    <cfRule type="expression" dxfId="1" priority="116">
      <formula xml:space="preserve"> AND(BQ68&gt;=3,EM68&lt;&gt;GetEquPower(C68,BK68, CO68, FP68))</formula>
    </cfRule>
  </conditionalFormatting>
  <conditionalFormatting sqref="ER68">
    <cfRule type="expression" dxfId="2" priority="117">
      <formula>AND(BR68&gt;=1,ER68&lt;&gt;0, GetEquPower(C68,BL68, CS68, FQ68)=0)</formula>
    </cfRule>
    <cfRule type="expression" dxfId="1" priority="118">
      <formula>AND(BR68&gt;=1,ER68&lt;&gt;GetEquPower(C68,BL68, CS68, FQ68))</formula>
    </cfRule>
  </conditionalFormatting>
  <conditionalFormatting sqref="ES68">
    <cfRule type="expression" dxfId="2" priority="119">
      <formula>AND(BR68&gt;=2,ES68&lt;&gt;0, GetEquPower(C68,BL68, CT68, FQ68)=0)</formula>
    </cfRule>
    <cfRule type="expression" dxfId="1" priority="120">
      <formula>AND(BR68&gt;=2,ES68&lt;&gt;GetEquPower(C68,BL68, CT68, FQ68))</formula>
    </cfRule>
  </conditionalFormatting>
  <conditionalFormatting sqref="ET68">
    <cfRule type="expression" dxfId="2" priority="121">
      <formula>AND(BR68&gt;=3,ET68&lt;&gt;0, GetEquPower(C68,BL68, CU68, FQ68)=0)</formula>
    </cfRule>
    <cfRule type="expression" dxfId="1" priority="122">
      <formula>AND(BR68&gt;=3,ET68&lt;&gt;GetEquPower(C68,BL68, CU68, FQ68))</formula>
    </cfRule>
  </conditionalFormatting>
  <conditionalFormatting sqref="EY68">
    <cfRule type="expression" dxfId="2" priority="123">
      <formula>AND(BS68&gt;=1,EY68&lt;&gt;0, GetEquPower(C68,BM68, CY68, FR68)=0)</formula>
    </cfRule>
    <cfRule type="expression" dxfId="1" priority="124">
      <formula>AND(BS68&gt;=1,EY68&lt;&gt;GetEquPower(C68,BM68, CY68, FR68))</formula>
    </cfRule>
  </conditionalFormatting>
  <conditionalFormatting sqref="EZ68">
    <cfRule type="expression" dxfId="2" priority="125">
      <formula>AND(BS68&gt;=2,EZ68&lt;&gt;0, GetEquPower(C68,BM68, CZ68, FR68)=0)</formula>
    </cfRule>
    <cfRule type="expression" dxfId="1" priority="126">
      <formula>AND(BS68&gt;=2,EZ68&lt;&gt;GetEquPower(C68,BM68, CZ68, FR68))</formula>
    </cfRule>
  </conditionalFormatting>
  <conditionalFormatting sqref="FA68">
    <cfRule type="expression" dxfId="2" priority="127">
      <formula>AND(BS68&gt;=3,FA68&lt;&gt;0, GetEquPower(C68,BM68, DA68, FR68)=0)</formula>
    </cfRule>
    <cfRule type="expression" dxfId="1" priority="128">
      <formula>AND(BS68&gt;=3,FA68&lt;&gt;GetEquPower(C68,BM68, DA68, FR68))</formula>
    </cfRule>
  </conditionalFormatting>
  <conditionalFormatting sqref="FF68">
    <cfRule type="expression" dxfId="2" priority="129">
      <formula>AND(BT68&gt;=1,FF68&lt;&gt;0, GetEquPower(C68,BN68, DE68, FS68)=0)</formula>
    </cfRule>
    <cfRule type="expression" dxfId="1" priority="130">
      <formula>AND(BT68&gt;=1,FF68&lt;&gt;GetEquPower(C68,BN68, DE68, FS68))</formula>
    </cfRule>
  </conditionalFormatting>
  <conditionalFormatting sqref="FG68">
    <cfRule type="expression" dxfId="2" priority="131">
      <formula>AND(BT68&gt;=2,FG68&lt;&gt;0, GetEquPower(C68,BN68, DF68, FS68)=0)</formula>
    </cfRule>
    <cfRule type="expression" dxfId="1" priority="132">
      <formula>AND(BT68&gt;=2,FG68&lt;&gt;GetEquPower(C68,BN68, DF68, FS68))</formula>
    </cfRule>
  </conditionalFormatting>
  <conditionalFormatting sqref="FH68">
    <cfRule type="expression" dxfId="2" priority="133">
      <formula>AND(BT68&gt;=3,FH68&lt;&gt;0, GetEquPower(C68,BN68, DG68, FS68)=0)</formula>
    </cfRule>
    <cfRule type="expression" dxfId="1" priority="134">
      <formula>AND(BT68&gt;=3,FH68&lt;&gt;GetEquPower(C68,BN68, DG68, FS68))</formula>
    </cfRule>
  </conditionalFormatting>
  <conditionalFormatting sqref="DZ68">
    <cfRule type="expression" dxfId="2" priority="135">
      <formula>AND(BO68&gt;=4,DZ68&lt;&gt;0, GetEquPower(C68,BI68, CD68, FN68)=0)</formula>
    </cfRule>
    <cfRule type="expression" dxfId="1" priority="136">
      <formula>AND(BO68&gt;=4, DZ68&lt;&gt;GetEquPower(C68,BI68, CD68, FN68))</formula>
    </cfRule>
  </conditionalFormatting>
  <conditionalFormatting sqref="EG68">
    <cfRule type="expression" dxfId="2" priority="137">
      <formula>AND(BP68&gt;=4,EG68&lt;&gt;0, GetEquPower(C68,BJ68, CJ68, FO68)=0)</formula>
    </cfRule>
    <cfRule type="expression" dxfId="1" priority="138">
      <formula>AND(BP68&gt;=4,EG68&lt;&gt;GetEquPower(C68,BJ68, CJ68, FO68))</formula>
    </cfRule>
  </conditionalFormatting>
  <conditionalFormatting sqref="EN68">
    <cfRule type="expression" dxfId="2" priority="139">
      <formula>AND(BQ68&gt;=4,EN68&lt;&gt;0, GetEquPower(C68,BK68, CP68, FP68)=0)</formula>
    </cfRule>
    <cfRule type="expression" dxfId="1" priority="140">
      <formula xml:space="preserve"> AND(BQ68&gt;=4,EN68&lt;&gt;GetEquPower(C68,BK68, CP68, FP68))</formula>
    </cfRule>
  </conditionalFormatting>
  <conditionalFormatting sqref="EU68">
    <cfRule type="expression" dxfId="2" priority="141">
      <formula>AND(BR68&gt;=4,EU68&lt;&gt;0, GetEquPower(C68,BL68, CV68, FQ68)=0)</formula>
    </cfRule>
    <cfRule type="expression" dxfId="1" priority="142">
      <formula>AND(BR68&gt;=4,EU68&lt;&gt;GetEquPower(C68,BL68, CV68, FQ68))</formula>
    </cfRule>
  </conditionalFormatting>
  <conditionalFormatting sqref="FB68">
    <cfRule type="expression" dxfId="2" priority="143">
      <formula>AND(BS68&gt;=4,FB68&lt;&gt;0, GetEquPower(C68,BM68, DB68, FR68)=0)</formula>
    </cfRule>
    <cfRule type="expression" dxfId="1" priority="144">
      <formula>AND(BS68&gt;=4,FB68&lt;&gt;GetEquPower(C68,BM68, DB68, FR68))</formula>
    </cfRule>
  </conditionalFormatting>
  <conditionalFormatting sqref="FI68">
    <cfRule type="expression" dxfId="2" priority="145">
      <formula>AND(BT68&gt;=4,FI68&lt;&gt;0, GetEquPower(C68,BN68, DH68, FS68)=0)</formula>
    </cfRule>
    <cfRule type="expression" dxfId="1" priority="146">
      <formula>AND(BT68&gt;=4,FI68&lt;&gt;GetEquPower(C68,BN68, DH68, FS68))</formula>
    </cfRule>
  </conditionalFormatting>
  <conditionalFormatting sqref="EA68">
    <cfRule type="expression" dxfId="2" priority="147">
      <formula>AND(BO68&gt;=5,EA68&lt;&gt;0, GetEquPower(C68,BI68, CE68, FN68)=0)</formula>
    </cfRule>
    <cfRule type="expression" dxfId="1" priority="148">
      <formula>AND(BO68&gt;=5, EA68&lt;&gt;GetEquPower(C68,BI68, CE68, FN68))</formula>
    </cfRule>
  </conditionalFormatting>
  <conditionalFormatting sqref="EB68">
    <cfRule type="expression" dxfId="2" priority="149">
      <formula>AND(BO68&gt;=6,EB68&lt;&gt;0, GetEquPower(C68,BI68, CF68, FN68)=0)</formula>
    </cfRule>
    <cfRule type="expression" dxfId="1" priority="150">
      <formula>AND(BO68&gt;=6, EB68&lt;&gt;GetEquPower(C68,BI68, CF68, FN68))</formula>
    </cfRule>
  </conditionalFormatting>
  <conditionalFormatting sqref="EH68">
    <cfRule type="expression" dxfId="2" priority="151">
      <formula>AND(BP68&gt;=5,EH68&lt;&gt;0, GetEquPower(C68,BJ68, CK68, FO68)=0)</formula>
    </cfRule>
    <cfRule type="expression" dxfId="1" priority="152">
      <formula>AND(BP68&gt;=5,EH68&lt;&gt;GetEquPower(C68,BJ68, CK68, FO68))</formula>
    </cfRule>
  </conditionalFormatting>
  <conditionalFormatting sqref="EI68">
    <cfRule type="expression" dxfId="2" priority="153">
      <formula>AND(BP68&gt;=6,EI68&lt;&gt;0, GetEquPower(C68,BJ68, CL68, FO68)=0)</formula>
    </cfRule>
    <cfRule type="expression" dxfId="1" priority="154">
      <formula>AND(BP68&gt;=6,EI68&lt;&gt;GetEquPower(C68,BJ68, CL68, FO68))</formula>
    </cfRule>
  </conditionalFormatting>
  <conditionalFormatting sqref="EO68">
    <cfRule type="expression" dxfId="2" priority="155">
      <formula>AND(BQ68&gt;=5,EO68&lt;&gt;0, GetEquPower(C68,BK68, CQ68, FP68)=0)</formula>
    </cfRule>
    <cfRule type="expression" dxfId="1" priority="156">
      <formula xml:space="preserve"> AND(BQ68&gt;=5,EO68&lt;&gt;GetEquPower(C68,BK68, CQ68, FP68))</formula>
    </cfRule>
  </conditionalFormatting>
  <conditionalFormatting sqref="EP68">
    <cfRule type="expression" dxfId="2" priority="157">
      <formula>AND(BQ68&gt;=6,EP68&lt;&gt;0, GetEquPower(C68,BK68, CR68, FP68)=0)</formula>
    </cfRule>
    <cfRule type="expression" dxfId="1" priority="158">
      <formula xml:space="preserve"> AND(BQ68&gt;=6,EP68&lt;&gt;GetEquPower(C68,BK68, CR68, FP68))</formula>
    </cfRule>
  </conditionalFormatting>
  <conditionalFormatting sqref="EV68">
    <cfRule type="expression" dxfId="2" priority="159">
      <formula>AND(BR68&gt;=5,EV68&lt;&gt;0, GetEquPower(C68,BL68, CW68, FQ68)=0)</formula>
    </cfRule>
    <cfRule type="expression" dxfId="1" priority="160">
      <formula>AND(BR68&gt;=5,EV68&lt;&gt;GetEquPower(C68,BL68, CW68, FQ68))</formula>
    </cfRule>
  </conditionalFormatting>
  <conditionalFormatting sqref="EW68">
    <cfRule type="expression" dxfId="2" priority="161">
      <formula>AND(BR68&gt;=6,EW68&lt;&gt;0, GetEquPower(C68,BL68, CX68, FQ68)=0)</formula>
    </cfRule>
    <cfRule type="expression" dxfId="1" priority="162">
      <formula>AND(BR68&gt;=6,EW68&lt;&gt;GetEquPower(C68,BL68, CX68, FQ68))</formula>
    </cfRule>
  </conditionalFormatting>
  <conditionalFormatting sqref="FC68">
    <cfRule type="expression" dxfId="2" priority="163">
      <formula>AND(BS68&gt;=5,FC68&lt;&gt;0, GetEquPower(C68,BM68, DC68, FR68)=0)</formula>
    </cfRule>
    <cfRule type="expression" dxfId="1" priority="164">
      <formula>AND(BS68&gt;=5,FC68&lt;&gt;GetEquPower(C68,BM68, DC68, FR68))</formula>
    </cfRule>
  </conditionalFormatting>
  <conditionalFormatting sqref="FD68">
    <cfRule type="expression" dxfId="2" priority="165">
      <formula>AND(BS68&gt;=6,FD68&lt;&gt;0, GetEquPower(C68,BM68, DD68, FR68)=0)</formula>
    </cfRule>
    <cfRule type="expression" dxfId="1" priority="166">
      <formula>AND(BS68&gt;=6,FD68&lt;&gt;GetEquPower(C68,BM68, DD68, FR68))</formula>
    </cfRule>
  </conditionalFormatting>
  <conditionalFormatting sqref="FJ68">
    <cfRule type="expression" dxfId="2" priority="167">
      <formula>AND(BT68&gt;=5,FJ68&lt;&gt;0, GetEquPower(C68,BN68, DI68, FS68)=0)</formula>
    </cfRule>
    <cfRule type="expression" dxfId="1" priority="168">
      <formula>AND(BT68&gt;=5,FJ68&lt;&gt;GetEquPower(C68,BN68, DI68, FS68))</formula>
    </cfRule>
  </conditionalFormatting>
  <conditionalFormatting sqref="FK68">
    <cfRule type="expression" dxfId="2" priority="169">
      <formula>AND(BT68&gt;=6,FK68&lt;&gt;0, GetEquPower(C68,BN68, DJ68, FS68)=0)</formula>
    </cfRule>
    <cfRule type="expression" dxfId="1" priority="170">
      <formula>AND(BT68&gt;=6,FK68&lt;&gt;GetEquPower(C68,BN68, DJ68, FS68))</formula>
    </cfRule>
  </conditionalFormatting>
  <conditionalFormatting sqref="W68">
    <cfRule type="expression" dxfId="0" priority="86">
      <formula xml:space="preserve"> NOT(ISLOGICAL($W$2))</formula>
    </cfRule>
  </conditionalFormatting>
  <conditionalFormatting sqref="F69">
    <cfRule type="expression" dxfId="0" priority="13">
      <formula>F69&lt;&gt;RIGHT(SUBSTITUTE(E69,".",""),LEN(F69))</formula>
    </cfRule>
  </conditionalFormatting>
  <conditionalFormatting sqref="X69">
    <cfRule type="expression" dxfId="0" priority="8">
      <formula xml:space="preserve"> NOT(ISLOGICAL($X$2))</formula>
    </cfRule>
    <cfRule type="expression" dxfId="0" priority="12">
      <formula>AND(X69=TRUE,W69=FALSE)</formula>
    </cfRule>
  </conditionalFormatting>
  <conditionalFormatting sqref="Y69">
    <cfRule type="expression" dxfId="0" priority="11">
      <formula>OR(AND(X69=FALSE,INT(Y69)&gt;0),AND(X69=TRUE,INT(Y69)&lt;=0))</formula>
    </cfRule>
  </conditionalFormatting>
  <conditionalFormatting sqref="AA69">
    <cfRule type="expression" dxfId="0" priority="10">
      <formula>AND(Z69=FALSE,AA69&gt;0)</formula>
    </cfRule>
  </conditionalFormatting>
  <conditionalFormatting sqref="BV69:HY69">
    <cfRule type="containsErrors" dxfId="0" priority="9">
      <formula>ISERROR(BV69)</formula>
    </cfRule>
  </conditionalFormatting>
  <conditionalFormatting sqref="Z69">
    <cfRule type="expression" dxfId="0" priority="7">
      <formula>NOT(ISLOGICAL($Z$2))</formula>
    </cfRule>
  </conditionalFormatting>
  <conditionalFormatting sqref="AB69">
    <cfRule type="expression" dxfId="0" priority="6">
      <formula>NOT(ISLOGICAL($AB$2))</formula>
    </cfRule>
  </conditionalFormatting>
  <conditionalFormatting sqref="AC69">
    <cfRule type="expression" dxfId="0" priority="5">
      <formula>NOT(ISLOGICAL($AC$2))</formula>
    </cfRule>
  </conditionalFormatting>
  <conditionalFormatting sqref="B69:BU69">
    <cfRule type="containsErrors" dxfId="0" priority="4">
      <formula>ISERROR(B69)</formula>
    </cfRule>
  </conditionalFormatting>
  <conditionalFormatting sqref="I69">
    <cfRule type="expression" dxfId="0" priority="3">
      <formula>NOT(ISNUMBER($I$2))</formula>
    </cfRule>
  </conditionalFormatting>
  <conditionalFormatting sqref="D69">
    <cfRule type="expression" dxfId="0" priority="2">
      <formula>ISBLANK($D$2)</formula>
    </cfRule>
  </conditionalFormatting>
  <conditionalFormatting sqref="DW69">
    <cfRule type="expression" dxfId="2" priority="14">
      <formula>AND(BO69&gt;=1,DW69&lt;&gt;0, GetEquPower(C69,BI69, CA69, FN69)=0)</formula>
    </cfRule>
    <cfRule type="expression" dxfId="1" priority="15">
      <formula>AND(BO69&gt;=1,DW69&lt;&gt;GetEquPower(C69,BI69, CA69, FN69))</formula>
    </cfRule>
  </conditionalFormatting>
  <conditionalFormatting sqref="DX69">
    <cfRule type="expression" dxfId="2" priority="16">
      <formula>AND(BO69&gt;=2,DX69&lt;&gt;0, GetEquPower(C69,BI69, CB69, FN69)=0)</formula>
    </cfRule>
    <cfRule type="expression" dxfId="1" priority="17">
      <formula>AND(BO69&gt;=2,DX69&lt;&gt;GetEquPower(C69,BI69, CB69, FN69))</formula>
    </cfRule>
  </conditionalFormatting>
  <conditionalFormatting sqref="DY69">
    <cfRule type="expression" dxfId="2" priority="18">
      <formula>AND(BO69&gt;=3,DY69&lt;&gt;0, GetEquPower(C69,BI69, CC69, FN69)=0)</formula>
    </cfRule>
    <cfRule type="expression" dxfId="1" priority="19">
      <formula>AND(BO69&gt;=3,DY69&lt;&gt;GetEquPower(C69,BI69, CC69, FN69))</formula>
    </cfRule>
  </conditionalFormatting>
  <conditionalFormatting sqref="ED69">
    <cfRule type="expression" dxfId="2" priority="20">
      <formula>AND(BP69&gt;=1,ED69&lt;&gt;0, GetEquPower(C69,BJ69, CG69, FO69)=0)</formula>
    </cfRule>
    <cfRule type="expression" dxfId="1" priority="21">
      <formula>AND(BP69&gt;=1,ED69&lt;&gt;GetEquPower(C69,BJ69, CG69, FO69))</formula>
    </cfRule>
  </conditionalFormatting>
  <conditionalFormatting sqref="EE69">
    <cfRule type="expression" dxfId="2" priority="22">
      <formula>AND(BP69&gt;=2,EE69&lt;&gt;0, GetEquPower(C69,BJ69, CH69, FO69)=0)</formula>
    </cfRule>
    <cfRule type="expression" dxfId="1" priority="23">
      <formula>AND(BP69&gt;=2,EE69&lt;&gt;GetEquPower(C69,BJ69, CH69, FO69))</formula>
    </cfRule>
  </conditionalFormatting>
  <conditionalFormatting sqref="EF69">
    <cfRule type="expression" dxfId="2" priority="24">
      <formula>AND(BP69&gt;=3,EF69&lt;&gt;0, GetEquPower(C69,BJ69, CI69, FO69)=0)</formula>
    </cfRule>
    <cfRule type="expression" dxfId="1" priority="25">
      <formula>AND(BP69&gt;=3,EF69&lt;&gt;GetEquPower(C69,BJ69, CI69, FO69))</formula>
    </cfRule>
  </conditionalFormatting>
  <conditionalFormatting sqref="EK69">
    <cfRule type="expression" dxfId="2" priority="26">
      <formula>AND(BQ69&gt;=1,EK69&lt;&gt;0, GetEquPower(C69,BK69, CM69, FP69)=0)</formula>
    </cfRule>
    <cfRule type="expression" dxfId="1" priority="27">
      <formula>AND(BQ69&gt;=1,EK69&lt;&gt;GetEquPower(C69,BK69, CM69, FP69))</formula>
    </cfRule>
  </conditionalFormatting>
  <conditionalFormatting sqref="EL69">
    <cfRule type="expression" dxfId="2" priority="28">
      <formula>AND(BQ69&gt;=2,EL69&lt;&gt;0, GetEquPower(C69,BK69, CN69, FP69)=0)</formula>
    </cfRule>
    <cfRule type="expression" dxfId="1" priority="29">
      <formula xml:space="preserve"> AND(BQ69&gt;=2,EL69&lt;&gt;GetEquPower(C69,BK69, CN69, FP69))</formula>
    </cfRule>
  </conditionalFormatting>
  <conditionalFormatting sqref="EM69">
    <cfRule type="expression" dxfId="2" priority="30">
      <formula>AND(BQ69&gt;=3,EM69&lt;&gt;0, GetEquPower(C69,BK69, CO69, FP69)=0)</formula>
    </cfRule>
    <cfRule type="expression" dxfId="1" priority="31">
      <formula xml:space="preserve"> AND(BQ69&gt;=3,EM69&lt;&gt;GetEquPower(C69,BK69, CO69, FP69))</formula>
    </cfRule>
  </conditionalFormatting>
  <conditionalFormatting sqref="ER69">
    <cfRule type="expression" dxfId="2" priority="32">
      <formula>AND(BR69&gt;=1,ER69&lt;&gt;0, GetEquPower(C69,BL69, CS69, FQ69)=0)</formula>
    </cfRule>
    <cfRule type="expression" dxfId="1" priority="33">
      <formula>AND(BR69&gt;=1,ER69&lt;&gt;GetEquPower(C69,BL69, CS69, FQ69))</formula>
    </cfRule>
  </conditionalFormatting>
  <conditionalFormatting sqref="ES69">
    <cfRule type="expression" dxfId="2" priority="34">
      <formula>AND(BR69&gt;=2,ES69&lt;&gt;0, GetEquPower(C69,BL69, CT69, FQ69)=0)</formula>
    </cfRule>
    <cfRule type="expression" dxfId="1" priority="35">
      <formula>AND(BR69&gt;=2,ES69&lt;&gt;GetEquPower(C69,BL69, CT69, FQ69))</formula>
    </cfRule>
  </conditionalFormatting>
  <conditionalFormatting sqref="ET69">
    <cfRule type="expression" dxfId="2" priority="36">
      <formula>AND(BR69&gt;=3,ET69&lt;&gt;0, GetEquPower(C69,BL69, CU69, FQ69)=0)</formula>
    </cfRule>
    <cfRule type="expression" dxfId="1" priority="37">
      <formula>AND(BR69&gt;=3,ET69&lt;&gt;GetEquPower(C69,BL69, CU69, FQ69))</formula>
    </cfRule>
  </conditionalFormatting>
  <conditionalFormatting sqref="EY69">
    <cfRule type="expression" dxfId="2" priority="38">
      <formula>AND(BS69&gt;=1,EY69&lt;&gt;0, GetEquPower(C69,BM69, CY69, FR69)=0)</formula>
    </cfRule>
    <cfRule type="expression" dxfId="1" priority="39">
      <formula>AND(BS69&gt;=1,EY69&lt;&gt;GetEquPower(C69,BM69, CY69, FR69))</formula>
    </cfRule>
  </conditionalFormatting>
  <conditionalFormatting sqref="EZ69">
    <cfRule type="expression" dxfId="2" priority="40">
      <formula>AND(BS69&gt;=2,EZ69&lt;&gt;0, GetEquPower(C69,BM69, CZ69, FR69)=0)</formula>
    </cfRule>
    <cfRule type="expression" dxfId="1" priority="41">
      <formula>AND(BS69&gt;=2,EZ69&lt;&gt;GetEquPower(C69,BM69, CZ69, FR69))</formula>
    </cfRule>
  </conditionalFormatting>
  <conditionalFormatting sqref="FA69">
    <cfRule type="expression" dxfId="2" priority="42">
      <formula>AND(BS69&gt;=3,FA69&lt;&gt;0, GetEquPower(C69,BM69, DA69, FR69)=0)</formula>
    </cfRule>
    <cfRule type="expression" dxfId="1" priority="43">
      <formula>AND(BS69&gt;=3,FA69&lt;&gt;GetEquPower(C69,BM69, DA69, FR69))</formula>
    </cfRule>
  </conditionalFormatting>
  <conditionalFormatting sqref="FF69">
    <cfRule type="expression" dxfId="2" priority="44">
      <formula>AND(BT69&gt;=1,FF69&lt;&gt;0, GetEquPower(C69,BN69, DE69, FS69)=0)</formula>
    </cfRule>
    <cfRule type="expression" dxfId="1" priority="45">
      <formula>AND(BT69&gt;=1,FF69&lt;&gt;GetEquPower(C69,BN69, DE69, FS69))</formula>
    </cfRule>
  </conditionalFormatting>
  <conditionalFormatting sqref="FG69">
    <cfRule type="expression" dxfId="2" priority="46">
      <formula>AND(BT69&gt;=2,FG69&lt;&gt;0, GetEquPower(C69,BN69, DF69, FS69)=0)</formula>
    </cfRule>
    <cfRule type="expression" dxfId="1" priority="47">
      <formula>AND(BT69&gt;=2,FG69&lt;&gt;GetEquPower(C69,BN69, DF69, FS69))</formula>
    </cfRule>
  </conditionalFormatting>
  <conditionalFormatting sqref="FH69">
    <cfRule type="expression" dxfId="2" priority="48">
      <formula>AND(BT69&gt;=3,FH69&lt;&gt;0, GetEquPower(C69,BN69, DG69, FS69)=0)</formula>
    </cfRule>
    <cfRule type="expression" dxfId="1" priority="49">
      <formula>AND(BT69&gt;=3,FH69&lt;&gt;GetEquPower(C69,BN69, DG69, FS69))</formula>
    </cfRule>
  </conditionalFormatting>
  <conditionalFormatting sqref="DZ69">
    <cfRule type="expression" dxfId="2" priority="50">
      <formula>AND(BO69&gt;=4,DZ69&lt;&gt;0, GetEquPower(C69,BI69, CD69, FN69)=0)</formula>
    </cfRule>
    <cfRule type="expression" dxfId="1" priority="51">
      <formula>AND(BO69&gt;=4, DZ69&lt;&gt;GetEquPower(C69,BI69, CD69, FN69))</formula>
    </cfRule>
  </conditionalFormatting>
  <conditionalFormatting sqref="EG69">
    <cfRule type="expression" dxfId="2" priority="52">
      <formula>AND(BP69&gt;=4,EG69&lt;&gt;0, GetEquPower(C69,BJ69, CJ69, FO69)=0)</formula>
    </cfRule>
    <cfRule type="expression" dxfId="1" priority="53">
      <formula>AND(BP69&gt;=4,EG69&lt;&gt;GetEquPower(C69,BJ69, CJ69, FO69))</formula>
    </cfRule>
  </conditionalFormatting>
  <conditionalFormatting sqref="EN69">
    <cfRule type="expression" dxfId="2" priority="54">
      <formula>AND(BQ69&gt;=4,EN69&lt;&gt;0, GetEquPower(C69,BK69, CP69, FP69)=0)</formula>
    </cfRule>
    <cfRule type="expression" dxfId="1" priority="55">
      <formula xml:space="preserve"> AND(BQ69&gt;=4,EN69&lt;&gt;GetEquPower(C69,BK69, CP69, FP69))</formula>
    </cfRule>
  </conditionalFormatting>
  <conditionalFormatting sqref="EU69">
    <cfRule type="expression" dxfId="2" priority="56">
      <formula>AND(BR69&gt;=4,EU69&lt;&gt;0, GetEquPower(C69,BL69, CV69, FQ69)=0)</formula>
    </cfRule>
    <cfRule type="expression" dxfId="1" priority="57">
      <formula>AND(BR69&gt;=4,EU69&lt;&gt;GetEquPower(C69,BL69, CV69, FQ69))</formula>
    </cfRule>
  </conditionalFormatting>
  <conditionalFormatting sqref="FB69">
    <cfRule type="expression" dxfId="2" priority="58">
      <formula>AND(BS69&gt;=4,FB69&lt;&gt;0, GetEquPower(C69,BM69, DB69, FR69)=0)</formula>
    </cfRule>
    <cfRule type="expression" dxfId="1" priority="59">
      <formula>AND(BS69&gt;=4,FB69&lt;&gt;GetEquPower(C69,BM69, DB69, FR69))</formula>
    </cfRule>
  </conditionalFormatting>
  <conditionalFormatting sqref="FI69">
    <cfRule type="expression" dxfId="2" priority="60">
      <formula>AND(BT69&gt;=4,FI69&lt;&gt;0, GetEquPower(C69,BN69, DH69, FS69)=0)</formula>
    </cfRule>
    <cfRule type="expression" dxfId="1" priority="61">
      <formula>AND(BT69&gt;=4,FI69&lt;&gt;GetEquPower(C69,BN69, DH69, FS69))</formula>
    </cfRule>
  </conditionalFormatting>
  <conditionalFormatting sqref="EA69">
    <cfRule type="expression" dxfId="2" priority="62">
      <formula>AND(BO69&gt;=5,EA69&lt;&gt;0, GetEquPower(C69,BI69, CE69, FN69)=0)</formula>
    </cfRule>
    <cfRule type="expression" dxfId="1" priority="63">
      <formula>AND(BO69&gt;=5, EA69&lt;&gt;GetEquPower(C69,BI69, CE69, FN69))</formula>
    </cfRule>
  </conditionalFormatting>
  <conditionalFormatting sqref="EB69">
    <cfRule type="expression" dxfId="2" priority="64">
      <formula>AND(BO69&gt;=6,EB69&lt;&gt;0, GetEquPower(C69,BI69, CF69, FN69)=0)</formula>
    </cfRule>
    <cfRule type="expression" dxfId="1" priority="65">
      <formula>AND(BO69&gt;=6, EB69&lt;&gt;GetEquPower(C69,BI69, CF69, FN69))</formula>
    </cfRule>
  </conditionalFormatting>
  <conditionalFormatting sqref="EH69">
    <cfRule type="expression" dxfId="2" priority="66">
      <formula>AND(BP69&gt;=5,EH69&lt;&gt;0, GetEquPower(C69,BJ69, CK69, FO69)=0)</formula>
    </cfRule>
    <cfRule type="expression" dxfId="1" priority="67">
      <formula>AND(BP69&gt;=5,EH69&lt;&gt;GetEquPower(C69,BJ69, CK69, FO69))</formula>
    </cfRule>
  </conditionalFormatting>
  <conditionalFormatting sqref="EI69">
    <cfRule type="expression" dxfId="2" priority="68">
      <formula>AND(BP69&gt;=6,EI69&lt;&gt;0, GetEquPower(C69,BJ69, CL69, FO69)=0)</formula>
    </cfRule>
    <cfRule type="expression" dxfId="1" priority="69">
      <formula>AND(BP69&gt;=6,EI69&lt;&gt;GetEquPower(C69,BJ69, CL69, FO69))</formula>
    </cfRule>
  </conditionalFormatting>
  <conditionalFormatting sqref="EO69">
    <cfRule type="expression" dxfId="2" priority="70">
      <formula>AND(BQ69&gt;=5,EO69&lt;&gt;0, GetEquPower(C69,BK69, CQ69, FP69)=0)</formula>
    </cfRule>
    <cfRule type="expression" dxfId="1" priority="71">
      <formula xml:space="preserve"> AND(BQ69&gt;=5,EO69&lt;&gt;GetEquPower(C69,BK69, CQ69, FP69))</formula>
    </cfRule>
  </conditionalFormatting>
  <conditionalFormatting sqref="EP69">
    <cfRule type="expression" dxfId="2" priority="72">
      <formula>AND(BQ69&gt;=6,EP69&lt;&gt;0, GetEquPower(C69,BK69, CR69, FP69)=0)</formula>
    </cfRule>
    <cfRule type="expression" dxfId="1" priority="73">
      <formula xml:space="preserve"> AND(BQ69&gt;=6,EP69&lt;&gt;GetEquPower(C69,BK69, CR69, FP69))</formula>
    </cfRule>
  </conditionalFormatting>
  <conditionalFormatting sqref="EV69">
    <cfRule type="expression" dxfId="2" priority="74">
      <formula>AND(BR69&gt;=5,EV69&lt;&gt;0, GetEquPower(C69,BL69, CW69, FQ69)=0)</formula>
    </cfRule>
    <cfRule type="expression" dxfId="1" priority="75">
      <formula>AND(BR69&gt;=5,EV69&lt;&gt;GetEquPower(C69,BL69, CW69, FQ69))</formula>
    </cfRule>
  </conditionalFormatting>
  <conditionalFormatting sqref="EW69">
    <cfRule type="expression" dxfId="2" priority="76">
      <formula>AND(BR69&gt;=6,EW69&lt;&gt;0, GetEquPower(C69,BL69, CX69, FQ69)=0)</formula>
    </cfRule>
    <cfRule type="expression" dxfId="1" priority="77">
      <formula>AND(BR69&gt;=6,EW69&lt;&gt;GetEquPower(C69,BL69, CX69, FQ69))</formula>
    </cfRule>
  </conditionalFormatting>
  <conditionalFormatting sqref="FC69">
    <cfRule type="expression" dxfId="2" priority="78">
      <formula>AND(BS69&gt;=5,FC69&lt;&gt;0, GetEquPower(C69,BM69, DC69, FR69)=0)</formula>
    </cfRule>
    <cfRule type="expression" dxfId="1" priority="79">
      <formula>AND(BS69&gt;=5,FC69&lt;&gt;GetEquPower(C69,BM69, DC69, FR69))</formula>
    </cfRule>
  </conditionalFormatting>
  <conditionalFormatting sqref="FD69">
    <cfRule type="expression" dxfId="2" priority="80">
      <formula>AND(BS69&gt;=6,FD69&lt;&gt;0, GetEquPower(C69,BM69, DD69, FR69)=0)</formula>
    </cfRule>
    <cfRule type="expression" dxfId="1" priority="81">
      <formula>AND(BS69&gt;=6,FD69&lt;&gt;GetEquPower(C69,BM69, DD69, FR69))</formula>
    </cfRule>
  </conditionalFormatting>
  <conditionalFormatting sqref="FJ69">
    <cfRule type="expression" dxfId="2" priority="82">
      <formula>AND(BT69&gt;=5,FJ69&lt;&gt;0, GetEquPower(C69,BN69, DI69, FS69)=0)</formula>
    </cfRule>
    <cfRule type="expression" dxfId="1" priority="83">
      <formula>AND(BT69&gt;=5,FJ69&lt;&gt;GetEquPower(C69,BN69, DI69, FS69))</formula>
    </cfRule>
  </conditionalFormatting>
  <conditionalFormatting sqref="FK69">
    <cfRule type="expression" dxfId="2" priority="84">
      <formula>AND(BT69&gt;=6,FK69&lt;&gt;0, GetEquPower(C69,BN69, DJ69, FS69)=0)</formula>
    </cfRule>
    <cfRule type="expression" dxfId="1" priority="85">
      <formula>AND(BT69&gt;=6,FK69&lt;&gt;GetEquPower(C69,BN69, DJ69, FS69))</formula>
    </cfRule>
  </conditionalFormatting>
  <conditionalFormatting sqref="W69">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abSelected="1" topLeftCell="BV1" zoomScale="85" zoomScaleNormal="85" workbookViewId="0">
      <selection activeCell="CF7" sqref="CF7"/>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1303</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1304</v>
      </c>
      <c r="C2" s="229" t="s">
        <v>1305</v>
      </c>
      <c r="D2" s="797" t="s">
        <v>1306</v>
      </c>
      <c r="E2" s="229" t="s">
        <v>1307</v>
      </c>
      <c r="F2" s="229" t="s">
        <v>26</v>
      </c>
      <c r="G2" s="797" t="s">
        <v>1308</v>
      </c>
      <c r="H2" s="797" t="s">
        <v>1309</v>
      </c>
      <c r="I2" s="229">
        <v>1</v>
      </c>
      <c r="J2" s="229" t="s">
        <v>1310</v>
      </c>
      <c r="K2" s="231" t="s">
        <v>1311</v>
      </c>
      <c r="L2" s="231" t="s">
        <v>1312</v>
      </c>
      <c r="M2" s="229" t="s">
        <v>1313</v>
      </c>
      <c r="N2" s="229" t="s">
        <v>1306</v>
      </c>
      <c r="O2" s="229" t="s">
        <v>587</v>
      </c>
      <c r="P2" s="229">
        <v>1</v>
      </c>
      <c r="Q2" s="229" t="s">
        <v>596</v>
      </c>
      <c r="R2" s="229" t="s">
        <v>1267</v>
      </c>
      <c r="S2" s="229" t="s">
        <v>1314</v>
      </c>
      <c r="T2" s="229" t="s">
        <v>1315</v>
      </c>
      <c r="U2" s="229">
        <v>1</v>
      </c>
      <c r="V2" s="229" t="s">
        <v>1316</v>
      </c>
      <c r="W2" s="229" t="s">
        <v>601</v>
      </c>
      <c r="X2" s="229" t="s">
        <v>1317</v>
      </c>
      <c r="Y2" s="797" t="s">
        <v>601</v>
      </c>
      <c r="Z2" s="229" t="s">
        <v>1318</v>
      </c>
      <c r="AA2" s="797" t="s">
        <v>1319</v>
      </c>
      <c r="AB2" s="229" t="s">
        <v>1317</v>
      </c>
      <c r="AC2" s="229" t="b">
        <v>1</v>
      </c>
      <c r="AD2" s="229" t="s">
        <v>601</v>
      </c>
      <c r="AE2" s="229">
        <v>0</v>
      </c>
      <c r="AF2" s="229" t="s">
        <v>50</v>
      </c>
      <c r="AG2" s="229">
        <v>0</v>
      </c>
      <c r="AH2" s="230"/>
      <c r="AI2" s="230" t="s">
        <v>1320</v>
      </c>
      <c r="AJ2" s="230" t="s">
        <v>1313</v>
      </c>
      <c r="AK2" s="229">
        <v>4</v>
      </c>
      <c r="AL2" s="465" t="s">
        <v>1188</v>
      </c>
      <c r="AM2" s="477" t="s">
        <v>1321</v>
      </c>
      <c r="AN2" s="477" t="s">
        <v>1279</v>
      </c>
      <c r="AO2" s="229" t="s">
        <v>25</v>
      </c>
      <c r="AP2" s="230" t="s">
        <v>1313</v>
      </c>
      <c r="AQ2" s="230" t="s">
        <v>601</v>
      </c>
      <c r="AR2" s="230" t="s">
        <v>601</v>
      </c>
      <c r="AS2" s="230" t="s">
        <v>601</v>
      </c>
      <c r="AT2" s="230" t="s">
        <v>601</v>
      </c>
      <c r="AU2" s="230" t="s">
        <v>601</v>
      </c>
      <c r="AV2" s="230" t="s">
        <v>1305</v>
      </c>
      <c r="AW2" s="230" t="s">
        <v>601</v>
      </c>
      <c r="AX2" s="230" t="s">
        <v>601</v>
      </c>
      <c r="AY2" s="230" t="s">
        <v>601</v>
      </c>
      <c r="AZ2" s="230" t="s">
        <v>601</v>
      </c>
      <c r="BA2" s="230" t="s">
        <v>601</v>
      </c>
      <c r="BB2" s="230" t="s">
        <v>1322</v>
      </c>
      <c r="BC2" s="230" t="s">
        <v>1306</v>
      </c>
      <c r="BD2" s="230" t="s">
        <v>601</v>
      </c>
      <c r="BE2" s="230" t="s">
        <v>601</v>
      </c>
      <c r="BF2" s="230" t="s">
        <v>601</v>
      </c>
      <c r="BG2" s="230" t="s">
        <v>601</v>
      </c>
      <c r="BH2" s="230" t="s">
        <v>601</v>
      </c>
      <c r="BI2" s="230" t="s">
        <v>587</v>
      </c>
      <c r="BJ2" s="230" t="s">
        <v>601</v>
      </c>
      <c r="BK2" s="230" t="s">
        <v>601</v>
      </c>
      <c r="BL2" s="230" t="s">
        <v>601</v>
      </c>
      <c r="BM2" s="230" t="s">
        <v>601</v>
      </c>
      <c r="BN2" s="230" t="s">
        <v>601</v>
      </c>
      <c r="BO2" s="230">
        <v>1</v>
      </c>
      <c r="BP2" s="230">
        <v>0</v>
      </c>
      <c r="BQ2" s="230">
        <v>0</v>
      </c>
      <c r="BR2" s="230">
        <v>0</v>
      </c>
      <c r="BS2" s="230">
        <v>0</v>
      </c>
      <c r="BT2" s="230">
        <v>0</v>
      </c>
      <c r="BU2" s="230" t="s">
        <v>596</v>
      </c>
      <c r="BV2" s="230">
        <v>2</v>
      </c>
      <c r="BW2" s="230">
        <v>0</v>
      </c>
      <c r="BX2" s="230">
        <v>0</v>
      </c>
      <c r="BY2" s="230">
        <v>0</v>
      </c>
      <c r="BZ2" s="230">
        <v>0</v>
      </c>
      <c r="CA2" s="230">
        <v>0</v>
      </c>
      <c r="CB2" s="230" t="s">
        <v>601</v>
      </c>
      <c r="CC2" s="230">
        <v>0</v>
      </c>
      <c r="CD2" s="230">
        <v>0</v>
      </c>
      <c r="CE2" s="230">
        <v>0</v>
      </c>
      <c r="CF2" s="230">
        <v>0</v>
      </c>
      <c r="CG2" s="230">
        <v>0</v>
      </c>
      <c r="CH2" s="230">
        <v>0</v>
      </c>
      <c r="CI2" s="230" t="s">
        <v>601</v>
      </c>
      <c r="CJ2" s="230">
        <v>0</v>
      </c>
      <c r="CK2" s="230">
        <v>0</v>
      </c>
      <c r="CL2" s="230">
        <v>0</v>
      </c>
      <c r="CM2" s="230">
        <v>0</v>
      </c>
      <c r="CN2" s="230">
        <v>0</v>
      </c>
      <c r="CO2" s="230">
        <v>0</v>
      </c>
      <c r="CP2" s="230" t="s">
        <v>601</v>
      </c>
      <c r="CQ2" s="230">
        <v>0</v>
      </c>
      <c r="CR2" s="230">
        <v>0</v>
      </c>
      <c r="CS2" s="230">
        <v>0</v>
      </c>
      <c r="CT2" s="230">
        <v>0</v>
      </c>
      <c r="CU2" s="230">
        <v>0</v>
      </c>
      <c r="CV2" s="230">
        <v>0</v>
      </c>
      <c r="CW2" s="230" t="s">
        <v>601</v>
      </c>
      <c r="CX2" s="230">
        <v>0</v>
      </c>
      <c r="CY2" s="230">
        <v>0</v>
      </c>
      <c r="CZ2" s="230">
        <v>0</v>
      </c>
      <c r="DA2" s="230">
        <v>0</v>
      </c>
      <c r="DB2" s="230">
        <v>0</v>
      </c>
      <c r="DC2" s="230">
        <v>0</v>
      </c>
      <c r="DD2" s="230" t="s">
        <v>601</v>
      </c>
      <c r="DE2" s="230">
        <v>0</v>
      </c>
      <c r="DF2" s="230">
        <v>0</v>
      </c>
      <c r="DG2" s="230">
        <v>0</v>
      </c>
      <c r="DH2" s="230">
        <v>0</v>
      </c>
      <c r="DI2" s="230">
        <v>0</v>
      </c>
      <c r="DJ2" s="230">
        <v>0</v>
      </c>
      <c r="DK2" s="230" t="s">
        <v>1267</v>
      </c>
      <c r="DL2" s="230">
        <v>40</v>
      </c>
      <c r="DM2" s="230">
        <v>0</v>
      </c>
      <c r="DN2" s="230">
        <v>0</v>
      </c>
      <c r="DO2" s="230">
        <v>0</v>
      </c>
      <c r="DP2" s="230">
        <v>0</v>
      </c>
      <c r="DQ2" s="230">
        <v>0</v>
      </c>
      <c r="DR2" s="230" t="s">
        <v>1267</v>
      </c>
      <c r="DS2" s="230">
        <v>40</v>
      </c>
      <c r="DT2" s="230" t="s">
        <v>601</v>
      </c>
      <c r="DU2" s="230">
        <v>0</v>
      </c>
      <c r="DV2" s="230">
        <v>0</v>
      </c>
      <c r="DW2" s="230">
        <v>0</v>
      </c>
      <c r="DX2" s="230">
        <v>0</v>
      </c>
      <c r="DY2" s="230">
        <v>0</v>
      </c>
      <c r="DZ2" s="230">
        <v>0</v>
      </c>
      <c r="EA2" s="230" t="s">
        <v>601</v>
      </c>
      <c r="EB2" s="230">
        <v>0</v>
      </c>
      <c r="EC2" s="230" t="s">
        <v>601</v>
      </c>
      <c r="ED2" s="230">
        <v>0</v>
      </c>
      <c r="EE2" s="230">
        <v>0</v>
      </c>
      <c r="EF2" s="230">
        <v>0</v>
      </c>
      <c r="EG2" s="230">
        <v>0</v>
      </c>
      <c r="EH2" s="230">
        <v>0</v>
      </c>
      <c r="EI2" s="230">
        <v>0</v>
      </c>
      <c r="EJ2" s="230" t="s">
        <v>601</v>
      </c>
      <c r="EK2" s="230">
        <v>0</v>
      </c>
      <c r="EL2" s="230" t="s">
        <v>601</v>
      </c>
      <c r="EM2" s="230">
        <v>0</v>
      </c>
      <c r="EN2" s="230">
        <v>0</v>
      </c>
      <c r="EO2" s="230">
        <v>0</v>
      </c>
      <c r="EP2" s="230">
        <v>0</v>
      </c>
      <c r="EQ2" s="230">
        <v>0</v>
      </c>
      <c r="ER2" s="230">
        <v>0</v>
      </c>
      <c r="ES2" s="230" t="s">
        <v>601</v>
      </c>
      <c r="ET2" s="230">
        <v>0</v>
      </c>
      <c r="EU2" s="230" t="s">
        <v>601</v>
      </c>
      <c r="EV2" s="230">
        <v>0</v>
      </c>
      <c r="EW2" s="230">
        <v>0</v>
      </c>
      <c r="EX2" s="230">
        <v>0</v>
      </c>
      <c r="EY2" s="230">
        <v>0</v>
      </c>
      <c r="EZ2" s="230">
        <v>0</v>
      </c>
      <c r="FA2" s="230">
        <v>0</v>
      </c>
      <c r="FB2" s="230" t="s">
        <v>601</v>
      </c>
      <c r="FC2" s="230">
        <v>0</v>
      </c>
      <c r="FD2" s="230" t="s">
        <v>601</v>
      </c>
      <c r="FE2" s="230">
        <v>0</v>
      </c>
      <c r="FF2" s="230">
        <v>0</v>
      </c>
      <c r="FG2" s="230">
        <v>0</v>
      </c>
      <c r="FH2" s="230">
        <v>0</v>
      </c>
      <c r="FI2" s="230">
        <v>0</v>
      </c>
      <c r="FJ2" s="230">
        <v>0</v>
      </c>
      <c r="FK2" s="230" t="s">
        <v>601</v>
      </c>
      <c r="FL2" s="230">
        <v>0</v>
      </c>
      <c r="FM2" s="230">
        <v>40</v>
      </c>
      <c r="FN2" s="230" t="s">
        <v>1314</v>
      </c>
      <c r="FO2" s="230" t="s">
        <v>601</v>
      </c>
      <c r="FP2" s="230" t="s">
        <v>601</v>
      </c>
      <c r="FQ2" s="230" t="s">
        <v>601</v>
      </c>
      <c r="FR2" s="230" t="s">
        <v>601</v>
      </c>
      <c r="FS2" s="230" t="s">
        <v>601</v>
      </c>
      <c r="FT2" s="230" t="s">
        <v>1315</v>
      </c>
      <c r="FU2" s="230">
        <v>47</v>
      </c>
      <c r="FV2" s="230">
        <v>0</v>
      </c>
      <c r="FW2" s="230">
        <v>0</v>
      </c>
      <c r="FX2" s="230">
        <v>0</v>
      </c>
      <c r="FY2" s="230">
        <v>0</v>
      </c>
      <c r="FZ2" s="230">
        <v>0</v>
      </c>
      <c r="GA2" s="230" t="s">
        <v>1315</v>
      </c>
      <c r="GB2" s="230" t="s">
        <v>601</v>
      </c>
      <c r="GC2" s="230">
        <v>0</v>
      </c>
      <c r="GD2" s="230">
        <v>0</v>
      </c>
      <c r="GE2" s="230">
        <v>0</v>
      </c>
      <c r="GF2" s="230">
        <v>0</v>
      </c>
      <c r="GG2" s="230">
        <v>0</v>
      </c>
      <c r="GH2" s="230">
        <v>0</v>
      </c>
      <c r="GI2" s="230" t="s">
        <v>601</v>
      </c>
      <c r="GJ2" s="230" t="s">
        <v>601</v>
      </c>
      <c r="GK2" s="230">
        <v>0</v>
      </c>
      <c r="GL2" s="230">
        <v>0</v>
      </c>
      <c r="GM2" s="230">
        <v>0</v>
      </c>
      <c r="GN2" s="230">
        <v>0</v>
      </c>
      <c r="GO2" s="230">
        <v>0</v>
      </c>
      <c r="GP2" s="230">
        <v>0</v>
      </c>
      <c r="GQ2" s="230" t="s">
        <v>601</v>
      </c>
      <c r="GR2" s="230" t="s">
        <v>601</v>
      </c>
      <c r="GS2" s="230">
        <v>0</v>
      </c>
      <c r="GT2" s="230">
        <v>0</v>
      </c>
      <c r="GU2" s="230">
        <v>0</v>
      </c>
      <c r="GV2" s="230">
        <v>0</v>
      </c>
      <c r="GW2" s="230">
        <v>0</v>
      </c>
      <c r="GX2" s="230">
        <v>0</v>
      </c>
      <c r="GY2" s="229" t="s">
        <v>601</v>
      </c>
      <c r="GZ2" s="229" t="s">
        <v>601</v>
      </c>
      <c r="HA2" s="230">
        <v>0</v>
      </c>
      <c r="HB2" s="230">
        <v>0</v>
      </c>
      <c r="HC2" s="230">
        <v>0</v>
      </c>
      <c r="HD2" s="230">
        <v>0</v>
      </c>
      <c r="HE2" s="230">
        <v>0</v>
      </c>
      <c r="HF2" s="230">
        <v>0</v>
      </c>
      <c r="HG2" s="230" t="s">
        <v>601</v>
      </c>
      <c r="HH2" s="230" t="s">
        <v>601</v>
      </c>
      <c r="HI2" s="230">
        <v>0</v>
      </c>
      <c r="HJ2" s="230">
        <v>0</v>
      </c>
      <c r="HK2" s="230">
        <v>0</v>
      </c>
      <c r="HL2" s="230">
        <v>0</v>
      </c>
      <c r="HM2" s="230">
        <v>0</v>
      </c>
      <c r="HN2" s="230">
        <v>0</v>
      </c>
      <c r="HO2" s="230" t="s">
        <v>601</v>
      </c>
      <c r="HP2" s="230" t="s">
        <v>51</v>
      </c>
      <c r="HQ2" s="230">
        <v>47</v>
      </c>
      <c r="HR2" s="230">
        <v>0</v>
      </c>
      <c r="HS2" s="230">
        <v>0</v>
      </c>
      <c r="HT2" s="230">
        <v>0</v>
      </c>
      <c r="HU2" s="230">
        <v>0</v>
      </c>
      <c r="HV2" s="230">
        <v>0</v>
      </c>
      <c r="HW2" s="802">
        <v>47</v>
      </c>
      <c r="HX2" s="802">
        <v>12</v>
      </c>
      <c r="HY2" s="230">
        <v>68</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1323</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1167</v>
      </c>
      <c r="B1" s="519" t="s">
        <v>1324</v>
      </c>
      <c r="C1" s="519" t="s">
        <v>1325</v>
      </c>
      <c r="D1" s="519" t="s">
        <v>1326</v>
      </c>
    </row>
    <row r="2">
      <c r="A2" s="235">
        <v>1</v>
      </c>
      <c r="B2" s="235">
        <v>1</v>
      </c>
      <c r="C2" s="552" t="s">
        <v>1327</v>
      </c>
      <c r="D2" s="552"/>
    </row>
    <row r="3">
      <c r="A3" s="235">
        <v>2</v>
      </c>
      <c r="B3" s="235">
        <v>2</v>
      </c>
      <c r="C3" s="552" t="s">
        <v>1328</v>
      </c>
      <c r="D3" s="552"/>
    </row>
    <row r="4">
      <c r="A4" s="235">
        <v>3</v>
      </c>
      <c r="B4" s="235">
        <v>3</v>
      </c>
      <c r="C4" s="552" t="s">
        <v>1329</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66" t="s">
        <v>1330</v>
      </c>
      <c r="B1" s="666"/>
      <c r="C1" s="666"/>
      <c r="D1" s="666"/>
      <c r="E1" s="666"/>
      <c r="F1" s="666"/>
      <c r="G1" s="666"/>
      <c r="H1" s="666"/>
      <c r="I1" s="666"/>
      <c r="J1" s="666"/>
      <c r="N1" s="667" t="s">
        <v>1331</v>
      </c>
      <c r="O1" s="667"/>
      <c r="P1" s="667"/>
      <c r="Q1" s="667"/>
      <c r="R1" s="667"/>
      <c r="S1" s="667"/>
      <c r="T1" s="667"/>
      <c r="U1" s="667"/>
      <c r="V1" s="667"/>
      <c r="W1" s="667"/>
      <c r="X1" s="667"/>
      <c r="Y1" s="667"/>
      <c r="Z1" s="667"/>
      <c r="AA1" s="237"/>
    </row>
    <row r="2" ht="16.5" customHeight="1">
      <c r="A2" s="667" t="s">
        <v>1332</v>
      </c>
      <c r="B2" s="667"/>
      <c r="C2" s="667"/>
      <c r="D2" s="667"/>
      <c r="E2" s="667"/>
      <c r="F2" s="667"/>
      <c r="G2" s="667"/>
      <c r="H2" s="667"/>
      <c r="I2" s="667"/>
      <c r="J2" s="667"/>
      <c r="N2" s="693" t="s">
        <v>1333</v>
      </c>
      <c r="O2" s="693"/>
      <c r="P2" s="693"/>
      <c r="Q2" s="693"/>
      <c r="R2" s="693"/>
      <c r="S2" s="693"/>
      <c r="T2" s="693"/>
      <c r="U2" s="693"/>
      <c r="V2" s="693"/>
      <c r="W2" s="693"/>
      <c r="X2" s="693"/>
      <c r="Y2" s="693"/>
      <c r="Z2" s="693"/>
    </row>
    <row r="3" ht="16.5">
      <c r="A3" s="667" t="s">
        <v>1334</v>
      </c>
      <c r="B3" s="667"/>
      <c r="C3" s="667"/>
      <c r="D3" s="667"/>
      <c r="E3" s="667"/>
      <c r="F3" s="667"/>
      <c r="G3" s="667"/>
      <c r="H3" s="667"/>
      <c r="I3" s="667"/>
      <c r="J3" s="667"/>
      <c r="O3" s="238"/>
      <c r="P3" s="238"/>
      <c r="Q3" s="238"/>
      <c r="R3" s="238"/>
      <c r="S3" s="238"/>
      <c r="T3" s="238"/>
      <c r="U3" s="238"/>
      <c r="V3" s="238"/>
      <c r="W3" s="238"/>
    </row>
    <row r="4" ht="21.75" customHeight="1">
      <c r="C4" s="670" t="str">
        <f>IF(LEN(AD4)=1,"Số: 0"&amp;AD4&amp;"/LPKĐ-TT2","Số: "&amp;AD4&amp;"/LPKĐ-TT2")</f>
        <v>Số: 02/LPKĐ-TT2</v>
      </c>
      <c r="D4" s="670"/>
      <c r="E4" s="670"/>
      <c r="F4" s="670"/>
      <c r="G4" s="670"/>
      <c r="H4" s="670"/>
      <c r="N4" s="673" t="str">
        <f>"TP. Hồ Chí Minh, ngày "&amp;AF4&amp;" tháng "&amp;AG4&amp;" năm "&amp;AH4</f>
        <v>TP. Hồ Chí Minh, ngày 27 tháng 2 năm 2019</v>
      </c>
      <c r="O4" s="673"/>
      <c r="P4" s="673"/>
      <c r="Q4" s="673"/>
      <c r="R4" s="673"/>
      <c r="S4" s="673"/>
      <c r="T4" s="673"/>
      <c r="U4" s="673"/>
      <c r="V4" s="673"/>
      <c r="W4" s="673"/>
      <c r="X4" s="673"/>
      <c r="Y4" s="673"/>
      <c r="Z4" s="673"/>
      <c r="AD4" s="239">
        <v>2</v>
      </c>
      <c r="AE4" s="240" t="s">
        <v>1335</v>
      </c>
      <c r="AF4" s="236">
        <f>DAY(AE4)</f>
        <v>27</v>
      </c>
      <c r="AG4" s="236">
        <f>MONTH(AE4)</f>
        <v>2</v>
      </c>
      <c r="AH4" s="236">
        <f>YEAR(AE4)</f>
        <v>2019</v>
      </c>
    </row>
    <row r="6" ht="8.25" customHeight="1">
      <c r="O6" s="237"/>
    </row>
    <row r="7" ht="18.75">
      <c r="C7" s="672" t="s">
        <v>1336</v>
      </c>
      <c r="D7" s="672"/>
      <c r="E7" s="672"/>
      <c r="F7" s="672"/>
      <c r="G7" s="672"/>
      <c r="H7" s="672"/>
      <c r="I7" s="672"/>
      <c r="J7" s="672"/>
      <c r="K7" s="672"/>
      <c r="L7" s="672"/>
      <c r="M7" s="672"/>
      <c r="N7" s="672"/>
      <c r="O7" s="672"/>
      <c r="P7" s="672"/>
      <c r="Q7" s="672"/>
      <c r="R7" s="672"/>
      <c r="S7" s="672"/>
      <c r="T7" s="672"/>
      <c r="U7" s="672"/>
      <c r="V7" s="672"/>
      <c r="W7" s="672"/>
      <c r="X7" s="672"/>
    </row>
    <row r="8" ht="18.75">
      <c r="C8" s="672" t="s">
        <v>1337</v>
      </c>
      <c r="D8" s="672"/>
      <c r="E8" s="672"/>
      <c r="F8" s="672"/>
      <c r="G8" s="672"/>
      <c r="H8" s="672"/>
      <c r="I8" s="672"/>
      <c r="J8" s="672"/>
      <c r="K8" s="672"/>
      <c r="L8" s="672"/>
      <c r="M8" s="672"/>
      <c r="N8" s="672"/>
      <c r="O8" s="672"/>
      <c r="P8" s="672"/>
      <c r="Q8" s="672"/>
      <c r="R8" s="672"/>
      <c r="S8" s="672"/>
      <c r="T8" s="672"/>
      <c r="U8" s="672"/>
      <c r="V8" s="672"/>
      <c r="W8" s="672"/>
      <c r="X8" s="672"/>
    </row>
    <row r="10" ht="16.5">
      <c r="D10" s="666" t="str">
        <f>"Kính gửi: "&amp;AD10</f>
        <v>Kính gửi: Trung tâm Thông tin di động khu vực II</v>
      </c>
      <c r="E10" s="666"/>
      <c r="F10" s="666"/>
      <c r="G10" s="666"/>
      <c r="H10" s="666"/>
      <c r="I10" s="666"/>
      <c r="J10" s="666"/>
      <c r="K10" s="666"/>
      <c r="L10" s="666"/>
      <c r="M10" s="666"/>
      <c r="N10" s="666"/>
      <c r="O10" s="666"/>
      <c r="P10" s="666"/>
      <c r="Q10" s="666"/>
      <c r="R10" s="666"/>
      <c r="S10" s="666"/>
      <c r="T10" s="666"/>
      <c r="U10" s="666"/>
      <c r="V10" s="666"/>
      <c r="W10" s="666"/>
      <c r="AD10" s="236" t="s">
        <v>1338</v>
      </c>
    </row>
    <row r="11" ht="15.75" customHeight="1">
      <c r="A11" s="241"/>
      <c r="B11" s="241"/>
      <c r="D11" s="671" t="s">
        <v>1339</v>
      </c>
      <c r="E11" s="671"/>
      <c r="F11" s="671"/>
      <c r="G11" s="694" t="str">
        <f>AD11</f>
        <v>Số MM18, đường Trường Sơn, phường 14, quận 10, thành phố Hồ Chí Minh.</v>
      </c>
      <c r="H11" s="694"/>
      <c r="I11" s="694"/>
      <c r="J11" s="694"/>
      <c r="K11" s="694"/>
      <c r="L11" s="694"/>
      <c r="M11" s="694"/>
      <c r="N11" s="694"/>
      <c r="O11" s="694"/>
      <c r="P11" s="694"/>
      <c r="Q11" s="694"/>
      <c r="R11" s="694"/>
      <c r="S11" s="694"/>
      <c r="T11" s="694"/>
      <c r="U11" s="694"/>
      <c r="V11" s="694"/>
      <c r="W11" s="694"/>
      <c r="X11" s="242"/>
      <c r="Y11" s="242"/>
      <c r="Z11" s="242"/>
      <c r="AD11" s="236" t="s">
        <v>1340</v>
      </c>
    </row>
    <row r="12">
      <c r="A12" s="241"/>
      <c r="B12" s="241"/>
      <c r="C12" s="241"/>
      <c r="D12" s="241"/>
      <c r="E12" s="241"/>
      <c r="F12" s="242"/>
      <c r="G12" s="694"/>
      <c r="H12" s="694"/>
      <c r="I12" s="694"/>
      <c r="J12" s="694"/>
      <c r="K12" s="694"/>
      <c r="L12" s="694"/>
      <c r="M12" s="694"/>
      <c r="N12" s="694"/>
      <c r="O12" s="694"/>
      <c r="P12" s="694"/>
      <c r="Q12" s="694"/>
      <c r="R12" s="694"/>
      <c r="S12" s="694"/>
      <c r="T12" s="694"/>
      <c r="U12" s="694"/>
      <c r="V12" s="694"/>
      <c r="W12" s="694"/>
      <c r="X12" s="242"/>
      <c r="Y12" s="242"/>
      <c r="Z12" s="242"/>
    </row>
    <row r="13" ht="20.25" customHeight="1">
      <c r="A13" s="241"/>
      <c r="B13" s="241"/>
      <c r="D13" s="241" t="s">
        <v>1341</v>
      </c>
      <c r="E13" s="241"/>
      <c r="F13" s="241"/>
      <c r="G13" s="671" t="str">
        <f>AD13</f>
        <v>08 38662387</v>
      </c>
      <c r="H13" s="671"/>
      <c r="I13" s="671"/>
      <c r="J13" s="671"/>
      <c r="K13" s="671"/>
      <c r="L13" s="671"/>
      <c r="M13" s="671"/>
      <c r="N13" s="241"/>
      <c r="O13" s="241" t="s">
        <v>1342</v>
      </c>
      <c r="P13" s="241"/>
      <c r="Q13" s="671" t="str">
        <f>AH13</f>
        <v>08 38662388</v>
      </c>
      <c r="R13" s="671"/>
      <c r="S13" s="671"/>
      <c r="T13" s="671"/>
      <c r="U13" s="671"/>
      <c r="V13" s="671"/>
      <c r="W13" s="671"/>
      <c r="X13" s="241"/>
      <c r="Y13" s="241"/>
      <c r="Z13" s="241"/>
      <c r="AD13" s="236" t="s">
        <v>1343</v>
      </c>
      <c r="AH13" s="236" t="s">
        <v>1344</v>
      </c>
    </row>
    <row r="14" ht="55.15" customHeight="1">
      <c r="A14" s="6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8"/>
      <c r="AD14" s="236" t="s">
        <v>1345</v>
      </c>
      <c r="AE14" s="240" t="s">
        <v>1346</v>
      </c>
      <c r="AF14" s="236">
        <f>DAY(AE14)</f>
        <v>25</v>
      </c>
      <c r="AG14" s="236">
        <f>MONTH(AE14)</f>
        <v>12</v>
      </c>
      <c r="AH14" s="236">
        <f>YEAR(AE14)</f>
        <v>2013</v>
      </c>
    </row>
    <row r="15" ht="87.75" customHeight="1">
      <c r="A15" s="669" t="s">
        <v>1347</v>
      </c>
      <c r="B15" s="669"/>
      <c r="C15" s="669"/>
      <c r="D15" s="669"/>
      <c r="E15" s="669"/>
      <c r="F15" s="669"/>
      <c r="G15" s="669"/>
      <c r="H15" s="669"/>
      <c r="I15" s="669"/>
      <c r="J15" s="669"/>
      <c r="K15" s="669"/>
      <c r="L15" s="669"/>
      <c r="M15" s="669"/>
      <c r="N15" s="669"/>
      <c r="O15" s="669"/>
      <c r="P15" s="669"/>
      <c r="Q15" s="669"/>
      <c r="R15" s="669"/>
      <c r="S15" s="669"/>
      <c r="T15" s="669"/>
      <c r="U15" s="669"/>
      <c r="V15" s="669"/>
      <c r="W15" s="669"/>
      <c r="X15" s="669"/>
      <c r="Y15" s="669"/>
      <c r="Z15" s="669"/>
    </row>
    <row r="16" ht="33" customHeight="1">
      <c r="B16" s="679" t="s">
        <v>84</v>
      </c>
      <c r="C16" s="681"/>
      <c r="D16" s="679" t="s">
        <v>1348</v>
      </c>
      <c r="E16" s="680"/>
      <c r="F16" s="680"/>
      <c r="G16" s="680"/>
      <c r="H16" s="680"/>
      <c r="I16" s="680"/>
      <c r="J16" s="680"/>
      <c r="K16" s="680"/>
      <c r="L16" s="680"/>
      <c r="M16" s="680"/>
      <c r="N16" s="681"/>
      <c r="O16" s="678" t="s">
        <v>1349</v>
      </c>
      <c r="P16" s="678"/>
      <c r="Q16" s="678"/>
      <c r="R16" s="678" t="s">
        <v>1350</v>
      </c>
      <c r="S16" s="678"/>
      <c r="T16" s="678"/>
      <c r="U16" s="678" t="s">
        <v>1351</v>
      </c>
      <c r="V16" s="678"/>
      <c r="W16" s="678"/>
      <c r="X16" s="678"/>
      <c r="Y16" s="678"/>
    </row>
    <row r="17" ht="18.75" customHeight="1">
      <c r="B17" s="690">
        <v>1</v>
      </c>
      <c r="C17" s="691"/>
      <c r="D17" s="682" t="s">
        <v>1352</v>
      </c>
      <c r="E17" s="683"/>
      <c r="F17" s="683"/>
      <c r="G17" s="683"/>
      <c r="H17" s="683"/>
      <c r="I17" s="683"/>
      <c r="J17" s="683"/>
      <c r="K17" s="683"/>
      <c r="L17" s="683"/>
      <c r="M17" s="683"/>
      <c r="N17" s="683"/>
      <c r="O17" s="684">
        <v>50000</v>
      </c>
      <c r="P17" s="685"/>
      <c r="Q17" s="686"/>
      <c r="R17" s="675">
        <f>AD17</f>
        <v>68</v>
      </c>
      <c r="S17" s="676"/>
      <c r="T17" s="677"/>
      <c r="U17" s="684">
        <f>O17*R17</f>
        <v>3400000</v>
      </c>
      <c r="V17" s="685"/>
      <c r="W17" s="685"/>
      <c r="X17" s="685"/>
      <c r="Y17" s="686"/>
      <c r="AD17" s="236">
        <v>68</v>
      </c>
    </row>
    <row r="18" ht="18.75" customHeight="1">
      <c r="B18" s="679" t="s">
        <v>1353</v>
      </c>
      <c r="C18" s="680"/>
      <c r="D18" s="680"/>
      <c r="E18" s="680"/>
      <c r="F18" s="680"/>
      <c r="G18" s="680"/>
      <c r="H18" s="680"/>
      <c r="I18" s="680"/>
      <c r="J18" s="680"/>
      <c r="K18" s="680"/>
      <c r="L18" s="680"/>
      <c r="M18" s="680"/>
      <c r="N18" s="680"/>
      <c r="O18" s="680"/>
      <c r="P18" s="680"/>
      <c r="Q18" s="680"/>
      <c r="R18" s="680"/>
      <c r="S18" s="680"/>
      <c r="T18" s="681"/>
      <c r="U18" s="687">
        <f>U17</f>
        <v>3400000</v>
      </c>
      <c r="V18" s="688"/>
      <c r="W18" s="688"/>
      <c r="X18" s="688"/>
      <c r="Y18" s="689"/>
      <c r="AD18" s="243">
        <f>U18</f>
        <v>3400000</v>
      </c>
    </row>
    <row r="19">
      <c r="B19" s="675" t="str">
        <f>"Bằng chữ: "&amp;AD19</f>
        <v>Bằng chữ: Ba triệu năm trăm ngàn đồng chẵn.</v>
      </c>
      <c r="C19" s="676"/>
      <c r="D19" s="676"/>
      <c r="E19" s="676"/>
      <c r="F19" s="676"/>
      <c r="G19" s="676"/>
      <c r="H19" s="676"/>
      <c r="I19" s="676"/>
      <c r="J19" s="676"/>
      <c r="K19" s="676"/>
      <c r="L19" s="676"/>
      <c r="M19" s="676"/>
      <c r="N19" s="676"/>
      <c r="O19" s="676"/>
      <c r="P19" s="676"/>
      <c r="Q19" s="676"/>
      <c r="R19" s="676"/>
      <c r="S19" s="676"/>
      <c r="T19" s="676"/>
      <c r="U19" s="676"/>
      <c r="V19" s="676"/>
      <c r="W19" s="676"/>
      <c r="X19" s="676"/>
      <c r="Y19" s="677"/>
      <c r="AD19" s="236" t="s">
        <v>1354</v>
      </c>
    </row>
    <row r="20" ht="7.5" customHeight="1"/>
    <row r="21" ht="18" customHeight="1">
      <c r="B21" s="674" t="s">
        <v>1355</v>
      </c>
      <c r="C21" s="674"/>
      <c r="D21" s="674"/>
      <c r="E21" s="674"/>
      <c r="F21" s="674"/>
      <c r="G21" s="674"/>
      <c r="H21" s="674"/>
      <c r="I21" s="674"/>
      <c r="J21" s="674" t="s">
        <v>1356</v>
      </c>
      <c r="K21" s="674"/>
      <c r="L21" s="674"/>
      <c r="M21" s="674"/>
      <c r="N21" s="674"/>
      <c r="O21" s="674"/>
      <c r="P21" s="674"/>
      <c r="Q21" s="674"/>
      <c r="R21" s="674"/>
      <c r="S21" s="674"/>
      <c r="T21" s="674"/>
      <c r="U21" s="674"/>
      <c r="V21" s="674"/>
      <c r="W21" s="674"/>
      <c r="X21" s="674"/>
      <c r="Y21" s="674"/>
    </row>
    <row r="22" ht="18.75" customHeight="1">
      <c r="B22" s="674" t="s">
        <v>1357</v>
      </c>
      <c r="C22" s="674"/>
      <c r="D22" s="674"/>
      <c r="E22" s="674"/>
      <c r="F22" s="674"/>
      <c r="G22" s="674"/>
      <c r="H22" s="674"/>
      <c r="I22" s="674"/>
      <c r="J22" s="674" t="s">
        <v>51</v>
      </c>
      <c r="K22" s="674"/>
      <c r="L22" s="674"/>
      <c r="M22" s="674"/>
      <c r="N22" s="674"/>
      <c r="O22" s="674"/>
      <c r="P22" s="674"/>
      <c r="Q22" s="674"/>
      <c r="R22" s="674"/>
      <c r="S22" s="674"/>
      <c r="T22" s="674"/>
      <c r="U22" s="674"/>
      <c r="V22" s="674"/>
      <c r="W22" s="674"/>
      <c r="X22" s="674"/>
      <c r="Y22" s="674"/>
    </row>
    <row r="23" ht="18" customHeight="1">
      <c r="B23" s="696"/>
      <c r="C23" s="696"/>
      <c r="D23" s="696"/>
      <c r="E23" s="696"/>
      <c r="F23" s="696"/>
      <c r="G23" s="696"/>
      <c r="H23" s="696"/>
      <c r="I23" s="696"/>
      <c r="J23" s="674" t="s">
        <v>1358</v>
      </c>
      <c r="K23" s="674"/>
      <c r="L23" s="674"/>
      <c r="M23" s="674"/>
      <c r="N23" s="674"/>
      <c r="O23" s="674"/>
      <c r="P23" s="674"/>
      <c r="Q23" s="674"/>
      <c r="R23" s="674"/>
      <c r="S23" s="674"/>
      <c r="T23" s="674"/>
      <c r="U23" s="674"/>
      <c r="V23" s="674"/>
      <c r="W23" s="674"/>
      <c r="X23" s="674"/>
      <c r="Y23" s="674"/>
    </row>
    <row r="24" ht="16.5" customHeight="1">
      <c r="B24" s="674" t="s">
        <v>1359</v>
      </c>
      <c r="C24" s="674"/>
      <c r="D24" s="674"/>
      <c r="E24" s="674"/>
      <c r="F24" s="674"/>
      <c r="G24" s="674"/>
      <c r="H24" s="674"/>
      <c r="I24" s="674"/>
      <c r="J24" s="674" t="s">
        <v>1360</v>
      </c>
      <c r="K24" s="674"/>
      <c r="L24" s="674"/>
      <c r="M24" s="674"/>
      <c r="N24" s="674"/>
      <c r="O24" s="674"/>
      <c r="P24" s="674"/>
      <c r="Q24" s="674"/>
      <c r="R24" s="674"/>
      <c r="S24" s="674"/>
      <c r="T24" s="674"/>
      <c r="U24" s="674"/>
      <c r="V24" s="674"/>
      <c r="W24" s="674"/>
      <c r="X24" s="674"/>
      <c r="Y24" s="674"/>
    </row>
    <row r="25" ht="17.25" customHeight="1">
      <c r="J25" s="674" t="s">
        <v>1361</v>
      </c>
      <c r="K25" s="674"/>
      <c r="L25" s="674"/>
      <c r="M25" s="674"/>
      <c r="N25" s="674"/>
      <c r="O25" s="674"/>
      <c r="P25" s="674"/>
      <c r="Q25" s="674"/>
      <c r="R25" s="674"/>
      <c r="S25" s="674"/>
      <c r="T25" s="674"/>
      <c r="U25" s="674"/>
      <c r="V25" s="674"/>
      <c r="W25" s="674"/>
      <c r="X25" s="674"/>
      <c r="Y25" s="674"/>
    </row>
    <row r="26" ht="47.25" customHeight="1">
      <c r="A26" s="668" t="s">
        <v>1362</v>
      </c>
      <c r="B26" s="668"/>
      <c r="C26" s="668"/>
      <c r="D26" s="668"/>
      <c r="E26" s="668"/>
      <c r="F26" s="668"/>
      <c r="G26" s="668"/>
      <c r="H26" s="668"/>
      <c r="I26" s="668"/>
      <c r="J26" s="668"/>
      <c r="K26" s="668"/>
      <c r="L26" s="668"/>
      <c r="M26" s="668"/>
      <c r="N26" s="668"/>
      <c r="O26" s="668"/>
      <c r="P26" s="668"/>
      <c r="Q26" s="668"/>
      <c r="R26" s="668"/>
      <c r="S26" s="668"/>
      <c r="T26" s="668"/>
      <c r="U26" s="668"/>
      <c r="V26" s="668"/>
      <c r="W26" s="668"/>
      <c r="X26" s="668"/>
      <c r="Y26" s="668"/>
      <c r="Z26" s="668"/>
    </row>
    <row r="27" ht="14.25" customHeight="1">
      <c r="AD27" s="244"/>
      <c r="AE27" s="244" t="s">
        <v>1363</v>
      </c>
      <c r="AF27" s="244"/>
      <c r="AG27" s="236" t="s">
        <v>1364</v>
      </c>
      <c r="AI27" s="244" t="s">
        <v>1365</v>
      </c>
      <c r="AK27" s="244"/>
      <c r="AL27" s="244"/>
      <c r="AN27" s="244"/>
      <c r="AO27" s="244"/>
      <c r="AP27" s="244"/>
      <c r="AQ27" s="244"/>
      <c r="AR27" s="244"/>
    </row>
    <row r="28" ht="16.5">
      <c r="A28" s="695" t="s">
        <v>1366</v>
      </c>
      <c r="B28" s="695"/>
      <c r="C28" s="695"/>
      <c r="D28" s="695"/>
      <c r="E28" s="695"/>
      <c r="F28" s="695"/>
      <c r="G28" s="695"/>
      <c r="H28" s="695"/>
      <c r="I28" s="695"/>
      <c r="J28" s="695"/>
      <c r="K28" s="695"/>
      <c r="L28" s="695"/>
      <c r="M28" s="695"/>
      <c r="O28" s="667" t="str">
        <f>IF(AD34=0,AG27,IF(AD34=1,AE27,AI27))</f>
        <v>KT. GIÁM ĐỐC</v>
      </c>
      <c r="P28" s="667"/>
      <c r="Q28" s="667"/>
      <c r="R28" s="667"/>
      <c r="S28" s="667"/>
      <c r="T28" s="667"/>
      <c r="U28" s="667"/>
      <c r="V28" s="667"/>
      <c r="W28" s="667"/>
      <c r="X28" s="667"/>
      <c r="Y28" s="667"/>
      <c r="Z28" s="667"/>
      <c r="AD28" s="244"/>
      <c r="AF28" s="244"/>
      <c r="AG28" s="244" t="s">
        <v>1367</v>
      </c>
      <c r="AH28" s="244"/>
      <c r="AI28" s="244" t="s">
        <v>1368</v>
      </c>
      <c r="AK28" s="244"/>
      <c r="AL28" s="244"/>
      <c r="AN28" s="244"/>
      <c r="AO28" s="244"/>
      <c r="AP28" s="244"/>
      <c r="AQ28" s="244"/>
      <c r="AR28" s="244"/>
    </row>
    <row r="29">
      <c r="A29" s="245" t="s">
        <v>1369</v>
      </c>
      <c r="B29" s="241"/>
      <c r="C29" s="241"/>
      <c r="D29" s="241"/>
      <c r="E29" s="241"/>
      <c r="F29" s="241"/>
      <c r="O29" s="692" t="str">
        <f>IF(AD34=0,AG28,IF(AD34=1,"",AI28))</f>
        <v>PHÓ GIÁM ĐỐC</v>
      </c>
      <c r="P29" s="692"/>
      <c r="Q29" s="692"/>
      <c r="R29" s="692"/>
      <c r="S29" s="692"/>
      <c r="T29" s="692"/>
      <c r="U29" s="692"/>
      <c r="V29" s="692"/>
      <c r="W29" s="692"/>
      <c r="X29" s="692"/>
      <c r="Y29" s="692"/>
      <c r="Z29" s="692"/>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1370</v>
      </c>
      <c r="AE30" s="244"/>
      <c r="AF30" s="244"/>
      <c r="AG30" s="244"/>
      <c r="AH30" s="244"/>
      <c r="AI30" s="244"/>
      <c r="AK30" s="244"/>
      <c r="AL30" s="244"/>
      <c r="AM30" s="244"/>
      <c r="AN30" s="244"/>
      <c r="AO30" s="244"/>
      <c r="AP30" s="244"/>
      <c r="AQ30" s="244"/>
      <c r="AR30" s="244"/>
    </row>
    <row r="31" ht="16.5" customHeight="1">
      <c r="A31" s="245" t="str">
        <f>IF(AD34=1,"",AD31)</f>
        <v>-    Lưu: PTH, PKĐ.</v>
      </c>
      <c r="AD31" s="245" t="s">
        <v>1371</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1372</v>
      </c>
      <c r="AF34" s="244"/>
      <c r="AG34" s="244" t="s">
        <v>1373</v>
      </c>
      <c r="AH34" s="244"/>
      <c r="AI34" s="244" t="s">
        <v>1374</v>
      </c>
      <c r="AK34" s="244"/>
      <c r="AL34" s="244"/>
      <c r="AM34" s="244"/>
      <c r="AO34" s="244"/>
      <c r="AP34" s="244"/>
      <c r="AQ34" s="244"/>
      <c r="AR34" s="244"/>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1375</v>
      </c>
      <c r="B1" s="697"/>
      <c r="C1" s="697"/>
      <c r="D1" s="697"/>
      <c r="E1" s="697" t="s">
        <v>1375</v>
      </c>
      <c r="F1" s="697"/>
      <c r="G1" s="697"/>
      <c r="H1" s="697"/>
      <c r="I1" s="697"/>
      <c r="J1" s="697"/>
      <c r="K1" s="697"/>
      <c r="L1" s="697"/>
      <c r="M1" s="697"/>
    </row>
    <row r="2" ht="15.75" customHeight="1">
      <c r="A2" s="698" t="s">
        <v>1376</v>
      </c>
      <c r="B2" s="698"/>
      <c r="C2" s="698"/>
      <c r="D2" s="698"/>
      <c r="E2" s="698" t="s">
        <v>1377</v>
      </c>
      <c r="F2" s="698"/>
      <c r="G2" s="698"/>
      <c r="H2" s="698"/>
      <c r="I2" s="698"/>
      <c r="J2" s="698"/>
      <c r="K2" s="698"/>
      <c r="L2" s="698"/>
      <c r="M2" s="698"/>
    </row>
    <row r="3" ht="15.75" customHeight="1" s="247" customFormat="1">
      <c r="A3" s="699"/>
      <c r="B3" s="699"/>
      <c r="C3" s="699"/>
      <c r="D3" s="699"/>
    </row>
    <row r="4" ht="52.5">
      <c r="A4" s="248" t="s">
        <v>84</v>
      </c>
      <c r="B4" s="248" t="s">
        <v>1378</v>
      </c>
      <c r="C4" s="248" t="s">
        <v>86</v>
      </c>
      <c r="D4" s="311" t="s">
        <v>1379</v>
      </c>
      <c r="E4" s="249" t="s">
        <v>84</v>
      </c>
      <c r="F4" s="249" t="s">
        <v>1380</v>
      </c>
      <c r="G4" s="249" t="s">
        <v>1378</v>
      </c>
      <c r="H4" s="249" t="s">
        <v>86</v>
      </c>
      <c r="I4" s="249" t="s">
        <v>1381</v>
      </c>
      <c r="J4" s="249" t="s">
        <v>1382</v>
      </c>
      <c r="K4" s="249" t="s">
        <v>382</v>
      </c>
      <c r="L4" s="249" t="s">
        <v>1383</v>
      </c>
      <c r="M4" s="249" t="s">
        <v>1384</v>
      </c>
    </row>
    <row r="5" ht="63.75">
      <c r="A5" s="250">
        <v>1</v>
      </c>
      <c r="B5" s="250" t="s">
        <v>1385</v>
      </c>
      <c r="C5" s="251" t="s">
        <v>1386</v>
      </c>
      <c r="D5" s="250" t="s">
        <v>1387</v>
      </c>
      <c r="E5" s="252">
        <f>A5</f>
        <v>1</v>
      </c>
      <c r="F5" s="253"/>
      <c r="G5" s="253">
        <v>43423</v>
      </c>
      <c r="H5" s="254" t="str">
        <f>C5</f>
        <v>Số 47, đường Hoàng Văn Thụ, khu dân cư Chánh Nghĩa, phường Chánh Nghĩa, thành phố Thủ Dầu Một, tỉnh Bình Dương.</v>
      </c>
      <c r="I5" s="253" t="s">
        <v>1388</v>
      </c>
      <c r="J5" s="252">
        <v>0</v>
      </c>
      <c r="K5" s="253">
        <v>0</v>
      </c>
      <c r="L5" s="252"/>
      <c r="M5" s="253" t="str">
        <f>D5</f>
        <v>B00300040319TG05</v>
      </c>
    </row>
    <row r="6" ht="51">
      <c r="A6" s="250">
        <v>2</v>
      </c>
      <c r="B6" s="250" t="s">
        <v>1389</v>
      </c>
      <c r="C6" s="251" t="s">
        <v>1390</v>
      </c>
      <c r="D6" s="250" t="s">
        <v>1391</v>
      </c>
      <c r="E6" s="252">
        <f ref="E6:E10" t="shared" si="0">A6</f>
        <v>2</v>
      </c>
      <c r="F6" s="253"/>
      <c r="G6" s="253">
        <v>43423</v>
      </c>
      <c r="H6" s="254" t="str">
        <f ref="H6:H10" t="shared" si="1">C6</f>
        <v>Số 74, đường Bùi Quốc Khánh, phường Chánh Nghĩa, thành phố Thủ Dầu Một, tỉnh Bình Dương.</v>
      </c>
      <c r="I6" s="253" t="s">
        <v>1392</v>
      </c>
      <c r="J6" s="252">
        <v>0</v>
      </c>
      <c r="K6" s="253">
        <v>0</v>
      </c>
      <c r="L6" s="252"/>
      <c r="M6" s="253" t="str">
        <f ref="M6:M10" t="shared" si="2">D6</f>
        <v>B00301040319TG05</v>
      </c>
    </row>
    <row r="7" ht="51">
      <c r="A7" s="250">
        <v>3</v>
      </c>
      <c r="B7" s="250" t="s">
        <v>1393</v>
      </c>
      <c r="C7" s="251" t="s">
        <v>1394</v>
      </c>
      <c r="D7" s="250" t="s">
        <v>1395</v>
      </c>
      <c r="E7" s="252">
        <f t="shared" si="0"/>
        <v>3</v>
      </c>
      <c r="F7" s="253"/>
      <c r="G7" s="253">
        <v>43423</v>
      </c>
      <c r="H7" s="254" t="str">
        <f t="shared" si="1"/>
        <v>Số 104/6, đường Bàu Bàng, phường Chánh Nghĩa, thành phố Thủ Dầu Một, tỉnh Bình Dương.</v>
      </c>
      <c r="I7" s="253" t="s">
        <v>1396</v>
      </c>
      <c r="J7" s="252">
        <v>0</v>
      </c>
      <c r="K7" s="253">
        <v>0</v>
      </c>
      <c r="L7" s="252"/>
      <c r="M7" s="253" t="str">
        <f t="shared" si="2"/>
        <v>B00302040319TG05</v>
      </c>
    </row>
    <row r="8" ht="51">
      <c r="A8" s="250">
        <v>4</v>
      </c>
      <c r="B8" s="250" t="s">
        <v>1397</v>
      </c>
      <c r="C8" s="251" t="s">
        <v>1398</v>
      </c>
      <c r="D8" s="250" t="s">
        <v>1399</v>
      </c>
      <c r="E8" s="252">
        <f t="shared" si="0"/>
        <v>4</v>
      </c>
      <c r="F8" s="253"/>
      <c r="G8" s="253">
        <v>43423</v>
      </c>
      <c r="H8" s="254" t="str">
        <f t="shared" si="1"/>
        <v>Số 3, đường Chùa Hội Khánh, phường Phú Cường, thành phố Thủ Dầu Một, tỉnh Bình Dương.</v>
      </c>
      <c r="I8" s="253" t="s">
        <v>1400</v>
      </c>
      <c r="J8" s="252">
        <v>0</v>
      </c>
      <c r="K8" s="253">
        <v>0</v>
      </c>
      <c r="L8" s="252"/>
      <c r="M8" s="253" t="str">
        <f t="shared" si="2"/>
        <v>B00303040319TG05</v>
      </c>
    </row>
    <row r="9" ht="51">
      <c r="A9" s="250">
        <v>5</v>
      </c>
      <c r="B9" s="250" t="s">
        <v>1401</v>
      </c>
      <c r="C9" s="251" t="s">
        <v>1402</v>
      </c>
      <c r="D9" s="250" t="s">
        <v>1403</v>
      </c>
      <c r="E9" s="252">
        <f t="shared" si="0"/>
        <v>5</v>
      </c>
      <c r="F9" s="253"/>
      <c r="G9" s="253">
        <v>43423</v>
      </c>
      <c r="H9" s="254" t="str">
        <f t="shared" si="1"/>
        <v>Số 54-D2, khu dân cư Phú Hòa, phường Phú Hòa, thành phố Thủ Dầu Một, tỉnh Bình Dương.</v>
      </c>
      <c r="I9" s="253" t="s">
        <v>1404</v>
      </c>
      <c r="J9" s="252">
        <v>0</v>
      </c>
      <c r="K9" s="253">
        <v>0</v>
      </c>
      <c r="L9" s="252"/>
      <c r="M9" s="253" t="str">
        <f t="shared" si="2"/>
        <v>B00304040319TG05</v>
      </c>
    </row>
    <row r="10" ht="51">
      <c r="A10" s="250">
        <v>6</v>
      </c>
      <c r="B10" s="250" t="s">
        <v>1405</v>
      </c>
      <c r="C10" s="251" t="s">
        <v>1406</v>
      </c>
      <c r="D10" s="250" t="s">
        <v>1407</v>
      </c>
      <c r="E10" s="252">
        <f t="shared" si="0"/>
        <v>6</v>
      </c>
      <c r="F10" s="253"/>
      <c r="G10" s="253">
        <v>43423</v>
      </c>
      <c r="H10" s="254" t="str">
        <f t="shared" si="1"/>
        <v>Số 108/15, đường 30 Tháng 4, khu phố 2, phường Phú Hòa, thành phố Thủ Dầu Một, tỉnh Bình Dương.</v>
      </c>
      <c r="I10" s="253" t="s">
        <v>1408</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36" t="s">
        <v>1332</v>
      </c>
      <c r="C1" s="736"/>
      <c r="D1" s="736"/>
      <c r="E1" s="736"/>
      <c r="F1" s="736"/>
      <c r="G1" s="736"/>
      <c r="H1" s="736"/>
      <c r="I1" s="736"/>
      <c r="J1" s="736"/>
      <c r="K1" s="736"/>
      <c r="L1" s="736"/>
      <c r="M1" s="736"/>
      <c r="P1" s="727" t="s">
        <v>1331</v>
      </c>
      <c r="Q1" s="727"/>
      <c r="R1" s="727"/>
      <c r="S1" s="727"/>
      <c r="T1" s="727"/>
      <c r="U1" s="727"/>
      <c r="V1" s="727"/>
      <c r="W1" s="727"/>
      <c r="X1" s="727"/>
      <c r="Y1" s="727"/>
      <c r="Z1" s="727"/>
      <c r="AA1" s="727"/>
      <c r="AB1" s="727"/>
      <c r="AC1" s="727"/>
      <c r="AD1" s="727"/>
      <c r="AE1" s="264"/>
    </row>
    <row r="2" ht="19.7" customHeight="1">
      <c r="C2" s="736" t="s">
        <v>1334</v>
      </c>
      <c r="D2" s="736"/>
      <c r="E2" s="736"/>
      <c r="F2" s="736"/>
      <c r="G2" s="736"/>
      <c r="H2" s="736"/>
      <c r="I2" s="736"/>
      <c r="J2" s="736"/>
      <c r="K2" s="736"/>
      <c r="L2" s="736"/>
      <c r="N2" s="265"/>
      <c r="P2" s="728" t="s">
        <v>1333</v>
      </c>
      <c r="Q2" s="728"/>
      <c r="R2" s="728"/>
      <c r="S2" s="728"/>
      <c r="T2" s="728"/>
      <c r="U2" s="728"/>
      <c r="V2" s="728"/>
      <c r="W2" s="728"/>
      <c r="X2" s="728"/>
      <c r="Y2" s="728"/>
      <c r="Z2" s="728"/>
      <c r="AA2" s="728"/>
      <c r="AB2" s="728"/>
      <c r="AC2" s="728"/>
      <c r="AD2" s="728"/>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7047</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30" t="s">
        <v>1337</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40.5" customHeight="1">
      <c r="C16" s="711" t="s">
        <v>86</v>
      </c>
      <c r="D16" s="712"/>
      <c r="E16" s="712"/>
      <c r="F16" s="712"/>
      <c r="G16" s="712"/>
      <c r="H16" s="712"/>
      <c r="I16" s="712"/>
      <c r="J16" s="712"/>
      <c r="K16" s="712"/>
      <c r="L16" s="713"/>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284" t="s">
        <v>7050</v>
      </c>
    </row>
    <row r="17" ht="19.5" customHeight="1">
      <c r="C17" s="711" t="s">
        <v>1378</v>
      </c>
      <c r="D17" s="712"/>
      <c r="E17" s="712"/>
      <c r="F17" s="712"/>
      <c r="G17" s="712"/>
      <c r="H17" s="712"/>
      <c r="I17" s="712"/>
      <c r="J17" s="712"/>
      <c r="K17" s="712"/>
      <c r="L17" s="713"/>
      <c r="M17" s="706" t="str">
        <f>IF(AG17="","",AG17)</f>
      </c>
      <c r="N17" s="707"/>
      <c r="O17" s="707"/>
      <c r="P17" s="707"/>
      <c r="Q17" s="707"/>
      <c r="R17" s="707"/>
      <c r="S17" s="707"/>
      <c r="T17" s="707"/>
      <c r="U17" s="707"/>
      <c r="V17" s="707"/>
      <c r="W17" s="707"/>
      <c r="X17" s="707"/>
      <c r="Y17" s="707"/>
      <c r="Z17" s="707"/>
      <c r="AA17" s="707"/>
      <c r="AB17" s="707"/>
      <c r="AC17" s="707"/>
      <c r="AD17" s="708"/>
      <c r="AE17" s="282"/>
    </row>
    <row r="18" ht="33.95" customHeight="1">
      <c r="C18" s="733" t="s">
        <v>7051</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7052</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7052</v>
      </c>
    </row>
    <row r="20" ht="21" customHeight="1">
      <c r="C20" s="720" t="s">
        <v>7053</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7054</v>
      </c>
      <c r="D21" s="714"/>
      <c r="E21" s="714"/>
      <c r="F21" s="714"/>
      <c r="G21" s="714"/>
      <c r="H21" s="714"/>
      <c r="I21" s="714"/>
      <c r="J21" s="714"/>
      <c r="K21" s="714"/>
      <c r="L21" s="714"/>
      <c r="M21" s="706" t="str">
        <f>AG21</f>
        <v>A</v>
      </c>
      <c r="N21" s="707"/>
      <c r="O21" s="707"/>
      <c r="P21" s="707"/>
      <c r="Q21" s="707"/>
      <c r="R21" s="707"/>
      <c r="S21" s="707"/>
      <c r="T21" s="707"/>
      <c r="U21" s="707"/>
      <c r="V21" s="707"/>
      <c r="W21" s="707"/>
      <c r="X21" s="707"/>
      <c r="Y21" s="707"/>
      <c r="Z21" s="707"/>
      <c r="AA21" s="707"/>
      <c r="AB21" s="707"/>
      <c r="AC21" s="707"/>
      <c r="AD21" s="708"/>
      <c r="AE21" s="282"/>
      <c r="AG21" s="278" t="s">
        <v>7055</v>
      </c>
      <c r="AK21" s="278" t="s">
        <v>7056</v>
      </c>
      <c r="AO21" s="278" t="s">
        <v>7057</v>
      </c>
      <c r="AS21" s="278" t="s">
        <v>7058</v>
      </c>
    </row>
    <row r="22" ht="19.7" customHeight="1">
      <c r="C22" s="723" t="s">
        <v>7059</v>
      </c>
      <c r="D22" s="724"/>
      <c r="E22" s="724"/>
      <c r="F22" s="724"/>
      <c r="G22" s="724"/>
      <c r="H22" s="724"/>
      <c r="I22" s="724"/>
      <c r="J22" s="724"/>
      <c r="K22" s="724"/>
      <c r="L22" s="725"/>
      <c r="M22" s="706">
        <f>AG22</f>
        <v>4</v>
      </c>
      <c r="N22" s="707"/>
      <c r="O22" s="707"/>
      <c r="P22" s="707"/>
      <c r="Q22" s="707"/>
      <c r="R22" s="707"/>
      <c r="S22" s="707"/>
      <c r="T22" s="707"/>
      <c r="U22" s="707"/>
      <c r="V22" s="707"/>
      <c r="W22" s="707"/>
      <c r="X22" s="707"/>
      <c r="Y22" s="707"/>
      <c r="Z22" s="707"/>
      <c r="AA22" s="707"/>
      <c r="AB22" s="707"/>
      <c r="AC22" s="707"/>
      <c r="AD22" s="708"/>
      <c r="AE22" s="282"/>
      <c r="AG22" s="283">
        <v>4</v>
      </c>
      <c r="AH22" s="283"/>
      <c r="AI22" s="283"/>
      <c r="AJ22" s="283"/>
      <c r="AK22" s="283">
        <v>1</v>
      </c>
      <c r="AL22" s="283"/>
      <c r="AM22" s="283"/>
      <c r="AN22" s="283"/>
      <c r="AO22" s="283">
        <v>3</v>
      </c>
      <c r="AS22" s="244">
        <v>1</v>
      </c>
    </row>
    <row r="23" ht="19.7" customHeight="1">
      <c r="C23" s="714" t="s">
        <v>7060</v>
      </c>
      <c r="D23" s="714"/>
      <c r="E23" s="714"/>
      <c r="F23" s="714"/>
      <c r="G23" s="714"/>
      <c r="H23" s="714"/>
      <c r="I23" s="714"/>
      <c r="J23" s="714"/>
      <c r="K23" s="714"/>
      <c r="L23" s="714"/>
      <c r="M23" s="717" t="str">
        <f>AG23</f>
        <v>4/4/4</v>
      </c>
      <c r="N23" s="718"/>
      <c r="O23" s="718"/>
      <c r="P23" s="718"/>
      <c r="Q23" s="718"/>
      <c r="R23" s="718"/>
      <c r="S23" s="718"/>
      <c r="T23" s="718"/>
      <c r="U23" s="718"/>
      <c r="V23" s="718"/>
      <c r="W23" s="718"/>
      <c r="X23" s="718"/>
      <c r="Y23" s="718"/>
      <c r="Z23" s="718"/>
      <c r="AA23" s="718"/>
      <c r="AB23" s="718"/>
      <c r="AC23" s="718"/>
      <c r="AD23" s="719"/>
      <c r="AE23" s="287"/>
      <c r="AG23" s="288" t="s">
        <v>589</v>
      </c>
      <c r="AH23" s="289"/>
      <c r="AI23" s="289"/>
      <c r="AJ23" s="289"/>
      <c r="AK23" s="288" t="s">
        <v>597</v>
      </c>
      <c r="AL23" s="289"/>
      <c r="AM23" s="289"/>
      <c r="AN23" s="289"/>
      <c r="AO23" s="288" t="s">
        <v>7061</v>
      </c>
      <c r="AP23" s="289"/>
      <c r="AQ23" s="289"/>
      <c r="AR23" s="289"/>
      <c r="AS23" s="288" t="s">
        <v>7062</v>
      </c>
    </row>
    <row r="24" ht="19.7" customHeight="1">
      <c r="C24" s="723" t="s">
        <v>7063</v>
      </c>
      <c r="D24" s="724"/>
      <c r="E24" s="724"/>
      <c r="F24" s="724"/>
      <c r="G24" s="724"/>
      <c r="H24" s="724"/>
      <c r="I24" s="724"/>
      <c r="J24" s="724"/>
      <c r="K24" s="724"/>
      <c r="L24" s="725"/>
      <c r="M24" s="706" t="str">
        <f>IF(M22=4,AG24&amp;"W/ "&amp;AH24&amp;"W/ "&amp;AI24&amp;"W/ "&amp;AJ24&amp;"W",IF(M22=3,AG24&amp;"W/ "&amp;AH24&amp;"W/ "&amp;AI24&amp;"W",IF(M22=2,AG24&amp;"W/ "&amp;AH24&amp;"W",AG24&amp;"W")))</f>
        <v>20W/ 20W/ 20W/ 20W</v>
      </c>
      <c r="N24" s="707"/>
      <c r="O24" s="707"/>
      <c r="P24" s="707"/>
      <c r="Q24" s="707"/>
      <c r="R24" s="707"/>
      <c r="S24" s="707"/>
      <c r="T24" s="707"/>
      <c r="U24" s="707"/>
      <c r="V24" s="707"/>
      <c r="W24" s="707"/>
      <c r="X24" s="707"/>
      <c r="Y24" s="707"/>
      <c r="Z24" s="707"/>
      <c r="AA24" s="707"/>
      <c r="AB24" s="707"/>
      <c r="AC24" s="707"/>
      <c r="AD24" s="708"/>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14" t="s">
        <v>7066</v>
      </c>
      <c r="D25" s="714"/>
      <c r="E25" s="714"/>
      <c r="F25" s="714"/>
      <c r="G25" s="714"/>
      <c r="H25" s="714"/>
      <c r="I25" s="714"/>
      <c r="J25" s="714"/>
      <c r="K25" s="714"/>
      <c r="L25" s="714"/>
      <c r="M25" s="706" t="str">
        <f>IF(AG25="900 &amp; 1800","900MHz &amp; 1800MHz",IF(AG25="900 &amp; 2100","900MHz &amp; 2100MHz",IF(AG25="1800 &amp; 2100","1800MHz &amp; 2100MHz",AG25&amp;"MHz")))</f>
        <v>900MHz</v>
      </c>
      <c r="N25" s="707"/>
      <c r="O25" s="707"/>
      <c r="P25" s="707"/>
      <c r="Q25" s="707"/>
      <c r="R25" s="707"/>
      <c r="S25" s="707"/>
      <c r="T25" s="707"/>
      <c r="U25" s="707"/>
      <c r="V25" s="707"/>
      <c r="W25" s="707"/>
      <c r="X25" s="707"/>
      <c r="Y25" s="707"/>
      <c r="Z25" s="707"/>
      <c r="AA25" s="707"/>
      <c r="AB25" s="707"/>
      <c r="AC25" s="707"/>
      <c r="AD25" s="708"/>
      <c r="AE25" s="282"/>
      <c r="AG25" s="244">
        <v>900</v>
      </c>
      <c r="AK25" s="244">
        <v>1800</v>
      </c>
      <c r="AO25" s="244">
        <v>2100</v>
      </c>
      <c r="AS25" s="278" t="s">
        <v>7091</v>
      </c>
    </row>
    <row r="26" ht="33.95" customHeight="1">
      <c r="C26" s="714" t="s">
        <v>7068</v>
      </c>
      <c r="D26" s="714"/>
      <c r="E26" s="714"/>
      <c r="F26" s="714"/>
      <c r="G26" s="714"/>
      <c r="H26" s="714"/>
      <c r="I26" s="714"/>
      <c r="J26" s="714"/>
      <c r="K26" s="714"/>
      <c r="L26" s="714"/>
      <c r="M26" s="706">
        <f>AG26</f>
        <v>15</v>
      </c>
      <c r="N26" s="707"/>
      <c r="O26" s="707"/>
      <c r="P26" s="707"/>
      <c r="Q26" s="707"/>
      <c r="R26" s="707"/>
      <c r="S26" s="707"/>
      <c r="T26" s="707"/>
      <c r="U26" s="707"/>
      <c r="V26" s="707"/>
      <c r="W26" s="707"/>
      <c r="X26" s="707"/>
      <c r="Y26" s="707"/>
      <c r="Z26" s="707"/>
      <c r="AA26" s="707"/>
      <c r="AB26" s="707"/>
      <c r="AC26" s="707"/>
      <c r="AD26" s="708"/>
      <c r="AE26" s="285"/>
      <c r="AG26" s="244">
        <v>15</v>
      </c>
      <c r="AK26" s="244">
        <v>16</v>
      </c>
      <c r="AO26" s="244">
        <v>17</v>
      </c>
      <c r="AS26" s="244">
        <v>18</v>
      </c>
    </row>
    <row r="27" ht="25.5" customHeight="1">
      <c r="C27" s="715" t="s">
        <v>7069</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7070</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7071</v>
      </c>
      <c r="AQ29" s="244" t="str">
        <f>IF(AG28&gt;=0," cao hơn "," thấp hơn ")</f>
        <v> cao hơn </v>
      </c>
      <c r="AR29" s="244" t="s">
        <v>7072</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7073</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IF(AI41=0,AN34,IF(AI41=1,AK34,AR34))</f>
        <v>KT. GIÁM ĐỐC</v>
      </c>
      <c r="U34" s="741"/>
      <c r="V34" s="741"/>
      <c r="W34" s="741"/>
      <c r="X34" s="741"/>
      <c r="Y34" s="741"/>
      <c r="Z34" s="741"/>
      <c r="AA34" s="741"/>
      <c r="AB34" s="741"/>
      <c r="AC34" s="741"/>
      <c r="AD34" s="741"/>
      <c r="AE34" s="741"/>
      <c r="AK34" s="244" t="s">
        <v>1363</v>
      </c>
      <c r="AN34" s="244" t="s">
        <v>1364</v>
      </c>
      <c r="AR34" s="244" t="s">
        <v>1365</v>
      </c>
    </row>
    <row r="35" ht="17.1" customHeight="1">
      <c r="C35" s="742" t="s">
        <v>7074</v>
      </c>
      <c r="D35" s="742"/>
      <c r="E35" s="742"/>
      <c r="F35" s="742"/>
      <c r="G35" s="742"/>
      <c r="H35" s="293" t="s">
        <v>7075</v>
      </c>
      <c r="I35" s="744" t="s">
        <v>7076</v>
      </c>
      <c r="J35" s="744"/>
      <c r="K35" s="744"/>
      <c r="L35" s="744"/>
      <c r="M35" s="744"/>
      <c r="N35" s="744"/>
      <c r="O35" s="294"/>
      <c r="P35" s="294"/>
      <c r="Q35" s="290"/>
      <c r="R35" s="290"/>
      <c r="S35" s="290"/>
      <c r="T35" s="741" t="str">
        <f>IF(AI41=0,AN35,IF(AI41=1,"",AR35))</f>
        <v>PHÓ GIÁM ĐỐC</v>
      </c>
      <c r="U35" s="741"/>
      <c r="V35" s="741"/>
      <c r="W35" s="741"/>
      <c r="X35" s="741"/>
      <c r="Y35" s="741"/>
      <c r="Z35" s="741"/>
      <c r="AA35" s="741"/>
      <c r="AB35" s="741"/>
      <c r="AC35" s="741"/>
      <c r="AD35" s="741"/>
      <c r="AE35" s="741"/>
      <c r="AN35" s="244" t="s">
        <v>1367</v>
      </c>
      <c r="AR35" s="244" t="s">
        <v>1368</v>
      </c>
    </row>
    <row r="36" ht="17.1" customHeight="1">
      <c r="C36" s="742" t="s">
        <v>7077</v>
      </c>
      <c r="D36" s="742"/>
      <c r="E36" s="742"/>
      <c r="F36" s="742"/>
      <c r="G36" s="742"/>
      <c r="H36" s="293" t="s">
        <v>7075</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7078</v>
      </c>
      <c r="D37" s="742"/>
      <c r="E37" s="742"/>
      <c r="F37" s="742"/>
      <c r="G37" s="742"/>
      <c r="H37" s="293" t="s">
        <v>7075</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IF(AI41=0,AO41,IF(AI41=1,AK41,AS41))</f>
        <v>Trần Công Khanh</v>
      </c>
      <c r="U41" s="727"/>
      <c r="V41" s="727"/>
      <c r="W41" s="727"/>
      <c r="X41" s="727"/>
      <c r="Y41" s="727"/>
      <c r="Z41" s="727"/>
      <c r="AA41" s="727"/>
      <c r="AB41" s="727"/>
      <c r="AC41" s="727"/>
      <c r="AD41" s="727"/>
      <c r="AE41" s="727"/>
      <c r="AI41" s="244">
        <v>0</v>
      </c>
      <c r="AK41" s="244" t="s">
        <v>1372</v>
      </c>
      <c r="AO41" s="244" t="s">
        <v>1373</v>
      </c>
      <c r="AS41" s="244" t="s">
        <v>1374</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550"/>
    </row>
    <row r="44" ht="16.5" customHeight="1">
      <c r="A44" s="266"/>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550"/>
    </row>
    <row r="45" ht="16.5" customHeight="1">
      <c r="A45" s="266"/>
      <c r="B45" s="709"/>
      <c r="C45" s="709"/>
      <c r="D45" s="709"/>
      <c r="E45" s="709"/>
      <c r="F45" s="709"/>
      <c r="G45" s="709"/>
      <c r="H45" s="701" t="s">
        <v>7080</v>
      </c>
      <c r="I45" s="701"/>
      <c r="J45" s="701"/>
      <c r="K45" s="701"/>
      <c r="L45" s="701" t="s">
        <v>7081</v>
      </c>
      <c r="M45" s="701"/>
      <c r="N45" s="701" t="s">
        <v>7082</v>
      </c>
      <c r="O45" s="701"/>
      <c r="P45" s="701"/>
      <c r="Q45" s="701" t="s">
        <v>7083</v>
      </c>
      <c r="R45" s="701"/>
      <c r="S45" s="701"/>
      <c r="T45" s="701"/>
      <c r="U45" s="701"/>
      <c r="V45" s="701" t="s">
        <v>7084</v>
      </c>
      <c r="W45" s="701"/>
      <c r="X45" s="701"/>
      <c r="Y45" s="701" t="s">
        <v>7085</v>
      </c>
      <c r="Z45" s="701"/>
      <c r="AA45" s="701"/>
      <c r="AB45" s="701"/>
      <c r="AC45" s="701"/>
      <c r="AD45" s="701"/>
      <c r="AE45" s="549"/>
    </row>
    <row r="46" ht="16.5" customHeight="1">
      <c r="A46" s="266"/>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7052</v>
      </c>
      <c r="AI49" s="278" t="s">
        <v>7086</v>
      </c>
      <c r="AJ49" s="278"/>
      <c r="AL49" s="288" t="s">
        <v>589</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7052</v>
      </c>
      <c r="AI53" s="278" t="s">
        <v>7086</v>
      </c>
      <c r="AJ53" s="278"/>
      <c r="AL53" s="288" t="s">
        <v>589</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7052</v>
      </c>
      <c r="AI57" s="278" t="s">
        <v>7086</v>
      </c>
      <c r="AJ57" s="278"/>
      <c r="AL57" s="288" t="s">
        <v>589</v>
      </c>
      <c r="AO57" s="244">
        <v>20</v>
      </c>
      <c r="AP57" s="244">
        <v>30</v>
      </c>
      <c r="AQ57" s="244">
        <v>40</v>
      </c>
      <c r="AR57" s="244">
        <v>50</v>
      </c>
      <c r="AS57" s="244" t="s">
        <v>7088</v>
      </c>
      <c r="AT57" s="244">
        <v>15</v>
      </c>
    </row>
    <row r="58" ht="18.75" customHeight="1">
      <c r="A58" s="266"/>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7052</v>
      </c>
      <c r="AI61" s="278" t="s">
        <v>7086</v>
      </c>
      <c r="AJ61" s="278"/>
      <c r="AL61" s="288" t="s">
        <v>589</v>
      </c>
      <c r="AO61" s="244">
        <v>20</v>
      </c>
      <c r="AP61" s="244">
        <v>30</v>
      </c>
      <c r="AQ61" s="244">
        <v>40</v>
      </c>
      <c r="AR61" s="244">
        <v>50</v>
      </c>
      <c r="AS61" s="244" t="s">
        <v>7089</v>
      </c>
      <c r="AT61" s="244">
        <v>15</v>
      </c>
    </row>
    <row r="62" ht="18.75" customHeight="1">
      <c r="A62" s="266"/>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7052</v>
      </c>
      <c r="AI65" s="278" t="s">
        <v>7086</v>
      </c>
      <c r="AJ65" s="278"/>
      <c r="AL65" s="288" t="s">
        <v>589</v>
      </c>
      <c r="AO65" s="244">
        <v>20</v>
      </c>
      <c r="AP65" s="244">
        <v>30</v>
      </c>
      <c r="AQ65" s="244">
        <v>40</v>
      </c>
      <c r="AR65" s="244">
        <v>50</v>
      </c>
      <c r="AS65" s="244" t="s">
        <v>7090</v>
      </c>
      <c r="AT65" s="244">
        <v>15</v>
      </c>
      <c r="AU65" s="244">
        <v>16</v>
      </c>
      <c r="AV65" s="244">
        <v>17</v>
      </c>
    </row>
    <row r="66" ht="18.75" customHeight="1">
      <c r="A66" s="266"/>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36" t="s">
        <v>1332</v>
      </c>
      <c r="C1" s="736"/>
      <c r="D1" s="736"/>
      <c r="E1" s="736"/>
      <c r="F1" s="736"/>
      <c r="G1" s="736"/>
      <c r="H1" s="736"/>
      <c r="I1" s="736"/>
      <c r="J1" s="736"/>
      <c r="K1" s="736"/>
      <c r="L1" s="736"/>
      <c r="M1" s="736"/>
      <c r="N1" s="277"/>
      <c r="O1" s="277"/>
      <c r="P1" s="727" t="s">
        <v>1331</v>
      </c>
      <c r="Q1" s="727"/>
      <c r="R1" s="727"/>
      <c r="S1" s="727"/>
      <c r="T1" s="727"/>
      <c r="U1" s="727"/>
      <c r="V1" s="727"/>
      <c r="W1" s="727"/>
      <c r="X1" s="727"/>
      <c r="Y1" s="727"/>
      <c r="Z1" s="727"/>
      <c r="AA1" s="727"/>
      <c r="AB1" s="727"/>
      <c r="AC1" s="727"/>
      <c r="AD1" s="727"/>
      <c r="AE1" s="264"/>
    </row>
    <row r="2" ht="19.7" customHeight="1">
      <c r="C2" s="736" t="s">
        <v>1334</v>
      </c>
      <c r="D2" s="736"/>
      <c r="E2" s="736"/>
      <c r="F2" s="736"/>
      <c r="G2" s="736"/>
      <c r="H2" s="736"/>
      <c r="I2" s="736"/>
      <c r="J2" s="736"/>
      <c r="K2" s="736"/>
      <c r="L2" s="736"/>
      <c r="M2" s="277"/>
      <c r="N2" s="300"/>
      <c r="O2" s="277"/>
      <c r="P2" s="737" t="s">
        <v>1333</v>
      </c>
      <c r="Q2" s="737"/>
      <c r="R2" s="737"/>
      <c r="S2" s="737"/>
      <c r="T2" s="737"/>
      <c r="U2" s="737"/>
      <c r="V2" s="737"/>
      <c r="W2" s="737"/>
      <c r="X2" s="737"/>
      <c r="Y2" s="737"/>
      <c r="Z2" s="737"/>
      <c r="AA2" s="737"/>
      <c r="AB2" s="737"/>
      <c r="AC2" s="737"/>
      <c r="AD2" s="737"/>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7047</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30" t="s">
        <v>1337</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38.25" customHeight="1">
      <c r="C16" s="749" t="s">
        <v>86</v>
      </c>
      <c r="D16" s="750"/>
      <c r="E16" s="750"/>
      <c r="F16" s="750"/>
      <c r="G16" s="750"/>
      <c r="H16" s="750"/>
      <c r="I16" s="750"/>
      <c r="J16" s="750"/>
      <c r="K16" s="750"/>
      <c r="L16" s="751"/>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303" t="s">
        <v>7050</v>
      </c>
    </row>
    <row r="17" ht="21" customHeight="1">
      <c r="C17" s="711" t="s">
        <v>1378</v>
      </c>
      <c r="D17" s="712"/>
      <c r="E17" s="712"/>
      <c r="F17" s="712"/>
      <c r="G17" s="712"/>
      <c r="H17" s="712"/>
      <c r="I17" s="712"/>
      <c r="J17" s="712"/>
      <c r="K17" s="712"/>
      <c r="L17" s="713"/>
      <c r="M17" s="730" t="str">
        <f>IF(AG17="","",AG17)</f>
      </c>
      <c r="N17" s="731"/>
      <c r="O17" s="731"/>
      <c r="P17" s="731"/>
      <c r="Q17" s="731"/>
      <c r="R17" s="731"/>
      <c r="S17" s="731"/>
      <c r="T17" s="731"/>
      <c r="U17" s="731"/>
      <c r="V17" s="731"/>
      <c r="W17" s="731"/>
      <c r="X17" s="731"/>
      <c r="Y17" s="731"/>
      <c r="Z17" s="731"/>
      <c r="AA17" s="731"/>
      <c r="AB17" s="731"/>
      <c r="AC17" s="731"/>
      <c r="AD17" s="732"/>
      <c r="AE17" s="282"/>
    </row>
    <row r="18" ht="33.95" customHeight="1">
      <c r="C18" s="733" t="s">
        <v>7051</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7052</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7052</v>
      </c>
    </row>
    <row r="20" ht="21" customHeight="1">
      <c r="C20" s="720" t="s">
        <v>7053</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7054</v>
      </c>
      <c r="D21" s="714"/>
      <c r="E21" s="714"/>
      <c r="F21" s="714"/>
      <c r="G21" s="714"/>
      <c r="H21" s="714"/>
      <c r="I21" s="714"/>
      <c r="J21" s="714"/>
      <c r="K21" s="714"/>
      <c r="L21" s="714"/>
      <c r="M21" s="748" t="str">
        <f>AG21</f>
        <v>MOTOROLA HORIZON II MACRO</v>
      </c>
      <c r="N21" s="748"/>
      <c r="O21" s="748"/>
      <c r="P21" s="748"/>
      <c r="Q21" s="748"/>
      <c r="R21" s="748"/>
      <c r="S21" s="748"/>
      <c r="T21" s="748"/>
      <c r="U21" s="748"/>
      <c r="V21" s="748" t="str">
        <f>AK21</f>
        <v>MOTOROLA HORIZON II MACRO</v>
      </c>
      <c r="W21" s="748"/>
      <c r="X21" s="748"/>
      <c r="Y21" s="748"/>
      <c r="Z21" s="748"/>
      <c r="AA21" s="748"/>
      <c r="AB21" s="748"/>
      <c r="AC21" s="748"/>
      <c r="AD21" s="748"/>
      <c r="AE21" s="282"/>
      <c r="AG21" s="278" t="s">
        <v>1598</v>
      </c>
      <c r="AK21" s="278" t="s">
        <v>1598</v>
      </c>
      <c r="AO21" s="278" t="s">
        <v>7057</v>
      </c>
      <c r="AS21" s="278" t="s">
        <v>7058</v>
      </c>
    </row>
    <row r="22" ht="19.7" customHeight="1">
      <c r="C22" s="723" t="s">
        <v>7059</v>
      </c>
      <c r="D22" s="724"/>
      <c r="E22" s="724"/>
      <c r="F22" s="724"/>
      <c r="G22" s="724"/>
      <c r="H22" s="724"/>
      <c r="I22" s="724"/>
      <c r="J22" s="724"/>
      <c r="K22" s="724"/>
      <c r="L22" s="725"/>
      <c r="M22" s="706">
        <f>AG22</f>
        <v>3</v>
      </c>
      <c r="N22" s="707"/>
      <c r="O22" s="707"/>
      <c r="P22" s="707"/>
      <c r="Q22" s="707"/>
      <c r="R22" s="707"/>
      <c r="S22" s="707"/>
      <c r="T22" s="707"/>
      <c r="U22" s="708"/>
      <c r="V22" s="706">
        <f>AK22</f>
        <v>3</v>
      </c>
      <c r="W22" s="707"/>
      <c r="X22" s="707"/>
      <c r="Y22" s="707"/>
      <c r="Z22" s="707"/>
      <c r="AA22" s="707"/>
      <c r="AB22" s="707"/>
      <c r="AC22" s="707"/>
      <c r="AD22" s="708"/>
      <c r="AE22" s="282"/>
      <c r="AG22" s="283">
        <v>3</v>
      </c>
      <c r="AH22" s="283"/>
      <c r="AI22" s="283"/>
      <c r="AJ22" s="283"/>
      <c r="AK22" s="283">
        <v>3</v>
      </c>
      <c r="AL22" s="283"/>
      <c r="AM22" s="283"/>
      <c r="AN22" s="283"/>
      <c r="AO22" s="283">
        <v>3</v>
      </c>
      <c r="AS22" s="244">
        <v>1</v>
      </c>
    </row>
    <row r="23" ht="19.7" customHeight="1">
      <c r="C23" s="714" t="s">
        <v>7060</v>
      </c>
      <c r="D23" s="714"/>
      <c r="E23" s="714"/>
      <c r="F23" s="714"/>
      <c r="G23" s="714"/>
      <c r="H23" s="714"/>
      <c r="I23" s="714"/>
      <c r="J23" s="714"/>
      <c r="K23" s="714"/>
      <c r="L23" s="714"/>
      <c r="M23" s="754" t="str">
        <f>AG23</f>
        <v>4/4/4</v>
      </c>
      <c r="N23" s="755"/>
      <c r="O23" s="755"/>
      <c r="P23" s="755"/>
      <c r="Q23" s="755"/>
      <c r="R23" s="755"/>
      <c r="S23" s="755"/>
      <c r="T23" s="755"/>
      <c r="U23" s="755"/>
      <c r="V23" s="718" t="str">
        <f>AK23</f>
        <v>2/2/2</v>
      </c>
      <c r="W23" s="752"/>
      <c r="X23" s="752"/>
      <c r="Y23" s="752"/>
      <c r="Z23" s="752"/>
      <c r="AA23" s="752"/>
      <c r="AB23" s="752"/>
      <c r="AC23" s="752"/>
      <c r="AD23" s="753"/>
      <c r="AE23" s="287"/>
      <c r="AG23" s="288" t="s">
        <v>589</v>
      </c>
      <c r="AH23" s="289"/>
      <c r="AI23" s="289"/>
      <c r="AJ23" s="289"/>
      <c r="AK23" s="288" t="s">
        <v>597</v>
      </c>
      <c r="AL23" s="289"/>
      <c r="AM23" s="289"/>
      <c r="AN23" s="289"/>
      <c r="AO23" s="288" t="s">
        <v>7061</v>
      </c>
      <c r="AP23" s="289"/>
      <c r="AQ23" s="289"/>
      <c r="AR23" s="289"/>
      <c r="AS23" s="288" t="s">
        <v>7062</v>
      </c>
    </row>
    <row r="24" ht="18.75" customHeight="1">
      <c r="C24" s="723" t="s">
        <v>7063</v>
      </c>
      <c r="D24" s="724"/>
      <c r="E24" s="724"/>
      <c r="F24" s="724"/>
      <c r="G24" s="724"/>
      <c r="H24" s="724"/>
      <c r="I24" s="724"/>
      <c r="J24" s="724"/>
      <c r="K24" s="724"/>
      <c r="L24" s="725"/>
      <c r="M24" s="706" t="str">
        <f>IF(M22=4,AG24&amp;"W/ "&amp;AH24&amp;"W/ "&amp;AI24&amp;"W/ "&amp;AJ24&amp;"W",IF(M22=3,AG24&amp;"W/ "&amp;AH24&amp;"W/ "&amp;AI24&amp;"W",IF(M22=2,AG24&amp;"W/ "&amp;AH24&amp;"W",AG24&amp;"W")))</f>
        <v>100,45W/ 100,45W/ 100,45W</v>
      </c>
      <c r="N24" s="707"/>
      <c r="O24" s="707"/>
      <c r="P24" s="707"/>
      <c r="Q24" s="707"/>
      <c r="R24" s="707"/>
      <c r="S24" s="707"/>
      <c r="T24" s="707"/>
      <c r="U24" s="708"/>
      <c r="V24" s="706" t="str">
        <f>IF(V22=4,AK24&amp;"W/ "&amp;AL24&amp;"W/ "&amp;AM24&amp;"W/ "&amp;AN24&amp;"W",IF(V22=3,AK24&amp;"W/ "&amp;AL24&amp;"W/ "&amp;AM24&amp;"W",IF(V22=2,AK24&amp;"W/"&amp;AL24&amp;"W",AK24&amp;"W")))</f>
        <v>40W/ 40W/ 40W</v>
      </c>
      <c r="W24" s="707"/>
      <c r="X24" s="707"/>
      <c r="Y24" s="707"/>
      <c r="Z24" s="707"/>
      <c r="AA24" s="707"/>
      <c r="AB24" s="707"/>
      <c r="AC24" s="707"/>
      <c r="AD24" s="708"/>
      <c r="AE24" s="285"/>
      <c r="AG24" s="244" t="s">
        <v>7064</v>
      </c>
      <c r="AH24" s="244" t="s">
        <v>7064</v>
      </c>
      <c r="AI24" s="244" t="s">
        <v>7064</v>
      </c>
      <c r="AJ24" s="244" t="s">
        <v>7064</v>
      </c>
      <c r="AK24" s="244">
        <v>40</v>
      </c>
      <c r="AL24" s="244">
        <v>40</v>
      </c>
      <c r="AM24" s="244">
        <v>40</v>
      </c>
      <c r="AN24" s="244">
        <v>40</v>
      </c>
      <c r="AO24" s="244">
        <v>60</v>
      </c>
      <c r="AP24" s="244">
        <v>60</v>
      </c>
      <c r="AQ24" s="244">
        <v>60</v>
      </c>
      <c r="AS24" s="244">
        <v>80</v>
      </c>
      <c r="AT24" s="244">
        <v>80</v>
      </c>
      <c r="AU24" s="244">
        <v>80</v>
      </c>
    </row>
    <row r="25" ht="19.7" customHeight="1">
      <c r="C25" s="714" t="s">
        <v>7066</v>
      </c>
      <c r="D25" s="714"/>
      <c r="E25" s="714"/>
      <c r="F25" s="714"/>
      <c r="G25" s="714"/>
      <c r="H25" s="714"/>
      <c r="I25" s="714"/>
      <c r="J25" s="714"/>
      <c r="K25" s="714"/>
      <c r="L25" s="714"/>
      <c r="M25" s="748" t="str">
        <f>IF(AG25="900 &amp; 1800","900MHz &amp; 1800MHz",IF(AG25="900 &amp; 2100","900MHz &amp; 2100MHz",IF(AG25="1800 &amp; 2100","1800MHz &amp; 2100MHz",AG25&amp;"MHz")))</f>
        <v>1800MHz</v>
      </c>
      <c r="N25" s="748"/>
      <c r="O25" s="748"/>
      <c r="P25" s="748"/>
      <c r="Q25" s="748"/>
      <c r="R25" s="748"/>
      <c r="S25" s="748"/>
      <c r="T25" s="748"/>
      <c r="U25" s="748"/>
      <c r="V25" s="748" t="str">
        <f>IF(AK25="900 &amp; 1800","900MHz &amp; 1800MHz",IF(AK25="900 &amp; 2100","900MHz &amp; 2100MHz",AK25&amp;"MHz"))</f>
        <v>1800MHz</v>
      </c>
      <c r="W25" s="748"/>
      <c r="X25" s="748"/>
      <c r="Y25" s="748"/>
      <c r="Z25" s="748"/>
      <c r="AA25" s="748"/>
      <c r="AB25" s="748"/>
      <c r="AC25" s="748"/>
      <c r="AD25" s="748"/>
      <c r="AE25" s="282"/>
      <c r="AG25" s="244">
        <v>1800</v>
      </c>
      <c r="AK25" s="244">
        <v>1800</v>
      </c>
      <c r="AO25" s="244">
        <v>2100</v>
      </c>
      <c r="AS25" s="278" t="s">
        <v>7067</v>
      </c>
    </row>
    <row r="26" ht="33.95" customHeight="1">
      <c r="C26" s="714" t="s">
        <v>7094</v>
      </c>
      <c r="D26" s="714"/>
      <c r="E26" s="714"/>
      <c r="F26" s="714"/>
      <c r="G26" s="714"/>
      <c r="H26" s="714"/>
      <c r="I26" s="714"/>
      <c r="J26" s="714"/>
      <c r="K26" s="714"/>
      <c r="L26" s="714"/>
      <c r="M26" s="748">
        <f>AG26</f>
        <v>15</v>
      </c>
      <c r="N26" s="748"/>
      <c r="O26" s="748"/>
      <c r="P26" s="748"/>
      <c r="Q26" s="748"/>
      <c r="R26" s="748"/>
      <c r="S26" s="748"/>
      <c r="T26" s="748"/>
      <c r="U26" s="748"/>
      <c r="V26" s="748">
        <f>AK26</f>
        <v>16</v>
      </c>
      <c r="W26" s="748"/>
      <c r="X26" s="748"/>
      <c r="Y26" s="748"/>
      <c r="Z26" s="748"/>
      <c r="AA26" s="748"/>
      <c r="AB26" s="748"/>
      <c r="AC26" s="748"/>
      <c r="AD26" s="748"/>
      <c r="AE26" s="285"/>
      <c r="AG26" s="244">
        <v>15</v>
      </c>
      <c r="AK26" s="244">
        <v>16</v>
      </c>
      <c r="AO26" s="244">
        <v>17</v>
      </c>
      <c r="AS26" s="244">
        <v>18</v>
      </c>
    </row>
    <row r="27" ht="25.5" customHeight="1">
      <c r="C27" s="715" t="s">
        <v>7069</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7070</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7071</v>
      </c>
      <c r="AQ29" s="244" t="str">
        <f>IF(AG28&gt;=0," cao hơn "," thấp hơn ")</f>
        <v> cao hơn </v>
      </c>
      <c r="AR29" s="244" t="s">
        <v>7072</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7073</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1363</v>
      </c>
      <c r="AO34" s="244" t="s">
        <v>1364</v>
      </c>
      <c r="AS34" s="244" t="s">
        <v>1365</v>
      </c>
    </row>
    <row r="35" ht="17.1" customHeight="1">
      <c r="C35" s="742" t="s">
        <v>7074</v>
      </c>
      <c r="D35" s="742"/>
      <c r="E35" s="742"/>
      <c r="F35" s="742"/>
      <c r="G35" s="742"/>
      <c r="H35" s="293" t="s">
        <v>7075</v>
      </c>
      <c r="I35" s="744" t="s">
        <v>7076</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1367</v>
      </c>
      <c r="AS35" s="244" t="s">
        <v>1368</v>
      </c>
    </row>
    <row r="36" ht="17.1" customHeight="1">
      <c r="C36" s="742" t="s">
        <v>7077</v>
      </c>
      <c r="D36" s="742"/>
      <c r="E36" s="742"/>
      <c r="F36" s="742"/>
      <c r="G36" s="742"/>
      <c r="H36" s="293" t="s">
        <v>7075</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7078</v>
      </c>
      <c r="D37" s="742"/>
      <c r="E37" s="742"/>
      <c r="F37" s="742"/>
      <c r="G37" s="742"/>
      <c r="H37" s="293" t="s">
        <v>7075</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1372</v>
      </c>
      <c r="AO41" s="244" t="s">
        <v>1373</v>
      </c>
      <c r="AT41" s="244" t="s">
        <v>1374</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7080</v>
      </c>
      <c r="I45" s="701"/>
      <c r="J45" s="701"/>
      <c r="K45" s="701"/>
      <c r="L45" s="701" t="s">
        <v>7081</v>
      </c>
      <c r="M45" s="701"/>
      <c r="N45" s="701" t="s">
        <v>7082</v>
      </c>
      <c r="O45" s="701"/>
      <c r="P45" s="701"/>
      <c r="Q45" s="701" t="s">
        <v>7083</v>
      </c>
      <c r="R45" s="701"/>
      <c r="S45" s="701"/>
      <c r="T45" s="701"/>
      <c r="U45" s="701"/>
      <c r="V45" s="701" t="s">
        <v>7084</v>
      </c>
      <c r="W45" s="701"/>
      <c r="X45" s="701"/>
      <c r="Y45" s="701" t="s">
        <v>7085</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7052</v>
      </c>
      <c r="AI49" s="278" t="s">
        <v>7086</v>
      </c>
      <c r="AJ49" s="278"/>
      <c r="AL49" s="288" t="s">
        <v>589</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7052</v>
      </c>
      <c r="AI53" s="278" t="s">
        <v>7086</v>
      </c>
      <c r="AJ53" s="278"/>
      <c r="AL53" s="288" t="s">
        <v>589</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7052</v>
      </c>
      <c r="AI57" s="278" t="s">
        <v>7086</v>
      </c>
      <c r="AJ57" s="278"/>
      <c r="AL57" s="288" t="s">
        <v>589</v>
      </c>
      <c r="AO57" s="244">
        <v>20</v>
      </c>
      <c r="AP57" s="244">
        <v>30</v>
      </c>
      <c r="AQ57" s="244">
        <v>40</v>
      </c>
      <c r="AS57" s="244" t="s">
        <v>7091</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7052</v>
      </c>
      <c r="AI61" s="278" t="s">
        <v>7086</v>
      </c>
      <c r="AJ61" s="278"/>
      <c r="AL61" s="288" t="s">
        <v>589</v>
      </c>
      <c r="AO61" s="244">
        <v>20</v>
      </c>
      <c r="AP61" s="244">
        <v>30</v>
      </c>
      <c r="AQ61" s="244">
        <v>40</v>
      </c>
      <c r="AS61" s="244" t="s">
        <v>7089</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7052</v>
      </c>
      <c r="AI65" s="278" t="s">
        <v>7086</v>
      </c>
      <c r="AJ65" s="278"/>
      <c r="AL65" s="288" t="s">
        <v>589</v>
      </c>
      <c r="AO65" s="244">
        <v>20</v>
      </c>
      <c r="AP65" s="244">
        <v>30</v>
      </c>
      <c r="AQ65" s="244">
        <v>40</v>
      </c>
      <c r="AS65" s="244" t="s">
        <v>7090</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36" t="s">
        <v>1332</v>
      </c>
      <c r="C1" s="736"/>
      <c r="D1" s="736"/>
      <c r="E1" s="736"/>
      <c r="F1" s="736"/>
      <c r="G1" s="736"/>
      <c r="H1" s="736"/>
      <c r="I1" s="736"/>
      <c r="J1" s="736"/>
      <c r="K1" s="736"/>
      <c r="L1" s="736"/>
      <c r="M1" s="736"/>
      <c r="N1" s="277"/>
      <c r="O1" s="277"/>
      <c r="P1" s="727" t="s">
        <v>1331</v>
      </c>
      <c r="Q1" s="727"/>
      <c r="R1" s="727"/>
      <c r="S1" s="727"/>
      <c r="T1" s="727"/>
      <c r="U1" s="727"/>
      <c r="V1" s="727"/>
      <c r="W1" s="727"/>
      <c r="X1" s="727"/>
      <c r="Y1" s="727"/>
      <c r="Z1" s="727"/>
      <c r="AA1" s="727"/>
      <c r="AB1" s="727"/>
      <c r="AC1" s="727"/>
      <c r="AD1" s="727"/>
      <c r="AE1" s="264"/>
    </row>
    <row r="2" ht="19.7" customHeight="1">
      <c r="C2" s="736" t="s">
        <v>1334</v>
      </c>
      <c r="D2" s="736"/>
      <c r="E2" s="736"/>
      <c r="F2" s="736"/>
      <c r="G2" s="736"/>
      <c r="H2" s="736"/>
      <c r="I2" s="736"/>
      <c r="J2" s="736"/>
      <c r="K2" s="736"/>
      <c r="L2" s="736"/>
      <c r="M2" s="277"/>
      <c r="N2" s="300"/>
      <c r="O2" s="277"/>
      <c r="P2" s="737" t="s">
        <v>1333</v>
      </c>
      <c r="Q2" s="737"/>
      <c r="R2" s="737"/>
      <c r="S2" s="737"/>
      <c r="T2" s="737"/>
      <c r="U2" s="737"/>
      <c r="V2" s="737"/>
      <c r="W2" s="737"/>
      <c r="X2" s="737"/>
      <c r="Y2" s="737"/>
      <c r="Z2" s="737"/>
      <c r="AA2" s="737"/>
      <c r="AB2" s="737"/>
      <c r="AC2" s="737"/>
      <c r="AD2" s="737"/>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7047</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3" t="s">
        <v>1337</v>
      </c>
      <c r="D15" s="764"/>
      <c r="E15" s="764"/>
      <c r="F15" s="764"/>
      <c r="G15" s="764"/>
      <c r="H15" s="764"/>
      <c r="I15" s="764"/>
      <c r="J15" s="764"/>
      <c r="K15" s="764"/>
      <c r="L15" s="764"/>
      <c r="M15" s="764"/>
      <c r="N15" s="764"/>
      <c r="O15" s="764"/>
      <c r="P15" s="764"/>
      <c r="Q15" s="764"/>
      <c r="R15" s="764"/>
      <c r="S15" s="764"/>
      <c r="T15" s="764"/>
      <c r="U15" s="764"/>
      <c r="V15" s="764"/>
      <c r="W15" s="764"/>
      <c r="X15" s="764"/>
      <c r="Y15" s="764"/>
      <c r="Z15" s="764"/>
      <c r="AA15" s="764"/>
      <c r="AB15" s="764"/>
      <c r="AC15" s="764"/>
      <c r="AD15" s="765"/>
      <c r="AE15" s="282"/>
      <c r="AG15" s="283">
        <v>1</v>
      </c>
      <c r="AH15" s="283"/>
      <c r="AI15" s="283"/>
      <c r="AJ15" s="283"/>
      <c r="AK15" s="283">
        <v>2</v>
      </c>
      <c r="AL15" s="283"/>
      <c r="AM15" s="283"/>
      <c r="AN15" s="283"/>
      <c r="AO15" s="283">
        <v>3</v>
      </c>
      <c r="AS15" s="244">
        <v>4</v>
      </c>
    </row>
    <row r="16" ht="36" customHeight="1">
      <c r="C16" s="775" t="s">
        <v>86</v>
      </c>
      <c r="D16" s="776"/>
      <c r="E16" s="776"/>
      <c r="F16" s="776"/>
      <c r="G16" s="776"/>
      <c r="H16" s="776"/>
      <c r="I16" s="776"/>
      <c r="J16" s="776"/>
      <c r="K16" s="776"/>
      <c r="L16" s="777"/>
      <c r="M16" s="778" t="str">
        <f>AG16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80"/>
      <c r="AE16" s="282"/>
      <c r="AG16" s="781" t="s">
        <v>7050</v>
      </c>
      <c r="AH16" s="781"/>
      <c r="AI16" s="781"/>
      <c r="AJ16" s="781"/>
      <c r="AK16" s="781"/>
      <c r="AL16" s="781"/>
      <c r="AM16" s="781"/>
      <c r="AN16" s="781"/>
      <c r="AO16" s="781"/>
      <c r="AP16" s="781"/>
      <c r="AQ16" s="781"/>
      <c r="AR16" s="781"/>
      <c r="AS16" s="781"/>
      <c r="AT16" s="781"/>
      <c r="AU16" s="781"/>
      <c r="AV16" s="781"/>
      <c r="AW16" s="781"/>
    </row>
    <row r="17" ht="23.25" customHeight="1">
      <c r="C17" s="775" t="s">
        <v>1378</v>
      </c>
      <c r="D17" s="776"/>
      <c r="E17" s="776"/>
      <c r="F17" s="776"/>
      <c r="G17" s="776"/>
      <c r="H17" s="776"/>
      <c r="I17" s="776"/>
      <c r="J17" s="776"/>
      <c r="K17" s="776"/>
      <c r="L17" s="777"/>
      <c r="M17" s="763" t="str">
        <f>IF(AG17="","",AG17)</f>
      </c>
      <c r="N17" s="764"/>
      <c r="O17" s="764"/>
      <c r="P17" s="764"/>
      <c r="Q17" s="764"/>
      <c r="R17" s="764"/>
      <c r="S17" s="764"/>
      <c r="T17" s="764"/>
      <c r="U17" s="764"/>
      <c r="V17" s="764"/>
      <c r="W17" s="764"/>
      <c r="X17" s="764"/>
      <c r="Y17" s="764"/>
      <c r="Z17" s="764"/>
      <c r="AA17" s="764"/>
      <c r="AB17" s="764"/>
      <c r="AC17" s="764"/>
      <c r="AD17" s="765"/>
      <c r="AE17" s="282"/>
    </row>
    <row r="18" ht="31.35" customHeight="1">
      <c r="C18" s="757" t="s">
        <v>7051</v>
      </c>
      <c r="D18" s="758"/>
      <c r="E18" s="758"/>
      <c r="F18" s="758"/>
      <c r="G18" s="758"/>
      <c r="H18" s="758"/>
      <c r="I18" s="758"/>
      <c r="J18" s="758"/>
      <c r="K18" s="758"/>
      <c r="L18" s="759"/>
      <c r="M18" s="760" t="str">
        <f>AG18</f>
        <v>CÔNG TY CỔ PHẦN VIỄN THÔNG DI ĐỘNG TOÀN CẦU
GTEL</v>
      </c>
      <c r="N18" s="761"/>
      <c r="O18" s="761"/>
      <c r="P18" s="761"/>
      <c r="Q18" s="761"/>
      <c r="R18" s="761"/>
      <c r="S18" s="761"/>
      <c r="T18" s="761"/>
      <c r="U18" s="761"/>
      <c r="V18" s="761"/>
      <c r="W18" s="761"/>
      <c r="X18" s="761"/>
      <c r="Y18" s="761"/>
      <c r="Z18" s="761"/>
      <c r="AA18" s="761"/>
      <c r="AB18" s="761"/>
      <c r="AC18" s="761"/>
      <c r="AD18" s="762"/>
      <c r="AE18" s="282"/>
      <c r="AG18" s="304" t="s">
        <v>7092</v>
      </c>
    </row>
    <row r="19" ht="31.35" customHeight="1">
      <c r="C19" s="757" t="s">
        <v>369</v>
      </c>
      <c r="D19" s="758"/>
      <c r="E19" s="758"/>
      <c r="F19" s="758"/>
      <c r="G19" s="758"/>
      <c r="H19" s="758"/>
      <c r="I19" s="758"/>
      <c r="J19" s="758"/>
      <c r="K19" s="758"/>
      <c r="L19" s="759"/>
      <c r="M19" s="760" t="str">
        <f>AG19</f>
        <v>CÔNG TY CỔ PHẦN VIỄN THÔNG DI ĐỘNG TOÀN CẦU</v>
      </c>
      <c r="N19" s="761"/>
      <c r="O19" s="761"/>
      <c r="P19" s="761"/>
      <c r="Q19" s="761"/>
      <c r="R19" s="761"/>
      <c r="S19" s="761"/>
      <c r="T19" s="761"/>
      <c r="U19" s="761"/>
      <c r="V19" s="761"/>
      <c r="W19" s="761"/>
      <c r="X19" s="761"/>
      <c r="Y19" s="761"/>
      <c r="Z19" s="761"/>
      <c r="AA19" s="761"/>
      <c r="AB19" s="761"/>
      <c r="AC19" s="761"/>
      <c r="AD19" s="762"/>
      <c r="AE19" s="285"/>
      <c r="AG19" s="278" t="s">
        <v>7052</v>
      </c>
    </row>
    <row r="20" ht="20.25" customHeight="1">
      <c r="C20" s="772" t="s">
        <v>7053</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4"/>
      <c r="AE20" s="286"/>
    </row>
    <row r="21" ht="31.5" customHeight="1">
      <c r="C21" s="771" t="s">
        <v>7054</v>
      </c>
      <c r="D21" s="771"/>
      <c r="E21" s="771"/>
      <c r="F21" s="771"/>
      <c r="G21" s="771"/>
      <c r="H21" s="771"/>
      <c r="I21" s="771"/>
      <c r="J21" s="771"/>
      <c r="K21" s="771"/>
      <c r="L21" s="771"/>
      <c r="M21" s="766" t="str">
        <f>AG21</f>
        <v>MOTOROLA HORIZON II MACRO</v>
      </c>
      <c r="N21" s="766"/>
      <c r="O21" s="766"/>
      <c r="P21" s="766"/>
      <c r="Q21" s="766"/>
      <c r="R21" s="766"/>
      <c r="S21" s="766" t="str">
        <f>AK21</f>
        <v>B</v>
      </c>
      <c r="T21" s="766"/>
      <c r="U21" s="766"/>
      <c r="V21" s="766"/>
      <c r="W21" s="766"/>
      <c r="X21" s="766"/>
      <c r="Y21" s="766" t="str">
        <f>AO21</f>
        <v>C</v>
      </c>
      <c r="Z21" s="766"/>
      <c r="AA21" s="766"/>
      <c r="AB21" s="766"/>
      <c r="AC21" s="766"/>
      <c r="AD21" s="766"/>
      <c r="AE21" s="282"/>
      <c r="AG21" s="278" t="s">
        <v>1598</v>
      </c>
      <c r="AK21" s="278" t="s">
        <v>7056</v>
      </c>
      <c r="AO21" s="278" t="s">
        <v>7057</v>
      </c>
      <c r="AS21" s="278" t="s">
        <v>7058</v>
      </c>
    </row>
    <row r="22" ht="19.7" customHeight="1">
      <c r="C22" s="767" t="s">
        <v>7059</v>
      </c>
      <c r="D22" s="768"/>
      <c r="E22" s="768"/>
      <c r="F22" s="768"/>
      <c r="G22" s="768"/>
      <c r="H22" s="768"/>
      <c r="I22" s="768"/>
      <c r="J22" s="768"/>
      <c r="K22" s="768"/>
      <c r="L22" s="769"/>
      <c r="M22" s="766">
        <f>AG22</f>
        <v>3</v>
      </c>
      <c r="N22" s="766"/>
      <c r="O22" s="766"/>
      <c r="P22" s="766"/>
      <c r="Q22" s="766"/>
      <c r="R22" s="766"/>
      <c r="S22" s="766">
        <f>AK22</f>
        <v>3</v>
      </c>
      <c r="T22" s="766"/>
      <c r="U22" s="766"/>
      <c r="V22" s="766"/>
      <c r="W22" s="766"/>
      <c r="X22" s="766"/>
      <c r="Y22" s="766">
        <f>AO22</f>
        <v>3</v>
      </c>
      <c r="Z22" s="766"/>
      <c r="AA22" s="766"/>
      <c r="AB22" s="766"/>
      <c r="AC22" s="766"/>
      <c r="AD22" s="766"/>
      <c r="AE22" s="282"/>
      <c r="AG22" s="283">
        <v>3</v>
      </c>
      <c r="AH22" s="283"/>
      <c r="AI22" s="283"/>
      <c r="AJ22" s="283"/>
      <c r="AK22" s="283">
        <v>3</v>
      </c>
      <c r="AL22" s="283"/>
      <c r="AM22" s="283"/>
      <c r="AN22" s="283"/>
      <c r="AO22" s="283">
        <v>3</v>
      </c>
      <c r="AS22" s="244">
        <v>1</v>
      </c>
    </row>
    <row r="23" ht="19.7" customHeight="1">
      <c r="C23" s="771" t="s">
        <v>7060</v>
      </c>
      <c r="D23" s="771"/>
      <c r="E23" s="771"/>
      <c r="F23" s="771"/>
      <c r="G23" s="771"/>
      <c r="H23" s="771"/>
      <c r="I23" s="771"/>
      <c r="J23" s="771"/>
      <c r="K23" s="771"/>
      <c r="L23" s="771"/>
      <c r="M23" s="770" t="str">
        <f>AG23</f>
        <v>4/4/4</v>
      </c>
      <c r="N23" s="770"/>
      <c r="O23" s="770"/>
      <c r="P23" s="770"/>
      <c r="Q23" s="770"/>
      <c r="R23" s="770"/>
      <c r="S23" s="770" t="str">
        <f>AK23</f>
        <v>2/2/2</v>
      </c>
      <c r="T23" s="770"/>
      <c r="U23" s="770"/>
      <c r="V23" s="770"/>
      <c r="W23" s="770"/>
      <c r="X23" s="770"/>
      <c r="Y23" s="770" t="str">
        <f>AO23</f>
        <v>5/5/5</v>
      </c>
      <c r="Z23" s="766"/>
      <c r="AA23" s="766"/>
      <c r="AB23" s="766"/>
      <c r="AC23" s="766"/>
      <c r="AD23" s="766"/>
      <c r="AE23" s="287"/>
      <c r="AG23" s="288" t="s">
        <v>589</v>
      </c>
      <c r="AH23" s="289"/>
      <c r="AI23" s="289"/>
      <c r="AJ23" s="289"/>
      <c r="AK23" s="288" t="s">
        <v>597</v>
      </c>
      <c r="AL23" s="289"/>
      <c r="AM23" s="289"/>
      <c r="AN23" s="289"/>
      <c r="AO23" s="288" t="s">
        <v>7061</v>
      </c>
      <c r="AP23" s="289"/>
      <c r="AQ23" s="289"/>
      <c r="AR23" s="289"/>
      <c r="AS23" s="288" t="s">
        <v>7062</v>
      </c>
    </row>
    <row r="24" ht="31.35" customHeight="1">
      <c r="C24" s="767" t="s">
        <v>7063</v>
      </c>
      <c r="D24" s="768"/>
      <c r="E24" s="768"/>
      <c r="F24" s="768"/>
      <c r="G24" s="768"/>
      <c r="H24" s="768"/>
      <c r="I24" s="768"/>
      <c r="J24" s="768"/>
      <c r="K24" s="768"/>
      <c r="L24" s="769"/>
      <c r="M24" s="756" t="str">
        <f>IF(M22=4,AG24&amp;"W/ "&amp;AH24&amp;"W/ "&amp;AI24&amp;"W/ "&amp;AK24&amp;"W",IF(M22=3,AG24&amp;"W/ "&amp;AH24&amp;"W/ "&amp;AI24&amp;"W",IF(M22=2,AG24&amp;"W/ "&amp;AH24&amp;"W",AG24&amp;"W")))</f>
        <v>20W/ 20W/ 20W</v>
      </c>
      <c r="N24" s="756"/>
      <c r="O24" s="756"/>
      <c r="P24" s="756"/>
      <c r="Q24" s="756"/>
      <c r="R24" s="756"/>
      <c r="S24" s="756" t="str">
        <f>IF(S22=4,AK24&amp;"W/ "&amp;AL24&amp;"W/ "&amp;AM24&amp;"W/ "&amp;AN24&amp;"W",IF(S22=3,AK24&amp;"W/ "&amp;AL24&amp;"W/ "&amp;AM24&amp;"W",IF(S22=2,AK24&amp;"W/ "&amp;AL24&amp;"W",AK24&amp;"W")))</f>
        <v>40W/ 40W/ 40W</v>
      </c>
      <c r="T24" s="756"/>
      <c r="U24" s="756"/>
      <c r="V24" s="756"/>
      <c r="W24" s="756"/>
      <c r="X24" s="756"/>
      <c r="Y24" s="756" t="str">
        <f>IF(Y22=4,AO24&amp;"W/ "&amp;AP24&amp;"W/ "&amp;AQ24&amp;"W/ "&amp;AR24&amp;"W",IF(Y22=3,AO24&amp;"W/ "&amp;AP24&amp;"W/ "&amp;AQ24&amp;"W",IF(Y22=2,AO24&amp;"W/ "&amp;AP24&amp;"W",AO24&amp;"W")))</f>
        <v>60W/ 60W/ 60W</v>
      </c>
      <c r="Z24" s="756"/>
      <c r="AA24" s="756"/>
      <c r="AB24" s="756"/>
      <c r="AC24" s="756"/>
      <c r="AD24" s="756"/>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1" t="s">
        <v>7066</v>
      </c>
      <c r="D25" s="771"/>
      <c r="E25" s="771"/>
      <c r="F25" s="771"/>
      <c r="G25" s="771"/>
      <c r="H25" s="771"/>
      <c r="I25" s="771"/>
      <c r="J25" s="771"/>
      <c r="K25" s="771"/>
      <c r="L25" s="771"/>
      <c r="M25" s="766" t="str">
        <f>IF(AG25="900 &amp; 1800","900MHz &amp; 1800MHz",IF(AG25="900 &amp; 2100","900MHz &amp; 2100MHz",AG25&amp;"MHz"))</f>
        <v>900MHz</v>
      </c>
      <c r="N25" s="766"/>
      <c r="O25" s="766"/>
      <c r="P25" s="766"/>
      <c r="Q25" s="766"/>
      <c r="R25" s="766"/>
      <c r="S25" s="766" t="str">
        <f>IF(AK25="900 &amp; 1800","900MHz &amp; 1800MHz",IF(AK25="900 &amp; 2100","900MHz &amp; 2100MHz",AK25&amp;"MHz"))</f>
        <v>1800MHz</v>
      </c>
      <c r="T25" s="766"/>
      <c r="U25" s="766"/>
      <c r="V25" s="766"/>
      <c r="W25" s="766"/>
      <c r="X25" s="766"/>
      <c r="Y25" s="766" t="str">
        <f>IF(AO25="900 &amp; 1800","900MHz &amp; 1800MHz",IF(AO25="900 &amp; 2100","900MHz &amp; 2100MHz",AO25&amp;"MHz"))</f>
        <v>2100MHz</v>
      </c>
      <c r="Z25" s="766"/>
      <c r="AA25" s="766"/>
      <c r="AB25" s="766"/>
      <c r="AC25" s="766"/>
      <c r="AD25" s="766"/>
      <c r="AE25" s="282"/>
      <c r="AG25" s="244">
        <v>900</v>
      </c>
      <c r="AK25" s="244">
        <v>1800</v>
      </c>
      <c r="AO25" s="244">
        <v>2100</v>
      </c>
      <c r="AS25" s="278" t="s">
        <v>7067</v>
      </c>
    </row>
    <row r="26" ht="31.35" customHeight="1">
      <c r="C26" s="771" t="s">
        <v>7093</v>
      </c>
      <c r="D26" s="771"/>
      <c r="E26" s="771"/>
      <c r="F26" s="771"/>
      <c r="G26" s="771"/>
      <c r="H26" s="771"/>
      <c r="I26" s="771"/>
      <c r="J26" s="771"/>
      <c r="K26" s="771"/>
      <c r="L26" s="771"/>
      <c r="M26" s="766">
        <f>AG26</f>
        <v>15</v>
      </c>
      <c r="N26" s="766"/>
      <c r="O26" s="766"/>
      <c r="P26" s="766"/>
      <c r="Q26" s="766"/>
      <c r="R26" s="766"/>
      <c r="S26" s="766">
        <f>AK26</f>
        <v>16</v>
      </c>
      <c r="T26" s="766"/>
      <c r="U26" s="766"/>
      <c r="V26" s="766"/>
      <c r="W26" s="766"/>
      <c r="X26" s="766"/>
      <c r="Y26" s="766">
        <f>AO26</f>
        <v>17</v>
      </c>
      <c r="Z26" s="766"/>
      <c r="AA26" s="766"/>
      <c r="AB26" s="766"/>
      <c r="AC26" s="766"/>
      <c r="AD26" s="766"/>
      <c r="AE26" s="285"/>
      <c r="AG26" s="244">
        <v>15</v>
      </c>
      <c r="AK26" s="244">
        <v>16</v>
      </c>
      <c r="AO26" s="244">
        <v>17</v>
      </c>
      <c r="AS26" s="244">
        <v>18</v>
      </c>
    </row>
    <row r="27" ht="25.5" customHeight="1">
      <c r="C27" s="715" t="s">
        <v>7069</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5.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7070</v>
      </c>
    </row>
    <row r="29" ht="25.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7071</v>
      </c>
      <c r="AQ29" s="244" t="str">
        <f>IF(AG28&gt;=0," cao hơn "," thấp hơn ")</f>
        <v> cao hơn </v>
      </c>
      <c r="AR29" s="244" t="s">
        <v>7072</v>
      </c>
    </row>
    <row r="30" ht="15.75" customHeight="1">
      <c r="C30" s="716" t="str">
        <f>IF(AG31=1,AO31,IF(AG31=2,AO30))</f>
        <v>Giới hạn an toàn: là khoảng chiều cao trên cột anten tính từ điểm có độ cao 20m so với mặt đất trở lên.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7073</v>
      </c>
    </row>
    <row r="31" ht="15.7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1363</v>
      </c>
      <c r="AO34" s="244" t="s">
        <v>1364</v>
      </c>
      <c r="AS34" s="244" t="s">
        <v>1365</v>
      </c>
    </row>
    <row r="35" ht="17.1" customHeight="1">
      <c r="C35" s="742" t="s">
        <v>7074</v>
      </c>
      <c r="D35" s="742"/>
      <c r="E35" s="742"/>
      <c r="F35" s="742"/>
      <c r="G35" s="742"/>
      <c r="H35" s="305" t="s">
        <v>7075</v>
      </c>
      <c r="I35" s="744" t="s">
        <v>7076</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1367</v>
      </c>
      <c r="AS35" s="244" t="s">
        <v>1368</v>
      </c>
    </row>
    <row r="36" ht="17.1" customHeight="1">
      <c r="C36" s="742" t="s">
        <v>7077</v>
      </c>
      <c r="D36" s="742"/>
      <c r="E36" s="742"/>
      <c r="F36" s="742"/>
      <c r="G36" s="742"/>
      <c r="H36" s="293" t="s">
        <v>7075</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7078</v>
      </c>
      <c r="D37" s="742"/>
      <c r="E37" s="742"/>
      <c r="F37" s="742"/>
      <c r="G37" s="742"/>
      <c r="H37" s="293" t="s">
        <v>7075</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1372</v>
      </c>
      <c r="AO41" s="244" t="s">
        <v>1373</v>
      </c>
      <c r="AT41" s="244" t="s">
        <v>1374</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7080</v>
      </c>
      <c r="I45" s="701"/>
      <c r="J45" s="701"/>
      <c r="K45" s="701"/>
      <c r="L45" s="701" t="s">
        <v>7081</v>
      </c>
      <c r="M45" s="701"/>
      <c r="N45" s="701" t="s">
        <v>7082</v>
      </c>
      <c r="O45" s="701"/>
      <c r="P45" s="701"/>
      <c r="Q45" s="701" t="s">
        <v>7083</v>
      </c>
      <c r="R45" s="701"/>
      <c r="S45" s="701"/>
      <c r="T45" s="701"/>
      <c r="U45" s="701"/>
      <c r="V45" s="701" t="s">
        <v>7084</v>
      </c>
      <c r="W45" s="701"/>
      <c r="X45" s="701"/>
      <c r="Y45" s="701" t="s">
        <v>7085</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04" t="str">
        <f>AL49</f>
        <v>4/4/4</v>
      </c>
      <c r="O49" s="704"/>
      <c r="P49" s="704"/>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7052</v>
      </c>
      <c r="AI49" s="278" t="s">
        <v>7086</v>
      </c>
      <c r="AJ49" s="278"/>
      <c r="AL49" s="288" t="s">
        <v>589</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04" t="str">
        <f>AL53</f>
        <v>4/4/4</v>
      </c>
      <c r="O53" s="704"/>
      <c r="P53" s="704"/>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7052</v>
      </c>
      <c r="AI53" s="278" t="s">
        <v>7086</v>
      </c>
      <c r="AJ53" s="278"/>
      <c r="AL53" s="288" t="s">
        <v>589</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04" t="str">
        <f>AL57</f>
        <v>4/4/4</v>
      </c>
      <c r="O57" s="704"/>
      <c r="P57" s="704"/>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7052</v>
      </c>
      <c r="AI57" s="278" t="s">
        <v>7086</v>
      </c>
      <c r="AJ57" s="278"/>
      <c r="AL57" s="288" t="s">
        <v>589</v>
      </c>
      <c r="AO57" s="244">
        <v>20</v>
      </c>
      <c r="AP57" s="244">
        <v>30</v>
      </c>
      <c r="AQ57" s="244">
        <v>40</v>
      </c>
      <c r="AS57" s="244" t="s">
        <v>7088</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04" t="str">
        <f>AL61</f>
        <v>4/4/4</v>
      </c>
      <c r="O61" s="704"/>
      <c r="P61" s="704"/>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7052</v>
      </c>
      <c r="AI61" s="278" t="s">
        <v>7086</v>
      </c>
      <c r="AJ61" s="278"/>
      <c r="AL61" s="288" t="s">
        <v>589</v>
      </c>
      <c r="AO61" s="244">
        <v>20</v>
      </c>
      <c r="AP61" s="244">
        <v>30</v>
      </c>
      <c r="AQ61" s="244">
        <v>40</v>
      </c>
      <c r="AS61" s="244" t="s">
        <v>7089</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7052</v>
      </c>
      <c r="AI65" s="278" t="s">
        <v>7086</v>
      </c>
      <c r="AJ65" s="278"/>
      <c r="AL65" s="288" t="s">
        <v>589</v>
      </c>
      <c r="AO65" s="244">
        <v>20</v>
      </c>
      <c r="AP65" s="244">
        <v>30</v>
      </c>
      <c r="AQ65" s="244">
        <v>40</v>
      </c>
      <c r="AS65" s="244" t="s">
        <v>7090</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36" t="s">
        <v>1332</v>
      </c>
      <c r="C1" s="736"/>
      <c r="D1" s="736"/>
      <c r="E1" s="736"/>
      <c r="F1" s="736"/>
      <c r="G1" s="736"/>
      <c r="H1" s="736"/>
      <c r="I1" s="736"/>
      <c r="J1" s="736"/>
      <c r="K1" s="736"/>
      <c r="L1" s="736"/>
      <c r="M1" s="736"/>
      <c r="N1" s="736"/>
      <c r="O1" s="277"/>
      <c r="P1" s="727" t="s">
        <v>7044</v>
      </c>
      <c r="Q1" s="727"/>
      <c r="R1" s="727"/>
      <c r="S1" s="727"/>
      <c r="T1" s="727"/>
      <c r="U1" s="727"/>
      <c r="V1" s="727"/>
      <c r="W1" s="727"/>
      <c r="X1" s="727"/>
      <c r="Y1" s="727"/>
      <c r="Z1" s="727"/>
      <c r="AA1" s="727"/>
      <c r="AB1" s="727"/>
      <c r="AC1" s="727"/>
      <c r="AD1" s="727"/>
      <c r="AE1" s="727"/>
    </row>
    <row r="2" ht="19.7" customHeight="1">
      <c r="C2" s="736" t="s">
        <v>1334</v>
      </c>
      <c r="D2" s="736"/>
      <c r="E2" s="736"/>
      <c r="F2" s="736"/>
      <c r="G2" s="736"/>
      <c r="H2" s="736"/>
      <c r="I2" s="736"/>
      <c r="J2" s="736"/>
      <c r="K2" s="736"/>
      <c r="L2" s="736"/>
      <c r="M2" s="736"/>
      <c r="N2" s="300"/>
      <c r="O2" s="277"/>
      <c r="P2" s="737" t="s">
        <v>7045</v>
      </c>
      <c r="Q2" s="737"/>
      <c r="R2" s="737"/>
      <c r="S2" s="737"/>
      <c r="T2" s="737"/>
      <c r="U2" s="737"/>
      <c r="V2" s="737"/>
      <c r="W2" s="737"/>
      <c r="X2" s="737"/>
      <c r="Y2" s="737"/>
      <c r="Z2" s="737"/>
      <c r="AA2" s="737"/>
      <c r="AB2" s="737"/>
      <c r="AC2" s="737"/>
      <c r="AD2" s="737"/>
      <c r="AE2" s="737"/>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29" t="s">
        <v>7046</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row>
    <row r="7" ht="19.7" customHeight="1">
      <c r="C7" s="729" t="s">
        <v>1337</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c r="AE7" s="729"/>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37" t="str">
        <f>"Số: "&amp;AI9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E9" s="737"/>
      <c r="AI9" s="278" t="s">
        <v>7047</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29" t="s">
        <v>7048</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row>
    <row r="12" ht="19.7" customHeight="1">
      <c r="C12" s="729" t="s">
        <v>7049</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c r="AE12" s="729"/>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56" t="s">
        <v>1337</v>
      </c>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308"/>
      <c r="AH15" s="308"/>
      <c r="AI15" s="283">
        <v>1</v>
      </c>
      <c r="AJ15" s="283"/>
      <c r="AK15" s="283"/>
      <c r="AL15" s="283"/>
      <c r="AM15" s="283">
        <v>2</v>
      </c>
      <c r="AN15" s="283"/>
      <c r="AO15" s="283"/>
      <c r="AP15" s="283"/>
      <c r="AQ15" s="283">
        <v>3</v>
      </c>
      <c r="AU15" s="244">
        <v>4</v>
      </c>
    </row>
    <row r="16" ht="38.25" customHeight="1">
      <c r="C16" s="775" t="s">
        <v>86</v>
      </c>
      <c r="D16" s="776"/>
      <c r="E16" s="776"/>
      <c r="F16" s="776"/>
      <c r="G16" s="776"/>
      <c r="H16" s="776"/>
      <c r="I16" s="776"/>
      <c r="J16" s="776"/>
      <c r="K16" s="776"/>
      <c r="L16" s="777"/>
      <c r="M16" s="778" t="str">
        <f>AI16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79"/>
      <c r="AE16" s="779"/>
      <c r="AF16" s="780"/>
      <c r="AG16" s="309"/>
      <c r="AH16" s="309"/>
      <c r="AI16" s="303" t="s">
        <v>7050</v>
      </c>
    </row>
    <row r="17" ht="22.5" customHeight="1">
      <c r="C17" s="788" t="s">
        <v>1378</v>
      </c>
      <c r="D17" s="789"/>
      <c r="E17" s="789"/>
      <c r="F17" s="789"/>
      <c r="G17" s="789"/>
      <c r="H17" s="789"/>
      <c r="I17" s="789"/>
      <c r="J17" s="789"/>
      <c r="K17" s="789"/>
      <c r="L17" s="790"/>
      <c r="M17" s="760" t="str">
        <f>IF(AG17="","",AG17)</f>
      </c>
      <c r="N17" s="761"/>
      <c r="O17" s="761"/>
      <c r="P17" s="761"/>
      <c r="Q17" s="761"/>
      <c r="R17" s="761"/>
      <c r="S17" s="761"/>
      <c r="T17" s="761"/>
      <c r="U17" s="761"/>
      <c r="V17" s="761"/>
      <c r="W17" s="761"/>
      <c r="X17" s="761"/>
      <c r="Y17" s="761"/>
      <c r="Z17" s="761"/>
      <c r="AA17" s="761"/>
      <c r="AB17" s="761"/>
      <c r="AC17" s="761"/>
      <c r="AD17" s="761"/>
      <c r="AE17" s="761"/>
      <c r="AF17" s="762"/>
      <c r="AG17" s="309"/>
      <c r="AH17" s="309"/>
    </row>
    <row r="18" ht="31.35" customHeight="1">
      <c r="C18" s="782" t="s">
        <v>7051</v>
      </c>
      <c r="D18" s="783"/>
      <c r="E18" s="783"/>
      <c r="F18" s="783"/>
      <c r="G18" s="783"/>
      <c r="H18" s="783"/>
      <c r="I18" s="783"/>
      <c r="J18" s="783"/>
      <c r="K18" s="783"/>
      <c r="L18" s="783"/>
      <c r="M18" s="766" t="str">
        <f>AI18</f>
        <v>CÔNG TY CỔ PHẦN VIỄN THÔNG DI ĐỘNG TOÀN CẦU</v>
      </c>
      <c r="N18" s="766"/>
      <c r="O18" s="766"/>
      <c r="P18" s="766"/>
      <c r="Q18" s="766"/>
      <c r="R18" s="766"/>
      <c r="S18" s="766"/>
      <c r="T18" s="766"/>
      <c r="U18" s="766"/>
      <c r="V18" s="766"/>
      <c r="W18" s="766"/>
      <c r="X18" s="766"/>
      <c r="Y18" s="766"/>
      <c r="Z18" s="766"/>
      <c r="AA18" s="766"/>
      <c r="AB18" s="766"/>
      <c r="AC18" s="766"/>
      <c r="AD18" s="766"/>
      <c r="AE18" s="766"/>
      <c r="AF18" s="766"/>
      <c r="AG18" s="309"/>
      <c r="AH18" s="309"/>
      <c r="AI18" s="278" t="s">
        <v>7052</v>
      </c>
    </row>
    <row r="19" ht="31.35" customHeight="1">
      <c r="C19" s="782" t="s">
        <v>369</v>
      </c>
      <c r="D19" s="783"/>
      <c r="E19" s="783"/>
      <c r="F19" s="783"/>
      <c r="G19" s="783"/>
      <c r="H19" s="783"/>
      <c r="I19" s="783"/>
      <c r="J19" s="783"/>
      <c r="K19" s="783"/>
      <c r="L19" s="783"/>
      <c r="M19" s="766" t="str">
        <f>AI19</f>
        <v>CÔNG TY CỔ PHẦN VIỄN THÔNG DI ĐỘNG TOÀN CẦU</v>
      </c>
      <c r="N19" s="766"/>
      <c r="O19" s="766"/>
      <c r="P19" s="766"/>
      <c r="Q19" s="766"/>
      <c r="R19" s="766"/>
      <c r="S19" s="766"/>
      <c r="T19" s="766"/>
      <c r="U19" s="766"/>
      <c r="V19" s="766"/>
      <c r="W19" s="766"/>
      <c r="X19" s="766"/>
      <c r="Y19" s="766"/>
      <c r="Z19" s="766"/>
      <c r="AA19" s="766"/>
      <c r="AB19" s="766"/>
      <c r="AC19" s="766"/>
      <c r="AD19" s="766"/>
      <c r="AE19" s="766"/>
      <c r="AF19" s="766"/>
      <c r="AG19" s="309"/>
      <c r="AH19" s="309"/>
      <c r="AI19" s="278" t="s">
        <v>7052</v>
      </c>
    </row>
    <row r="20" ht="18.75" customHeight="1">
      <c r="C20" s="772" t="s">
        <v>7053</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3"/>
      <c r="AE20" s="773"/>
      <c r="AF20" s="774"/>
      <c r="AG20" s="310"/>
      <c r="AH20" s="310"/>
    </row>
    <row r="21" ht="45.2" customHeight="1">
      <c r="C21" s="771" t="s">
        <v>7054</v>
      </c>
      <c r="D21" s="771"/>
      <c r="E21" s="771"/>
      <c r="F21" s="771"/>
      <c r="G21" s="771"/>
      <c r="H21" s="771"/>
      <c r="I21" s="771"/>
      <c r="J21" s="771"/>
      <c r="K21" s="771"/>
      <c r="L21" s="771"/>
      <c r="M21" s="766" t="str">
        <f ref="M21:M23" t="shared" si="0">AI21</f>
        <v>A</v>
      </c>
      <c r="N21" s="766"/>
      <c r="O21" s="766"/>
      <c r="P21" s="766"/>
      <c r="Q21" s="766"/>
      <c r="R21" s="766" t="str">
        <f ref="R21:R23" t="shared" si="1">AM21</f>
        <v>B</v>
      </c>
      <c r="S21" s="766"/>
      <c r="T21" s="766"/>
      <c r="U21" s="766"/>
      <c r="V21" s="766"/>
      <c r="W21" s="766" t="str">
        <f>AQ21</f>
        <v>C</v>
      </c>
      <c r="X21" s="766"/>
      <c r="Y21" s="766"/>
      <c r="Z21" s="766"/>
      <c r="AA21" s="766"/>
      <c r="AB21" s="766" t="str">
        <f>AU21</f>
        <v>D</v>
      </c>
      <c r="AC21" s="766"/>
      <c r="AD21" s="766"/>
      <c r="AE21" s="766"/>
      <c r="AF21" s="766"/>
      <c r="AG21" s="308"/>
      <c r="AH21" s="308"/>
      <c r="AI21" s="278" t="s">
        <v>7055</v>
      </c>
      <c r="AM21" s="278" t="s">
        <v>7056</v>
      </c>
      <c r="AQ21" s="278" t="s">
        <v>7057</v>
      </c>
      <c r="AU21" s="278" t="s">
        <v>7058</v>
      </c>
    </row>
    <row r="22" ht="17.1" customHeight="1">
      <c r="C22" s="771" t="s">
        <v>7059</v>
      </c>
      <c r="D22" s="771"/>
      <c r="E22" s="771"/>
      <c r="F22" s="771"/>
      <c r="G22" s="771"/>
      <c r="H22" s="771"/>
      <c r="I22" s="771"/>
      <c r="J22" s="771"/>
      <c r="K22" s="771"/>
      <c r="L22" s="771"/>
      <c r="M22" s="766">
        <f>AI22</f>
        <v>3</v>
      </c>
      <c r="N22" s="766"/>
      <c r="O22" s="766"/>
      <c r="P22" s="766"/>
      <c r="Q22" s="766"/>
      <c r="R22" s="766">
        <f>AM22</f>
        <v>3</v>
      </c>
      <c r="S22" s="766"/>
      <c r="T22" s="766"/>
      <c r="U22" s="766"/>
      <c r="V22" s="766"/>
      <c r="W22" s="766">
        <f>AQ22</f>
        <v>3</v>
      </c>
      <c r="X22" s="766"/>
      <c r="Y22" s="766"/>
      <c r="Z22" s="766"/>
      <c r="AA22" s="766"/>
      <c r="AB22" s="766">
        <f>AU22</f>
        <v>1</v>
      </c>
      <c r="AC22" s="766"/>
      <c r="AD22" s="766"/>
      <c r="AE22" s="766"/>
      <c r="AF22" s="766"/>
      <c r="AG22" s="308"/>
      <c r="AH22" s="308"/>
      <c r="AI22" s="283">
        <v>3</v>
      </c>
      <c r="AJ22" s="283"/>
      <c r="AK22" s="283"/>
      <c r="AL22" s="283"/>
      <c r="AM22" s="283">
        <v>3</v>
      </c>
      <c r="AN22" s="283"/>
      <c r="AO22" s="283"/>
      <c r="AP22" s="283"/>
      <c r="AQ22" s="283">
        <v>3</v>
      </c>
      <c r="AU22" s="244">
        <v>1</v>
      </c>
    </row>
    <row r="23" ht="17.1" customHeight="1">
      <c r="C23" s="771" t="s">
        <v>7060</v>
      </c>
      <c r="D23" s="771"/>
      <c r="E23" s="771"/>
      <c r="F23" s="771"/>
      <c r="G23" s="771"/>
      <c r="H23" s="771"/>
      <c r="I23" s="771"/>
      <c r="J23" s="771"/>
      <c r="K23" s="771"/>
      <c r="L23" s="771"/>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589</v>
      </c>
      <c r="AJ23" s="289"/>
      <c r="AK23" s="289"/>
      <c r="AL23" s="289"/>
      <c r="AM23" s="288" t="s">
        <v>597</v>
      </c>
      <c r="AN23" s="289"/>
      <c r="AO23" s="289"/>
      <c r="AP23" s="289"/>
      <c r="AQ23" s="288" t="s">
        <v>7061</v>
      </c>
      <c r="AR23" s="289"/>
      <c r="AS23" s="289"/>
      <c r="AT23" s="289"/>
      <c r="AU23" s="288" t="s">
        <v>7062</v>
      </c>
    </row>
    <row r="24" ht="31.35" customHeight="1">
      <c r="C24" s="771" t="s">
        <v>7063</v>
      </c>
      <c r="D24" s="771"/>
      <c r="E24" s="771"/>
      <c r="F24" s="771"/>
      <c r="G24" s="771"/>
      <c r="H24" s="771"/>
      <c r="I24" s="771"/>
      <c r="J24" s="771"/>
      <c r="K24" s="771"/>
      <c r="L24" s="771"/>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7064</v>
      </c>
      <c r="AJ24" s="244" t="s">
        <v>7065</v>
      </c>
      <c r="AK24" s="244">
        <v>100.69</v>
      </c>
      <c r="AM24" s="244">
        <v>40</v>
      </c>
      <c r="AN24" s="244">
        <v>40</v>
      </c>
      <c r="AO24" s="244">
        <v>40</v>
      </c>
      <c r="AQ24" s="244">
        <v>60</v>
      </c>
      <c r="AR24" s="244">
        <v>60</v>
      </c>
      <c r="AS24" s="244">
        <v>60</v>
      </c>
      <c r="AU24" s="244">
        <v>80</v>
      </c>
      <c r="AV24" s="244">
        <v>80</v>
      </c>
      <c r="AW24" s="244">
        <v>80</v>
      </c>
    </row>
    <row r="25" ht="31.35" customHeight="1">
      <c r="C25" s="771" t="s">
        <v>7066</v>
      </c>
      <c r="D25" s="771"/>
      <c r="E25" s="771"/>
      <c r="F25" s="771"/>
      <c r="G25" s="771"/>
      <c r="H25" s="771"/>
      <c r="I25" s="771"/>
      <c r="J25" s="771"/>
      <c r="K25" s="771"/>
      <c r="L25" s="771"/>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7067</v>
      </c>
    </row>
    <row r="26" ht="31.35" customHeight="1">
      <c r="C26" s="771" t="s">
        <v>7068</v>
      </c>
      <c r="D26" s="771"/>
      <c r="E26" s="771"/>
      <c r="F26" s="771"/>
      <c r="G26" s="771"/>
      <c r="H26" s="771"/>
      <c r="I26" s="771"/>
      <c r="J26" s="771"/>
      <c r="K26" s="771"/>
      <c r="L26" s="771"/>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4" t="s">
        <v>7069</v>
      </c>
      <c r="D27" s="784"/>
      <c r="E27" s="784"/>
      <c r="F27" s="784"/>
      <c r="G27" s="784"/>
      <c r="H27" s="784"/>
      <c r="I27" s="784"/>
      <c r="J27" s="784"/>
      <c r="K27" s="784"/>
      <c r="L27" s="784"/>
      <c r="M27" s="784"/>
      <c r="N27" s="784"/>
      <c r="O27" s="784"/>
      <c r="P27" s="784"/>
      <c r="Q27" s="784"/>
      <c r="R27" s="784"/>
      <c r="S27" s="784"/>
      <c r="T27" s="784"/>
      <c r="U27" s="784"/>
      <c r="V27" s="784"/>
      <c r="W27" s="784"/>
      <c r="X27" s="784"/>
      <c r="Y27" s="784"/>
      <c r="Z27" s="784"/>
      <c r="AA27" s="784"/>
      <c r="AB27" s="290"/>
      <c r="AC27" s="290"/>
      <c r="AD27" s="290"/>
    </row>
    <row r="28" ht="27" customHeight="1">
      <c r="C28" s="7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E28" s="726"/>
      <c r="AF28" s="726"/>
      <c r="AI28" s="244">
        <v>20</v>
      </c>
      <c r="AQ28" s="244" t="s">
        <v>7070</v>
      </c>
    </row>
    <row r="29" ht="27"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E29" s="726"/>
      <c r="AF29" s="726"/>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7071</v>
      </c>
      <c r="AS29" s="244" t="str">
        <f>IF(AI28&gt;=0," cao hơn "," thấp hơn ")</f>
        <v> cao hơn </v>
      </c>
      <c r="AT29" s="244" t="s">
        <v>7072</v>
      </c>
    </row>
    <row r="30" ht="16.5" customHeight="1">
      <c r="C30" s="716" t="str">
        <f>IF(AI31=1,AQ31,AQ30)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E30" s="716"/>
      <c r="AF30" s="716"/>
      <c r="AI30" s="244">
        <v>20</v>
      </c>
      <c r="AQ30" s="244" t="s">
        <v>7073</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E31" s="716"/>
      <c r="AF31" s="716"/>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7073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746"/>
      <c r="D34" s="746"/>
      <c r="E34" s="746"/>
      <c r="F34" s="746"/>
      <c r="G34" s="746"/>
      <c r="H34" s="290"/>
      <c r="I34" s="747"/>
      <c r="J34" s="747"/>
      <c r="K34" s="747"/>
      <c r="L34" s="747"/>
      <c r="M34" s="747"/>
      <c r="N34" s="747"/>
      <c r="O34" s="747"/>
      <c r="P34" s="264"/>
      <c r="Q34" s="264"/>
      <c r="R34" s="264"/>
      <c r="S34" s="264"/>
      <c r="T34" s="741" t="str">
        <f>IF(AI41=0,AO34,IF(AI41=1,AK34,AS34))</f>
        <v>KT. GIÁM ĐỐC</v>
      </c>
      <c r="U34" s="741"/>
      <c r="V34" s="741"/>
      <c r="W34" s="741"/>
      <c r="X34" s="741"/>
      <c r="Y34" s="741"/>
      <c r="Z34" s="741"/>
      <c r="AA34" s="741"/>
      <c r="AB34" s="741"/>
      <c r="AC34" s="741"/>
      <c r="AD34" s="741"/>
      <c r="AE34" s="741"/>
      <c r="AF34" s="741"/>
      <c r="AK34" s="244" t="s">
        <v>1363</v>
      </c>
      <c r="AO34" s="244" t="s">
        <v>1364</v>
      </c>
      <c r="AS34" s="244" t="s">
        <v>1365</v>
      </c>
    </row>
    <row r="35" ht="17.1" customHeight="1">
      <c r="C35" s="742" t="s">
        <v>7074</v>
      </c>
      <c r="D35" s="742"/>
      <c r="E35" s="742"/>
      <c r="F35" s="742"/>
      <c r="G35" s="742"/>
      <c r="H35" s="293" t="s">
        <v>7075</v>
      </c>
      <c r="I35" s="744" t="s">
        <v>7076</v>
      </c>
      <c r="J35" s="744"/>
      <c r="K35" s="744"/>
      <c r="L35" s="744"/>
      <c r="M35" s="744"/>
      <c r="N35" s="744"/>
      <c r="O35" s="744"/>
      <c r="P35" s="294"/>
      <c r="Q35" s="290"/>
      <c r="R35" s="290"/>
      <c r="S35" s="290"/>
      <c r="T35" s="741" t="str">
        <f>IF(AI41=0,AO35,IF(AI41=1,"",AS35))</f>
        <v>PHÓ GIÁM ĐỐC</v>
      </c>
      <c r="U35" s="741"/>
      <c r="V35" s="741"/>
      <c r="W35" s="741"/>
      <c r="X35" s="741"/>
      <c r="Y35" s="741"/>
      <c r="Z35" s="741"/>
      <c r="AA35" s="741"/>
      <c r="AB35" s="741"/>
      <c r="AC35" s="741"/>
      <c r="AD35" s="741"/>
      <c r="AE35" s="741"/>
      <c r="AF35" s="741"/>
      <c r="AO35" s="244" t="s">
        <v>1367</v>
      </c>
      <c r="AS35" s="244" t="s">
        <v>1368</v>
      </c>
    </row>
    <row r="36" ht="17.1" customHeight="1">
      <c r="C36" s="742" t="s">
        <v>7077</v>
      </c>
      <c r="D36" s="742"/>
      <c r="E36" s="742"/>
      <c r="F36" s="742"/>
      <c r="G36" s="742"/>
      <c r="H36" s="293" t="s">
        <v>7075</v>
      </c>
      <c r="I36" s="743">
        <f>AI36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42" t="s">
        <v>7078</v>
      </c>
      <c r="D37" s="742"/>
      <c r="E37" s="742"/>
      <c r="F37" s="742"/>
      <c r="G37" s="742"/>
      <c r="H37" s="293" t="s">
        <v>7075</v>
      </c>
      <c r="I37" s="743">
        <f>AI37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F41" s="727"/>
      <c r="AI41" s="244">
        <v>0</v>
      </c>
      <c r="AK41" s="244" t="s">
        <v>1372</v>
      </c>
      <c r="AO41" s="244" t="s">
        <v>1373</v>
      </c>
      <c r="AT41" s="244" t="s">
        <v>1374</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7079</v>
      </c>
      <c r="C43" s="709"/>
      <c r="D43" s="709"/>
      <c r="E43" s="709"/>
      <c r="F43" s="709"/>
      <c r="G43" s="709"/>
      <c r="H43" s="710" t="s">
        <v>7053</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row>
    <row r="45" ht="16.5" customHeight="1">
      <c r="B45" s="709"/>
      <c r="C45" s="709"/>
      <c r="D45" s="709"/>
      <c r="E45" s="709"/>
      <c r="F45" s="709"/>
      <c r="G45" s="709"/>
      <c r="H45" s="701" t="s">
        <v>7080</v>
      </c>
      <c r="I45" s="701"/>
      <c r="J45" s="701"/>
      <c r="K45" s="701"/>
      <c r="L45" s="701" t="s">
        <v>7081</v>
      </c>
      <c r="M45" s="701"/>
      <c r="N45" s="701"/>
      <c r="O45" s="701" t="s">
        <v>7082</v>
      </c>
      <c r="P45" s="701"/>
      <c r="Q45" s="701"/>
      <c r="R45" s="701" t="s">
        <v>7083</v>
      </c>
      <c r="S45" s="701"/>
      <c r="T45" s="701"/>
      <c r="U45" s="701"/>
      <c r="V45" s="701"/>
      <c r="W45" s="701" t="s">
        <v>7084</v>
      </c>
      <c r="X45" s="701"/>
      <c r="Y45" s="701"/>
      <c r="Z45" s="701"/>
      <c r="AA45" s="701" t="s">
        <v>7085</v>
      </c>
      <c r="AB45" s="701"/>
      <c r="AC45" s="701"/>
      <c r="AD45" s="701"/>
      <c r="AE45" s="701"/>
      <c r="AF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04"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7052</v>
      </c>
      <c r="AK49" s="278" t="s">
        <v>7086</v>
      </c>
      <c r="AL49" s="278"/>
      <c r="AN49" s="288" t="s">
        <v>589</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04"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7052</v>
      </c>
      <c r="AK53" s="278" t="s">
        <v>7087</v>
      </c>
      <c r="AL53" s="278"/>
      <c r="AN53" s="288" t="s">
        <v>589</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04"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7052</v>
      </c>
      <c r="AK57" s="278" t="s">
        <v>7087</v>
      </c>
      <c r="AL57" s="278"/>
      <c r="AN57" s="288" t="s">
        <v>589</v>
      </c>
      <c r="AQ57" s="244">
        <v>30</v>
      </c>
      <c r="AR57" s="244">
        <v>40</v>
      </c>
      <c r="AS57" s="244">
        <v>40</v>
      </c>
      <c r="AU57" s="244" t="s">
        <v>7088</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04"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7052</v>
      </c>
      <c r="AK61" s="278" t="s">
        <v>7087</v>
      </c>
      <c r="AL61" s="278"/>
      <c r="AN61" s="288" t="s">
        <v>589</v>
      </c>
      <c r="AQ61" s="244">
        <v>30</v>
      </c>
      <c r="AR61" s="244">
        <v>40</v>
      </c>
      <c r="AS61" s="244">
        <v>40</v>
      </c>
      <c r="AU61" s="244" t="s">
        <v>7089</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04"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7052</v>
      </c>
      <c r="AK65" s="278" t="s">
        <v>7087</v>
      </c>
      <c r="AL65" s="278"/>
      <c r="AN65" s="288" t="s">
        <v>589</v>
      </c>
      <c r="AQ65" s="244">
        <v>30</v>
      </c>
      <c r="AR65" s="244">
        <v>40</v>
      </c>
      <c r="AS65" s="244">
        <v>40</v>
      </c>
      <c r="AU65" s="244" t="s">
        <v>7090</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Admin</cp:lastModifiedBy>
  <cp:lastPrinted>2019-03-04T03:16:48Z</cp:lastPrinted>
  <dcterms:created xsi:type="dcterms:W3CDTF">2006-09-16T00:00:00Z</dcterms:created>
  <dcterms:modified xsi:type="dcterms:W3CDTF">2020-07-30T00:42:05Z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