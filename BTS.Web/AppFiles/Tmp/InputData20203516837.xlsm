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20"/>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<sst xmlns="http://schemas.openxmlformats.org/spreadsheetml/2006/main" count="22460" uniqueCount="22460">
  <si>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</si>
  <si>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</si>
  <si>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</si>
  <si>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</si>
  <si>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</si>
  <si>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</si>
  <si>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</si>
  <si>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</si>
  <si>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</si>
  <si>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</si>
  <si>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</si>
  <si>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</si>
  <si>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</si>
  <si>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</si>
  <si>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</si>
  <si>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</si>
  <si>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</si>
  <si>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</si>
  <si>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</si>
  <si>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</si>
  <si>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</si>
  <si>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</si>
  <si>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</si>
  <si>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</si>
  <si>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</si>
  <si>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</si>
  <si>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</si>
  <si>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</si>
  <si>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</si>
  <si>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</si>
  <si>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</si>
  <si>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</si>
  <si>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</si>
  <si>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</si>
  <si>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</si>
  <si>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</si>
  <si>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</si>
  <si>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</si>
  <si>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</si>
  <si>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</si>
  <si>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</si>
  <si>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</si>
  <si>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</si>
  <si>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</si>
  <si>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</si>
  <si>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</si>
  <si>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</si>
  <si>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</si>
  <si>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</si>
  <si>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</si>
  <si>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</si>
  <si>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</si>
  <si>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</si>
  <si>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</si>
  <si>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</si>
  <si>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</si>
  <si>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</si>
  <si>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</si>
  <si>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</si>
  <si>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</si>
  <si>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</si>
  <si>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</si>
  <si>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</si>
  <si>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</si>
  <si>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</si>
  <si>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</si>
  <si>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</si>
  <si>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</si>
  <si>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</si>
  <si>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</si>
  <si>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</si>
  <si>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</si>
  <si>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</si>
  <si>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</si>
  <si>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</si>
  <si>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</si>
  <si>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</si>
  <si>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</si>
  <si>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</si>
  <si>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</si>
  <si>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</si>
  <si>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</si>
  <si>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</si>
  <si>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</si>
  <si>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</si>
  <si>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</si>
  <si>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</si>
  <si>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</si>
  <si>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</si>
  <si>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</si>
  <si>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</si>
  <si>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</si>
  <si>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</si>
  <si>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</si>
  <si>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</si>
  <si>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</si>
  <si>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</si>
  <si>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</si>
  <si>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</si>
  <si>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</si>
  <si>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</si>
  <si>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</si>
  <si>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</si>
  <si>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</si>
  <si>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</si>
  <si>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</si>
  <si>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</si>
  <si>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</si>
  <si>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</si>
  <si>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</si>
  <si>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</si>
  <si>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</si>
  <si>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</si>
  <si>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</si>
  <si>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</si>
  <si>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</si>
  <si>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</si>
  <si>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</si>
  <si>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</si>
  <si>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</si>
  <si>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</si>
  <si>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</si>
  <si>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</si>
  <si>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</si>
  <si>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</si>
  <si>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</si>
  <si>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</si>
  <si>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</si>
  <si>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</si>
  <si>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</si>
  <si>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</si>
  <si>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</si>
  <si>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</si>
  <si>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</si>
  <si>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</si>
  <si>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</si>
  <si>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</si>
  <si>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</si>
  <si>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</si>
  <si>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</si>
  <si>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</si>
  <si>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</si>
  <si>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</si>
  <si>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</si>
  <si>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</si>
  <si>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</si>
  <si>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</si>
  <si>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</si>
  <si>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</si>
  <si>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</si>
  <si>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</si>
  <si>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</si>
  <si>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</si>
  <si>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</si>
  <si>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</si>
  <si>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</si>
  <si>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</si>
  <si>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</si>
  <si>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</si>
  <si>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</si>
  <si>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</si>
  <si>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</si>
  <si>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</si>
  <si>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</si>
  <si>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</si>
  <si>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</si>
  <si>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</si>
  <si>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</si>
  <si>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</si>
  <si>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</si>
  <si>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</si>
  <si>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</si>
  <si>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</si>
  <si>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</si>
  <si>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</si>
  <si>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</si>
  <si>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</si>
  <si>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</si>
  <si>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</si>
  <si>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</si>
  <si>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</si>
  <si>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</si>
  <si>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</si>
  <si>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</si>
  <si>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</si>
  <si>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</si>
  <si>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</si>
  <si>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</si>
  <si>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</si>
  <si>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</si>
  <si>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</si>
  <si>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</si>
  <si>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</si>
  <si>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</si>
  <si>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</si>
  <si>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</si>
  <si>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</si>
  <si>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</si>
  <si>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</si>
  <si>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</si>
  <si>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</si>
  <si>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</si>
  <si>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</si>
  <si>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</si>
  <si>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</si>
  <si>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</si>
  <si>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</si>
  <si>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</si>
  <si>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</si>
  <si>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</si>
  <si>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</si>
  <si>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</si>
  <si>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</si>
  <si>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</si>
  <si>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</si>
  <si>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</si>
  <si>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</si>
  <si>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</si>
  <si>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</si>
  <si>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</si>
  <si>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</si>
  <si>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</si>
  <si>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</si>
  <si>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</si>
  <si>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</si>
  <si>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</si>
  <si>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</si>
  <si>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</si>
  <si>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</si>
  <si>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</si>
  <si>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</si>
  <si>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</si>
  <si>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</si>
  <si>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</si>
  <si>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</si>
  <si>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</si>
  <si>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</si>
  <si>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</si>
  <si>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</si>
  <si>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</si>
  <si>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</si>
  <si>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</si>
  <si>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</si>
  <si>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</si>
  <si>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</si>
  <si>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</si>
  <si>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</si>
  <si>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</si>
  <si>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</si>
  <si>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</si>
  <si>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</si>
  <si>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</si>
  <si>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</si>
  <si>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</si>
  <si>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</si>
  <si>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</si>
  <si>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</si>
  <si>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</si>
  <si>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</si>
  <si>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</si>
  <si>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</si>
  <si>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</si>
  <si>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</si>
  <si>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</si>
  <si>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</si>
  <si>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</si>
  <si>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</si>
  <si>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</si>
  <si>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</si>
  <si>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</si>
  <si>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</si>
  <si>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</si>
  <si>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</si>
  <si>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</si>
  <si>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</si>
  <si>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</si>
  <si>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</si>
  <si>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</si>
  <si>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</si>
  <si>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</si>
  <si>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</si>
  <si>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</si>
  <si>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</si>
  <si>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</si>
  <si>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</si>
  <si>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</si>
  <si>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</si>
  <si>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</si>
  <si>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</si>
  <si>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</si>
  <si>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</si>
  <si>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</si>
  <si>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</si>
  <si>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</si>
  <si>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</si>
  <si>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</si>
  <si>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</si>
  <si>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</si>
  <si>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</si>
  <si>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</si>
  <si>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</si>
  <si>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</si>
  <si>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</si>
  <si>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</si>
  <si>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</si>
  <si>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</si>
  <si>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</si>
  <si>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</si>
  <si>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</si>
  <si>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</si>
  <si>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</si>
  <si>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</si>
  <si>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</si>
  <si>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</si>
  <si>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</si>
  <si>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</si>
  <si>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</si>
  <si>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</si>
  <si>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</si>
  <si>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</si>
  <si>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</si>
  <si>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</si>
  <si>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</si>
  <si>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</si>
  <si>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</si>
  <si>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</si>
  <si>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</si>
  <si>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</si>
  <si>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</si>
  <si>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</si>
  <si>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</si>
  <si>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</si>
  <si>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</si>
  <si>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</si>
  <si>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</si>
  <si>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</si>
  <si>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</si>
  <si>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</si>
  <si>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</si>
  <si>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</si>
  <si>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</si>
  <si>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</si>
  <si>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</si>
  <si>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</si>
  <si>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</si>
  <si>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</si>
  <si>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</si>
  <si>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</si>
  <si>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</si>
  <si>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</si>
  <si>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</si>
  <si>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</si>
  <si>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</si>
  <si>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</si>
  <si>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</si>
  <si>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</si>
  <si>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</si>
  <si>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</si>
  <si>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</si>
  <si>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</si>
  <si>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</si>
  <si>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</si>
  <si>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</si>
  <si>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</si>
  <si>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</si>
  <si>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</si>
  <si>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</si>
  <si>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</si>
  <si>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</si>
  <si>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</si>
  <si>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</si>
  <si>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</si>
  <si>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</si>
  <si>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</si>
  <si>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</si>
  <si>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</si>
  <si>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</si>
  <si>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</si>
  <si>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</si>
  <si>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</si>
  <si>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</si>
  <si>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</si>
  <si>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</si>
  <si>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</si>
  <si>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</si>
  <si>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</si>
  <si>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</si>
  <si>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</si>
  <si>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</si>
  <si>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</si>
  <si>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</si>
  <si>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</si>
  <si>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</si>
  <si>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</si>
  <si>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</si>
  <si>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</si>
  <si>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</si>
  <si>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</si>
  <si>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</si>
  <si>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</si>
  <si>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</si>
  <si>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</si>
  <si>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</si>
  <si>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</si>
  <si>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</si>
  <si>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</si>
  <si>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</si>
  <si>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</si>
  <si>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</si>
  <si>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</si>
  <si>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</si>
  <si>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</si>
  <si>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</si>
  <si>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</si>
  <si>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</si>
  <si>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</si>
  <si>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</si>
  <si>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</si>
  <si>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</si>
  <si>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</si>
  <si>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</si>
  <si>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</si>
  <si>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</si>
  <si>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</si>
  <si>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</si>
  <si>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</si>
  <si>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</si>
  <si>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</si>
  <si>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</si>
  <si>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</si>
  <si>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</si>
  <si>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</si>
  <si>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</si>
  <si>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</si>
  <si>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</si>
  <si>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</si>
  <si>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</si>
  <si>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</si>
  <si>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</si>
  <si>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</si>
  <si>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</si>
  <si>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</si>
  <si>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</si>
  <si>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</si>
  <si>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</si>
  <si>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</si>
  <si>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</si>
  <si>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</si>
  <si>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</si>
  <si>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</si>
  <si>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</si>
  <si>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</si>
  <si>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</si>
  <si>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</si>
  <si>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</si>
  <si>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</si>
  <si>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</si>
  <si>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</si>
  <si>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</si>
  <si>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</si>
  <si>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</si>
  <si>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</si>
  <si>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</si>
  <si>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</si>
  <si>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</si>
  <si>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</si>
  <si>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</si>
  <si>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</si>
  <si>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</si>
  <si>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</si>
  <si>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</si>
  <si>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</si>
  <si>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</si>
  <si>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</si>
  <si>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</si>
  <si>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</si>
  <si>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</si>
  <si>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</si>
  <si>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</si>
  <si>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</si>
  <si>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</si>
  <si>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</si>
  <si>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</si>
  <si>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</si>
  <si>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</si>
  <si>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</si>
  <si>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</si>
  <si>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</si>
  <si>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</si>
  <si>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</si>
  <si>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</si>
  <si>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</si>
  <si>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</si>
  <si>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</si>
  <si>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</si>
  <si>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</si>
  <si>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</si>
  <si>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</si>
  <si>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</si>
  <si>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</si>
  <si>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</si>
  <si>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</si>
  <si>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</si>
  <si>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</si>
  <si>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</si>
  <si>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</si>
  <si>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</si>
  <si>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</si>
  <si>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</si>
  <si>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</si>
  <si>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</si>
  <si>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</si>
  <si>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</si>
  <si>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</si>
  <si>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</si>
  <si>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</si>
  <si>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</si>
  <si>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</si>
  <si>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</si>
  <si>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</si>
  <si>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</si>
  <si>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</si>
  <si>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</si>
  <si>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</si>
  <si>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</si>
  <si>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</si>
  <si>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</si>
  <si>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</si>
  <si>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</si>
  <si>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</si>
  <si>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</si>
  <si>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</si>
  <si>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</si>
  <si>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</si>
  <si>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</si>
  <si>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</si>
  <si>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</si>
  <si>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</si>
  <si>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</si>
  <si>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</si>
  <si>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</si>
  <si>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</si>
  <si>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</si>
  <si>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</si>
  <si>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</si>
  <si>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</si>
  <si>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</si>
  <si>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</si>
  <si>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</si>
  <si>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</si>
  <si>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</si>
  <si>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</si>
  <si>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</si>
  <si>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</si>
  <si>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</si>
  <si>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</si>
  <si>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</si>
  <si>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</si>
  <si>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</si>
  <si>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</si>
  <si>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</si>
  <si>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</si>
  <si>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</si>
  <si>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</si>
  <si>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</si>
  <si>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</si>
  <si>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</si>
  <si>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</si>
  <si>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</si>
  <si>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</si>
  <si>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</si>
  <si>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</si>
  <si>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</si>
  <si>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</si>
  <si>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</si>
  <si>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</si>
  <si>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</si>
  <si>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</si>
  <si>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</si>
  <si>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</si>
  <si>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</si>
  <si>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</si>
  <si>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</si>
  <si>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</si>
  <si>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</si>
  <si>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</si>
  <si>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</si>
  <si>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</si>
  <si>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</si>
  <si>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</si>
  <si>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</si>
  <si>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</si>
  <si>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</si>
  <si>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</si>
  <si>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</si>
  <si>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</si>
  <si>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</si>
  <si>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</si>
  <si>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</si>
  <si>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</si>
  <si>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</si>
  <si>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</si>
  <si>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</si>
  <si>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</si>
  <si>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</si>
  <si>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</si>
  <si>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</si>
  <si>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</si>
  <si>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</si>
  <si>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</si>
  <si>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</si>
  <si>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</si>
  <si>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</si>
  <si>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</si>
  <si>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</si>
  <si>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</si>
  <si>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</si>
  <si>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</si>
  <si>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</si>
  <si>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</si>
  <si>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</si>
  <si>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</si>
  <si>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</si>
  <si>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</si>
  <si>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</si>
  <si>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</si>
  <si>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</si>
  <si>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</si>
  <si>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</si>
  <si>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</si>
  <si>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</si>
  <si>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</si>
  <si>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</si>
  <si>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</si>
  <si>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</si>
  <si>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</si>
  <si>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</si>
  <si>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</si>
  <si>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</si>
  <si>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</si>
  <si>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</si>
  <si>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</si>
  <si>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</si>
  <si>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</si>
  <si>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</si>
  <si>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</si>
  <si>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</si>
  <si>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</si>
  <si>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</si>
  <si>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</si>
  <si>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</si>
  <si>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</si>
  <si>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</si>
  <si>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</si>
  <si>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</si>
  <si>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</si>
  <si>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</si>
  <si>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</si>
  <si>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</si>
  <si>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</si>
  <si>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</si>
  <si>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</si>
  <si>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</si>
  <si>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</si>
  <si>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</si>
  <si>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</si>
  <si>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</si>
  <si>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</si>
  <si>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</si>
  <si>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</si>
  <si>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</si>
  <si>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</si>
  <si>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</si>
  <si>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</si>
  <si>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</si>
  <si>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</si>
  <si>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</si>
  <si>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</si>
  <si>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</si>
  <si>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</si>
  <si>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</si>
  <si>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</si>
  <si>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</si>
  <si>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</si>
  <si>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</si>
  <si>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</si>
  <si>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</si>
  <si>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</si>
  <si>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</si>
  <si>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</si>
  <si>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</si>
  <si>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</si>
  <si>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</si>
  <si>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</si>
  <si>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</si>
  <si>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</si>
  <si>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</si>
  <si>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</si>
  <si>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</si>
  <si>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</si>
  <si>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</si>
  <si>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</si>
  <si>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</si>
  <si>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</si>
  <si>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</si>
  <si>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</si>
  <si>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</si>
  <si>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</si>
  <si>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</si>
  <si>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</si>
  <si>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</si>
  <si>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</si>
  <si>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</si>
  <si>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</si>
  <si>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</si>
  <si>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</si>
  <si>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</si>
  <si>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</si>
  <si>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</si>
  <si>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</si>
  <si>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</si>
  <si>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</si>
  <si>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</si>
  <si>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</si>
  <si>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</si>
  <si>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</si>
  <si>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</si>
  <si>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</si>
  <si>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</si>
  <si>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</si>
  <si>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</si>
  <si>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</si>
  <si>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</si>
  <si>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</si>
  <si>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</si>
  <si>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</si>
  <si>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</si>
  <si>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</si>
  <si>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</si>
  <si>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</si>
  <si>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</si>
  <si>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</si>
  <si>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</si>
  <si>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</si>
  <si>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</si>
  <si>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</si>
  <si>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</si>
  <si>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</si>
  <si>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</si>
  <si>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</si>
  <si>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</si>
  <si>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</si>
  <si>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</si>
  <si>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</si>
  <si>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</si>
  <si>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</si>
  <si>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</si>
  <si>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</si>
  <si>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</si>
  <si>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</si>
  <si>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</si>
  <si>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</si>
  <si>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</si>
  <si>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</si>
  <si>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</si>
  <si>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</si>
  <si>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</si>
  <si>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</si>
  <si>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</si>
  <si>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</si>
  <si>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</si>
  <si>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</si>
  <si>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</si>
  <si>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</si>
  <si>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</si>
  <si>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</si>
  <si>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</si>
  <si>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</si>
  <si>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</si>
  <si>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</si>
  <si>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</si>
  <si>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</si>
  <si>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</si>
  <si>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</si>
  <si>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</si>
  <si>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</si>
  <si>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</si>
  <si>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</si>
  <si>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</si>
  <si>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</si>
  <si>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</si>
  <si>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</si>
  <si>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</si>
  <si>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</si>
  <si>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</si>
  <si>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</si>
  <si>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</si>
  <si>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</si>
  <si>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</si>
  <si>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</si>
  <si>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</si>
  <si>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</si>
  <si>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</si>
  <si>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</si>
  <si>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</si>
  <si>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</si>
  <si>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</si>
  <si>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</si>
  <si>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</si>
  <si>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</si>
  <si>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</si>
  <si>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</si>
  <si>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</si>
  <si>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</si>
  <si>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</si>
  <si>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</si>
  <si>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</si>
  <si>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</si>
  <si>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</si>
  <si>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</si>
  <si>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</si>
  <si>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</si>
  <si>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</si>
  <si>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</si>
  <si>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</si>
  <si>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</si>
  <si>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</si>
  <si>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</si>
  <si>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</si>
  <si>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</si>
  <si>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</si>
  <si>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</si>
  <si>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</si>
  <si>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</si>
  <si>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</si>
  <si>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</si>
  <si>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</si>
  <si>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</si>
  <si>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</si>
  <si>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</si>
  <si>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</si>
  <si>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</si>
  <si>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</si>
  <si>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</si>
  <si>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</si>
  <si>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</si>
  <si>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</si>
  <si>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</si>
  <si>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</si>
  <si>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</si>
  <si>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</si>
  <si>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</si>
  <si>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</si>
  <si>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</si>
  <si>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</si>
  <si>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</si>
  <si>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</si>
  <si>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</si>
  <si>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</si>
  <si>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</si>
  <si>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</si>
  <si>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</si>
  <si>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</si>
  <si>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</si>
  <si>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</si>
  <si>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</si>
  <si>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</si>
  <si>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</si>
  <si>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</si>
  <si>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</si>
  <si>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</si>
  <si>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</si>
  <si>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</si>
  <si>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</si>
  <si>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</si>
  <si>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</si>
  <si>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</si>
  <si>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</si>
  <si>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</si>
  <si>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</si>
  <si>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</si>
  <si>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</si>
  <si>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</si>
  <si>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</si>
  <si>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</si>
  <si>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</si>
  <si>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</si>
  <si>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</si>
  <si>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</si>
  <si>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</si>
  <si>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</si>
  <si>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</si>
  <si>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</si>
  <si>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</si>
  <si>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</si>
  <si>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</si>
  <si>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</si>
  <si>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</si>
  <si>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</si>
  <si>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</si>
  <si>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</si>
  <si>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</si>
  <si>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</si>
  <si>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</si>
  <si>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</si>
  <si>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</si>
  <si>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</si>
  <si>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</si>
  <si>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</si>
  <si>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</si>
  <si>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</si>
  <si>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</si>
  <si>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</si>
  <si>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</si>
  <si>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</si>
  <si>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</si>
  <si>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</si>
  <si>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</si>
  <si>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</si>
  <si>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</si>
  <si>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</si>
  <si>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</si>
  <si>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</si>
  <si>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</si>
  <si>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</si>
  <si>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</si>
  <si>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</si>
  <si>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</si>
  <si>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</si>
  <si>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</si>
  <si>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</si>
  <si>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</si>
  <si>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</si>
  <si>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</si>
  <si>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</si>
  <si>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</si>
  <si>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</si>
  <si>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</si>
  <si>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</si>
  <si>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</si>
  <si>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</si>
  <si>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</si>
  <si>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</si>
  <si>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</si>
  <si>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</si>
  <si>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</si>
  <si>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</si>
  <si>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</si>
  <si>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</si>
  <si>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</si>
  <si>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</si>
  <si>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</si>
  <si>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</si>
  <si>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</si>
  <si>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</si>
  <si>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</si>
  <si>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</si>
  <si>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</si>
  <si>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</si>
  <si>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</si>
  <si>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</si>
  <si>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</si>
  <si>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</si>
  <si>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</si>
  <si>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</si>
  <si>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</si>
  <si>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</si>
  <si>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</si>
  <si>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</si>
  <si>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</si>
  <si>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</si>
  <si>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</si>
  <si>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</si>
  <si>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</si>
  <si>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</si>
  <si>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</si>
  <si>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</si>
  <si>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</si>
  <si>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</si>
  <si>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</si>
  <si>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</si>
  <si>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</si>
  <si>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</si>
  <si>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</si>
  <si>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</si>
  <si>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</si>
  <si>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</si>
  <si>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</si>
  <si>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</si>
  <si>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</si>
  <si>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</si>
  <si>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</si>
  <si>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</si>
  <si>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</si>
  <si>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</si>
  <si>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</si>
  <si>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</si>
  <si>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</si>
  <si>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</si>
  <si>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</si>
  <si>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</si>
  <si>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</si>
  <si>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</si>
  <si>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</si>
  <si>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</si>
  <si>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</si>
  <si>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</si>
  <si>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</si>
  <si>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</si>
  <si>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</si>
  <si>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</si>
  <si>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</si>
  <si>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</si>
  <si>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</si>
  <si>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</si>
  <si>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</si>
  <si>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</si>
  <si>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</si>
  <si>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</si>
  <si>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</si>
  <si>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</si>
  <si>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</si>
  <si>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</si>
  <si>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</si>
  <si>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</si>
  <si>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</si>
  <si>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</si>
  <si>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</si>
  <si>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</si>
  <si>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</si>
  <si>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</si>
  <si>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</si>
  <si>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</si>
  <si>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</si>
  <si>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</si>
  <si>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</si>
  <si>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</si>
  <si>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</si>
  <si>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</si>
  <si>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</si>
  <si>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</si>
  <si>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</si>
  <si>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</si>
  <si>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</si>
  <si>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</si>
  <si>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</si>
  <si>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</si>
  <si>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</si>
  <si>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</si>
  <si>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</si>
  <si>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</si>
  <si>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</si>
  <si>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</si>
  <si>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</si>
  <si>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</si>
  <si>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</si>
  <si>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</si>
  <si>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</si>
  <si>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</si>
  <si>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</si>
  <si>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</si>
  <si>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</si>
  <si>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</si>
  <si>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</si>
  <si>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</si>
  <si>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</si>
  <si>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</si>
  <si>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</si>
  <si>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</si>
  <si>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</si>
  <si>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</si>
  <si>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</si>
  <si>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</si>
  <si>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</si>
  <si>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</si>
  <si>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</si>
  <si>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</si>
  <si>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</si>
  <si>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</si>
  <si>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</si>
  <si>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</si>
  <si>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</si>
  <si>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</si>
  <si>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</si>
  <si>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</si>
  <si>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</si>
  <si>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</si>
  <si>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</si>
  <si>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</si>
  <si>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</si>
  <si>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</si>
  <si>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</si>
  <si>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</si>
  <si>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</si>
  <si>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</si>
  <si>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</si>
  <si>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</si>
  <si>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</si>
  <si>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</si>
  <si>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</si>
  <si>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</si>
  <si>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</si>
  <si>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</si>
  <si>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</si>
  <si>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</si>
  <si>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</si>
  <si>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</si>
  <si>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</si>
  <si>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</si>
  <si>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</si>
  <si>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</si>
  <si>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</si>
  <si>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</si>
  <si>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</si>
  <si>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</si>
  <si>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</si>
  <si>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</si>
  <si>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</si>
  <si>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</si>
  <si>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</si>
  <si>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</si>
  <si>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</si>
  <si>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</si>
  <si>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</si>
  <si>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</si>
  <si>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</si>
  <si>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</si>
  <si>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</si>
  <si>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</si>
  <si>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</si>
  <si>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</si>
  <si>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</si>
  <si>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</si>
  <si>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</si>
  <si>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</si>
  <si>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</si>
  <si>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</si>
  <si>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</si>
  <si>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</si>
  <si>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</si>
  <si>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</si>
  <si>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</si>
  <si>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</si>
  <si>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</si>
  <si>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</si>
  <si>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</si>
  <si>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</si>
  <si>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</si>
  <si>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</si>
  <si>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</si>
  <si>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</si>
  <si>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</si>
  <si>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</si>
  <si>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</si>
  <si>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</si>
  <si>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</si>
  <si>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</si>
  <si>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</si>
  <si>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</si>
  <si>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</si>
  <si>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</si>
  <si>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</si>
  <si>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</si>
  <si>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</si>
  <si>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</si>
  <si>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</si>
  <si>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</si>
  <si>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</si>
  <si>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</si>
  <si>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</si>
  <si>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</si>
  <si>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</si>
  <si>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</si>
  <si>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</si>
  <si>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</si>
  <si>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</si>
  <si>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</si>
  <si>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</si>
  <si>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</si>
  <si>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</si>
  <si>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</si>
  <si>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</si>
  <si>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</si>
  <si>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</si>
  <si>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</si>
  <si>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</si>
  <si>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</si>
  <si>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</si>
  <si>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</si>
  <si>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</si>
  <si>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</si>
  <si>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</si>
  <si>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</si>
  <si>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</si>
  <si>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</si>
  <si>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</si>
  <si>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</si>
  <si>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</si>
  <si>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</si>
  <si>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</si>
  <si>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</si>
  <si>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</si>
  <si>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</si>
  <si>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</si>
  <si>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</si>
  <si>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</si>
  <si>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</si>
  <si>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</si>
  <si>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</si>
  <si>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</si>
  <si>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</si>
  <si>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</si>
  <si>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</si>
  <si>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</si>
  <si>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</si>
  <si>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</si>
  <si>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</si>
  <si>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</si>
  <si>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</si>
  <si>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</si>
  <si>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</si>
  <si>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</si>
  <si>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</si>
  <si>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</si>
  <si>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</si>
  <si>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</si>
  <si>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</si>
  <si>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</si>
  <si>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</si>
  <si>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</si>
  <si>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</si>
  <si>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</si>
  <si>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</si>
  <si>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</si>
  <si>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</si>
  <si>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</si>
  <si>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</si>
  <si>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</si>
  <si>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</si>
  <si>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</si>
  <si>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</si>
  <si>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</si>
  <si>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</si>
  <si>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</si>
  <si>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</si>
  <si>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</si>
  <si>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</si>
  <si>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</si>
  <si>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</si>
  <si>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</si>
  <si>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</si>
  <si>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</si>
  <si>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</si>
  <si>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</si>
  <si>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</si>
  <si>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</si>
  <si>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</si>
  <si>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</si>
  <si>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</si>
  <si>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</si>
  <si>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</si>
  <si>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</si>
  <si>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</si>
  <si>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</si>
  <si>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</si>
  <si>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</si>
  <si>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</si>
  <si>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</si>
  <si>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</si>
  <si>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</si>
  <si>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</si>
  <si>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</si>
  <si>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</si>
  <si>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</si>
  <si>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</si>
  <si>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</si>
  <si>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</si>
  <si>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</si>
  <si>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</si>
  <si>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</si>
  <si>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</si>
  <si>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</si>
  <si>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</si>
  <si>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</si>
  <si>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</si>
  <si>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</si>
  <si>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</si>
  <si>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</si>
  <si>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</si>
  <si>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</si>
  <si>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</si>
  <si>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</si>
  <si>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</si>
  <si>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</si>
  <si>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</si>
  <si>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</si>
  <si>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</si>
  <si>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</si>
  <si>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</si>
  <si>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</si>
  <si>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</si>
  <si>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</si>
  <si>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</si>
  <si>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</si>
  <si>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</si>
  <si>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</si>
  <si>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</si>
  <si>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</si>
  <si>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</si>
  <si>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</si>
  <si>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</si>
  <si>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</si>
  <si>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</si>
  <si>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</si>
  <si>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</si>
  <si>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</si>
  <si>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</si>
  <si>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</si>
  <si>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</si>
  <si>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</si>
  <si>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</si>
  <si>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</si>
  <si>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</si>
  <si>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</si>
  <si>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</si>
  <si>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</si>
  <si>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</si>
  <si>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</si>
  <si>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</si>
  <si>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</si>
  <si>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</si>
  <si>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</si>
  <si>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</si>
  <si>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</si>
  <si>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</si>
  <si>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</si>
  <si>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</si>
  <si>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</si>
  <si>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</si>
  <si>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</si>
  <si>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</si>
  <si>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</si>
  <si>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</si>
  <si>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</si>
  <si>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</si>
  <si>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</si>
  <si>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</si>
  <si>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</si>
  <si>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</si>
  <si>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</si>
  <si>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</si>
  <si>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</si>
  <si>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</si>
  <si>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</si>
  <si>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</si>
  <si>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</si>
  <si>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</si>
  <si>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</si>
  <si>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</si>
  <si>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</si>
  <si>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</si>
  <si>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</si>
  <si>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</si>
  <si>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</si>
  <si>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</si>
  <si>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</si>
  <si>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</si>
  <si>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</si>
  <si>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</si>
  <si>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</si>
  <si>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</si>
  <si>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</si>
  <si>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</si>
  <si>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</si>
  <si>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</si>
  <si>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</si>
  <si>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</si>
  <si>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</si>
  <si>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</si>
  <si>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</si>
  <si>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</si>
  <si>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</si>
  <si>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</si>
  <si>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</si>
  <si>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</si>
  <si>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</si>
  <si>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</si>
  <si>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</si>
  <si>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</si>
  <si>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</si>
  <si>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</si>
  <si>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</si>
  <si>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</si>
  <si>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</si>
  <si>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</si>
  <si>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</si>
  <si>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</si>
  <si>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</si>
  <si>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</si>
  <si>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</si>
  <si>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</si>
  <si>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</si>
  <si>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</si>
  <si>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</si>
  <si>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</si>
  <si>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</si>
  <si>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</si>
  <si>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</si>
  <si>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</si>
  <si>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</si>
  <si>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</si>
  <si>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</si>
  <si>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</si>
  <si>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</si>
  <si>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</si>
  <si>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</si>
  <si>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</si>
  <si>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</si>
  <si>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</si>
  <si>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</si>
  <si>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</si>
  <si>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</si>
  <si>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</si>
  <si>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</si>
  <si>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</si>
  <si>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</si>
  <si>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</si>
  <si>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</si>
  <si>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</si>
  <si>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</si>
  <si>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</si>
  <si>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</si>
  <si>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</si>
  <si>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</si>
  <si>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</si>
  <si>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</si>
  <si>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</si>
  <si>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</si>
  <si>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</si>
  <si>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</si>
  <si>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</si>
  <si>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</si>
  <si>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</si>
  <si>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</si>
  <si>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</si>
  <si>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</si>
  <si>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</si>
  <si>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</si>
  <si>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</si>
  <si>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</si>
  <si>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</si>
  <si>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</si>
  <si>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</si>
  <si>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</si>
  <si>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</si>
  <si>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</si>
  <si>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</si>
  <si>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</si>
  <si>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</si>
  <si>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</si>
  <si>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</si>
  <si>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</si>
  <si>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</si>
  <si>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</si>
  <si>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</si>
  <si>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</si>
  <si>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</si>
  <si>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</si>
  <si>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</si>
  <si>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</si>
  <si>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</si>
  <si>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</si>
  <si>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</si>
  <si>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</si>
  <si>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</si>
  <si>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</si>
  <si>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</si>
  <si>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</si>
  <si>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</si>
  <si>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</si>
  <si>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</si>
  <si>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</si>
  <si>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</si>
  <si>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</si>
  <si>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</si>
  <si>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</si>
  <si>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</si>
  <si>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</si>
  <si>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</si>
  <si>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</si>
  <si>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</si>
  <si>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</si>
  <si>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</si>
  <si>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</si>
  <si>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</si>
  <si>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</si>
  <si>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</si>
  <si>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</si>
  <si>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</si>
  <si>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</si>
  <si>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</si>
  <si>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</si>
  <si>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</si>
  <si>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</si>
  <si>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</si>
  <si>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</si>
  <si>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</si>
  <si>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</si>
  <si>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</si>
  <si>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</si>
  <si>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</si>
  <si>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</si>
  <si>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</si>
  <si>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</si>
  <si>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</si>
  <si>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</si>
  <si>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</si>
  <si>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</si>
  <si>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</si>
  <si>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</si>
  <si>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</si>
  <si>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</si>
  <si>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</si>
  <si>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</si>
  <si>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</si>
  <si>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</si>
  <si>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</si>
  <si>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</si>
  <si>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</si>
  <si>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</si>
  <si>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</si>
  <si>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</si>
  <si>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</si>
  <si>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</si>
  <si>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</si>
  <si>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</si>
  <si>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</si>
  <si>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</si>
  <si>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</si>
  <si>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</si>
  <si>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</si>
  <si>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</si>
  <si>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</si>
  <si>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</si>
  <si>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</si>
  <si>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</si>
  <si>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</si>
  <si>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</si>
  <si>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</si>
  <si>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</si>
  <si>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</si>
  <si>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</si>
  <si>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</si>
  <si>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</si>
  <si>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</si>
  <si>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</si>
  <si>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</si>
  <si>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</si>
  <si>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</si>
  <si>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</si>
  <si>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</si>
  <si>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</si>
  <si>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</si>
  <si>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</si>
  <si>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</si>
  <si>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</si>
  <si>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</si>
  <si>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</si>
  <si>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</si>
  <si>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</si>
  <si>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</si>
  <si>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</si>
  <si>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</si>
  <si>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</si>
  <si>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</si>
  <si>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</si>
  <si>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</si>
  <si>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</si>
  <si>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</si>
  <si>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</si>
  <si>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</si>
  <si>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</si>
  <si>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</si>
  <si>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</si>
  <si>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</si>
  <si>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</si>
  <si>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</si>
  <si>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</si>
  <si>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</si>
  <si>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</si>
  <si>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</si>
  <si>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</si>
  <si>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</si>
  <si>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</si>
  <si>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</si>
  <si>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</si>
  <si>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</si>
  <si>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</si>
  <si>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</si>
  <si>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</si>
  <si>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</si>
  <si>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</si>
  <si>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</si>
  <si>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</si>
  <si>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</si>
  <si>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</si>
  <si>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</si>
  <si>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</si>
  <si>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</si>
  <si>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</si>
  <si>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</si>
  <si>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</si>
  <si>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</si>
  <si>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</si>
  <si>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</si>
  <si>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</si>
  <si>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</si>
  <si>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</si>
  <si>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</si>
  <si>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</si>
  <si>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</si>
  <si>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</si>
  <si>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</si>
  <si>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</si>
  <si>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</si>
  <si>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</si>
  <si>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</si>
  <si>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</si>
  <si>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</si>
  <si>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</si>
  <si>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</si>
  <si>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</si>
  <si>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</si>
  <si>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</si>
  <si>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</si>
  <si>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</si>
  <si>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</si>
  <si>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</si>
  <si>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</si>
  <si>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</si>
  <si>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</si>
  <si>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</si>
  <si>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</si>
  <si>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</si>
  <si>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</si>
  <si>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</si>
  <si>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</si>
  <si>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</si>
  <si>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</si>
  <si>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</si>
  <si>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</si>
  <si>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</si>
  <si>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</si>
  <si>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</si>
  <si>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</si>
  <si>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</si>
  <si>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</si>
  <si>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</si>
  <si>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</si>
  <si>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</si>
  <si>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</si>
  <si>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</si>
  <si>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</si>
  <si>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</si>
  <si>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</si>
  <si>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</si>
  <si>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</si>
  <si>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</si>
  <si>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</si>
  <si>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</si>
  <si>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</si>
  <si>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</si>
  <si>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</si>
  <si>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</si>
  <si>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</si>
  <si>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</si>
  <si>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</si>
  <si>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</si>
  <si>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</si>
  <si>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</si>
  <si>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</si>
  <si>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</si>
  <si>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</si>
  <si>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</si>
  <si>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</si>
  <si>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</si>
  <si>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</si>
  <si>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</si>
  <si>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</si>
  <si>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</si>
  <si>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</si>
  <si>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</si>
  <si>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</si>
  <si>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</si>
  <si>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</si>
  <si>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</si>
  <si>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</si>
  <si>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</si>
  <si>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</si>
  <si>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</si>
  <si>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</si>
  <si>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</si>
  <si>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</si>
  <si>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</si>
  <si>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</si>
  <si>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</si>
  <si>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</si>
  <si>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</si>
  <si>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</si>
  <si>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</si>
  <si>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</si>
  <si>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</si>
  <si>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</si>
  <si>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</si>
  <si>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</si>
  <si>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</si>
  <si>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</si>
  <si>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</si>
  <si>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</si>
  <si>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</si>
  <si>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</si>
  <si>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</si>
  <si>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</si>
  <si>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</si>
  <si>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</si>
  <si>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</si>
  <si>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</si>
  <si>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</si>
  <si>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</si>
  <si>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</si>
  <si>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</si>
  <si>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</si>
  <si>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</si>
  <si>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</si>
  <si>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</si>
  <si>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</si>
  <si>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</si>
  <si>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</si>
  <si>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</si>
  <si>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</si>
  <si>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</si>
  <si>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</si>
  <si>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</si>
  <si>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</si>
  <si>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</si>
  <si>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</si>
  <si>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</si>
  <si>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</si>
  <si>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</si>
  <si>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</si>
  <si>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</si>
  <si>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</si>
  <si>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</si>
  <si>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</si>
  <si>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</si>
  <si>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</si>
  <si>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</si>
  <si>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</si>
  <si>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</si>
  <si>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</si>
  <si>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</si>
  <si>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</si>
  <si>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</si>
  <si>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</si>
  <si>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</si>
  <si>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</si>
  <si>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</si>
  <si>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</si>
  <si>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</si>
  <si>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</si>
  <si>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</si>
  <si>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</si>
  <si>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</si>
  <si>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</si>
  <si>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</si>
  <si>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</si>
  <si>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</si>
  <si>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</si>
  <si>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</si>
  <si>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</si>
  <si>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</si>
  <si>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</si>
  <si>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</si>
  <si>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</si>
  <si>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</si>
  <si>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</si>
  <si>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</si>
  <si>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</si>
  <si>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</si>
  <si>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</si>
  <si>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</si>
  <si>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</si>
  <si>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</si>
  <si>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</si>
  <si>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</si>
  <si>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</si>
  <si>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</si>
  <si>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</si>
  <si>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</si>
  <si>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</si>
  <si>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</si>
  <si>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</si>
  <si>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</si>
  <si>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</si>
  <si>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</si>
  <si>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</si>
  <si>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</si>
  <si>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</si>
  <si>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</si>
  <si>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</si>
  <si>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</si>
  <si>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</si>
  <si>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</si>
  <si>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</si>
  <si>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</si>
  <si>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</si>
  <si>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</si>
  <si>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</si>
  <si>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</si>
  <si>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</si>
  <si>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</si>
  <si>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</si>
  <si>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</si>
  <si>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</si>
  <si>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</si>
  <si>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</si>
  <si>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</si>
  <si>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</si>
  <si>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</si>
  <si>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</si>
  <si>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</si>
  <si>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</si>
  <si>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</si>
  <si>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</si>
  <si>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</si>
  <si>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</si>
  <si>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</si>
  <si>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</si>
  <si>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</si>
  <si>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</si>
  <si>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</si>
  <si>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</si>
  <si>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</si>
  <si>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</si>
  <si>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</si>
  <si>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</si>
  <si>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</si>
  <si>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</si>
  <si>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</si>
  <si>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</si>
  <si>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</si>
  <si>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</si>
  <si>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</si>
  <si>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</si>
  <si>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</si>
  <si>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</si>
  <si>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</si>
  <si>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</si>
  <si>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</si>
  <si>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</si>
  <si>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</si>
  <si>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</si>
  <si>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</si>
  <si>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</si>
  <si>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</si>
  <si>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</si>
  <si>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</si>
  <si>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</si>
  <si>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</si>
  <si>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</si>
  <si>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</si>
  <si>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</si>
  <si>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</si>
  <si>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</si>
  <si>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</si>
  <si>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</si>
  <si>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</si>
  <si>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</si>
  <si>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</si>
  <si>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</si>
  <si>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</si>
  <si>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</si>
  <si>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</si>
  <si>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</si>
  <si>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</si>
  <si>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</si>
  <si>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</si>
  <si>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</si>
  <si>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</si>
  <si>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</si>
  <si>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</si>
  <si>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</si>
  <si>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</si>
  <si>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</si>
  <si>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</si>
  <si>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</si>
  <si>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</si>
  <si>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</si>
  <si>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</si>
  <si>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</si>
  <si>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</si>
  <si>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</si>
  <si>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</si>
  <si>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</si>
  <si>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</si>
  <si>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</si>
  <si>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</si>
  <si>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</si>
  <si>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</si>
  <si>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</si>
  <si>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</si>
  <si>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</si>
  <si>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</si>
  <si>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</si>
  <si>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</si>
  <si>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</si>
  <si>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</si>
  <si>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</si>
  <si>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</si>
  <si>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</si>
  <si>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</si>
  <si>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</si>
  <si>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</si>
  <si>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</si>
  <si>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</si>
  <si>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</si>
  <si>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</si>
  <si>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</si>
  <si>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</si>
  <si>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</si>
  <si>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</si>
  <si>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</si>
  <si>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</si>
  <si>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</si>
  <si>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</si>
  <si>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</si>
  <si>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</si>
  <si>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</si>
  <si>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</si>
  <si>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</si>
  <si>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</si>
  <si>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</si>
  <si>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</si>
  <si>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</si>
  <si>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</si>
  <si>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</si>
  <si>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</si>
  <si>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</si>
  <si>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</si>
  <si>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</si>
  <si>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</si>
  <si>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</si>
  <si>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</si>
  <si>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</si>
  <si>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</si>
  <si>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</si>
  <si>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</si>
  <si>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</si>
  <si>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</si>
  <si>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</si>
  <si>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</si>
  <si>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</si>
  <si>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</si>
  <si>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</si>
  <si>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</si>
  <si>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</si>
  <si>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</si>
  <si>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</si>
  <si>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</si>
  <si>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</si>
  <si>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</si>
  <si>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</si>
  <si>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</si>
  <si>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</si>
  <si>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</si>
  <si>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</si>
  <si>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</si>
  <si>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</si>
  <si>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</si>
  <si>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</si>
  <si>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</si>
  <si>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</si>
  <si>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</si>
  <si>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</si>
  <si>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</si>
  <si>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</si>
  <si>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</si>
  <si>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</si>
  <si>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</si>
  <si>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</si>
  <si>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</si>
  <si>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</si>
  <si>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</si>
  <si>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</si>
  <si>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</si>
  <si>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</si>
  <si>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</si>
  <si>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</si>
  <si>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</si>
  <si>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</si>
  <si>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</si>
  <si>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</si>
  <si>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</si>
  <si>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</si>
  <si>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</si>
  <si>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</si>
  <si>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</si>
  <si>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</si>
  <si>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</si>
  <si>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</si>
  <si>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</si>
  <si>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</si>
  <si>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</si>
  <si>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</si>
  <si>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</si>
  <si>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</si>
  <si>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</si>
  <si>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</si>
  <si>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</si>
  <si>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</si>
  <si>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</si>
  <si>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</si>
  <si>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</si>
  <si>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</si>
  <si>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</si>
  <si>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</si>
  <si>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</si>
  <si>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</si>
  <si>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</si>
  <si>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</si>
  <si>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</si>
  <si>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</si>
  <si>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</si>
  <si>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</si>
  <si>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</si>
  <si>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</si>
  <si>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</si>
  <si>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</si>
  <si>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</si>
  <si>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</si>
  <si>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</si>
  <si>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</si>
  <si>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</si>
  <si>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</si>
  <si>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</si>
  <si>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</si>
  <si>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</si>
  <si>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</si>
  <si>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</si>
  <si>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</si>
  <si>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</si>
  <si>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</si>
  <si>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</si>
  <si>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</si>
  <si>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</si>
  <si>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</si>
  <si>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</si>
  <si>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</si>
  <si>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</si>
  <si>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</si>
  <si>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</si>
  <si>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</si>
  <si>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</si>
  <si>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</si>
  <si>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</si>
  <si>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</si>
  <si>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</si>
  <si>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</si>
  <si>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</si>
  <si>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</si>
  <si>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</si>
  <si>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</si>
  <si>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</si>
  <si>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</si>
  <si>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</si>
  <si>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</si>
  <si>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</si>
  <si>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</si>
  <si>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</si>
  <si>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</si>
  <si>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</si>
  <si>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</si>
  <si>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</si>
  <si>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</si>
  <si>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</si>
  <si>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</si>
  <si>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</si>
  <si>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</si>
  <si>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</si>
  <si>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</si>
  <si>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</si>
  <si>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</si>
  <si>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</si>
  <si>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</si>
  <si>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</si>
  <si>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</si>
  <si>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</si>
  <si>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</si>
  <si>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</si>
  <si>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</si>
  <si>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</si>
  <si>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</si>
  <si>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</si>
  <si>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</si>
  <si>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</si>
  <si>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</si>
  <si>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</si>
  <si>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</si>
  <si>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</si>
  <si>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</si>
  <si>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</si>
  <si>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</si>
  <si>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</si>
  <si>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</si>
  <si>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</si>
  <si>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</si>
  <si>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</si>
  <si>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</si>
  <si>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</si>
  <si>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</si>
  <si>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</si>
  <si>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</si>
  <si>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</si>
  <si>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</si>
  <si>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</si>
  <si>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</si>
  <si>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</si>
  <si>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</si>
  <si>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</si>
  <si>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</si>
  <si>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</si>
  <si>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</si>
  <si>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</si>
  <si>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</si>
  <si>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</si>
  <si>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</si>
  <si>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</si>
  <si>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</si>
  <si>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</si>
  <si>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</si>
  <si>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</si>
  <si>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</si>
  <si>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</si>
  <si>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</si>
  <si>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</si>
  <si>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</si>
  <si>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</si>
  <si>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</si>
  <si>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</si>
  <si>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</si>
  <si>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</si>
  <si>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</si>
  <si>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</si>
  <si>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</si>
  <si>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</si>
  <si>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</si>
  <si>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</si>
  <si>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</si>
  <si>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</si>
  <si>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</si>
  <si>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</si>
  <si>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</si>
  <si>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</si>
  <si>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</si>
  <si>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</si>
  <si>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</si>
  <si>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</si>
  <si>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</si>
  <si>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</si>
  <si>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</si>
  <si>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</si>
  <si>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</si>
  <si>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</si>
  <si>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</si>
  <si>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</si>
  <si>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</si>
  <si>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</si>
  <si>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</si>
  <si>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</si>
  <si>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</si>
  <si>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</si>
  <si>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</si>
  <si>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</si>
  <si>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</si>
  <si>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</si>
  <si>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</si>
  <si>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</si>
  <si>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</si>
  <si>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</si>
  <si>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</si>
  <si>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</si>
  <si>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</si>
  <si>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</si>
  <si>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</si>
  <si>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</si>
  <si>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</si>
  <si>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</si>
  <si>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</si>
  <si>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</si>
  <si>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</si>
  <si>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</si>
  <si>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</si>
  <si>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</si>
  <si>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</si>
  <si>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</si>
  <si>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</si>
  <si>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</si>
  <si>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</si>
  <si>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</si>
  <si>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</si>
  <si>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</si>
  <si>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</si>
  <si>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</si>
  <si>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</si>
  <si>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</si>
  <si>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</si>
  <si>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</si>
  <si>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</si>
  <si>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</si>
  <si>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</si>
  <si>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</si>
  <si>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</si>
  <si>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</si>
  <si>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</si>
  <si>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</si>
  <si>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</si>
  <si>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</si>
  <si>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</si>
  <si>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</si>
  <si>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</si>
  <si>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</si>
  <si>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</si>
  <si>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</si>
  <si>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</si>
  <si>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</si>
  <si>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</si>
  <si>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</si>
  <si>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</si>
  <si>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</si>
  <si>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</si>
  <si>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</si>
  <si>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</si>
  <si>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</si>
  <si>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</si>
  <si>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</si>
  <si>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</si>
  <si>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</si>
  <si>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</si>
  <si>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</si>
  <si>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</si>
  <si>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</si>
  <si>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</si>
  <si>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</si>
  <si>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</si>
  <si>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</si>
  <si>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</si>
  <si>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</si>
  <si>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</si>
  <si>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</si>
  <si>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</si>
  <si>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</si>
  <si>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</si>
  <si>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</si>
  <si>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</si>
  <si>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</si>
  <si>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</si>
  <si>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</si>
  <si>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</si>
  <si>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</si>
  <si>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</si>
  <si>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</si>
  <si>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</si>
  <si>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</si>
  <si>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</si>
  <si>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</si>
  <si>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</si>
  <si>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</si>
  <si>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</si>
  <si>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</si>
  <si>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</si>
  <si>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</si>
  <si>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</si>
  <si>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</si>
  <si>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</si>
  <si>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</si>
  <si>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</si>
  <si>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</si>
  <si>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</si>
  <si>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</si>
  <si>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</si>
  <si>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</si>
  <si>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</si>
  <si>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</si>
  <si>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</si>
  <si>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</si>
  <si>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</si>
  <si>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</si>
  <si>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</si>
  <si>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</si>
  <si>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</si>
  <si>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</si>
  <si>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</si>
  <si>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</si>
  <si>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</si>
  <si>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</si>
  <si>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</si>
  <si>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</si>
  <si>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</si>
  <si>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</si>
  <si>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</si>
  <si>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</si>
  <si>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</si>
  <si>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</si>
  <si>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</si>
  <si>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</si>
  <si>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</si>
  <si>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</si>
  <si>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</si>
  <si>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</si>
  <si>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</si>
  <si>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</si>
  <si>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</si>
  <si>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</si>
  <si>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</si>
  <si>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</si>
  <si>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</si>
  <si>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</si>
  <si>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</si>
  <si>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</si>
  <si>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</si>
  <si>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</si>
  <si>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</si>
  <si>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</si>
  <si>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</si>
  <si>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</si>
  <si>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</si>
  <si>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</si>
  <si>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</si>
  <si>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</si>
  <si>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</si>
  <si>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</si>
  <si>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</si>
  <si>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</si>
  <si>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</si>
  <si>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</si>
  <si>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</si>
  <si>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</si>
  <si>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</si>
  <si>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</si>
  <si>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</si>
  <si>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</si>
  <si>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</si>
  <si>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</si>
  <si>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</si>
  <si>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</si>
  <si>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</si>
  <si>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</si>
  <si>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</si>
  <si>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</si>
  <si>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</si>
  <si>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</si>
  <si>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</si>
  <si>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</si>
  <si>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</si>
  <si>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</si>
  <si>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</si>
  <si>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</si>
  <si>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</si>
  <si>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</si>
  <si>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</si>
  <si>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</si>
  <si>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</si>
  <si>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</si>
  <si>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</si>
  <si>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</si>
  <si>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</si>
  <si>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</si>
  <si>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</si>
  <si>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</si>
  <si>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</si>
  <si>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</si>
  <si>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</si>
  <si>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</si>
  <si>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</si>
  <si>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</si>
  <si>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</si>
  <si>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</si>
  <si>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</si>
  <si>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</si>
  <si>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</si>
  <si>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</si>
  <si>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</si>
  <si>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</si>
  <si>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</si>
  <si>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</si>
  <si>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</si>
  <si>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</si>
  <si>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</si>
  <si>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</si>
  <si>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</si>
  <si>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</si>
  <si>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</si>
  <si>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</si>
  <si>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</si>
  <si>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</si>
  <si>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</si>
  <si>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</si>
  <si>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</si>
  <si>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</si>
  <si>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</si>
  <si>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</si>
  <si>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</si>
  <si>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</si>
  <si>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</si>
  <si>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</si>
  <si>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</si>
  <si>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</si>
  <si>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</si>
  <si>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</si>
  <si>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</si>
  <si>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</si>
  <si>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</si>
  <si>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</si>
  <si>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</si>
  <si>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</si>
  <si>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</si>
  <si>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</si>
  <si>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</si>
  <si>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</si>
  <si>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</si>
  <si>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</si>
  <si>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</si>
  <si>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</si>
  <si>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</si>
  <si>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</si>
  <si>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</si>
  <si>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</si>
  <si>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</si>
  <si>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</si>
  <si>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</si>
  <si>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</si>
  <si>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</si>
  <si>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</si>
  <si>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</si>
  <si>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</si>
  <si>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</si>
  <si>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</si>
  <si>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</si>
  <si>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</si>
  <si>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</si>
  <si>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</si>
  <si>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</si>
  <si>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</si>
  <si>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</si>
  <si>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</si>
  <si>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</si>
  <si>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</si>
  <si>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</si>
  <si>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</si>
  <si>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</si>
  <si>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</si>
  <si>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</si>
  <si>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</si>
  <si>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</si>
  <si>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</si>
  <si>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</si>
  <si>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</si>
  <si>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</si>
  <si>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</si>
  <si>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</si>
  <si>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</si>
  <si>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</si>
  <si>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</si>
  <si>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</si>
  <si>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</si>
  <si>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</si>
  <si>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</si>
  <si>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</si>
  <si>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</si>
  <si>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</si>
  <si>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</si>
  <si>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</si>
  <si>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</si>
  <si>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</si>
  <si>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</si>
  <si>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</si>
  <si>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</si>
  <si>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</si>
  <si>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</si>
  <si>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</si>
  <si>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</si>
  <si>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</si>
  <si>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</si>
  <si>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</si>
  <si>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</si>
  <si>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</si>
  <si>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</si>
  <si>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</si>
  <si>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</si>
  <si>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</si>
  <si>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</si>
  <si>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</si>
  <si>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</si>
  <si>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</si>
  <si>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</si>
  <si>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</si>
  <si>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</si>
  <si>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</si>
  <si>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</si>
  <si>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</si>
  <si>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</si>
  <si>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</si>
  <si>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</si>
  <si>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</si>
  <si>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</si>
  <si>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</si>
  <si>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</si>
  <si>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</si>
  <si>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</si>
  <si>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</si>
  <si>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</si>
  <si>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</si>
  <si>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</si>
  <si>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</si>
  <si>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</si>
  <si>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</si>
  <si>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</si>
  <si>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</si>
  <si>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</si>
  <si>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</si>
  <si>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</si>
  <si>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</si>
  <si>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</si>
  <si>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</si>
  <si>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</si>
  <si>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</si>
  <si>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</si>
  <si>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</si>
  <si>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</si>
  <si>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</si>
  <si>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</si>
  <si>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</si>
  <si>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</si>
  <si>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</si>
  <si>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</si>
  <si>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</si>
  <si>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</si>
  <si>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</si>
  <si>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</si>
  <si>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</si>
  <si>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</si>
  <si>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</si>
  <si>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</si>
  <si>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</si>
  <si>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</si>
  <si>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</si>
  <si>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</si>
  <si>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</si>
  <si>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</si>
  <si>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</si>
  <si>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</si>
  <si>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</si>
  <si>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</si>
  <si>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</si>
  <si>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</si>
  <si>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</si>
  <si>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</si>
  <si>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</si>
  <si>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</si>
  <si>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</si>
  <si>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</si>
  <si>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</si>
  <si>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</si>
  <si>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</si>
  <si>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</si>
  <si>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</si>
  <si>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</si>
  <si>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</si>
  <si>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</si>
  <si>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</si>
  <si>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</si>
  <si>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</si>
  <si>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</si>
  <si>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</si>
  <si>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</si>
  <si>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</si>
  <si>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</si>
  <si>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</si>
  <si>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</si>
  <si>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</si>
  <si>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</si>
  <si>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</si>
  <si>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</si>
  <si>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</si>
  <si>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</si>
  <si>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</si>
  <si>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</si>
  <si>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</si>
  <si>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</si>
  <si>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</si>
  <si>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</si>
  <si>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</si>
  <si>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</si>
  <si>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</si>
  <si>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</si>
  <si>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</si>
  <si>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</si>
  <si>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</si>
  <si>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</si>
  <si>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</si>
  <si>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</si>
  <si>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</si>
  <si>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</si>
  <si>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</si>
  <si>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</si>
  <si>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</si>
  <si>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</si>
  <si>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</si>
  <si>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</si>
  <si>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</si>
  <si>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</si>
  <si>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</si>
  <si>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</si>
  <si>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</si>
  <si>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</si>
  <si>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</si>
  <si>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</si>
  <si>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</si>
  <si>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</si>
  <si>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</si>
  <si>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</si>
  <si>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</si>
  <si>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</si>
  <si>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</si>
  <si>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</si>
  <si>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</si>
  <si>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</si>
  <si>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</si>
  <si>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</si>
  <si>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</si>
  <si>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</si>
  <si>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</si>
  <si>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</si>
  <si>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</si>
  <si>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</si>
  <si>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</si>
  <si>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</si>
  <si>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</si>
  <si>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</si>
  <si>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</si>
  <si>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</si>
  <si>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</si>
  <si>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</si>
  <si>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</si>
  <si>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</si>
  <si>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</si>
  <si>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</si>
  <si>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</si>
  <si>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</si>
  <si>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</si>
  <si>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</si>
  <si>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</si>
  <si>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</si>
  <si>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</si>
  <si>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</si>
  <si>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</si>
  <si>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</si>
  <si>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</si>
  <si>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</si>
  <si>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</si>
  <si>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</si>
  <si>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</si>
  <si>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</si>
  <si>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</si>
  <si>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</si>
  <si>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</si>
  <si>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</si>
  <si>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</si>
  <si>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</si>
  <si>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</si>
  <si>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</si>
  <si>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</si>
  <si>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</si>
  <si>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</si>
  <si>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</si>
  <si>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</si>
  <si>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</si>
  <si>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</si>
  <si>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</si>
  <si>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</si>
  <si>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</si>
  <si>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</si>
  <si>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</si>
  <si>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</si>
  <si>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</si>
  <si>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</si>
  <si>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</si>
  <si>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</si>
  <si>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</si>
  <si>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</si>
  <si>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</si>
  <si>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</si>
  <si>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</si>
  <si>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</si>
  <si>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</si>
  <si>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</si>
  <si>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</si>
  <si>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</si>
  <si>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</si>
  <si>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</si>
  <si>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</si>
  <si>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</si>
  <si>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</si>
  <si>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</si>
  <si>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</si>
  <si>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</si>
  <si>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</si>
  <si>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</si>
  <si>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</si>
  <si>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</si>
  <si>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</si>
  <si>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</si>
  <si>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</si>
  <si>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</si>
  <si>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</si>
  <si>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</si>
  <si>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</si>
  <si>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</si>
  <si>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</si>
  <si>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</si>
  <si>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</si>
  <si>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</si>
  <si>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</si>
  <si>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</si>
  <si>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</si>
  <si>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</si>
  <si>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</si>
  <si>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</si>
  <si>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</si>
  <si>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</si>
  <si>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</si>
  <si>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</si>
  <si>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</si>
  <si>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</si>
  <si>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</si>
  <si>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</si>
  <si>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</si>
  <si>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</si>
  <si>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</si>
  <si>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</si>
  <si>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</si>
  <si>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</si>
  <si>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</si>
  <si>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</si>
  <si>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</si>
  <si>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</si>
  <si>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</si>
  <si>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</si>
  <si>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</si>
  <si>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</si>
  <si>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</si>
  <si>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</si>
  <si>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</si>
  <si>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</si>
  <si>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</si>
  <si>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</si>
  <si>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</si>
  <si>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</si>
  <si>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</si>
  <si>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</si>
  <si>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</si>
  <si>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</si>
  <si>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</si>
  <si>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</si>
  <si>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</si>
  <si>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</si>
  <si>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</si>
  <si>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</si>
  <si>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</si>
  <si>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</si>
  <si>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</si>
  <si>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</si>
  <si>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</si>
  <si>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</si>
  <si>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</si>
  <si>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</si>
  <si>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</si>
  <si>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</si>
  <si>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</si>
  <si>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</si>
  <si>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</si>
  <si>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</si>
  <si>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</si>
  <si>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</si>
  <si>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</si>
  <si>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</si>
  <si>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</si>
  <si>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</si>
  <si>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</si>
  <si>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</si>
  <si>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</si>
  <si>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</si>
  <si>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</si>
  <si>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</si>
  <si>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</si>
  <si>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</si>
  <si>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</si>
  <si>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</si>
  <si>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</si>
  <si>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</si>
  <si>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</si>
  <si>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</si>
  <si>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</si>
  <si>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</si>
  <si>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</si>
  <si>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</si>
  <si>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</si>
  <si>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</si>
  <si>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</si>
  <si>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</si>
  <si>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</si>
  <si>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</si>
  <si>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</si>
  <si>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</si>
  <si>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</si>
  <si>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</si>
  <si>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</si>
  <si>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</si>
  <si>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</si>
  <si>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</si>
  <si>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</si>
  <si>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</si>
  <si>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</si>
  <si>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</si>
  <si>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</si>
  <si>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</si>
  <si>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</si>
  <si>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</si>
  <si>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</si>
  <si>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</si>
  <si>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</si>
  <si>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</si>
  <si>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</si>
  <si>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</si>
  <si>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</si>
  <si>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</si>
  <si>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</si>
  <si>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</si>
  <si>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</si>
  <si>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</si>
  <si>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</si>
  <si>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</si>
  <si>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</si>
  <si>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</si>
  <si>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</si>
  <si>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</si>
  <si>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</si>
  <si>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</si>
  <si>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</si>
  <si>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</si>
  <si>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</si>
  <si>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</si>
  <si>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</si>
  <si>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</si>
  <si>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</si>
  <si>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</si>
  <si>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</si>
  <si>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</si>
  <si>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</si>
  <si>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</si>
  <si>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</si>
  <si>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</si>
  <si>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</si>
  <si>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</si>
  <si>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</si>
  <si>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</si>
  <si>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</si>
  <si>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</si>
  <si>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</si>
  <si>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</si>
  <si>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</si>
  <si>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</si>
  <si>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</si>
  <si>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</si>
  <si>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</si>
  <si>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</si>
  <si>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</si>
  <si>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</si>
  <si>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</si>
  <si>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</si>
  <si>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</si>
  <si>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</si>
  <si>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</si>
  <si>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</si>
  <si>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</si>
  <si>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</si>
  <si>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</si>
  <si>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</si>
  <si>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</si>
  <si>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</si>
  <si>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</si>
  <si>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</si>
  <si>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</si>
  <si>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</si>
  <si>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</si>
  <si>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</si>
  <si>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</si>
  <si>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</si>
  <si>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</si>
  <si>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</si>
  <si>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</si>
  <si>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</si>
  <si>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</si>
  <si>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</si>
  <si>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</si>
  <si>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</si>
  <si>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</si>
  <si>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</si>
  <si>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</si>
  <si>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</si>
  <si>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</si>
  <si>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</si>
  <si>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</si>
  <si>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</si>
  <si>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</si>
  <si>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</si>
  <si>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</si>
  <si>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</si>
  <si>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</si>
  <si>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</si>
  <si>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</si>
  <si>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</si>
  <si>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</si>
  <si>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</si>
  <si>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</si>
  <si>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</si>
  <si>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</si>
  <si>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</si>
  <si>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</si>
  <si>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</si>
  <si>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</si>
  <si>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</si>
  <si>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</si>
  <si>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</si>
  <si>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</si>
  <si>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</si>
  <si>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</si>
  <si>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</si>
  <si>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</si>
  <si>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</si>
  <si>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</si>
  <si>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</si>
  <si>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</si>
  <si>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</si>
  <si>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</si>
  <si>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</si>
  <si>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</si>
  <si>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</si>
  <si>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</si>
  <si>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</si>
  <si>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</si>
  <si>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</si>
  <si>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</si>
  <si>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</si>
  <si>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</si>
  <si>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</si>
  <si>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</si>
  <si>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</si>
  <si>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</si>
  <si>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</si>
  <si>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</si>
  <si>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</si>
  <si>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</si>
  <si>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</si>
  <si>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</si>
  <si>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</si>
  <si>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</si>
  <si>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</si>
  <si>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</si>
  <si>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</si>
  <si>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</si>
  <si>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</si>
  <si>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</si>
  <si>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</si>
  <si>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</si>
  <si>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</si>
  <si>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</si>
  <si>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</si>
  <si>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</si>
  <si>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</si>
  <si>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</si>
  <si>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</si>
  <si>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</si>
  <si>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</si>
  <si>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</si>
  <si>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</si>
  <si>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</si>
  <si>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</si>
  <si>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</si>
  <si>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</si>
  <si>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</si>
  <si>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</si>
  <si>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</si>
  <si>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</si>
  <si>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</si>
  <si>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</si>
  <si>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</si>
  <si>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</si>
  <si>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</si>
  <si>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</si>
  <si>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</si>
  <si>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</si>
  <si>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</si>
  <si>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</si>
  <si>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</si>
  <si>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</si>
  <si>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</si>
  <si>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</si>
  <si>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</si>
  <si>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</si>
  <si>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</si>
  <si>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</si>
  <si>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</si>
  <si>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</si>
  <si>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</si>
  <si>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</si>
  <si>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</si>
  <si>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</si>
  <si>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</si>
  <si>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</si>
  <si>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</si>
  <si>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</si>
  <si>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</si>
  <si>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</si>
  <si>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</si>
  <si>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</si>
  <si>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</si>
  <si>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</si>
  <si>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</si>
  <si>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</si>
  <si>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</si>
  <si>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</si>
  <si>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</si>
  <si>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</si>
  <si>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</si>
  <si>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</si>
  <si>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</si>
  <si>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</si>
  <si>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</si>
  <si>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</si>
  <si>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</si>
  <si>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</si>
  <si>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</si>
  <si>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</si>
  <si>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</si>
  <si>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</si>
  <si>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</si>
  <si>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</si>
  <si>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</si>
  <si>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</si>
  <si>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</si>
  <si>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</si>
  <si>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</si>
  <si>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</si>
  <si>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</si>
  <si>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</si>
  <si>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</si>
  <si>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</si>
  <si>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</si>
  <si>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</si>
  <si>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</si>
  <si>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</si>
  <si>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</si>
  <si>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</si>
  <si>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</si>
  <si>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</si>
  <si>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</si>
  <si>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</si>
  <si>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</si>
  <si>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</si>
  <si>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</si>
  <si>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</si>
  <si>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</si>
  <si>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</si>
  <si>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</si>
  <si>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</si>
  <si>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</si>
  <si>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</si>
  <si>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</si>
  <si>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</si>
  <si>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</si>
  <si>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</si>
  <si>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</si>
  <si>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</si>
  <si>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</si>
  <si>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</si>
  <si>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</si>
  <si>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</si>
  <si>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</si>
  <si>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</si>
  <si>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</si>
  <si>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</si>
  <si>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</si>
  <si>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</si>
  <si>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</si>
  <si>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</si>
  <si>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</si>
  <si>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</si>
  <si>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</si>
  <si>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</si>
  <si>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</si>
  <si>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</si>
  <si>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</si>
  <si>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</si>
  <si>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</si>
  <si>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</si>
  <si>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</si>
  <si>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</si>
  <si>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</si>
  <si>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</si>
  <si>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</si>
  <si>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</si>
  <si>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</si>
  <si>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</si>
  <si>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</si>
  <si>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</si>
  <si>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</si>
  <si>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</si>
  <si>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</si>
  <si>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</si>
  <si>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</si>
  <si>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</si>
  <si>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</si>
  <si>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</si>
  <si>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</si>
  <si>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</si>
  <si>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</si>
  <si>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</si>
  <si>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</si>
  <si>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</si>
  <si>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</si>
  <si>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</si>
  <si>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</si>
  <si>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</si>
  <si>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</si>
  <si>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</si>
  <si>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</si>
  <si>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</si>
  <si>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</si>
  <si>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</si>
  <si>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</si>
  <si>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</si>
  <si>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</si>
  <si>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</si>
  <si>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</si>
  <si>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</si>
  <si>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</si>
  <si>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</si>
  <si>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</si>
  <si>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</si>
  <si>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</si>
  <si>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</si>
  <si>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</si>
  <si>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</si>
  <si>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</si>
  <si>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</si>
  <si>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</si>
  <si>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</si>
  <si>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</si>
  <si>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</si>
  <si>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</si>
  <si>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</si>
  <si>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</si>
  <si>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</si>
  <si>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</si>
  <si>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</si>
  <si>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</si>
  <si>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</si>
  <si>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</si>
  <si>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</si>
  <si>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</si>
  <si>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</si>
  <si>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</si>
  <si>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</si>
  <si>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</si>
  <si>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</si>
  <si>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</si>
  <si>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</si>
  <si>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</si>
  <si>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</si>
  <si>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</si>
  <si>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</si>
  <si>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</si>
  <si>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</si>
  <si>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</si>
  <si>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</si>
  <si>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</si>
  <si>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</si>
  <si>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</si>
  <si>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</si>
  <si>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</si>
  <si>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</si>
  <si>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</si>
  <si>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</si>
  <si>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</si>
  <si>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</si>
  <si>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</si>
  <si>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</si>
  <si>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</si>
  <si>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</si>
  <si>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</si>
  <si>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</si>
  <si>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</si>
  <si>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</si>
  <si>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</si>
  <si>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</si>
  <si>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</si>
  <si>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</si>
  <si>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</si>
  <si>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</si>
  <si>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</si>
  <si>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</si>
  <si>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</si>
  <si>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</si>
  <si>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</si>
  <si>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</si>
  <si>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</si>
  <si>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</si>
  <si>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</si>
  <si>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</si>
  <si>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</si>
  <si>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</si>
  <si>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</si>
  <si>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</si>
  <si>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</si>
  <si>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</si>
  <si>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</si>
  <si>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</si>
  <si>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</si>
  <si>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</si>
  <si>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</si>
  <si>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</si>
  <si>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</si>
  <si>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</si>
  <si>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</si>
  <si>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</si>
  <si>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</si>
  <si>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</si>
  <si>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</si>
  <si>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</si>
  <si>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</si>
  <si>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</si>
  <si>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</si>
  <si>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</si>
  <si>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</si>
  <si>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</si>
  <si>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</si>
  <si>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</si>
  <si>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</si>
  <si>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</si>
  <si>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</si>
  <si>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</si>
  <si>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</si>
  <si>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</si>
  <si>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</si>
  <si>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</si>
  <si>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</si>
  <si>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</si>
  <si>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</si>
  <si>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</si>
  <si>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</si>
  <si>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</si>
  <si>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</si>
  <si>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</si>
  <si>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</si>
  <si>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</si>
  <si>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</si>
  <si>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</si>
  <si>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</si>
  <si>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</si>
  <si>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</si>
  <si>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</si>
  <si>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</si>
  <si>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</si>
  <si>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</si>
  <si>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</si>
  <si>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</si>
  <si>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</si>
  <si>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</si>
  <si>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</si>
  <si>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</si>
  <si>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</si>
  <si>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</si>
  <si>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</si>
  <si>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</si>
  <si>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</si>
  <si>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</si>
  <si>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</si>
  <si>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</si>
  <si>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</si>
  <si>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</si>
  <si>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</si>
  <si>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</si>
  <si>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</si>
  <si>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</si>
  <si>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</si>
  <si>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</si>
  <si>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</si>
  <si>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</si>
  <si>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</si>
  <si>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</si>
  <si>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</si>
  <si>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</si>
  <si>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</si>
  <si>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</si>
  <si>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</si>
  <si>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</si>
  <si>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</si>
  <si>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</si>
  <si>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</si>
  <si>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</si>
  <si>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</si>
  <si>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</si>
  <si>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</si>
  <si>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</si>
  <si>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</si>
  <si>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</si>
  <si>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</si>
  <si>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</si>
  <si>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</si>
  <si>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</si>
  <si>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</si>
  <si>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</si>
  <si>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</si>
  <si>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</si>
  <si>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</si>
  <si>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</si>
  <si>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</si>
  <si>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</si>
  <si>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</si>
  <si>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</si>
  <si>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</si>
  <si>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</si>
  <si>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</si>
  <si>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</si>
  <si>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</si>
  <si>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</si>
  <si>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</si>
  <si>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</si>
  <si>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</si>
  <si>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</si>
  <si>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</si>
  <si>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</si>
  <si>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</si>
  <si>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</si>
  <si>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</si>
  <si>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</si>
  <si>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</si>
  <si>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</si>
  <si>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</si>
  <si>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</si>
  <si>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</si>
  <si>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</si>
  <si>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</si>
  <si>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</si>
  <si>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</si>
  <si>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</si>
  <si>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</si>
  <si>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</si>
  <si>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</si>
  <si>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</si>
  <si>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</si>
  <si>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</si>
  <si>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</si>
  <si>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</si>
  <si>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</si>
  <si>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</si>
  <si>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</si>
  <si>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</si>
  <si>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</si>
  <si>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</si>
  <si>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</si>
  <si>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</si>
  <si>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</si>
  <si>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</si>
  <si>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</si>
  <si>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</si>
  <si>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</si>
  <si>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</si>
  <si>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</si>
  <si>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</si>
  <si>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</si>
  <si>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</si>
  <si>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</si>
  <si>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</si>
  <si>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</si>
  <si>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</si>
  <si>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</si>
  <si>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</si>
  <si>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</si>
  <si>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</si>
  <si>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</si>
  <si>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</si>
  <si>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</si>
  <si>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</si>
  <si>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</si>
  <si>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</si>
  <si>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</si>
  <si>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</si>
  <si>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</si>
  <si>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</si>
  <si>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</si>
  <si>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</si>
  <si>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</si>
  <si>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</si>
  <si>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</si>
  <si>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</si>
  <si>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</si>
  <si>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</si>
  <si>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</si>
  <si>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</si>
  <si>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</si>
  <si>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</si>
  <si>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</si>
  <si>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</si>
  <si>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</si>
  <si>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</si>
  <si>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</si>
  <si>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</si>
  <si>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</si>
  <si>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</si>
  <si>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</si>
  <si>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</si>
  <si>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</si>
  <si>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</si>
  <si>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</si>
  <si>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</si>
  <si>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</si>
  <si>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</si>
  <si>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</si>
  <si>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</si>
  <si>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</si>
  <si>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</si>
  <si>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</si>
  <si>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</si>
  <si>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</si>
  <si>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</si>
  <si>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</si>
  <si>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</si>
  <si>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</si>
  <si>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</si>
  <si>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</si>
  <si>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</si>
  <si>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</si>
  <si>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</si>
  <si>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</si>
  <si>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</si>
  <si>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</si>
  <si>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</si>
  <si>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</si>
  <si>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</si>
  <si>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</si>
  <si>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</si>
  <si>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</si>
  <si>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</si>
  <si>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</si>
  <si>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</si>
  <si>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</si>
  <si>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</si>
  <si>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</si>
  <si>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</si>
  <si>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</si>
  <si>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</si>
  <si>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</si>
  <si>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</si>
  <si>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</si>
  <si>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</si>
  <si>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</si>
  <si>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</si>
  <si>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</si>
  <si>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</si>
  <si>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</si>
  <si>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</si>
  <si>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</si>
  <si>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</si>
  <si>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</si>
  <si>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</si>
  <si>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</si>
  <si>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</si>
  <si>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</si>
  <si>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</si>
  <si>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</si>
  <si>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</si>
  <si>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</si>
  <si>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</si>
  <si>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</si>
  <si>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</si>
  <si>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</si>
  <si>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</si>
  <si>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</si>
  <si>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</si>
  <si>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</si>
  <si>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</si>
  <si>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</si>
  <si>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</si>
  <si>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</si>
  <si>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</si>
  <si>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</si>
  <si>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</si>
  <si>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</si>
  <si>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</si>
  <si>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</si>
  <si>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</si>
  <si>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</si>
  <si>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</si>
  <si>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</si>
  <si>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</si>
  <si>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</si>
  <si>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</si>
  <si>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</si>
  <si>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</si>
  <si>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</si>
  <si>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</si>
  <si>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</si>
  <si>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</si>
  <si>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</si>
  <si>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</si>
  <si>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</si>
  <si>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</si>
  <si>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</si>
  <si>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</si>
  <si>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</si>
  <si>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</si>
  <si>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</si>
  <si>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</si>
  <si>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</si>
  <si>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</si>
  <si>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</si>
  <si>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</si>
  <si>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</si>
  <si>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</si>
  <si>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</si>
  <si>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</si>
  <si>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</si>
  <si>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</si>
  <si>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</si>
  <si>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</si>
  <si>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</si>
  <si>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</si>
  <si>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</si>
  <si>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</si>
  <si>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</si>
  <si>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</si>
  <si>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</si>
  <si>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</si>
  <si>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</si>
  <si>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</si>
  <si>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</si>
  <si>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</si>
  <si>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</si>
  <si>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</si>
  <si>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</si>
  <si>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</si>
  <si>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</si>
  <si>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</si>
  <si>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</si>
  <si>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</si>
  <si>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</si>
  <si>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</si>
  <si>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</si>
  <si>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</si>
  <si>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</si>
  <si>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</si>
  <si>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</si>
  <si>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</si>
  <si>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</si>
  <si>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</si>
  <si>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</si>
  <si>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</si>
  <si>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</si>
  <si>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</si>
  <si>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</si>
  <si>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</si>
  <si>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</si>
  <si>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</si>
  <si>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</si>
  <si>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</si>
  <si>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</si>
  <si>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</si>
  <si>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</si>
  <si>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</si>
  <si>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</si>
  <si>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</si>
  <si>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</si>
  <si>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</si>
  <si>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</si>
  <si>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</si>
  <si>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</si>
  <si>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</si>
  <si>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</si>
  <si>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</si>
  <si>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</si>
  <si>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</si>
  <si>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</si>
  <si>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</si>
  <si>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</si>
  <si>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</si>
  <si>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</si>
  <si>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</si>
  <si>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</si>
  <si>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</si>
  <si>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</si>
  <si>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</si>
  <si>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</si>
  <si>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</si>
  <si>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</si>
  <si>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</si>
  <si>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</si>
  <si>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</si>
  <si>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</si>
  <si>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</si>
  <si>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</si>
  <si>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</si>
  <si>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</si>
  <si>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</si>
  <si>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</si>
  <si>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</si>
  <si>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</si>
  <si>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</si>
  <si>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</si>
  <si>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</si>
  <si>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</si>
  <si>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</si>
  <si>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</si>
  <si>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</si>
  <si>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</si>
  <si>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</si>
  <si>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</si>
  <si>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</si>
  <si>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</si>
  <si>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</si>
  <si>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</si>
  <si>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</si>
  <si>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</si>
  <si>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</si>
  <si>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</si>
  <si>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</si>
  <si>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</si>
  <si>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</si>
  <si>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</si>
  <si>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</si>
  <si>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</si>
  <si>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</si>
  <si>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</si>
  <si>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</si>
  <si>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</si>
  <si>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</si>
  <si>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</si>
  <si>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</si>
  <si>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</si>
  <si>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</si>
  <si>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</si>
  <si>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</si>
  <si>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</si>
  <si>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</si>
  <si>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</si>
  <si>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</si>
  <si>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</si>
  <si>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</si>
  <si>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</si>
  <si>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</si>
  <si>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</si>
  <si>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</si>
  <si>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</si>
  <si>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</si>
  <si>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</si>
  <si>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</si>
  <si>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</si>
  <si>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</si>
  <si>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</si>
  <si>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</si>
  <si>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</si>
  <si>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</si>
  <si>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</si>
  <si>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</si>
  <si>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</si>
  <si>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</si>
  <si>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</si>
  <si>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</si>
  <si>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</si>
  <si>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</si>
  <si>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</si>
  <si>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</si>
  <si>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</si>
  <si>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</si>
  <si>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</si>
  <si>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</si>
  <si>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</si>
  <si>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</si>
  <si>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</si>
  <si>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</si>
  <si>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</si>
  <si>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</si>
  <si>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</si>
  <si>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</si>
  <si>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</si>
  <si>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</si>
  <si>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</si>
  <si>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</si>
  <si>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</si>
  <si>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</si>
  <si>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</si>
  <si>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</si>
  <si>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</si>
  <si>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</si>
  <si>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</si>
  <si>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</si>
  <si>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</si>
  <si>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</si>
  <si>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</si>
  <si>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</si>
  <si>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</si>
  <si>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</si>
  <si>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</si>
  <si>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</si>
  <si>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</si>
  <si>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</si>
  <si>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</si>
  <si>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</si>
  <si>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</si>
  <si>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</si>
  <si>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</si>
  <si>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</si>
  <si>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</si>
  <si>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</si>
  <si>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</si>
  <si>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</si>
  <si>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</si>
  <si>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</si>
  <si>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</si>
  <si>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</si>
  <si>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</si>
  <si>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</si>
  <si>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</si>
  <si>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</si>
  <si>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</si>
  <si>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</si>
  <si>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</si>
  <si>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</si>
  <si>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</si>
  <si>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</si>
  <si>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</si>
  <si>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</si>
  <si>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</si>
  <si>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</si>
  <si>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</si>
  <si>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</si>
  <si>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</si>
  <si>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</si>
  <si>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</si>
  <si>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</si>
  <si>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</si>
  <si>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</si>
  <si>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</si>
  <si>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</si>
  <si>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</si>
  <si>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</si>
  <si>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</si>
  <si>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</si>
  <si>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</si>
  <si>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</si>
  <si>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</si>
  <si>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</si>
  <si>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</si>
  <si>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</si>
  <si>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</si>
  <si>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</si>
  <si>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</si>
  <si>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</si>
  <si>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</si>
  <si>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</si>
  <si>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</si>
  <si>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</si>
  <si>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</si>
  <si>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</si>
  <si>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</si>
  <si>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</si>
  <si>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</si>
  <si>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</si>
  <si>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</si>
  <si>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</si>
  <si>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</si>
  <si>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</si>
  <si>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</si>
  <si>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</si>
  <si>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</si>
  <si>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</si>
  <si>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</si>
  <si>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</si>
  <si>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</si>
  <si>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</si>
  <si>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</si>
  <si>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</si>
  <si>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</si>
  <si>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</si>
  <si>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</si>
  <si>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</si>
  <si>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</si>
  <si>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</si>
  <si>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</si>
  <si>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</si>
  <si>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</si>
  <si>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</si>
  <si>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</si>
  <si>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</si>
  <si>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</si>
  <si>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</si>
  <si>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</si>
  <si>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</si>
  <si>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</si>
  <si>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</si>
  <si>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</si>
  <si>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</si>
  <si>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</si>
  <si>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</si>
  <si>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</si>
  <si>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</si>
  <si>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</si>
  <si>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</si>
  <si>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</si>
  <si>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</si>
  <si>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</si>
  <si>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</si>
  <si>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</si>
  <si>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</si>
  <si>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</si>
  <si>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</si>
  <si>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</si>
  <si>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</si>
  <si>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</si>
  <si>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</si>
  <si>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</si>
  <si>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</si>
  <si>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</si>
  <si>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</si>
  <si>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</si>
  <si>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</si>
  <si>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</si>
  <si>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</si>
  <si>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</si>
  <si>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</si>
  <si>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</si>
  <si>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</si>
  <si>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</si>
  <si>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</si>
  <si>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</si>
  <si>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</si>
  <si>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</si>
  <si>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</si>
  <si>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</si>
  <si>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</si>
  <si>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</si>
  <si>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</si>
  <si>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</si>
  <si>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</si>
  <si>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</si>
  <si>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</si>
  <si>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</si>
  <si>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</si>
  <si>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</si>
  <si>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</si>
  <si>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</si>
  <si>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</si>
  <si>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</si>
  <si>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</si>
  <si>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</si>
  <si>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</si>
  <si>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</si>
  <si>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</si>
  <si>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</si>
  <si>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</si>
  <si>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</si>
  <si>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</si>
  <si>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</si>
  <si>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</si>
  <si>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</si>
  <si>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</si>
  <si>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</si>
  <si>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</si>
  <si>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</si>
  <si>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</si>
  <si>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</si>
  <si>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</si>
  <si>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</si>
  <si>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</si>
  <si>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</si>
  <si>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</si>
  <si>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</si>
  <si>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</si>
  <si>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</si>
  <si>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</si>
  <si>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</si>
  <si>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</si>
  <si>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</si>
  <si>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</si>
  <si>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</si>
  <si>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</si>
  <si>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</si>
  <si>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</si>
  <si>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</si>
  <si>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</si>
  <si>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</si>
  <si>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</si>
  <si>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</si>
  <si>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</si>
  <si>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</si>
  <si>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</si>
  <si>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</si>
  <si>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</si>
  <si>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</si>
  <si>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</si>
  <si>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</si>
  <si>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</si>
  <si>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</si>
  <si>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</si>
  <si>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</si>
  <si>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</si>
  <si>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</si>
  <si>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</si>
  <si>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</si>
  <si>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</si>
  <si>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</si>
  <si>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</si>
  <si>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</si>
  <si>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</si>
  <si>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</si>
  <si>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</si>
  <si>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</si>
  <si>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</si>
  <si>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</si>
  <si>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</si>
  <si>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</si>
  <si>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</si>
  <si>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</si>
  <si>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</si>
  <si>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</si>
  <si>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</si>
  <si>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</si>
  <si>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</si>
  <si>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</si>
  <si>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</si>
  <si>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</si>
  <si>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</si>
  <si>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</si>
  <si>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</si>
  <si>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</si>
  <si>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</si>
  <si>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</si>
  <si>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</si>
  <si>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</si>
  <si>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</si>
  <si>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</si>
  <si>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</si>
  <si>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</si>
  <si>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</si>
  <si>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</si>
  <si>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</si>
  <si>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</si>
  <si>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</si>
  <si>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</si>
  <si>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</si>
  <si>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</si>
  <si>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</si>
  <si>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</si>
  <si>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</si>
  <si>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</si>
  <si>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</si>
  <si>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</si>
  <si>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</si>
  <si>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</si>
  <si>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</si>
  <si>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</si>
  <si>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</si>
  <si>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</si>
  <si>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</si>
  <si>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</si>
  <si>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</si>
  <si>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</si>
  <si>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</si>
  <si>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</si>
  <si>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</si>
  <si>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</si>
  <si>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</si>
  <si>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</si>
  <si>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</si>
  <si>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</si>
  <si>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</si>
  <si>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</si>
  <si>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</si>
  <si>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</si>
  <si>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</si>
  <si>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</si>
  <si>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</si>
  <si>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</si>
  <si>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</si>
  <si>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</si>
  <si>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</si>
  <si>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</si>
  <si>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</si>
  <si>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</si>
  <si>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</si>
  <si>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</si>
  <si>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</si>
  <si>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</si>
  <si>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</si>
  <si>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</si>
  <si>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</si>
  <si>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</si>
  <si>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</si>
  <si>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</si>
  <si>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</si>
  <si>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</si>
  <si>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</si>
  <si>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</si>
  <si>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</si>
  <si>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</si>
  <si>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</si>
  <si>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</si>
  <si>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</si>
  <si>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</si>
  <si>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</si>
  <si>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</si>
  <si>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</si>
  <si>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</si>
  <si>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</si>
  <si>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</si>
  <si>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</si>
  <si>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</si>
  <si>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</si>
  <si>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</si>
  <si>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</si>
  <si>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</si>
  <si>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</si>
  <si>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</si>
  <si>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</si>
  <si>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</si>
  <si>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</si>
  <si>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</si>
  <si>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</si>
  <si>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</si>
  <si>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</si>
  <si>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</si>
  <si>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</si>
  <si>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</si>
  <si>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</si>
  <si>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</si>
  <si>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</si>
  <si>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</si>
  <si>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</si>
  <si>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</si>
  <si>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</si>
  <si>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</si>
  <si>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</si>
  <si>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</si>
  <si>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</si>
  <si>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</si>
  <si>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</si>
  <si>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</si>
  <si>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</si>
  <si>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</si>
  <si>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</si>
  <si>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</si>
  <si>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</si>
  <si>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</si>
  <si>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</si>
  <si>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</si>
  <si>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</si>
  <si>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</si>
  <si>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</si>
  <si>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</si>
  <si>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</si>
  <si>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</si>
  <si>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</si>
  <si>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</si>
  <si>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</si>
  <si>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</si>
  <si>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</si>
  <si>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</si>
  <si>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</si>
  <si>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</si>
  <si>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</si>
  <si>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</si>
  <si>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</si>
  <si>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</si>
  <si>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</si>
  <si>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</si>
  <si>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</si>
  <si>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</si>
  <si>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</si>
  <si>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</si>
  <si>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</si>
  <si>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</si>
  <si>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</si>
  <si>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</si>
  <si>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</si>
  <si>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</si>
  <si>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</si>
  <si>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</si>
  <si>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</si>
  <si>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</si>
  <si>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</si>
  <si>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</si>
  <si>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</si>
  <si>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</si>
  <si>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</si>
  <si>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</si>
  <si>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</si>
  <si>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</si>
  <si>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</si>
  <si>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</si>
  <si>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</si>
  <si>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</si>
  <si>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</si>
  <si>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</si>
  <si>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</si>
  <si>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</si>
  <si>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</si>
  <si>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</si>
  <si>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</si>
  <si>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</si>
  <si>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</si>
  <si>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</si>
  <si>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</si>
  <si>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</si>
  <si>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</si>
  <si>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</si>
  <si>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</si>
  <si>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</si>
  <si>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</si>
  <si>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</si>
  <si>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</si>
  <si>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</si>
  <si>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</si>
  <si>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</si>
  <si>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</si>
  <si>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</si>
  <si>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</si>
  <si>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</si>
  <si>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</si>
  <si>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</si>
  <si>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</si>
  <si>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</si>
  <si>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</si>
  <si>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</si>
  <si>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</si>
  <si>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</si>
  <si>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</si>
  <si>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</si>
  <si>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</si>
  <si>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</si>
  <si>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</si>
  <si>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</si>
  <si>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</si>
  <si>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</si>
  <si>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</si>
  <si>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</si>
  <si>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</si>
  <si>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</si>
  <si>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</si>
  <si>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</si>
  <si>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</si>
  <si>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</si>
  <si>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</si>
  <si>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</si>
  <si>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</si>
  <si>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</si>
  <si>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</si>
  <si>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</si>
  <si>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</si>
  <si>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</si>
  <si>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</si>
  <si>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</si>
  <si>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</si>
  <si>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</si>
  <si>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</si>
  <si>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</si>
  <si>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</si>
  <si>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</si>
  <si>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</si>
  <si>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</si>
  <si>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</si>
  <si>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</si>
  <si>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</si>
  <si>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</si>
  <si>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</si>
  <si>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</si>
  <si>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</si>
  <si>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</si>
  <si>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</si>
  <si>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</si>
  <si>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</si>
  <si>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</si>
  <si>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</si>
  <si>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</si>
  <si>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</si>
  <si>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</si>
  <si>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</si>
  <si>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</si>
  <si>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</si>
  <si>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</si>
  <si>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</si>
  <si>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</si>
  <si>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</si>
  <si>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</si>
  <si>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</si>
  <si>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</si>
  <si>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</si>
  <si>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</si>
  <si>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</si>
  <si>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</si>
  <si>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</si>
  <si>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</si>
  <si>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</si>
  <si>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</si>
  <si>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</si>
  <si>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</si>
  <si>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</si>
  <si>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</si>
  <si>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</si>
  <si>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</si>
  <si>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</si>
  <si>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</si>
  <si>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</si>
  <si>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</si>
  <si>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</si>
  <si>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</si>
  <si>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</si>
  <si>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</si>
  <si>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</si>
  <si>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</si>
  <si>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</si>
  <si>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</si>
  <si>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</si>
  <si>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</si>
  <si>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</si>
  <si>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</si>
  <si>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</si>
  <si>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</si>
  <si>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</si>
  <si>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</si>
  <si>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</si>
  <si>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</si>
  <si>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</si>
  <si>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</si>
  <si>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</si>
  <si>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</si>
  <si>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</si>
  <si>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</si>
  <si>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</si>
  <si>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</si>
  <si>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</si>
  <si>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</si>
  <si>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</si>
  <si>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</si>
  <si>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</si>
  <si>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</si>
  <si>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</si>
  <si>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</si>
  <si>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</si>
  <si>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</si>
  <si>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</si>
  <si>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</si>
  <si>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</si>
  <si>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</si>
  <si>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</si>
  <si>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</si>
  <si>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</si>
  <si>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</si>
  <si>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</si>
  <si>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</si>
  <si>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</si>
  <si>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</si>
  <si>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</si>
  <si>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</si>
  <si>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</si>
  <si>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</si>
  <si>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</si>
  <si>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</si>
  <si>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</si>
  <si>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</si>
  <si>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</si>
  <si>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</si>
  <si>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</si>
  <si>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</si>
  <si>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</si>
  <si>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</si>
  <si>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</si>
  <si>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</si>
  <si>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</si>
  <si>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</si>
  <si>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</si>
  <si>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</si>
  <si>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</si>
  <si>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</si>
  <si>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</si>
  <si>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</si>
  <si>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</si>
  <si>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</si>
  <si>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</si>
  <si>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</si>
  <si>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</si>
  <si>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</si>
  <si>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</si>
  <si>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</si>
  <si>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</si>
  <si>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</si>
  <si>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</si>
  <si>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</si>
  <si>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</si>
  <si>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</si>
  <si>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</si>
  <si>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</si>
  <si>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</si>
  <si>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</si>
  <si>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</si>
  <si>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</si>
  <si>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</si>
  <si>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</si>
  <si>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</si>
  <si>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</si>
  <si>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</si>
  <si>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</si>
  <si>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</si>
  <si>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</si>
  <si>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</si>
  <si>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</si>
  <si>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</si>
  <si>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</si>
  <si>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</si>
  <si>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</si>
  <si>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</si>
  <si>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</si>
  <si>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</si>
  <si>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</si>
  <si>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</si>
  <si>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</si>
  <si>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</si>
  <si>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</si>
  <si>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</si>
  <si>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</si>
  <si>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</si>
  <si>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</si>
  <si>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</si>
  <si>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</si>
  <si>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</si>
  <si>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</si>
  <si>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</si>
  <si>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</si>
  <si>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</si>
  <si>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</si>
  <si>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</si>
  <si>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</si>
  <si>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</si>
  <si>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</si>
  <si>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</si>
  <si>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</si>
  <si>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</si>
  <si>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</si>
  <si>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</si>
  <si>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</si>
  <si>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</si>
  <si>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</si>
  <si>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</si>
  <si>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</si>
  <si>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</si>
  <si>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</si>
  <si>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</si>
  <si>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</si>
  <si>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</si>
  <si>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</si>
  <si>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</si>
  <si>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</si>
  <si>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</si>
  <si>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</si>
  <si>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</si>
  <si>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</si>
  <si>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</si>
  <si>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</si>
  <si>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</si>
  <si>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</si>
  <si>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</si>
  <si>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</si>
  <si>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</si>
  <si>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</si>
  <si>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</si>
  <si>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</si>
  <si>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</si>
  <si>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</si>
  <si>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</si>
  <si>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</si>
  <si>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</si>
  <si>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</si>
  <si>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</si>
  <si>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</si>
  <si>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</si>
  <si>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</si>
  <si>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</si>
  <si>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</si>
  <si>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</si>
  <si>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</si>
  <si>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</si>
  <si>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</si>
  <si>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</si>
  <si>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</si>
  <si>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</si>
  <si>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</si>
  <si>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</si>
  <si>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</si>
  <si>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</si>
  <si>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</si>
  <si>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</si>
  <si>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</si>
  <si>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</si>
  <si>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</si>
  <si>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</si>
  <si>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</si>
  <si>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</si>
  <si>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</si>
  <si>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</si>
  <si>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</si>
  <si>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</si>
  <si>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</si>
  <si>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</si>
  <si>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</si>
  <si>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</si>
  <si>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</si>
  <si>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</si>
  <si>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</si>
  <si>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</si>
  <si>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</si>
  <si>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</si>
  <si>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</si>
  <si>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</si>
  <si>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</si>
  <si>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</si>
  <si>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</si>
  <si>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</si>
  <si>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</si>
  <si>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</si>
  <si>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</si>
  <si>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</si>
  <si>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</si>
  <si>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</si>
  <si>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</si>
  <si>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</si>
  <si>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</si>
  <si>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</si>
  <si>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</si>
  <si>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</si>
  <si>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</si>
  <si>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</si>
  <si>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</si>
  <si>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</si>
  <si>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</si>
  <si>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</si>
  <si>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</si>
  <si>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</si>
  <si>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</si>
  <si>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</si>
  <si>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</si>
  <si>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</si>
  <si>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</si>
  <si>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</si>
  <si>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</si>
  <si>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</si>
  <si>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</si>
  <si>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</si>
  <si>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</si>
  <si>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</si>
  <si>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</si>
  <si>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</si>
  <si>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</si>
  <si>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</si>
  <si>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</si>
  <si>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</si>
  <si>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</si>
  <si>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</si>
  <si>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</si>
  <si>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</si>
  <si>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</si>
  <si>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</si>
  <si>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</si>
  <si>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</si>
  <si>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</si>
  <si>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</si>
  <si>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</si>
  <si>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</si>
  <si>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</si>
  <si>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</si>
  <si>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</si>
  <si>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</si>
  <si>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</si>
  <si>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</si>
  <si>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</si>
  <si>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</si>
  <si>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</si>
  <si>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</si>
  <si>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</si>
  <si>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</si>
  <si>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</si>
  <si>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</si>
  <si>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</si>
  <si>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</si>
  <si>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</si>
  <si>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</si>
  <si>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</si>
  <si>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</si>
  <si>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</si>
  <si>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</si>
  <si>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</si>
  <si>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</si>
  <si>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</si>
  <si>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</si>
  <si>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</si>
  <si>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</si>
  <si>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</si>
  <si>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</si>
  <si>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</si>
  <si>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</si>
  <si>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</si>
  <si>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</si>
  <si>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</si>
  <si>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</si>
  <si>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</si>
  <si>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</si>
  <si>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</si>
  <si>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</si>
  <si>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</si>
  <si>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</si>
  <si>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</si>
  <si>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</si>
  <si>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</si>
  <si>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</si>
  <si>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</si>
  <si>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</si>
  <si>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</si>
  <si>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</si>
  <si>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</si>
  <si>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</si>
  <si>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</si>
  <si>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</si>
  <si>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</si>
  <si>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</si>
  <si>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</si>
  <si>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</si>
  <si>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</si>
  <si>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</si>
  <si>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</si>
  <si>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</si>
  <si>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</si>
  <si>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</si>
  <si>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</si>
  <si>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</si>
  <si>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</si>
  <si>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</si>
  <si>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</si>
  <si>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</si>
  <si>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</si>
  <si>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</si>
  <si>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</si>
  <si>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</si>
  <si>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</si>
  <si>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</si>
  <si>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</si>
  <si>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</si>
  <si>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</si>
  <si>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</si>
  <si>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</si>
  <si>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</si>
  <si>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</si>
  <si>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</si>
  <si>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</si>
  <si>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</si>
  <si>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</si>
  <si>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</si>
  <si>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</si>
  <si>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</si>
  <si>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</si>
  <si>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</si>
  <si>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</si>
  <si>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</si>
  <si>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</si>
  <si>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</si>
  <si>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</si>
  <si>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</si>
  <si>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</si>
  <si>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</si>
  <si>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</si>
  <si>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</si>
  <si>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</si>
  <si>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</si>
  <si>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</si>
  <si>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</si>
  <si>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</si>
  <si>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</si>
  <si>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</si>
  <si>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</si>
  <si>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</si>
  <si>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</si>
  <si>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</si>
  <si>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</si>
  <si>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</si>
  <si>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</si>
  <si>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</si>
  <si>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</si>
  <si>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</si>
  <si>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</si>
  <si>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</si>
  <si>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</si>
  <si>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</si>
  <si>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</si>
  <si>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</si>
  <si>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</si>
  <si>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</si>
  <si>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</si>
  <si>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</si>
  <si>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</si>
  <si>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</si>
  <si>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</si>
  <si>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</si>
  <si>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</si>
  <si>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</si>
  <si>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</si>
  <si>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</si>
  <si>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</si>
  <si>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</si>
  <si>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</si>
  <si>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</si>
  <si>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</si>
  <si>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</si>
  <si>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</si>
  <si>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</si>
  <si>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</si>
  <si>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</si>
  <si>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</si>
  <si>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</si>
  <si>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</si>
  <si>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</si>
  <si>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</si>
  <si>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</si>
  <si>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</si>
  <si>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</si>
  <si>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</si>
  <si>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</si>
  <si>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</si>
  <si>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</si>
  <si>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</si>
  <si>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</si>
  <si>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</si>
  <si>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</si>
  <si>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</si>
  <si>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</si>
  <si>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</si>
  <si>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</si>
  <si>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</si>
  <si>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</si>
  <si>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</si>
  <si>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</si>
  <si>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</si>
  <si>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</si>
  <si>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</si>
  <si>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</si>
  <si>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</si>
  <si>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</si>
  <si>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</si>
  <si>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</si>
  <si>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</si>
  <si>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</si>
  <si>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</si>
  <si>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</si>
  <si>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</si>
  <si>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</si>
  <si>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</si>
  <si>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</si>
  <si>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</si>
  <si>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</si>
  <si>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</si>
  <si>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</si>
  <si>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</si>
  <si>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</si>
  <si>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</si>
  <si>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</si>
  <si>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</si>
  <si>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</si>
  <si>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</si>
  <si>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</si>
  <si>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</si>
  <si>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</si>
  <si>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</si>
  <si>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</si>
  <si>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</si>
  <si>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</si>
  <si>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</si>
  <si>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</si>
  <si>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</si>
  <si>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</si>
  <si>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</si>
  <si>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</si>
  <si>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</si>
  <si>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</si>
  <si>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</si>
  <si>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</si>
  <si>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</si>
  <si>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</si>
  <si>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</si>
  <si>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</si>
  <si>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</si>
  <si>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</si>
  <si>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</si>
  <si>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</si>
  <si>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</si>
  <si>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</si>
  <si>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</si>
  <si>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</si>
  <si>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</si>
  <si>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</si>
  <si>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</si>
  <si>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</si>
  <si>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</si>
  <si>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</si>
  <si>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</si>
  <si>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</si>
  <si>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</si>
  <si>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</si>
  <si>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</si>
  <si>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</si>
  <si>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</si>
  <si>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</si>
  <si>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</si>
  <si>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</si>
  <si>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</si>
  <si>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</si>
  <si>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</si>
  <si>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</si>
  <si>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</si>
  <si>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</si>
  <si>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</si>
  <si>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</si>
  <si>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</si>
  <si>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</si>
  <si>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</si>
  <si>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</si>
  <si>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</si>
  <si>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</si>
  <si>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</si>
  <si>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</si>
  <si>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</si>
  <si>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</si>
  <si>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</si>
  <si>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</si>
  <si>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</si>
  <si>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</si>
  <si>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</si>
  <si>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</si>
  <si>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</si>
  <si>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</si>
  <si>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</si>
  <si>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</si>
  <si>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</si>
  <si>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</si>
  <si>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</si>
  <si>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</si>
  <si>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</si>
  <si>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</si>
  <si>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</si>
  <si>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</si>
  <si>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</si>
  <si>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</si>
  <si>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</si>
  <si>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</si>
  <si>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</si>
  <si>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</si>
  <si>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</si>
  <si>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</si>
  <si>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</si>
  <si>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</si>
  <si>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</si>
  <si>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</si>
  <si>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</si>
  <si>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</si>
  <si>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</si>
  <si>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</si>
  <si>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</si>
  <si>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</si>
  <si>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</si>
  <si>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</si>
  <si>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</si>
  <si>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</si>
  <si>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</si>
  <si>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</si>
  <si>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</si>
  <si>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</si>
  <si>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</si>
  <si>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</si>
  <si>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</si>
  <si>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</si>
  <si>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</si>
  <si>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</si>
  <si>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</si>
  <si>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</si>
  <si>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</si>
  <si>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</si>
  <si>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</si>
  <si>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</si>
  <si>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</si>
  <si>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</si>
  <si>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</si>
  <si>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</si>
  <si>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</si>
  <si>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</si>
  <si>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</si>
  <si>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</si>
  <si>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</si>
  <si>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</si>
  <si>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</si>
  <si>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</si>
  <si>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</si>
  <si>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</si>
  <si>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</si>
  <si>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</si>
  <si>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</si>
  <si>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</si>
  <si>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</si>
  <si>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</si>
  <si>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</si>
  <si>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</si>
  <si>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</si>
  <si>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</si>
  <si>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</si>
  <si>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</si>
  <si>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</si>
  <si>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</si>
  <si>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</si>
  <si>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</si>
  <si>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</si>
  <si>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</si>
  <si>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</si>
  <si>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</si>
  <si>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</si>
  <si>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</si>
  <si>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</si>
  <si>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</si>
  <si>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</si>
  <si>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</si>
  <si>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</si>
  <si>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</si>
  <si>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</si>
  <si>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</si>
  <si>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</si>
  <si>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</si>
  <si>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</si>
  <si>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</si>
  <si>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</si>
  <si>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</si>
  <si>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</si>
  <si>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</si>
  <si>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</si>
  <si>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</si>
  <si>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</si>
  <si>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</si>
  <si>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</si>
  <si>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</si>
  <si>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</si>
  <si>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</si>
  <si>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</si>
  <si>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</si>
  <si>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</si>
  <si>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</si>
  <si>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</si>
  <si>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</si>
  <si>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</si>
  <si>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</si>
  <si>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</si>
  <si>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</si>
  <si>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</si>
  <si>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</si>
  <si>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</si>
  <si>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</si>
  <si>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</si>
  <si>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</si>
  <si>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</si>
  <si>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</si>
  <si>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</si>
  <si>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</si>
  <si>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</si>
  <si>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</si>
  <si>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</si>
  <si>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</si>
  <si>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</si>
  <si>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</si>
  <si>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</si>
  <si>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</si>
  <si>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</si>
  <si>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</si>
  <si>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</si>
  <si>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</si>
  <si>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</si>
  <si>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</si>
  <si>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</si>
  <si>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</si>
  <si>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</si>
  <si>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</si>
  <si>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</si>
  <si>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</si>
  <si>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</si>
  <si>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</si>
  <si>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</si>
  <si>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</si>
  <si>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</si>
  <si>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</si>
  <si>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</si>
  <si>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</si>
  <si>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</si>
  <si>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</si>
  <si>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</si>
  <si>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</si>
  <si>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</si>
  <si>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</si>
  <si>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</si>
  <si>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</si>
  <si>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</si>
  <si>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</si>
  <si>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</si>
  <si>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</si>
  <si>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</si>
  <si>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</si>
  <si>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</si>
  <si>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</si>
  <si>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</si>
  <si>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</si>
  <si>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</si>
  <si>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</si>
  <si>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</si>
  <si>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</si>
  <si>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</si>
  <si>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</si>
  <si>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</si>
  <si>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</si>
  <si>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</si>
  <si>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</si>
  <si>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</si>
  <si>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</si>
  <si>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</si>
  <si>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</si>
  <si>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</si>
  <si>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</si>
  <si>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</si>
  <si>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</si>
  <si>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</si>
  <si>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</si>
  <si>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</si>
  <si>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</si>
  <si>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</si>
  <si>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</si>
  <si>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</si>
  <si>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</si>
  <si>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</si>
  <si>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</si>
  <si>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</si>
  <si>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</si>
  <si>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</si>
  <si>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</si>
  <si>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</si>
  <si>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</si>
  <si>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</si>
  <si>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</si>
  <si>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</si>
  <si>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</si>
  <si>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</si>
  <si>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</si>
  <si>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</si>
  <si>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</si>
  <si>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</si>
  <si>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</si>
  <si>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</si>
  <si>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</si>
  <si>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</si>
  <si>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</si>
  <si>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</si>
  <si>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</si>
  <si>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</si>
  <si>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</si>
  <si>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</si>
  <si>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</si>
  <si>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</si>
  <si>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</si>
  <si>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</si>
  <si>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</si>
  <si>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</si>
  <si>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</si>
  <si>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</si>
  <si>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</si>
  <si>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</si>
  <si>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</si>
  <si>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</si>
  <si>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</si>
  <si>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</si>
  <si>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</si>
  <si>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</si>
  <si>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</si>
  <si>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</si>
  <si>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</si>
  <si>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</si>
  <si>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</si>
  <si>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</si>
  <si>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</si>
  <si>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</si>
  <si>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</si>
  <si>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</si>
  <si>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</si>
  <si>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</si>
  <si>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</si>
  <si>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</si>
  <si>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</si>
  <si>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</si>
  <si>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</si>
  <si>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</si>
  <si>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</si>
  <si>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</si>
  <si>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</si>
  <si>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</si>
  <si>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</si>
  <si>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</si>
  <si>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</si>
  <si>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</si>
  <si>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</si>
  <si>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</si>
  <si>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</si>
  <si>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</si>
  <si>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</si>
  <si>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</si>
  <si>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</si>
  <si>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</si>
  <si>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</si>
  <si>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</si>
  <si>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</si>
  <si>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</si>
  <si>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</si>
  <si>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</si>
  <si>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</si>
  <si>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</si>
  <si>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</si>
  <si>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</si>
  <si>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</si>
  <si>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</si>
  <si>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</si>
  <si>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</si>
  <si>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</si>
  <si>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</si>
  <si>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</si>
  <si>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</si>
  <si>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</si>
  <si>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</si>
  <si>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</si>
  <si>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</si>
  <si>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</si>
  <si>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</si>
  <si>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</si>
  <si>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</si>
  <si>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</si>
  <si>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</si>
  <si>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</si>
  <si>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</si>
  <si>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</si>
  <si>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</si>
  <si>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</si>
  <si>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</si>
  <si>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</si>
  <si>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</si>
  <si>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</si>
  <si>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</si>
  <si>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</si>
  <si>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</si>
  <si>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</si>
  <si>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</si>
  <si>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</si>
  <si>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</si>
  <si>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</si>
  <si>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</si>
  <si>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</si>
  <si>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</si>
  <si>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</si>
  <si>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</si>
  <si>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</si>
  <si>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</si>
  <si>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</si>
  <si>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</si>
  <si>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</si>
  <si>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</si>
  <si>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</si>
  <si>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</si>
  <si>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</si>
  <si>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</si>
  <si>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</si>
  <si>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</si>
  <si>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</si>
  <si>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</si>
  <si>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</si>
  <si>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</si>
  <si>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</si>
  <si>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</si>
  <si>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</si>
  <si>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</si>
  <si>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</si>
  <si>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</si>
  <si>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</si>
  <si>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</si>
  <si>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</si>
  <si>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</si>
  <si>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</si>
  <si>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</si>
  <si>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</si>
  <si>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</si>
  <si>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</si>
  <si>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</si>
  <si>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</si>
  <si>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</si>
  <si>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</si>
  <si>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</si>
  <si>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</si>
  <si>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</si>
  <si>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</si>
  <si>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</si>
  <si>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</si>
  <si>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</si>
  <si>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</si>
  <si>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</si>
  <si>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</si>
  <si>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</si>
  <si>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</si>
  <si>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</si>
  <si>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</si>
  <si>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</si>
  <si>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</si>
  <si>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</si>
  <si>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</si>
  <si>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</si>
  <si>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</si>
  <si>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</si>
  <si>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</si>
  <si>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</si>
  <si>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</si>
  <si>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</si>
  <si>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</si>
  <si>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</si>
  <si>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</si>
  <si>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</si>
  <si>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</si>
  <si>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</si>
  <si>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</si>
  <si>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</si>
  <si>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</si>
  <si>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</si>
  <si>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</si>
  <si>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</si>
  <si>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</si>
  <si>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</si>
  <si>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</si>
  <si>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</si>
  <si>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</si>
  <si>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</si>
  <si>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</si>
  <si>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</si>
  <si>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</si>
  <si>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</si>
  <si>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</si>
  <si>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</si>
  <si>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</si>
  <si>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</si>
  <si>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</si>
  <si>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</si>
  <si>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</si>
  <si>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</si>
  <si>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</si>
  <si>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</si>
  <si>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</si>
  <si>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</si>
  <si>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</si>
  <si>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</si>
  <si>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</si>
  <si>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</si>
  <si>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</si>
  <si>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</si>
  <si>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</si>
  <si>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</si>
  <si>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</si>
  <si>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</si>
  <si>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</si>
  <si>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</si>
  <si>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</si>
  <si>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</si>
  <si>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</si>
  <si>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</si>
  <si>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</si>
  <si>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</si>
  <si>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</si>
  <si>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</si>
  <si>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</si>
  <si>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</si>
  <si>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</si>
  <si>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</si>
  <si>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</si>
  <si>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</si>
  <si>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</si>
  <si>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</si>
  <si>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</si>
  <si>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</si>
  <si>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</si>
  <si>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</si>
  <si>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</si>
  <si>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</si>
  <si>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</si>
  <si>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</si>
  <si>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</si>
  <si>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</si>
  <si>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</si>
  <si>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</si>
  <si>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</si>
  <si>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</si>
  <si>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</si>
  <si>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</si>
  <si>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</si>
  <si>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</si>
  <si>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</si>
  <si>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</si>
  <si>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</si>
  <si>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</si>
  <si>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</si>
  <si>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</si>
  <si>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</si>
  <si>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</si>
  <si>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</si>
  <si>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</si>
  <si>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</si>
  <si>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</si>
  <si>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</si>
  <si>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</si>
  <si>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</si>
  <si>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</si>
  <si>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</si>
  <si>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</si>
  <si>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</si>
  <si>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</si>
  <si>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</si>
  <si>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</si>
  <si>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</si>
  <si>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</si>
  <si>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</si>
  <si>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</si>
  <si>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</si>
  <si>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</si>
  <si>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</si>
  <si>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</si>
  <si>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</si>
  <si>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</si>
  <si>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</si>
  <si>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</si>
  <si>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</si>
  <si>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</si>
  <si>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</si>
  <si>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</si>
  <si>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</si>
  <si>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</si>
  <si>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</si>
  <si>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</si>
  <si>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</si>
  <si>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</si>
  <si>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</si>
  <si>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</si>
  <si>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</si>
  <si>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</si>
  <si>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</si>
  <si>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</si>
  <si>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</si>
  <si>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</si>
  <si>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</si>
  <si>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</si>
  <si>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</si>
  <si>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</si>
  <si>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</si>
  <si>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</si>
  <si>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</si>
  <si>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</si>
  <si>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</si>
  <si>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</si>
  <si>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</si>
  <si>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</si>
  <si>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</si>
  <si>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</si>
  <si>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</si>
  <si>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</si>
  <si>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</si>
  <si>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</si>
  <si>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</si>
  <si>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</si>
  <si>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</si>
  <si>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</si>
  <si>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</si>
  <si>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</si>
  <si>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</si>
  <si>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</si>
  <si>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</si>
  <si>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</si>
  <si>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</si>
  <si>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</si>
  <si>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</si>
  <si>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</si>
  <si>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</si>
  <si>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</si>
  <si>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</si>
  <si>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</si>
  <si>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</si>
  <si>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</si>
  <si>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</si>
  <si>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</si>
  <si>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</si>
  <si>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</si>
  <si>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</si>
  <si>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</si>
  <si>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</si>
  <si>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</si>
  <si>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</si>
  <si>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</si>
  <si>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</si>
  <si>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</si>
  <si>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</si>
  <si>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</si>
  <si>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</si>
  <si>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</si>
  <si>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</si>
  <si>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</si>
  <si>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</si>
  <si>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</si>
  <si>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</si>
  <si>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</si>
  <si>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</si>
  <si>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</si>
  <si>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</si>
  <si>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</si>
  <si>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</si>
  <si>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</si>
  <si>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</si>
  <si>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</si>
  <si>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</si>
  <si>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</si>
  <si>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</si>
  <si>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</si>
  <si>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</si>
  <si>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</si>
  <si>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</si>
  <si>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</si>
  <si>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</si>
  <si>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</si>
  <si>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</si>
  <si>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</si>
  <si>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</si>
  <si>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</si>
  <si>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</si>
  <si>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</si>
  <si>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</si>
  <si>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</si>
  <si>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</si>
  <si>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</si>
  <si>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</si>
  <si>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</si>
  <si>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</si>
  <si>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</si>
  <si>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</si>
  <si>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</si>
  <si>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</si>
  <si>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</si>
  <si>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</si>
  <si>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</si>
  <si>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</si>
  <si>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</si>
  <si>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</si>
  <si>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</si>
  <si>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</si>
  <si>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</si>
  <si>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</si>
  <si>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</si>
  <si>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</si>
  <si>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</si>
  <si>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</si>
  <si>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</si>
  <si>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</si>
  <si>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</si>
  <si>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</si>
  <si>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</si>
  <si>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</si>
  <si>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</si>
  <si>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</si>
  <si>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</si>
  <si>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</si>
  <si>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</si>
  <si>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</si>
  <si>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</si>
  <si>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</si>
  <si>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</si>
  <si>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</si>
  <si>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</si>
  <si>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</si>
  <si>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</si>
  <si>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</si>
  <si>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</si>
  <si>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</si>
  <si>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</si>
  <si>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</si>
  <si>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</si>
  <si>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</si>
  <si>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</si>
  <si>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</si>
  <si>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</si>
  <si>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</si>
  <si>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</si>
  <si>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</si>
  <si>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</si>
  <si>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</si>
  <si>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</si>
  <si>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</si>
  <si>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</si>
  <si>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</si>
  <si>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</si>
  <si>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</si>
  <si>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</si>
  <si>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</si>
  <si>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</si>
  <si>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</si>
  <si>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</si>
  <si>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</si>
  <si>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</si>
  <si>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</si>
  <si>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</si>
  <si>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</si>
  <si>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</si>
  <si>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</si>
  <si>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</si>
  <si>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</si>
  <si>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</si>
  <si>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</si>
  <si>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</si>
  <si>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</si>
  <si>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</si>
  <si>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</si>
  <si>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</si>
  <si>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</si>
  <si>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</si>
  <si>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</si>
  <si>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</si>
  <si>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</si>
  <si>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</si>
  <si>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</si>
  <si>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</si>
  <si>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</si>
  <si>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</si>
  <si>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</si>
  <si>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</si>
  <si>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</si>
  <si>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</si>
  <si>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</si>
  <si>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</si>
  <si>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</si>
  <si>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</si>
  <si>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</si>
  <si>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</si>
  <si>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</si>
  <si>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</si>
  <si>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</si>
  <si>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</si>
  <si>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</si>
  <si>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</si>
  <si>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</si>
  <si>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</si>
  <si>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</si>
  <si>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</si>
  <si>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</si>
  <si>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</si>
  <si>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</si>
  <si>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</si>
  <si>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</si>
  <si>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</si>
  <si>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</si>
  <si>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</si>
  <si>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</si>
  <si>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</si>
  <si>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</si>
  <si>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</si>
  <si>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</si>
  <si>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</si>
  <si>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</si>
  <si>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</si>
  <si>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</si>
  <si>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</si>
  <si>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</si>
  <si>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</si>
  <si>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</si>
  <si>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</si>
  <si>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</si>
  <si>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</si>
  <si>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</si>
  <si>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</si>
  <si>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</si>
  <si>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</si>
  <si>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</si>
  <si>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</si>
  <si>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</si>
  <si>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</si>
  <si>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</si>
  <si>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</si>
  <si>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</si>
  <si>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</si>
  <si>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</si>
  <si>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</si>
  <si>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</si>
  <si>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</si>
  <si>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</si>
  <si>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</si>
  <si>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</si>
  <si>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</si>
  <si>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</si>
  <si>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</si>
  <si>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</si>
  <si>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</si>
  <si>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</si>
  <si>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</si>
  <si>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</si>
  <si>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</si>
  <si>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</si>
  <si>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</si>
  <si>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</si>
  <si>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</si>
  <si>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</si>
  <si>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</si>
  <si>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</si>
  <si>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</si>
  <si>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</si>
  <si>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</si>
  <si>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</si>
  <si>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</si>
  <si>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</si>
  <si>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</si>
  <si>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</si>
  <si>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</si>
  <si>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</si>
  <si>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</si>
  <si>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</si>
  <si>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</si>
  <si>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</si>
  <si>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</si>
  <si>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</si>
  <si>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</si>
  <si>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</si>
  <si>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</si>
  <si>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</si>
  <si>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</si>
  <si>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</si>
  <si>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</si>
  <si>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</si>
  <si>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</si>
  <si>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</si>
  <si>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</si>
  <si>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</si>
  <si>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</si>
  <si>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</si>
  <si>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</si>
  <si>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</si>
  <si>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</si>
  <si>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</si>
  <si>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</si>
  <si>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</si>
  <si>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</si>
  <si>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</si>
  <si>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</si>
  <si>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</si>
  <si>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</si>
  <si>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</si>
  <si>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</si>
  <si>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</si>
  <si>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</si>
  <si>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</si>
  <si>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</si>
  <si>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</si>
  <si>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</si>
  <si>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</si>
  <si>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</si>
  <si>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</si>
  <si>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</si>
  <si>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</si>
  <si>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</si>
  <si>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</si>
  <si>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</si>
  <si>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</si>
  <si>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</si>
  <si>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</si>
  <si>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</si>
  <si>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</si>
  <si>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</si>
  <si>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</si>
  <si>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</si>
  <si>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</si>
  <si>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</si>
  <si>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</si>
  <si>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</si>
  <si>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</si>
  <si>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</si>
  <si>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</si>
  <si>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</si>
  <si>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</si>
  <si>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</si>
  <si>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</si>
  <si>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</si>
  <si>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</si>
  <si>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</si>
  <si>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</si>
  <si>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</si>
  <si>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</si>
  <si>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</si>
  <si>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</si>
  <si>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</si>
  <si>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</si>
  <si>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</si>
  <si>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</si>
  <si>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</si>
  <si>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</si>
  <si>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</si>
  <si>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</si>
  <si>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</si>
  <si>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</si>
  <si>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</si>
  <si>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</si>
  <si>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</si>
  <si>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</si>
  <si>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</si>
  <si>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</si>
  <si>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</si>
  <si>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</si>
  <si>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</si>
  <si>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</si>
  <si>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</si>
  <si>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</si>
  <si>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</si>
  <si>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</si>
  <si>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</si>
  <si>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</si>
  <si>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</si>
  <si>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</si>
  <si>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</si>
  <si>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</si>
  <si>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</si>
  <si>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</si>
  <si>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</si>
  <si>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</si>
  <si>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</si>
  <si>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</si>
  <si>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</si>
  <si>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</si>
  <si>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</si>
  <si>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</si>
  <si>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</si>
  <si>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</si>
  <si>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</si>
  <si>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</si>
  <si>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</si>
  <si>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</si>
  <si>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</si>
  <si>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</si>
  <si>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</si>
  <si>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</si>
  <si>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</si>
  <si>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</si>
  <si>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</si>
  <si>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</si>
  <si>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</si>
  <si>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</si>
  <si>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</si>
  <si>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</si>
  <si>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</si>
  <si>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</si>
  <si>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</si>
  <si>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</si>
  <si>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</si>
  <si>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</si>
  <si>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</si>
  <si>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</si>
  <si>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</si>
  <si>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</si>
  <si>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</si>
  <si>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</si>
  <si>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</si>
  <si>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</si>
  <si>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</si>
  <si>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</si>
  <si>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</si>
  <si>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</si>
  <si>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</si>
  <si>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</si>
  <si>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</si>
  <si>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</si>
  <si>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</si>
  <si>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</si>
  <si>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</si>
  <si>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</si>
  <si>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</si>
  <si>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</si>
  <si>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</si>
  <si>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</si>
  <si>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</si>
  <si>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</si>
  <si>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</si>
  <si>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</si>
  <si>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</si>
  <si>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</si>
  <si>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</si>
  <si>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</si>
  <si>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</si>
  <si>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</si>
  <si>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</si>
  <si>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</si>
  <si>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</si>
  <si>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</si>
  <si>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</si>
  <si>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</si>
  <si>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</si>
  <si>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</si>
  <si>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</si>
  <si>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</si>
  <si>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</si>
  <si>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</si>
  <si>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</si>
  <si>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</si>
  <si>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</si>
  <si>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</si>
  <si>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</si>
  <si>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</si>
  <si>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</si>
  <si>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</si>
  <si>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</si>
  <si>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</si>
  <si>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</si>
  <si>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</si>
  <si>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</si>
  <si>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</si>
  <si>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</si>
  <si>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</si>
  <si>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</si>
  <si>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</si>
  <si>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</si>
  <si>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</si>
  <si>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</si>
  <si>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</si>
  <si>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</si>
  <si>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</si>
  <si>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</si>
  <si>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</si>
  <si>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</si>
  <si>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</si>
  <si>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</si>
  <si>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</si>
  <si>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</si>
  <si>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</si>
  <si>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</si>
  <si>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</si>
  <si>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</si>
  <si>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</si>
  <si>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</si>
  <si>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</si>
  <si>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</si>
  <si>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</si>
  <si>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</si>
  <si>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</si>
  <si>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</si>
  <si>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</si>
  <si>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</si>
  <si>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</si>
  <si>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</si>
  <si>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</si>
  <si>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</si>
  <si>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</si>
  <si>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</si>
  <si>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</si>
  <si>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</si>
  <si>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</si>
  <si>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</si>
  <si>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</si>
  <si>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</si>
  <si>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</si>
  <si>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</si>
  <si>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</si>
  <si>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</si>
  <si>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</si>
  <si>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</si>
  <si>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</si>
  <si>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</si>
  <si>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</si>
  <si>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</si>
  <si>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</si>
  <si>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</si>
  <si>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</si>
  <si>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</si>
  <si>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</si>
  <si>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</si>
  <si>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</si>
  <si>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</si>
  <si>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</si>
  <si>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</si>
  <si>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</si>
  <si>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</si>
  <si>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</si>
  <si>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</si>
  <si>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</si>
  <si>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</si>
  <si>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</si>
  <si>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</si>
  <si>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</si>
  <si>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</si>
  <si>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</si>
  <si>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</si>
  <si>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</si>
  <si>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</si>
  <si>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</si>
  <si>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</si>
  <si>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</si>
  <si>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</si>
  <si>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</si>
  <si>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</si>
  <si>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</si>
  <si>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</si>
  <si>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</si>
  <si>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</si>
  <si>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</si>
  <si>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</si>
  <si>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</si>
  <si>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</si>
  <si>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</si>
  <si>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</si>
  <si>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</si>
  <si>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</si>
  <si>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</si>
  <si>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</si>
  <si>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</si>
  <si>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</si>
  <si>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</si>
  <si>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</si>
  <si>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</si>
  <si>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</si>
  <si>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</si>
  <si>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</si>
  <si>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</si>
  <si>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</si>
  <si>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</si>
  <si>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</si>
  <si>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</si>
  <si>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</si>
  <si>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</si>
  <si>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</si>
  <si>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</si>
  <si>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</si>
  <si>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</si>
  <si>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</si>
  <si>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</si>
  <si>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</si>
  <si>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</si>
  <si>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</si>
  <si>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</si>
  <si>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</si>
  <si>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</si>
  <si>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</si>
  <si>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</si>
  <si>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</si>
  <si>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</si>
  <si>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</si>
  <si>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</si>
  <si>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</si>
  <si>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</si>
  <si>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</si>
  <si>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</si>
  <si>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</si>
  <si>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</si>
  <si>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</si>
  <si>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</si>
  <si>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</si>
  <si>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</si>
  <si>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</si>
  <si>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</si>
  <si>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</si>
  <si>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</si>
  <si>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</si>
  <si>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</si>
  <si>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</si>
  <si>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</si>
  <si>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</si>
  <si>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</si>
  <si>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</si>
  <si>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</si>
  <si>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</si>
  <si>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</si>
  <si>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</si>
  <si>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</si>
  <si>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</si>
  <si>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</si>
  <si>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</si>
  <si>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</si>
  <si>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</si>
  <si>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</si>
  <si>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</si>
  <si>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</si>
  <si>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</si>
  <si>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</si>
  <si>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</si>
  <si>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</si>
  <si>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</si>
  <si>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</si>
  <si>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</si>
  <si>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</si>
  <si>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</si>
  <si>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</si>
  <si>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</si>
  <si>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</si>
  <si>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</si>
  <si>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</si>
  <si>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</si>
  <si>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</si>
  <si>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</si>
  <si>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</si>
  <si>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</si>
  <si>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</si>
  <si>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</si>
  <si>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</si>
  <si>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</si>
  <si>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</si>
  <si>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</si>
  <si>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</si>
  <si>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</si>
  <si>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</si>
  <si>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</si>
  <si>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</si>
  <si>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</si>
  <si>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</si>
  <si>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</si>
  <si>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</si>
  <si>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</si>
  <si>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</si>
  <si>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</si>
  <si>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</si>
  <si>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</si>
  <si>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</si>
  <si>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</si>
  <si>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</si>
  <si>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</si>
  <si>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</si>
  <si>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</si>
  <si>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</si>
  <si>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</si>
  <si>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</si>
  <si>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</si>
  <si>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</si>
  <si>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</si>
  <si>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</si>
  <si>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</si>
  <si>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</si>
  <si>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</si>
  <si>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</si>
  <si>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</si>
  <si>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</si>
  <si>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</si>
  <si>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</si>
  <si>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</si>
  <si>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</si>
  <si>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</si>
  <si>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</si>
  <si>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</si>
  <si>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</si>
  <si>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</si>
  <si>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</si>
  <si>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</si>
  <si>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</si>
  <si>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</si>
  <si>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</si>
  <si>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</si>
  <si>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</si>
  <si>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</si>
  <si>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</si>
  <si>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</si>
  <si>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</si>
  <si>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</si>
  <si>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</si>
  <si>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</si>
  <si>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</si>
  <si>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</si>
  <si>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</si>
  <si>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</si>
  <si>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</si>
  <si>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</si>
  <si>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</si>
  <si>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</si>
  <si>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</si>
  <si>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</si>
  <si>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</si>
  <si>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</si>
  <si>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</si>
  <si>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</si>
  <si>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</si>
  <si>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</si>
  <si>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</si>
  <si>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</si>
  <si>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</si>
  <si>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</si>
  <si>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</si>
  <si>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</si>
  <si>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</si>
  <si>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</si>
  <si>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</si>
  <si>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</si>
  <si>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</si>
  <si>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</si>
  <si>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</si>
  <si>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</si>
  <si>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</si>
  <si>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</si>
  <si>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</si>
  <si>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</si>
  <si>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</si>
  <si>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</si>
  <si>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</si>
  <si>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</si>
  <si>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</si>
  <si>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</si>
  <si>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</si>
  <si>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</si>
  <si>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</si>
  <si>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</si>
  <si>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</si>
  <si>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</si>
  <si>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</si>
  <si>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</si>
  <si>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</si>
  <si>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</si>
  <si>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</si>
  <si>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</si>
  <si>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</si>
  <si>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</si>
  <si>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</si>
  <si>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</si>
  <si>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</si>
  <si>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</si>
  <si>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</si>
  <si>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</si>
  <si>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</si>
  <si>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</si>
  <si>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</si>
  <si>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</si>
  <si>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</si>
  <si>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</si>
  <si>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</si>
  <si>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</si>
  <si>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</si>
  <si>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</si>
  <si>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</si>
  <si>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</si>
  <si>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</si>
  <si>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</si>
  <si>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</si>
  <si>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</si>
  <si>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</si>
  <si>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</si>
  <si>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</si>
  <si>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</si>
  <si>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</si>
  <si>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</si>
  <si>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</si>
  <si>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</si>
  <si>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</si>
  <si>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</si>
  <si>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</si>
  <si>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</si>
  <si>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</si>
  <si>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</si>
  <si>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</si>
  <si>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</si>
  <si>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</si>
  <si>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</si>
  <si>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</si>
  <si>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</si>
  <si>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</si>
  <si>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</si>
  <si>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</si>
  <si>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</si>
  <si>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</si>
  <si>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</si>
  <si>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</si>
  <si>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</si>
  <si>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</si>
  <si>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</si>
  <si>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</si>
  <si>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</si>
  <si>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</si>
  <si>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</si>
  <si>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</si>
  <si>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</si>
  <si>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</si>
  <si>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</si>
  <si>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</si>
  <si>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</si>
  <si>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</si>
  <si>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</si>
  <si>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</si>
  <si>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</si>
  <si>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</si>
  <si>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</si>
  <si>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</si>
  <si>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</si>
  <si>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</si>
  <si>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</si>
  <si>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</si>
  <si>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</si>
  <si>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</si>
  <si>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</si>
  <si>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</si>
  <si>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</si>
  <si>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</si>
  <si>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</si>
  <si>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</si>
  <si>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</si>
  <si>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</si>
  <si>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</si>
  <si>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</si>
  <si>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</si>
  <si>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</si>
  <si>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</si>
  <si>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</si>
  <si>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</si>
  <si>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</si>
  <si>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</si>
  <si>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</si>
  <si>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</si>
  <si>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</si>
  <si>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</si>
  <si>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</si>
  <si>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</si>
  <si>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</si>
  <si>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</si>
  <si>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</si>
  <si>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</si>
  <si>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</si>
  <si>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</si>
  <si>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</si>
  <si>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</si>
  <si>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</si>
  <si>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</si>
  <si>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</si>
  <si>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</si>
  <si>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</si>
  <si>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</si>
  <si>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</si>
  <si>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</si>
  <si>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</si>
  <si>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</si>
  <si>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</si>
  <si>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</si>
  <si>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</si>
  <si>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</si>
  <si>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</si>
  <si>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</si>
  <si>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</si>
  <si>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</si>
  <si>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</si>
  <si>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</si>
  <si>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</si>
  <si>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</si>
  <si>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</si>
  <si>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</si>
  <si>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</si>
  <si>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</si>
  <si>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</si>
  <si>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</si>
  <si>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</si>
  <si>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</si>
  <si>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</si>
  <si>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</si>
  <si>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</si>
  <si>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</si>
  <si>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</si>
  <si>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</si>
  <si>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</si>
  <si>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</si>
  <si>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</si>
  <si>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</si>
  <si>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</si>
  <si>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</si>
  <si>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</si>
  <si>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</si>
  <si>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</si>
  <si>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</si>
  <si>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</si>
  <si>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</si>
  <si>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</si>
  <si>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</si>
  <si>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</si>
  <si>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</si>
  <si>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</si>
  <si>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</si>
  <si>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</si>
  <si>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</si>
  <si>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</si>
  <si>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</si>
  <si>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</si>
  <si>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</si>
  <si>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</si>
  <si>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</si>
  <si>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</si>
  <si>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</si>
  <si>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</si>
  <si>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</si>
  <si>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</si>
  <si>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</si>
  <si>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</si>
  <si>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</si>
  <si>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</si>
  <si>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</si>
  <si>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</si>
  <si>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</si>
  <si>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</si>
  <si>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</si>
  <si>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</si>
  <si>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</si>
  <si>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</si>
  <si>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</si>
  <si>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</si>
  <si>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</si>
  <si>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</si>
  <si>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</si>
  <si>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</si>
  <si>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</si>
  <si>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</si>
  <si>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</si>
  <si>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</si>
  <si>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</si>
  <si>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</si>
  <si>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</si>
  <si>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</si>
  <si>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</si>
  <si>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</si>
  <si>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</si>
  <si>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</si>
  <si>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</si>
  <si>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</si>
  <si>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</si>
  <si>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</si>
  <si>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</si>
  <si>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</si>
  <si>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</si>
  <si>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</si>
  <si>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</si>
  <si>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</si>
  <si>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</si>
  <si>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</si>
  <si>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</si>
  <si>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</si>
  <si>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</si>
  <si>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</si>
  <si>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</si>
  <si>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</si>
  <si>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</si>
  <si>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</si>
  <si>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</si>
  <si>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</si>
  <si>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</si>
  <si>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</si>
  <si>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</si>
  <si>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</si>
  <si>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</si>
  <si>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</si>
  <si>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</si>
  <si>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</si>
  <si>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</si>
  <si>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</si>
  <si>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</si>
  <si>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</si>
  <si>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</si>
  <si>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</si>
  <si>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</si>
  <si>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</si>
  <si>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</si>
  <si>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</si>
  <si>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</si>
  <si>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</si>
  <si>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</si>
  <si>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</si>
  <si>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</si>
  <si>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</si>
  <si>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</si>
  <si>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</si>
  <si>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</si>
  <si>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</si>
  <si>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</si>
  <si>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</si>
  <si>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</si>
  <si>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</si>
  <si>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</si>
  <si>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</si>
  <si>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</si>
  <si>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</si>
  <si>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</si>
  <si>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</si>
  <si>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</si>
  <si>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</si>
  <si>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</si>
  <si>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</si>
  <si>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</si>
  <si>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</si>
  <si>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</si>
  <si>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</si>
  <si>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</si>
  <si>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</si>
  <si>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</si>
  <si>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</si>
  <si>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</si>
  <si>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</si>
  <si>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</si>
  <si>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</si>
  <si>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</si>
  <si>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</si>
  <si>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</si>
  <si>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</si>
  <si>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</si>
  <si>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</si>
  <si>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</si>
  <si>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</si>
  <si>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</si>
  <si>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</si>
  <si>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</si>
  <si>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</si>
  <si>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</si>
  <si>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</si>
  <si>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</si>
  <si>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</si>
  <si>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</si>
  <si>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</si>
  <si>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</si>
  <si>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</si>
  <si>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</si>
  <si>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</si>
  <si>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</si>
  <si>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</si>
  <si>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</si>
  <si>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</si>
  <si>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</si>
  <si>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</si>
  <si>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</si>
  <si>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</si>
  <si>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</si>
  <si>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</si>
  <si>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</si>
  <si>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</si>
  <si>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</si>
  <si>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</si>
  <si>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</si>
  <si>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</si>
  <si>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</si>
  <si>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</si>
  <si>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</si>
  <si>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</si>
  <si>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</si>
  <si>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</si>
  <si>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</si>
  <si>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</si>
  <si>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</si>
  <si>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</si>
  <si>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</si>
  <si>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</si>
  <si>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</si>
  <si>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</si>
  <si>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</si>
  <si>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</si>
  <si>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</si>
  <si>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</si>
  <si>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</si>
  <si>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</si>
  <si>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</si>
  <si>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</si>
  <si>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</si>
  <si>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</si>
  <si>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</si>
  <si>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</si>
  <si>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</si>
  <si>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</si>
  <si>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</si>
  <si>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</si>
  <si>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</si>
  <si>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</si>
  <si>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</si>
  <si>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</si>
  <si>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</si>
  <si>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</si>
  <si>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</si>
  <si>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</si>
  <si>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</si>
  <si>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</si>
  <si>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</si>
  <si>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</si>
  <si>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</si>
  <si>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</si>
  <si>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</si>
  <si>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</si>
  <si>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</si>
  <si>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</si>
  <si>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</si>
  <si>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</si>
  <si>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</si>
  <si>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</si>
  <si>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</si>
  <si>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</si>
  <si>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</si>
  <si>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</si>
  <si>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</si>
  <si>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</si>
  <si>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</si>
  <si>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</si>
  <si>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</si>
  <si>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</si>
  <si>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</si>
  <si>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</si>
  <si>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</si>
  <si>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</si>
  <si>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</si>
  <si>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</si>
  <si>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</si>
  <si>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</si>
  <si>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</si>
  <si>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</si>
  <si>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</si>
  <si>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</si>
  <si>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</si>
  <si>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</si>
  <si>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</si>
  <si>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</si>
  <si>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</si>
  <si>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</si>
  <si>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</si>
  <si>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</si>
  <si>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</si>
  <si>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</si>
  <si>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</si>
  <si>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</si>
  <si>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</si>
  <si>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</si>
  <si>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</si>
  <si>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</si>
  <si>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</si>
  <si>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</si>
  <si>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</si>
  <si>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</si>
  <si>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</si>
  <si>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</si>
  <si>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</si>
  <si>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</si>
  <si>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</si>
  <si>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</si>
  <si>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</si>
  <si>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</si>
  <si>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</si>
  <si>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</si>
  <si>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</si>
  <si>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</si>
  <si>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</si>
  <si>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</si>
  <si>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</si>
  <si>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</si>
  <si>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</si>
  <si>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</si>
  <si>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</si>
  <si>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</si>
  <si>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</si>
  <si>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</si>
  <si>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</si>
  <si>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</si>
  <si>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</si>
  <si>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</si>
  <si>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</si>
  <si>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</si>
  <si>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</si>
  <si>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</si>
  <si>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</si>
  <si>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</si>
  <si>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</si>
  <si>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</si>
  <si>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</si>
  <si>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</si>
  <si>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</si>
  <si>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</si>
  <si>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</si>
  <si>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</si>
  <si>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</si>
  <si>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</si>
  <si>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</si>
  <si>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</si>
  <si>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</si>
  <si>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</si>
  <si>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</si>
  <si>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</si>
  <si>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</si>
  <si>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</si>
  <si>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</si>
  <si>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</si>
  <si>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</si>
  <si>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</si>
  <si>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</si>
  <si>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</si>
  <si>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</si>
  <si>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</si>
  <si>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</si>
  <si>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</si>
  <si>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</si>
  <si>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</si>
  <si>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</si>
  <si>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</si>
  <si>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</si>
  <si>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</si>
  <si>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</si>
  <si>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</si>
  <si>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</si>
  <si>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</si>
  <si>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</si>
  <si>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</si>
  <si>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</si>
  <si>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</si>
  <si>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</si>
  <si>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</si>
  <si>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</si>
  <si>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</si>
  <si>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</si>
  <si>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</si>
  <si>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</si>
  <si>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</si>
  <si>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</si>
  <si>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</si>
  <si>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</si>
  <si>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</si>
  <si>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</si>
  <si>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</si>
  <si>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</si>
  <si>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</si>
  <si>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</si>
  <si>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</si>
  <si>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</si>
  <si>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</si>
  <si>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</si>
  <si>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</si>
  <si>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</si>
  <si>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</si>
  <si>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</si>
  <si>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</si>
  <si>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</si>
  <si>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</si>
  <si>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</si>
  <si>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</si>
  <si>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</si>
  <si>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</si>
  <si>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</si>
  <si>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</si>
  <si>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</si>
  <si>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</si>
  <si>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</si>
  <si>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</si>
  <si>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</si>
  <si>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</si>
  <si>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</si>
  <si>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</si>
  <si>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</si>
  <si>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</si>
  <si>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</si>
  <si>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</si>
  <si>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</si>
  <si>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</si>
  <si>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</si>
  <si>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</si>
  <si>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</si>
  <si>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</si>
  <si>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</si>
  <si>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</si>
  <si>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</si>
  <si>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</si>
  <si>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</si>
  <si>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</si>
  <si>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</si>
  <si>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</si>
  <si>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</si>
  <si>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</si>
  <si>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</si>
  <si>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</si>
  <si>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</si>
  <si>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</si>
  <si>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</si>
  <si>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</si>
  <si>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</si>
  <si>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</si>
  <si>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</si>
  <si>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</si>
  <si>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</si>
  <si>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</si>
  <si>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</si>
  <si>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</si>
  <si>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</si>
  <si>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</si>
  <si>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</si>
  <si>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</si>
  <si>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</si>
  <si>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</si>
  <si>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</si>
  <si>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</si>
  <si>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</si>
  <si>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</si>
  <si>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</si>
  <si>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</si>
  <si>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</si>
  <si>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</si>
  <si>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</si>
  <si>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</si>
  <si>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</si>
  <si>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</si>
  <si>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</si>
  <si>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</si>
  <si>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</si>
  <si>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</si>
  <si>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</si>
  <si>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</si>
  <si>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</si>
  <si>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</si>
  <si>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</si>
  <si>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</si>
  <si>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</si>
  <si>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</si>
  <si>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</si>
  <si>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</si>
  <si>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</si>
  <si>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</si>
  <si>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</si>
  <si>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</si>
  <si>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</si>
  <si>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</si>
  <si>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</si>
  <si>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</si>
  <si>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</si>
  <si>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</si>
  <si>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</si>
  <si>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</si>
  <si>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</si>
  <si>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</si>
  <si>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</si>
  <si>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</si>
  <si>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</si>
  <si>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</si>
  <si>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</si>
  <si>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</si>
  <si>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</si>
  <si>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</si>
  <si>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</si>
  <si>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</si>
  <si>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</si>
  <si>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</si>
  <si>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</si>
  <si>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</si>
  <si>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</si>
  <si>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</si>
  <si>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</si>
  <si>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</si>
  <si>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</si>
  <si>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</si>
  <si>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</si>
  <si>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</si>
  <si>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</si>
  <si>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</si>
  <si>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</si>
  <si>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</si>
  <si>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</si>
  <si>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</si>
  <si>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</si>
  <si>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</si>
  <si>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</si>
  <si>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</si>
  <si>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</si>
  <si>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</si>
  <si>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</si>
  <si>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</si>
  <si>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</si>
  <si>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</si>
  <si>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</si>
  <si>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</si>
  <si>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</si>
  <si>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</si>
  <si>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</si>
  <si>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</si>
  <si>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</si>
  <si>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</si>
  <si>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</si>
  <si>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</si>
  <si>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</si>
  <si>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</si>
  <si>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</si>
  <si>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</si>
  <si>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</si>
  <si>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</si>
  <si>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</si>
  <si>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</si>
  <si>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</si>
  <si>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</si>
  <si>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</si>
  <si>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</si>
  <si>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</si>
  <si>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</si>
  <si>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</si>
  <si>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</si>
  <si>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</si>
  <si>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</si>
  <si>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</si>
  <si>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</si>
  <si>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</si>
  <si>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</si>
  <si>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</si>
  <si>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</si>
  <si>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</si>
  <si>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</si>
  <si>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</si>
  <si>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</si>
  <si>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</si>
  <si>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</si>
  <si>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</si>
  <si>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</si>
  <si>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</si>
  <si>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</si>
  <si>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</si>
  <si>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</si>
  <si>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</si>
  <si>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</si>
  <si>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</si>
  <si>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</si>
  <si>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</si>
  <si>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</si>
  <si>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</si>
  <si>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</si>
  <si>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</si>
  <si>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</si>
  <si>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</si>
  <si>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</si>
  <si>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</si>
  <si>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</si>
  <si>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</si>
  <si>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</si>
  <si>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</si>
  <si>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</si>
  <si>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</si>
  <si>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</si>
  <si>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</si>
  <si>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</si>
  <si>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</si>
  <si>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</si>
  <si>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</si>
  <si>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</si>
  <si>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</si>
  <si>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</si>
  <si>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</si>
  <si>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</si>
  <si>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</si>
  <si>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</si>
  <si>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</si>
  <si>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</si>
  <si>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</si>
  <si>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</si>
  <si>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</si>
  <si>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</si>
  <si>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</si>
  <si>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</si>
  <si>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</si>
  <si>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</si>
  <si>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</si>
  <si>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</si>
  <si>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</si>
  <si>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</si>
  <si>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</si>
  <si>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</si>
  <si>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</si>
  <si>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</si>
  <si>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</si>
  <si>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</si>
  <si>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</si>
  <si>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</si>
  <si>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</si>
  <si>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</si>
  <si>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</si>
  <si>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</si>
  <si>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</si>
  <si>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</si>
  <si>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</si>
  <si>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</si>
  <si>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</si>
  <si>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</si>
  <si>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</si>
  <si>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</si>
  <si>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</si>
  <si>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</si>
  <si>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</si>
  <si>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</si>
  <si>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</si>
  <si>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</si>
  <si>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</si>
  <si>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</si>
  <si>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</si>
  <si>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</si>
  <si>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</si>
  <si>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</si>
  <si>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</si>
  <si>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</si>
  <si>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</si>
  <si>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</si>
  <si>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</si>
  <si>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</si>
  <si>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</si>
  <si>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</si>
  <si>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</si>
  <si>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</si>
  <si>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</si>
  <si>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</si>
  <si>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</si>
  <si>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</si>
  <si>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</si>
  <si>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</si>
  <si>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</si>
  <si>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</si>
  <si>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</si>
  <si>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</si>
  <si>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</si>
  <si>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</si>
  <si>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</si>
  <si>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</si>
  <si>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</si>
  <si>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</si>
  <si>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</si>
  <si>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</si>
  <si>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</si>
  <si>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</si>
  <si>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</si>
  <si>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</si>
  <si>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</si>
  <si>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</si>
  <si>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</si>
  <si>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</si>
  <si>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</si>
  <si>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</si>
  <si>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</si>
  <si>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</si>
  <si>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</si>
  <si>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</si>
  <si>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</si>
  <si>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</si>
  <si>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</si>
  <si>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</si>
  <si>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</si>
  <si>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</si>
  <si>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</si>
  <si>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</si>
  <si>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</si>
  <si>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</si>
  <si>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</si>
  <si>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</si>
  <si>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</si>
  <si>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</si>
  <si>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</si>
  <si>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</si>
  <si>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</si>
  <si>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</si>
  <si>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</si>
  <si>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</si>
  <si>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</si>
  <si>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</si>
  <si>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</si>
  <si>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</si>
  <si>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</si>
  <si>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</si>
  <si>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</si>
  <si>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</si>
  <si>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</si>
  <si>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</si>
  <si>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</si>
  <si>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</si>
  <si>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</si>
  <si>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</si>
  <si>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</si>
  <si>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</si>
  <si>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</si>
  <si>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</si>
  <si>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</si>
  <si>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</si>
  <si>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</si>
  <si>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</si>
  <si>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</si>
  <si>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</si>
  <si>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</si>
  <si>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</si>
  <si>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</si>
  <si>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</si>
  <si>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</si>
  <si>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</si>
  <si>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</si>
  <si>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</si>
  <si>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</si>
  <si>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</si>
  <si>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</si>
  <si>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</si>
  <si>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</si>
  <si>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</si>
  <si>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</si>
  <si>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</si>
  <si>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</si>
  <si>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</si>
  <si>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</si>
  <si>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</si>
  <si>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</si>
  <si>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</si>
  <si>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</si>
  <si>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</si>
  <si>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</si>
  <si>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</si>
  <si>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</si>
  <si>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</si>
  <si>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</si>
  <si>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</si>
  <si>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</si>
  <si>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</si>
  <si>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</si>
  <si>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</si>
  <si>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</si>
  <si>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</si>
  <si>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</si>
  <si>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</si>
  <si>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</si>
  <si>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</si>
  <si>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</si>
  <si>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</si>
  <si>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</si>
  <si>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</si>
  <si>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</si>
  <si>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</si>
  <si>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</si>
  <si>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</si>
  <si>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</si>
  <si>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</si>
  <si>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</si>
  <si>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</si>
  <si>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</si>
  <si>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</si>
  <si>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</si>
  <si>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</si>
  <si>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</si>
  <si>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</si>
  <si>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</si>
  <si>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</si>
  <si>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</si>
  <si>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</si>
  <si>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</si>
  <si>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</si>
  <si>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</si>
  <si>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</si>
  <si>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</si>
  <si>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</si>
  <si>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</si>
  <si>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</si>
  <si>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</si>
  <si>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</si>
  <si>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</si>
  <si>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</si>
  <si>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</si>
  <si>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</si>
  <si>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</si>
  <si>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</si>
  <si>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</si>
  <si>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</si>
  <si>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</si>
  <si>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</si>
  <si>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</si>
  <si>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</si>
  <si>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</si>
  <si>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</si>
  <si>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</si>
  <si>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</si>
  <si>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</si>
  <si>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</si>
  <si>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</si>
  <si>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</si>
  <si>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</si>
  <si>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</si>
  <si>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</si>
  <si>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</si>
  <si>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</si>
  <si>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</si>
  <si>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</si>
  <si>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</si>
  <si>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</si>
  <si>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</si>
  <si>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</si>
  <si>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</si>
  <si>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</si>
  <si>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</si>
  <si>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</si>
  <si>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</si>
  <si>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</si>
  <si>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</si>
  <si>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</si>
  <si>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</si>
  <si>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</si>
  <si>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</si>
  <si>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</si>
  <si>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</si>
  <si>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</si>
  <si>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</si>
  <si>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</si>
  <si>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</si>
  <si>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</si>
  <si>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</si>
  <si>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</si>
  <si>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</si>
  <si>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</si>
  <si>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</si>
  <si>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</si>
  <si>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</si>
  <si>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</si>
  <si>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</si>
  <si>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</si>
  <si>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</si>
  <si>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</si>
  <si>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</si>
  <si>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</si>
  <si>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</si>
  <si>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</si>
  <si>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</si>
  <si>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</si>
  <si>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</si>
  <si>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</si>
  <si>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</si>
  <si>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</si>
  <si>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</si>
  <si>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</si>
  <si>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</si>
  <si>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</si>
  <si>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</si>
  <si>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</si>
  <si>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</si>
  <si>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</si>
  <si>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</si>
  <si>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</si>
  <si>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</si>
  <si>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</si>
  <si>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</si>
  <si>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</si>
  <si>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</si>
  <si>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</si>
  <si>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</si>
  <si>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</si>
  <si>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</si>
  <si>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</si>
  <si>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</si>
  <si>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</si>
  <si>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</si>
  <si>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</si>
  <si>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</si>
  <si>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</si>
  <si>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</si>
  <si>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</si>
  <si>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</si>
  <si>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</si>
  <si>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</si>
  <si>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</si>
  <si>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</si>
  <si>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</si>
  <si>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</si>
  <si>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</si>
  <si>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</si>
  <si>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</si>
  <si>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</si>
  <si>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</si>
  <si>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</si>
  <si>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</si>
  <si>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</si>
  <si>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</si>
  <si>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</si>
  <si>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</si>
  <si>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</si>
  <si>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</si>
  <si>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</si>
  <si>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</si>
  <si>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</si>
  <si>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</si>
  <si>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</si>
  <si>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</si>
  <si>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</si>
  <si>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</si>
  <si>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</si>
  <si>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</si>
  <si>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</si>
  <si>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</si>
  <si>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</si>
  <si>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</si>
  <si>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</si>
  <si>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</si>
  <si>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</si>
  <si>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</si>
  <si>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</si>
  <si>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</si>
  <si>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</si>
  <si>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</si>
  <si>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</si>
  <si>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</si>
  <si>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</si>
  <si>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</si>
  <si>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</si>
  <si>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</si>
  <si>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</si>
  <si>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</si>
  <si>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</si>
  <si>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</si>
  <si>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</si>
  <si>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</si>
  <si>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</si>
  <si>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</si>
  <si>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</si>
  <si>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</si>
  <si>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</si>
  <si>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</si>
  <si>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</si>
  <si>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</si>
  <si>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</si>
  <si>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</si>
  <si>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</si>
  <si>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</si>
  <si>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</si>
  <si>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</si>
  <si>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</si>
  <si>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</si>
  <si>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</si>
  <si>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</si>
  <si>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</si>
  <si>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</si>
  <si>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</si>
  <si>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</si>
  <si>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</si>
  <si>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</si>
  <si>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</si>
  <si>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</si>
  <si>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</si>
  <si>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</si>
  <si>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</si>
  <si>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</si>
  <si>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</si>
  <si>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</si>
  <si>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</si>
  <si>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</si>
  <si>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</si>
  <si>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</si>
  <si>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</si>
  <si>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</si>
  <si>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</si>
  <si>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</si>
  <si>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</si>
  <si>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</si>
  <si>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</si>
  <si>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</si>
  <si>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</si>
  <si>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</si>
  <si>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</si>
  <si>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</si>
  <si>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</si>
  <si>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</si>
  <si>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</si>
  <si>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</si>
  <si>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</si>
  <si>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</si>
  <si>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</si>
  <si>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</si>
  <si>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</si>
  <si>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</si>
  <si>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</si>
  <si>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</si>
  <si>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</si>
  <si>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</si>
  <si>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</si>
  <si>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</si>
  <si>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</si>
  <si>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</si>
  <si>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</si>
  <si>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</si>
  <si>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</si>
  <si>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</si>
  <si>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</si>
  <si>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</si>
  <si>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</si>
  <si>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</si>
  <si>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</si>
  <si>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</si>
  <si>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</si>
  <si>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</si>
  <si>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</si>
  <si>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</si>
  <si>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</si>
  <si>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</si>
  <si>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</si>
  <si>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</si>
  <si>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</si>
  <si>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</si>
  <si>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</si>
  <si>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</si>
  <si>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</si>
  <si>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</si>
  <si>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</si>
  <si>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</si>
  <si>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</si>
  <si>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</si>
  <si>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</si>
  <si>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</si>
  <si>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</si>
  <si>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</si>
  <si>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</si>
  <si>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</si>
  <si>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</si>
  <si>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</si>
  <si>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</si>
  <si>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</si>
  <si>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</si>
  <si>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</si>
  <si>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</si>
  <si>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</si>
  <si>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</si>
  <si>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</si>
  <si>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</si>
  <si>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</si>
  <si>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</si>
  <si>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</si>
  <si>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</si>
  <si>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</si>
  <si>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</si>
  <si>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</si>
  <si>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</si>
  <si>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</si>
  <si>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</si>
  <si>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</si>
  <si>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</si>
  <si>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</si>
  <si>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</si>
  <si>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</si>
  <si>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</si>
  <si>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</si>
  <si>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</si>
  <si>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</si>
  <si>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</si>
  <si>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</si>
  <si>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</si>
  <si>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</si>
  <si>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</si>
  <si>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</si>
  <si>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</si>
  <si>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</si>
  <si>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</si>
  <si>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</si>
  <si>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</si>
  <si>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</si>
  <si>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</si>
  <si>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</si>
  <si>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</si>
  <si>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</si>
  <si>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</si>
  <si>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</si>
  <si>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</si>
  <si>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</si>
  <si>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</si>
  <si>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</si>
  <si>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</si>
  <si>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</si>
  <si>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</si>
  <si>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</si>
  <si>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</si>
  <si>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</si>
  <si>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</si>
  <si>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</si>
  <si>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</si>
  <si>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</si>
  <si>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</si>
  <si>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</si>
  <si>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</si>
  <si>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</si>
  <si>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</si>
  <si>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</si>
  <si>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</si>
  <si>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</si>
  <si>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</si>
  <si>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</si>
  <si>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</si>
  <si>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</si>
  <si>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</si>
  <si>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</si>
  <si>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</si>
  <si>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</si>
  <si>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</si>
  <si>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</si>
  <si>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</si>
  <si>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</si>
  <si>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</si>
  <si>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</si>
  <si>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</si>
  <si>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</si>
  <si>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</si>
  <si>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</si>
  <si>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</si>
  <si>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</si>
  <si>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</si>
  <si>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</si>
  <si>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</si>
  <si>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</si>
  <si>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</si>
  <si>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</si>
  <si>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</si>
  <si>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</si>
  <si>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</si>
  <si>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</si>
  <si>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</si>
  <si>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</si>
  <si>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</si>
  <si>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</si>
  <si>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</si>
  <si>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</si>
  <si>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</si>
  <si>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</si>
  <si>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</si>
  <si>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</si>
  <si>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</si>
  <si>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</si>
  <si>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</si>
  <si>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</si>
  <si>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</si>
  <si>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</si>
  <si>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</si>
  <si>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</si>
  <si>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</si>
  <si>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</si>
  <si>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</si>
  <si>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</si>
  <si>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</si>
  <si>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</si>
  <si>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</si>
  <si>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</si>
  <si>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</si>
  <si>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</si>
  <si>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</si>
  <si>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</si>
  <si>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</si>
  <si>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</si>
  <si>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</si>
  <si>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</si>
  <si>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</si>
  <si>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</si>
  <si>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</si>
  <si>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</si>
  <si>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</si>
  <si>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</si>
  <si>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</si>
  <si>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</si>
  <si>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</si>
  <si>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</si>
  <si>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</si>
  <si>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</si>
  <si>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</si>
  <si>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</si>
  <si>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</si>
  <si>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</si>
  <si>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</si>
  <si>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</si>
  <si>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</si>
  <si>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</si>
  <si>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</si>
  <si>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</si>
  <si>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</si>
  <si>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</si>
  <si>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</si>
  <si>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</si>
  <si>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</si>
  <si>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</si>
  <si>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</si>
  <si>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</si>
  <si>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</si>
  <si>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</si>
  <si>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</si>
  <si>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</si>
  <si>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</si>
  <si>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</si>
  <si>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</si>
  <si>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</si>
  <si>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</si>
  <si>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</si>
  <si>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</si>
  <si>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</si>
  <si>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</si>
  <si>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</si>
  <si>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</si>
  <si>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</si>
  <si>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</si>
  <si>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</si>
  <si>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</si>
  <si>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</si>
  <si>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</si>
  <si>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</si>
  <si>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</si>
  <si>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</si>
  <si>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</si>
  <si>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</si>
  <si>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</si>
  <si>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</si>
  <si>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</si>
  <si>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</si>
  <si>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</si>
  <si>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</si>
  <si>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</si>
  <si>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</si>
  <si>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</si>
  <si>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</si>
  <si>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</si>
  <si>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</si>
  <si>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</si>
  <si>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</si>
  <si>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</si>
  <si>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</si>
  <si>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</si>
  <si>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</si>
  <si>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</si>
  <si>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</si>
  <si>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</si>
  <si>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</si>
  <si>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</si>
  <si>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</si>
  <si>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</si>
  <si>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</si>
  <si>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</si>
  <si>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</si>
  <si>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</si>
  <si>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</si>
  <si>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</si>
  <si>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</si>
  <si>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</si>
  <si>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</si>
  <si>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</si>
  <si>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</si>
  <si>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</si>
  <si>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</si>
  <si>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</si>
  <si>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</si>
  <si>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</si>
  <si>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</si>
  <si>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</si>
  <si>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</si>
  <si>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</si>
  <si>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</si>
  <si>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</si>
  <si>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</si>
  <si>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</si>
  <si>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</si>
  <si>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</si>
  <si>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</si>
  <si>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</si>
  <si>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</si>
  <si>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</si>
  <si>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</si>
  <si>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</si>
  <si>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</si>
  <si>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</si>
  <si>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</si>
  <si>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</si>
  <si>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</si>
  <si>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</si>
  <si>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</si>
  <si>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</si>
  <si>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</si>
  <si>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</si>
  <si>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</si>
  <si>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</si>
  <si>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</si>
  <si>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</si>
  <si>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</si>
  <si>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</si>
  <si>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</si>
  <si>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</si>
  <si>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</si>
  <si>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</si>
  <si>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</si>
  <si>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</si>
  <si>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</si>
  <si>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</si>
  <si>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</si>
  <si>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</si>
  <si>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</si>
  <si>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</si>
  <si>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</si>
  <si>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</si>
  <si>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</si>
  <si>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</si>
  <si>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</si>
  <si>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</si>
  <si>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</si>
  <si>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</si>
  <si>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</si>
  <si>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</si>
  <si>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</si>
  <si>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</si>
  <si>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</si>
  <si>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</si>
  <si>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</si>
  <si>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</si>
  <si>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</si>
  <si>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</si>
  <si>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</si>
  <si>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</si>
  <si>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</si>
  <si>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</si>
  <si>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</si>
  <si>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</si>
  <si>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</si>
  <si>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</si>
  <si>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</si>
  <si>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</si>
  <si>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</si>
  <si>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</si>
  <si>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</si>
  <si>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</si>
  <si>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</si>
  <si>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</si>
  <si>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</si>
  <si>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</si>
  <si>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</si>
  <si>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</si>
  <si>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</si>
  <si>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</si>
  <si>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</si>
  <si>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</si>
  <si>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</si>
  <si>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</si>
  <si>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</si>
  <si>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</si>
  <si>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</si>
  <si>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</si>
  <si>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</si>
  <si>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</si>
  <si>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</si>
  <si>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</si>
  <si>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</si>
  <si>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</si>
  <si>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</si>
  <si>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</si>
  <si>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</si>
  <si>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</si>
  <si>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</si>
  <si>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</si>
  <si>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</si>
  <si>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</si>
  <si>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</si>
  <si>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</si>
  <si>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</si>
  <si>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</si>
  <si>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</si>
  <si>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</si>
  <si>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</si>
  <si>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</si>
  <si>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</si>
  <si>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</si>
  <si>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</si>
  <si>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</si>
  <si>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</si>
  <si>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</si>
  <si>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</si>
  <si>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</si>
  <si>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</si>
  <si>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</si>
  <si>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</si>
  <si>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</si>
  <si>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</si>
  <si>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</si>
  <si>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</si>
  <si>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</si>
  <si>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</si>
  <si>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</si>
  <si>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</si>
  <si>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</si>
  <si>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</si>
  <si>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</si>
  <si>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</si>
  <si>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</si>
  <si>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</si>
  <si>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</si>
  <si>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</si>
  <si>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</si>
  <si>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</si>
  <si>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</si>
  <si>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</si>
  <si>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</si>
  <si>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</si>
  <si>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</si>
  <si>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</si>
  <si>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</si>
  <si>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</si>
  <si>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</si>
  <si>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</si>
  <si>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</si>
  <si>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</si>
  <si>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</si>
  <si>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</si>
  <si>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</si>
  <si>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</si>
  <si>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</si>
  <si>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</si>
  <si>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</si>
  <si>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</si>
  <si>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</si>
  <si>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</si>
  <si>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</si>
  <si>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</si>
  <si>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</si>
  <si>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</si>
  <si>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</si>
  <si>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</si>
  <si>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</si>
  <si>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</si>
  <si>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</si>
  <si>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</si>
  <si>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</si>
  <si>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</si>
  <si>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</si>
  <si>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</si>
  <si>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</si>
  <si>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</si>
  <si>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</si>
  <si>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</si>
  <si>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</si>
  <si>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</si>
  <si>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</si>
  <si>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</si>
  <si>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</si>
  <si>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</si>
  <si>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</si>
  <si>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</si>
  <si>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</si>
  <si>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</si>
  <si>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</si>
  <si>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</si>
  <si>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</si>
  <si>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</si>
  <si>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</si>
  <si>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</si>
  <si>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</si>
  <si>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</si>
  <si>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</si>
  <si>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</si>
  <si>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</si>
  <si>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</si>
  <si>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</si>
  <si>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</si>
  <si>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</si>
  <si>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</si>
  <si>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</si>
  <si>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</si>
  <si>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</si>
  <si>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</si>
  <si>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</si>
  <si>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</si>
  <si>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</si>
  <si>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</si>
  <si>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</si>
  <si>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</si>
  <si>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</si>
  <si>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</si>
  <si>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</si>
  <si>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</si>
  <si>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</si>
  <si>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</si>
  <si>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</si>
  <si>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</si>
  <si>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</si>
  <si>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</si>
  <si>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</si>
  <si>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</si>
  <si>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</si>
  <si>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</si>
  <si>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</si>
  <si>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</si>
  <si>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</si>
  <si>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</si>
  <si>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</si>
  <si>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</si>
  <si>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</si>
  <si>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</si>
  <si>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</si>
  <si>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</si>
  <si>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</si>
  <si>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</si>
  <si>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</si>
  <si>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</si>
  <si>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</si>
  <si>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</si>
  <si>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</si>
  <si>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</si>
  <si>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</si>
  <si>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</si>
  <si>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</si>
  <si>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</si>
  <si>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</si>
  <si>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</si>
  <si>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</si>
  <si>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</si>
  <si>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</si>
  <si>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</si>
  <si>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</si>
  <si>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</si>
  <si>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</si>
  <si>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</si>
  <si>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</si>
  <si>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</si>
  <si>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</si>
  <si>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</si>
  <si>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</si>
  <si>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</si>
  <si>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</si>
  <si>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</si>
  <si>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</si>
  <si>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</si>
  <si>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</si>
  <si>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</si>
  <si>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</si>
  <si>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</si>
  <si>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</si>
  <si>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</si>
  <si>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</si>
  <si>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</si>
  <si>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</si>
  <si>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</si>
  <si>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</si>
  <si>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</si>
  <si>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</si>
  <si>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</si>
  <si>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</si>
  <si>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</si>
  <si>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</si>
  <si>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</si>
  <si>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</si>
  <si>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</si>
  <si>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</si>
  <si>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</si>
  <si>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</si>
  <si>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</si>
  <si>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</si>
  <si>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</si>
  <si>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</si>
  <si>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</si>
  <si>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</si>
  <si>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</si>
  <si>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</si>
  <si>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</si>
  <si>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</si>
  <si>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</si>
  <si>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</si>
  <si>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</si>
  <si>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</si>
  <si>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</si>
  <si>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</si>
  <si>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</si>
  <si>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</si>
  <si>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</si>
  <si>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</si>
  <si>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</si>
  <si>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</si>
  <si>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</si>
  <si>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</si>
  <si>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</si>
  <si>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</si>
  <si>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</si>
  <si>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</si>
  <si>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</si>
  <si>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</si>
  <si>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</si>
  <si>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</si>
  <si>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</si>
  <si>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</si>
  <si>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</si>
  <si>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</si>
  <si>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</si>
  <si>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</si>
  <si>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</si>
  <si>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</si>
  <si>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</si>
  <si>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</si>
  <si>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</si>
  <si>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</si>
  <si>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</si>
  <si>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</si>
  <si>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</si>
  <si>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</si>
  <si>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</si>
  <si>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</si>
  <si>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</si>
  <si>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</si>
  <si>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</si>
  <si>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</si>
  <si>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</si>
  <si>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</si>
  <si>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</si>
  <si>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</si>
  <si>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</si>
  <si>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</si>
  <si>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</si>
  <si>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</si>
  <si>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</si>
  <si>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</si>
  <si>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</si>
  <si>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</si>
  <si>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</si>
  <si>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</si>
  <si>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</si>
  <si>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</si>
  <si>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</si>
  <si>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</si>
  <si>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</si>
  <si>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</si>
  <si>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</si>
  <si>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</si>
  <si>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</si>
  <si>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</si>
  <si>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</si>
  <si>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</si>
  <si>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</si>
  <si>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</si>
  <si>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</si>
  <si>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</si>
  <si>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</si>
  <si>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</si>
  <si>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</si>
  <si>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</si>
  <si>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</si>
  <si>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</si>
  <si>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</si>
  <si>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</si>
  <si>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</si>
  <si>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</si>
  <si>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</si>
  <si>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</si>
  <si>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</si>
  <si>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</si>
  <si>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</si>
  <si>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</si>
  <si>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</si>
  <si>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</si>
  <si>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</si>
  <si>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</si>
  <si>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</si>
  <si>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</si>
  <si>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</si>
  <si>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</si>
  <si>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</si>
  <si>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</si>
  <si>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</si>
  <si>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</si>
  <si>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</si>
  <si>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</si>
  <si>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</si>
  <si>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</si>
  <si>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</si>
  <si>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</si>
  <si>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</si>
  <si>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</si>
  <si>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</si>
  <si>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</si>
  <si>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</si>
  <si>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</si>
  <si>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</si>
  <si>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</si>
  <si>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</si>
  <si>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</si>
  <si>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</si>
  <si>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</si>
  <si>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</si>
  <si>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</si>
  <si>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</si>
  <si>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</si>
  <si>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</si>
  <si>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</si>
  <si>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</si>
  <si>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</si>
  <si>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</si>
  <si>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</si>
  <si>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</si>
  <si>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</si>
  <si>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</si>
  <si>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</si>
  <si>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</si>
  <si>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</si>
  <si>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</si>
  <si>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</si>
  <si>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</si>
  <si>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</si>
  <si>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</si>
  <si>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</si>
  <si>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</si>
  <si>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</si>
  <si>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</si>
  <si>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</si>
  <si>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</si>
  <si>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</si>
  <si>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</si>
  <si>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</si>
  <si>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</si>
  <si>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</si>
  <si>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</si>
  <si>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</si>
  <si>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</si>
  <si>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</si>
  <si>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</si>
  <si>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</si>
  <si>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</si>
  <si>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</si>
  <si>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</si>
  <si>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</si>
  <si>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</si>
  <si>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</si>
  <si>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</si>
  <si>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</si>
  <si>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</si>
  <si>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</si>
  <si>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</si>
  <si>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</si>
  <si>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</si>
  <si>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</si>
  <si>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</si>
  <si>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</si>
  <si>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</si>
  <si>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</si>
  <si>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</si>
  <si>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</si>
  <si>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</si>
  <si>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</si>
  <si>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</si>
  <si>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</si>
  <si>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</si>
  <si>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</si>
  <si>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</si>
  <si>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</si>
  <si>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</si>
  <si>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</si>
  <si>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</si>
  <si>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</si>
  <si>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</si>
  <si>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</si>
  <si>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</si>
  <si>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</si>
  <si>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</si>
  <si>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</si>
  <si>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</si>
  <si>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</si>
  <si>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</si>
  <si>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</si>
  <si>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</si>
  <si>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</si>
  <si>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</si>
  <si>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</si>
  <si>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</si>
  <si>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</si>
  <si>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</si>
  <si>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</si>
  <si>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</si>
  <si>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</si>
  <si>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</si>
  <si>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</si>
  <si>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</si>
  <si>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</si>
  <si>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</si>
  <si>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</si>
  <si>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</si>
  <si>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</si>
  <si>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</si>
  <si>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</si>
  <si>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</si>
  <si>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</si>
  <si>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</si>
  <si>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</si>
  <si>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</si>
  <si>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</si>
  <si>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</si>
  <si>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</si>
  <si>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</si>
  <si>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</si>
  <si>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</si>
  <si>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</si>
  <si>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</si>
  <si>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</si>
  <si>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</si>
  <si>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</si>
  <si>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</si>
  <si>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</si>
  <si>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</si>
  <si>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</si>
  <si>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</si>
  <si>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</si>
  <si>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</si>
  <si>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</si>
  <si>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</si>
  <si>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</si>
  <si>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</si>
  <si>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</si>
  <si>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</si>
  <si>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</si>
  <si>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</si>
  <si>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</si>
  <si>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</si>
  <si>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</si>
  <si>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</si>
  <si>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</si>
  <si>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</si>
  <si>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</si>
  <si>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</si>
  <si>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</si>
  <si>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</si>
  <si>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</si>
  <si>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</si>
  <si>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</si>
  <si>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</si>
  <si>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</si>
  <si>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</si>
  <si>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</si>
  <si>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</si>
  <si>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</si>
  <si>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</si>
  <si>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</si>
  <si>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</si>
  <si>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</si>
  <si>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</si>
  <si>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</si>
  <si>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</si>
  <si>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</si>
  <si>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</si>
  <si>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</si>
  <si>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</si>
  <si>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</si>
  <si>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</si>
  <si>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</si>
  <si>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</si>
  <si>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</si>
  <si>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</si>
  <si>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</si>
  <si>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</si>
  <si>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</si>
  <si>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</si>
  <si>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</si>
  <si>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</si>
  <si>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</si>
  <si>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</si>
  <si>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</si>
  <si>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</si>
  <si>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</si>
  <si>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</si>
  <si>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</si>
  <si>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</si>
  <si>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</si>
  <si>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</si>
  <si>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</si>
  <si>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</si>
  <si>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</si>
  <si>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</si>
  <si>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</si>
  <si>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</si>
  <si>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</si>
  <si>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</si>
  <si>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</si>
  <si>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</si>
  <si>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</si>
  <si>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</si>
  <si>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</si>
  <si>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</si>
  <si>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</si>
  <si>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</si>
  <si>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</si>
  <si>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</si>
  <si>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</si>
  <si>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</si>
  <si>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</si>
  <si>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</si>
  <si>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</si>
  <si>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</si>
  <si>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</si>
  <si>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</si>
  <si>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</si>
  <si>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</si>
  <si>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</si>
  <si>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</si>
  <si>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</si>
  <si>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</si>
  <si>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</si>
  <si>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</si>
  <si>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</si>
  <si>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</si>
  <si>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</si>
  <si>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</si>
  <si>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</si>
  <si>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</si>
  <si>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</si>
  <si>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</si>
  <si>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</si>
  <si>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</si>
  <si>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</si>
  <si>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</si>
  <si>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</si>
  <si>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</si>
  <si>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</si>
  <si>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</si>
  <si>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</si>
  <si>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</si>
  <si>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</si>
  <si>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</si>
  <si>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</si>
  <si>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</si>
  <si>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</si>
  <si>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</si>
  <si>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</si>
  <si>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</si>
  <si>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</si>
  <si>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</si>
  <si>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</si>
  <si>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</si>
  <si>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</si>
  <si>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</si>
  <si>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</si>
  <si>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</si>
  <si>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</si>
  <si>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</si>
  <si>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</si>
  <si>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</si>
  <si>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</si>
  <si>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</si>
  <si>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</si>
  <si>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</si>
  <si>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</si>
  <si>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</si>
  <si>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</si>
  <si>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</si>
  <si>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</si>
  <si>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</si>
  <si>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</si>
  <si>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</si>
  <si>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</si>
  <si>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</si>
  <si>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</si>
  <si>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</si>
  <si>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</si>
  <si>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</si>
  <si>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</si>
  <si>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</si>
  <si>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</si>
  <si>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</si>
  <si>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</si>
  <si>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</si>
  <si>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</si>
  <si>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</si>
  <si>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</si>
  <si>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</si>
  <si>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</si>
  <si>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</si>
  <si>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</si>
  <si>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</si>
  <si>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</si>
  <si>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</si>
  <si>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</si>
  <si>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</si>
  <si>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</si>
  <si>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</si>
  <si>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</si>
  <si>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</si>
  <si>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</si>
  <si>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</si>
  <si>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</si>
  <si>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</si>
  <si>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</si>
  <si>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</si>
  <si>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</si>
  <si>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</si>
  <si>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</si>
  <si>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</si>
  <si>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</si>
  <si>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</si>
  <si>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</si>
  <si>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</si>
  <si>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</si>
  <si>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</si>
  <si>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</si>
  <si>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</si>
  <si>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</si>
  <si>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</si>
  <si>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</si>
  <si>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</si>
  <si>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</si>
  <si>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</si>
  <si>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</si>
  <si>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</si>
  <si>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</si>
  <si>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</si>
  <si>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</si>
  <si>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</si>
  <si>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</si>
  <si>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</si>
  <si>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</si>
  <si>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</si>
  <si>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</si>
  <si>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</si>
  <si>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</si>
  <si>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</si>
  <si>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</si>
  <si>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</si>
  <si>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</si>
  <si>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</si>
  <si>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</si>
  <si>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</si>
  <si>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</si>
  <si>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</si>
  <si>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</si>
  <si>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</si>
  <si>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</si>
  <si>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</si>
  <si>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</si>
  <si>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</si>
  <si>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</si>
  <si>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</si>
  <si>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</si>
  <si>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</si>
  <si>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</si>
  <si>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</si>
  <si>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</si>
  <si>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</si>
  <si>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</si>
  <si>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</si>
  <si>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</si>
  <si>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</si>
  <si>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</si>
  <si>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</si>
  <si>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</si>
  <si>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</si>
  <si>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</si>
  <si>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</si>
  <si>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</si>
  <si>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</si>
  <si>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</si>
  <si>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</si>
  <si>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</si>
  <si>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</si>
  <si>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</si>
  <si>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</si>
  <si>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</si>
  <si>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</si>
  <si>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</si>
  <si>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</si>
  <si>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</si>
  <si>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</si>
  <si>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</si>
  <si>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</si>
  <si>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</si>
  <si>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</si>
  <si>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</si>
  <si>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</si>
  <si>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</si>
  <si>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</si>
  <si>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</si>
  <si>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</si>
  <si>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</si>
  <si>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</si>
  <si>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</si>
  <si>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</si>
  <si>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</si>
  <si>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</si>
  <si>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</si>
  <si>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</si>
  <si>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</si>
  <si>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</si>
  <si>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</si>
  <si>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</si>
  <si>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</si>
  <si>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</si>
  <si>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</si>
  <si>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</si>
  <si>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</si>
  <si>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</si>
  <si>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</si>
  <si>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</si>
  <si>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</si>
  <si>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</si>
  <si>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</si>
  <si>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</si>
  <si>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</si>
  <si>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</si>
  <si>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</si>
  <si>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</si>
  <si>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</si>
  <si>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</si>
  <si>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</si>
  <si>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</si>
  <si>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</si>
  <si>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</si>
  <si>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</si>
  <si>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</si>
  <si>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</si>
  <si>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</si>
  <si>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</si>
  <si>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</si>
  <si>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</si>
  <si>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</si>
  <si>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</si>
  <si>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</si>
  <si>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</si>
  <si>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</si>
  <si>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</si>
  <si>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</si>
  <si>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</si>
  <si>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</si>
  <si>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</si>
  <si>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</si>
  <si>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</si>
  <si>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</si>
  <si>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</si>
  <si>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</si>
  <si>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</si>
  <si>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</si>
  <si>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</si>
  <si>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</si>
  <si>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</si>
  <si>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</si>
  <si>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</si>
  <si>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</si>
  <si>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</si>
  <si>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</si>
  <si>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</si>
  <si>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</si>
  <si>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</si>
  <si>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</si>
  <si>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</si>
  <si>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</si>
  <si>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</si>
  <si>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</si>
  <si>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</si>
  <si>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</si>
  <si>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</si>
  <si>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</si>
  <si>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</si>
  <si>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</si>
  <si>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</si>
  <si>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</si>
  <si>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</si>
  <si>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</si>
  <si>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</si>
  <si>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</si>
  <si>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</si>
  <si>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</si>
  <si>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</si>
  <si>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</si>
  <si>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</si>
  <si>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</si>
  <si>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</si>
  <si>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</si>
  <si>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</si>
  <si>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</si>
  <si>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</si>
  <si>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</si>
  <si>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</si>
  <si>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</si>
  <si>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</si>
  <si>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</si>
  <si>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</si>
  <si>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</si>
  <si>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</si>
  <si>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</si>
  <si>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</si>
  <si>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</si>
  <si>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</si>
  <si>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</si>
  <si>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</si>
  <si>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</si>
  <si>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</si>
  <si>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</si>
  <si>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</si>
  <si>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</si>
  <si>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</si>
  <si>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</si>
  <si>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</si>
  <si>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</si>
  <si>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</si>
  <si>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</si>
  <si>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</si>
  <si>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</si>
  <si>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</si>
  <si>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</si>
  <si>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</si>
  <si>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</si>
  <si>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</si>
  <si>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</si>
  <si>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</si>
  <si>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</si>
  <si>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</si>
  <si>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</si>
  <si>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</si>
  <si>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</si>
  <si>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</si>
  <si>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</si>
  <si>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</si>
  <si>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</si>
  <si>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</si>
  <si>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</si>
  <si>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</si>
  <si>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</si>
  <si>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</si>
  <si>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</si>
  <si>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</si>
  <si>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</si>
  <si>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</si>
  <si>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</si>
  <si>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</si>
  <si>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</si>
  <si>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</si>
  <si>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</si>
  <si>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</si>
  <si>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</si>
  <si>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</si>
  <si>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</si>
  <si>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</si>
  <si>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</si>
  <si>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</si>
  <si>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</si>
  <si>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</si>
  <si>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</si>
  <si>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</si>
  <si>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</si>
  <si>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</si>
  <si>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</si>
  <si>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</si>
  <si>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</si>
  <si>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</si>
  <si>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</si>
  <si>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</si>
  <si>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</si>
  <si>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</si>
  <si>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</si>
  <si>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</si>
  <si>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</si>
  <si>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</si>
  <si>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</si>
  <si>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</si>
  <si>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</si>
  <si>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</si>
  <si>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</si>
  <si>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</si>
  <si>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</si>
  <si>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</si>
  <si>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</si>
  <si>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</si>
  <si>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</si>
  <si>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</si>
  <si>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</si>
  <si>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</si>
  <si>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</si>
  <si>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</si>
  <si>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</si>
  <si>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</si>
  <si>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</si>
  <si>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</si>
  <si>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</si>
  <si>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</si>
  <si>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</si>
  <si>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</si>
  <si>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</si>
  <si>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</si>
  <si>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</si>
  <si>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</si>
  <si>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</si>
  <si>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</si>
  <si>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</si>
  <si>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</si>
  <si>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</si>
  <si>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</si>
  <si>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</si>
  <si>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</si>
  <si>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</si>
  <si>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</si>
  <si>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</si>
  <si>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</si>
  <si>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</si>
  <si>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</si>
  <si>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</si>
  <si>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</si>
  <si>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</si>
  <si>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</si>
  <si>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</si>
  <si>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</si>
  <si>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</si>
  <si>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</si>
  <si>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</si>
  <si>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</si>
  <si>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</si>
  <si>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</si>
  <si>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</si>
  <si>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</si>
  <si>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</si>
  <si>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</si>
  <si>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</si>
  <si>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</si>
  <si>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</si>
  <si>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</si>
  <si>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</si>
  <si>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</si>
  <si>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</si>
  <si>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</si>
  <si>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</si>
  <si>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</si>
  <si>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</si>
  <si>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</si>
  <si>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</si>
  <si>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</si>
  <si>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</si>
  <si>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</si>
  <si>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</si>
  <si>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</si>
  <si>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</si>
  <si>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</si>
  <si>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</si>
  <si>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</si>
  <si>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</si>
  <si>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</si>
  <si>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</si>
  <si>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</si>
  <si>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</si>
  <si>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</si>
  <si>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</si>
  <si>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</si>
  <si>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</si>
  <si>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</si>
  <si>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</si>
  <si>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</si>
  <si>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</si>
  <si>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</si>
  <si>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</si>
  <si>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</si>
  <si>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</si>
  <si>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</si>
  <si>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</si>
  <si>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</si>
  <si>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</si>
  <si>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</si>
  <si>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</si>
  <si>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</si>
  <si>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</si>
  <si>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</si>
  <si>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</si>
  <si>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</si>
  <si>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</si>
  <si>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</si>
  <si>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</si>
  <si>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</si>
  <si>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</si>
  <si>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</si>
  <si>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</si>
  <si>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</si>
  <si>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</si>
  <si>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</si>
  <si>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</si>
  <si>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</si>
  <si>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</si>
  <si>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</si>
  <si>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</si>
  <si>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</si>
  <si>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</si>
  <si>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</si>
  <si>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</si>
  <si>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</si>
  <si>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</si>
  <si>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</si>
  <si>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</si>
  <si>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</si>
  <si>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</si>
  <si>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</si>
  <si>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</si>
  <si>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</si>
  <si>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</si>
  <si>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</si>
  <si>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</si>
  <si>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</si>
  <si>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</si>
  <si>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</si>
  <si>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</si>
  <si>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</si>
  <si>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</si>
  <si>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</si>
  <si>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</si>
  <si>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</si>
  <si>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</si>
  <si>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</si>
  <si>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</si>
  <si>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</si>
  <si>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</si>
  <si>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</si>
  <si>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</si>
  <si>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</si>
  <si>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</si>
  <si>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</si>
  <si>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</si>
  <si>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</si>
  <si>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</si>
  <si>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</si>
  <si>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</si>
  <si>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</si>
  <si>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</si>
  <si>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</si>
  <si>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</si>
  <si>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</si>
  <si>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</si>
  <si>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</si>
  <si>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</si>
  <si>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</si>
  <si>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</si>
  <si>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</si>
  <si>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</si>
  <si>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</si>
  <si>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</si>
  <si>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</si>
  <si>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</si>
  <si>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</si>
  <si>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</si>
  <si>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</si>
  <si>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</si>
  <si>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</si>
  <si>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</si>
  <si>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</si>
  <si>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</si>
  <si>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</si>
  <si>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</si>
  <si>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</si>
  <si>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</si>
  <si>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</si>
  <si>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</si>
  <si>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</si>
  <si>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</si>
  <si>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</si>
  <si>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</si>
  <si>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</si>
  <si>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</si>
  <si>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</si>
  <si>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</si>
  <si>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</si>
  <si>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</si>
  <si>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</si>
  <si>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</si>
  <si>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</si>
  <si>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</si>
  <si>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</si>
  <si>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</si>
  <si>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</si>
  <si>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</si>
  <si>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</si>
  <si>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</si>
  <si>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</si>
  <si>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</si>
  <si>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</si>
  <si>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</si>
  <si>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</si>
  <si>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</si>
  <si>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</si>
  <si>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</si>
  <si>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</si>
  <si>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</si>
  <si>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</si>
  <si>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</si>
  <si>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</si>
  <si>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</si>
  <si>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</si>
  <si>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</si>
  <si>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</si>
  <si>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</si>
  <si>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</si>
  <si>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</si>
  <si>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</si>
  <si>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</si>
  <si>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</si>
  <si>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</si>
  <si>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</si>
  <si>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</si>
  <si>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</si>
  <si>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</si>
  <si>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</si>
  <si>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</si>
  <si>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</si>
  <si>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</si>
  <si>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</si>
  <si>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</si>
  <si>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</si>
  <si>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</si>
  <si>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</si>
  <si>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</si>
  <si>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</si>
  <si>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</si>
  <si>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</si>
  <si>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</si>
  <si>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</si>
  <si>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</si>
  <si>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</si>
  <si>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</si>
  <si>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</si>
  <si>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</si>
  <si>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</si>
  <si>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</si>
  <si>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</si>
  <si>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</si>
  <si>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</si>
  <si>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</si>
  <si>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</si>
  <si>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</si>
  <si>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</si>
  <si>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</si>
  <si>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</si>
  <si>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</si>
  <si>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</si>
  <si>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</si>
  <si>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</si>
  <si>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</si>
  <si>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</si>
  <si>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</si>
  <si>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</si>
  <si>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</si>
  <si>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</si>
  <si>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</si>
  <si>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</si>
  <si>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</si>
  <si>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</si>
  <si>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</si>
  <si>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</si>
  <si>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</si>
  <si>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</si>
  <si>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</si>
  <si>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</si>
  <si>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</si>
  <si>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</si>
  <si>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</si>
  <si>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</si>
  <si>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</si>
  <si>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</si>
  <si>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</si>
  <si>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</si>
  <si>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</si>
  <si>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</si>
  <si>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</si>
  <si>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</si>
  <si>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</si>
  <si>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</si>
  <si>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</si>
  <si>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</si>
  <si>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</si>
  <si>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</si>
  <si>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</si>
  <si>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</si>
  <si>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</si>
  <si>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</si>
  <si>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</si>
  <si>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</si>
  <si>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</si>
  <si>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</si>
  <si>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</si>
  <si>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</si>
  <si>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</si>
  <si>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</si>
  <si>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</si>
  <si>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</si>
  <si>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</si>
  <si>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</si>
  <si>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</si>
  <si>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</si>
  <si>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</si>
  <si>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</si>
  <si>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</si>
  <si>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</si>
  <si>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</si>
  <si>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</si>
  <si>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</si>
  <si>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</si>
  <si>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</si>
  <si>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</si>
  <si>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</si>
  <si>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</si>
  <si>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</si>
  <si>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</si>
  <si>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</si>
  <si>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</si>
  <si>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</si>
  <si>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</si>
  <si>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</si>
  <si>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</si>
  <si>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</si>
  <si>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</si>
  <si>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</si>
  <si>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</si>
  <si>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</si>
  <si>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</si>
  <si>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</si>
  <si>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</si>
  <si>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</si>
  <si>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</si>
  <si>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</si>
  <si>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</si>
  <si>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</si>
  <si>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</si>
  <si>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</si>
  <si>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</si>
  <si>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</si>
  <si>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</si>
  <si>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</si>
  <si>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</si>
  <si>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</si>
  <si>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</si>
  <si>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</si>
  <si>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</si>
  <si>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</si>
  <si>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</si>
  <si>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</si>
  <si>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</si>
  <si>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</si>
  <si>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</si>
  <si>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</si>
  <si>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</si>
  <si>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</si>
  <si>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</si>
  <si>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</si>
  <si>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</si>
  <si>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</si>
  <si>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</si>
  <si>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</si>
  <si>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</si>
  <si>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</si>
  <si>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</si>
  <si>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</si>
  <si>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</si>
  <si>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</si>
  <si>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</si>
  <si>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</si>
  <si>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</si>
  <si>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</si>
  <si>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</si>
  <si>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</si>
  <si>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</si>
  <si>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</si>
  <si>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</si>
  <si>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</si>
  <si>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</si>
  <si>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</si>
  <si>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</si>
  <si>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</si>
  <si>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</si>
  <si>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</si>
  <si>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</si>
  <si>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</si>
  <si>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</si>
  <si>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</si>
  <si>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</si>
  <si>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</si>
  <si>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</si>
  <si>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</si>
  <si>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</si>
  <si>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</si>
  <si>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</si>
  <si>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</si>
  <si>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</si>
  <si>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</si>
  <si>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</si>
  <si>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</si>
  <si>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</si>
  <si>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</si>
  <si>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</si>
  <si>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</si>
  <si>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</si>
  <si>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</si>
  <si>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</si>
  <si>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</si>
  <si>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</si>
  <si>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</si>
  <si>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</si>
  <si>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</si>
  <si>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</si>
  <si>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</si>
  <si>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</si>
  <si>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</si>
  <si>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</si>
  <si>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</si>
  <si>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</si>
  <si>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</si>
  <si>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</si>
  <si>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</si>
  <si>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</si>
  <si>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</si>
  <si>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</si>
  <si>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</si>
  <si>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</si>
  <si>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</si>
  <si>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</si>
  <si>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</si>
  <si>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</si>
  <si>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</si>
  <si>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</si>
  <si>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</si>
  <si>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</si>
  <si>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</si>
  <si>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</si>
  <si>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</si>
  <si>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</si>
  <si>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</si>
  <si>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</si>
  <si>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</si>
  <si>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</si>
  <si>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</si>
  <si>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</si>
  <si>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</si>
  <si>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</si>
  <si>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</si>
  <si>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</si>
  <si>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</si>
  <si>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</si>
  <si>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</si>
  <si>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</si>
  <si>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</si>
  <si>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</si>
  <si>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</si>
  <si>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</si>
  <si>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</si>
  <si>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</si>
  <si>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</si>
  <si>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</si>
  <si>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</si>
  <si>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</si>
  <si>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</si>
  <si>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</si>
  <si>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</si>
  <si>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</si>
  <si>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</si>
  <si>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</si>
  <si>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</si>
  <si>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</si>
  <si>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</si>
  <si>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</si>
  <si>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</si>
  <si>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</si>
  <si>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</si>
  <si>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</si>
  <si>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</si>
  <si>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</si>
  <si>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</si>
  <si>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</si>
  <si>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</si>
  <si>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</si>
  <si>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</si>
  <si>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</si>
  <si>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</si>
  <si>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</si>
  <si>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</si>
  <si>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</si>
  <si>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</si>
  <si>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</si>
  <si>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</si>
  <si>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</si>
  <si>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</si>
  <si>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</si>
  <si>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</si>
  <si>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</si>
  <si>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</si>
  <si>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</si>
  <si>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</si>
  <si>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</si>
  <si>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</si>
  <si>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</si>
  <si>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</si>
  <si>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</si>
  <si>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</si>
  <si>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</si>
  <si>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</si>
  <si>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</si>
  <si>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</si>
  <si>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</si>
  <si>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</si>
  <si>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</si>
  <si>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</si>
  <si>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</si>
  <si>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</si>
  <si>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</si>
  <si>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</si>
  <si>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</si>
  <si>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</si>
  <si>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</si>
  <si>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</si>
  <si>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</si>
  <si>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</si>
  <si>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</si>
  <si>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</si>
  <si>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</si>
  <si>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</si>
  <si>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</si>
  <si>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</si>
  <si>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</si>
  <si>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</si>
  <si>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</si>
  <si>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</si>
  <si>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</si>
  <si>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</si>
  <si>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</si>
  <si>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</si>
  <si>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</si>
  <si>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</si>
  <si>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</si>
  <si>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</si>
  <si>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</si>
  <si>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</si>
  <si>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</si>
  <si>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</si>
  <si>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</si>
  <si>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</si>
  <si>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</si>
  <si>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</si>
  <si>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</si>
  <si>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</si>
  <si>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</si>
  <si>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</si>
  <si>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</si>
  <si>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</si>
  <si>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</si>
  <si>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</si>
  <si>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</si>
  <si>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</si>
  <si>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</si>
  <si>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</si>
  <si>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</si>
  <si>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</si>
  <si>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</si>
  <si>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</si>
  <si>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</si>
  <si>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</si>
  <si>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</si>
  <si>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</si>
  <si>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</si>
  <si>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</si>
  <si>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</si>
  <si>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</si>
  <si>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</si>
  <si>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</si>
  <si>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</si>
  <si>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</si>
  <si>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</si>
  <si>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</si>
  <si>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</si>
  <si>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</si>
  <si>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</si>
  <si>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</si>
  <si>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</si>
  <si>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</si>
  <si>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</si>
  <si>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</si>
  <si>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</si>
  <si>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</si>
  <si>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</si>
  <si>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</si>
  <si>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</si>
  <si>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</si>
  <si>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</si>
  <si>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</si>
  <si>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</si>
  <si>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</si>
  <si>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</si>
  <si>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</si>
  <si>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</si>
  <si>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</si>
  <si>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</si>
  <si>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</si>
  <si>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</si>
  <si>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</si>
  <si>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</si>
  <si>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</si>
  <si>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</si>
  <si>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</si>
  <si>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</si>
  <si>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</si>
  <si>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</si>
  <si>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</si>
  <si>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</si>
  <si>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</si>
  <si>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</si>
  <si>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</si>
  <si>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</si>
  <si>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</si>
  <si>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</si>
  <si>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</si>
  <si>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</si>
  <si>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</si>
  <si>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</si>
  <si>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</si>
  <si>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</si>
  <si>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</si>
  <si>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</si>
  <si>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</si>
  <si>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</si>
  <si>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</si>
  <si>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</si>
  <si>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</si>
  <si>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</si>
  <si>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</si>
  <si>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</si>
  <si>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</si>
  <si>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</si>
  <si>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</si>
  <si>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</si>
  <si>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</si>
  <si>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</si>
  <si>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</si>
  <si>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</si>
  <si>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</si>
  <si>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</si>
  <si>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</si>
  <si>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</si>
  <si>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</si>
  <si>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</si>
  <si>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</si>
  <si>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</si>
  <si>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</si>
  <si>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</si>
  <si>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</si>
  <si>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</si>
  <si>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</si>
  <si>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</si>
  <si>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</si>
  <si>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</si>
  <si>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</si>
  <si>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</si>
  <si>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</si>
  <si>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</si>
  <si>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</si>
  <si>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</si>
  <si>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</si>
  <si>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</si>
  <si>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</si>
  <si>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</si>
  <si>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</si>
  <si>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</si>
  <si>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</si>
  <si>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</si>
  <si>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</si>
  <si>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</si>
  <si>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</si>
  <si>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</si>
  <si>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</si>
  <si>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</si>
  <si>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</si>
  <si>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</si>
  <si>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</si>
  <si>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</si>
  <si>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</si>
  <si>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</si>
  <si>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</si>
  <si>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</si>
  <si>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</si>
  <si>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</si>
  <si>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</si>
  <si>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</si>
  <si>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</si>
  <si>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</si>
  <si>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</si>
  <si>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</si>
  <si>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</si>
  <si>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</si>
  <si>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</si>
  <si>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</si>
  <si>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</si>
  <si>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</si>
  <si>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</si>
  <si>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</si>
  <si>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</si>
  <si>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</si>
  <si>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</si>
  <si>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</si>
  <si>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</si>
  <si>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</si>
  <si>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</si>
  <si>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</si>
  <si>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</si>
  <si>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</si>
  <si>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</si>
  <si>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</si>
  <si>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</si>
  <si>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</si>
  <si>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</si>
  <si>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</si>
  <si>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</si>
  <si>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</si>
  <si>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</si>
  <si>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</si>
  <si>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</si>
  <si>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</si>
  <si>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</si>
  <si>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</si>
  <si>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</si>
  <si>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</si>
  <si>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</si>
  <si>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</si>
  <si>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</si>
  <si>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</si>
  <si>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</si>
  <si>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</si>
  <si>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</si>
  <si>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</si>
  <si>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</si>
  <si>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</si>
  <si>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</si>
  <si>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</si>
  <si>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</si>
  <si>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</si>
  <si>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</si>
  <si>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</si>
  <si>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</si>
  <si>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</si>
  <si>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</si>
  <si>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</si>
  <si>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</si>
  <si>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</si>
  <si>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</si>
  <si>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</si>
  <si>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</si>
  <si>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</si>
  <si>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</si>
  <si>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</si>
  <si>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</si>
  <si>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</si>
  <si>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</si>
  <si>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</si>
  <si>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</si>
  <si>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</si>
  <si>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</si>
  <si>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</si>
  <si>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</si>
  <si>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</si>
  <si>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</si>
  <si>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</si>
  <si>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</si>
  <si>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</si>
  <si>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</si>
  <si>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</si>
  <si>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</si>
  <si>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</si>
  <si>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</si>
  <si>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</si>
  <si>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</si>
  <si>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</si>
  <si>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</si>
  <si>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</si>
  <si>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</si>
  <si>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</si>
  <si>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</si>
  <si>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</si>
  <si>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</si>
  <si>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</si>
  <si>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</si>
  <si>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</si>
  <si>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</si>
  <si>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</si>
  <si>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</si>
  <si>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</si>
  <si>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</si>
  <si>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</si>
  <si>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</si>
  <si>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</si>
  <si>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</si>
  <si>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</si>
  <si>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</si>
  <si>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</si>
  <si>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</si>
  <si>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</si>
  <si>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</si>
  <si>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</si>
  <si>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</si>
  <si>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</si>
  <si>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</si>
  <si>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</si>
  <si>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</si>
  <si>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</si>
  <si>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</si>
  <si>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</si>
  <si>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</si>
  <si>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</si>
  <si>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</si>
  <si>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</si>
  <si>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</si>
  <si>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</si>
  <si>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</si>
  <si>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</si>
  <si>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</si>
  <si>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</si>
  <si>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</si>
  <si>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</si>
  <si>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</si>
  <si>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</si>
  <si>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</si>
  <si>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</si>
  <si>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</si>
  <si>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</si>
  <si>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</si>
  <si>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</si>
  <si>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</si>
  <si>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</si>
  <si>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</si>
  <si>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</si>
  <si>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</si>
  <si>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</si>
  <si>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</si>
  <si>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</si>
  <si>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</si>
  <si>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</si>
  <si>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</si>
  <si>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</si>
  <si>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</si>
  <si>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</si>
  <si>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</si>
  <si>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</si>
  <si>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</si>
  <si>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</si>
  <si>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</si>
  <si>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</si>
  <si>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</si>
  <si>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</si>
  <si>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</si>
  <si>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</si>
  <si>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</si>
  <si>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</si>
  <si>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</si>
  <si>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</si>
  <si>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</si>
  <si>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</si>
  <si>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</si>
  <si>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</si>
  <si>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</si>
  <si>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</si>
  <si>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</si>
  <si>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</si>
  <si>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</si>
  <si>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</si>
  <si>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</si>
  <si>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</si>
  <si>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</si>
  <si>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</si>
  <si>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</si>
  <si>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</si>
  <si>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</si>
  <si>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</si>
  <si>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</si>
  <si>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</si>
  <si>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</si>
  <si>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</si>
  <si>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</si>
  <si>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</si>
  <si>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</si>
  <si>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</si>
  <si>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</si>
  <si>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</si>
  <si>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</si>
  <si>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</si>
  <si>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</si>
  <si>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</si>
  <si>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</si>
  <si>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</si>
  <si>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</si>
  <si>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</si>
  <si>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</si>
  <si>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</si>
  <si>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</si>
  <si>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</si>
  <si>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</si>
  <si>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</si>
  <si>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</si>
  <si>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</si>
  <si>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</si>
  <si>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</si>
  <si>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</si>
  <si>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</si>
  <si>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</si>
  <si>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</si>
  <si>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</si>
  <si>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</si>
  <si>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</si>
  <si>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</si>
  <si>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</si>
  <si>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</si>
  <si>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</si>
  <si>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</si>
  <si>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</si>
  <si>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</si>
  <si>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</si>
  <si>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</si>
  <si>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</si>
  <si>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</si>
  <si>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</si>
  <si>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</si>
  <si>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</si>
  <si>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</si>
  <si>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</si>
  <si>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</si>
  <si>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</si>
  <si>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</si>
  <si>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</si>
  <si>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</si>
  <si>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</si>
  <si>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</si>
  <si>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</si>
  <si>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</si>
  <si>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</si>
  <si>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</si>
  <si>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</si>
  <si>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</si>
  <si>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</si>
  <si>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</si>
  <si>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</si>
  <si>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</si>
  <si>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</si>
  <si>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</si>
  <si>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</si>
  <si>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</si>
  <si>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</si>
  <si>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</si>
  <si>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</si>
  <si>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</si>
  <si>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</si>
  <si>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</si>
  <si>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</si>
  <si>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</si>
  <si>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</si>
  <si>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</si>
  <si>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</si>
  <si>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</si>
  <si>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</si>
  <si>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</si>
  <si>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</si>
  <si>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</si>
  <si>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</si>
  <si>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</si>
  <si>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</si>
  <si>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</si>
  <si>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</si>
  <si>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</si>
  <si>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</si>
  <si>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</si>
  <si>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</si>
  <si>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</si>
  <si>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</si>
  <si>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</si>
  <si>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</si>
  <si>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</si>
  <si>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</si>
  <si>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</si>
  <si>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</si>
  <si>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</si>
  <si>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</si>
  <si>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</si>
  <si>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</si>
  <si>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</si>
  <si>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</si>
  <si>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</si>
  <si>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</si>
  <si>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</si>
  <si>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</si>
  <si>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</si>
  <si>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</si>
  <si>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</si>
  <si>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</si>
  <si>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</si>
  <si>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</si>
  <si>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</si>
  <si>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</si>
  <si>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</si>
  <si>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</si>
  <si>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</si>
  <si>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</si>
  <si>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</si>
  <si>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</si>
  <si>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</si>
  <si>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</si>
  <si>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</si>
  <si>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</si>
  <si>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</si>
  <si>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</si>
  <si>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</si>
  <si>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</si>
  <si>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</si>
  <si>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</si>
  <si>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</si>
  <si>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</si>
  <si>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</si>
  <si>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</si>
  <si>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</si>
  <si>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</si>
  <si>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</si>
  <si>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</si>
  <si>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</si>
  <si>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</si>
  <si>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</si>
  <si>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</si>
  <si>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</si>
  <si>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</si>
  <si>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</si>
  <si>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</si>
  <si>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</si>
  <si>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</si>
  <si>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</si>
  <si>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</si>
  <si>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</si>
  <si>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</si>
  <si>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</si>
  <si>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</si>
  <si>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</si>
  <si>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</si>
  <si>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</si>
  <si>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</si>
  <si>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</si>
  <si>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</si>
  <si>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</si>
  <si>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</si>
  <si>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</si>
  <si>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</si>
  <si>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</si>
  <si>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</si>
  <si>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</si>
  <si>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</si>
  <si>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</si>
  <si>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</si>
  <si>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</si>
  <si>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</si>
  <si>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</si>
  <si>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</si>
  <si>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</si>
  <si>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</si>
  <si>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</si>
  <si>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</si>
  <si>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</si>
  <si>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</si>
  <si>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</si>
  <si>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</si>
  <si>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</si>
  <si>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</si>
  <si>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</si>
  <si>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</si>
  <si>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</si>
  <si>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</si>
  <si>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</si>
  <si>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</si>
  <si>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</si>
  <si>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</si>
  <si>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</si>
  <si>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</si>
  <si>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</si>
  <si>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</si>
  <si>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</si>
  <si>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</si>
  <si>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</si>
  <si>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</si>
  <si>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</si>
  <si>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</si>
  <si>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</si>
  <si>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</si>
  <si>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</si>
  <si>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</si>
  <si>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</si>
  <si>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</si>
  <si>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</si>
  <si>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</si>
  <si>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</si>
  <si>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</si>
  <si>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</si>
  <si>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</si>
  <si>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</si>
  <si>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</si>
  <si>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</si>
  <si>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</si>
  <si>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</si>
  <si>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</si>
  <si>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</si>
  <si>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</si>
  <si>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</si>
  <si>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</si>
  <si>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</si>
  <si>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</si>
  <si>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</si>
  <si>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</si>
  <si>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</si>
  <si>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</si>
  <si>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</si>
  <si>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</si>
  <si>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</si>
  <si>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</si>
  <si>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</si>
  <si>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</si>
  <si>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</si>
  <si>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</si>
  <si>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</si>
  <si>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</si>
  <si>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</si>
  <si>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</si>
  <si>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</si>
  <si>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</si>
  <si>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</si>
  <si>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</si>
  <si>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</si>
  <si>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</si>
  <si>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</si>
  <si>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</si>
  <si>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</si>
  <si>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</si>
  <si>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</si>
  <si>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</si>
  <si>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</si>
  <si>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</si>
  <si>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</si>
  <si>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</si>
  <si>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</si>
  <si>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</si>
  <si>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</si>
  <si>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</si>
  <si>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</si>
  <si>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</si>
  <si>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</si>
  <si>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</si>
  <si>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</si>
  <si>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</si>
  <si>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</si>
  <si>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</si>
  <si>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</si>
  <si>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</si>
  <si>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</si>
  <si>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</si>
  <si>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</si>
  <si>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</si>
  <si>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</si>
  <si>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</si>
  <si>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</si>
  <si>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</si>
  <si>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</si>
  <si>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</si>
  <si>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</si>
  <si>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</si>
  <si>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</si>
  <si>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</si>
  <si>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</si>
  <si>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</si>
  <si>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</si>
  <si>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</si>
  <si>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</si>
  <si>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</si>
  <si>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</si>
  <si>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</si>
  <si>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</si>
  <si>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</si>
  <si>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</si>
  <si>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</si>
  <si>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</si>
  <si>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</si>
  <si>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</si>
  <si>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</si>
  <si>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</si>
  <si>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</si>
  <si>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</si>
  <si>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</si>
  <si>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</si>
  <si>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</si>
  <si>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</si>
  <si>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</si>
  <si>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</si>
  <si>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</si>
  <si>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</si>
  <si>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</si>
  <si>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</si>
  <si>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</si>
  <si>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</si>
  <si>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</si>
  <si>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</si>
  <si>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</si>
  <si>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</si>
  <si>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</si>
  <si>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</si>
  <si>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</si>
  <si>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</si>
  <si>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</si>
  <si>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</si>
  <si>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</si>
  <si>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</si>
  <si>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</si>
  <si>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</si>
  <si>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</si>
  <si>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</si>
  <si>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</si>
  <si>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</si>
  <si>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</si>
  <si>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</si>
  <si>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</si>
  <si>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</si>
  <si>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</si>
  <si>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</si>
  <si>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</si>
  <si>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</si>
  <si>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</si>
  <si>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</si>
  <si>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</si>
  <si>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</si>
  <si>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</si>
  <si>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</si>
  <si>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</si>
  <si>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</si>
  <si>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</si>
  <si>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</si>
  <si>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</si>
  <si>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</si>
  <si>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</si>
  <si>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</si>
  <si>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</si>
  <si>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</si>
  <si>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</si>
  <si>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</si>
  <si>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</si>
  <si>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</si>
  <si>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</si>
  <si>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</si>
  <si>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</si>
  <si>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</si>
  <si>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</si>
  <si>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</si>
  <si>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</si>
  <si>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</si>
  <si>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</si>
  <si>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</si>
  <si>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</si>
  <si>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</si>
  <si>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</si>
  <si>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</si>
  <si>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</si>
  <si>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</si>
  <si>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</si>
  <si>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</si>
  <si>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</si>
  <si>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</si>
  <si>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</si>
  <si>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</si>
  <si>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</si>
  <si>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</si>
  <si>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</si>
  <si>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</si>
  <si>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</si>
  <si>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</si>
  <si>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</si>
  <si>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</si>
  <si>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</si>
  <si>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</si>
  <si>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</si>
  <si>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</si>
  <si>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</si>
  <si>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</si>
  <si>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</si>
  <si>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</si>
  <si>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</si>
  <si>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</si>
  <si>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</si>
  <si>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</si>
  <si>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</si>
  <si>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</si>
  <si>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</si>
  <si>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</si>
  <si>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</si>
  <si>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</si>
  <si>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</si>
  <si>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</si>
  <si>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</si>
  <si>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</si>
  <si>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</si>
  <si>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</si>
  <si>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</si>
  <si>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</si>
  <si>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</si>
  <si>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</si>
  <si>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</si>
  <si>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</si>
  <si>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</si>
  <si>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</si>
  <si>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</si>
  <si>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</si>
  <si>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</si>
  <si>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</si>
  <si>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</si>
  <si>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</si>
  <si>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</si>
  <si>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</si>
  <si>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</si>
  <si>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</si>
  <si>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</si>
  <si>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</si>
  <si>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</si>
  <si>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</si>
  <si>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</si>
  <si>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</si>
  <si>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</si>
  <si>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</si>
  <si>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</si>
  <si>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</si>
  <si>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</si>
  <si>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</si>
  <si>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</si>
  <si>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</si>
  <si>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</si>
  <si>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</si>
  <si>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</si>
  <si>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</si>
  <si>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</si>
  <si>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</si>
  <si>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</si>
  <si>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</si>
  <si>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</si>
  <si>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</si>
  <si>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</si>
  <si>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</si>
  <si>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</si>
  <si>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</si>
  <si>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</si>
  <si>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</si>
  <si>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</si>
  <si>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</si>
  <si>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</si>
  <si>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</si>
  <si>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</si>
  <si>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</si>
  <si>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</si>
  <si>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</si>
  <si>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</si>
  <si>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</si>
  <si>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</si>
  <si>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</si>
  <si>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</si>
  <si>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</si>
  <si>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</si>
  <si>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</si>
  <si>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</si>
  <si>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</si>
  <si>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</si>
  <si>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</si>
  <si>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</si>
  <si>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</si>
  <si>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</si>
  <si>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</si>
  <si>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</si>
  <si>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</si>
  <si>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</si>
  <si>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</si>
  <si>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</si>
  <si>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</si>
  <si>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</si>
  <si>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</si>
  <si>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</si>
  <si>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</si>
  <si>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</si>
  <si>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</si>
  <si>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</si>
  <si>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</si>
  <si>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</si>
  <si>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</si>
  <si>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</si>
  <si>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</si>
  <si>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</si>
  <si>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</si>
  <si>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</si>
  <si>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</si>
  <si>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</si>
  <si>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</si>
  <si>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</si>
  <si>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</si>
  <si>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</si>
  <si>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</si>
  <si>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</si>
  <si>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</si>
  <si>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</si>
  <si>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</si>
  <si>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</si>
  <si>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</si>
  <si>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</si>
  <si>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</si>
  <si>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</si>
  <si>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</si>
  <si>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</si>
  <si>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</si>
  <si>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</si>
  <si>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</si>
  <si>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</si>
  <si>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</si>
  <si>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</si>
  <si>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</si>
  <si>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</si>
  <si>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</si>
  <si>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</si>
  <si>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</si>
  <si>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</si>
  <si>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</si>
  <si>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</si>
  <si>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</si>
  <si>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</si>
  <si>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</si>
  <si>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</si>
  <si>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</si>
  <si>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</si>
  <si>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</si>
  <si>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</si>
  <si>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</si>
  <si>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</si>
  <si>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</si>
  <si>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</si>
  <si>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</si>
  <si>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</si>
  <si>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</si>
  <si>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</si>
  <si>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</si>
  <si>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</si>
  <si>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</si>
  <si>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</si>
  <si>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</si>
  <si>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</si>
  <si>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</si>
  <si>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</si>
  <si>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</si>
  <si>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</si>
  <si>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</si>
  <si>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</si>
  <si>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</si>
  <si>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</si>
  <si>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</si>
  <si>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</si>
  <si>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</si>
  <si>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</si>
  <si>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</si>
  <si>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</si>
  <si>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</si>
  <si>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</si>
  <si>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</si>
  <si>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</si>
  <si>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</si>
  <si>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</si>
  <si>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</si>
  <si>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</si>
  <si>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</si>
  <si>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</si>
  <si>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</si>
  <si>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</si>
  <si>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</si>
  <si>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</si>
  <si>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</si>
  <si>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</si>
  <si>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</si>
  <si>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</si>
  <si>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</si>
  <si>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</si>
  <si>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</si>
  <si>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</si>
  <si>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</si>
  <si>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</si>
  <si>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</si>
  <si>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</si>
  <si>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</si>
  <si>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</si>
  <si>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</si>
  <si>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</si>
  <si>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</si>
  <si>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</si>
  <si>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</si>
  <si>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</si>
  <si>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</si>
  <si>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</si>
  <si>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</si>
  <si>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</si>
  <si>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</si>
  <si>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</si>
  <si>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</si>
  <si>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</si>
  <si>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</si>
  <si>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</si>
  <si>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</si>
  <si>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</si>
  <si>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</si>
  <si>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</si>
  <si>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</si>
  <si>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</si>
  <si>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</si>
  <si>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</si>
  <si>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</si>
  <si>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</si>
  <si>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</si>
  <si>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</si>
  <si>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</si>
  <si>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</si>
  <si>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</si>
  <si>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</si>
  <si>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</si>
  <si>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</si>
  <si>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</si>
  <si>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</si>
  <si>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</si>
  <si>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</si>
  <si>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</si>
  <si>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</si>
  <si>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</si>
  <si>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</si>
  <si>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</si>
  <si>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</si>
  <si>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</si>
  <si>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</si>
  <si>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</si>
  <si>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</si>
  <si>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</si>
  <si>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</si>
  <si>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</si>
  <si>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</si>
  <si>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</si>
  <si>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</si>
  <si>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</si>
  <si>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</si>
  <si>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</si>
  <si>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</si>
  <si>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</si>
  <si>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</si>
  <si>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</si>
  <si>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</si>
  <si>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</si>
  <si>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</si>
  <si>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</si>
  <si>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</si>
  <si>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</si>
  <si>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</si>
  <si>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</si>
  <si>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</si>
  <si>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</si>
  <si>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</si>
  <si>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</si>
  <si>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</si>
  <si>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</si>
  <si>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</si>
  <si>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</si>
  <si>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</si>
  <si>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</si>
  <si>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</si>
  <si>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</si>
  <si>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</si>
  <si>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</si>
  <si>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</si>
  <si>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</si>
  <si>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</si>
  <si>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</si>
  <si>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</si>
  <si>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</si>
  <si>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</si>
  <si>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</si>
  <si>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</si>
  <si>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</si>
  <si>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</si>
  <si>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</si>
  <si>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</si>
  <si>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</si>
  <si>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</si>
  <si>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</si>
  <si>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</si>
  <si>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</si>
  <si>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</si>
  <si>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</si>
  <si>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</si>
  <si>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</si>
  <si>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</si>
  <si>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</si>
  <si>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</si>
  <si>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</si>
  <si>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</si>
  <si>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</si>
  <si>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</si>
  <si>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</si>
  <si>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</si>
  <si>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</si>
  <si>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</si>
  <si>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</si>
  <si>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</si>
  <si>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</si>
  <si>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</si>
  <si>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</si>
  <si>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</si>
  <si>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</si>
  <si>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</si>
  <si>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</si>
  <si>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</si>
  <si>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</si>
  <si>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</si>
  <si>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</si>
  <si>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</si>
  <si>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</si>
  <si>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</si>
  <si>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</si>
  <si>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</si>
  <si>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</si>
  <si>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</si>
  <si>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</si>
  <si>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</si>
  <si>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</si>
  <si>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</si>
  <si>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</si>
  <si>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</si>
  <si>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</si>
  <si>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</si>
  <si>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</si>
  <si>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</si>
  <si>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</si>
  <si>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</si>
  <si>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</si>
  <si>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</si>
  <si>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</si>
  <si>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</si>
  <si>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</si>
  <si>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</si>
  <si>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</si>
  <si>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</si>
  <si>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</si>
  <si>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</si>
  <si>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</si>
  <si>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</si>
  <si>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</si>
  <si>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</si>
  <si>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</si>
  <si>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</si>
  <si>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</si>
  <si>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</si>
  <si>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</si>
  <si>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</si>
  <si>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</si>
  <si>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</si>
  <si>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</si>
  <si>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</si>
  <si>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</si>
  <si>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</si>
  <si>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</si>
  <si>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</si>
  <si>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</si>
  <si>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</si>
  <si>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</si>
  <si>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</si>
  <si>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</si>
  <si>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</si>
  <si>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</si>
  <si>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</si>
  <si>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</si>
  <si>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</si>
  <si>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</si>
  <si>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</si>
  <si>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</si>
  <si>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</si>
  <si>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</si>
  <si>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</si>
  <si>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</si>
  <si>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</si>
  <si>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</si>
  <si>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</si>
  <si>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</si>
  <si>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</si>
  <si>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</si>
  <si>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</si>
  <si>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</si>
  <si>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</si>
  <si>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</si>
  <si>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</si>
  <si>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</si>
  <si>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</si>
  <si>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</si>
  <si>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</si>
  <si>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</si>
  <si>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</si>
  <si>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</si>
  <si>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</si>
  <si>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</si>
  <si>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</si>
  <si>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</si>
  <si>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</si>
  <si>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</si>
  <si>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</si>
  <si>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</si>
  <si>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</si>
  <si>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</si>
  <si>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</si>
  <si>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</si>
  <si>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</si>
  <si>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</si>
  <si>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</si>
  <si>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</si>
  <si>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</si>
  <si>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</si>
  <si>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</si>
  <si>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</si>
  <si>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</si>
  <si>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</si>
  <si>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</si>
  <si>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</si>
  <si>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</si>
  <si>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</si>
  <si>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</si>
  <si>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</si>
  <si>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</si>
  <si>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</si>
  <si>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</si>
  <si>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</si>
  <si>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</si>
  <si>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</si>
  <si>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</si>
  <si>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</si>
  <si>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</si>
  <si>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</si>
  <si>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</si>
  <si>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</si>
  <si>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</si>
  <si>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</si>
  <si>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</si>
  <si>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</si>
  <si>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</si>
  <si>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</si>
  <si>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</si>
  <si>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</si>
  <si>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</si>
  <si>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</si>
  <si>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</si>
  <si>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</si>
  <si>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</si>
  <si>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</si>
  <si>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</si>
  <si>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</si>
  <si>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</si>
  <si>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</si>
  <si>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</si>
  <si>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</si>
  <si>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</si>
  <si>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</si>
  <si>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</si>
  <si>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</si>
  <si>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</si>
  <si>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</si>
  <si>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</si>
  <si>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</si>
  <si>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</si>
  <si>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</si>
  <si>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</si>
  <si>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</si>
  <si>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</si>
  <si>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</si>
  <si>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</si>
  <si>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</si>
  <si>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</si>
  <si>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</si>
  <si>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</si>
  <si>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</si>
  <si>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</si>
  <si>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</si>
  <si>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</si>
  <si>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</si>
  <si>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</si>
  <si>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</si>
  <si>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</si>
  <si>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</si>
  <si>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</si>
  <si>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</si>
  <si>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</si>
  <si>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</si>
  <si>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</si>
  <si>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</si>
  <si>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</si>
  <si>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</si>
  <si>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</si>
  <si>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</si>
  <si>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</si>
  <si>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</si>
  <si>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</si>
  <si>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</si>
  <si>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</si>
  <si>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</si>
  <si>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</si>
  <si>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</si>
  <si>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</si>
  <si>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</si>
  <si>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</si>
  <si>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</si>
  <si>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</si>
  <si>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</si>
  <si>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</si>
  <si>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</si>
  <si>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</si>
  <si>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</si>
  <si>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</si>
  <si>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</si>
  <si>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</si>
  <si>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</si>
  <si>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</si>
  <si>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</si>
  <si>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</si>
  <si>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</si>
  <si>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</si>
  <si>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</si>
  <si>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</si>
  <si>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</si>
  <si>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</si>
  <si>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</si>
  <si>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</si>
  <si>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</si>
  <si>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</si>
  <si>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</si>
  <si>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</si>
  <si>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</si>
  <si>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</si>
  <si>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</si>
  <si>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</si>
  <si>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</si>
  <si>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</si>
  <si>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</si>
  <si>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</si>
  <si>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</si>
  <si>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</si>
  <si>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</si>
  <si>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</si>
  <si>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</si>
  <si>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</si>
  <si>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</si>
  <si>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</si>
  <si>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</si>
  <si>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</si>
  <si>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</si>
  <si>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</si>
  <si>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</si>
  <si>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</si>
  <si>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</si>
  <si>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</si>
  <si>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</si>
  <si>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</si>
  <si>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</si>
  <si>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</si>
  <si>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</si>
  <si>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</si>
  <si>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</si>
  <si>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</si>
  <si>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</si>
  <si>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</si>
  <si>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</si>
  <si>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</si>
  <si>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</si>
  <si>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</si>
  <si>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</si>
  <si>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</si>
  <si>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</si>
  <si>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</si>
  <si>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</si>
  <si>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</si>
  <si>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</si>
  <si>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</si>
  <si>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</si>
  <si>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</si>
  <si>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</si>
  <si>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</si>
  <si>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</si>
  <si>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</si>
  <si>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</si>
  <si>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</si>
  <si>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</si>
  <si>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</si>
  <si>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</si>
  <si>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</si>
  <si>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</si>
  <si>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</si>
  <si>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</si>
  <si>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</si>
  <si>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</si>
  <si>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</si>
  <si>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</si>
  <si>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</si>
  <si>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</si>
  <si>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</si>
  <si>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</si>
  <si>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</si>
  <si>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</si>
  <si>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</si>
  <si>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</si>
  <si>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</si>
  <si>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</si>
  <si>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</si>
  <si>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</si>
  <si>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</si>
  <si>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</si>
  <si>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</si>
  <si>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</si>
  <si>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</si>
  <si>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</si>
  <si>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</si>
  <si>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</si>
  <si>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</si>
  <si>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</si>
  <si>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</si>
  <si>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</si>
  <si>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</si>
  <si>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</si>
  <si>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</si>
  <si>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</si>
  <si>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</si>
  <si>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</si>
  <si>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</si>
  <si>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</si>
  <si>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</si>
  <si>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</si>
  <si>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</si>
  <si>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</si>
  <si>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</si>
  <si>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</si>
  <si>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</si>
  <si>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</si>
  <si>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</si>
  <si>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</si>
  <si>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</si>
  <si>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</si>
  <si>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</si>
  <si>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</si>
  <si>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</si>
  <si>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</si>
  <si>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</si>
  <si>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</si>
  <si>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</si>
  <si>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</si>
  <si>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</si>
  <si>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</si>
  <si>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</si>
  <si>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</si>
  <si>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</si>
  <si>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</si>
  <si>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</si>
  <si>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</si>
  <si>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</si>
  <si>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</si>
  <si>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</si>
  <si>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</si>
  <si>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</si>
  <si>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</si>
  <si>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</si>
  <si>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</si>
  <si>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</si>
  <si>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</si>
  <si>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</si>
  <si>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</si>
  <si>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</si>
  <si>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</si>
  <si>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</si>
  <si>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</si>
  <si>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</si>
  <si>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</si>
  <si>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</si>
  <si>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</si>
  <si>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</si>
  <si>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</si>
  <si>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</si>
  <si>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</si>
  <si>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</si>
  <si>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</si>
  <si>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</si>
  <si>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</si>
  <si>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</si>
  <si>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</si>
  <si>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</si>
  <si>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</si>
  <si>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</si>
  <si>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</si>
  <si>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</si>
  <si>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</si>
  <si>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</si>
  <si>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</si>
  <si>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</si>
  <si>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</si>
  <si>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</si>
  <si>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</si>
  <si>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</si>
  <si>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</si>
  <si>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</si>
  <si>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</si>
  <si>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</si>
  <si>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</si>
  <si>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</si>
  <si>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</si>
  <si>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</si>
  <si>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</si>
  <si>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</si>
  <si>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</si>
  <si>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</si>
  <si>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</si>
  <si>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</si>
  <si>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</si>
  <si>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</si>
  <si>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</si>
  <si>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</si>
  <si>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</si>
  <si>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</si>
  <si>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</si>
  <si>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</si>
  <si>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</si>
  <si>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</si>
  <si>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</si>
  <si>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</si>
  <si>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</si>
  <si>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</si>
  <si>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</si>
  <si>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</si>
  <si>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</si>
  <si>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</si>
  <si>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</si>
  <si>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</si>
  <si>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</si>
  <si>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</si>
  <si>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</si>
  <si>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</si>
  <si>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</si>
  <si>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</si>
  <si>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</si>
  <si>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</si>
  <si>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</si>
  <si>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</si>
  <si>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</si>
  <si>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</si>
  <si>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</si>
  <si>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</si>
  <si>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</si>
  <si>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</si>
  <si>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</si>
  <si>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</si>
  <si>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</si>
  <si>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</si>
  <si>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</si>
  <si>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</si>
  <si>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</si>
  <si>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</si>
  <si>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</si>
  <si>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</si>
  <si>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</si>
  <si>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</si>
  <si>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</si>
  <si>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</si>
  <si>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</si>
  <si>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</si>
  <si>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</si>
  <si>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</si>
  <si>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</si>
  <si>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</si>
  <si>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</si>
  <si>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</si>
  <si>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</si>
  <si>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</si>
  <si>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</si>
  <si>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</si>
  <si>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</si>
  <si>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</si>
  <si>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</si>
  <si>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</si>
  <si>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</si>
  <si>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</si>
  <si>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</si>
  <si>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</si>
  <si>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</si>
  <si>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</si>
  <si>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</si>
  <si>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</si>
  <si>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</si>
  <si>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</si>
  <si>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</si>
  <si>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</si>
  <si>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</si>
  <si>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</si>
  <si>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</si>
  <si>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</si>
  <si>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</si>
  <si>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</si>
  <si>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</si>
  <si>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</si>
  <si>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</si>
  <si>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</si>
  <si>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</si>
  <si>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</si>
  <si>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</si>
  <si>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</si>
  <si>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</si>
  <si>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</si>
  <si>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</si>
  <si>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</si>
  <si>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</si>
  <si>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</si>
  <si>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</si>
  <si>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</si>
  <si>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</si>
  <si>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</si>
  <si>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</si>
  <si>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</si>
  <si>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</si>
  <si>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</si>
  <si>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</si>
  <si>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</si>
  <si>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</si>
  <si>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</si>
  <si>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</si>
  <si>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</si>
  <si>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</si>
  <si>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</si>
  <si>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</si>
  <si>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</si>
  <si>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</si>
  <si>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</si>
  <si>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</si>
  <si>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</si>
  <si>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</si>
  <si>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</si>
  <si>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</si>
  <si>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</si>
  <si>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</si>
  <si>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</si>
  <si>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</si>
  <si>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</si>
  <si>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</si>
  <si>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</si>
  <si>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</si>
  <si>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</si>
  <si>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</si>
  <si>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</si>
  <si>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</si>
  <si>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</si>
  <si>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</si>
  <si>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</si>
  <si>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</si>
  <si>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</si>
  <si>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</si>
  <si>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</si>
  <si>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</si>
  <si>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</si>
  <si>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</si>
  <si>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</si>
  <si>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</si>
  <si>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</si>
  <si>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</si>
  <si>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</si>
  <si>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</si>
  <si>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</si>
  <si>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</si>
  <si>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</si>
  <si>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</si>
  <si>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</si>
  <si>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</si>
  <si>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</si>
  <si>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</si>
  <si>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</si>
  <si>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</si>
  <si>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</si>
  <si>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</si>
  <si>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</si>
  <si>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</si>
  <si>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</si>
  <si>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</si>
  <si>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</si>
  <si>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</si>
  <si>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</si>
  <si>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</si>
  <si>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</si>
  <si>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</si>
  <si>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</si>
  <si>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</si>
  <si>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</si>
  <si>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</si>
  <si>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</si>
  <si>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</si>
  <si>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</si>
  <si>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</si>
  <si>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</si>
  <si>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</si>
  <si>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</si>
  <si>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</si>
  <si>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</si>
  <si>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</si>
  <si>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</si>
  <si>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</si>
  <si>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</si>
  <si>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</si>
  <si>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</si>
  <si>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</si>
  <si>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</si>
  <si>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</si>
  <si>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</si>
  <si>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</si>
  <si>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</si>
  <si>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</si>
  <si>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</si>
  <si>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</si>
  <si>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</si>
  <si>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</si>
  <si>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</si>
  <si>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</si>
  <si>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</si>
  <si>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</si>
  <si>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</si>
  <si>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</si>
  <si>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</si>
  <si>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</si>
  <si>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</si>
  <si>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</si>
  <si>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</si>
  <si>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</si>
  <si>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</si>
  <si>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</si>
  <si>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</si>
  <si>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</si>
  <si>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</si>
  <si>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</si>
  <si>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</si>
  <si>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</si>
  <si>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</si>
  <si>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</si>
  <si>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</si>
  <si>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</si>
  <si>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</si>
  <si>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</si>
  <si>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</si>
  <si>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</si>
  <si>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</si>
  <si>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</si>
  <si>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</si>
  <si>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</si>
  <si>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</si>
  <si>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</si>
  <si>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</si>
  <si>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</si>
  <si>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</si>
  <si>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</si>
  <si>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</si>
  <si>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</si>
  <si>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</si>
  <si>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</si>
  <si>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</si>
  <si>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</si>
  <si>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</si>
  <si>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</si>
  <si>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</si>
  <si>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</si>
  <si>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</si>
  <si>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</si>
  <si>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</si>
  <si>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</si>
  <si>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</si>
  <si>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</si>
  <si>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</si>
  <si>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</si>
  <si>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</si>
  <si>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</si>
  <si>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</si>
  <si>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</si>
  <si>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</si>
  <si>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</si>
  <si>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</si>
  <si>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</si>
  <si>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</si>
  <si>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</si>
  <si>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</si>
  <si>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</si>
  <si>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</si>
  <si>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</si>
  <si>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</si>
  <si>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</si>
  <si>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</si>
  <si>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</si>
  <si>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</si>
  <si>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</si>
  <si>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</si>
  <si>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</si>
  <si>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</si>
  <si>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</si>
  <si>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</si>
  <si>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</si>
  <si>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</si>
  <si>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</si>
  <si>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</si>
  <si>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</si>
  <si>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</si>
  <si>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</si>
  <si>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</si>
  <si>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</si>
  <si>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</si>
  <si>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</si>
  <si>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</si>
  <si>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</si>
  <si>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</si>
  <si>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</si>
  <si>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</si>
  <si>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</si>
  <si>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</si>
  <si>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</si>
  <si>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</si>
  <si>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</si>
  <si>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</si>
  <si>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</si>
  <si>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</si>
  <si>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</si>
  <si>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</si>
  <si>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</si>
  <si>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</si>
  <si>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</si>
  <si>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</si>
  <si>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</si>
  <si>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</si>
  <si>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</si>
  <si>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</si>
  <si>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</si>
  <si>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</si>
  <si>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</si>
  <si>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</si>
  <si>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</si>
  <si>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</si>
  <si>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</si>
  <si>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</si>
  <si>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</si>
  <si>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</si>
  <si>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</si>
  <si>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</si>
  <si>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</si>
  <si>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</si>
  <si>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</si>
  <si>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</si>
  <si>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</si>
  <si>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</si>
  <si>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</si>
  <si>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</si>
  <si>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</si>
  <si>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</si>
  <si>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</si>
  <si>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</si>
  <si>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</si>
  <si>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</si>
  <si>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</si>
  <si>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</si>
  <si>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</si>
  <si>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</si>
  <si>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</si>
  <si>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</si>
  <si>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</si>
  <si>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</si>
  <si>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</si>
  <si>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</si>
  <si>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</si>
  <si>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</si>
  <si>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</si>
  <si>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</si>
  <si>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</si>
  <si>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</si>
  <si>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</si>
  <si>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</si>
  <si>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</si>
  <si>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</si>
  <si>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</si>
  <si>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</si>
  <si>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</si>
  <si>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</si>
  <si>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</si>
  <si>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</si>
  <si>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</si>
  <si>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</si>
  <si>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</si>
  <si>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</si>
  <si>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</si>
  <si>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</si>
  <si>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</si>
  <si>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</si>
  <si>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</si>
  <si>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</si>
  <si>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</si>
  <si>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</si>
  <si>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</si>
  <si>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</si>
  <si>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</si>
  <si>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</si>
  <si>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</si>
  <si>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</si>
  <si>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</si>
  <si>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</si>
  <si>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</si>
  <si>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</si>
  <si>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</si>
  <si>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</si>
  <si>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</si>
  <si>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</si>
  <si>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</si>
  <si>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</si>
  <si>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</si>
  <si>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</si>
  <si>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</si>
  <si>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</si>
  <si>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</si>
  <si>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</si>
  <si>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</si>
  <si>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</si>
  <si>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</si>
  <si>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</si>
  <si>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</si>
  <si>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</si>
  <si>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</si>
  <si>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</si>
  <si>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</si>
  <si>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</si>
  <si>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</si>
  <si>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</si>
  <si>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</si>
  <si>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</si>
  <si>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</si>
  <si>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</si>
  <si>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</si>
  <si>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</si>
  <si>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</si>
  <si>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</si>
  <si>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</si>
  <si>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</si>
  <si>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</si>
  <si>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</si>
  <si>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</si>
  <si>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</si>
  <si>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</si>
  <si>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</si>
  <si>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</si>
  <si>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</si>
  <si>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</si>
  <si>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</si>
  <si>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</si>
  <si>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</si>
  <si>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</si>
  <si>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</si>
  <si>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</si>
  <si>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</si>
  <si>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</si>
  <si>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</si>
  <si>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</si>
  <si>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</si>
  <si>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</si>
  <si>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</si>
  <si>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</si>
  <si>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</si>
  <si>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</si>
  <si>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</si>
  <si>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</si>
  <si>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</si>
  <si>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</si>
  <si>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</si>
  <si>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</si>
  <si>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</si>
  <si>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</si>
  <si>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</si>
  <si>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</si>
  <si>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</si>
  <si>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</si>
  <si>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</si>
  <si>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</si>
  <si>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</si>
  <si>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</si>
  <si>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</si>
  <si>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</si>
  <si>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</si>
  <si>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</si>
  <si>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</si>
  <si>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</si>
  <si>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</si>
  <si>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</si>
  <si>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</si>
  <si>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</si>
  <si>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</si>
  <si>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</si>
  <si>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</si>
  <si>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</si>
  <si>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</si>
  <si>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</si>
  <si>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</si>
  <si>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</si>
  <si>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</si>
  <si>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</si>
  <si>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</si>
  <si>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</si>
  <si>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</si>
  <si>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</si>
  <si>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</si>
  <si>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</si>
  <si>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</si>
  <si>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</si>
  <si>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</si>
  <si>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</si>
  <si>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</si>
  <si>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</si>
  <si>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</si>
  <si>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</si>
  <si>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</si>
  <si>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</si>
  <si>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</si>
  <si>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</si>
  <si>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</si>
  <si>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</si>
  <si>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</si>
  <si>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</si>
  <si>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</si>
  <si>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</si>
  <si>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</si>
  <si>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</si>
  <si>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</si>
  <si>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</si>
  <si>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</si>
  <si>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</si>
  <si>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</si>
  <si>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</si>
  <si>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</si>
  <si>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</si>
  <si>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</si>
  <si>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</si>
  <si>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</si>
  <si>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</si>
  <si>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</si>
  <si>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</si>
  <si>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</si>
  <si>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</si>
  <si>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</si>
  <si>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</si>
  <si>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</si>
  <si>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</si>
  <si>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</si>
  <si>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</si>
  <si>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</si>
  <si>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</si>
  <si>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</si>
  <si>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</si>
  <si>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</si>
  <si>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</si>
  <si>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</si>
  <si>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</si>
  <si>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</si>
  <si>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</si>
  <si>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</si>
  <si>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</si>
  <si>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</si>
  <si>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</si>
  <si>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</si>
  <si>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</si>
  <si>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</si>
  <si>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</si>
  <si>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</si>
  <si>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</si>
  <si>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</si>
  <si>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</si>
  <si>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</si>
  <si>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</si>
  <si>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</si>
  <si>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</si>
  <si>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</si>
  <si>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</si>
  <si>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</si>
  <si>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</si>
  <si>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</si>
  <si>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</si>
  <si>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</si>
  <si>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</si>
  <si>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</si>
  <si>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</si>
  <si>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</si>
  <si>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</si>
  <si>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</si>
  <si>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</si>
  <si>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</si>
  <si>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</si>
  <si>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</si>
  <si>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</si>
  <si>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</si>
  <si>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</si>
  <si>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</si>
  <si>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</si>
  <si>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</si>
  <si>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</si>
  <si>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</si>
  <si>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</si>
  <si>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</si>
  <si>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</si>
  <si>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</si>
  <si>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</si>
  <si>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</si>
  <si>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</si>
  <si>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</si>
  <si>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</si>
  <si>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</si>
  <si>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</si>
  <si>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</si>
  <si>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</si>
  <si>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</si>
  <si>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</si>
  <si>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</si>
  <si>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</si>
  <si>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</si>
  <si>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</si>
  <si>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</si>
  <si>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</si>
  <si>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</si>
  <si>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</si>
  <si>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</si>
  <si>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</si>
  <si>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</si>
  <si>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</si>
  <si>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</si>
  <si>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</si>
  <si>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</si>
  <si>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</si>
  <si>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</si>
  <si>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</si>
  <si>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</si>
  <si>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</si>
  <si>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</si>
  <si>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</si>
  <si>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</si>
  <si>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</si>
  <si>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</si>
  <si>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</si>
  <si>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</si>
  <si>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</si>
  <si>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</si>
  <si>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</si>
  <si>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</si>
  <si>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</si>
  <si>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</si>
  <si>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</si>
  <si>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</si>
  <si>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</si>
  <si>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</si>
  <si>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</si>
  <si>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</si>
  <si>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</si>
  <si>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</si>
  <si>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</si>
  <si>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</si>
  <si>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</si>
  <si>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</si>
  <si>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</si>
  <si>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</si>
  <si>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</si>
  <si>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</si>
  <si>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</si>
  <si>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</si>
  <si>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</si>
  <si>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</si>
  <si>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</si>
  <si>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</si>
  <si>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</si>
  <si>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</si>
  <si>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</si>
  <si>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</si>
  <si>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</si>
  <si>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</si>
  <si>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</si>
  <si>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</si>
  <si>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</si>
  <si>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</si>
  <si>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</si>
  <si>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</si>
  <si>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</si>
  <si>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</si>
  <si>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</si>
  <si>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</si>
  <si>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</si>
  <si>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</si>
  <si>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</si>
  <si>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</si>
  <si>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</si>
  <si>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</si>
  <si>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</si>
  <si>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</si>
  <si>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</si>
  <si>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</si>
  <si>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</si>
  <si>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</si>
  <si>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</si>
  <si>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</si>
  <si>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</si>
  <si>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</si>
  <si>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</si>
  <si>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</si>
  <si>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</si>
  <si>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</si>
  <si>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</si>
  <si>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</si>
  <si>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</si>
  <si>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</si>
  <si>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</si>
  <si>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</si>
  <si>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</si>
  <si>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</si>
  <si>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</si>
  <si>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</si>
  <si>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</si>
  <si>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</si>
  <si>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</si>
  <si>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</si>
  <si>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</si>
  <si>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</si>
  <si>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</si>
  <si>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</si>
  <si>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</si>
  <si>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</si>
  <si>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</si>
  <si>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</si>
  <si>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</si>
  <si>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</si>
  <si>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</si>
  <si>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</si>
  <si>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</si>
  <si>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</si>
  <si>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</si>
  <si>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</si>
  <si>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</si>
  <si>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</si>
  <si>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</si>
  <si>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</si>
  <si>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</si>
  <si>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</si>
  <si>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</si>
  <si>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</si>
  <si>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</si>
  <si>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</si>
  <si>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</si>
  <si>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</si>
  <si>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</si>
  <si>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</si>
  <si>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</si>
  <si>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</si>
  <si>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</si>
  <si>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</si>
  <si>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</si>
  <si>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</si>
  <si>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</si>
  <si>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</si>
  <si>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</si>
  <si>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</si>
  <si>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</si>
  <si>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</si>
  <si>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</si>
  <si>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</si>
  <si>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</si>
  <si>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</si>
  <si>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</si>
  <si>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</si>
  <si>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</si>
  <si>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</si>
  <si>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</si>
  <si>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</si>
  <si>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</si>
  <si>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</si>
  <si>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</si>
  <si>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</si>
  <si>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</si>
  <si>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</si>
  <si>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</si>
  <si>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</si>
  <si>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</si>
  <si>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</si>
  <si>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</si>
  <si>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</si>
  <si>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</si>
  <si>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</si>
  <si>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</si>
  <si>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</si>
  <si>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</si>
  <si>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</si>
  <si>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</si>
  <si>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</si>
  <si>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</si>
  <si>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</si>
  <si>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</si>
  <si>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</si>
  <si>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</si>
  <si>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</si>
  <si>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</si>
  <si>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</si>
  <si>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</si>
  <si>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</si>
  <si>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</si>
  <si>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</si>
  <si>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</si>
  <si>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</si>
  <si>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</si>
  <si>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</si>
  <si>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</si>
  <si>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</si>
  <si>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</si>
  <si>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</si>
  <si>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</si>
  <si>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</si>
  <si>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</si>
  <si>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</si>
  <si>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</si>
  <si>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</si>
  <si>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</si>
  <si>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</si>
  <si>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</si>
  <si>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</si>
  <si>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</si>
  <si>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</si>
  <si>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</si>
  <si>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</si>
  <si>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</si>
  <si>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</si>
  <si>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</si>
  <si>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</si>
  <si>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</si>
  <si>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</si>
  <si>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</si>
  <si>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</si>
  <si>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</si>
  <si>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</si>
  <si>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</si>
  <si>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</si>
  <si>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</si>
  <si>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</si>
  <si>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</si>
  <si>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</si>
  <si>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</si>
  <si>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</si>
  <si>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</si>
  <si>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</si>
  <si>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</si>
  <si>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</si>
  <si>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</si>
  <si>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</si>
  <si>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</si>
  <si>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</si>
  <si>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</si>
  <si>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</si>
  <si>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</si>
  <si>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</si>
  <si>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</si>
  <si>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</si>
  <si>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</si>
  <si>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</si>
  <si>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</si>
  <si>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</si>
  <si>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</si>
  <si>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</si>
  <si>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</si>
  <si>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</si>
  <si>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</si>
  <si>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</si>
  <si>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</si>
  <si>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</si>
  <si>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</si>
  <si>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</si>
  <si>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</si>
  <si>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</si>
  <si>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</si>
  <si>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</si>
  <si>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</si>
  <si>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</si>
  <si>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</si>
  <si>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</si>
  <si>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</si>
  <si>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</si>
  <si>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</si>
  <si>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</si>
  <si>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</si>
  <si>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</si>
  <si>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</si>
  <si>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</si>
  <si>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</si>
  <si>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</si>
  <si>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</si>
  <si>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</si>
  <si>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</si>
  <si>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</si>
  <si>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</si>
  <si>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</si>
  <si>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</si>
  <si>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</si>
  <si>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</si>
  <si>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</si>
  <si>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</si>
  <si>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</si>
  <si>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</si>
  <si>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</si>
  <si>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</si>
  <si>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</si>
  <si>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</si>
  <si>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</si>
  <si>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</si>
  <si>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</si>
  <si>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</si>
  <si>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</si>
  <si>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</si>
  <si>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</si>
  <si>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</si>
  <si>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</si>
  <si>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</si>
  <si>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</si>
  <si>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</si>
  <si>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</si>
  <si>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</si>
  <si>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</si>
  <si>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</si>
  <si>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</si>
  <si>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</si>
  <si>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</si>
  <si>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</si>
  <si>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</si>
  <si>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</si>
  <si>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</si>
  <si>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</si>
  <si>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</si>
  <si>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</si>
  <si>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</si>
  <si>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</si>
  <si>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</si>
  <si>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</si>
  <si>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</si>
  <si>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</si>
  <si>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</si>
  <si>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</si>
  <si>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</si>
  <si>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</si>
  <si>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</si>
  <si>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</si>
  <si>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</si>
  <si>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</si>
  <si>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</si>
  <si>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</si>
  <si>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</si>
  <si>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</si>
  <si>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</si>
  <si>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</si>
  <si>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</si>
  <si>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</si>
  <si>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</si>
  <si>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</si>
  <si>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</si>
  <si>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</si>
  <si>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</si>
  <si>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</si>
  <si>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</si>
  <si>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</si>
  <si>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</si>
  <si>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</si>
  <si>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</si>
  <si>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</si>
  <si>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</si>
  <si>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</si>
  <si>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</si>
  <si>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</si>
  <si>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</si>
  <si>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</si>
  <si>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</si>
  <si>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</si>
  <si>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</si>
  <si>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</si>
  <si>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</si>
  <si>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</si>
  <si>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</si>
  <si>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</si>
  <si>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</si>
  <si>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</si>
  <si>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</si>
  <si>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</si>
  <si>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</si>
  <si>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</si>
  <si>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</si>
  <si>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</si>
  <si>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</si>
  <si>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</si>
  <si>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</si>
  <si>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</si>
  <si>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</si>
  <si>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</si>
  <si>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</si>
  <si>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</si>
  <si>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</si>
  <si>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</si>
  <si>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</si>
  <si>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</si>
  <si>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</si>
  <si>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</si>
  <si>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</si>
  <si>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</si>
  <si>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</si>
  <si>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</si>
  <si>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</si>
  <si>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</si>
  <si>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</si>
  <si>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</si>
  <si>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</si>
  <si>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</si>
  <si>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</si>
  <si>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</si>
  <si>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</si>
  <si>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</si>
  <si>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</si>
  <si>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</si>
  <si>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</si>
  <si>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</si>
  <si>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</si>
  <si>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</si>
  <si>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</si>
  <si>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</si>
  <si>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</si>
  <si>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</si>
  <si>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</si>
  <si>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</si>
  <si>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</si>
  <si>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</si>
  <si>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</si>
  <si>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</si>
  <si>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</si>
  <si>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</si>
  <si>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</si>
  <si>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</si>
  <si>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</si>
  <si>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</si>
  <si>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</si>
  <si>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</si>
  <si>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</si>
  <si>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</si>
  <si>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</si>
  <si>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</si>
  <si>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</si>
  <si>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</si>
  <si>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</si>
  <si>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</si>
  <si>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</si>
  <si>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</si>
  <si>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</si>
  <si>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</si>
  <si>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</si>
  <si>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</si>
  <si>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</si>
  <si>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</si>
  <si>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</si>
  <si>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</si>
  <si>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</si>
  <si>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</si>
  <si>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</si>
  <si>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</si>
  <si>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</si>
  <si>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</si>
  <si>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</si>
  <si>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</si>
  <si>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</si>
  <si>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</si>
  <si>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</si>
  <si>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</si>
  <si>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</si>
  <si>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</si>
  <si>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</si>
  <si>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</si>
  <si>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</si>
  <si>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</si>
  <si>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</si>
  <si>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</si>
  <si>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</si>
  <si>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</si>
  <si>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</si>
  <si>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</si>
  <si>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</si>
  <si>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</si>
  <si>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</si>
  <si>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</si>
  <si>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</si>
  <si>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</si>
  <si>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</si>
  <si>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</si>
  <si>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</si>
  <si>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</si>
  <si>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</si>
  <si>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</si>
  <si>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</si>
  <si>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</si>
  <si>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</si>
  <si>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</si>
  <si>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</si>
  <si>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</si>
  <si>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</si>
  <si>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</si>
  <si>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</si>
  <si>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</si>
  <si>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</si>
  <si>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</si>
  <si>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</si>
  <si>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</si>
  <si>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</si>
  <si>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</si>
  <si>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</si>
  <si>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</si>
  <si>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</si>
  <si>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</si>
  <si>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</si>
  <si>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</si>
  <si>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</si>
  <si>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</si>
  <si>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</si>
  <si>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</si>
  <si>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</si>
  <si>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</si>
  <si>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</si>
  <si>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</si>
  <si>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</si>
  <si>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</si>
  <si>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</si>
  <si>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</si>
  <si>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</si>
  <si>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</si>
  <si>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</si>
  <si>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</si>
  <si>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</si>
  <si>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</si>
  <si>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</si>
  <si>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</si>
  <si>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</si>
  <si>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</si>
  <si>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</si>
  <si>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</si>
  <si>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</si>
  <si>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</si>
  <si>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</si>
  <si>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</si>
  <si>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</si>
  <si>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</si>
  <si>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</si>
  <si>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</si>
  <si>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</si>
  <si>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</si>
  <si>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</si>
  <si>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</si>
  <si>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</si>
  <si>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</si>
  <si>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</si>
  <si>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</si>
  <si>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</si>
  <si>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</si>
  <si>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</si>
  <si>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</si>
  <si>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</si>
  <si>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</si>
  <si>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</si>
  <si>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</si>
  <si>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</si>
  <si>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</si>
  <si>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</si>
  <si>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</si>
  <si>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</si>
  <si>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</si>
  <si>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</si>
  <si>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</si>
  <si>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</si>
  <si>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</si>
  <si>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</si>
  <si>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</si>
  <si>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</si>
  <si>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</si>
  <si>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</si>
  <si>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</si>
  <si>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</si>
  <si>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</si>
  <si>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</si>
  <si>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</si>
  <si>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</si>
  <si>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</si>
  <si>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</si>
  <si>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</si>
  <si>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</si>
  <si>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</si>
  <si>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</si>
  <si>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</si>
  <si>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</si>
  <si>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</si>
  <si>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</si>
  <si>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</si>
  <si>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</si>
  <si>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</si>
  <si>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</si>
  <si>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</si>
  <si>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</si>
  <si>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</si>
  <si>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</si>
  <si>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</si>
  <si>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</si>
  <si>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</si>
  <si>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</si>
  <si>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</si>
  <si>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</si>
  <si>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</si>
  <si>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</si>
  <si>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</si>
  <si>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</si>
  <si>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</si>
  <si>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</si>
  <si>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</si>
  <si>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</si>
  <si>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</si>
  <si>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</si>
  <si>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</si>
  <si>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</si>
  <si>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</si>
  <si>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</si>
  <si>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</si>
  <si>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</si>
  <si>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</si>
  <si>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</si>
  <si>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</si>
  <si>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</si>
  <si>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</si>
  <si>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</si>
  <si>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</si>
  <si>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</si>
  <si>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</si>
  <si>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</si>
  <si>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</si>
  <si>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</si>
  <si>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</si>
  <si>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</si>
  <si>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</si>
  <si>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</si>
  <si>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</si>
  <si>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</si>
  <si>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</si>
  <si>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</si>
  <si>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</si>
  <si>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</si>
  <si>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</si>
  <si>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</si>
  <si>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</si>
  <si>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</si>
  <si>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</si>
  <si>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</si>
  <si>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</si>
  <si>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</si>
  <si>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</si>
  <si>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</si>
  <si>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</si>
  <si>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</si>
  <si>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</si>
  <si>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</si>
  <si>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</si>
  <si>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</si>
  <si>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</si>
  <si>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</si>
  <si>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</si>
  <si>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</si>
  <si>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</si>
  <si>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</si>
  <si>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</si>
  <si>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</si>
  <si>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</si>
  <si>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</si>
  <si>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</si>
  <si>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</si>
  <si>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</si>
  <si>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</si>
  <si>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</si>
  <si>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</si>
  <si>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</si>
  <si>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</si>
  <si>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</si>
  <si>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</si>
  <si>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</si>
  <si>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</si>
  <si>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</si>
  <si>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</si>
  <si>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</si>
  <si>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</si>
  <si>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</si>
  <si>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</si>
  <si>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</si>
  <si>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</si>
  <si>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</si>
  <si>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</si>
  <si>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</si>
  <si>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</si>
  <si>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</si>
  <si>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</si>
  <si>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</si>
  <si>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</si>
  <si>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</si>
  <si>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</si>
  <si>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</si>
  <si>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</si>
  <si>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</si>
  <si>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</si>
  <si>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</si>
  <si>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</si>
  <si>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</si>
  <si>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</si>
  <si>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</si>
  <si>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</si>
  <si>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</si>
  <si>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</si>
  <si>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</si>
  <si>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</si>
  <si>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</si>
  <si>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</si>
  <si>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</si>
  <si>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</si>
  <si>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</si>
  <si>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</si>
  <si>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</si>
  <si>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</si>
  <si>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</si>
  <si>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</si>
  <si>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</si>
  <si>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</si>
  <si>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</si>
  <si>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</si>
  <si>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</si>
  <si>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</si>
  <si>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</si>
  <si>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</si>
  <si>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</si>
  <si>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</si>
  <si>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</si>
  <si>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</si>
  <si>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</si>
  <si>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</si>
  <si>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</si>
  <si>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</si>
  <si>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</si>
  <si>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</si>
  <si>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</si>
  <si>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</si>
  <si>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</si>
  <si>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</si>
  <si>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</si>
  <si>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</si>
  <si>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</si>
  <si>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</si>
  <si>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</si>
  <si>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</si>
  <si>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</si>
  <si>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</si>
  <si>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</si>
  <si>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</si>
  <si>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</si>
  <si>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</si>
  <si>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</si>
  <si>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</si>
  <si>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</si>
  <si>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</si>
  <si>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</si>
  <si>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</si>
  <si>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</si>
  <si>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</si>
  <si>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</si>
  <si>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</si>
  <si>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</si>
  <si>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</si>
  <si>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</si>
  <si>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</si>
  <si>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</si>
  <si>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</si>
  <si>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</si>
  <si>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</si>
  <si>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</si>
  <si>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</si>
  <si>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</si>
  <si>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</si>
  <si>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</si>
  <si>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</si>
  <si>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</si>
  <si>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</si>
  <si>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</si>
  <si>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</si>
  <si>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</si>
  <si>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</si>
  <si>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</si>
  <si>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</si>
  <si>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</si>
  <si>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</si>
  <si>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</si>
  <si>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</si>
  <si>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</si>
  <si>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</si>
  <si>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</si>
  <si>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</si>
  <si>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</si>
  <si>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</si>
  <si>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</si>
  <si>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</si>
  <si>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</si>
  <si>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</si>
  <si>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</si>
  <si>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</si>
  <si>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</si>
  <si>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</si>
  <si>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</si>
  <si>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</si>
  <si>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</si>
  <si>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</si>
  <si>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</si>
  <si>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</si>
  <si>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</si>
  <si>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</si>
  <si>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</si>
  <si>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</si>
  <si>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</si>
  <si>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</si>
  <si>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</si>
  <si>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</si>
  <si>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</si>
  <si>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</si>
  <si>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</si>
  <si>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</si>
  <si>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</si>
  <si>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</si>
  <si>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</si>
  <si>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</si>
  <si>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</si>
  <si>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</si>
  <si>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</si>
  <si>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</si>
  <si>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</si>
  <si>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</si>
  <si>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</si>
  <si>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</si>
  <si>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</si>
  <si>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</si>
  <si>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</si>
  <si>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</si>
  <si>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</si>
  <si>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</si>
  <si>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</si>
  <si>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</si>
  <si>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</si>
  <si>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</si>
  <si>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</si>
  <si>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</si>
  <si>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</si>
  <si>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</si>
  <si>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</si>
  <si>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</si>
  <si>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</si>
  <si>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</si>
  <si>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</si>
  <si>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</si>
  <si>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</si>
  <si>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</si>
  <si>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</si>
  <si>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</si>
  <si>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</si>
  <si>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</si>
  <si>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</si>
  <si>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</si>
  <si>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</si>
  <si>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</si>
  <si>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</si>
  <si>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</si>
  <si>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</si>
  <si>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</si>
  <si>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</si>
  <si>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</si>
  <si>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</si>
  <si>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</si>
  <si>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</si>
  <si>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</si>
  <si>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</si>
  <si>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</si>
  <si>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</si>
  <si>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</si>
  <si>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</si>
  <si>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</si>
  <si>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</si>
  <si>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</si>
  <si>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</si>
  <si>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</si>
  <si>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</si>
  <si>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</si>
  <si>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</si>
  <si>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</si>
  <si>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</si>
  <si>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</si>
  <si>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</si>
  <si>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</si>
  <si>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</si>
  <si>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</si>
  <si>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</si>
  <si>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</si>
  <si>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</si>
  <si>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</si>
  <si>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</si>
  <si>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</si>
  <si>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</si>
  <si>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</si>
  <si>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</si>
  <si>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</si>
  <si>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</si>
  <si>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</si>
  <si>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</si>
  <si>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</si>
  <si>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</si>
  <si>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</si>
  <si>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</si>
  <si>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</si>
  <si>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</si>
  <si>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</si>
  <si>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</si>
  <si>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</si>
  <si>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</si>
  <si>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</si>
  <si>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</si>
  <si>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</si>
  <si>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</si>
  <si>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</si>
  <si>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</si>
  <si>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</si>
  <si>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</si>
  <si>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</si>
  <si>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</si>
  <si>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</si>
  <si>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</si>
  <si>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</si>
  <si>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</si>
  <si>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</si>
  <si>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</si>
  <si>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</si>
  <si>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</si>
  <si>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</si>
  <si>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</si>
  <si>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</si>
  <si>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</si>
  <si>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</si>
  <si>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</si>
  <si>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</si>
  <si>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</si>
  <si>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</si>
  <si>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</si>
  <si>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</si>
  <si>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</si>
  <si>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</si>
  <si>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</si>
  <si>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</si>
  <si>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</si>
  <si>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</si>
  <si>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</si>
  <si>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</si>
  <si>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</si>
  <si>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</si>
  <si>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</si>
  <si>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</si>
  <si>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</si>
  <si>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</si>
  <si>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</si>
  <si>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</si>
  <si>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</si>
  <si>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</si>
  <si>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</si>
  <si>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</si>
  <si>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</si>
  <si>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</si>
  <si>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</si>
  <si>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</si>
  <si>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</si>
  <si>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</si>
  <si>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</si>
  <si>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</si>
  <si>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</si>
  <si>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</si>
  <si>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</si>
  <si>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</si>
  <si>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</si>
  <si>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</si>
  <si>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</si>
  <si>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</si>
  <si>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</si>
  <si>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</si>
  <si>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</si>
  <si>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</si>
  <si>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</si>
  <si>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</si>
  <si>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</si>
  <si>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</si>
  <si>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</si>
  <si>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</si>
  <si>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</si>
  <si>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</si>
  <si>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</si>
  <si>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</si>
  <si>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</si>
  <si>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</si>
  <si>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</si>
  <si>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</si>
  <si>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</si>
  <si>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</si>
  <si>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</si>
  <si>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</si>
  <si>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</si>
  <si>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</si>
  <si>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</si>
  <si>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</si>
  <si>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</si>
  <si>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</si>
  <si>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</si>
  <si>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</si>
  <si>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</si>
  <si>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</si>
  <si>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</si>
  <si>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</si>
  <si>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</si>
  <si>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</si>
  <si>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</si>
  <si>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</si>
  <si>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</si>
  <si>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</si>
  <si>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</si>
  <si>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</si>
  <si>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</si>
  <si>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</si>
  <si>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</si>
  <si>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</si>
  <si>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</si>
  <si>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</si>
  <si>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</si>
  <si>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</si>
  <si>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</si>
  <si>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</si>
  <si>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</si>
  <si>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</si>
  <si>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</si>
  <si>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</si>
  <si>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</si>
  <si>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</si>
  <si>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</si>
  <si>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</si>
  <si>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</si>
  <si>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</si>
  <si>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</si>
  <si>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</si>
  <si>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</si>
  <si>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</si>
  <si>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</si>
  <si>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</si>
  <si>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</si>
  <si>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</si>
  <si>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</si>
  <si>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</si>
  <si>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</si>
  <si>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</si>
  <si>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</si>
  <si>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</si>
  <si>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</si>
  <si>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</si>
  <si>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</si>
  <si>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</si>
  <si>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</si>
  <si>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</si>
  <si>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</si>
  <si>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</si>
  <si>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</si>
  <si>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</si>
  <si>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</si>
  <si>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</si>
  <si>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</si>
  <si>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</si>
  <si>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</si>
  <si>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</si>
  <si>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</si>
  <si>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</si>
  <si>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</si>
  <si>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</si>
  <si>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</si>
  <si>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</si>
  <si>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</si>
  <si>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</si>
  <si>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</si>
  <si>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</si>
  <si>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</si>
  <si>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</si>
  <si>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</si>
  <si>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</si>
  <si>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</si>
  <si>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</si>
  <si>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</si>
  <si>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</si>
  <si>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</si>
  <si>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</si>
  <si>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</si>
  <si>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</si>
  <si>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</si>
  <si>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</si>
  <si>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</si>
  <si>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</si>
  <si>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</si>
  <si>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</si>
  <si>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</si>
  <si>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</si>
  <si>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</si>
  <si>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</si>
  <si>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</si>
  <si>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</si>
  <si>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</si>
  <si>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</si>
  <si>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</si>
  <si>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</si>
  <si>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</si>
  <si>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</si>
  <si>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</si>
  <si>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</si>
  <si>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</si>
  <si>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</si>
  <si>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</si>
  <si>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</si>
  <si>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</si>
  <si>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</si>
  <si>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</si>
  <si>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</si>
  <si>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</si>
  <si>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</si>
  <si>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</si>
  <si>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</si>
  <si>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</si>
  <si>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</si>
  <si>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</si>
  <si>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</si>
  <si>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</si>
  <si>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</si>
  <si>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</si>
  <si>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</si>
  <si>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</si>
  <si>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</si>
  <si>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</si>
  <si>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</si>
  <si>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</si>
  <si>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</si>
  <si>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</si>
  <si>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</si>
  <si>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</si>
  <si>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</si>
  <si>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</si>
  <si>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</si>
  <si>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</si>
  <si>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</si>
  <si>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</si>
  <si>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</si>
  <si>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</si>
  <si>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</si>
  <si>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</si>
  <si>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</si>
  <si>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</si>
  <si>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</si>
  <si>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</si>
  <si>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</si>
  <si>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</si>
  <si>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</si>
  <si>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</si>
  <si>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</si>
  <si>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</si>
  <si>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</si>
  <si>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</si>
  <si>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</si>
  <si>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</si>
  <si>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</si>
  <si>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</si>
  <si>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</si>
  <si>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</si>
  <si>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</si>
  <si>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</si>
  <si>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</si>
  <si>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</si>
  <si>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</si>
  <si>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</si>
  <si>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</si>
  <si>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</si>
  <si>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</si>
  <si>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</si>
  <si>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</si>
  <si>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</si>
  <si>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</si>
  <si>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</si>
  <si>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</si>
  <si>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</si>
  <si>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</si>
  <si>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</si>
  <si>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</si>
  <si>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</si>
  <si>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</si>
  <si>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</si>
  <si>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</si>
  <si>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</si>
  <si>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</si>
  <si>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</si>
  <si>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</si>
  <si>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</si>
  <si>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</si>
  <si>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</si>
  <si>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</si>
  <si>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</si>
  <si>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</si>
  <si>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</si>
  <si>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</si>
  <si>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</si>
  <si>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</si>
  <si>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</si>
  <si>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</si>
  <si>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</si>
  <si>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</si>
  <si>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</si>
  <si>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</si>
  <si>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</si>
  <si>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</si>
  <si>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</si>
  <si>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</si>
  <si>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</si>
  <si>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</si>
  <si>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</si>
  <si>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</si>
  <si>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</si>
  <si>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</si>
  <si>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</si>
  <si>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</si>
  <si>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</si>
  <si>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</si>
  <si>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</si>
  <si>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</si>
  <si>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</si>
  <si>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</si>
  <si>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</si>
  <si>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</si>
  <si>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</si>
  <si>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</si>
  <si>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</si>
  <si>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</si>
  <si>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</si>
  <si>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</si>
  <si>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</si>
  <si>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</si>
  <si>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</si>
  <si>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</si>
  <si>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</si>
  <si>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</si>
  <si>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</si>
  <si>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</si>
  <si>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</si>
  <si>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</si>
  <si>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</si>
  <si>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</si>
  <si>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</si>
  <si>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</si>
  <si>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</si>
  <si>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</si>
  <si>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</si>
  <si>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</si>
  <si>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</si>
  <si>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</si>
  <si>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</si>
  <si>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</si>
  <si>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</si>
  <si>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</si>
  <si>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</si>
  <si>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</si>
  <si>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</si>
  <si>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</si>
  <si>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</si>
  <si>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</si>
  <si>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</si>
  <si>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</si>
  <si>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</si>
  <si>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</si>
  <si>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</si>
  <si>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</si>
  <si>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</si>
  <si>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</si>
  <si>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</si>
  <si>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</si>
  <si>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</si>
  <si>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</si>
  <si>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</si>
  <si>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</si>
  <si>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</si>
  <si>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</si>
  <si>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</si>
  <si>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</si>
  <si>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</si>
  <si>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</si>
  <si>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</si>
  <si>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</si>
  <si>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</si>
  <si>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</si>
  <si>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</si>
  <si>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</si>
  <si>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</si>
  <si>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</si>
  <si>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</si>
  <si>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</si>
  <si>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</si>
  <si>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</si>
  <si>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</si>
  <si>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</si>
  <si>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</si>
  <si>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</si>
  <si>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</si>
  <si>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</si>
  <si>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</si>
  <si>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</si>
  <si>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</si>
  <si>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</si>
  <si>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</si>
  <si>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</si>
  <si>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</si>
  <si>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</si>
  <si>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</si>
  <si>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</si>
  <si>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</si>
  <si>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</si>
  <si>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</si>
  <si>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</si>
  <si>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</si>
  <si>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</si>
  <si>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</si>
  <si>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</si>
  <si>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</si>
  <si>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</si>
  <si>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</si>
  <si>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</si>
  <si>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</si>
  <si>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</si>
  <si>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</si>
  <si>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</si>
  <si>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</si>
  <si>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</si>
  <si>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</si>
  <si>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</si>
  <si>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</si>
  <si>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</si>
  <si>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</si>
  <si>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</si>
  <si>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</si>
  <si>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</si>
  <si>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</si>
  <si>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</si>
  <si>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</si>
  <si>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</si>
  <si>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</si>
  <si>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</si>
  <si>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</si>
  <si>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</si>
  <si>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</si>
  <si>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</si>
  <si>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</si>
  <si>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</si>
  <si>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</si>
  <si>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</si>
  <si>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</si>
  <si>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</si>
  <si>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</si>
  <si>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</si>
  <si>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</si>
  <si>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</si>
  <si>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</si>
  <si>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</si>
  <si>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</si>
  <si>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</si>
  <si>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</si>
  <si>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</si>
  <si>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</si>
  <si>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</si>
  <si>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</si>
  <si>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</si>
  <si>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</si>
  <si>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</si>
  <si>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</si>
  <si>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</si>
  <si>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</si>
  <si>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</si>
  <si>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</si>
  <si>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</si>
  <si>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</si>
  <si>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</si>
  <si>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</si>
  <si>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</si>
  <si>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</si>
  <si>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</si>
  <si>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</si>
  <si>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</si>
  <si>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</si>
  <si>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</si>
  <si>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</si>
  <si>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</si>
  <si>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</si>
  <si>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</si>
  <si>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</si>
  <si>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</si>
  <si>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</si>
  <si>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</si>
  <si>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</si>
  <si>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</si>
  <si>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</si>
  <si>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</si>
  <si>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</si>
  <si>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</si>
  <si>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</si>
  <si>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</si>
  <si>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</si>
  <si>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</si>
  <si>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</si>
  <si>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</si>
  <si>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</si>
  <si>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</si>
  <si>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</si>
  <si>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</si>
  <si>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</si>
  <si>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</si>
  <si>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</si>
  <si>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</si>
  <si>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</si>
  <si>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</si>
  <si>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</si>
  <si>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</si>
  <si>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</si>
  <si>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</si>
  <si>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</si>
  <si>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</si>
  <si>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</si>
  <si>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</si>
  <si>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</si>
  <si>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</si>
  <si>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</si>
  <si>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</si>
  <si>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</si>
  <si>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</si>
  <si>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</si>
  <si>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</si>
  <si>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</si>
  <si>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</si>
  <si>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</si>
  <si>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</si>
  <si>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</si>
  <si>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</si>
  <si>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</si>
  <si>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</si>
  <si>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</si>
  <si>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</si>
  <si>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</si>
  <si>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</si>
  <si>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</si>
  <si>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</si>
  <si>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</si>
  <si>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</si>
  <si>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</si>
  <si>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</si>
  <si>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</si>
  <si>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</si>
  <si>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</si>
  <si>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</si>
  <si>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</si>
  <si>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</si>
  <si>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</si>
  <si>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</si>
  <si>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</si>
  <si>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</si>
  <si>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</si>
  <si>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</si>
  <si>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</si>
  <si>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</si>
  <si>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</si>
  <si>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</si>
  <si>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</si>
  <si>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</si>
  <si>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</si>
  <si>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</si>
  <si>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</si>
  <si>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</si>
  <si>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</si>
  <si>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</si>
  <si>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</si>
  <si>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</si>
  <si>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</si>
  <si>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</si>
  <si>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</si>
  <si>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</si>
  <si>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</si>
  <si>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</si>
  <si>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</si>
  <si>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</si>
  <si>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</si>
  <si>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</si>
  <si>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</si>
  <si>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</si>
  <si>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</si>
  <si>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</si>
  <si>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</si>
  <si>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</si>
  <si>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</si>
  <si>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</si>
  <si>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</si>
  <si>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</si>
  <si>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</si>
  <si>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</si>
  <si>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</si>
  <si>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</si>
  <si>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</si>
  <si>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</si>
  <si>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</si>
  <si>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</si>
  <si>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</si>
  <si>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</si>
  <si>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</si>
  <si>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</si>
  <si>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</si>
  <si>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</si>
  <si>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</si>
  <si>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</si>
  <si>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</si>
  <si>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</si>
  <si>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</si>
  <si>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</si>
  <si>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</si>
  <si>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</si>
  <si>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</si>
  <si>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</si>
  <si>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</si>
  <si>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</si>
  <si>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</si>
  <si>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</si>
  <si>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</si>
  <si>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</si>
  <si>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</si>
  <si>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</si>
  <si>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</si>
  <si>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</si>
  <si>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</si>
  <si>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</si>
  <si>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</si>
  <si>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</si>
  <si>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</si>
  <si>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</si>
  <si>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</si>
  <si>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</si>
  <si>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</si>
  <si>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</si>
  <si>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</si>
  <si>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</si>
  <si>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</si>
  <si>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</si>
  <si>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</si>
  <si>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</si>
  <si>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</si>
  <si>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</si>
  <si>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</si>
  <si>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</si>
  <si>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</si>
  <si>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</si>
  <si>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</si>
  <si>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</si>
  <si>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</si>
  <si>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</si>
  <si>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</si>
  <si>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</si>
  <si>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</si>
  <si>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</si>
  <si>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</si>
  <si>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</si>
  <si>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</si>
  <si>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</si>
  <si>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</si>
  <si>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</si>
  <si>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</si>
  <si>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</si>
  <si>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</si>
  <si>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</si>
  <si>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</si>
  <si>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</si>
  <si>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</si>
  <si>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</si>
  <si>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</si>
  <si>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</si>
  <si>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</si>
  <si>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</si>
  <si>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</si>
  <si>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</si>
  <si>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</si>
  <si>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</si>
  <si>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</si>
  <si>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</si>
  <si>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</si>
  <si>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</si>
  <si>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</si>
  <si>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</si>
  <si>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</si>
  <si>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</si>
  <si>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</si>
  <si>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</si>
  <si>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</si>
  <si>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</si>
  <si>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</si>
  <si>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</si>
  <si>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</si>
  <si>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</si>
  <si>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</si>
  <si>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</si>
  <si>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</si>
  <si>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</si>
  <si>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</si>
  <si>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</si>
  <si>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</si>
  <si>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</si>
  <si>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</si>
  <si>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</si>
  <si>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</si>
  <si>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</si>
  <si>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</si>
  <si>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</si>
  <si>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</si>
  <si>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</si>
  <si>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</si>
  <si>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</si>
  <si>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</si>
  <si>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</si>
  <si>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</si>
  <si>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</si>
  <si>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</si>
  <si>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</si>
  <si>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</si>
  <si>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</si>
  <si>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</si>
  <si>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</si>
  <si>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</si>
  <si>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</si>
  <si>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</si>
  <si>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</si>
  <si>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</si>
  <si>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</si>
  <si>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</si>
  <si>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</si>
  <si>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</si>
  <si>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</si>
  <si>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</si>
  <si>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</si>
  <si>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</si>
  <si>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</si>
  <si>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</si>
  <si>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</si>
  <si>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</si>
  <si>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</si>
  <si>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</si>
  <si>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</si>
  <si>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</si>
  <si>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</si>
  <si>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</si>
  <si>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</si>
  <si>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</si>
  <si>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</si>
  <si>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</si>
  <si>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</si>
  <si>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</si>
  <si>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</si>
  <si>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</si>
  <si>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</si>
  <si>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</si>
  <si>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</si>
  <si>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</si>
  <si>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</si>
  <si>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</si>
  <si>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</si>
  <si>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</si>
  <si>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</si>
  <si>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</si>
  <si>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</si>
  <si>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</si>
  <si>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</si>
  <si>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</si>
  <si>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</si>
  <si>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</si>
  <si>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</si>
  <si>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</si>
  <si>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</si>
  <si>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</si>
  <si>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</si>
  <si>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</si>
  <si>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</si>
  <si>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</si>
  <si>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</si>
  <si>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</si>
  <si>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</si>
  <si>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</si>
  <si>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</si>
  <si>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</si>
  <si>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</si>
  <si>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</si>
  <si>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</si>
  <si>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</si>
  <si>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</si>
  <si>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</si>
  <si>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</si>
  <si>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</si>
  <si>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</si>
  <si>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</si>
  <si>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</si>
  <si>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</si>
  <si>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</si>
  <si>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</si>
  <si>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</si>
  <si>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</si>
  <si>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</si>
  <si>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</si>
  <si>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</si>
  <si>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</si>
  <si>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</si>
  <si>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</si>
  <si>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</si>
  <si>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</si>
  <si>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</si>
  <si>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</si>
  <si>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</si>
  <si>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</si>
  <si>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</si>
  <si>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</si>
  <si>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</si>
  <si>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</si>
  <si>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</si>
  <si>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</si>
  <si>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</si>
  <si>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</si>
  <si>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</si>
  <si>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</si>
  <si>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</si>
  <si>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</si>
  <si>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</si>
  <si>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</si>
  <si>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</si>
  <si>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</si>
  <si>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</si>
  <si>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</si>
  <si>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</si>
  <si>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</si>
  <si>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</si>
  <si>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</si>
  <si>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</si>
  <si>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</si>
  <si>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</si>
  <si>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</si>
  <si>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</si>
  <si>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</si>
  <si>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</si>
  <si>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</si>
  <si>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</si>
  <si>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</si>
  <si>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</si>
  <si>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</si>
  <si>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</si>
  <si>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</si>
  <si>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</si>
  <si>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</si>
  <si>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</si>
  <si>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</si>
  <si>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</si>
  <si>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</si>
  <si>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</si>
  <si>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</si>
  <si>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</si>
  <si>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</si>
  <si>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</si>
  <si>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</si>
  <si>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</si>
  <si>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</si>
  <si>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</si>
  <si>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</si>
  <si>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</si>
  <si>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</si>
  <si>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</si>
  <si>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</si>
  <si>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</si>
  <si>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</si>
  <si>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</si>
  <si>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</si>
  <si>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</si>
  <si>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</si>
  <si>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</si>
  <si>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</si>
  <si>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</si>
  <si>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</si>
  <si>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</si>
  <si>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</si>
  <si>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</si>
  <si>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</si>
  <si>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</si>
  <si>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</si>
  <si>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</si>
  <si>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</si>
  <si>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</si>
  <si>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</si>
  <si>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</si>
  <si>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</si>
  <si>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</si>
  <si>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</si>
  <si>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</si>
  <si>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</si>
  <si>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</si>
  <si>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</si>
  <si>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</si>
  <si>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</si>
  <si>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</si>
  <si>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</si>
  <si>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</si>
  <si>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</si>
  <si>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</si>
  <si>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</si>
  <si>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</si>
  <si>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</si>
  <si>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</si>
  <si>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</si>
  <si>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</si>
  <si>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</si>
  <si>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</si>
  <si>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</si>
  <si>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</si>
  <si>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</si>
  <si>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</si>
  <si>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</si>
  <si>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</si>
  <si>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</si>
  <si>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</si>
  <si>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</si>
  <si>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</si>
  <si>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</si>
  <si>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</si>
  <si>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</si>
  <si>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</si>
  <si>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</si>
  <si>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</si>
  <si>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</si>
  <si>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</si>
  <si>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</si>
  <si>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</si>
  <si>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</si>
  <si>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</si>
  <si>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</si>
  <si>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</si>
  <si>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</si>
  <si>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</si>
  <si>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</si>
  <si>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</si>
  <si>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</si>
  <si>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</si>
  <si>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</si>
  <si>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</si>
  <si>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</si>
  <si>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</si>
  <si>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</si>
  <si>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</si>
  <si>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</si>
  <si>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</si>
  <si>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</si>
  <si>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</si>
  <si>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</si>
  <si>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</si>
  <si>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</si>
  <si>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</si>
  <si>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</si>
  <si>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</si>
  <si>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</si>
  <si>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</si>
  <si>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</si>
  <si>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</si>
  <si>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</si>
  <si>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</si>
  <si>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</si>
  <si>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</si>
  <si>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</si>
  <si>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</si>
  <si>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</si>
  <si>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</si>
  <si>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</si>
  <si>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</si>
  <si>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</si>
  <si>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</si>
  <si>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</si>
  <si>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</si>
  <si>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</si>
  <si>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</si>
  <si>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</si>
  <si>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</si>
  <si>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</si>
  <si>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</si>
  <si>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</si>
  <si>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</si>
  <si>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</si>
  <si>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</si>
  <si>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</si>
  <si>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</si>
  <si>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</si>
  <si>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</si>
  <si>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</si>
  <si>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</si>
  <si>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</si>
  <si>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</si>
  <si>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</si>
  <si>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</si>
  <si>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</si>
  <si>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</si>
  <si>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</si>
  <si>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</si>
  <si>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</si>
  <si>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</si>
  <si>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</si>
  <si>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</si>
  <si>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</si>
  <si>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</si>
  <si>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</si>
  <si>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</si>
  <si>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</si>
  <si>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</si>
  <si>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</si>
  <si>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</si>
  <si>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</si>
  <si>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</si>
  <si>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</si>
  <si>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</si>
  <si>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</si>
  <si>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</si>
  <si>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</si>
  <si>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</si>
  <si>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</si>
  <si>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</si>
  <si>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</si>
  <si>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</si>
  <si>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</si>
  <si>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</si>
  <si>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</si>
  <si>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</si>
  <si>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</si>
  <si>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</si>
  <si>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</si>
  <si>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</si>
  <si>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</si>
  <si>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</si>
  <si>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</si>
  <si>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</si>
  <si>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</si>
  <si>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</si>
  <si>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</si>
  <si>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</si>
  <si>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</si>
  <si>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</si>
  <si>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</si>
  <si>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</si>
  <si>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</si>
  <si>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</si>
  <si>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</si>
  <si>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</si>
  <si>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</si>
  <si>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</si>
  <si>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</si>
  <si>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</si>
  <si>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</si>
  <si>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</si>
  <si>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</si>
  <si>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</si>
  <si>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</si>
  <si>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</si>
  <si>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</si>
  <si>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</si>
  <si>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</si>
  <si>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</si>
  <si>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</si>
  <si>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</si>
  <si>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</si>
  <si>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</si>
  <si>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</si>
  <si>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</si>
  <si>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</si>
  <si>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</si>
  <si>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</si>
  <si>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</si>
  <si>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</si>
  <si>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</si>
  <si>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</si>
  <si>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</si>
  <si>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</si>
  <si>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</si>
  <si>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</si>
  <si>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</si>
  <si>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</si>
  <si>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</si>
  <si>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</si>
  <si>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</si>
  <si>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</si>
  <si>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</si>
  <si>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</si>
  <si>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</si>
  <si>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</si>
  <si>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</si>
  <si>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</si>
  <si>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</si>
  <si>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</si>
  <si>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</si>
  <si>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</si>
  <si>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</si>
  <si>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</si>
  <si>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</si>
  <si>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</si>
  <si>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</si>
  <si>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</si>
  <si>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</si>
  <si>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</si>
  <si>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</si>
  <si>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</si>
  <si>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</si>
  <si>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</si>
  <si>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</si>
  <si>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</si>
  <si>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</si>
  <si>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</si>
  <si>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</si>
  <si>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</si>
  <si>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</si>
  <si>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</si>
  <si>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</si>
  <si>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</si>
  <si>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</si>
  <si>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</si>
  <si>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</si>
  <si>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</si>
  <si>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</si>
  <si>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</si>
  <si>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</si>
  <si>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</si>
  <si>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</si>
  <si>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</si>
  <si>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</si>
  <si>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</si>
  <si>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</si>
  <si>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</si>
  <si>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</si>
  <si>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</si>
  <si>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</si>
  <si>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</si>
  <si>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</si>
  <si>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</si>
  <si>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</si>
  <si>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</si>
  <si>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</si>
  <si>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</si>
  <si>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</si>
  <si>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</si>
  <si>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</si>
  <si>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</si>
  <si>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</si>
  <si>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</si>
  <si>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</si>
  <si>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</si>
  <si>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</si>
  <si>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</si>
  <si>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</si>
  <si>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</si>
  <si>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</si>
  <si>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</si>
  <si>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</si>
  <si>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</si>
  <si>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</si>
  <si>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</si>
  <si>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</si>
  <si>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</si>
  <si>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</si>
  <si>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</si>
  <si>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</si>
  <si>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</si>
  <si>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</si>
  <si>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</si>
  <si>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</si>
  <si>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</si>
  <si>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</si>
  <si>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</si>
  <si>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</si>
  <si>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</si>
  <si>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</si>
  <si>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</si>
  <si>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</si>
  <si>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</si>
  <si>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</si>
  <si>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</si>
  <si>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</si>
  <si>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</si>
  <si>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</si>
  <si>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</si>
  <si>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</si>
  <si>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</si>
  <si>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</si>
  <si>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</si>
  <si>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</si>
  <si>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</si>
  <si>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</si>
  <si>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</si>
  <si>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</si>
  <si>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</si>
  <si>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</si>
  <si>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</si>
  <si>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</si>
  <si>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</si>
  <si>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</si>
  <si>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</si>
  <si>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</si>
  <si>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</si>
  <si>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</si>
  <si>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</si>
  <si>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</si>
  <si>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</si>
  <si>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</si>
  <si>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</si>
  <si>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</si>
  <si>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</si>
  <si>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</si>
  <si>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</si>
  <si>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</si>
  <si>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</si>
  <si>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</si>
  <si>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</si>
  <si>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</si>
  <si>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</si>
  <si>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</si>
  <si>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</si>
  <si>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</si>
  <si>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</si>
  <si>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</si>
  <si>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</si>
  <si>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</si>
  <si>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</si>
  <si>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</si>
  <si>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</si>
  <si>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</si>
  <si>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</si>
  <si>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</si>
  <si>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</si>
  <si>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</si>
  <si>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</si>
  <si>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</si>
  <si>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</si>
  <si>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</si>
  <si>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</si>
  <si>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</si>
  <si>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</si>
  <si>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</si>
  <si>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</si>
  <si>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</si>
  <si>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</si>
  <si>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</si>
  <si>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</si>
  <si>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</si>
  <si>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</si>
  <si>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</si>
  <si>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</si>
  <si>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</si>
  <si>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</si>
  <si>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</si>
  <si>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</si>
  <si>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</si>
  <si>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</si>
  <si>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</si>
  <si>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</si>
  <si>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</si>
  <si>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</si>
  <si>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</si>
  <si>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</si>
  <si>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</si>
  <si>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</si>
  <si>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</si>
  <si>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</si>
  <si>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</si>
  <si>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</si>
  <si>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</si>
  <si>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</si>
  <si>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</si>
  <si>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</si>
  <si>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</si>
  <si>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</si>
  <si>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</si>
  <si>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</si>
  <si>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</si>
  <si>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</si>
  <si>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</si>
  <si>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</si>
  <si>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</si>
  <si>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</si>
  <si>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</si>
  <si>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</si>
  <si>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</si>
  <si>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</si>
  <si>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</si>
  <si>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</si>
  <si>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</si>
  <si>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</si>
  <si>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</si>
  <si>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</si>
  <si>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</si>
  <si>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</si>
  <si>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</si>
  <si>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</si>
  <si>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</si>
  <si>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</si>
  <si>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</si>
  <si>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</si>
  <si>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</si>
  <si>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</si>
  <si>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</si>
  <si>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</si>
  <si>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</si>
  <si>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</si>
  <si>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</si>
  <si>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</si>
  <si>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</si>
  <si>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</si>
  <si>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</si>
  <si>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</si>
  <si>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</si>
  <si>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</si>
  <si>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</si>
  <si>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</si>
  <si>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</si>
  <si>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</si>
  <si>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</si>
  <si>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</si>
  <si>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</si>
  <si>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</si>
  <si>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</si>
  <si>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</si>
  <si>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</si>
  <si>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</si>
  <si>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</si>
  <si>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</si>
  <si>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</si>
  <si>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</si>
  <si>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</si>
  <si>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</si>
  <si>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</si>
  <si>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</si>
  <si>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</si>
  <si>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</si>
  <si>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</si>
  <si>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</si>
  <si>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</si>
  <si>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</si>
  <si>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</si>
  <si>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</si>
  <si>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</si>
  <si>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</si>
  <si>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</si>
  <si>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</si>
  <si>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</si>
  <si>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</si>
  <si>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</si>
  <si>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</si>
  <si>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</si>
  <si>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</si>
  <si>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</si>
  <si>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</si>
  <si>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</si>
  <si>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</si>
  <si>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</si>
  <si>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</si>
  <si>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</si>
  <si>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</si>
  <si>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</si>
  <si>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</si>
  <si>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</si>
  <si>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</si>
  <si>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</si>
  <si>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</si>
  <si>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</si>
  <si>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</si>
  <si>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</si>
  <si>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</si>
  <si>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</si>
  <si>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</si>
  <si>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</si>
  <si>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</si>
  <si>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</si>
  <si>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</si>
  <si>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</si>
  <si>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</si>
  <si>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</si>
  <si>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</si>
  <si>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</si>
  <si>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</si>
  <si>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</si>
  <si>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</si>
  <si>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</si>
  <si>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</si>
  <si>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</si>
  <si>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</si>
  <si>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</si>
  <si>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</si>
  <si>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</si>
  <si>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</si>
  <si>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</si>
  <si>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</si>
  <si>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</si>
  <si>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</si>
  <si>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</si>
  <si>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</si>
  <si>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</si>
  <si>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</si>
  <si>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</si>
  <si>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</si>
  <si>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</si>
  <si>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</si>
  <si>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</si>
  <si>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</si>
  <si>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</si>
  <si>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</si>
  <si>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</si>
  <si>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</si>
  <si>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</si>
  <si>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</si>
  <si>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</si>
  <si>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</si>
  <si>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</si>
  <si>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</si>
  <si>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</si>
  <si>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</si>
  <si>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</si>
  <si>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</si>
  <si>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</si>
  <si>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</si>
  <si>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</si>
  <si>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</si>
  <si>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</si>
  <si>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</si>
  <si>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</si>
  <si>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</si>
  <si>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</si>
  <si>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</si>
  <si>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</si>
  <si>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</si>
  <si>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</si>
  <si>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</si>
  <si>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</si>
  <si>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</si>
  <si>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</si>
  <si>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</si>
  <si>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</si>
  <si>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</si>
  <si>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</si>
  <si>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</si>
  <si>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</si>
  <si>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</si>
  <si>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</si>
  <si>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</si>
  <si>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</si>
  <si>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</si>
  <si>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</si>
  <si>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</si>
  <si>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</si>
  <si>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</si>
  <si>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</si>
  <si>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</si>
  <si>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</si>
  <si>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</si>
  <si>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</si>
  <si>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</si>
  <si>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</si>
  <si>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</si>
  <si>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</si>
  <si>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</si>
  <si>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</si>
  <si>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</si>
  <si>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</si>
  <si>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</si>
  <si>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</si>
  <si>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</si>
  <si>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</si>
  <si>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</si>
  <si>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</si>
  <si>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</si>
  <si>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</si>
  <si>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</si>
  <si>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</si>
  <si>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</si>
  <si>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</si>
  <si>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</si>
  <si>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</si>
  <si>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</si>
  <si>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</si>
  <si>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</si>
  <si>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</si>
  <si>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</si>
  <si>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</si>
  <si>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</si>
  <si>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</si>
  <si>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</si>
  <si>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</si>
  <si>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</si>
  <si>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</si>
  <si>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</si>
  <si>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</si>
  <si>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</si>
  <si>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</si>
  <si>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</si>
  <si>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</si>
  <si>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</si>
  <si>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</si>
  <si>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</si>
  <si>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</si>
  <si>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</si>
  <si>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</si>
  <si>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</si>
  <si>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</si>
  <si>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</si>
  <si>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</si>
  <si>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</si>
  <si>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</si>
  <si>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</si>
  <si>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</si>
  <si>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</si>
  <si>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</si>
  <si>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</si>
  <si>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</si>
  <si>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</si>
  <si>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</si>
  <si>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</si>
  <si>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</si>
  <si>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</si>
  <si>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</si>
  <si>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</si>
  <si>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</si>
  <si>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</si>
  <si>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</si>
  <si>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</si>
  <si>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</si>
  <si>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</si>
  <si>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</si>
  <si>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</si>
  <si>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</si>
  <si>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</si>
  <si>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</si>
  <si>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</si>
  <si>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</si>
  <si>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</si>
  <si>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</si>
  <si>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</si>
  <si>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</si>
  <si>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</si>
  <si>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</si>
  <si>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</si>
  <si>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</si>
  <si>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</si>
  <si>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</si>
  <si>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</si>
  <si>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</si>
  <si>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</si>
  <si>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</si>
  <si>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</si>
  <si>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</si>
  <si>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</si>
  <si>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</si>
  <si>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</si>
  <si>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</si>
  <si>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</si>
  <si>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</si>
  <si>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</si>
  <si>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</si>
  <si>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</si>
  <si>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</si>
  <si>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</si>
  <si>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</si>
  <si>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</si>
  <si>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</si>
  <si>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</si>
  <si>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</si>
  <si>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</si>
  <si>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</si>
  <si>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</si>
  <si>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</si>
  <si>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</si>
  <si>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</si>
  <si>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</si>
  <si>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</si>
  <si>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</si>
  <si>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</si>
  <si>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</si>
  <si>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</si>
  <si>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</si>
  <si>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</si>
  <si>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</si>
  <si>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</si>
  <si>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</si>
  <si>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</si>
  <si>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</si>
  <si>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</si>
  <si>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</si>
  <si>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</si>
  <si>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</si>
  <si>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</si>
  <si>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</si>
  <si>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</si>
  <si>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</si>
  <si>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</si>
  <si>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</si>
  <si>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</si>
  <si>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</si>
  <si>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</si>
  <si>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</si>
  <si>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</si>
  <si>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</si>
  <si>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</si>
  <si>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</si>
  <si>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</si>
  <si>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</si>
  <si>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</si>
  <si>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</si>
  <si>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</si>
  <si>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</si>
  <si>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</si>
  <si>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</si>
  <si>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</si>
  <si>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</si>
  <si>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</si>
  <si>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</si>
  <si>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</si>
  <si>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</si>
  <si>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</si>
  <si>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</si>
  <si>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</si>
  <si>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</si>
  <si>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</si>
  <si>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</si>
  <si>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</si>
  <si>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</si>
  <si>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</si>
  <si>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</si>
  <si>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</si>
  <si>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</si>
  <si>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</si>
  <si>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</si>
  <si>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</si>
  <si>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</si>
  <si>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</si>
  <si>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</si>
  <si>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</si>
  <si>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</si>
  <si>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</si>
  <si>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</si>
  <si>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</si>
  <si>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</si>
  <si>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</si>
  <si>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</si>
  <si>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</si>
  <si>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</si>
  <si>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</si>
  <si>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</si>
  <si>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</si>
  <si>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</si>
  <si>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</si>
  <si>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</si>
  <si>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</si>
  <si>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</si>
  <si>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</si>
  <si>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</si>
  <si>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</si>
  <si>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</si>
  <si>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</si>
  <si>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</si>
  <si>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</si>
  <si>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</si>
  <si>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</si>
  <si>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</si>
  <si>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</si>
  <si>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</si>
  <si>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</si>
  <si>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</si>
  <si>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</si>
  <si>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</si>
  <si>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</si>
  <si>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</si>
  <si>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</si>
  <si>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</si>
  <si>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</si>
  <si>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</si>
  <si>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</si>
  <si>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</si>
  <si>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</si>
  <si>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</si>
  <si>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</si>
  <si>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</si>
  <si>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</si>
  <si>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</si>
  <si>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</si>
  <si>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</si>
  <si>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</si>
  <si>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</si>
  <si>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</si>
  <si>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</si>
  <si>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</si>
  <si>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</si>
  <si>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</si>
  <si>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</si>
  <si>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</si>
  <si>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</si>
  <si>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</si>
  <si>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</si>
  <si>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</si>
  <si>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</si>
  <si>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</si>
  <si>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</si>
  <si>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</si>
  <si>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</si>
  <si>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</si>
  <si>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</si>
  <si>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</si>
  <si>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</si>
  <si>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</si>
  <si>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</si>
  <si>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</si>
  <si>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</si>
  <si>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</si>
  <si>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</si>
  <si>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</si>
  <si>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</si>
  <si>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</si>
  <si>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</si>
  <si>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</si>
  <si>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</si>
  <si>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</si>
  <si>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</si>
  <si>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</si>
  <si>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</si>
  <si>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</si>
  <si>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</si>
  <si>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</si>
  <si>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</si>
  <si>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</si>
  <si>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</si>
  <si>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</si>
  <si>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</si>
  <si>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</si>
  <si>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</si>
  <si>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</si>
  <si>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</si>
  <si>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</si>
  <si>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</si>
  <si>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</si>
  <si>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</si>
  <si>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</si>
  <si>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</si>
  <si>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</si>
  <si>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</si>
  <si>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</si>
  <si>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</si>
  <si>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</si>
  <si>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</si>
  <si>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</si>
  <si>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</si>
  <si>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</si>
  <si>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</si>
  <si>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</si>
  <si>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</si>
  <si>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</si>
  <si>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</si>
  <si>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</si>
  <si>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</si>
  <si>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</si>
  <si>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</si>
  <si>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</si>
  <si>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</si>
  <si>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</si>
  <si>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</si>
  <si>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</si>
  <si>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</si>
  <si>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</si>
  <si>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</si>
  <si>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</si>
  <si>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</si>
  <si>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</si>
  <si>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</si>
  <si>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</si>
  <si>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</si>
  <si>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</si>
  <si>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</si>
  <si>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</si>
  <si>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</si>
  <si>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</si>
  <si>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</si>
  <si>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</si>
  <si>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</si>
  <si>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</si>
  <si>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</si>
  <si>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</si>
  <si>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</si>
  <si>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</si>
  <si>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</si>
  <si>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</si>
  <si>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</si>
  <si>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</si>
  <si>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</si>
  <si>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</si>
  <si>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</si>
  <si>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</si>
  <si>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</si>
  <si>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</si>
  <si>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</si>
  <si>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</si>
  <si>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</si>
  <si>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</si>
  <si>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</si>
  <si>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</si>
  <si>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</si>
  <si>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</si>
  <si>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</si>
  <si>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</si>
  <si>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</si>
  <si>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</si>
  <si>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</si>
  <si>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</si>
  <si>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</si>
  <si>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</si>
  <si>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</si>
  <si>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</si>
  <si>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</si>
  <si>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</si>
  <si>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</si>
  <si>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</si>
  <si>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</si>
  <si>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</si>
  <si>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</si>
  <si>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</si>
  <si>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</si>
  <si>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</si>
  <si>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</si>
  <si>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</si>
  <si>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</si>
  <si>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</si>
  <si>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</si>
  <si>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</si>
  <si>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</si>
  <si>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</si>
  <si>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</si>
  <si>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</si>
  <si>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</si>
  <si>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</si>
  <si>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</si>
  <si>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</si>
  <si>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</si>
  <si>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</si>
  <si>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</si>
  <si>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</si>
  <si>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</si>
  <si>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</si>
  <si>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</si>
  <si>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</si>
  <si>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</si>
  <si>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</si>
  <si>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</si>
  <si>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</si>
  <si>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</si>
  <si>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</si>
  <si>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</si>
  <si>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</si>
  <si>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</si>
  <si>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</si>
  <si>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</si>
  <si>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</si>
  <si>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</si>
  <si>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</si>
  <si>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</si>
  <si>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</si>
  <si>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</si>
  <si>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</si>
  <si>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</si>
  <si>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</si>
  <si>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</si>
  <si>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</si>
  <si>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</si>
  <si>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</si>
  <si>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</si>
  <si>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</si>
  <si>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</si>
  <si>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</si>
  <si>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</si>
  <si>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</si>
  <si>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</si>
  <si>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</si>
  <si>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</si>
  <si>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</si>
  <si>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</si>
  <si>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</si>
  <si>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</si>
  <si>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</si>
  <si>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</si>
  <si>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</si>
  <si>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</si>
  <si>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</si>
  <si>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</si>
  <si>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</si>
  <si>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</si>
  <si>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</si>
  <si>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</si>
  <si>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</si>
  <si>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</si>
  <si>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</si>
  <si>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</si>
  <si>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</si>
  <si>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</si>
  <si>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</si>
  <si>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</si>
  <si>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</si>
  <si>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</si>
  <si>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</si>
  <si>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</si>
  <si>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</si>
  <si>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</si>
  <si>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</si>
  <si>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</si>
  <si>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</si>
  <si>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</si>
  <si>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</si>
  <si>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</si>
  <si>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</si>
  <si>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</si>
  <si>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</si>
  <si>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</si>
  <si>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</si>
  <si>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</si>
  <si>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</si>
  <si>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</si>
  <si>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</si>
  <si>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</si>
  <si>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</si>
  <si>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</si>
  <si>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</si>
  <si>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</si>
  <si>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</si>
  <si>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</si>
  <si>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</si>
  <si>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</si>
  <si>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</si>
  <si>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</si>
  <si>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</si>
  <si>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</si>
  <si>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</si>
  <si>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</si>
  <si>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</si>
  <si>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</si>
  <si>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</si>
  <si>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</si>
  <si>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</si>
  <si>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</si>
  <si>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</si>
  <si>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</si>
  <si>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</si>
  <si>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</si>
  <si>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</si>
  <si>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</si>
  <si>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</si>
  <si>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</si>
  <si>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</si>
  <si>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</si>
  <si>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</si>
  <si>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</si>
  <si>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</si>
  <si>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</si>
  <si>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</si>
  <si>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</si>
  <si>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</si>
  <si>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</si>
  <si>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</si>
  <si>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</si>
  <si>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</si>
  <si>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</si>
  <si>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</si>
  <si>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</si>
  <si>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</si>
  <si>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</si>
  <si>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</si>
  <si>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</si>
  <si>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</si>
  <si>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</si>
  <si>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</si>
  <si>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</si>
  <si>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</si>
  <si>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</si>
  <si>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</si>
  <si>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</si>
  <si>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</si>
  <si>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</si>
  <si>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</si>
  <si>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</si>
  <si>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</si>
  <si>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</si>
  <si>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</si>
  <si>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</si>
  <si>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</si>
  <si>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</si>
  <si>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</si>
  <si>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</si>
  <si>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</si>
  <si>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</si>
  <si>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</si>
  <si>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</si>
  <si>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</si>
  <si>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</si>
  <si>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</si>
  <si>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</si>
  <si>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</si>
  <si>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</si>
  <si>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</si>
  <si>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</si>
  <si>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</si>
  <si>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</si>
  <si>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</si>
  <si>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</si>
  <si>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</si>
  <si>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</si>
  <si>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</si>
  <si>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</si>
  <si>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</si>
  <si>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</si>
  <si>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</si>
  <si>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</si>
  <si>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</si>
  <si>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</si>
  <si>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</si>
  <si>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</si>
  <si>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</si>
  <si>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</si>
  <si>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</si>
  <si>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</si>
  <si>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</si>
  <si>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</si>
  <si>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</si>
  <si>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</si>
  <si>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</si>
  <si>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</si>
  <si>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</si>
  <si>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</si>
  <si>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</si>
  <si>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</si>
  <si>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</si>
  <si>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</si>
  <si>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</si>
  <si>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</si>
  <si>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</si>
  <si>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</si>
  <si>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</si>
  <si>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</si>
  <si>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</si>
  <si>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</si>
  <si>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</si>
  <si>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</si>
  <si>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</si>
  <si>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</si>
  <si>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</si>
  <si>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</si>
  <si>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</si>
  <si>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</si>
  <si>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</si>
  <si>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</si>
  <si>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</si>
  <si>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</si>
  <si>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</si>
  <si>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</si>
  <si>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</si>
  <si>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</si>
  <si>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</si>
  <si>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</si>
  <si>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</si>
  <si>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</si>
  <si>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</si>
  <si>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</si>
  <si>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</si>
  <si>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</si>
  <si>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</si>
  <si>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</si>
  <si>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</si>
  <si>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</si>
  <si>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</si>
  <si>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</si>
  <si>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</si>
  <si>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</si>
  <si>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</si>
  <si>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</si>
  <si>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</si>
  <si>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</si>
  <si>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</si>
  <si>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</si>
  <si>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</si>
  <si>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</si>
  <si>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</si>
  <si>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</si>
  <si>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</si>
  <si>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</si>
  <si>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</si>
  <si>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</si>
  <si>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</si>
  <si>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</si>
  <si>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</si>
  <si>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</si>
  <si>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</si>
  <si>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</si>
  <si>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</si>
  <si>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</si>
  <si>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</si>
  <si>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</si>
  <si>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</si>
  <si>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</si>
  <si>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</si>
  <si>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</si>
  <si>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</si>
  <si>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</si>
  <si>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</si>
  <si>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</si>
  <si>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</si>
  <si>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</si>
  <si>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</si>
  <si>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</si>
  <si>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</si>
  <si>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</si>
  <si>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</si>
  <si>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</si>
  <si>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</si>
  <si>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</si>
  <si>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</si>
  <si>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</si>
  <si>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</si>
  <si>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</si>
  <si>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</si>
  <si>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</si>
  <si>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</si>
  <si>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</si>
  <si>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</si>
  <si>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</si>
  <si>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</si>
  <si>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</si>
  <si>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</si>
  <si>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</si>
  <si>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</si>
  <si>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</si>
  <si>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</si>
  <si>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</si>
  <si>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</si>
  <si>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</si>
  <si>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</si>
  <si>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</si>
  <si>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</si>
  <si>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</si>
  <si>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</si>
  <si>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</si>
  <si>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</si>
  <si>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</si>
  <si>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</si>
  <si>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</si>
  <si>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</si>
  <si>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</si>
  <si>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</si>
  <si>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</si>
  <si>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</si>
  <si>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</si>
  <si>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</si>
  <si>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</si>
  <si>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</si>
  <si>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</si>
  <si>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</si>
  <si>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</si>
  <si>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</si>
  <si>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</si>
  <si>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</si>
  <si>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</si>
  <si>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</si>
  <si>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</si>
  <si>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</si>
  <si>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</si>
  <si>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</si>
  <si>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</si>
  <si>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</si>
  <si>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</si>
  <si>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</si>
  <si>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</si>
  <si>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</si>
  <si>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</si>
  <si>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</si>
  <si>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</si>
  <si>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</si>
  <si>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</si>
  <si>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</si>
  <si>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</si>
  <si>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</si>
  <si>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</si>
  <si>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</si>
  <si>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</si>
  <si>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</si>
  <si>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</si>
  <si>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</si>
  <si>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</si>
  <si>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</si>
  <si>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</si>
  <si>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</si>
  <si>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</si>
  <si>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</si>
  <si>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</si>
  <si>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</si>
  <si>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</si>
  <si>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</si>
  <si>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</si>
  <si>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</si>
  <si>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</si>
  <si>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</si>
  <si>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</si>
  <si>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</si>
  <si>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</si>
  <si>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</si>
  <si>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</si>
  <si>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</si>
  <si>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</si>
  <si>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</si>
  <si>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</si>
  <si>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</si>
  <si>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</si>
  <si>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</si>
  <si>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</si>
  <si>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</si>
  <si>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</si>
  <si>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</si>
  <si>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</si>
  <si>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</si>
  <si>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</si>
  <si>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</si>
  <si>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</si>
  <si>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</si>
  <si>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</si>
  <si>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</si>
  <si>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</si>
  <si>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</si>
  <si>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</si>
  <si>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</si>
  <si>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</si>
  <si>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</si>
  <si>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</si>
  <si>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</si>
  <si>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</si>
  <si>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</si>
  <si>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</si>
  <si>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</si>
  <si>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</si>
  <si>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</si>
  <si>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</si>
  <si>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</si>
  <si>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</si>
  <si>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</si>
  <si>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</si>
  <si>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</si>
  <si>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</si>
  <si>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</si>
  <si>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</si>
  <si>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</si>
  <si>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</si>
  <si>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</si>
  <si>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</si>
  <si>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</si>
  <si>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</si>
  <si>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</si>
  <si>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</si>
  <si>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</si>
  <si>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</si>
  <si>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</si>
  <si>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</si>
  <si>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</si>
  <si>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</si>
  <si>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</si>
  <si>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</si>
  <si>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</si>
  <si>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</si>
  <si>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</si>
  <si>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</si>
  <si>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</si>
  <si>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</si>
  <si>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</si>
  <si>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</si>
  <si>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</si>
  <si>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</si>
  <si>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</si>
  <si>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</si>
  <si>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</si>
  <si>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</si>
  <si>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</si>
  <si>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</si>
  <si>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</si>
  <si>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</si>
  <si>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</si>
  <si>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</si>
  <si>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</si>
  <si>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</si>
  <si>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</si>
  <si>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</si>
  <si>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</si>
  <si>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</si>
  <si>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</si>
  <si>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</si>
  <si>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</si>
  <si>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</si>
  <si>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</si>
  <si>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</si>
  <si>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</si>
  <si>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</si>
  <si>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</si>
  <si>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</si>
  <si>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</si>
  <si>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</si>
  <si>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</si>
  <si>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</si>
  <si>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</si>
  <si>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</si>
  <si>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</si>
  <si>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</si>
  <si>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</si>
  <si>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</si>
  <si>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</si>
  <si>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</si>
  <si>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</si>
  <si>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</si>
  <si>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</si>
  <si>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</si>
  <si>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</si>
  <si>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</si>
  <si>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</si>
  <si>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</si>
  <si>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</si>
  <si>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</si>
  <si>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</si>
  <si>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</si>
  <si>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</si>
  <si>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</si>
  <si>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</si>
  <si>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</si>
  <si>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</si>
  <si>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</si>
  <si>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</si>
  <si>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</si>
  <si>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</si>
  <si>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</si>
  <si>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</si>
  <si>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</si>
  <si>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</si>
  <si>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</si>
  <si>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</si>
  <si>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</si>
  <si>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</si>
  <si>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</si>
  <si>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</si>
  <si>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</si>
  <si>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</si>
  <si>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</si>
  <si>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</si>
  <si>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</si>
  <si>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</si>
  <si>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</si>
  <si>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</si>
  <si>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</si>
  <si>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</si>
  <si>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</si>
  <si>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</si>
  <si>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</si>
  <si>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</si>
  <si>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</si>
  <si>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</si>
  <si>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</si>
  <si>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</si>
  <si>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</si>
  <si>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</si>
  <si>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</si>
  <si>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</si>
  <si>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</si>
  <si>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</si>
  <si>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</si>
  <si>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</si>
  <si>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</si>
  <si>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</si>
  <si>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</si>
  <si>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</si>
  <si>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</si>
  <si>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</si>
  <si>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</si>
  <si>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</si>
  <si>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</si>
  <si>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</si>
  <si>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</si>
  <si>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</si>
  <si>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</si>
  <si>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</si>
  <si>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</si>
  <si>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</si>
  <si>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</si>
  <si>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</si>
  <si>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</si>
  <si>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</si>
  <si>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</si>
  <si>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</si>
  <si>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</si>
  <si>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</si>
  <si>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</si>
  <si>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</si>
  <si>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</si>
  <si>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</si>
  <si>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</si>
  <si>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</si>
  <si>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</si>
  <si>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</si>
  <si>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</si>
  <si>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</si>
  <si>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</si>
  <si>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</si>
  <si>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</si>
  <si>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</si>
  <si>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</si>
  <si>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</si>
  <si>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</si>
  <si>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</si>
  <si>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</si>
  <si>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</si>
  <si>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</si>
  <si>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</si>
  <si>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</si>
  <si>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</si>
  <si>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</si>
  <si>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</si>
  <si>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</si>
  <si>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</si>
  <si>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</si>
  <si>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</si>
  <si>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</si>
  <si>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</si>
  <si>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</si>
  <si>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</si>
  <si>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</si>
  <si>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</si>
  <si>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</si>
  <si>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</si>
  <si>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</si>
  <si>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</si>
  <si>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</si>
  <si>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</si>
  <si>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</si>
  <si>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</si>
  <si>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</si>
  <si>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</si>
  <si>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</si>
  <si>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</si>
  <si>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</si>
  <si>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</si>
  <si>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</si>
  <si>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</si>
  <si>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</si>
  <si>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</si>
  <si>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</si>
  <si>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</si>
  <si>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</si>
  <si>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</si>
  <si>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</si>
  <si>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</si>
  <si>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</si>
  <si>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</si>
  <si>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</si>
  <si>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</si>
  <si>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</si>
  <si>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</si>
  <si>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</si>
  <si>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</si>
  <si>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</si>
  <si>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</si>
  <si>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</si>
  <si>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</si>
  <si>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</si>
  <si>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</si>
  <si>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</si>
  <si>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</si>
  <si>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</si>
  <si>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</si>
  <si>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</si>
  <si>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</si>
  <si>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</si>
  <si>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</si>
  <si>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</si>
  <si>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</si>
  <si>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</si>
  <si>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</si>
  <si>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</si>
  <si>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</si>
  <si>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</si>
  <si>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</si>
  <si>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</si>
  <si>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</si>
  <si>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</si>
  <si>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</si>
  <si>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</si>
  <si>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</si>
  <si>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</si>
  <si>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</si>
  <si>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</si>
  <si>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</si>
  <si>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</si>
  <si>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</si>
  <si>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</si>
  <si>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</si>
  <si>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</si>
  <si>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</si>
  <si>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</si>
  <si>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</si>
  <si>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</si>
  <si>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</si>
  <si>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</si>
  <si>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</si>
  <si>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</si>
  <si>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</si>
  <si>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</si>
  <si>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</si>
  <si>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</si>
  <si>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</si>
  <si>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</si>
  <si>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</si>
  <si>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</si>
  <si>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</si>
  <si>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</si>
  <si>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</si>
  <si>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</si>
  <si>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</si>
  <si>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</si>
  <si>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</si>
  <si>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</si>
  <si>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</si>
  <si>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</si>
  <si>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</si>
  <si>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</si>
  <si>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</si>
  <si>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</si>
  <si>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</si>
  <si>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</si>
  <si>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</si>
  <si>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</si>
  <si>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</si>
  <si>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</si>
  <si>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</si>
  <si>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</si>
  <si>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</si>
  <si>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</si>
  <si>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</si>
  <si>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</si>
  <si>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</si>
  <si>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</si>
  <si>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</si>
  <si>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</si>
  <si>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</si>
  <si>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</si>
  <si>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</si>
  <si>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</si>
  <si>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</si>
  <si>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</si>
  <si>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</si>
  <si>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</si>
  <si>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</si>
  <si>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</si>
  <si>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</si>
  <si>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</si>
  <si>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</si>
  <si>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</si>
  <si>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</si>
  <si>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</si>
  <si>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</si>
  <si>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</si>
  <si>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</si>
  <si>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</si>
  <si>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</si>
  <si>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</si>
  <si>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</si>
  <si>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</si>
  <si>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</si>
  <si>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</si>
  <si>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</si>
  <si>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</si>
  <si>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</si>
  <si>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</si>
  <si>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</si>
  <si>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</si>
  <si>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</si>
  <si>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</si>
  <si>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</si>
  <si>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</si>
  <si>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</si>
  <si>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</si>
  <si>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</si>
  <si>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</si>
  <si>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</si>
  <si>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</si>
  <si>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</si>
  <si>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</si>
  <si>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</si>
  <si>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</si>
  <si>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</si>
  <si>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</si>
  <si>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</si>
  <si>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</si>
  <si>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</si>
  <si>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</si>
  <si>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</si>
  <si>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</si>
  <si>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</si>
  <si>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</si>
  <si>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</si>
  <si>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</si>
  <si>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</si>
  <si>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</si>
  <si>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</si>
  <si>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</si>
  <si>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</si>
  <si>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</si>
  <si>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</si>
  <si>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</si>
  <si>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</si>
  <si>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</si>
  <si>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</si>
  <si>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</si>
  <si>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</si>
  <si>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</si>
  <si>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</si>
  <si>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</si>
  <si>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</si>
  <si>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</si>
  <si>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</si>
  <si>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</si>
  <si>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</si>
  <si>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</si>
  <si>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</si>
  <si>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</si>
  <si>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</si>
  <si>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</si>
  <si>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</si>
  <si>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</si>
  <si>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</si>
  <si>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</si>
  <si>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</si>
  <si>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</si>
  <si>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</si>
  <si>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</si>
  <si>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</si>
  <si>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</si>
  <si>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</si>
  <si>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</si>
  <si>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</si>
  <si>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</si>
  <si>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</si>
  <si>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</si>
  <si>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</si>
  <si>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</si>
  <si>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</si>
  <si>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</si>
  <si>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</si>
  <si>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</si>
  <si>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</si>
  <si>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</si>
  <si>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</si>
  <si>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</si>
  <si>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</si>
  <si>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</si>
  <si>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</si>
  <si>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</si>
  <si>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</si>
  <si>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</si>
  <si>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</si>
  <si>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</si>
  <si>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</si>
  <si>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</si>
  <si>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</si>
  <si>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</si>
  <si>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</si>
  <si>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</si>
  <si>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</si>
  <si>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</si>
  <si>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</si>
  <si>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</si>
  <si>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</si>
  <si>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</si>
  <si>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</si>
  <si>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</si>
  <si>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</si>
  <si>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</si>
  <si>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</si>
  <si>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</si>
  <si>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</si>
  <si>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</si>
  <si>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</si>
  <si>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</si>
  <si>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</si>
  <si>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</si>
  <si>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</si>
  <si>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</si>
  <si>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</si>
  <si>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</si>
  <si>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</si>
  <si>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</si>
  <si>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</si>
  <si>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</si>
  <si>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</si>
  <si>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</si>
  <si>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</si>
  <si>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</si>
  <si>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</si>
  <si>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</si>
  <si>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</si>
  <si>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</si>
  <si>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</si>
  <si>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</si>
  <si>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</si>
  <si>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</si>
  <si>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</si>
  <si>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</si>
  <si>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</si>
  <si>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</si>
  <si>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</si>
  <si>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</si>
  <si>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</si>
  <si>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</si>
  <si>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</si>
  <si>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</si>
  <si>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</si>
  <si>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</si>
  <si>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</si>
  <si>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</si>
  <si>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</si>
  <si>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</si>
  <si>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</si>
  <si>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</si>
  <si>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</si>
  <si>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</si>
  <si>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</si>
  <si>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</si>
  <si>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</si>
  <si>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</si>
  <si>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</si>
  <si>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</si>
  <si>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</si>
  <si>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</si>
  <si>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</si>
  <si>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</si>
  <si>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</si>
  <si>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</si>
  <si>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</si>
  <si>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</si>
  <si>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</si>
  <si>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</si>
  <si>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</si>
  <si>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</si>
  <si>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</si>
  <si>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</si>
  <si>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</si>
  <si>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</si>
  <si>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</si>
  <si>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</si>
  <si>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</si>
  <si>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</si>
  <si>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</si>
  <si>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</si>
  <si>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</si>
  <si>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</si>
  <si>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</si>
  <si>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</si>
  <si>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</si>
  <si>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</si>
  <si>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</si>
  <si>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</si>
  <si>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</si>
  <si>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</si>
  <si>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</si>
  <si>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</si>
  <si>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</si>
  <si>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</si>
  <si>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</si>
  <si>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</si>
  <si>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</si>
  <si>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</si>
  <si>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</si>
  <si>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</si>
  <si>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</si>
  <si>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</si>
  <si>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</si>
  <si>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</si>
  <si>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</si>
  <si>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</si>
  <si>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</si>
  <si>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</si>
  <si>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</si>
  <si>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</si>
  <si>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</si>
  <si>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</si>
  <si>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</si>
  <si>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</si>
  <si>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</si>
  <si>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</si>
  <si>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</si>
  <si>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</si>
  <si>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</si>
  <si>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</si>
  <si>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</si>
  <si>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</si>
  <si>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</si>
  <si>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</si>
  <si>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</si>
  <si>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</si>
  <si>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</si>
  <si>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</si>
  <si>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</si>
  <si>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</si>
  <si>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</si>
  <si>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</si>
  <si>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</si>
  <si>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</si>
  <si>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</si>
  <si>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</si>
  <si>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</si>
  <si>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</si>
  <si>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</si>
  <si>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</si>
  <si>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</si>
  <si>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</si>
  <si>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</si>
  <si>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</si>
  <si>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</si>
  <si>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</si>
  <si>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</si>
  <si>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</si>
  <si>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</si>
  <si>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</si>
  <si>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</si>
  <si>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</si>
  <si>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</si>
  <si>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</si>
  <si>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</si>
  <si>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</si>
  <si>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</si>
  <si>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</si>
  <si>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</si>
  <si>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</si>
  <si>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</si>
  <si>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</si>
  <si>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</si>
  <si>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</si>
  <si>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</si>
  <si>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</si>
  <si>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</si>
  <si>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</si>
  <si>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</si>
  <si>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</si>
  <si>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</si>
  <si>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</si>
  <si>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</si>
  <si>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</si>
  <si>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</si>
  <si>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</si>
  <si>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</si>
  <si>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</si>
  <si>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</si>
  <si>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</si>
  <si>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</si>
  <si>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</si>
  <si>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</si>
  <si>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</si>
  <si>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</si>
  <si>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</si>
  <si>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</si>
  <si>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</si>
  <si>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</si>
  <si>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</si>
  <si>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</si>
  <si>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</si>
  <si>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</si>
  <si>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</si>
  <si>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</si>
  <si>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</si>
  <si>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</si>
  <si>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</si>
  <si>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</si>
  <si>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</si>
  <si>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</si>
  <si>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</si>
  <si>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</si>
  <si>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</si>
  <si>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</si>
  <si>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</si>
  <si>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</si>
  <si>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</si>
  <si>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</si>
  <si>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</si>
  <si>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</si>
  <si>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</si>
  <si>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</si>
  <si>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</si>
  <si>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</si>
  <si>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</si>
  <si>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</si>
  <si>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</si>
  <si>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</si>
  <si>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</si>
  <si>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</si>
  <si>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</si>
  <si>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</si>
  <si>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</si>
  <si>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</si>
  <si>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</si>
  <si>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</si>
  <si>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</si>
  <si>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</si>
  <si>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</si>
  <si>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</si>
  <si>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</si>
  <si>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</si>
  <si>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</si>
  <si>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</si>
  <si>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</si>
  <si>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</si>
  <si>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</si>
  <si>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</si>
  <si>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</si>
  <si>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</si>
  <si>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</si>
  <si>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</si>
  <si>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</si>
  <si>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</si>
  <si>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</si>
  <si>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</si>
  <si>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</si>
  <si>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</si>
  <si>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</si>
  <si>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</si>
  <si>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</si>
  <si>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</si>
  <si>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</si>
  <si>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</si>
  <si>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</si>
  <si>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</si>
  <si>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</si>
  <si>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</si>
  <si>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</si>
  <si>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</si>
  <si>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</si>
  <si>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</si>
  <si>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</si>
  <si>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</si>
  <si>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</si>
  <si>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</si>
  <si>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</si>
  <si>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</si>
  <si>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</si>
  <si>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</si>
  <si>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</si>
  <si>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</si>
  <si>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</si>
  <si>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</si>
  <si>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</si>
  <si>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</si>
  <si>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</si>
  <si>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</si>
  <si>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</si>
  <si>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</si>
  <si>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</si>
  <si>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</si>
  <si>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</si>
  <si>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</si>
  <si>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</si>
  <si>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</si>
  <si>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</si>
  <si>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</si>
  <si>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</si>
  <si>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</si>
  <si>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</si>
  <si>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</si>
  <si>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</si>
  <si>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</si>
  <si>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</si>
  <si>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</si>
  <si>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</si>
  <si>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</si>
  <si>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</si>
  <si>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</si>
  <si>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</si>
  <si>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</si>
  <si>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</si>
  <si>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</si>
  <si>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</si>
  <si>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</si>
  <si>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</si>
  <si>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</si>
  <si>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</si>
  <si>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</si>
  <si>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</si>
  <si>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</si>
  <si>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</si>
  <si>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</si>
  <si>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</si>
  <si>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</si>
  <si>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</si>
  <si>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</si>
  <si>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</si>
  <si>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</si>
  <si>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</si>
  <si>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</si>
  <si>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</si>
  <si>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</si>
  <si>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</si>
  <si>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</si>
  <si>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</si>
  <si>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</si>
  <si>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</si>
  <si>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</si>
  <si>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</si>
  <si>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</si>
  <si>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</si>
  <si>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</si>
  <si>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</si>
  <si>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</si>
  <si>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</si>
  <si>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</si>
  <si>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</si>
  <si>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</si>
  <si>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</si>
  <si>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</si>
  <si>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</si>
  <si>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</si>
  <si>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</si>
  <si>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</si>
  <si>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</si>
  <si>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</si>
  <si>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</si>
  <si>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</si>
  <si>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</si>
  <si>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</si>
  <si>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</si>
  <si>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</si>
  <si>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</si>
  <si>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</si>
  <si>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</si>
  <si>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</si>
  <si>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</si>
  <si>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</si>
  <si>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</si>
  <si>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</si>
  <si>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</si>
  <si>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</si>
  <si>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</si>
  <si>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</si>
  <si>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</si>
  <si>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</si>
  <si>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</si>
  <si>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</si>
  <si>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</si>
  <si>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</si>
  <si>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</si>
  <si>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</si>
  <si>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</si>
  <si>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</si>
  <si>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</si>
  <si>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</si>
  <si>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</si>
  <si>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</si>
  <si>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</si>
  <si>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</si>
  <si>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</si>
  <si>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</si>
  <si>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</si>
  <si>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</si>
  <si>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</si>
  <si>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</si>
  <si>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</si>
  <si>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</si>
  <si>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</si>
  <si>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</si>
  <si>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</si>
  <si>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</si>
  <si>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</si>
  <si>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</si>
  <si>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</si>
  <si>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</si>
  <si>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</si>
  <si>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</si>
  <si>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</si>
  <si>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</si>
  <si>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</si>
  <si>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</si>
  <si>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</si>
  <si>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</si>
  <si>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</si>
  <si>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</si>
  <si>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</si>
  <si>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</si>
  <si>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</si>
  <si>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</si>
  <si>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</si>
  <si>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</si>
  <si>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</si>
  <si>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</si>
  <si>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</si>
  <si>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</si>
  <si>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</si>
  <si>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</si>
  <si>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</si>
  <si>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</si>
  <si>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</si>
  <si>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</si>
  <si>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</si>
  <si>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</si>
  <si>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</si>
  <si>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</si>
  <si>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</si>
  <si>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</si>
  <si>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</si>
  <si>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</si>
  <si>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</si>
  <si>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</si>
  <si>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</si>
  <si>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</si>
  <si>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</si>
  <si>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</si>
  <si>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</si>
  <si>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</si>
  <si>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</si>
  <si>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</si>
  <si>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</si>
  <si>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</si>
  <si>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</si>
  <si>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</si>
  <si>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</si>
  <si>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</si>
  <si>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</si>
  <si>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</si>
  <si>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</si>
  <si>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</si>
  <si>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</si>
  <si>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</si>
  <si>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</si>
  <si>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</si>
  <si>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</si>
  <si>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</si>
  <si>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</si>
  <si>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</si>
  <si>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</si>
  <si>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</si>
  <si>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</si>
  <si>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</si>
  <si>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</si>
  <si>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</si>
  <si>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</si>
  <si>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</si>
  <si>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</si>
  <si>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</si>
  <si>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</si>
  <si>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</si>
  <si>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</si>
  <si>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</si>
  <si>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</si>
  <si>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</si>
  <si>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</si>
  <si>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</si>
  <si>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</si>
  <si>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</si>
  <si>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</si>
  <si>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</si>
  <si>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</si>
  <si>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</si>
  <si>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</si>
  <si>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</si>
  <si>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</si>
  <si>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</si>
  <si>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</si>
  <si>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</si>
  <si>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</si>
  <si>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</si>
  <si>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</si>
  <si>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</si>
  <si>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</si>
  <si>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</si>
  <si>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</si>
  <si>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</si>
  <si>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</si>
  <si>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</si>
  <si>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</si>
  <si>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</si>
  <si>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</si>
  <si>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</si>
  <si>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</si>
  <si>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</si>
  <si>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</si>
  <si>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</si>
  <si>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</si>
  <si>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</si>
  <si>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</si>
  <si>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</si>
  <si>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</si>
  <si>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</si>
  <si>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</si>
  <si>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</si>
  <si>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</si>
  <si>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</si>
  <si>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</si>
  <si>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</si>
  <si>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</si>
  <si>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</si>
  <si>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</si>
  <si>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</si>
  <si>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</si>
  <si>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</si>
  <si>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</si>
  <si>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</si>
  <si>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</si>
  <si>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</si>
  <si>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</si>
  <si>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</si>
  <si>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</si>
  <si>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</si>
  <si>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</si>
  <si>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</si>
  <si>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</si>
  <si>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</si>
  <si>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</si>
  <si>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</si>
  <si>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</si>
  <si>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</si>
  <si>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</si>
  <si>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</si>
  <si>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</si>
  <si>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</si>
  <si>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</si>
  <si>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</si>
  <si>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</si>
  <si>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</si>
  <si>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</si>
  <si>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</si>
  <si>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</si>
  <si>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</si>
  <si>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</si>
  <si>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</si>
  <si>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</si>
  <si>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</si>
  <si>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</si>
  <si>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</si>
  <si>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</si>
  <si>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</si>
  <si>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</si>
  <si>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</si>
  <si>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</si>
  <si>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</si>
  <si>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</si>
  <si>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</si>
  <si>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</si>
  <si>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</si>
  <si>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</si>
  <si>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</si>
  <si>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</si>
  <si>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</si>
  <si>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</si>
  <si>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</si>
  <si>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</si>
  <si>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</si>
  <si>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</si>
  <si>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</si>
  <si>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</si>
  <si>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</si>
  <si>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</si>
  <si>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</si>
  <si>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</si>
  <si>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</si>
  <si>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</si>
  <si>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</si>
  <si>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</si>
  <si>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</si>
  <si>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</si>
  <si>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</si>
  <si>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</si>
  <si>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</si>
  <si>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</si>
  <si>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</si>
  <si>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</si>
  <si>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</si>
  <si>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</si>
  <si>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</si>
  <si>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</si>
  <si>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</si>
  <si>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</si>
  <si>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</si>
  <si>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</si>
  <si>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</si>
  <si>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</si>
  <si>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</si>
  <si>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</si>
  <si>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</si>
  <si>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</si>
  <si>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</si>
  <si>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</si>
  <si>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</si>
  <si>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</si>
  <si>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</si>
  <si>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</si>
  <si>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</si>
  <si>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</si>
  <si>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</si>
  <si>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</si>
  <si>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</si>
  <si>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</si>
  <si>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</si>
  <si>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</si>
  <si>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</si>
  <si>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</si>
  <si>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</si>
  <si>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</si>
  <si>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</si>
  <si>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</si>
  <si>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</si>
  <si>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</si>
  <si>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</si>
  <si>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</si>
  <si>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</si>
  <si>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</si>
  <si>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</si>
  <si>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</si>
  <si>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</si>
  <si>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</si>
  <si>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</si>
  <si>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</si>
  <si>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</si>
  <si>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</si>
  <si>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</si>
  <si>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</si>
  <si>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</si>
  <si>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</si>
  <si>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</si>
  <si>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</si>
  <si>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</si>
  <si>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</si>
  <si>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</si>
  <si>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</si>
  <si>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</si>
  <si>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</si>
  <si>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</si>
  <si>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</si>
  <si>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</si>
  <si>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</si>
  <si>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</si>
  <si>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</si>
  <si>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</si>
  <si>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</si>
  <si>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</si>
  <si>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</si>
  <si>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</si>
  <si>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</si>
  <si>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</si>
  <si>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</si>
  <si>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</si>
  <si>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</si>
  <si>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</si>
  <si>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</si>
  <si>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</si>
  <si>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</si>
  <si>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</si>
  <si>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</si>
  <si>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</si>
  <si>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</si>
  <si>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</si>
  <si>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</si>
  <si>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</si>
  <si>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</si>
  <si>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</si>
  <si>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</si>
  <si>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</si>
  <si>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</si>
  <si>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</si>
  <si>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</si>
  <si>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</si>
  <si>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</si>
  <si>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</si>
  <si>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</si>
  <si>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</si>
  <si>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</si>
  <si>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</si>
  <si>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</si>
  <si>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</si>
  <si>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</si>
  <si>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</si>
  <si>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</si>
  <si>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</si>
  <si>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</si>
  <si>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</si>
  <si>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</si>
  <si>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</si>
  <si>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</si>
  <si>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</si>
  <si>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</si>
  <si>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</si>
  <si>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</si>
  <si>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</si>
  <si>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</si>
  <si>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</si>
  <si>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</si>
  <si>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</si>
  <si>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</si>
  <si>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</si>
  <si>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</si>
  <si>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</si>
  <si>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</si>
  <si>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</si>
  <si>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</si>
  <si>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</si>
  <si>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</si>
  <si>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</si>
  <si>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</si>
  <si>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</si>
  <si>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</si>
  <si>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</si>
  <si>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</si>
  <si>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</si>
  <si>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</si>
  <si>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</si>
  <si>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</si>
  <si>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</si>
  <si>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</si>
  <si>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</si>
  <si>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</si>
  <si>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</si>
  <si>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</si>
  <si>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</si>
  <si>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</si>
  <si>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</si>
  <si>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</si>
  <si>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</si>
  <si>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</si>
  <si>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</si>
  <si>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</si>
  <si>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</si>
  <si>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</si>
  <si>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</si>
  <si>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</si>
  <si>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</si>
  <si>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</si>
  <si>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</si>
  <si>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</si>
  <si>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</si>
  <si>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</si>
  <si>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</si>
  <si>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</si>
  <si>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</si>
  <si>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</si>
  <si>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</si>
  <si>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</si>
  <si>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</si>
  <si>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</si>
  <si>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</si>
  <si>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</si>
  <si>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</si>
  <si>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</si>
  <si>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</si>
  <si>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</si>
  <si>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</si>
  <si>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</si>
  <si>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</si>
  <si>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</si>
  <si>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</si>
  <si>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</si>
  <si>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</si>
  <si>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</si>
  <si>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</si>
  <si>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</si>
  <si>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</si>
  <si>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</si>
  <si>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</si>
  <si>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</si>
  <si>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</si>
  <si>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</si>
  <si>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</si>
  <si>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</si>
  <si>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</si>
  <si>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</si>
  <si>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</si>
  <si>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</si>
  <si>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</si>
  <si>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</si>
  <si>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</si>
  <si>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</si>
  <si>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</si>
  <si>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</si>
  <si>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</si>
  <si>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</si>
  <si>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</si>
  <si>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</si>
  <si>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</si>
  <si>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</si>
  <si>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</si>
  <si>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</si>
  <si>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</si>
  <si>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</si>
  <si>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</si>
  <si>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</si>
  <si>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</si>
  <si>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</si>
  <si>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</si>
  <si>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</si>
  <si>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</si>
  <si>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</si>
  <si>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</si>
  <si>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</si>
  <si>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</si>
  <si>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</si>
  <si>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</si>
  <si>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</si>
  <si>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</si>
  <si>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</si>
  <si>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</si>
  <si>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</si>
  <si>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</si>
  <si>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</si>
  <si>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</si>
  <si>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</si>
  <si>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</si>
  <si>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</si>
  <si>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</si>
  <si>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</si>
  <si>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</si>
  <si>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</si>
  <si>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</si>
  <si>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</si>
  <si>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</si>
  <si>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</si>
  <si>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</si>
  <si>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</si>
  <si>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</si>
  <si>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</si>
  <si>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</si>
  <si>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</si>
  <si>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</si>
  <si>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</si>
  <si>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</si>
  <si>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</si>
  <si>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</si>
  <si>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</si>
  <si>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</si>
  <si>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</si>
  <si>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</si>
  <si>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</si>
  <si>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</si>
  <si>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</si>
  <si>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</si>
  <si>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</si>
  <si>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</si>
  <si>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</si>
  <si>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</si>
  <si>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</si>
  <si>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</si>
  <si>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</si>
  <si>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</si>
  <si>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</si>
  <si>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</si>
  <si>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</si>
  <si>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</si>
  <si>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</si>
  <si>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</si>
  <si>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</si>
  <si>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</si>
  <si>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</si>
  <si>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</si>
  <si>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</si>
  <si>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</si>
  <si>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</si>
  <si>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</si>
  <si>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</si>
  <si>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</si>
  <si>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</si>
  <si>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</si>
  <si>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</si>
  <si>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</si>
  <si>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</si>
  <si>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</si>
  <si>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</si>
  <si>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</si>
  <si>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</si>
  <si>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</si>
  <si>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</si>
  <si>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</si>
  <si>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</si>
  <si>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</si>
  <si>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</si>
  <si>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</si>
  <si>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</si>
  <si>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</si>
  <si>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</si>
  <si>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</si>
  <si>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</si>
  <si>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</si>
  <si>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</si>
  <si>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</si>
  <si>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</si>
  <si>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</si>
  <si>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</si>
  <si>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</si>
  <si>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</si>
  <si>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</si>
  <si>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</si>
  <si>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</si>
  <si>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</si>
  <si>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</si>
  <si>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</si>
  <si>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</si>
  <si>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</si>
  <si>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</si>
  <si>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</si>
  <si>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</si>
  <si>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</si>
  <si>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</si>
  <si>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</si>
  <si>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</si>
  <si>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</si>
  <si>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</si>
  <si>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</si>
  <si>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</si>
  <si>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</si>
  <si>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</si>
  <si>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</si>
  <si>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</si>
  <si>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</si>
  <si>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</si>
  <si>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</si>
  <si>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</si>
  <si>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</si>
  <si>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</si>
  <si>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</si>
  <si>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</si>
  <si>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</si>
  <si>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</si>
  <si>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</si>
  <si>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</si>
  <si>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</si>
  <si>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</si>
  <si>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</si>
  <si>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</si>
  <si>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</si>
  <si>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</si>
  <si>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</si>
  <si>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</si>
  <si>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</si>
  <si>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</si>
  <si>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</si>
  <si>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</si>
  <si>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</si>
  <si>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</si>
  <si>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</si>
  <si>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</si>
  <si>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</si>
  <si>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</si>
  <si>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</si>
  <si>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</si>
  <si>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</si>
  <si>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</si>
  <si>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</si>
  <si>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</si>
  <si>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</si>
  <si>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</si>
  <si>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</si>
  <si>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</si>
  <si>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</si>
  <si>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</si>
  <si>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</si>
  <si>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</si>
  <si>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</si>
  <si>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</si>
  <si>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</si>
  <si>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</si>
  <si>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</si>
  <si>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</si>
  <si>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</si>
  <si>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</si>
  <si>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</si>
  <si>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</si>
  <si>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</si>
  <si>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</si>
  <si>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</si>
  <si>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</si>
  <si>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</si>
  <si>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</si>
  <si>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</si>
  <si>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</si>
  <si>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</si>
  <si>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</si>
  <si>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</si>
  <si>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</si>
  <si>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</si>
  <si>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</si>
  <si>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</si>
  <si>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</si>
  <si>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</si>
  <si>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</si>
  <si>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</si>
  <si>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</si>
  <si>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</si>
  <si>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</si>
  <si>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</si>
  <si>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</si>
  <si>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</si>
  <si>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</si>
  <si>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</si>
  <si>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</si>
  <si>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</si>
  <si>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</si>
  <si>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</si>
  <si>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</si>
  <si>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</si>
  <si>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</si>
  <si>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</si>
  <si>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</si>
  <si>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</si>
  <si>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</si>
  <si>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</si>
  <si>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</si>
  <si>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</si>
  <si>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</si>
  <si>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</si>
  <si>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</si>
  <si>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</si>
  <si>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</si>
  <si>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</si>
  <si>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</si>
  <si>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</si>
  <si>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</si>
  <si>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</si>
  <si>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</si>
  <si>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</si>
  <si>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</si>
  <si>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</si>
  <si>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</si>
  <si>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</si>
  <si>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</si>
  <si>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</si>
  <si>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</si>
  <si>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</si>
  <si>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</si>
  <si>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</si>
  <si>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</si>
  <si>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</si>
  <si>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</si>
  <si>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</si>
  <si>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</si>
  <si>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</si>
  <si>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</si>
  <si>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</si>
  <si>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</si>
  <si>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</si>
  <si>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</si>
  <si>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</si>
  <si>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</si>
  <si>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</si>
  <si>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</si>
  <si>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</si>
  <si>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</si>
  <si>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</si>
  <si>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</si>
  <si>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</si>
  <si>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</si>
  <si>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</si>
  <si>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</si>
  <si>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</si>
  <si>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</si>
  <si>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</si>
  <si>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</si>
  <si>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</si>
  <si>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</si>
  <si>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</si>
  <si>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</si>
  <si>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</si>
  <si>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</si>
  <si>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</si>
  <si>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</si>
  <si>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</si>
  <si>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</si>
  <si>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</si>
  <si>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</si>
  <si>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</si>
  <si>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</si>
  <si>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</si>
  <si>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</si>
  <si>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</si>
  <si>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</si>
  <si>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</si>
  <si>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</si>
  <si>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</si>
  <si>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</si>
  <si>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</si>
  <si>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</si>
  <si>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</si>
  <si>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</si>
  <si>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</si>
  <si>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</si>
  <si>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</si>
  <si>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</si>
  <si>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</si>
  <si>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</si>
  <si>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</si>
  <si>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</si>
  <si>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</si>
  <si>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</si>
  <si>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</si>
  <si>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</si>
  <si>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</si>
  <si>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</si>
  <si>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</si>
  <si>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</si>
  <si>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</si>
  <si>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</si>
  <si>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</si>
  <si>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</si>
  <si>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</si>
  <si>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</si>
  <si>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</si>
  <si>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</si>
  <si>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</si>
  <si>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</si>
  <si>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</si>
  <si>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</si>
  <si>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</si>
  <si>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</si>
  <si>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</si>
  <si>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</si>
  <si>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</si>
  <si>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</si>
  <si>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</si>
  <si>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</si>
  <si>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</si>
  <si>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</si>
  <si>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</si>
  <si>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</si>
  <si>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</si>
  <si>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</si>
  <si>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</si>
  <si>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</si>
  <si>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</si>
  <si>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</si>
  <si>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</si>
  <si>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</si>
  <si>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</si>
  <si>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</si>
  <si>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</si>
  <si>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</si>
  <si>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</si>
  <si>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</si>
  <si>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</si>
  <si>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</si>
  <si>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</si>
  <si>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</si>
  <si>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</si>
  <si>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</si>
  <si>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</si>
  <si>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</si>
  <si>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</si>
  <si>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</si>
  <si>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</si>
  <si>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</si>
  <si>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</si>
  <si>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</si>
  <si>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</si>
  <si>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</si>
  <si>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</si>
  <si>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</si>
  <si>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</si>
  <si>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</si>
  <si>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</si>
  <si>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</si>
  <si>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</si>
  <si>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</si>
  <si>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</si>
  <si>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</si>
  <si>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</si>
  <si>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</si>
  <si>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</si>
  <si>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</si>
  <si>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</si>
  <si>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</si>
  <si>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</si>
  <si>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</si>
  <si>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</si>
  <si>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</si>
  <si>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</si>
  <si>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</si>
  <si>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</si>
  <si>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</si>
  <si>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</si>
  <si>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</si>
  <si>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</si>
  <si>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</si>
  <si>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</si>
  <si>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</si>
  <si>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</si>
  <si>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</si>
  <si>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</si>
  <si>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</si>
  <si>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</si>
  <si>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</si>
  <si>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</si>
  <si>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</si>
  <si>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</si>
  <si>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</si>
  <si>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</si>
  <si>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</si>
  <si>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</si>
  <si>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</si>
  <si>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</si>
  <si>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</si>
  <si>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</si>
  <si>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</si>
  <si>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</si>
  <si>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</si>
  <si>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</si>
  <si>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</si>
  <si>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</si>
  <si>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</si>
  <si>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</si>
  <si>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</si>
  <si>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</si>
  <si>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</si>
  <si>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</si>
  <si>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</si>
  <si>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</si>
  <si>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</si>
  <si>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</si>
  <si>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</si>
  <si>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</si>
  <si>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</si>
  <si>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</si>
  <si>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</si>
  <si>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</si>
  <si>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</si>
  <si>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</si>
  <si>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</si>
  <si>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</si>
  <si>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</si>
  <si>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</si>
  <si>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</si>
  <si>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</si>
  <si>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</si>
  <si>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</si>
  <si>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</si>
  <si>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</si>
  <si>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</si>
  <si>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</si>
  <si>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</si>
  <si>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</si>
  <si>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</si>
  <si>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</si>
  <si>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</si>
  <si>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</si>
  <si>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</si>
  <si>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</si>
  <si>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</si>
  <si>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</si>
  <si>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</si>
  <si>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</si>
  <si>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</si>
  <si>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</si>
  <si>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</si>
  <si>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</si>
  <si>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</si>
  <si>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</si>
  <si>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</si>
  <si>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</si>
  <si>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</si>
  <si>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</si>
  <si>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</si>
  <si>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</si>
  <si>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</si>
  <si>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</si>
  <si>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</si>
  <si>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</si>
  <si>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</si>
  <si>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</si>
  <si>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</si>
  <si>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</si>
  <si>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</si>
  <si>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</si>
  <si>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</si>
  <si>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</si>
  <si>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</si>
  <si>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</si>
  <si>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</si>
  <si>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</si>
  <si>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</si>
  <si>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</si>
  <si>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</si>
  <si>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</si>
  <si>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</si>
  <si>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</si>
  <si>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</si>
  <si>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</si>
  <si>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</si>
  <si>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</si>
  <si>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</si>
  <si>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</si>
  <si>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</si>
  <si>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</si>
  <si>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</si>
  <si>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</si>
  <si>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</si>
  <si>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</si>
  <si>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</si>
  <si>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</si>
  <si>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</si>
  <si>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</si>
  <si>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</si>
  <si>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</si>
  <si>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</si>
  <si>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</si>
  <si>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</si>
  <si>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</si>
  <si>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</si>
  <si>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</si>
  <si>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</si>
  <si>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</si>
  <si>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</si>
  <si>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</si>
  <si>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</si>
  <si>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</si>
  <si>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</si>
  <si>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</si>
  <si>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</si>
  <si>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</si>
  <si>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</si>
  <si>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</si>
  <si>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</si>
  <si>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</si>
  <si>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</si>
  <si>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</si>
  <si>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</si>
  <si>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</si>
  <si>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</si>
  <si>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</si>
  <si>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</si>
  <si>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</si>
  <si>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</si>
  <si>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</si>
  <si>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</si>
  <si>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</si>
  <si>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</si>
  <si>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</si>
  <si>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</si>
  <si>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</si>
  <si>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</si>
  <si>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</si>
  <si>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</si>
  <si>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</si>
  <si>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</si>
  <si>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</si>
  <si>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</si>
  <si>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</si>
  <si>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</si>
  <si>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</si>
  <si>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</si>
  <si>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</si>
  <si>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</si>
  <si>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</si>
  <si>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</si>
  <si>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</si>
  <si>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</si>
  <si>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</si>
  <si>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</si>
  <si>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</si>
  <si>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</si>
  <si>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</si>
  <si>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</si>
  <si>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</si>
  <si>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</si>
  <si>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</si>
  <si>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</si>
  <si>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</si>
  <si>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</si>
  <si>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</si>
  <si>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</si>
  <si>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</si>
  <si>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</si>
  <si>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</si>
  <si>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</si>
  <si>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</si>
  <si>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</si>
  <si>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</si>
  <si>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</si>
  <si>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</si>
  <si>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</si>
  <si>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</si>
  <si>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</si>
  <si>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</si>
  <si>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</si>
  <si>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</si>
  <si>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</si>
  <si>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</si>
  <si>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</si>
  <si>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</si>
  <si>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</si>
  <si>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</si>
  <si>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</si>
  <si>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</si>
  <si>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</si>
  <si>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</si>
  <si>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</si>
  <si>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</si>
  <si>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</si>
  <si>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</si>
  <si>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</si>
  <si>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</si>
  <si>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</si>
  <si>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</si>
  <si>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</si>
  <si>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</si>
  <si>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</si>
  <si>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</si>
  <si>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</si>
  <si>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</si>
  <si>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</si>
  <si>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</si>
  <si>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</si>
  <si>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</si>
  <si>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</si>
  <si>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</si>
  <si>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</si>
  <si>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</si>
  <si>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</si>
  <si>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</si>
  <si>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</si>
  <si>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</si>
  <si>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</si>
  <si>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</si>
  <si>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</si>
  <si>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</si>
  <si>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</si>
  <si>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</si>
  <si>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</si>
  <si>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</si>
  <si>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</si>
  <si>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</si>
  <si>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</si>
  <si>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</si>
  <si>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</si>
  <si>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</si>
  <si>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</si>
  <si>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</si>
  <si>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</si>
  <si>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</si>
  <si>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</si>
  <si>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</si>
  <si>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</si>
  <si>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</si>
  <si>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</si>
  <si>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</si>
  <si>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</si>
  <si>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</si>
  <si>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</si>
  <si>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</si>
  <si>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</si>
  <si>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</si>
  <si>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</si>
  <si>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</si>
  <si>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</si>
  <si>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</si>
  <si>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</si>
  <si>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</si>
  <si>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</si>
  <si>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</si>
  <si>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</si>
  <si>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</si>
  <si>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</si>
  <si>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</si>
  <si>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</si>
  <si>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</si>
  <si>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</si>
  <si>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</si>
  <si>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</si>
  <si>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</si>
  <si>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</si>
  <si>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</si>
  <si>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</si>
  <si>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</si>
  <si>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</si>
  <si>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</si>
  <si>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</si>
  <si>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</si>
  <si>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</si>
  <si>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</si>
  <si>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</si>
  <si>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</si>
  <si>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</si>
  <si>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</si>
  <si>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</si>
  <si>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</si>
  <si>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</si>
  <si>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</si>
  <si>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</si>
  <si>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</si>
  <si>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</si>
  <si>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</si>
  <si>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</si>
  <si>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</si>
  <si>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</si>
  <si>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</si>
  <si>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</si>
  <si>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</si>
  <si>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</si>
  <si>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</si>
  <si>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</si>
  <si>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</si>
  <si>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</si>
  <si>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</si>
  <si>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</si>
  <si>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</si>
  <si>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</si>
  <si>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</si>
  <si>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</si>
  <si>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</si>
  <si>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</si>
  <si>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</si>
  <si>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</si>
  <si>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</si>
  <si>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</si>
  <si>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</si>
  <si>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</si>
  <si>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</si>
  <si>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</si>
  <si>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</si>
  <si>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</si>
  <si>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</si>
  <si>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</si>
  <si>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</si>
  <si>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</si>
  <si>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</si>
  <si>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</si>
  <si>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</si>
  <si>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</si>
  <si>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</si>
  <si>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</si>
  <si>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</si>
  <si>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</si>
  <si>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</si>
  <si>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</si>
  <si>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</si>
  <si>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</si>
  <si>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</si>
  <si>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</si>
  <si>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</si>
  <si>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</si>
  <si>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</si>
  <si>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</si>
  <si>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</si>
  <si>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</si>
  <si>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</si>
  <si>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</si>
  <si>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</si>
  <si>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</si>
  <si>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</si>
  <si>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</si>
  <si>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</si>
  <si>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</si>
  <si>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</si>
  <si>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</si>
  <si>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</si>
  <si>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</si>
  <si>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</si>
  <si>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</si>
  <si>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</si>
  <si>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</si>
  <si>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</si>
  <si>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</si>
  <si>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</si>
  <si>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</si>
  <si>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</si>
  <si>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</si>
  <si>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</si>
  <si>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</si>
  <si>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</si>
  <si>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</si>
  <si>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</si>
  <si>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</si>
  <si>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</si>
  <si>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</si>
  <si>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</si>
  <si>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</si>
  <si>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</si>
  <si>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</si>
  <si>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</si>
  <si>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</si>
  <si>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</si>
  <si>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</si>
  <si>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</si>
  <si>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</si>
  <si>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</si>
  <si>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</si>
  <si>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</si>
  <si>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</si>
  <si>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</si>
  <si>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</si>
  <si>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</si>
  <si>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</si>
  <si>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</si>
  <si>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</si>
  <si>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</si>
  <si>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</si>
  <si>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</si>
  <si>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</si>
  <si>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</si>
  <si>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</si>
  <si>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</si>
  <si>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</si>
  <si>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</si>
  <si>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</si>
  <si>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</si>
  <si>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</si>
  <si>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</si>
  <si>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</si>
  <si>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</si>
  <si>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</si>
  <si>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</si>
  <si>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</si>
  <si>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</si>
  <si>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</si>
  <si>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</si>
  <si>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</si>
  <si>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</si>
  <si>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</si>
  <si>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</si>
  <si>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</si>
  <si>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</si>
  <si>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</si>
  <si>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</si>
  <si>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</si>
  <si>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</si>
  <si>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</si>
  <si>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</si>
  <si>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</si>
  <si>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</si>
  <si>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</si>
  <si>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</si>
  <si>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</si>
  <si>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</si>
  <si>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</si>
  <si>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</si>
  <si>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</si>
  <si>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</si>
  <si>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</si>
  <si>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</si>
  <si>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</si>
  <si>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</si>
  <si>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</si>
  <si>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</si>
  <si>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</si>
  <si>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</si>
  <si>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</si>
  <si>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</si>
  <si>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</si>
  <si>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</si>
  <si>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</si>
  <si>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</si>
  <si>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</si>
  <si>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</si>
  <si>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</si>
  <si>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</si>
  <si>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</si>
  <si>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</si>
  <si>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</si>
  <si>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</si>
  <si>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</si>
  <si>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</si>
  <si>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</si>
  <si>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</si>
  <si>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</si>
  <si>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</si>
  <si>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</si>
  <si>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</si>
  <si>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</si>
  <si>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</si>
  <si>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</si>
  <si>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</si>
  <si>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</si>
  <si>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</si>
  <si>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</si>
  <si>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</si>
  <si>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</si>
  <si>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</si>
  <si>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</si>
  <si>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</si>
  <si>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</si>
  <si>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</si>
  <si>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</si>
  <si>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</si>
  <si>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</si>
  <si>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</si>
  <si>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</si>
  <si>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</si>
  <si>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</si>
  <si>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</si>
  <si>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</si>
  <si>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</si>
  <si>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</si>
  <si>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</si>
  <si>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</si>
  <si>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</si>
  <si>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</si>
  <si>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</si>
  <si>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</si>
  <si>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</si>
  <si>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</si>
  <si>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</si>
  <si>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</si>
  <si>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</si>
  <si>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</si>
  <si>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</si>
  <si>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</si>
  <si>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</si>
  <si>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</si>
  <si>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</si>
  <si>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</si>
  <si>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</si>
  <si>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</si>
  <si>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</si>
  <si>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</si>
  <si>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</si>
  <si>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</si>
  <si>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</si>
  <si>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</si>
  <si>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</si>
  <si>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</si>
  <si>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</si>
  <si>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</si>
  <si>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</si>
  <si>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</si>
  <si>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</si>
  <si>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</si>
  <si>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</si>
  <si>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</si>
  <si>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</si>
  <si>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</si>
  <si>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</si>
  <si>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</si>
  <si>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</si>
  <si>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</si>
  <si>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</si>
  <si>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</si>
  <si>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</si>
  <si>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</si>
  <si>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</si>
  <si>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</si>
  <si>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</si>
  <si>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</si>
  <si>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</si>
  <si>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</si>
  <si>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</si>
  <si>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</si>
  <si>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</si>
  <si>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</si>
  <si>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</si>
  <si>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</si>
  <si>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</si>
  <si>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</si>
  <si>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</si>
  <si>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</si>
  <si>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</si>
  <si>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</si>
  <si>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</si>
  <si>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</si>
  <si>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</si>
  <si>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</si>
  <si>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</si>
  <si>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</si>
  <si>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</si>
  <si>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</si>
  <si>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</si>
  <si>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</si>
  <si>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</si>
  <si>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</si>
  <si>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</si>
  <si>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</si>
  <si>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</si>
  <si>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</si>
  <si>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</si>
  <si>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</si>
  <si>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</si>
  <si>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</si>
  <si>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</si>
  <si>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</si>
  <si>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</si>
  <si>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</si>
  <si>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</si>
  <si>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</si>
  <si>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</si>
  <si>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</si>
  <si>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</si>
  <si>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</si>
  <si>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</si>
  <si>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</si>
  <si>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</si>
  <si>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</si>
  <si>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</si>
  <si>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</si>
  <si>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</si>
  <si>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</si>
  <si>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</si>
  <si>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</si>
  <si>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</si>
  <si>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</si>
  <si>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</si>
  <si>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</si>
  <si>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</si>
  <si>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</si>
  <si>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</si>
  <si>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</si>
  <si>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</si>
  <si>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</si>
  <si>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</si>
  <si>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</si>
  <si>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</si>
  <si>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</si>
  <si>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</si>
  <si>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</si>
  <si>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</si>
  <si>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</si>
  <si>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</si>
  <si>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</si>
  <si>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</si>
  <si>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</si>
  <si>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</si>
  <si>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</si>
  <si>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</si>
  <si>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</si>
  <si>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</si>
  <si>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</si>
  <si>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</si>
  <si>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</si>
  <si>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</si>
  <si>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</si>
  <si>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</si>
  <si>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</si>
  <si>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</si>
  <si>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</si>
  <si>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</si>
  <si>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</si>
  <si>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</si>
  <si>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</si>
  <si>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</si>
  <si>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</si>
  <si>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</si>
  <si>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</si>
  <si>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</si>
  <si>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</si>
  <si>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</si>
  <si>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</si>
  <si>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</si>
  <si>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</si>
  <si>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</si>
  <si>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</si>
  <si>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</si>
  <si>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</si>
  <si>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</si>
  <si>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</si>
  <si>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</si>
  <si>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</si>
  <si>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</si>
  <si>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</si>
  <si>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</si>
  <si>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</si>
  <si>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</si>
  <si>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</si>
  <si>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</si>
  <si>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</si>
  <si>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</si>
  <si>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</si>
  <si>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</si>
  <si>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</si>
  <si>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</si>
  <si>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</si>
  <si>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</si>
  <si>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</si>
  <si>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</si>
  <si>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</si>
  <si>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</si>
  <si>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</si>
  <si>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</si>
  <si>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</si>
  <si>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</si>
  <si>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</si>
  <si>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</si>
  <si>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</si>
  <si>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</si>
  <si>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</si>
  <si>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</si>
  <si>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</si>
  <si>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</si>
  <si>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</si>
  <si>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</si>
  <si>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</si>
  <si>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</si>
  <si>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</si>
  <si>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</si>
  <si>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</si>
  <si>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</si>
  <si>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</si>
  <si>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</si>
  <si>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</si>
  <si>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</si>
  <si>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</si>
  <si>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</si>
  <si>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</si>
  <si>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</si>
  <si>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</si>
  <si>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</si>
  <si>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</si>
  <si>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</si>
  <si>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</si>
  <si>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</si>
  <si>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</si>
  <si>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</si>
  <si>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</si>
  <si>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</si>
  <si>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</si>
  <si>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</si>
  <si>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</si>
  <si>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</si>
  <si>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</si>
  <si>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</si>
  <si>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</si>
  <si>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</si>
  <si>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</si>
  <si>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</si>
  <si>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</si>
  <si>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</si>
  <si>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</si>
  <si>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</si>
  <si>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</si>
  <si>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</si>
  <si>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</si>
  <si>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</si>
  <si>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</si>
  <si>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</si>
  <si>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</si>
  <si>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</si>
  <si>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</si>
  <si>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</si>
  <si>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</si>
  <si>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</si>
  <si>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</si>
  <si>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</si>
  <si>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</si>
  <si>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</si>
  <si>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</si>
  <si>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</si>
  <si>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</si>
  <si>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</si>
  <si>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</si>
  <si>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</si>
  <si>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</si>
  <si>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</si>
  <si>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</si>
  <si>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</si>
  <si>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</si>
  <si>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</si>
  <si>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</si>
  <si>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</si>
  <si>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</si>
  <si>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</si>
  <si>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</si>
  <si>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</si>
  <si>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</si>
  <si>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</si>
  <si>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</si>
  <si>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</si>
  <si>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</si>
  <si>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</si>
  <si>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</si>
  <si>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</si>
  <si>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</si>
  <si>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</si>
  <si>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</si>
  <si>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</si>
  <si>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</si>
  <si>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</si>
  <si>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</si>
  <si>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</si>
  <si>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</si>
  <si>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</si>
  <si>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</si>
  <si>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</si>
  <si>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</si>
  <si>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</si>
  <si>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</si>
  <si>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</si>
  <si>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</si>
  <si>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</si>
  <si>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</si>
  <si>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</si>
  <si>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</si>
  <si>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</si>
  <si>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</si>
  <si>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</si>
  <si>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</si>
  <si>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</si>
  <si>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</si>
  <si>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</si>
  <si>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</si>
  <si>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</si>
  <si>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</si>
  <si>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</si>
  <si>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</si>
  <si>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</si>
  <si>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</si>
  <si>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</si>
  <si>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</si>
  <si>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</si>
  <si>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</si>
  <si>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</si>
  <si>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</si>
  <si>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</si>
  <si>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</si>
  <si>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</si>
  <si>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</si>
  <si>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</si>
  <si>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</si>
  <si>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</si>
  <si>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</si>
  <si>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</si>
  <si>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</si>
  <si>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</si>
  <si>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</si>
  <si>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</si>
  <si>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</si>
  <si>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</si>
  <si>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</si>
  <si>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</si>
  <si>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</si>
  <si>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</si>
  <si>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</si>
  <si>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</si>
  <si>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</si>
  <si>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</si>
  <si>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</si>
  <si>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</si>
  <si>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</si>
  <si>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</si>
  <si>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</si>
  <si>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</si>
  <si>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</si>
  <si>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</si>
  <si>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</si>
  <si>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</si>
  <si>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</si>
  <si>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</si>
  <si>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</si>
  <si>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</si>
  <si>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</si>
  <si>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</si>
  <si>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</si>
  <si>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</si>
  <si>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</si>
  <si>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</si>
  <si>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</si>
  <si>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</si>
  <si>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</si>
  <si>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</si>
  <si>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</si>
  <si>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</si>
  <si>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</si>
  <si>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</si>
  <si>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</si>
  <si>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</si>
  <si>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</si>
  <si>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</si>
  <si>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</si>
  <si>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</si>
  <si>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</si>
  <si>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</si>
  <si>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</si>
  <si>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</si>
  <si>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</si>
  <si>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</si>
  <si>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</si>
  <si>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</si>
  <si>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</si>
  <si>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</si>
  <si>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</si>
  <si>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</si>
  <si>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</si>
  <si>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</si>
  <si>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</si>
  <si>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</si>
  <si>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</si>
  <si>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</si>
  <si>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</si>
  <si>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</si>
  <si>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</si>
  <si>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</si>
  <si>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</si>
  <si>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</si>
  <si>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</si>
  <si>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</si>
  <si>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</si>
  <si>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</si>
  <si>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</si>
  <si>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</si>
  <si>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</si>
  <si>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</si>
  <si>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</si>
  <si>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</si>
  <si>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</si>
  <si>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</si>
  <si>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</si>
  <si>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</si>
  <si>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</si>
  <si>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</si>
  <si>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</si>
  <si>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</si>
  <si>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</si>
  <si>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</si>
  <si>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</si>
  <si>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</si>
  <si>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</si>
  <si>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</si>
  <si>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</si>
  <si>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</si>
  <si>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</si>
  <si>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</si>
  <si>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</si>
  <si>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</si>
  <si>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</si>
  <si>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</si>
  <si>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</si>
  <si>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</si>
  <si>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</si>
  <si>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</si>
  <si>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</si>
  <si>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</si>
  <si>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</si>
  <si>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</si>
  <si>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</si>
  <si>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</si>
  <si>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</si>
  <si>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</si>
  <si>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</si>
  <si>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</si>
  <si>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</si>
  <si>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</si>
  <si>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</si>
  <si>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</si>
  <si>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</si>
  <si>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</si>
  <si>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</si>
  <si>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</si>
  <si>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</si>
  <si>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</si>
  <si>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</si>
  <si>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</si>
  <si>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</si>
  <si>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</si>
  <si>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</si>
  <si>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</si>
  <si>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</si>
  <si>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</si>
  <si>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</si>
  <si>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</si>
  <si>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</si>
  <si>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</si>
  <si>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</si>
  <si>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</si>
  <si>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</si>
  <si>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</si>
  <si>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</si>
  <si>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</si>
  <si>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</si>
  <si>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</si>
  <si>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</si>
  <si>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</si>
  <si>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</si>
  <si>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</si>
  <si>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</si>
  <si>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</si>
  <si>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</si>
  <si>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</si>
  <si>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</si>
  <si>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</si>
  <si>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</si>
  <si>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</si>
  <si>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</si>
  <si>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</si>
  <si>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</si>
  <si>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</si>
  <si>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</si>
  <si>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</si>
  <si>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</si>
  <si>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</si>
  <si>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</si>
  <si>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</si>
  <si>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</si>
  <si>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</si>
  <si>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</si>
  <si>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</si>
  <si>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</si>
  <si>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</si>
  <si>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</si>
  <si>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</si>
  <si>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</si>
  <si>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</si>
  <si>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</si>
  <si>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</si>
  <si>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</si>
  <si>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</si>
  <si>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</si>
  <si>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</si>
  <si>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</si>
  <si>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</si>
  <si>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</si>
  <si>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</si>
  <si>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</si>
  <si>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</si>
  <si>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</si>
  <si>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</si>
  <si>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</si>
  <si>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</si>
  <si>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</si>
  <si>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</si>
  <si>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</si>
  <si>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</si>
  <si>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</si>
  <si>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</si>
  <si>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</si>
  <si>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</si>
  <si>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</si>
  <si>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</si>
  <si>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</si>
  <si>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</si>
  <si>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</si>
  <si>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</si>
  <si>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</si>
  <si>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</si>
  <si>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</si>
  <si>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</si>
  <si>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</si>
  <si>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</si>
  <si>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</si>
  <si>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</si>
  <si>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</si>
  <si>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</si>
  <si>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</si>
  <si>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</si>
  <si>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</si>
  <si>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</si>
  <si>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</si>
  <si>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</si>
  <si>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</si>
  <si>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</si>
  <si>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</si>
  <si>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</si>
  <si>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</si>
  <si>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</si>
  <si>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</si>
  <si>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</si>
  <si>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</si>
  <si>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</si>
  <si>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</si>
  <si>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</si>
  <si>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</si>
  <si>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</si>
  <si>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</si>
  <si>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</si>
  <si>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</si>
  <si>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</si>
  <si>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</si>
  <si>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</si>
  <si>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</si>
  <si>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</si>
  <si>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</si>
  <si>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</si>
  <si>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</si>
  <si>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</si>
  <si>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</si>
  <si>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</si>
  <si>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</si>
  <si>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</si>
  <si>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</si>
  <si>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</si>
  <si>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</si>
  <si>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</si>
  <si>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</si>
  <si>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</si>
  <si>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</si>
  <si>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</si>
  <si>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</si>
  <si>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</si>
  <si>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</si>
  <si>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</si>
  <si>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</si>
  <si>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</si>
  <si>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</si>
  <si>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</si>
  <si>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</si>
  <si>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</si>
  <si>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</si>
  <si>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</si>
  <si>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</si>
  <si>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</si>
  <si>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</si>
  <si>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</si>
  <si>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</si>
  <si>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</si>
  <si>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</si>
  <si>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</si>
  <si>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</si>
  <si>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</si>
  <si>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</si>
  <si>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</si>
  <si>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</si>
  <si>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</si>
  <si>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</si>
  <si>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</si>
  <si>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</si>
  <si>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</si>
  <si>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</si>
  <si>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</si>
  <si>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</si>
  <si>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</si>
  <si>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</si>
  <si>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</si>
  <si>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</si>
  <si>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</si>
  <si>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</si>
  <si>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</si>
  <si>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</si>
  <si>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</si>
  <si>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</si>
  <si>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</si>
  <si>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</si>
  <si>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</si>
  <si>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</si>
  <si>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</si>
  <si>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</si>
  <si>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</si>
  <si>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</si>
  <si>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</si>
  <si>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</si>
  <si>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</si>
  <si>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</si>
  <si>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</si>
  <si>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</si>
  <si>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</si>
  <si>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</si>
  <si>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</si>
  <si>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</si>
  <si>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</si>
  <si>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</si>
  <si>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</si>
  <si>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</si>
  <si>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</si>
  <si>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</si>
  <si>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</si>
  <si>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</si>
  <si>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</si>
  <si>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</si>
  <si>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</si>
  <si>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</si>
  <si>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</si>
  <si>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</si>
  <si>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</si>
  <si>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</si>
  <si>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</si>
  <si>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</si>
  <si>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</si>
  <si>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</si>
  <si>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</si>
  <si>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</si>
  <si>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</si>
  <si>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</si>
  <si>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</si>
  <si>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</si>
  <si>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</si>
  <si>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</si>
  <si>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</si>
  <si>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</si>
  <si>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</si>
  <si>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</si>
  <si>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</si>
  <si>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</si>
  <si>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</si>
  <si>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</si>
  <si>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</si>
  <si>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</si>
  <si>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</si>
  <si>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</si>
  <si>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</si>
  <si>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</si>
  <si>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</si>
  <si>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</si>
  <si>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</si>
  <si>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</si>
  <si>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</si>
  <si>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</si>
  <si>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</si>
  <si>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</si>
  <si>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</si>
  <si>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</si>
  <si>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</si>
  <si>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</si>
  <si>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</si>
  <si>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</si>
  <si>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</si>
  <si>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</si>
  <si>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</si>
  <si>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</si>
  <si>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</si>
  <si>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</si>
  <si>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</si>
  <si>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</si>
  <si>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</si>
  <si>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</si>
  <si>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</si>
  <si>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</si>
  <si>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</si>
  <si>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</si>
  <si>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</si>
  <si>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</si>
  <si>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</si>
  <si>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</si>
  <si>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</si>
  <si>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</si>
  <si>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</si>
  <si>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</si>
  <si>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</si>
  <si>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</si>
  <si>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</si>
  <si>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</si>
  <si>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</si>
  <si>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</si>
  <si>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</si>
  <si>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</si>
  <si>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</si>
  <si>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</si>
  <si>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</si>
  <si>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</si>
  <si>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</si>
  <si>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</si>
  <si>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</si>
  <si>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</si>
  <si>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</si>
  <si>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</si>
  <si>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</si>
  <si>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</si>
  <si>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</si>
  <si>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</si>
  <si>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</si>
  <si>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</si>
  <si>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</si>
  <si>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</si>
  <si>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</si>
  <si>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</si>
  <si>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</si>
  <si>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</si>
  <si>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</si>
  <si>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</si>
  <si>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</si>
  <si>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</si>
  <si>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</si>
  <si>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</si>
  <si>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</si>
  <si>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</si>
  <si>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</si>
  <si>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</si>
  <si>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</si>
  <si>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</si>
  <si>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</si>
  <si>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</si>
  <si>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</si>
  <si>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</si>
  <si>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</si>
  <si>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</si>
  <si>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</si>
  <si>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</si>
  <si>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</si>
  <si>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</si>
  <si>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</si>
  <si>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</si>
  <si>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</si>
  <si>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</si>
  <si>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</si>
  <si>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</si>
  <si>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</si>
  <si>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</si>
  <si>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</si>
  <si>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</si>
  <si>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</si>
  <si>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</si>
  <si>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</si>
  <si>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</si>
  <si>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</si>
  <si>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</si>
  <si>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</si>
  <si>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</si>
  <si>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</si>
  <si>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</si>
  <si>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</si>
  <si>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</si>
  <si>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</si>
  <si>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</si>
  <si>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</si>
  <si>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</si>
  <si>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</si>
  <si>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</si>
  <si>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</si>
  <si>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</si>
  <si>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</si>
  <si>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</si>
  <si>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</si>
  <si>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</si>
  <si>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</si>
  <si>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</si>
  <si>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</si>
  <si>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</si>
  <si>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</si>
  <si>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</si>
  <si>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</si>
  <si>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</si>
  <si>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</si>
  <si>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</si>
  <si>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</si>
  <si>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</si>
  <si>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</si>
  <si>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</si>
  <si>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</si>
  <si>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</si>
  <si>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</si>
  <si>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</si>
  <si>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</si>
  <si>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</si>
  <si>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</si>
  <si>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</si>
  <si>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</si>
  <si>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</si>
  <si>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</si>
  <si>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</si>
  <si>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</si>
  <si>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</si>
  <si>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</si>
  <si>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</si>
  <si>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</si>
  <si>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</si>
  <si>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</si>
  <si>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</si>
  <si>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</si>
  <si>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</si>
  <si>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</si>
  <si>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</si>
  <si>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</si>
  <si>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</si>
  <si>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</si>
  <si>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</si>
  <si>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</si>
  <si>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</si>
  <si>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</si>
  <si>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</si>
  <si>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</si>
  <si>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</si>
  <si>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</si>
  <si>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</si>
  <si>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</si>
  <si>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</si>
  <si>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</si>
  <si>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</si>
  <si>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</si>
  <si>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</si>
  <si>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</si>
  <si>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</si>
  <si>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</si>
  <si>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</si>
  <si>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</si>
  <si>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</si>
  <si>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</si>
  <si>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</si>
  <si>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</si>
  <si>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</si>
  <si>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</si>
  <si>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</si>
  <si>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</si>
  <si>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</si>
  <si>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</si>
  <si>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</si>
  <si>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</si>
  <si>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</si>
  <si>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</si>
  <si>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</si>
  <si>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</si>
  <si>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</si>
  <si>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</si>
  <si>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</si>
  <si>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</si>
  <si>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</si>
  <si>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</si>
  <si>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</si>
  <si>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</si>
  <si>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</si>
  <si>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</si>
  <si>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</si>
  <si>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</si>
  <si>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</si>
  <si>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</si>
  <si>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</si>
  <si>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</si>
  <si>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</si>
  <si>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</si>
  <si>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</si>
  <si>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</si>
  <si>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</si>
  <si>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</si>
  <si>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</si>
  <si>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</si>
  <si>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</si>
  <si>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</si>
  <si>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</si>
  <si>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</si>
  <si>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</si>
  <si>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</si>
  <si>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</si>
  <si>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</si>
  <si>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</si>
  <si>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</si>
  <si>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</si>
  <si>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</si>
  <si>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</si>
  <si>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</si>
  <si>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</si>
  <si>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</si>
  <si>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</si>
  <si>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</si>
  <si>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</si>
  <si>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</si>
  <si>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</si>
  <si>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</si>
  <si>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</si>
  <si>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</si>
  <si>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</si>
  <si>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</si>
  <si>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</si>
  <si>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</si>
  <si>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</si>
  <si>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</si>
  <si>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</si>
  <si>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</si>
  <si>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</si>
  <si>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</si>
  <si>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</si>
  <si>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</si>
  <si>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</si>
  <si>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</si>
  <si>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</si>
  <si>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</si>
  <si>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</si>
  <si>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</si>
  <si>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</si>
  <si>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</si>
  <si>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</si>
  <si>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</si>
  <si>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</si>
  <si>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</si>
  <si>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</si>
  <si>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</si>
  <si>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</si>
  <si>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</si>
  <si>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</si>
  <si>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</si>
  <si>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</si>
  <si>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</si>
  <si>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</si>
  <si>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</si>
  <si>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</si>
  <si>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</si>
  <si>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</si>
  <si>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</si>
  <si>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</si>
  <si>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</si>
  <si>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</si>
  <si>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</si>
  <si>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</si>
  <si>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</si>
  <si>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</si>
  <si>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</si>
  <si>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</si>
  <si>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</si>
  <si>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</si>
  <si>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</si>
  <si>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</si>
  <si>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</si>
  <si>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</si>
  <si>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</si>
  <si>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</si>
  <si>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</si>
  <si>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</si>
  <si>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</si>
  <si>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</si>
  <si>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</si>
  <si>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</si>
  <si>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</si>
  <si>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</si>
  <si>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</si>
  <si>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</si>
  <si>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</si>
  <si>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</si>
  <si>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</si>
  <si>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</si>
  <si>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</si>
  <si>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</si>
  <si>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</si>
  <si>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</si>
  <si>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</si>
  <si>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</si>
  <si>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</si>
  <si>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</si>
  <si>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</si>
  <si>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</si>
  <si>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</si>
  <si>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</si>
  <si>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</si>
  <si>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</si>
  <si>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</si>
  <si>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</si>
  <si>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</si>
  <si>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</si>
  <si>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</si>
  <si>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</si>
  <si>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</si>
  <si>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</si>
  <si>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</si>
  <si>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</si>
  <si>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</si>
  <si>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</si>
  <si>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</si>
  <si>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</si>
  <si>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</si>
  <si>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</si>
  <si>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</si>
  <si>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</si>
  <si>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</si>
  <si>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</si>
  <si>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</si>
  <si>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</si>
  <si>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</si>
  <si>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</si>
  <si>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</si>
  <si>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</si>
  <si>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</si>
  <si>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</si>
  <si>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</si>
  <si>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</si>
  <si>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</si>
  <si>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</si>
  <si>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</si>
  <si>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</si>
  <si>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</si>
  <si>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</si>
  <si>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</si>
  <si>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</si>
  <si>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</si>
  <si>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</si>
  <si>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</si>
  <si>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</si>
  <si>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</si>
  <si>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</si>
  <si>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</si>
  <si>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</si>
  <si>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</si>
  <si>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</si>
  <si>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</si>
  <si>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</si>
  <si>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</si>
  <si>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</si>
  <si>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</si>
  <si>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</si>
  <si>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</si>
  <si>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</si>
  <si>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</si>
  <si>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</si>
  <si>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</si>
  <si>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</si>
  <si>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</si>
  <si>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</si>
  <si>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</si>
  <si>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</si>
  <si>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</si>
  <si>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</si>
  <si>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</si>
  <si>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</si>
  <si>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</si>
  <si>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</si>
  <si>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</si>
  <si>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</si>
  <si>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</si>
  <si>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</si>
  <si>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</si>
  <si>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</si>
  <si>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</si>
  <si>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</si>
  <si>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</si>
  <si>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</si>
  <si>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</si>
  <si>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</si>
  <si>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</si>
  <si>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</si>
  <si>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</si>
  <si>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</si>
  <si>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</si>
  <si>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</si>
  <si>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</si>
  <si>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</si>
  <si>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</si>
  <si>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</si>
  <si>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</si>
  <si>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</si>
  <si>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</si>
  <si>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</si>
  <si>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</si>
  <si>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</si>
  <si>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</si>
  <si>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</si>
  <si>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</si>
  <si>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</si>
  <si>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</si>
  <si>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</si>
  <si>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</si>
  <si>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</si>
  <si>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</si>
  <si>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</si>
  <si>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</si>
  <si>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</si>
  <si>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</si>
  <si>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</si>
  <si>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</si>
  <si>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</si>
  <si>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</si>
  <si>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</si>
  <si>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</si>
  <si>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</si>
  <si>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</si>
  <si>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</si>
  <si>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</si>
  <si>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</si>
  <si>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</si>
  <si>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</si>
  <si>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</si>
  <si>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</si>
  <si>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</si>
  <si>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</si>
  <si>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</si>
  <si>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</si>
  <si>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</si>
  <si>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</si>
  <si>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</si>
  <si>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</si>
  <si>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</si>
  <si>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</si>
  <si>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</si>
  <si>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</si>
  <si>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</si>
  <si>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</si>
  <si>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</si>
  <si>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</si>
  <si>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</si>
  <si>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</si>
  <si>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</si>
  <si>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</si>
  <si>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</si>
  <si>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</si>
  <si>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</si>
  <si>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</si>
  <si>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</si>
  <si>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</si>
  <si>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</si>
  <si>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</si>
  <si>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</si>
  <si>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</si>
  <si>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</si>
  <si>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</si>
  <si>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</si>
  <si>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</si>
  <si>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</si>
  <si>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</si>
  <si>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</si>
  <si>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</si>
  <si>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</si>
  <si>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</si>
  <si>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</si>
  <si>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</si>
  <si>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</si>
  <si>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</si>
  <si>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</si>
  <si>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</si>
  <si>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</si>
  <si>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</si>
  <si>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</si>
  <si>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</si>
  <si>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</si>
  <si>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</si>
  <si>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</si>
  <si>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</si>
  <si>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</si>
  <si>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</si>
  <si>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</si>
  <si>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</si>
  <si>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</si>
  <si>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</si>
  <si>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</si>
  <si>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</si>
  <si>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</si>
  <si>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</si>
  <si>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</si>
  <si>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</si>
  <si>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</si>
  <si>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</si>
  <si>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</si>
  <si>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</si>
  <si>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</si>
  <si>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</si>
  <si>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</si>
  <si>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</si>
  <si>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</si>
  <si>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</si>
  <si>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</si>
  <si>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</si>
  <si>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</si>
  <si>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</si>
  <si>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</si>
  <si>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</si>
  <si>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</si>
  <si>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</si>
  <si>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</si>
  <si>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</si>
  <si>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</si>
  <si>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</si>
  <si>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</si>
  <si>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</si>
  <si>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</si>
  <si>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</si>
  <si>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</si>
  <si>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</si>
  <si>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</si>
  <si>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</si>
  <si>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</si>
  <si>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</si>
  <si>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</si>
  <si>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</si>
  <si>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</si>
  <si>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</si>
  <si>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</si>
  <si>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</si>
  <si>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</si>
  <si>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</si>
  <si>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</si>
  <si>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</si>
  <si>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</si>
  <si>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</si>
  <si>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</si>
  <si>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</si>
  <si>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</si>
  <si>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</si>
  <si>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</si>
  <si>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</si>
  <si>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</si>
  <si>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</si>
  <si>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</si>
  <si>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</si>
  <si>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</si>
  <si>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</si>
  <si>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</si>
  <si>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</si>
  <si>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</si>
  <si>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</si>
  <si>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</si>
  <si>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</si>
  <si>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</si>
  <si>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</si>
  <si>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</si>
  <si>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</si>
  <si>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</si>
  <si>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</si>
  <si>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</si>
  <si>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</si>
  <si>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</si>
  <si>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</si>
  <si>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</si>
  <si>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</si>
  <si>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</si>
  <si>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</si>
  <si>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</si>
  <si>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</si>
  <si>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</si>
  <si>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</si>
  <si>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</si>
  <si>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</si>
  <si>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</si>
  <si>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</si>
  <si>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</si>
  <si>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</si>
  <si>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</si>
  <si>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</si>
  <si>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</si>
  <si>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</si>
  <si>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</si>
  <si>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</si>
  <si>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</si>
  <si>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</si>
  <si>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</si>
  <si>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</si>
  <si>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</si>
  <si>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</si>
  <si>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</si>
  <si>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</si>
  <si>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</si>
  <si>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</si>
  <si>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</si>
  <si>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</si>
  <si>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</si>
  <si>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</si>
  <si>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</si>
  <si>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</si>
  <si>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</si>
  <si>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</si>
  <si>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</si>
  <si>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</si>
  <si>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</si>
  <si>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</si>
  <si>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</si>
  <si>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</si>
  <si>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</si>
  <si>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</si>
  <si>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</si>
  <si>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</si>
  <si>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</si>
  <si>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</si>
  <si>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</si>
  <si>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</si>
  <si>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</si>
  <si>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</si>
  <si>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</si>
  <si>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</si>
  <si>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</si>
  <si>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</si>
  <si>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</si>
  <si>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</si>
  <si>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</si>
  <si>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</si>
  <si>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</si>
  <si>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</si>
  <si>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</si>
  <si>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</si>
  <si>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</si>
  <si>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</si>
  <si>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</si>
  <si>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</si>
  <si>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</si>
  <si>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</si>
  <si>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</si>
  <si>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</si>
  <si>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</si>
  <si>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</si>
  <si>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</si>
  <si>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</si>
  <si>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</si>
  <si>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</si>
  <si>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</si>
  <si>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</si>
  <si>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</si>
  <si>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</si>
  <si>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</si>
  <si>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</si>
  <si>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</si>
  <si>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</si>
  <si>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</si>
  <si>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</si>
  <si>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</si>
  <si>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</si>
  <si>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</si>
  <si>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</si>
  <si>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</si>
  <si>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</si>
  <si>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</si>
  <si>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</si>
  <si>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</si>
  <si>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</si>
  <si>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</si>
  <si>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</si>
  <si>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</si>
  <si>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</si>
  <si>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</si>
  <si>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</si>
  <si>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</si>
  <si>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</si>
  <si>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</si>
  <si>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</si>
  <si>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</si>
  <si>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</si>
  <si>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</si>
  <si>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</si>
  <si>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</si>
  <si>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</si>
  <si>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</si>
  <si>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</si>
  <si>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</si>
  <si>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</si>
  <si>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</si>
  <si>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</si>
  <si>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</si>
  <si>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</si>
  <si>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</si>
  <si>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</si>
  <si>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</si>
  <si>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</si>
  <si>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</si>
  <si>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</si>
  <si>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</si>
  <si>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</si>
  <si>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</si>
  <si>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</si>
  <si>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</si>
  <si>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</si>
  <si>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</si>
  <si>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</si>
  <si>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</si>
  <si>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</si>
  <si>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</si>
  <si>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</si>
  <si>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</si>
  <si>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</si>
  <si>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</si>
  <si>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</si>
  <si>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</si>
  <si>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</si>
  <si>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</si>
  <si>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</si>
  <si>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</si>
  <si>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</si>
  <si>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</si>
  <si>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</si>
  <si>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</si>
  <si>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</si>
  <si>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</si>
  <si>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</si>
  <si>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</si>
  <si>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</si>
  <si>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</si>
  <si>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</si>
  <si>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</si>
  <si>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</si>
  <si>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</si>
  <si>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</si>
  <si>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</si>
  <si>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</si>
  <si>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</si>
  <si>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</si>
  <si>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</si>
  <si>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</si>
  <si>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</si>
  <si>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</si>
  <si>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</si>
  <si>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</si>
  <si>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</si>
  <si>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</si>
  <si>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</si>
  <si>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</si>
  <si>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</si>
  <si>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</si>
  <si>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</si>
  <si>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</si>
  <si>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</si>
  <si>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</si>
  <si>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</si>
  <si>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</si>
  <si>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</si>
  <si>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</si>
  <si>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</si>
  <si>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</si>
  <si>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</si>
  <si>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</si>
  <si>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</si>
  <si>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</si>
  <si>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</si>
  <si>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</si>
  <si>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</si>
  <si>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</si>
  <si>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</si>
  <si>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</si>
  <si>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</si>
  <si>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</si>
  <si>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</si>
  <si>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</si>
  <si>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</si>
  <si>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</si>
  <si>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</si>
  <si>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</si>
  <si>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</si>
  <si>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</si>
  <si>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</si>
  <si>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</si>
  <si>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</si>
  <si>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</si>
  <si>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</si>
  <si>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</si>
  <si>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</si>
  <si>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</si>
  <si>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</si>
  <si>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</si>
  <si>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</si>
  <si>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</si>
  <si>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</si>
  <si>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</si>
  <si>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</si>
  <si>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</si>
  <si>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</si>
  <si>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</si>
  <si>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</si>
  <si>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</si>
  <si>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</si>
  <si>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</si>
  <si>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</si>
  <si>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</si>
  <si>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</si>
  <si>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</si>
  <si>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</si>
  <si>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</si>
  <si>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</si>
  <si>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</si>
  <si>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</si>
  <si>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</si>
  <si>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</si>
  <si>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</si>
  <si>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</si>
  <si>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</si>
  <si>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</si>
  <si>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</si>
  <si>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</si>
  <si>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</si>
  <si>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</si>
  <si>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</si>
  <si>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</si>
  <si>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</si>
  <si>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</si>
  <si>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</si>
  <si>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</si>
  <si>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</si>
  <si>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</si>
  <si>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</si>
  <si>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</si>
  <si>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</si>
  <si>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</si>
  <si>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</si>
  <si>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</si>
  <si>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</si>
  <si>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</si>
  <si>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</si>
  <si>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</si>
  <si>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</si>
  <si>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</si>
  <si>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</si>
  <si>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</si>
  <si>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</si>
  <si>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</si>
  <si>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</si>
  <si>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</si>
  <si>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</si>
  <si>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</si>
  <si>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</si>
  <si>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</si>
  <si>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</si>
  <si>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</si>
  <si>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</si>
  <si>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</si>
  <si>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</si>
  <si>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</si>
  <si>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</si>
  <si>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</si>
  <si>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</si>
  <si>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</si>
  <si>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</si>
  <si>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</si>
  <si>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</si>
  <si>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</si>
  <si>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</si>
  <si>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</si>
  <si>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</si>
  <si>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</si>
  <si>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</si>
  <si>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</si>
  <si>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</si>
  <si>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</si>
  <si>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</si>
  <si>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</si>
  <si>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</si>
  <si>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</si>
  <si>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</si>
  <si>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</si>
  <si>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</si>
  <si>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</si>
  <si>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</si>
  <si>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</si>
  <si>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</si>
  <si>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</si>
  <si>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</si>
  <si>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</si>
  <si>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</si>
  <si>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</si>
  <si>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</si>
  <si>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</si>
  <si>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</si>
  <si>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</si>
  <si>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</si>
  <si>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</si>
  <si>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</si>
  <si>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</si>
  <si>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</si>
  <si>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</si>
  <si>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</si>
  <si>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</si>
  <si>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</si>
  <si>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</si>
  <si>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</si>
  <si>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</si>
  <si>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</si>
  <si>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</si>
  <si>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</si>
  <si>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</si>
  <si>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</si>
  <si>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</si>
  <si>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</si>
  <si>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</si>
  <si>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</si>
  <si>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</si>
  <si>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</si>
  <si>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</si>
  <si>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</si>
  <si>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</si>
  <si>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</si>
  <si>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</si>
  <si>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</si>
  <si>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</si>
  <si>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</si>
  <si>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</si>
  <si>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</si>
  <si>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</si>
  <si>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</si>
  <si>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</si>
  <si>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</si>
  <si>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</si>
  <si>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</si>
  <si>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</si>
  <si>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</si>
  <si>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</si>
  <si>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</si>
  <si>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</si>
  <si>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</si>
  <si>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</si>
  <si>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</si>
  <si>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</si>
  <si>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</si>
  <si>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</si>
  <si>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</si>
  <si>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</si>
  <si>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</si>
  <si>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</si>
  <si>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</si>
  <si>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</si>
  <si>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</si>
  <si>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</si>
  <si>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</si>
  <si>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</si>
  <si>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</si>
  <si>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</si>
  <si>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</si>
  <si>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</si>
  <si>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</si>
  <si>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</si>
  <si>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</si>
  <si>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</si>
  <si>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</si>
  <si>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</si>
  <si>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</si>
  <si>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</si>
  <si>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</si>
  <si>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</si>
  <si>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</si>
  <si>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</si>
  <si>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</si>
  <si>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</si>
  <si>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</si>
  <si>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</si>
  <si>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</si>
  <si>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</si>
  <si>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</si>
  <si>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</si>
  <si>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</si>
  <si>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</si>
  <si>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</si>
  <si>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</si>
  <si>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</si>
  <si>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</si>
  <si>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</si>
  <si>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</si>
  <si>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</si>
  <si>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</si>
  <si>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</si>
  <si>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</si>
  <si>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</si>
  <si>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</si>
  <si>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</si>
  <si>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</si>
  <si>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</si>
  <si>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</si>
  <si>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</si>
  <si>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</si>
  <si>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</si>
  <si>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</si>
  <si>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</si>
  <si>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</si>
  <si>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</si>
  <si>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</si>
  <si>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</si>
  <si>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</si>
  <si>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</si>
  <si>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</si>
  <si>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</si>
  <si>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</si>
  <si>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</si>
  <si>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</si>
  <si>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</si>
  <si>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</si>
  <si>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</si>
  <si>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</si>
  <si>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</si>
  <si>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</si>
  <si>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</si>
  <si>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</si>
  <si>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</si>
  <si>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</si>
  <si>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</si>
  <si>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</si>
  <si>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</si>
  <si>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</si>
  <si>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</si>
  <si>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</si>
  <si>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</si>
  <si>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</si>
  <si>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</si>
  <si>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</si>
  <si>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</si>
  <si>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</si>
  <si>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</si>
  <si>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</si>
  <si>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</si>
  <si>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</si>
  <si>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</si>
  <si>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</si>
  <si>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</si>
  <si>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</si>
  <si>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</si>
  <si>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</si>
  <si>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</si>
  <si>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</si>
  <si>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</si>
  <si>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</si>
  <si>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</si>
  <si>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</si>
  <si>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</si>
  <si>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</si>
  <si>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</si>
  <si>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</si>
  <si>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</si>
  <si>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</si>
  <si>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</si>
  <si>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</si>
  <si>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</si>
  <si>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</si>
  <si>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</si>
  <si>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</si>
  <si>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</si>
  <si>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</si>
  <si>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</si>
  <si>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</si>
  <si>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</si>
  <si>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</si>
  <si>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</si>
  <si>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</si>
  <si>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</si>
  <si>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</si>
  <si>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</si>
  <si>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</si>
  <si>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</si>
  <si>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</si>
  <si>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</si>
  <si>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</si>
  <si>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</si>
  <si>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</si>
  <si>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</si>
  <si>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</si>
  <si>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</si>
  <si>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</si>
  <si>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</si>
  <si>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</si>
  <si>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</si>
  <si>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</si>
  <si>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</si>
  <si>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</si>
  <si>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</si>
  <si>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</si>
  <si>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</si>
  <si>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</si>
  <si>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</si>
  <si>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</si>
  <si>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</si>
  <si>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</si>
  <si>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</si>
  <si>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</si>
  <si>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</si>
  <si>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</si>
  <si>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</si>
  <si>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</si>
  <si>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</si>
  <si>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</si>
  <si>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</si>
  <si>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</si>
  <si>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</si>
  <si>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</si>
  <si>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</si>
  <si>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</si>
  <si>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</si>
  <si>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</si>
  <si>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</si>
  <si>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</si>
  <si>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</si>
  <si>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</si>
  <si>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</si>
  <si>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</si>
  <si>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</si>
  <si>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</si>
  <si>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</si>
  <si>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</si>
  <si>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</si>
  <si>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</si>
  <si>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</si>
  <si>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</si>
  <si>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</si>
  <si>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</si>
  <si>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</si>
  <si>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</si>
  <si>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</si>
  <si>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</si>
  <si>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</si>
  <si>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</si>
  <si>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</si>
  <si>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</si>
  <si>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</si>
  <si>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</si>
  <si>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</si>
  <si>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</si>
  <si>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</si>
  <si>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</si>
  <si>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</si>
  <si>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</si>
  <si>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</si>
  <si>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</si>
  <si>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</si>
  <si>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</si>
  <si>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</si>
  <si>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</si>
  <si>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</si>
  <si>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</si>
  <si>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</si>
  <si>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</si>
  <si>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</si>
  <si>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</si>
  <si>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</si>
  <si>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</si>
  <si>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</si>
  <si>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</si>
  <si>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</si>
  <si>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</si>
  <si>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</si>
  <si>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</si>
  <si>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</si>
  <si>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</si>
  <si>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</si>
  <si>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</si>
  <si>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</si>
  <si>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</si>
  <si>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</si>
  <si>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</si>
  <si>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</si>
  <si>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</si>
  <si>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</si>
  <si>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</si>
  <si>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</si>
  <si>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</si>
  <si>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</si>
  <si>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</si>
  <si>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</si>
  <si>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</si>
  <si>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</si>
  <si>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</si>
  <si>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</si>
  <si>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</si>
  <si>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</si>
  <si>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</si>
  <si>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</si>
  <si>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</si>
  <si>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</si>
  <si>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</si>
  <si>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</si>
  <si>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</si>
  <si>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</si>
  <si>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</si>
  <si>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</si>
  <si>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</si>
  <si>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</si>
  <si>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</si>
  <si>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</si>
  <si>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</si>
  <si>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</si>
  <si>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</si>
  <si>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</si>
  <si>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</si>
  <si>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</si>
  <si>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</si>
  <si>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</si>
  <si>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</si>
  <si>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</si>
  <si>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</si>
  <si>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</si>
  <si>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</si>
  <si>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</si>
  <si>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</si>
  <si>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</si>
  <si>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</si>
  <si>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</si>
  <si>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</si>
  <si>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</si>
  <si>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</si>
  <si>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</si>
  <si>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</si>
  <si>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</si>
  <si>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</si>
  <si>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</si>
  <si>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</si>
  <si>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</si>
  <si>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</si>
  <si>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</si>
  <si>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</si>
  <si>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</si>
  <si>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</si>
  <si>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</si>
  <si>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</si>
  <si>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</si>
  <si>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</si>
  <si>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</si>
  <si>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</si>
  <si>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</si>
  <si>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</si>
  <si>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</si>
  <si>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</si>
  <si>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</si>
  <si>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</si>
  <si>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</si>
  <si>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</si>
  <si>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</si>
  <si>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</si>
  <si>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</si>
  <si>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</si>
  <si>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</si>
  <si>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</si>
  <si>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</si>
  <si>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</si>
  <si>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</si>
  <si>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</si>
  <si>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</si>
  <si>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</si>
  <si>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</si>
  <si>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</si>
  <si>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</si>
  <si>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</si>
  <si>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</si>
  <si>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</si>
  <si>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</si>
  <si>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</si>
  <si>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</si>
  <si>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</si>
  <si>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</si>
  <si>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</si>
  <si>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</si>
  <si>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</si>
  <si>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</si>
  <si>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</si>
  <si>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</si>
  <si>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</si>
  <si>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</si>
  <si>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</si>
  <si>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</si>
  <si>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</si>
  <si>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</si>
  <si>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</si>
  <si>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</si>
  <si>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</si>
  <si>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</si>
  <si>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</si>
  <si>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</si>
  <si>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</si>
  <si>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</si>
  <si>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</si>
  <si>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</si>
  <si>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</si>
  <si>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</si>
  <si>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</si>
  <si>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</si>
  <si>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</si>
  <si>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</si>
  <si>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</si>
  <si>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</si>
  <si>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</si>
  <si>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</si>
  <si>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</si>
  <si>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</si>
  <si>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</si>
  <si>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</si>
  <si>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</si>
  <si>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</si>
  <si>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</si>
  <si>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</si>
  <si>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</si>
  <si>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</si>
  <si>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</si>
  <si>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</si>
  <si>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</si>
  <si>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</si>
  <si>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</si>
  <si>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</si>
  <si>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</si>
  <si>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</si>
  <si>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</si>
  <si>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</si>
  <si>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</si>
  <si>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</si>
  <si>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</si>
  <si>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</si>
  <si>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</si>
  <si>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</si>
  <si>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</si>
  <si>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</si>
  <si>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</si>
  <si>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</si>
  <si>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</si>
  <si>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</si>
  <si>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</si>
  <si>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</si>
  <si>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</si>
  <si>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</si>
  <si>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</si>
  <si>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</si>
  <si>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</si>
  <si>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</si>
  <si>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</si>
  <si>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</si>
  <si>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</si>
  <si>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</si>
  <si>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</si>
  <si>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</si>
  <si>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</si>
  <si>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</si>
  <si>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</si>
  <si>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</si>
  <si>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</si>
  <si>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</si>
  <si>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</si>
  <si>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</si>
  <si>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</si>
  <si>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</si>
  <si>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</si>
  <si>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</si>
  <si>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</si>
  <si>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</si>
  <si>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</si>
  <si>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</si>
  <si>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</si>
  <si>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</si>
  <si>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</si>
  <si>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</si>
  <si>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</si>
  <si>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</si>
  <si>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</si>
  <si>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</si>
  <si>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</si>
  <si>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</si>
  <si>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</si>
  <si>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</si>
  <si>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</si>
  <si>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</si>
  <si>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</si>
  <si>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</si>
  <si>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</si>
  <si>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</si>
  <si>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</si>
  <si>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</si>
  <si>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</si>
  <si>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</si>
  <si>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</si>
  <si>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</si>
  <si>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</si>
  <si>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</si>
  <si>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</si>
  <si>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</si>
  <si>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</si>
  <si>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</si>
  <si>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</si>
  <si>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</si>
  <si>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</si>
  <si>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</si>
  <si>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</si>
  <si>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</si>
  <si>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</si>
  <si>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</si>
  <si>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</si>
  <si>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</si>
  <si>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</si>
  <si>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</si>
  <si>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</si>
  <si>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</si>
  <si>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</si>
  <si>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</si>
  <si>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</si>
  <si>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</si>
  <si>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</si>
  <si>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</si>
  <si>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</si>
  <si>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</si>
  <si>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</si>
  <si>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</si>
  <si>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</si>
  <si>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</si>
  <si>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</si>
  <si>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</si>
  <si>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</si>
  <si>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</si>
  <si>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</si>
  <si>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</si>
  <si>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</si>
  <si>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</si>
  <si>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</si>
  <si>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</si>
  <si>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</si>
  <si>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</si>
  <si>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</si>
  <si>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</si>
  <si>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</si>
  <si>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</si>
  <si>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</si>
  <si>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</si>
  <si>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</si>
  <si>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</si>
  <si>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</si>
  <si>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</si>
  <si>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</si>
  <si>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</si>
  <si>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</si>
  <si>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</si>
  <si>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</si>
  <si>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</si>
  <si>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</si>
  <si>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</si>
  <si>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</si>
  <si>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</si>
  <si>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</si>
  <si>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</si>
  <si>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</si>
  <si>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</si>
  <si>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</si>
  <si>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</si>
  <si>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</si>
  <si>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</si>
  <si>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</si>
  <si>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</si>
  <si>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</si>
  <si>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</si>
  <si>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</si>
  <si>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</si>
  <si>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</si>
  <si>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</si>
  <si>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</si>
  <si>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</si>
  <si>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</si>
  <si>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</si>
  <si>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</si>
  <si>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</si>
  <si>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</si>
  <si>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</si>
  <si>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</si>
  <si>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</si>
  <si>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</si>
  <si>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</si>
  <si>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</si>
  <si>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</si>
  <si>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</si>
  <si>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</si>
  <si>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</si>
  <si>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</si>
  <si>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</si>
  <si>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</si>
  <si>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</si>
  <si>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</si>
  <si>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</si>
  <si>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</si>
  <si>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</si>
  <si>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</si>
  <si>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</si>
  <si>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</si>
  <si>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</si>
  <si>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</si>
  <si>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</si>
  <si>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</si>
  <si>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</si>
  <si>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</si>
  <si>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</si>
  <si>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</si>
  <si>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</si>
  <si>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</si>
  <si>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</si>
  <si>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</si>
  <si>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</si>
  <si>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</si>
  <si>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</si>
  <si>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</si>
  <si>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</si>
  <si>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</si>
  <si>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</si>
  <si>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</si>
  <si>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</si>
  <si>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</si>
  <si>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</si>
  <si>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</si>
  <si>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</si>
  <si>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</si>
  <si>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</si>
  <si>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</si>
  <si>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</si>
  <si>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</si>
  <si>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</si>
  <si>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</si>
  <si>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</si>
  <si>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</si>
  <si>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</si>
  <si>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</si>
  <si>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</si>
  <si>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</si>
  <si>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</si>
  <si>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</si>
  <si>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</si>
  <si>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</si>
  <si>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</si>
  <si>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</si>
  <si>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</si>
  <si>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</si>
  <si>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</si>
  <si>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</si>
  <si>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</si>
  <si>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</si>
  <si>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</si>
  <si>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</si>
  <si>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</si>
  <si>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</si>
  <si>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</si>
  <si>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</si>
  <si>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</si>
  <si>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</si>
  <si>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</si>
  <si>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</si>
  <si>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</si>
  <si>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</si>
  <si>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</si>
  <si>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</si>
  <si>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</si>
  <si>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</si>
  <si>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</si>
  <si>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</si>
  <si>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</si>
  <si>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</si>
  <si>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</si>
  <si>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</si>
  <si>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</si>
  <si>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</si>
  <si>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</si>
  <si>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</si>
  <si>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</si>
  <si>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</si>
  <si>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</si>
  <si>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</si>
  <si>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</si>
  <si>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</si>
  <si>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</si>
  <si>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</si>
  <si>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</si>
  <si>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</si>
  <si>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</si>
  <si>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</si>
  <si>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</si>
  <si>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</si>
  <si>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</si>
  <si>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</si>
  <si>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</si>
  <si>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</si>
  <si>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</si>
  <si>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</si>
  <si>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</si>
  <si>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</si>
  <si>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</si>
  <si>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</si>
  <si>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</si>
  <si>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</si>
  <si>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</si>
  <si>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</si>
  <si>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</si>
  <si>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</si>
  <si>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</si>
  <si>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</si>
  <si>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</si>
  <si>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</si>
  <si>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</si>
  <si>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</si>
  <si>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</si>
  <si>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</si>
  <si>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</si>
  <si>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</si>
  <si>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</si>
  <si>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</si>
  <si>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</si>
  <si>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</si>
  <si>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</si>
  <si>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</si>
  <si>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</si>
  <si>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</si>
  <si>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</si>
  <si>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</si>
  <si>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</si>
  <si>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</si>
  <si>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</si>
  <si>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</si>
  <si>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</si>
  <si>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</si>
  <si>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</si>
  <si>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</si>
  <si>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</si>
  <si>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</si>
  <si>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</si>
  <si>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</si>
  <si>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</si>
  <si>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</si>
  <si>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</si>
  <si>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</si>
  <si>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</si>
  <si>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</si>
  <si>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</si>
  <si>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</si>
  <si>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</si>
  <si>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</si>
  <si>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</si>
  <si>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</si>
  <si>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</si>
  <si>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</si>
  <si>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</si>
  <si>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</si>
  <si>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</si>
  <si>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</si>
  <si>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</si>
  <si>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</si>
  <si>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</si>
  <si>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</si>
  <si>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</si>
  <si>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</si>
  <si>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</si>
  <si>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</si>
  <si>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</si>
  <si>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</si>
  <si>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</si>
  <si>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</si>
  <si>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</si>
  <si>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</si>
  <si>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</si>
  <si>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</si>
  <si>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</si>
  <si>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</si>
  <si>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</si>
  <si>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</si>
  <si>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</si>
  <si>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</si>
  <si>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</si>
  <si>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</si>
  <si>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</si>
  <si>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</si>
  <si>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</si>
  <si>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</si>
  <si>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</si>
  <si>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</si>
  <si>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</si>
  <si>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</si>
  <si>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</si>
  <si>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</si>
  <si>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</si>
  <si>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</si>
  <si>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</si>
  <si>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</si>
  <si>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</si>
  <si>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</si>
  <si>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</si>
  <si>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</si>
  <si>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</si>
  <si>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</si>
  <si>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</si>
  <si>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</si>
  <si>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</si>
  <si>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</si>
  <si>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</si>
  <si>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</si>
  <si>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</si>
  <si>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</si>
  <si>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</si>
  <si>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</si>
  <si>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</si>
  <si>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</si>
  <si>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</si>
  <si>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</si>
  <si>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</si>
  <si>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</si>
  <si>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</si>
  <si>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</si>
  <si>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</si>
  <si>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</si>
  <si>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</si>
  <si>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</si>
  <si>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</si>
  <si>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</si>
  <si>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</si>
  <si>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</si>
  <si>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</si>
  <si>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</si>
  <si>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</si>
  <si>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</si>
  <si>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</si>
  <si>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</si>
  <si>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</si>
  <si>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</si>
  <si>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</si>
  <si>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</si>
  <si>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</si>
  <si>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</si>
  <si>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</si>
  <si>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</si>
  <si>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</si>
  <si>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</si>
  <si>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</si>
  <si>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</si>
  <si>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</si>
  <si>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</si>
  <si>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</si>
  <si>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</si>
  <si>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</si>
  <si>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</si>
  <si>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</si>
  <si>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</si>
  <si>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</si>
  <si>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</si>
  <si>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</si>
  <si>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</si>
  <si>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</si>
  <si>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</si>
  <si>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</si>
  <si>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</si>
  <si>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</si>
  <si>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</si>
  <si>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</si>
  <si>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</si>
  <si>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</si>
  <si>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</si>
  <si>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</si>
  <si>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</si>
  <si>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</si>
  <si>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</si>
  <si>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</si>
  <si>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</si>
  <si>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</si>
  <si>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</si>
  <si>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</si>
  <si>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</si>
  <si>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</si>
  <si>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</si>
  <si>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</si>
  <si>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</si>
  <si>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</si>
  <si>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</si>
  <si>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</si>
  <si>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</si>
  <si>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</si>
  <si>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</si>
  <si>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</si>
  <si>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</si>
  <si>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</si>
  <si>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</si>
  <si>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</si>
  <si>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</si>
  <si>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</si>
  <si>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</si>
  <si>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</si>
  <si>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</si>
  <si>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</si>
  <si>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</si>
  <si>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</si>
  <si>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</si>
  <si>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</si>
  <si>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</si>
  <si>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</si>
  <si>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</si>
  <si>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</si>
  <si>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</si>
  <si>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</si>
  <si>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</si>
  <si>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</si>
  <si>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</si>
  <si>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</si>
  <si>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</si>
  <si>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</si>
  <si>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</si>
  <si>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</si>
  <si>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</si>
  <si>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</si>
  <si>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</si>
  <si>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</si>
  <si>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</si>
  <si>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</si>
  <si>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</si>
  <si>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</si>
  <si>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</si>
  <si>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</si>
  <si>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</si>
  <si>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</si>
  <si>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</si>
  <si>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</si>
  <si>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</si>
  <si>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</si>
  <si>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</si>
  <si>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</si>
  <si>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</si>
  <si>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</si>
  <si>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</si>
  <si>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</si>
  <si>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</si>
  <si>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</si>
  <si>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</si>
  <si>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</si>
  <si>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</si>
  <si>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</si>
  <si>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</si>
  <si>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</si>
  <si>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</si>
  <si>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</si>
  <si>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</si>
  <si>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</si>
  <si>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</si>
  <si>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</si>
  <si>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</si>
  <si>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</si>
  <si>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</si>
  <si>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</si>
  <si>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</si>
  <si>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</si>
  <si>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</si>
  <si>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</si>
  <si>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</si>
  <si>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</si>
  <si>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</si>
  <si>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</si>
  <si>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</si>
  <si>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</si>
  <si>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</si>
  <si>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</si>
  <si>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</si>
  <si>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</si>
  <si>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</si>
  <si>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</si>
  <si>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</si>
  <si>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</si>
  <si>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</si>
  <si>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</si>
  <si>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</si>
  <si>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</si>
  <si>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</si>
  <si>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</si>
  <si>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</si>
  <si>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</si>
  <si>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</si>
  <si>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</si>
  <si>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</si>
  <si>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</si>
  <si>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</si>
  <si>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</si>
  <si>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</si>
  <si>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</si>
  <si>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</si>
  <si>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</si>
  <si>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</si>
  <si>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</si>
  <si>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</si>
  <si>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</si>
  <si>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</si>
  <si>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</si>
  <si>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</si>
  <si>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</si>
  <si>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</si>
  <si>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</si>
  <si>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</si>
  <si>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</si>
  <si>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</si>
  <si>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</si>
  <si>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</si>
  <si>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</si>
  <si>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</si>
  <si>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</si>
  <si>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</si>
  <si>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</si>
  <si>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</si>
  <si>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</si>
  <si>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</si>
  <si>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</si>
  <si>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</si>
  <si>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</si>
  <si>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</si>
  <si>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</si>
  <si>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</si>
  <si>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</si>
  <si>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</si>
  <si>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</si>
  <si>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</si>
  <si>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</si>
  <si>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</si>
  <si>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</si>
  <si>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</si>
  <si>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</si>
  <si>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</si>
  <si>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</si>
  <si>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</si>
  <si>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</si>
  <si>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</si>
  <si>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</si>
  <si>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</si>
  <si>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</si>
  <si>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</si>
  <si>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</si>
  <si>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</si>
  <si>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</si>
  <si>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</si>
  <si>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</si>
  <si>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</si>
  <si>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</si>
  <si>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</si>
  <si>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</si>
  <si>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</si>
  <si>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</si>
  <si>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</si>
  <si>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</si>
  <si>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</si>
  <si>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</si>
  <si>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</si>
  <si>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</si>
  <si>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</si>
  <si>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</si>
  <si>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</si>
  <si>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</si>
  <si>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</si>
  <si>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</si>
  <si>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</si>
  <si>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</si>
  <si>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</si>
  <si>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</si>
  <si>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</si>
  <si>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</si>
  <si>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</si>
  <si>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</si>
  <si>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</si>
  <si>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</si>
  <si>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</si>
  <si>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</si>
  <si>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</si>
  <si>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</si>
  <si>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</si>
  <si>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</si>
  <si>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</si>
  <si>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</si>
  <si>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</si>
  <si>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</si>
  <si>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</si>
  <si>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</si>
  <si>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</si>
  <si>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</si>
  <si>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</si>
  <si>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</si>
  <si>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</si>
  <si>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</si>
  <si>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</si>
  <si>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</si>
  <si>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</si>
  <si>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</si>
  <si>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</si>
  <si>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</si>
  <si>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</si>
  <si>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</si>
  <si>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</si>
  <si>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</si>
  <si>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</si>
  <si>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</si>
  <si>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</si>
  <si>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</si>
  <si>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</si>
  <si>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</si>
  <si>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</si>
  <si>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</si>
  <si>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</si>
  <si>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</si>
  <si>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</si>
  <si>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</si>
  <si>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</si>
  <si>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</si>
  <si>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</si>
  <si>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</si>
  <si>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</si>
  <si>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</si>
  <si>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</si>
  <si>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</si>
  <si>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</si>
  <si>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</si>
  <si>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</si>
  <si>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</si>
  <si>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</si>
  <si>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</si>
  <si>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</si>
  <si>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</si>
  <si>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</si>
  <si>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</si>
  <si>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</si>
  <si>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</si>
  <si>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</si>
  <si>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</si>
  <si>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</si>
  <si>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</si>
  <si>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</si>
  <si>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</si>
  <si>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</si>
  <si>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</si>
  <si>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</si>
  <si>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</si>
  <si>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</si>
  <si>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</si>
  <si>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</si>
  <si>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</si>
  <si>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</si>
  <si>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</si>
  <si>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</si>
  <si>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</si>
  <si>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</si>
  <si>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</si>
  <si>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</si>
  <si>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</si>
  <si>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</si>
  <si>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</si>
  <si>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</si>
  <si>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</si>
  <si>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</si>
  <si>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</si>
  <si>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</si>
  <si>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</si>
  <si>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</si>
  <si>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</si>
  <si>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</si>
  <si>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</si>
  <si>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</si>
  <si>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</si>
  <si>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</si>
  <si>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</si>
  <si>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</si>
  <si>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</si>
  <si>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</si>
  <si>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</si>
  <si>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</si>
  <si>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</si>
  <si>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</si>
  <si>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</si>
  <si>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</si>
  <si>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</si>
  <si>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</si>
  <si>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</si>
  <si>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</si>
  <si>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</si>
  <si>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</si>
  <si>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</si>
  <si>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</si>
  <si>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</si>
  <si>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</si>
  <si>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</si>
  <si>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</si>
  <si>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</si>
  <si>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</si>
  <si>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</si>
  <si>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</si>
  <si>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</si>
  <si>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</si>
  <si>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</si>
  <si>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</si>
  <si>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</si>
  <si>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</si>
  <si>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</si>
  <si>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</si>
  <si>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</si>
  <si>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</si>
  <si>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</si>
  <si>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</si>
  <si>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</si>
  <si>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</si>
  <si>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</si>
  <si>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</si>
  <si>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</si>
  <si>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</si>
  <si>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</si>
  <si>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</si>
  <si>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</si>
  <si>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</si>
  <si>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</si>
  <si>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</si>
  <si>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</si>
  <si>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</si>
  <si>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</si>
  <si>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</si>
  <si>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</si>
  <si>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</si>
  <si>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</si>
  <si>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</si>
  <si>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</si>
  <si>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</si>
  <si>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</si>
  <si>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</si>
  <si>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</si>
  <si>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</si>
  <si>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</si>
  <si>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</si>
  <si>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</si>
  <si>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</si>
  <si>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</si>
  <si>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</si>
  <si>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</si>
  <si>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</si>
  <si>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</si>
  <si>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</si>
  <si>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</si>
  <si>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</si>
  <si>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</si>
  <si>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</si>
  <si>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</si>
  <si>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</si>
  <si>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</si>
  <si>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</si>
  <si>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</si>
  <si>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</si>
  <si>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</si>
  <si>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</si>
  <si>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</si>
  <si>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</si>
  <si>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</si>
  <si>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</si>
  <si>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</si>
  <si>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</si>
  <si>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</si>
  <si>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</si>
  <si>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</si>
  <si>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</si>
  <si>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</si>
  <si>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</si>
  <si>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</si>
  <si>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</si>
  <si>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</si>
  <si>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</si>
  <si>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</si>
  <si>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</si>
  <si>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</si>
  <si>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</si>
  <si>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</si>
  <si>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</si>
  <si>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</si>
  <si>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</si>
  <si>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</si>
  <si>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</si>
  <si>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</si>
  <si>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</si>
  <si>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</si>
  <si>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</si>
  <si>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</si>
  <si>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</si>
  <si>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</si>
  <si>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</si>
  <si>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</si>
  <si>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</si>
  <si>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</si>
  <si>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</si>
  <si>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</si>
  <si>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</si>
  <si>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</si>
  <si>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</si>
  <si>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</si>
  <si>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</si>
  <si>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</si>
  <si>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</si>
  <si>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</si>
  <si>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</si>
  <si>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</si>
  <si>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</si>
  <si>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</si>
  <si>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</si>
  <si>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</si>
  <si>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</si>
  <si>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</si>
  <si>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</si>
  <si>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</si>
  <si>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</si>
  <si>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</si>
  <si>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</si>
  <si>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</si>
  <si>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</si>
  <si>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</si>
  <si>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</si>
  <si>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</si>
  <si>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</si>
  <si>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</si>
  <si>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</si>
  <si>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</si>
  <si>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</si>
  <si>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</si>
  <si>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</si>
  <si>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</si>
  <si>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</si>
  <si>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</si>
  <si>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</si>
  <si>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</si>
  <si>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</si>
  <si>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</si>
  <si>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</si>
  <si>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</si>
  <si>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</si>
  <si>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</si>
  <si>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</si>
  <si>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</si>
  <si>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</si>
  <si>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</si>
  <si>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</si>
  <si>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</si>
  <si>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</si>
  <si>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</si>
  <si>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</si>
  <si>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</si>
  <si>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</si>
  <si>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</si>
  <si>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</si>
  <si>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</si>
  <si>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</si>
  <si>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</si>
  <si>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</si>
  <si>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</si>
  <si>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</si>
  <si>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</si>
  <si>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</si>
  <si>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</si>
  <si>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</si>
  <si>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</si>
  <si>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</si>
  <si>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</si>
  <si>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</si>
  <si>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</si>
  <si>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</si>
  <si>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</si>
  <si>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</si>
  <si>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</si>
  <si>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</si>
  <si>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</si>
  <si>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</si>
  <si>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</si>
  <si>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</si>
  <si>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</si>
  <si>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</si>
  <si>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</si>
  <si>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</si>
  <si>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</si>
  <si>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</si>
  <si>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</si>
  <si>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</si>
  <si>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</si>
  <si>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</si>
  <si>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</si>
  <si>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</si>
  <si>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</si>
  <si>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</si>
  <si>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</si>
  <si>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</si>
  <si>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</si>
  <si>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</si>
  <si>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</si>
  <si>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</si>
  <si>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</si>
  <si>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</si>
  <si>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</si>
  <si>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</si>
  <si>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</si>
  <si>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</si>
  <si>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</si>
  <si>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</si>
  <si>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</si>
  <si>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</si>
  <si>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</si>
  <si>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</si>
  <si>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</si>
  <si>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</si>
  <si>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</si>
  <si>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</si>
  <si>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</si>
  <si>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</si>
  <si>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</si>
  <si>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</si>
  <si>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</si>
  <si>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</si>
  <si>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</si>
  <si>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</si>
  <si>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</si>
  <si>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</si>
  <si>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</si>
  <si>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</si>
  <si>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</si>
  <si>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</si>
  <si>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</si>
  <si>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</si>
  <si>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</si>
  <si>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</si>
  <si>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</si>
  <si>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</si>
  <si>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</si>
  <si>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</si>
  <si>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</si>
  <si>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</si>
  <si>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</si>
  <si>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</si>
  <si>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</si>
  <si>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</si>
  <si>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</si>
  <si>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</si>
  <si>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</si>
  <si>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</si>
  <si>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</si>
  <si>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</si>
  <si>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</si>
  <si>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</si>
  <si>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</si>
  <si>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</si>
  <si>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</si>
  <si>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</si>
  <si>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</si>
  <si>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</si>
  <si>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</si>
  <si>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</si>
  <si>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</si>
  <si>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</si>
  <si>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</si>
  <si>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</si>
  <si>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</si>
  <si>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</si>
  <si>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</si>
  <si>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</si>
  <si>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</si>
  <si>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</si>
  <si>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</si>
  <si>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</si>
  <si>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</si>
  <si>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</si>
  <si>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</si>
  <si>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</si>
  <si>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</si>
  <si>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</si>
  <si>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</si>
  <si>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</si>
  <si>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</si>
  <si>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</si>
  <si>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</si>
  <si>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</si>
  <si>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</si>
  <si>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</si>
  <si>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</si>
  <si>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</si>
  <si>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</si>
  <si>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</si>
  <si>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</si>
  <si>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</si>
  <si>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</si>
  <si>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</si>
  <si>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</si>
  <si>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</si>
  <si>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</si>
  <si>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</si>
  <si>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</si>
  <si>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</si>
  <si>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</si>
  <si>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</si>
  <si>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</si>
  <si>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</si>
  <si>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</si>
  <si>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</si>
  <si>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</si>
  <si>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</si>
  <si>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</si>
  <si>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</si>
  <si>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</si>
  <si>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</si>
  <si>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</si>
  <si>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</si>
  <si>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</si>
  <si>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</si>
  <si>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</si>
  <si>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</si>
  <si>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</si>
  <si>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</si>
  <si>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</si>
  <si>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</si>
  <si>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</si>
  <si>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</si>
  <si>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</si>
  <si>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</si>
  <si>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</si>
  <si>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</si>
  <si>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</si>
  <si>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</si>
  <si>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</si>
  <si>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</si>
  <si>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</si>
  <si>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</si>
  <si>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</si>
  <si>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</si>
  <si>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</si>
  <si>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</si>
  <si>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</si>
  <si>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</si>
  <si>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</si>
  <si>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</si>
  <si>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</si>
  <si>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</si>
  <si>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</si>
  <si>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</si>
  <si>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</si>
  <si>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</si>
  <si>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</si>
  <si>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</si>
  <si>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</si>
  <si>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</si>
  <si>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</si>
  <si>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</si>
  <si>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</si>
  <si>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</si>
  <si>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</si>
  <si>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</si>
  <si>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</si>
  <si>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</si>
  <si>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</si>
  <si>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</si>
  <si>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</si>
  <si>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</si>
  <si>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</si>
  <si>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</si>
  <si>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</si>
  <si>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</si>
  <si>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</si>
  <si>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</si>
  <si>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</si>
  <si>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</si>
  <si>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</si>
  <si>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</si>
  <si>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</si>
  <si>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</si>
  <si>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</si>
  <si>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</si>
  <si>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</si>
  <si>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</si>
  <si>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</si>
  <si>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</si>
  <si>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</si>
  <si>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</si>
  <si>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</si>
  <si>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</si>
  <si>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</si>
  <si>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</si>
  <si>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</si>
  <si>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</si>
  <si>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</si>
  <si>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</si>
  <si>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</si>
  <si>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</si>
  <si>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</si>
  <si>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</si>
  <si>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</si>
  <si>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</si>
  <si>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</si>
  <si>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</si>
  <si>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</si>
  <si>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</si>
  <si>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</si>
  <si>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</si>
  <si>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</si>
  <si>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</si>
  <si>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</si>
  <si>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</si>
  <si>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</si>
  <si>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</si>
  <si>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</si>
  <si>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</si>
  <si>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</si>
  <si>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</si>
  <si>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</si>
  <si>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</si>
  <si>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</si>
  <si>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</si>
  <si>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</si>
  <si>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</si>
  <si>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</si>
  <si>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</si>
  <si>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</si>
  <si>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</si>
  <si>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</si>
  <si>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</si>
  <si>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</si>
  <si>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</si>
  <si>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</si>
  <si>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</si>
  <si>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</si>
  <si>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</si>
  <si>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</si>
  <si>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</si>
  <si>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</si>
  <si>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</si>
  <si>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</si>
  <si>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</si>
  <si>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</si>
  <si>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</si>
  <si>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</si>
  <si>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</si>
  <si>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</si>
  <si>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</si>
  <si>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</si>
  <si>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</si>
  <si>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</si>
  <si>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</si>
  <si>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</si>
  <si>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</si>
  <si>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</si>
  <si>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</si>
  <si>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</si>
  <si>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</si>
  <si>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</si>
  <si>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</si>
  <si>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</si>
  <si>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</si>
  <si>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</si>
  <si>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</si>
  <si>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</si>
  <si>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</si>
  <si>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</si>
  <si>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</si>
  <si>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</si>
  <si>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</si>
  <si>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</si>
  <si>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</si>
  <si>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</si>
  <si>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</si>
  <si>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</si>
  <si>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</si>
  <si>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</si>
  <si>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</si>
  <si>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</si>
  <si>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</si>
  <si>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</si>
  <si>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</si>
  <si>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</si>
  <si>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</si>
  <si>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</si>
  <si>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</si>
  <si>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</si>
  <si>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</si>
  <si>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</si>
  <si>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</si>
  <si>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</si>
  <si>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</si>
  <si>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</si>
  <si>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</si>
  <si>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</si>
  <si>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</si>
  <si>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</si>
  <si>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</si>
  <si>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</si>
  <si>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</si>
  <si>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</si>
  <si>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</si>
  <si>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</si>
  <si>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</si>
  <si>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</si>
  <si>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</si>
  <si>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</si>
  <si>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</si>
  <si>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</si>
  <si>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</si>
  <si>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</si>
  <si>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</si>
  <si>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</si>
  <si>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</si>
  <si>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</si>
  <si>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</si>
  <si>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</si>
  <si>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</si>
  <si>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</si>
  <si>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</si>
  <si>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</si>
  <si>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</si>
  <si>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</si>
  <si>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</si>
  <si>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</si>
  <si>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</si>
  <si>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</si>
  <si>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</si>
  <si>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</si>
  <si>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</si>
  <si>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</si>
  <si>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</si>
  <si>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</si>
  <si>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</si>
  <si>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</si>
  <si>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</si>
  <si>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</si>
  <si>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</si>
  <si>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</si>
  <si>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</si>
  <si>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</si>
  <si>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</si>
  <si>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</si>
  <si>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</si>
  <si>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</si>
  <si>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</si>
  <si>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</si>
  <si>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</si>
  <si>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</si>
  <si>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</si>
  <si>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</si>
  <si>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</si>
  <si>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</si>
  <si>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</si>
  <si>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</si>
  <si>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</si>
  <si>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</si>
  <si>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</si>
  <si>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</si>
  <si>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</si>
  <si>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</si>
  <si>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</si>
  <si>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</si>
  <si>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</si>
  <si>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</si>
  <si>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</si>
  <si>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</si>
  <si>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</si>
  <si>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</si>
  <si>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</si>
  <si>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</si>
  <si>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</si>
  <si>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</si>
  <si>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</si>
  <si>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</si>
  <si>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</si>
  <si>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</si>
  <si>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</si>
  <si>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</si>
  <si>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</si>
  <si>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</si>
  <si>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</si>
  <si>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</si>
  <si>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</si>
  <si>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</si>
  <si>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</si>
  <si>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</si>
  <si>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</si>
  <si>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</si>
  <si>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</si>
  <si>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</si>
  <si>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</si>
  <si>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</si>
  <si>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</si>
  <si>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</si>
  <si>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</si>
  <si>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</si>
  <si>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</si>
  <si>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</si>
  <si>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</si>
  <si>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</si>
  <si>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</si>
  <si>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</si>
  <si>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</si>
  <si>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</si>
  <si>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</si>
  <si>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</si>
  <si>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</si>
  <si>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</si>
  <si>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</si>
  <si>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</si>
  <si>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</si>
  <si>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</si>
  <si>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</si>
  <si>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</si>
  <si>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</si>
  <si>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</si>
  <si>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</si>
  <si>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</si>
  <si>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</si>
  <si>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</si>
  <si>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</si>
  <si>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</si>
  <si>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</si>
  <si>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</si>
  <si>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</si>
  <si>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</si>
  <si>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</si>
  <si>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</si>
  <si>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</si>
  <si>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</si>
  <si>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</si>
  <si>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</si>
  <si>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</si>
  <si>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</si>
  <si>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</si>
  <si>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</si>
  <si>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</si>
  <si>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</si>
  <si>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</si>
  <si>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</si>
  <si>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</si>
  <si>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</si>
  <si>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</si>
  <si>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</si>
  <si>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</si>
  <si>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</si>
  <si>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</si>
  <si>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</si>
  <si>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</si>
  <si>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</si>
  <si>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</si>
  <si>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</si>
  <si>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</si>
  <si>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</si>
  <si>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</si>
  <si>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</si>
  <si>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</si>
  <si>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</si>
  <si>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</si>
  <si>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</si>
  <si>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</si>
  <si>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</si>
  <si>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</si>
  <si>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</si>
  <si>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</si>
  <si>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</si>
  <si>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</si>
  <si>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</si>
  <si>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</si>
  <si>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</si>
  <si>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</si>
  <si>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</si>
  <si>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</si>
  <si>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</si>
  <si>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</si>
  <si>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</si>
  <si>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</si>
  <si>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</si>
  <si>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</si>
  <si>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</si>
  <si>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</si>
  <si>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</si>
  <si>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</si>
  <si>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</si>
  <si>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</si>
  <si>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</si>
  <si>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</si>
  <si>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</si>
  <si>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</si>
  <si>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</si>
  <si>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</si>
  <si>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</si>
  <si>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</si>
  <si>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</si>
  <si>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</si>
  <si>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</si>
  <si>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</si>
  <si>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</si>
  <si>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</si>
  <si>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</si>
  <si>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</si>
  <si>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</si>
  <si>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</si>
  <si>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</si>
  <si>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</si>
  <si>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</si>
  <si>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</si>
  <si>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</si>
  <si>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</si>
  <si>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</si>
  <si>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</si>
  <si>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</si>
  <si>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</si>
  <si>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</si>
  <si>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</si>
  <si>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</si>
  <si>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</si>
  <si>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</si>
  <si>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</si>
  <si>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</si>
  <si>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</si>
  <si>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</si>
  <si>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</si>
  <si>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</si>
  <si>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</si>
  <si>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</si>
  <si>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</si>
  <si>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</si>
  <si>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</si>
  <si>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</si>
  <si>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</si>
  <si>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</si>
  <si>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</si>
  <si>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</si>
  <si>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</si>
  <si>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</si>
  <si>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</si>
  <si>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</si>
  <si>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</si>
  <si>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</si>
  <si>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</si>
  <si>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</si>
  <si>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</si>
  <si>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</si>
  <si>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</si>
  <si>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</si>
  <si>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</si>
  <si>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</si>
  <si>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</si>
  <si>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</si>
  <si>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</si>
  <si>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</si>
  <si>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</si>
  <si>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</si>
  <si>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</si>
  <si>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</si>
  <si>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</si>
  <si>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</si>
  <si>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</si>
  <si>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</si>
  <si>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</si>
  <si>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</si>
  <si>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</si>
  <si>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</si>
  <si>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</si>
  <si>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</si>
  <si>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</si>
  <si>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</si>
  <si>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</si>
  <si>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</si>
  <si>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</si>
  <si>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</si>
  <si>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</si>
  <si>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</si>
  <si>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</si>
  <si>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</si>
  <si>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</si>
  <si>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</si>
  <si>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</si>
  <si>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</si>
  <si>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</si>
  <si>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</si>
  <si>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</si>
  <si>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</si>
  <si>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</si>
  <si>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</si>
  <si>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</si>
  <si>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</si>
  <si>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</si>
  <si>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</si>
  <si>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</si>
  <si>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</si>
  <si>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</si>
  <si>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</si>
  <si>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</si>
  <si>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</si>
  <si>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</si>
  <si>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</si>
  <si>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</si>
  <si>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</si>
  <si>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</si>
  <si>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</si>
  <si>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</si>
  <si>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</si>
  <si>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</si>
  <si>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</si>
  <si>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</si>
  <si>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</si>
  <si>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</si>
  <si>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</si>
  <si>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</si>
  <si>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</si>
  <si>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</si>
  <si>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</si>
  <si>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</si>
  <si>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</si>
  <si>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</si>
  <si>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</si>
  <si>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</si>
  <si>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</si>
  <si>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</si>
  <si>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</si>
  <si>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</si>
  <si>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</si>
  <si>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</si>
  <si>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</si>
  <si>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</si>
  <si>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</si>
  <si>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</si>
  <si>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</si>
  <si>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</si>
  <si>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</si>
  <si>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</si>
  <si>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</si>
  <si>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</si>
  <si>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</si>
  <si>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</si>
  <si>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</si>
  <si>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</si>
  <si>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</si>
  <si>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</si>
  <si>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</si>
  <si>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</si>
  <si>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</si>
  <si>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</si>
  <si>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</si>
  <si>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</si>
  <si>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</si>
  <si>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</si>
  <si>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</si>
  <si>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</si>
  <si>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</si>
  <si>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</si>
  <si>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</si>
  <si>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</si>
  <si>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</si>
  <si>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</si>
  <si>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</si>
  <si>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</si>
  <si>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</si>
  <si>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</si>
  <si>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</si>
  <si>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</si>
  <si>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</si>
  <si>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</si>
  <si>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</si>
  <si>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</si>
  <si>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</si>
  <si>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</si>
  <si>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</si>
  <si>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</si>
  <si>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</si>
  <si>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</si>
  <si>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</si>
  <si>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</si>
  <si>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</si>
  <si>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</si>
  <si>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</si>
  <si>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</si>
  <si>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</si>
  <si>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</si>
  <si>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</si>
  <si>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</si>
  <si>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</si>
  <si>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</si>
  <si>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</si>
  <si>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</si>
  <si>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</si>
  <si>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</si>
  <si>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</si>
  <si>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</si>
  <si>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</si>
  <si>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</si>
  <si>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</si>
  <si>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</si>
  <si>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</si>
  <si>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</si>
  <si>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</si>
  <si>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</si>
  <si>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</si>
  <si>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</si>
  <si>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</si>
  <si>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</si>
  <si>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</si>
  <si>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</si>
  <si>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</si>
  <si>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</si>
  <si>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</si>
  <si>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</si>
  <si>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</si>
  <si>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</si>
  <si>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</si>
  <si>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</si>
  <si>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</si>
  <si>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</si>
  <si>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</si>
  <si>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</si>
  <si>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</si>
  <si>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</si>
  <si>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</si>
  <si>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</si>
  <si>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</si>
  <si>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</si>
  <si>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</si>
  <si>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</si>
  <si>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</si>
  <si>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</si>
  <si>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</si>
  <si>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</si>
  <si>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</si>
  <si>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</si>
  <si>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</si>
  <si>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</si>
  <si>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</si>
  <si>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</si>
  <si>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</si>
  <si>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</si>
  <si>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</si>
  <si>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</si>
  <si>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</si>
  <si>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</si>
  <si>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</si>
  <si>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</si>
  <si>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</si>
  <si>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</si>
  <si>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</si>
  <si>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</si>
  <si>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</si>
  <si>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</si>
  <si>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</si>
  <si>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</si>
  <si>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</si>
  <si>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</si>
  <si>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</si>
  <si>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</si>
  <si>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</si>
  <si>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</si>
  <si>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</si>
  <si>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</si>
  <si>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</si>
  <si>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</si>
  <si>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</si>
  <si>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</si>
  <si>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</si>
  <si>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</si>
  <si>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</si>
  <si>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</si>
  <si>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</si>
  <si>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</si>
  <si>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</si>
  <si>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</si>
  <si>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</si>
  <si>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</si>
  <si>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</si>
  <si>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</si>
  <si>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</si>
  <si>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</si>
  <si>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</si>
  <si>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</si>
  <si>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</si>
  <si>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</si>
  <si>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</si>
  <si>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</si>
  <si>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</si>
  <si>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</si>
  <si>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</si>
  <si>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</si>
  <si>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</si>
  <si>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</si>
  <si>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</si>
  <si>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</si>
  <si>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</si>
  <si>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</si>
  <si>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</si>
  <si>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</si>
  <si>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</si>
  <si>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</si>
  <si>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</si>
  <si>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</si>
  <si>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</si>
  <si>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</si>
  <si>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</si>
  <si>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</si>
  <si>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</si>
  <si>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</si>
  <si>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</si>
  <si>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</si>
  <si>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</si>
  <si>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</si>
  <si>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</si>
  <si>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</si>
  <si>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</si>
  <si>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</si>
  <si>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</si>
  <si>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</si>
  <si>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</si>
  <si>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</si>
  <si>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</si>
  <si>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</si>
  <si>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</si>
  <si>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</si>
  <si>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</si>
  <si>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</si>
  <si>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</si>
  <si>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</si>
  <si>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</si>
  <si>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</si>
  <si>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</si>
  <si>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</si>
  <si>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</si>
  <si>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</si>
  <si>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</si>
  <si>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</si>
  <si>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</si>
  <si>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</si>
  <si>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</si>
  <si>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</si>
  <si>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</si>
  <si>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</si>
  <si>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</si>
  <si>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</si>
  <si>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</si>
  <si>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</si>
  <si>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</si>
  <si>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</si>
  <si>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</si>
  <si>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</si>
  <si>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</si>
  <si>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</si>
  <si>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</si>
  <si>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</si>
  <si>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</si>
  <si>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</si>
  <si>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</si>
  <si>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</si>
  <si>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</si>
  <si>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</si>
  <si>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</si>
  <si>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</si>
  <si>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</si>
  <si>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</si>
  <si>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</si>
  <si>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</si>
  <si>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</si>
  <si>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</si>
  <si>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</si>
  <si>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</si>
  <si>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</si>
  <si>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</si>
  <si>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</si>
  <si>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</si>
  <si>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</si>
  <si>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</si>
  <si>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</si>
  <si>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</si>
  <si>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</si>
  <si>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</si>
  <si>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</si>
  <si>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</si>
  <si>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</si>
  <si>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</si>
  <si>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</si>
  <si>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</si>
  <si>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</si>
  <si>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</si>
  <si>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</si>
  <si>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</si>
  <si>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</si>
  <si>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</si>
  <si>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</si>
  <si>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</si>
  <si>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</si>
  <si>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</si>
  <si>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</si>
  <si>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</si>
  <si>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</si>
  <si>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</si>
  <si>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</si>
  <si>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</si>
  <si>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</si>
  <si>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</si>
  <si>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</si>
  <si>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</si>
  <si>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</si>
  <si>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</si>
  <si>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</si>
  <si>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</si>
  <si>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</si>
  <si>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</si>
  <si>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</si>
  <si>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</si>
  <si>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</si>
  <si>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</si>
  <si>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</si>
  <si>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</si>
  <si>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</si>
  <si>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</si>
  <si>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</si>
  <si>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</si>
  <si>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</si>
  <si>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</si>
  <si>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</si>
  <si>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</si>
  <si>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</si>
  <si>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</si>
  <si>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</si>
  <si>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</si>
  <si>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</si>
  <si>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</si>
  <si>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</si>
  <si>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</si>
  <si>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</si>
  <si>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</si>
  <si>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</si>
  <si>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</si>
  <si>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</si>
  <si>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</si>
  <si>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</si>
  <si>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</si>
  <si>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</si>
  <si>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</si>
  <si>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</si>
  <si>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</si>
  <si>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</si>
  <si>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</si>
  <si>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</si>
  <si>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</si>
  <si>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</si>
  <si>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</si>
  <si>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</si>
  <si>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</si>
  <si>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</si>
  <si>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</si>
  <si>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</si>
  <si>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</si>
  <si>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</si>
  <si>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</si>
  <si>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</si>
  <si>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</si>
  <si>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</si>
  <si>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</si>
  <si>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</si>
  <si>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</si>
  <si>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</si>
  <si>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</si>
  <si>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</si>
  <si>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</si>
  <si>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</si>
  <si>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</si>
  <si>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</si>
  <si>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</si>
  <si>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</si>
  <si>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</si>
  <si>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</si>
  <si>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</si>
  <si>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</si>
  <si>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</si>
  <si>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</si>
  <si>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</si>
  <si>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</si>
  <si>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</si>
  <si>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</si>
  <si>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</si>
  <si>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</si>
  <si>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</si>
  <si>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</si>
  <si>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</si>
  <si>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</si>
  <si>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</si>
  <si>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</si>
  <si>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</si>
  <si>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</si>
  <si>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</si>
  <si>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</si>
  <si>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</si>
  <si>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</si>
  <si>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</si>
  <si>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</si>
  <si>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</si>
  <si>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</si>
  <si>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</si>
  <si>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</si>
  <si>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</si>
  <si>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</si>
  <si>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</si>
  <si>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</si>
  <si>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</si>
  <si>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</si>
  <si>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</si>
  <si>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</si>
  <si>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</si>
  <si>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</si>
  <si>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</si>
  <si>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</si>
  <si>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</si>
  <si>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</si>
  <si>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</si>
  <si>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</si>
  <si>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</si>
  <si>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</si>
  <si>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</si>
  <si>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</si>
  <si>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</si>
  <si>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</si>
  <si>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</si>
  <si>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</si>
  <si>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</si>
  <si>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</si>
  <si>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</si>
  <si>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</si>
  <si>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</si>
  <si>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</si>
  <si>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</si>
  <si>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</si>
  <si>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</si>
  <si>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</si>
  <si>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</si>
  <si>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</si>
  <si>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</si>
  <si>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</si>
  <si>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</si>
  <si>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</si>
  <si>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</si>
  <si>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</si>
  <si>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</si>
  <si>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</si>
  <si>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</si>
  <si>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</si>
  <si>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</si>
  <si>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</si>
  <si>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</si>
  <si>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</si>
  <si>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</si>
  <si>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</si>
  <si>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</si>
  <si>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</si>
  <si>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</si>
  <si>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</si>
  <si>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</si>
  <si>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</si>
  <si>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</si>
  <si>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</si>
  <si>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</si>
  <si>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</si>
  <si>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</si>
  <si>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</si>
  <si>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</si>
  <si>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</si>
  <si>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</si>
  <si>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</si>
  <si>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</si>
  <si>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</si>
  <si>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</si>
  <si>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</si>
  <si>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</si>
  <si>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</si>
  <si>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</si>
  <si>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</si>
  <si>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</si>
  <si>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</si>
  <si>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</si>
  <si>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</si>
  <si>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</si>
  <si>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</si>
  <si>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</si>
  <si>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</si>
  <si>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</si>
  <si>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</si>
  <si>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</si>
  <si>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</si>
  <si>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</si>
  <si>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</si>
  <si>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</si>
  <si>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</si>
  <si>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</si>
  <si>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</si>
  <si>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</si>
  <si>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</si>
  <si>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</si>
  <si>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</si>
  <si>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</si>
  <si>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</si>
  <si>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</si>
  <si>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</si>
  <si>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</si>
  <si>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</si>
  <si>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</si>
  <si>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</si>
  <si>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</si>
  <si>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</si>
  <si>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</si>
  <si>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</si>
  <si>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</si>
  <si>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</si>
  <si>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</si>
  <si>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</si>
  <si>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</si>
  <si>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</si>
  <si>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</si>
  <si>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</si>
  <si>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</si>
  <si>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</si>
  <si>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</si>
  <si>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</si>
  <si>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</si>
  <si>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</si>
  <si>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</si>
  <si>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</si>
  <si>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</si>
  <si>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</si>
  <si>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</si>
  <si>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</si>
  <si>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</si>
  <si>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</si>
  <si>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</si>
  <si>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</si>
  <si>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</si>
  <si>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</si>
  <si>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</si>
  <si>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</si>
  <si>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</si>
  <si>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</si>
  <si>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</si>
  <si>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</si>
  <si>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</si>
  <si>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</si>
  <si>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</si>
  <si>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</si>
  <si>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</si>
  <si>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</si>
  <si>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</si>
  <si>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</si>
  <si>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</si>
  <si>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</si>
  <si>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</si>
  <si>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</si>
  <si>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</si>
  <si>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</si>
  <si>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</si>
  <si>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</si>
  <si>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</si>
  <si>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</si>
  <si>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</si>
  <si>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</si>
  <si>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</si>
  <si>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</si>
  <si>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</si>
  <si>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</si>
  <si>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</si>
  <si>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</si>
  <si>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</si>
  <si>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</si>
  <si>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</si>
  <si>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</si>
  <si>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</si>
  <si>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</si>
  <si>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</si>
  <si>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</si>
  <si>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</si>
  <si>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</si>
  <si>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</si>
  <si>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</si>
  <si>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</si>
  <si>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</si>
  <si>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</si>
  <si>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</si>
  <si>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</si>
  <si>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</si>
  <si>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</si>
  <si>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</si>
  <si>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</si>
  <si>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</si>
  <si>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</si>
  <si>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</si>
  <si>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</si>
  <si>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</si>
  <si>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</si>
  <si>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</si>
  <si>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</si>
  <si>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</si>
  <si>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</si>
  <si>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</si>
  <si>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</si>
  <si>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</si>
  <si>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</si>
  <si>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</si>
  <si>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</si>
  <si>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</si>
  <si>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</si>
  <si>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</si>
  <si>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</si>
  <si>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</si>
  <si>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</si>
  <si>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</si>
  <si>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</si>
  <si>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</si>
  <si>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</si>
  <si>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</si>
  <si>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</si>
  <si>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</si>
  <si>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</si>
  <si>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</si>
  <si>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</si>
  <si>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</si>
  <si>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</si>
  <si>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</si>
  <si>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</si>
  <si>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</si>
  <si>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</si>
  <si>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</si>
  <si>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</si>
  <si>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</si>
  <si>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</si>
  <si>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</si>
  <si>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</si>
  <si>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</si>
  <si>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</si>
  <si>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</si>
  <si>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</si>
  <si>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</si>
  <si>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</si>
  <si>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</si>
  <si>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</si>
  <si>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</si>
  <si>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</si>
  <si>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</si>
  <si>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</si>
  <si>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</si>
  <si>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</si>
  <si>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</si>
  <si>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</si>
  <si>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</si>
  <si>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</si>
  <si>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</si>
  <si>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</si>
  <si>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</si>
  <si>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</si>
  <si>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</si>
  <si>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</si>
  <si>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</si>
  <si>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</si>
  <si>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</si>
  <si>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</si>
  <si>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</si>
  <si>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</si>
  <si>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</si>
  <si>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</si>
  <si>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</si>
  <si>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</si>
  <si>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</si>
  <si>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</si>
  <si>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</si>
  <si>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</si>
  <si>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</si>
  <si>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</si>
  <si>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</si>
  <si>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</si>
  <si>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</si>
  <si>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</si>
  <si>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</si>
  <si>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</si>
  <si>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</si>
  <si>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</si>
  <si>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</si>
  <si>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</si>
  <si>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</si>
  <si>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</si>
  <si>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</si>
  <si>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</si>
  <si>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</si>
  <si>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</si>
  <si>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</si>
  <si>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</si>
  <si>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</si>
  <si>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</si>
  <si>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</si>
  <si>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</si>
  <si>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</si>
  <si>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</si>
  <si>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</si>
  <si>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</si>
  <si>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</si>
  <si>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</si>
  <si>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</si>
  <si>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</si>
  <si>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</si>
  <si>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</si>
  <si>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</si>
  <si>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</si>
  <si>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</si>
  <si>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</si>
  <si>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</si>
  <si>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</si>
  <si>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</si>
  <si>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</si>
  <si>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</si>
  <si>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</si>
  <si>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</si>
  <si>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</si>
  <si>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</si>
  <si>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</si>
  <si>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</si>
  <si>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</si>
  <si>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</si>
  <si>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</si>
  <si>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</si>
  <si>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</si>
  <si>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</si>
  <si>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</si>
  <si>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</si>
  <si>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</si>
  <si>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</si>
  <si>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</si>
  <si>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</si>
  <si>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</si>
  <si>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</si>
  <si>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</si>
  <si>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</si>
  <si>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</si>
  <si>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</si>
  <si>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</si>
  <si>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</si>
  <si>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</si>
  <si>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</si>
  <si>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</si>
  <si>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</si>
  <si>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</si>
  <si>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</si>
  <si>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</si>
  <si>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</si>
  <si>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</si>
  <si>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</si>
  <si>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</si>
  <si>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</si>
  <si>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</si>
  <si>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</si>
  <si>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</si>
  <si>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</si>
  <si>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</si>
  <si>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</si>
  <si>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</si>
  <si>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</si>
  <si>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</si>
  <si>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</si>
  <si>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</si>
  <si>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</si>
  <si>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</si>
  <si>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</si>
  <si>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</si>
  <si>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</si>
  <si>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</si>
  <si>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</si>
  <si>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</si>
  <si>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</si>
  <si>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</si>
  <si>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</si>
  <si>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</si>
  <si>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</si>
  <si>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</si>
  <si>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</si>
  <si>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</si>
  <si>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</si>
  <si>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</si>
  <si>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</si>
  <si>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</si>
  <si>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</si>
  <si>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</si>
  <si>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</si>
  <si>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</si>
  <si>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</si>
  <si>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</si>
  <si>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</si>
  <si>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</si>
  <si>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</si>
  <si>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</si>
  <si>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</si>
  <si>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</si>
  <si>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</si>
  <si>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</si>
  <si>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</si>
  <si>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</si>
  <si>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</si>
  <si>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</si>
  <si>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</si>
  <si>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</si>
  <si>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</si>
  <si>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</si>
  <si>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</si>
  <si>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</si>
  <si>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</si>
  <si>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</si>
  <si>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</si>
  <si>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</si>
  <si>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</si>
  <si>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</si>
  <si>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</si>
  <si>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</si>
  <si>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</si>
  <si>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</si>
  <si>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</si>
  <si>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</si>
  <si>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</si>
  <si>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</si>
  <si>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</si>
  <si>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</si>
  <si>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</si>
  <si>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</si>
  <si>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</si>
  <si>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</si>
  <si>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</si>
  <si>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</si>
  <si>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</si>
  <si>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</si>
  <si>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</si>
  <si>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</si>
  <si>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</si>
  <si>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</si>
  <si>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</si>
  <si>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</si>
  <si>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</si>
  <si>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</si>
  <si>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</si>
  <si>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</si>
  <si>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</si>
  <si>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</si>
  <si>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</si>
  <si>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</si>
  <si>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</si>
  <si>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</si>
  <si>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</si>
  <si>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</si>
  <si>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</si>
  <si>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</si>
  <si>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</si>
  <si>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</si>
  <si>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</si>
  <si>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</si>
  <si>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</si>
  <si>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</si>
  <si>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</si>
  <si>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</si>
  <si>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</si>
  <si>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</si>
  <si>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</si>
  <si>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</si>
  <si>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</si>
  <si>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</si>
  <si>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</si>
  <si>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</si>
  <si>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</si>
  <si>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</si>
  <si>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</si>
  <si>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</si>
  <si>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</si>
  <si>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</si>
  <si>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</si>
  <si>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</si>
  <si>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</si>
  <si>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</si>
  <si>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</si>
  <si>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</si>
  <si>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</si>
  <si>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</si>
  <si>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</si>
  <si>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</si>
  <si>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</si>
  <si>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</si>
  <si>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</si>
  <si>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</si>
  <si>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</si>
  <si>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</si>
  <si>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</si>
  <si>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</si>
  <si>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</si>
  <si>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</si>
  <si>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</si>
  <si>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</si>
  <si>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</si>
  <si>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</si>
  <si>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</si>
  <si>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</si>
  <si>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</si>
  <si>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</si>
  <si>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</si>
  <si>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</si>
  <si>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</si>
  <si>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</si>
  <si>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</si>
  <si>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</si>
  <si>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</si>
  <si>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</si>
  <si>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</si>
  <si>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</si>
  <si>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</si>
  <si>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</si>
  <si>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</si>
  <si>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</si>
  <si>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</si>
  <si>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</si>
  <si>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</si>
  <si>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</si>
  <si>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</si>
  <si>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</si>
  <si>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</si>
  <si>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</si>
  <si>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</si>
  <si>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</si>
  <si>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</si>
  <si>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</si>
  <si>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</si>
  <si>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</si>
  <si>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</si>
  <si>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</si>
  <si>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</si>
  <si>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</si>
  <si>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</si>
  <si>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</si>
  <si>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</si>
  <si>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</si>
  <si>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</si>
  <si>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</si>
  <si>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</si>
  <si>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</si>
  <si>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</si>
  <si>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</si>
  <si>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</si>
  <si>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</si>
  <si>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</si>
  <si>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</si>
  <si>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</si>
  <si>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</si>
  <si>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</si>
  <si>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</si>
  <si>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</si>
  <si>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</si>
  <si>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</si>
  <si>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</si>
  <si>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</si>
  <si>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</si>
  <si>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</si>
  <si>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</si>
  <si>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</si>
  <si>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</si>
  <si>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</si>
  <si>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</si>
  <si>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</si>
  <si>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</si>
  <si>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</si>
  <si>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</si>
  <si>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</si>
  <si>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</si>
  <si>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</si>
  <si>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</si>
  <si>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</si>
  <si>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</si>
  <si>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</si>
  <si>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</si>
  <si>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</si>
  <si>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</si>
  <si>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</si>
  <si>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</si>
  <si>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</si>
  <si>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</si>
  <si>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</si>
  <si>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</si>
  <si>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</si>
  <si>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</si>
  <si>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</si>
  <si>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</si>
  <si>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</si>
  <si>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</si>
  <si>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</si>
  <si>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</si>
  <si>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</si>
  <si>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</si>
  <si>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</si>
  <si>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</si>
  <si>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</si>
  <si>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</si>
  <si>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</si>
  <si>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</si>
  <si>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</si>
  <si>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</si>
  <si>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</si>
  <si>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</si>
  <si>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</si>
  <si>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</si>
  <si>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</si>
  <si>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</si>
  <si>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</si>
  <si>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</si>
  <si>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</si>
  <si>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</si>
  <si>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</si>
  <si>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</si>
  <si>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</si>
  <si>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</si>
  <si>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</si>
  <si>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</si>
  <si>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</si>
  <si>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</si>
  <si>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</si>
  <si>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</si>
  <si>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</si>
  <si>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</si>
  <si>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</si>
  <si>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</si>
  <si>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</si>
  <si>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</si>
  <si>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</si>
  <si>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</si>
  <si>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</si>
  <si>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</si>
  <si>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</si>
  <si>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</si>
  <si>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</si>
  <si>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</si>
  <si>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</si>
  <si>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</si>
  <si>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</si>
  <si>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</si>
  <si>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</si>
  <si>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</si>
  <si>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</si>
  <si>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</si>
  <si>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</si>
  <si>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</si>
  <si>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</si>
  <si>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</si>
  <si>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</si>
  <si>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</si>
  <si>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</si>
  <si>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</si>
  <si>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</si>
  <si>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</si>
  <si>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</si>
  <si>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</si>
  <si>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</si>
  <si>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</si>
  <si>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</si>
  <si>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</si>
  <si>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</si>
  <si>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</si>
  <si>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</si>
  <si>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</si>
  <si>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</si>
  <si>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</si>
  <si>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</si>
  <si>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</si>
  <si>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</si>
  <si>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</si>
  <si>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</si>
  <si>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</si>
  <si>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</si>
  <si>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</si>
  <si>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</si>
  <si>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</si>
  <si>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</si>
  <si>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</si>
  <si>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</si>
  <si>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</si>
  <si>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</si>
  <si>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</si>
  <si>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</si>
  <si>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</si>
  <si>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</si>
  <si>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</si>
  <si>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57, đường 5 cũ, phường Sở Dầu, quận Hồng Bàng, thành phố Hải Phòng</t>
  </si>
  <si>
    <t>A03937101019TG05</t>
  </si>
  <si>
    <t>1902278/19/TG/TT1</t>
  </si>
  <si>
    <t>Số 24, đường Lãn Ông, phường Quang Trung, quận Hồng Bàng, thành phố Hải Phòng</t>
  </si>
  <si>
    <t>A03938101019TG05</t>
  </si>
  <si>
    <t>1902273/19/TG/TT1</t>
  </si>
  <si>
    <t>Số 45/63, ngõ 1, phố Cấm, phường Máy Tơ, quận Ngô Quyền, thành phố Hải Phòng</t>
  </si>
  <si>
    <t>A03939101019TG05</t>
  </si>
  <si>
    <t>1902270/19/TG/TT1</t>
  </si>
  <si>
    <t>Số 10, tổ 22, phường Vĩnh Niệm, quận Lê Chân, thành phố Hải Phòng</t>
  </si>
  <si>
    <t>A03940101019TG05</t>
  </si>
  <si>
    <t>Đài phát thanh huyện An Dương, thị trấn An Dương, huyện An Dương, thành phố Hải Phòng</t>
  </si>
  <si>
    <t>A03941101019TG05</t>
  </si>
  <si>
    <t>1902234/19/TG/TT1</t>
  </si>
  <si>
    <t>Đội 7, thôn Hoa Động, xã Tân Dương, huyện Thủy Nguyên, thành phố Hải Phòng</t>
  </si>
  <si>
    <t>A03942101019TG05</t>
  </si>
  <si>
    <t>1902231/19/TG/TT1</t>
  </si>
  <si>
    <t>Thôn Đông, xã Dương Quan, huyện Thủy Nguyên, thành phố Hải Phòng</t>
  </si>
  <si>
    <t>A03943101019TG05</t>
  </si>
  <si>
    <t>1902263/19/TG/TT1</t>
  </si>
  <si>
    <t>Thôn Trại, xã Thủy Đường, huyện Thủy Nguyên, thành phố Hải Phòng</t>
  </si>
  <si>
    <t>A03944101019TG05</t>
  </si>
  <si>
    <t>1902265/19/TG/TT1</t>
  </si>
  <si>
    <t>Xóm 7, thôn Tuy Lạc, xã Thủy Triều, huyện Thủy Nguyên, thành phố Hải Phòng</t>
  </si>
  <si>
    <t>A03945101019TG05</t>
  </si>
  <si>
    <t>1902245/19/TG/TT1</t>
  </si>
  <si>
    <t>Thôn Nam, xã Phục Lễ, huyện Thủy Nguyên, thành phố Hải Phòng</t>
  </si>
  <si>
    <t>A03946101019TG05</t>
  </si>
  <si>
    <t>1902238/19/TG/TT1</t>
  </si>
  <si>
    <t>Thôn My Sơn, xã Ngũ Lão, huyện Thủy Nguyên, thành phố Hải Phòng</t>
  </si>
  <si>
    <t>A03947101019TG05</t>
  </si>
  <si>
    <t>1902267/19/TG/TT1</t>
  </si>
  <si>
    <t>Xóm 8, xã Hòa Bình, huyện Thủy Nguyên, thành phố Hải Phòng</t>
  </si>
  <si>
    <t>A03948101019TG05</t>
  </si>
  <si>
    <t>1902258/19/TG/TT1</t>
  </si>
  <si>
    <t>Trung tâm giáo dục thường xuyên huyện Thủy Nguyên, thôn 7, xã Thủy Sơn, huyện Thủy Nguyên, thành phố Hải Phòng</t>
  </si>
  <si>
    <t>A03949101019TG05</t>
  </si>
  <si>
    <t>1902269/19/TG/TT1</t>
  </si>
  <si>
    <t>Thôn Phương Mỹ, xã Mỹ Đồng, huyện Thủy Nguyên, thành phố Hải Phòng</t>
  </si>
  <si>
    <t>A03950101019TG05</t>
  </si>
  <si>
    <t>1902236/19/TG/TT1</t>
  </si>
  <si>
    <t>Thôn 3, xã Kiền Bái, huyện Thủy Nguyên, thành phố Hải Phòng</t>
  </si>
  <si>
    <t>A03951101019TG05</t>
  </si>
  <si>
    <t>1902274/19/TG/TT1</t>
  </si>
  <si>
    <t>Thôn 1, xã Gia Minh, huyện Thủy Nguyên, thành phố Hải Phòng</t>
  </si>
  <si>
    <t>A03952101019TG05</t>
  </si>
  <si>
    <t>1903315/19/TG/TT1</t>
  </si>
  <si>
    <t>Xóm Hầu, xã Lâm Động, huyện Thủy Nguyên, thành phố Hải Phòng</t>
  </si>
  <si>
    <t>A03953101019TG05</t>
  </si>
  <si>
    <t>1902264/19/TG/TT1</t>
  </si>
  <si>
    <t>Số 340, đường Nguyễn Văn Linh, phường Dư Hàng Kênh, quận Lê Chân, thành phố Hải Phòng</t>
  </si>
  <si>
    <t>A03954101019TG05</t>
  </si>
  <si>
    <t>1902229/19/TG/TT1</t>
  </si>
  <si>
    <t>Cụm dân cư Phúc Hải 1, phường Đa Phúc, quận Dương Kinh, thành phố Hải Phòng</t>
  </si>
  <si>
    <t>A03955101019TG05</t>
  </si>
  <si>
    <t>1902257/19/TG/TT1</t>
  </si>
  <si>
    <t>Km 14, đường 5, xã Lê Thiện, huyện An Dương, thành phố Hải Phòng</t>
  </si>
  <si>
    <t>A03956101019TG05</t>
  </si>
  <si>
    <t>1902249/19/TG/TT1</t>
  </si>
  <si>
    <t>Thôn Phú Xá, xã Lê Thiện, huyện An Dương, thành phố Hải Phòng</t>
  </si>
  <si>
    <t>A03957101019TG05</t>
  </si>
  <si>
    <t>1902237/19/TG/TT1</t>
  </si>
  <si>
    <t>Nhà máy VinFast Hải Phòng, xã Nghĩa Lộ, huyện Cát Hải, thành phố Hải Phòng</t>
  </si>
  <si>
    <t>A03958101019TG05</t>
  </si>
  <si>
    <t>1902279/19/TG/TT1</t>
  </si>
  <si>
    <t>Đồi 45, trạm phát sóng truyền hình Cát Bà, thị trấn Cát Bà, huyện Cát Hải, thành phố Hải Phòng</t>
  </si>
  <si>
    <t>A03959101019TG05</t>
  </si>
  <si>
    <t>1903343/19/TG/TT1</t>
  </si>
  <si>
    <t>Tổ 2, khu 5, phường Hồng Hà, thành phố Hạ Long, tỉnh Quảng Ninh</t>
  </si>
  <si>
    <t>A03960101019TG05</t>
  </si>
  <si>
    <t>1903304/19/TG/TT1</t>
  </si>
  <si>
    <t>Khu dân cư Phao Sơn, phường Phả Lại, thành phố Chí Linh, tỉnh Hải Dương</t>
  </si>
  <si>
    <t>A03961101019TG05</t>
  </si>
  <si>
    <t>1903322/19/TG/TT1</t>
  </si>
  <si>
    <t>UBND xã Đức Xương, xã Đức Xương, huyện Gia Lộc, tỉnh Hải Dương</t>
  </si>
  <si>
    <t>A03962101019TG05</t>
  </si>
  <si>
    <t>1903323/19/TG/TT1</t>
  </si>
  <si>
    <t>Khu công nghiệp Phố Nối A, xã Trưng Trắc, huyện Văn Lâm, tỉnh Hưng Yên</t>
  </si>
  <si>
    <t>A03963101019TG05</t>
  </si>
  <si>
    <t>1903331/19/TG/TT1</t>
  </si>
  <si>
    <t>Thôn Ao, xã Minh Hải, huyện Văn Lâm, tỉnh Hưng Yên</t>
  </si>
  <si>
    <t>A03964101019TG05</t>
  </si>
  <si>
    <t>1903319/19/TG/TT1</t>
  </si>
  <si>
    <t>Thôn Đồng Ngư, xã Ngũ Thái, huyện Thuận Thành, tỉnh Bắc Ninh</t>
  </si>
  <si>
    <t>A03965101019TG05</t>
  </si>
  <si>
    <t>1903339/19/TG/TT1</t>
  </si>
  <si>
    <t>Xóm 5, thôn My Điền, xã Hoàng Ninh, huyện Việt Yên, tỉnh Bắc Giang</t>
  </si>
  <si>
    <t>A03966101019TG05</t>
  </si>
  <si>
    <t>1903341/19/TG/TT1</t>
  </si>
  <si>
    <t>Số 33, đường Mỹ Độ, phường Mỹ Độ, thành phố Bắc Giang, tỉnh Bắc Giang</t>
  </si>
  <si>
    <t>A03967101019TG05</t>
  </si>
  <si>
    <t>1903310/19/TG/TT1</t>
  </si>
  <si>
    <t>Số 22, đường Yết Kiêu, phường Ngô Quyền, thành phố Bắc Giang, tỉnh Bắc Giang</t>
  </si>
  <si>
    <t>A03968101019TG05</t>
  </si>
  <si>
    <t>1903317/19/TG/TT1</t>
  </si>
  <si>
    <t>Thôn Đội Mạ, xã Ngọc Thiện, huyện Tân Yên, tỉnh Bắc Giang</t>
  </si>
  <si>
    <t>A03969101019TG05</t>
  </si>
  <si>
    <t>1903316/19/TG/TT1</t>
  </si>
  <si>
    <t>Thôn Bảo Lộc, xã Võng Xuyên, huyện Phúc Thọ, thành phố Hà Nội</t>
  </si>
  <si>
    <t>A03970101019TG05</t>
  </si>
  <si>
    <t>1903330/19/TG/TT1</t>
  </si>
  <si>
    <t>UBND xã Tiên Phương, xã Tiên Phương, huyện Chương Mỹ, thành phố Hà Nội</t>
  </si>
  <si>
    <t>A03971101019TG05</t>
  </si>
  <si>
    <t>1903313/19/TG/TT1</t>
  </si>
  <si>
    <t>Lô 16.D1-NV1, khu D, đường Lê Trọng Tấn, phường Dương Nội, quận Hà Đông, thành phố Hà Nội</t>
  </si>
  <si>
    <t>A03972101019TG05</t>
  </si>
  <si>
    <t>1903324/19/TG/TT1</t>
  </si>
  <si>
    <t>Số 126, phố Xốm, phường Phú Lãm, quận Hà Đông, thành phố Hà Nội</t>
  </si>
  <si>
    <t>A03973101019TG05</t>
  </si>
  <si>
    <t>1903308/19/TG/TT1</t>
  </si>
  <si>
    <t>Thôn Hoàng Văn Thụ, xã Dân Hòa, huyện Thanh Oai, thành phố Hà Nội</t>
  </si>
  <si>
    <t>A03974101019TG05</t>
  </si>
  <si>
    <t>1903306/19/TG/TT1</t>
  </si>
  <si>
    <t>Số 16D, khu tập thể A71, ngõ 207, phố Bùi Xương Trạch, phường Khương Đình, quận Thanh Xuân, thành phố Hà Nội</t>
  </si>
  <si>
    <t>A03975101019TG05</t>
  </si>
  <si>
    <t>1903334/19/TG/TT1</t>
  </si>
  <si>
    <t>Số 396, phố Bùi Xương Trạch, phường Định Công, quận Hoàng Mai, thành phố Hà Nội</t>
  </si>
  <si>
    <t>A03976101019TG05</t>
  </si>
  <si>
    <t>1903307/19/TG/TT1</t>
  </si>
  <si>
    <t>Số 151, ngõ 254, đường Minh Khai, phường Mai Động, quận Hoàng Mai, thành phố Hà Nội</t>
  </si>
  <si>
    <t>A03977101019TG05</t>
  </si>
  <si>
    <t>1903318/19/TG/TT1</t>
  </si>
  <si>
    <t>Số 8, ngõ 27B, phố Đặng Dung, phường Quán Thánh, quận Ba Đình, thành phố Hà Nội</t>
  </si>
  <si>
    <t>A03978101019TG05</t>
  </si>
  <si>
    <t>1903305/19/TG/TT1</t>
  </si>
  <si>
    <t>Số 475, đường Ngọc Lâm, phường Ngọc Lâm, quận Long Biên, thành phố Hà Nội</t>
  </si>
  <si>
    <t>A03979101019TG05</t>
  </si>
  <si>
    <t>1903309/19/TG/TT1</t>
  </si>
  <si>
    <t>Trung tâm thương mại chợ Sủi, xã Phú Thị, huyện Gia Lâm, thành phố Hà Nội</t>
  </si>
  <si>
    <t>A03980101019TG05</t>
  </si>
  <si>
    <t>1903332/19/TG/TT1</t>
  </si>
  <si>
    <t>Khu Bãi Cát, thôn Phương Trạch, xã Vĩnh Ngọc, huyện Đông Anh, thành phố Hà Nội</t>
  </si>
  <si>
    <t>A03981101019TG05</t>
  </si>
  <si>
    <t>1903333/19/TG/TT1</t>
  </si>
  <si>
    <t>Tòa nhà B2, đường Hàm Nghi, phường Cầu Diễn, quận Nam Từ Liêm, thành phố Hà Nội</t>
  </si>
  <si>
    <t>A03982101019TG05</t>
  </si>
  <si>
    <t>1903344/19/TG/TT1</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</si>
  <si>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</si>
  <si>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</si>
  <si>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</si>
  <si>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</si>
  <si>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</si>
  <si>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</si>
  <si>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</si>
  <si>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</si>
  <si>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</si>
  <si>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</si>
  <si>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</si>
  <si>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</si>
  <si>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</si>
  <si>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</si>
  <si>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</si>
  <si>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</si>
  <si>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</si>
  <si>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</si>
  <si>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</si>
  <si>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</si>
  <si>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</si>
  <si>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</si>
  <si>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</si>
  <si>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</si>
  <si>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</si>
  <si>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</si>
  <si>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</si>
  <si>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</si>
  <si>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</si>
  <si>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</si>
  <si>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</si>
  <si>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</si>
  <si>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</si>
  <si>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</si>
  <si>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</si>
  <si>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</si>
  <si>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</si>
  <si>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</si>
  <si>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</si>
  <si>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</si>
  <si>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</si>
  <si>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</si>
  <si>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</si>
  <si>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</si>
  <si>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</si>
  <si>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</si>
  <si>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</si>
  <si>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</si>
  <si>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</si>
  <si>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</si>
  <si>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</si>
  <si>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</si>
  <si>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</si>
  <si>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</si>
  <si>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</si>
  <si>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VIETNAMOBILE;CÔNG TY CỔ PHẦN VIỄN THÔNG DI ĐỘNG VIETNAMOBILE</t>
  </si>
  <si>
    <t>128521;128521</t>
  </si>
  <si>
    <t>ERICSSON RBS 6320;ERICSSON RBS 6320</t>
  </si>
  <si>
    <t>3;3</t>
  </si>
  <si>
    <t xml:space="preserve">1/1/1   ;1/1/1   </t>
  </si>
  <si>
    <t xml:space="preserve">80/80/80  ;80/80/80  </t>
  </si>
  <si>
    <t>900;2100</t>
  </si>
  <si>
    <t>26/26/26;26/26/26</t>
  </si>
  <si>
    <t>VCC1</t>
  </si>
  <si>
    <t>10/10/2019</t>
  </si>
  <si>
    <t>Ứng Văn Nguyện</t>
  </si>
  <si>
    <t>Nguyễn Đức Nam</t>
  </si>
  <si>
    <t>TRUNG TÂM KIỂM ĐỊNH VÀ CHỨNG NHẬN 1</t>
  </si>
  <si>
    <t>TP. Hà Nội</t>
  </si>
  <si>
    <t/>
  </si>
  <si>
    <t>Bùi Ngọc Dũng</t>
  </si>
  <si>
    <t>Công ty Cổ phần Viễn thông Di động Vietnamobile</t>
  </si>
  <si>
    <t>CÔNG TY CỔ PHẦN VIỄN THÔNG DI ĐỘNG VIETNAMOBILE</t>
  </si>
  <si>
    <t>thành phố Hải Phòng</t>
  </si>
  <si>
    <t>quận Hồng Bàng</t>
  </si>
  <si>
    <t>phường Sở Dầu</t>
  </si>
  <si>
    <t>VNMOBILE;VNMOBILE</t>
  </si>
  <si>
    <t>128521</t>
  </si>
  <si>
    <t>ERICSSON RBS 6320</t>
  </si>
  <si>
    <t xml:space="preserve">1/1/1   </t>
  </si>
  <si>
    <t xml:space="preserve">80/80/80  </t>
  </si>
  <si>
    <t>80W/ 80W/ 80W</t>
  </si>
  <si>
    <t>2100</t>
  </si>
  <si>
    <t>26/26/26</t>
  </si>
  <si>
    <t>26m/ 26m/ 26m</t>
  </si>
  <si>
    <t>Trung tâm Kiểm định và Chứng nhận 1</t>
  </si>
  <si>
    <t>101019</t>
  </si>
  <si>
    <t>TG05</t>
  </si>
  <si>
    <t>128173;128173</t>
  </si>
  <si>
    <t>ERICSSON RBS 6601;ERICSSON RBS 6601</t>
  </si>
  <si>
    <t>phường Quang Trung</t>
  </si>
  <si>
    <t>128173</t>
  </si>
  <si>
    <t>ERICSSON RBS 6601</t>
  </si>
  <si>
    <t>03938</t>
  </si>
  <si>
    <t>128167;128167</t>
  </si>
  <si>
    <t>21/21/21;22/22/22</t>
  </si>
  <si>
    <t>quận Ngô Quyền</t>
  </si>
  <si>
    <t>phường Máy Tơ</t>
  </si>
  <si>
    <t>128167</t>
  </si>
  <si>
    <t>21/21/21</t>
  </si>
  <si>
    <t>21m/ 21m/ 21m</t>
  </si>
  <si>
    <t>22/22/22</t>
  </si>
  <si>
    <t>22m/ 22m/ 22m</t>
  </si>
  <si>
    <t>03939</t>
  </si>
  <si>
    <t>128512;128512</t>
  </si>
  <si>
    <t>33/33/33;33/33/33</t>
  </si>
  <si>
    <t>quận Lê Chân</t>
  </si>
  <si>
    <t>phường Vĩnh Niệm</t>
  </si>
  <si>
    <t>128512</t>
  </si>
  <si>
    <t>33/33/33</t>
  </si>
  <si>
    <t>33m/ 33m/ 33m</t>
  </si>
  <si>
    <t>128041;128041</t>
  </si>
  <si>
    <t>huyện An Dương</t>
  </si>
  <si>
    <t>thị trấn An Dương</t>
  </si>
  <si>
    <t>128041</t>
  </si>
  <si>
    <t>03941</t>
  </si>
  <si>
    <t>128031;128031</t>
  </si>
  <si>
    <t>45/45/45;45/45/45</t>
  </si>
  <si>
    <t>huyện Thủy Nguyên</t>
  </si>
  <si>
    <t>xã Tân Dương</t>
  </si>
  <si>
    <t>128031</t>
  </si>
  <si>
    <t>45/45/45</t>
  </si>
  <si>
    <t>45m/ 45m/ 45m</t>
  </si>
  <si>
    <t>03942</t>
  </si>
  <si>
    <t>128142;128142</t>
  </si>
  <si>
    <t>36/36/36;36/36/36</t>
  </si>
  <si>
    <t>xã Dương Quan</t>
  </si>
  <si>
    <t>128142</t>
  </si>
  <si>
    <t>36/36/36</t>
  </si>
  <si>
    <t>36m/ 36m/ 36m</t>
  </si>
  <si>
    <t>128146;128146</t>
  </si>
  <si>
    <t>28/28/28;29/29/29</t>
  </si>
  <si>
    <t>xã Thủy Đường</t>
  </si>
  <si>
    <t>128146</t>
  </si>
  <si>
    <t>28/28/28</t>
  </si>
  <si>
    <t>28m/ 28m/ 28m</t>
  </si>
  <si>
    <t>29/29/29</t>
  </si>
  <si>
    <t>29m/ 29m/ 29m</t>
  </si>
  <si>
    <t>03944</t>
  </si>
  <si>
    <t>128068;128068</t>
  </si>
  <si>
    <t>40/40/40;36/36/36</t>
  </si>
  <si>
    <t>xã Thủy Triều</t>
  </si>
  <si>
    <t>128068</t>
  </si>
  <si>
    <t>40/40/40</t>
  </si>
  <si>
    <t>40m/ 40m/ 40m</t>
  </si>
  <si>
    <t>03945</t>
  </si>
  <si>
    <t>128045;128045</t>
  </si>
  <si>
    <t>20/20/20;23/23/23</t>
  </si>
  <si>
    <t>xã Phục Lễ</t>
  </si>
  <si>
    <t>128045</t>
  </si>
  <si>
    <t>20/20/20</t>
  </si>
  <si>
    <t>20m/ 20m/ 20m</t>
  </si>
  <si>
    <t>23/23/23</t>
  </si>
  <si>
    <t>23m/ 23m/ 23m</t>
  </si>
  <si>
    <t>128156;128156</t>
  </si>
  <si>
    <t>36/36/36;36,5/36,5/36,5</t>
  </si>
  <si>
    <t>xã Ngũ Lão</t>
  </si>
  <si>
    <t>128156</t>
  </si>
  <si>
    <t>36,5/36,5/36,5</t>
  </si>
  <si>
    <t>36,5m/ 36,5m/ 36,5m</t>
  </si>
  <si>
    <t>03947</t>
  </si>
  <si>
    <t>128120;128120</t>
  </si>
  <si>
    <t>25/25/25;25/25/25</t>
  </si>
  <si>
    <t>xã Hòa Bình</t>
  </si>
  <si>
    <t>128120</t>
  </si>
  <si>
    <t>25/25/25</t>
  </si>
  <si>
    <t>25m/ 25m/ 25m</t>
  </si>
  <si>
    <t>03948</t>
  </si>
  <si>
    <t>128165;128165</t>
  </si>
  <si>
    <t>22/22/22;23/23/23</t>
  </si>
  <si>
    <t>xã Thủy Sơn</t>
  </si>
  <si>
    <t>128165</t>
  </si>
  <si>
    <t>128043;128043</t>
  </si>
  <si>
    <t>34/34/34;33/33/33</t>
  </si>
  <si>
    <t>xã Mỹ Đồng</t>
  </si>
  <si>
    <t>128043</t>
  </si>
  <si>
    <t>34/34/34</t>
  </si>
  <si>
    <t>34m/ 34m/ 34m</t>
  </si>
  <si>
    <t>03950</t>
  </si>
  <si>
    <t>128501;128501</t>
  </si>
  <si>
    <t>33/33/33;32/32/32</t>
  </si>
  <si>
    <t>xã Kiền Bái</t>
  </si>
  <si>
    <t>128501</t>
  </si>
  <si>
    <t>32/32/32</t>
  </si>
  <si>
    <t>32m/ 32m/ 32m</t>
  </si>
  <si>
    <t>03951</t>
  </si>
  <si>
    <t>xã Gia Minh</t>
  </si>
  <si>
    <t>128154</t>
  </si>
  <si>
    <t>128145;128145</t>
  </si>
  <si>
    <t>26/26/26;28/28/28</t>
  </si>
  <si>
    <t>xã Lâm Động</t>
  </si>
  <si>
    <t>128145</t>
  </si>
  <si>
    <t>03953</t>
  </si>
  <si>
    <t>128020;128020</t>
  </si>
  <si>
    <t>23/23/23;23/23/23</t>
  </si>
  <si>
    <t>phường Dư Hàng Kênh</t>
  </si>
  <si>
    <t>128020</t>
  </si>
  <si>
    <t>03954</t>
  </si>
  <si>
    <t>128117;128117</t>
  </si>
  <si>
    <t>quận Dương Kinh</t>
  </si>
  <si>
    <t>phường Đa Phúc</t>
  </si>
  <si>
    <t>128117</t>
  </si>
  <si>
    <t>128077;128077</t>
  </si>
  <si>
    <t>23/23/23;21/21/21</t>
  </si>
  <si>
    <t>xã Lê Thiện</t>
  </si>
  <si>
    <t>128077</t>
  </si>
  <si>
    <t>03956</t>
  </si>
  <si>
    <t>128044;128044</t>
  </si>
  <si>
    <t>30/30/30;30/30/30</t>
  </si>
  <si>
    <t>128044</t>
  </si>
  <si>
    <t>30/30/30</t>
  </si>
  <si>
    <t>30m/ 30m/ 30m</t>
  </si>
  <si>
    <t>03957</t>
  </si>
  <si>
    <t>128525;128525</t>
  </si>
  <si>
    <t>28/28/28;28/28/28</t>
  </si>
  <si>
    <t>huyện Cát Hải</t>
  </si>
  <si>
    <t>xã Nghĩa Lộ</t>
  </si>
  <si>
    <t>128525</t>
  </si>
  <si>
    <t>128002;128002</t>
  </si>
  <si>
    <t>ERICSSON RBS 2216;ERICSSON RBS 6601</t>
  </si>
  <si>
    <t xml:space="preserve">2/2/2;1/1/1   </t>
  </si>
  <si>
    <t>35/35/35;35/35/35</t>
  </si>
  <si>
    <t>thị trấn Cát Bà</t>
  </si>
  <si>
    <t>128002</t>
  </si>
  <si>
    <t>ERICSSON RBS 2216</t>
  </si>
  <si>
    <t>35/35/35</t>
  </si>
  <si>
    <t>35m/ 35m/ 35m</t>
  </si>
  <si>
    <t>03959</t>
  </si>
  <si>
    <t>tỉnh Quảng Ninh</t>
  </si>
  <si>
    <t>thành phố Hạ Long</t>
  </si>
  <si>
    <t>phường Hồng Hà</t>
  </si>
  <si>
    <t>149173</t>
  </si>
  <si>
    <t>03960</t>
  </si>
  <si>
    <t>tỉnh Hải Dương</t>
  </si>
  <si>
    <t>thành phố Chí Linh</t>
  </si>
  <si>
    <t>phường Phả Lại</t>
  </si>
  <si>
    <t>127510</t>
  </si>
  <si>
    <t>huyện Gia Lộc</t>
  </si>
  <si>
    <t>xã Đức Xương</t>
  </si>
  <si>
    <t>127143</t>
  </si>
  <si>
    <t>03962</t>
  </si>
  <si>
    <t>42/42/42</t>
  </si>
  <si>
    <t>tỉnh Hưng Yên</t>
  </si>
  <si>
    <t>huyện Văn Lâm</t>
  </si>
  <si>
    <t>xã Trưng Trắc</t>
  </si>
  <si>
    <t>131121</t>
  </si>
  <si>
    <t>42m/ 42m/ 42m</t>
  </si>
  <si>
    <t>03963</t>
  </si>
  <si>
    <t>37/37/37</t>
  </si>
  <si>
    <t>xã Minh Hải</t>
  </si>
  <si>
    <t>131122</t>
  </si>
  <si>
    <t>37m/ 37m/ 37m</t>
  </si>
  <si>
    <t>tỉnh Bắc Ninh</t>
  </si>
  <si>
    <t>huyện Thuận Thành</t>
  </si>
  <si>
    <t>xã Ngũ Thái</t>
  </si>
  <si>
    <t>106534</t>
  </si>
  <si>
    <t>03965</t>
  </si>
  <si>
    <t>105103;105103</t>
  </si>
  <si>
    <t>22,5/22,5/22,5;22,5/22,5/22,5</t>
  </si>
  <si>
    <t>tỉnh Bắc Giang</t>
  </si>
  <si>
    <t>huyện Việt Yên</t>
  </si>
  <si>
    <t>xã Hoàng Ninh</t>
  </si>
  <si>
    <t>105103</t>
  </si>
  <si>
    <t>22,5/22,5/22,5</t>
  </si>
  <si>
    <t>22,5m/ 22,5m/ 22,5m</t>
  </si>
  <si>
    <t>03966</t>
  </si>
  <si>
    <t>thành phố Bắc Giang</t>
  </si>
  <si>
    <t>phường Mỹ Độ</t>
  </si>
  <si>
    <t>105100</t>
  </si>
  <si>
    <t>phường Ngô Quyền</t>
  </si>
  <si>
    <t>105145</t>
  </si>
  <si>
    <t>03968</t>
  </si>
  <si>
    <t>huyện Tân Yên</t>
  </si>
  <si>
    <t>xã Ngọc Thiện</t>
  </si>
  <si>
    <t>105144</t>
  </si>
  <si>
    <t>03969</t>
  </si>
  <si>
    <t>thành phố Hà Nội</t>
  </si>
  <si>
    <t>huyện Phúc Thọ</t>
  </si>
  <si>
    <t>xã Võng Xuyên</t>
  </si>
  <si>
    <t>124827</t>
  </si>
  <si>
    <t>huyện Chương Mỹ</t>
  </si>
  <si>
    <t>xã Tiên Phương</t>
  </si>
  <si>
    <t>124970</t>
  </si>
  <si>
    <t>03971</t>
  </si>
  <si>
    <t>quận Hà Đông</t>
  </si>
  <si>
    <t>phường Dương Nội</t>
  </si>
  <si>
    <t>124791</t>
  </si>
  <si>
    <t>03972</t>
  </si>
  <si>
    <t>phường Phú Lãm</t>
  </si>
  <si>
    <t>124800</t>
  </si>
  <si>
    <t>huyện Thanh Oai</t>
  </si>
  <si>
    <t>xã Dân Hòa</t>
  </si>
  <si>
    <t>124777</t>
  </si>
  <si>
    <t>03974</t>
  </si>
  <si>
    <t>quận Thanh Xuân</t>
  </si>
  <si>
    <t>phường Khương Đình</t>
  </si>
  <si>
    <t>124730</t>
  </si>
  <si>
    <t>03975</t>
  </si>
  <si>
    <t>27/27/27</t>
  </si>
  <si>
    <t>quận Hoàng Mai</t>
  </si>
  <si>
    <t>phường Định Công</t>
  </si>
  <si>
    <t>124807</t>
  </si>
  <si>
    <t>27m/ 27m/ 27m</t>
  </si>
  <si>
    <t>phường Mai Động</t>
  </si>
  <si>
    <t>124941</t>
  </si>
  <si>
    <t>03977</t>
  </si>
  <si>
    <t>quận Ba Đình</t>
  </si>
  <si>
    <t>phường Quán Thánh</t>
  </si>
  <si>
    <t>124107</t>
  </si>
  <si>
    <t>03978</t>
  </si>
  <si>
    <t>quận Long Biên</t>
  </si>
  <si>
    <t>phường Ngọc Lâm</t>
  </si>
  <si>
    <t>124703</t>
  </si>
  <si>
    <t>huyện Gia Lâm</t>
  </si>
  <si>
    <t>xã Phú Thị</t>
  </si>
  <si>
    <t>124677</t>
  </si>
  <si>
    <t>03980</t>
  </si>
  <si>
    <t>huyện Đông Anh</t>
  </si>
  <si>
    <t>xã Vĩnh Ngọc</t>
  </si>
  <si>
    <t>124763</t>
  </si>
  <si>
    <t>03981</t>
  </si>
  <si>
    <t>124450;124450</t>
  </si>
  <si>
    <t>41,5/41,5/41,5;42/42/42</t>
  </si>
  <si>
    <t>quận Nam Từ Liêm</t>
  </si>
  <si>
    <t>phường Cầu Diễn</t>
  </si>
  <si>
    <t>124450</t>
  </si>
  <si>
    <t>41,5/41,5/41,5</t>
  </si>
  <si>
    <t>41,5m/ 41,5m/ 41,5m</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</si>
  <si>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</si>
  <si>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</si>
  <si>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</si>
  <si>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</si>
  <si>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</si>
  <si>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</si>
  <si>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</si>
  <si>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</si>
  <si>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</si>
  <si>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</si>
  <si>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</si>
  <si>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</si>
  <si>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</si>
  <si>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</si>
  <si>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</si>
  <si>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</si>
  <si>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</si>
  <si>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</si>
  <si>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</si>
  <si>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</si>
  <si>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</si>
  <si>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</si>
  <si>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</si>
  <si>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</si>
  <si>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</si>
  <si>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</si>
  <si>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</si>
  <si>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</si>
  <si>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</si>
  <si>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</si>
  <si>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</si>
  <si>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</si>
  <si>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</si>
  <si>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</si>
  <si>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</si>
  <si>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</si>
  <si>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</si>
  <si>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</si>
  <si>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</si>
  <si>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</si>
  <si>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</si>
  <si>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</si>
  <si>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</si>
  <si>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</si>
  <si>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</si>
  <si>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</si>
  <si>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</si>
  <si>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</si>
  <si>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</si>
  <si>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</si>
  <si>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</si>
  <si>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</si>
  <si>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</si>
  <si>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</si>
  <si>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</si>
  <si>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</si>
  <si>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</si>
  <si>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</si>
  <si>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</si>
  <si>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</si>
  <si>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</si>
  <si>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</si>
  <si>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</si>
  <si>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</si>
  <si>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</si>
  <si>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</si>
  <si>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</si>
  <si>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</si>
  <si>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</si>
  <si>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</si>
  <si>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</si>
  <si>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</si>
  <si>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</si>
  <si>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</si>
  <si>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</si>
  <si>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</si>
  <si>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</si>
  <si>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</si>
  <si>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</si>
  <si>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</si>
  <si>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</si>
  <si>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</si>
  <si>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</si>
  <si>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</si>
  <si>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</si>
  <si>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</si>
  <si>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</si>
  <si>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</si>
  <si>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</si>
  <si>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</si>
  <si>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</si>
  <si>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</si>
  <si>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</si>
  <si>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</si>
  <si>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</si>
  <si>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</si>
  <si>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</si>
  <si>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</si>
  <si>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</si>
  <si>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</si>
  <si>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</si>
  <si>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</si>
  <si>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</si>
  <si>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</si>
  <si>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</si>
  <si>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</si>
  <si>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</si>
  <si>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</si>
  <si>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</si>
  <si>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</si>
  <si>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</si>
  <si>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</si>
  <si>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</si>
  <si>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</si>
  <si>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</si>
  <si>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</si>
  <si>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</si>
  <si>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</si>
  <si>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</si>
  <si>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</si>
  <si>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</si>
  <si>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</si>
  <si>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</si>
  <si>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</si>
  <si>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</si>
  <si>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</si>
  <si>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</si>
  <si>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</si>
  <si>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</si>
  <si>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</si>
  <si>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</si>
  <si>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</si>
  <si>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</si>
  <si>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</si>
  <si>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</si>
  <si>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</si>
  <si>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</si>
  <si>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</si>
  <si>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</si>
  <si>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</si>
  <si>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</si>
  <si>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</si>
  <si>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</si>
  <si>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</si>
  <si>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</si>
  <si>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</si>
  <si>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</si>
  <si>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</si>
  <si>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</si>
  <si>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</si>
  <si>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</si>
  <si>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</si>
  <si>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</si>
  <si>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</si>
  <si>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</si>
  <si>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</si>
  <si>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</si>
  <si>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</si>
  <si>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</si>
  <si>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</si>
  <si>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</si>
  <si>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</si>
  <si>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</si>
  <si>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</si>
  <si>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</si>
  <si>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</si>
  <si>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</si>
  <si>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</si>
  <si>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</si>
  <si>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</si>
  <si>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</si>
  <si>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</si>
  <si>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</si>
  <si>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</si>
  <si>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</si>
  <si>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</si>
  <si>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</si>
  <si>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</si>
  <si>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</si>
  <si>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</si>
  <si>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</si>
  <si>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</si>
  <si>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</si>
  <si>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</si>
  <si>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</si>
  <si>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</si>
  <si>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</si>
  <si>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</si>
  <si>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</si>
  <si>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</si>
  <si>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</si>
  <si>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</si>
  <si>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</si>
  <si>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</si>
  <si>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</si>
  <si>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</si>
  <si>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</si>
  <si>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</si>
  <si>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</si>
  <si>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</si>
  <si>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</si>
  <si>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</si>
  <si>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</si>
  <si>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</si>
  <si>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</si>
  <si>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</si>
  <si>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</si>
  <si>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</si>
  <si>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</si>
  <si>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</si>
  <si>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</si>
  <si>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</si>
  <si>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</si>
  <si>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</si>
  <si>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</si>
  <si>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</si>
  <si>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</si>
  <si>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</si>
  <si>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</si>
  <si>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</si>
  <si>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</si>
  <si>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</si>
  <si>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</si>
  <si>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</si>
  <si>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</si>
  <si>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</si>
  <si>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</si>
  <si>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</si>
  <si>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</si>
  <si>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</si>
  <si>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</si>
  <si>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</si>
  <si>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</si>
  <si>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</si>
  <si>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</si>
  <si>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</si>
  <si>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</si>
  <si>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</si>
  <si>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</si>
  <si>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</si>
  <si>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</si>
  <si>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</si>
  <si>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</si>
  <si>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</si>
  <si>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</si>
  <si>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</si>
  <si>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</si>
  <si>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</si>
  <si>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</si>
  <si>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</si>
  <si>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</si>
  <si>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</si>
  <si>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</si>
  <si>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</si>
  <si>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</si>
  <si>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</si>
  <si>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</si>
  <si>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</si>
  <si>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</si>
  <si>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</si>
  <si>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</si>
  <si>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</si>
  <si>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</si>
  <si>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</si>
  <si>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</si>
  <si>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</si>
  <si>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</si>
  <si>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</si>
  <si>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</si>
  <si>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</si>
  <si>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</si>
  <si>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</si>
  <si>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</si>
  <si>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</si>
  <si>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</si>
  <si>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</si>
  <si>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</si>
  <si>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</si>
  <si>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</si>
  <si>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</si>
  <si>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</si>
  <si>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</si>
  <si>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</si>
  <si>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</si>
  <si>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</si>
  <si>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</si>
  <si>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</si>
  <si>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</si>
  <si>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</si>
  <si>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</si>
  <si>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</si>
  <si>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</si>
  <si>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</si>
  <si>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</si>
  <si>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</si>
  <si>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</si>
  <si>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</si>
  <si>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</si>
  <si>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</si>
  <si>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</si>
  <si>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</si>
  <si>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</si>
  <si>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</si>
  <si>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</si>
  <si>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</si>
  <si>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</si>
  <si>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</si>
  <si>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</si>
  <si>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</si>
  <si>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</si>
  <si>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</si>
  <si>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</si>
  <si>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</si>
  <si>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</si>
  <si>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</si>
  <si>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</si>
  <si>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</si>
  <si>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</si>
  <si>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</si>
  <si>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</si>
  <si>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</si>
  <si>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</si>
  <si>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</si>
  <si>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</si>
  <si>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</si>
  <si>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</si>
  <si>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</si>
  <si>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</si>
  <si>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</si>
  <si>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</si>
  <si>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</si>
  <si>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</si>
  <si>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</si>
  <si>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</si>
  <si>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</si>
  <si>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</si>
  <si>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</si>
  <si>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</si>
  <si>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</si>
  <si>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</si>
  <si>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</si>
  <si>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</si>
  <si>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</si>
  <si>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</si>
  <si>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</si>
  <si>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</si>
  <si>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</si>
  <si>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</si>
  <si>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</si>
  <si>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</si>
  <si>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</si>
  <si>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</si>
  <si>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</si>
  <si>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</si>
  <si>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</si>
  <si>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</si>
  <si>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</si>
  <si>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</si>
  <si>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</si>
  <si>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</si>
  <si>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</si>
  <si>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</si>
  <si>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</si>
  <si>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</si>
  <si>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</si>
  <si>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</si>
  <si>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</si>
  <si>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</si>
  <si>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</si>
  <si>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</si>
  <si>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</si>
  <si>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</si>
  <si>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</si>
  <si>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</si>
  <si>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</si>
  <si>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</si>
  <si>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</si>
  <si>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</si>
  <si>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</si>
  <si>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</si>
  <si>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</si>
  <si>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</si>
  <si>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</si>
  <si>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</si>
  <si>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</si>
  <si>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</si>
  <si>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</si>
  <si>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</si>
  <si>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</si>
  <si>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</si>
  <si>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</si>
  <si>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</si>
  <si>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</si>
  <si>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</si>
  <si>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</si>
  <si>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</si>
  <si>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</si>
  <si>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</si>
  <si>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</si>
  <si>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</si>
  <si>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</si>
  <si>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</si>
  <si>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</si>
  <si>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</si>
  <si>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</si>
  <si>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</si>
  <si>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</si>
  <si>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</si>
  <si>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</si>
  <si>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</si>
  <si>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</si>
  <si>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</si>
  <si>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</si>
  <si>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</si>
  <si>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</si>
  <si>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</si>
  <si>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</si>
  <si>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</si>
  <si>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</si>
  <si>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</si>
  <si>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</si>
  <si>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</si>
  <si>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</si>
  <si>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</si>
  <si>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</si>
  <si>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</si>
  <si>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</si>
  <si>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</si>
  <si>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</si>
  <si>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</si>
  <si>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</si>
  <si>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</si>
  <si>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</si>
  <si>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</si>
  <si>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</si>
  <si>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</si>
  <si>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</si>
  <si>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</si>
  <si>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</si>
  <si>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</si>
  <si>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</si>
  <si>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</si>
  <si>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</si>
  <si>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</si>
  <si>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</si>
  <si>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</si>
  <si>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</si>
  <si>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</si>
  <si>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</si>
  <si>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</si>
  <si>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</si>
  <si>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2xx/VNM</t>
  </si>
  <si>
    <t>xx/PKĐ-TT1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</si>
  <si>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</si>
  <si>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</si>
  <si>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</si>
  <si>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</si>
  <si>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</si>
  <si>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</si>
  <si>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</si>
  <si>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</si>
  <si>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</si>
  <si>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</si>
  <si>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</si>
  <si>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</si>
  <si>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</si>
  <si>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</si>
  <si>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</si>
  <si>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</si>
  <si>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</si>
  <si>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</si>
  <si>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</si>
  <si>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</si>
  <si>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</si>
  <si>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</si>
  <si>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</si>
  <si>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</si>
  <si>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</si>
  <si>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</si>
  <si>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</si>
  <si>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</si>
  <si>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</si>
  <si>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</si>
  <si>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</si>
  <si>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</si>
  <si>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</si>
  <si>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</si>
  <si>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</si>
  <si>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</si>
  <si>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</si>
  <si>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</si>
  <si>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</si>
  <si>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</si>
  <si>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</si>
  <si>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</si>
  <si>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</si>
  <si>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</si>
  <si>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</si>
  <si>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</si>
  <si>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</si>
  <si>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</si>
  <si>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</si>
  <si>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</si>
  <si>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</si>
  <si>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</si>
  <si>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</si>
  <si>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</si>
  <si>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</si>
  <si>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</si>
  <si>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</si>
  <si>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</si>
  <si>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</si>
  <si>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</si>
  <si>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</si>
  <si>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</si>
  <si>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</si>
  <si>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</si>
  <si>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</si>
  <si>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</si>
  <si>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</si>
  <si>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</si>
  <si>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</si>
  <si>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</si>
  <si>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</si>
  <si>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</si>
  <si>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</si>
  <si>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</si>
  <si>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</si>
  <si>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</si>
  <si>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</si>
  <si>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</si>
  <si>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</si>
  <si>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</si>
  <si>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</si>
  <si>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</si>
  <si>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</si>
  <si>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</si>
  <si>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</si>
  <si>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</si>
  <si>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</si>
  <si>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</si>
  <si>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</si>
  <si>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</si>
  <si>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</si>
  <si>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</si>
  <si>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</si>
  <si>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</si>
  <si>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</si>
  <si>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</si>
  <si>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</si>
  <si>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</si>
  <si>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</si>
  <si>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</si>
  <si>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</si>
  <si>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</si>
  <si>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</si>
  <si>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</si>
  <si>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</si>
  <si>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</si>
  <si>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</si>
  <si>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</si>
  <si>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</si>
  <si>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</si>
  <si>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</si>
  <si>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</si>
  <si>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</si>
  <si>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</si>
  <si>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</si>
  <si>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</si>
  <si>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</si>
  <si>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</si>
  <si>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</si>
  <si>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</si>
  <si>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</si>
  <si>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</si>
  <si>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</si>
  <si>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</si>
  <si>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</si>
  <si>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</si>
  <si>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</si>
  <si>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</si>
  <si>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</si>
  <si>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</si>
  <si>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</si>
  <si>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</si>
  <si>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</si>
  <si>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</si>
  <si>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</si>
  <si>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</si>
  <si>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</si>
  <si>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</si>
  <si>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</si>
  <si>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</si>
  <si>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</si>
  <si>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</si>
  <si>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</si>
  <si>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</si>
  <si>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</si>
  <si>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</si>
  <si>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</si>
  <si>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</si>
  <si>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</si>
  <si>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</si>
  <si>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</si>
  <si>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</si>
  <si>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</si>
  <si>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</si>
  <si>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</si>
  <si>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</si>
  <si>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</si>
  <si>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</si>
  <si>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</si>
  <si>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</si>
  <si>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</si>
  <si>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</si>
  <si>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</si>
  <si>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</si>
  <si>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</si>
  <si>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</si>
  <si>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</si>
  <si>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</si>
  <si>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</si>
  <si>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</si>
  <si>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</si>
  <si>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</si>
  <si>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</si>
  <si>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</si>
  <si>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</si>
  <si>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</si>
  <si>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</si>
  <si>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</si>
  <si>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</si>
  <si>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</si>
  <si>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</si>
  <si>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</si>
  <si>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</si>
  <si>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</si>
  <si>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</si>
  <si>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</si>
  <si>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</si>
  <si>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</si>
  <si>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</si>
  <si>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</si>
  <si>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</si>
  <si>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</si>
  <si>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</si>
  <si>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</si>
  <si>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</si>
  <si>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</si>
  <si>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</si>
  <si>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</si>
  <si>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</si>
  <si>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</si>
  <si>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</si>
  <si>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</si>
  <si>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</si>
  <si>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</si>
  <si>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</si>
  <si>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</si>
  <si>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</si>
  <si>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</si>
  <si>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</si>
  <si>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</si>
  <si>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</si>
  <si>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</si>
  <si>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</si>
  <si>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</si>
  <si>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</si>
  <si>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</si>
  <si>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</si>
  <si>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</si>
  <si>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</si>
  <si>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</si>
  <si>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</si>
  <si>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</si>
  <si>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</si>
  <si>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</si>
  <si>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</si>
  <si>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</si>
  <si>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</si>
  <si>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</si>
  <si>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</si>
  <si>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</si>
  <si>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</si>
  <si>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</si>
  <si>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</si>
  <si>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</si>
  <si>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</si>
  <si>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</si>
  <si>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</si>
  <si>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</si>
  <si>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</si>
  <si>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</si>
  <si>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</si>
  <si>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</si>
  <si>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</si>
  <si>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</si>
  <si>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</si>
  <si>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</si>
  <si>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</si>
  <si>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</si>
  <si>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</si>
  <si>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</si>
  <si>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</si>
  <si>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</si>
  <si>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</si>
  <si>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</si>
  <si>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</si>
  <si>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</si>
  <si>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</si>
  <si>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</si>
  <si>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</si>
  <si>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</si>
  <si>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</si>
  <si>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</si>
  <si>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</si>
  <si>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</si>
  <si>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</si>
  <si>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</si>
  <si>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</si>
  <si>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</si>
  <si>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</si>
  <si>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</si>
  <si>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</si>
  <si>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</si>
  <si>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</si>
  <si>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</si>
  <si>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</si>
  <si>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</si>
  <si>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</si>
  <si>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</si>
  <si>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</si>
  <si>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</si>
  <si>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</si>
  <si>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</si>
  <si>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</si>
  <si>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</si>
  <si>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</si>
  <si>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</si>
  <si>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</si>
  <si>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</si>
  <si>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</si>
  <si>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</si>
  <si>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</si>
  <si>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</si>
  <si>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</si>
  <si>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</si>
  <si>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</si>
  <si>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</si>
  <si>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</si>
  <si>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</si>
  <si>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</si>
  <si>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</si>
  <si>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</si>
  <si>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</si>
  <si>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</si>
  <si>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</si>
  <si>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</si>
  <si>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</si>
  <si>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</si>
  <si>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</si>
  <si>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</si>
  <si>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</si>
  <si>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</si>
  <si>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</si>
  <si>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</si>
  <si>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</si>
  <si>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</si>
  <si>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</si>
  <si>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</si>
  <si>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</si>
  <si>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</si>
  <si>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</si>
  <si>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</si>
  <si>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</si>
  <si>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</si>
  <si>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</si>
  <si>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</si>
  <si>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</si>
  <si>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</si>
  <si>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</si>
  <si>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</si>
  <si>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Mặc định chuyên viên Kiểm định 1</t>
  </si>
  <si>
    <t>= Check!HZ2</t>
  </si>
  <si>
    <t>Độ cao (m) chênh lệch giữa Anten phát thấp nhất và công trình cao nhất trong phạm vi 100m</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</si>
  <si>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</si>
  <si>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</si>
  <si>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</si>
  <si>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</si>
  <si>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</si>
  <si>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</si>
  <si>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</si>
  <si>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</si>
  <si>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</si>
  <si>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</si>
  <si>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</si>
  <si>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</si>
  <si>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</si>
  <si>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</si>
  <si>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</si>
  <si>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</si>
  <si>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</si>
  <si>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</si>
  <si>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</si>
  <si>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</si>
  <si>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</si>
  <si>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</si>
  <si>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</si>
  <si>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</si>
  <si>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</si>
  <si>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</si>
  <si>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</si>
  <si>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</si>
  <si>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</si>
  <si>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</si>
  <si>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</si>
  <si>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</si>
  <si>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</si>
  <si>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</si>
  <si>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</si>
  <si>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</si>
  <si>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</si>
  <si>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</si>
  <si>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</si>
  <si>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</si>
  <si>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</si>
  <si>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</si>
  <si>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20.875002, 106.649429</t>
  </si>
  <si>
    <t>2</t>
  </si>
  <si>
    <t>1902278//TG/TT1</t>
  </si>
  <si>
    <t>20.856820, 106.678771</t>
  </si>
  <si>
    <t>1902273//TG/TT1</t>
  </si>
  <si>
    <t>20.857695, 106.693430</t>
  </si>
  <si>
    <t>1902270//TG/TT1</t>
  </si>
  <si>
    <t>20.826901, 106.674985</t>
  </si>
  <si>
    <t>20.864554, 106.613022</t>
  </si>
  <si>
    <t>1902234//TG/TT1</t>
  </si>
  <si>
    <t>20.890691, 106.670620</t>
  </si>
  <si>
    <t>1902231//TG/TT1</t>
  </si>
  <si>
    <t>20.900186, 106.693493</t>
  </si>
  <si>
    <t>1902263//TG/TT1</t>
  </si>
  <si>
    <t>20.927460, 106.691803</t>
  </si>
  <si>
    <t>1902265//TG/TT1</t>
  </si>
  <si>
    <t>20.927830, 106.707570</t>
  </si>
  <si>
    <t>1902245//TG/TT1</t>
  </si>
  <si>
    <t>20.923122, 106.742752</t>
  </si>
  <si>
    <t>1902238//TG/TT1</t>
  </si>
  <si>
    <t>20.943714, 106.731641</t>
  </si>
  <si>
    <t>1902267//TG/TT1</t>
  </si>
  <si>
    <t>20.941730, 106.674690</t>
  </si>
  <si>
    <t>1902258//TG/TT1</t>
  </si>
  <si>
    <t>20.925022, 106.654525</t>
  </si>
  <si>
    <t>1902269//TG/TT1</t>
  </si>
  <si>
    <t>20.938518, 106.632459</t>
  </si>
  <si>
    <t>1902236//TG/TT1</t>
  </si>
  <si>
    <t>20.918116, 106.629956</t>
  </si>
  <si>
    <t>1902274//TG/TT1</t>
  </si>
  <si>
    <t>20.991976, 106.705020</t>
  </si>
  <si>
    <t>1</t>
  </si>
  <si>
    <t>20.894669, 106.644549</t>
  </si>
  <si>
    <t>1902264//TG/TT1</t>
  </si>
  <si>
    <t>20.834769, 106.680372</t>
  </si>
  <si>
    <t>1902229//TG/TT1</t>
  </si>
  <si>
    <t>20.790016, 106.657939</t>
  </si>
  <si>
    <t>1902257//TG/TT1</t>
  </si>
  <si>
    <t>20.909983, 106.571210</t>
  </si>
  <si>
    <t>1902249//TG/TT1</t>
  </si>
  <si>
    <t>20.929700, 106.554220</t>
  </si>
  <si>
    <t>1902237//TG/TT1</t>
  </si>
  <si>
    <t>20.805652, 106.874202</t>
  </si>
  <si>
    <t>1902279//TG/TT1</t>
  </si>
  <si>
    <t>20.729484, 107.046844</t>
  </si>
  <si>
    <t>1903343//TG/TT1</t>
  </si>
  <si>
    <t>20.946730, 107.125600</t>
  </si>
  <si>
    <t>21.116310, 106.322400</t>
  </si>
  <si>
    <t>20.791222, 106.279830</t>
  </si>
  <si>
    <t>20.957053, 106.025422</t>
  </si>
  <si>
    <t>20.969839, 106.048020</t>
  </si>
  <si>
    <t>21.016435, 106.030854</t>
  </si>
  <si>
    <t>21.252007, 106.134164</t>
  </si>
  <si>
    <t>1903341//TG/TT1</t>
  </si>
  <si>
    <t>21.275372, 106.184445</t>
  </si>
  <si>
    <t>21.282727, 106.199950</t>
  </si>
  <si>
    <t>21.354485, 106.084983</t>
  </si>
  <si>
    <t>21.133463, 105.568800</t>
  </si>
  <si>
    <t>20.941844, 105.683996</t>
  </si>
  <si>
    <t>20.986976, 105.738588</t>
  </si>
  <si>
    <t>20.942788, 105.755630</t>
  </si>
  <si>
    <t>20.805605, 105.782002</t>
  </si>
  <si>
    <t>20.990358, 105.822011</t>
  </si>
  <si>
    <t>20.983029, 105.820882</t>
  </si>
  <si>
    <t>20.990874, 105.859908</t>
  </si>
  <si>
    <t>21.041262, 105.841328</t>
  </si>
  <si>
    <t>21.049550, 105.876470</t>
  </si>
  <si>
    <t>21.016525, 105.964745</t>
  </si>
  <si>
    <t>21.101444, 105.821290</t>
  </si>
  <si>
    <t>21.035005, 105.763641</t>
  </si>
  <si>
    <t>1903344//TG/TT1</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</si>
</sst>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603">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0" applyNumberFormat="1" fontId="75" applyFont="1" fillId="0" applyFill="1" borderId="17" applyBorder="1" xfId="0" applyAlignment="1">
      <alignment vertical="center" wrapText="1"/>
      <protection locked="0"/>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2" applyFont="1" fillId="39" applyFill="1" borderId="1" applyBorder="1" xfId="128" applyAlignment="1">
      <alignment horizontal="center" vertical="center" wrapText="1"/>
      <protection locked="0"/>
    </xf>
    <xf numFmtId="14" applyNumberFormat="1" fontId="101" applyFont="1" fillId="45" applyFill="1" borderId="1" applyBorder="1" xfId="0"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activeCell="E5" sqref="E5"/>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70" t="s">
        <v>20972</v>
      </c>
      <c r="B1" s="471"/>
      <c r="C1" s="471"/>
    </row>
    <row r="3">
      <c r="A3" s="391" t="s">
        <v>20973</v>
      </c>
      <c r="B3" s="391" t="s">
        <v>20974</v>
      </c>
      <c r="C3" s="391" t="s">
        <v>20975</v>
      </c>
    </row>
    <row r="4">
      <c r="A4" s="476" t="s">
        <v>20976</v>
      </c>
      <c r="B4" s="476"/>
      <c r="C4" s="476"/>
    </row>
    <row r="5">
      <c r="A5" s="392">
        <v>1</v>
      </c>
      <c r="B5" s="393" t="s">
        <v>20977</v>
      </c>
      <c r="C5" s="393"/>
    </row>
    <row r="6" ht="63">
      <c r="A6" s="392">
        <v>2</v>
      </c>
      <c r="B6" s="393" t="s">
        <v>20978</v>
      </c>
      <c r="C6" s="394" t="s">
        <v>20979</v>
      </c>
    </row>
    <row r="7" s="389" customFormat="1">
      <c r="A7" s="476" t="s">
        <v>20980</v>
      </c>
      <c r="B7" s="476"/>
      <c r="C7" s="476"/>
    </row>
    <row r="8" s="389" customFormat="1">
      <c r="A8" s="395" t="s">
        <v>20981</v>
      </c>
      <c r="B8" s="472" t="s">
        <v>20982</v>
      </c>
      <c r="C8" s="472"/>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72" t="s">
        <v>20996</v>
      </c>
      <c r="C16" s="472"/>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4" t="s">
        <v>21008</v>
      </c>
      <c r="C22" s="475"/>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73" t="s">
        <v>21017</v>
      </c>
      <c r="B27" s="473"/>
      <c r="C27" s="473"/>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21563</v>
      </c>
      <c r="E1" s="308" t="s">
        <v>22015</v>
      </c>
      <c r="F1" s="308" t="s">
        <v>22016</v>
      </c>
    </row>
    <row r="2">
      <c r="A2" s="307">
        <v>1</v>
      </c>
      <c r="B2" s="307" t="s">
        <v>22244</v>
      </c>
      <c r="C2" s="307" t="s">
        <v>22245</v>
      </c>
      <c r="D2" s="307" t="s">
        <v>21303</v>
      </c>
      <c r="E2" s="307" t="s">
        <v>21303</v>
      </c>
      <c r="F2" s="307" t="s">
        <v>21303</v>
      </c>
    </row>
    <row r="3" ht="30">
      <c r="A3" s="307">
        <v>2</v>
      </c>
      <c r="B3" s="307" t="s">
        <v>22246</v>
      </c>
      <c r="C3" s="307" t="s">
        <v>22247</v>
      </c>
      <c r="D3" s="307" t="s">
        <v>20855</v>
      </c>
      <c r="E3" s="307" t="s">
        <v>21303</v>
      </c>
      <c r="F3" s="307" t="s">
        <v>21303</v>
      </c>
    </row>
    <row r="4">
      <c r="A4" s="307">
        <v>3</v>
      </c>
      <c r="B4" s="307" t="s">
        <v>22248</v>
      </c>
      <c r="C4" s="307" t="s">
        <v>22249</v>
      </c>
      <c r="D4" s="307" t="s">
        <v>21303</v>
      </c>
      <c r="E4" s="307" t="s">
        <v>21303</v>
      </c>
      <c r="F4" s="307" t="s">
        <v>21303</v>
      </c>
    </row>
    <row r="5" ht="30">
      <c r="A5" s="311">
        <v>4</v>
      </c>
      <c r="B5" s="311" t="s">
        <v>22250</v>
      </c>
      <c r="C5" s="311" t="s">
        <v>21256</v>
      </c>
      <c r="D5" s="311" t="s">
        <v>22251</v>
      </c>
      <c r="E5" s="311" t="s">
        <v>22252</v>
      </c>
      <c r="F5" s="311" t="s">
        <v>22253</v>
      </c>
    </row>
    <row r="6">
      <c r="A6" s="311">
        <v>5</v>
      </c>
      <c r="B6" s="311" t="s">
        <v>21297</v>
      </c>
      <c r="C6" s="311" t="s">
        <v>21319</v>
      </c>
      <c r="D6" s="311" t="s">
        <v>22254</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22236</v>
      </c>
      <c r="D1" s="457" t="s">
        <v>20834</v>
      </c>
    </row>
    <row r="2" ht="30">
      <c r="A2" s="459">
        <v>1</v>
      </c>
      <c r="B2" s="460" t="s">
        <v>22177</v>
      </c>
      <c r="C2" s="460" t="s">
        <v>22177</v>
      </c>
      <c r="D2" s="460" t="s">
        <v>21031</v>
      </c>
    </row>
    <row r="3">
      <c r="A3" s="459">
        <v>2</v>
      </c>
      <c r="B3" s="460" t="s">
        <v>22024</v>
      </c>
      <c r="C3" s="460" t="s">
        <v>22024</v>
      </c>
      <c r="D3" s="460" t="s">
        <v>22237</v>
      </c>
    </row>
    <row r="4" ht="30">
      <c r="A4" s="459">
        <v>3</v>
      </c>
      <c r="B4" s="460" t="s">
        <v>22028</v>
      </c>
      <c r="C4" s="460" t="s">
        <v>22028</v>
      </c>
      <c r="D4" s="460" t="s">
        <v>22238</v>
      </c>
    </row>
    <row r="5">
      <c r="A5" s="459">
        <v>4</v>
      </c>
      <c r="B5" s="460" t="s">
        <v>22034</v>
      </c>
      <c r="C5" s="460" t="s">
        <v>22034</v>
      </c>
      <c r="D5" s="460" t="s">
        <v>22239</v>
      </c>
    </row>
    <row r="6" ht="30">
      <c r="A6" s="459">
        <v>5</v>
      </c>
      <c r="B6" s="460" t="s">
        <v>21288</v>
      </c>
      <c r="C6" s="460" t="s">
        <v>21288</v>
      </c>
      <c r="D6" s="460" t="s">
        <v>21306</v>
      </c>
    </row>
    <row r="7" ht="30">
      <c r="A7" s="459">
        <v>6</v>
      </c>
      <c r="B7" s="463" t="s">
        <v>22240</v>
      </c>
      <c r="C7" s="460" t="s">
        <v>22028</v>
      </c>
      <c r="D7" s="463" t="s">
        <v>22241</v>
      </c>
    </row>
    <row r="8" ht="30">
      <c r="A8" s="459">
        <v>7</v>
      </c>
      <c r="B8" s="460" t="s">
        <v>22242</v>
      </c>
      <c r="C8" s="460" t="s">
        <v>21288</v>
      </c>
      <c r="D8" s="460" t="s">
        <v>22243</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22175</v>
      </c>
      <c r="D1" s="312" t="s">
        <v>22176</v>
      </c>
      <c r="E1" s="312" t="s">
        <v>22024</v>
      </c>
      <c r="F1" s="312" t="s">
        <v>22028</v>
      </c>
      <c r="G1" s="312" t="s">
        <v>22034</v>
      </c>
      <c r="H1" s="312" t="s">
        <v>21288</v>
      </c>
      <c r="I1" s="312" t="s">
        <v>22177</v>
      </c>
    </row>
    <row r="2">
      <c r="A2" s="311">
        <v>1</v>
      </c>
      <c r="B2" s="311" t="s">
        <v>22178</v>
      </c>
      <c r="C2" s="311">
        <v>2</v>
      </c>
      <c r="D2" s="311" t="s">
        <v>22179</v>
      </c>
      <c r="E2" s="311">
        <v>60</v>
      </c>
      <c r="F2" s="311">
        <v>32.43</v>
      </c>
      <c r="G2" s="311">
        <v>0</v>
      </c>
      <c r="H2" s="311">
        <v>0</v>
      </c>
      <c r="I2" s="311">
        <v>0</v>
      </c>
    </row>
    <row r="3">
      <c r="A3" s="311">
        <v>2</v>
      </c>
      <c r="B3" s="311" t="s">
        <v>22178</v>
      </c>
      <c r="C3" s="311">
        <v>3</v>
      </c>
      <c r="D3" s="311" t="s">
        <v>22179</v>
      </c>
      <c r="E3" s="311">
        <v>60</v>
      </c>
      <c r="F3" s="311">
        <v>32.43</v>
      </c>
      <c r="G3" s="311">
        <v>0</v>
      </c>
      <c r="H3" s="311">
        <v>0</v>
      </c>
      <c r="I3" s="311">
        <v>0</v>
      </c>
    </row>
    <row r="4">
      <c r="A4" s="311">
        <v>3</v>
      </c>
      <c r="B4" s="311" t="s">
        <v>22178</v>
      </c>
      <c r="C4" s="311">
        <v>4</v>
      </c>
      <c r="D4" s="311" t="s">
        <v>22179</v>
      </c>
      <c r="E4" s="311">
        <v>60</v>
      </c>
      <c r="F4" s="311">
        <v>14.49</v>
      </c>
      <c r="G4" s="311">
        <v>0</v>
      </c>
      <c r="H4" s="311">
        <v>0</v>
      </c>
      <c r="I4" s="311">
        <v>0</v>
      </c>
    </row>
    <row r="5">
      <c r="A5" s="311">
        <v>4</v>
      </c>
      <c r="B5" s="311" t="s">
        <v>22178</v>
      </c>
      <c r="C5" s="311">
        <v>1</v>
      </c>
      <c r="D5" s="311" t="s">
        <v>22180</v>
      </c>
      <c r="E5" s="311">
        <v>60</v>
      </c>
      <c r="F5" s="311">
        <v>27.54</v>
      </c>
      <c r="G5" s="311">
        <v>0</v>
      </c>
      <c r="H5" s="311">
        <v>0</v>
      </c>
      <c r="I5" s="311">
        <v>0</v>
      </c>
    </row>
    <row r="6">
      <c r="A6" s="311">
        <v>5</v>
      </c>
      <c r="B6" s="311" t="s">
        <v>22178</v>
      </c>
      <c r="C6" s="311">
        <v>2</v>
      </c>
      <c r="D6" s="311" t="s">
        <v>22180</v>
      </c>
      <c r="E6" s="311">
        <v>60</v>
      </c>
      <c r="F6" s="311">
        <v>25.18</v>
      </c>
      <c r="G6" s="311">
        <v>0</v>
      </c>
      <c r="H6" s="311">
        <v>0</v>
      </c>
      <c r="I6" s="311">
        <v>0</v>
      </c>
    </row>
    <row r="7">
      <c r="A7" s="311">
        <v>6</v>
      </c>
      <c r="B7" s="311" t="s">
        <v>22178</v>
      </c>
      <c r="C7" s="311">
        <v>3</v>
      </c>
      <c r="D7" s="311" t="s">
        <v>22180</v>
      </c>
      <c r="E7" s="311">
        <v>60</v>
      </c>
      <c r="F7" s="311">
        <v>25.18</v>
      </c>
      <c r="G7" s="311">
        <v>0</v>
      </c>
      <c r="H7" s="311">
        <v>0</v>
      </c>
      <c r="I7" s="311">
        <v>0</v>
      </c>
    </row>
    <row r="8">
      <c r="A8" s="311">
        <v>7</v>
      </c>
      <c r="B8" s="311" t="s">
        <v>22178</v>
      </c>
      <c r="C8" s="311">
        <v>4</v>
      </c>
      <c r="D8" s="311" t="s">
        <v>22180</v>
      </c>
      <c r="E8" s="311">
        <v>60</v>
      </c>
      <c r="F8" s="311">
        <v>11.25</v>
      </c>
      <c r="G8" s="311">
        <v>0</v>
      </c>
      <c r="H8" s="311">
        <v>0</v>
      </c>
      <c r="I8" s="311">
        <v>0</v>
      </c>
    </row>
    <row r="9">
      <c r="A9" s="311">
        <v>8</v>
      </c>
      <c r="B9" s="311" t="s">
        <v>22178</v>
      </c>
      <c r="C9" s="311">
        <v>4</v>
      </c>
      <c r="D9" s="311" t="s">
        <v>22181</v>
      </c>
      <c r="E9" s="311">
        <v>60</v>
      </c>
      <c r="F9" s="311">
        <v>0</v>
      </c>
      <c r="G9" s="311">
        <v>0</v>
      </c>
      <c r="H9" s="311">
        <v>0</v>
      </c>
      <c r="I9" s="311">
        <v>0</v>
      </c>
    </row>
    <row r="10">
      <c r="A10" s="311">
        <v>9</v>
      </c>
      <c r="B10" s="311" t="s">
        <v>22178</v>
      </c>
      <c r="C10" s="311">
        <v>5</v>
      </c>
      <c r="D10" s="311" t="s">
        <v>22181</v>
      </c>
      <c r="E10" s="311">
        <v>60</v>
      </c>
      <c r="F10" s="311">
        <v>0</v>
      </c>
      <c r="G10" s="311">
        <v>0</v>
      </c>
      <c r="H10" s="311">
        <v>0</v>
      </c>
      <c r="I10" s="311">
        <v>0</v>
      </c>
    </row>
    <row r="11">
      <c r="A11" s="311">
        <v>10</v>
      </c>
      <c r="B11" s="311" t="s">
        <v>22178</v>
      </c>
      <c r="C11" s="311">
        <v>6</v>
      </c>
      <c r="D11" s="311" t="s">
        <v>22181</v>
      </c>
      <c r="E11" s="311">
        <v>60</v>
      </c>
      <c r="F11" s="311">
        <v>0</v>
      </c>
      <c r="G11" s="311">
        <v>0</v>
      </c>
      <c r="H11" s="311">
        <v>0</v>
      </c>
      <c r="I11" s="311">
        <v>0</v>
      </c>
    </row>
    <row r="12">
      <c r="A12" s="311">
        <v>11</v>
      </c>
      <c r="B12" s="311" t="s">
        <v>22178</v>
      </c>
      <c r="C12" s="311">
        <v>7</v>
      </c>
      <c r="D12" s="311" t="s">
        <v>22181</v>
      </c>
      <c r="E12" s="311">
        <v>60</v>
      </c>
      <c r="F12" s="311">
        <v>0</v>
      </c>
      <c r="G12" s="311">
        <v>0</v>
      </c>
      <c r="H12" s="311">
        <v>0</v>
      </c>
      <c r="I12" s="311">
        <v>0</v>
      </c>
    </row>
    <row r="13">
      <c r="A13" s="311">
        <v>12</v>
      </c>
      <c r="B13" s="311" t="s">
        <v>22178</v>
      </c>
      <c r="C13" s="311">
        <v>8</v>
      </c>
      <c r="D13" s="311" t="s">
        <v>22181</v>
      </c>
      <c r="E13" s="311">
        <v>60</v>
      </c>
      <c r="F13" s="311">
        <v>0</v>
      </c>
      <c r="G13" s="311">
        <v>0</v>
      </c>
      <c r="H13" s="311">
        <v>0</v>
      </c>
      <c r="I13" s="311">
        <v>0</v>
      </c>
    </row>
    <row r="14">
      <c r="A14" s="311">
        <v>13</v>
      </c>
      <c r="B14" s="311" t="s">
        <v>22182</v>
      </c>
      <c r="C14" s="311">
        <v>2</v>
      </c>
      <c r="D14" s="311" t="s">
        <v>22179</v>
      </c>
      <c r="E14" s="311">
        <v>60</v>
      </c>
      <c r="F14" s="311">
        <v>0</v>
      </c>
      <c r="G14" s="311">
        <v>0</v>
      </c>
      <c r="H14" s="311">
        <v>40</v>
      </c>
      <c r="I14" s="311">
        <v>0</v>
      </c>
    </row>
    <row r="15">
      <c r="A15" s="311">
        <v>14</v>
      </c>
      <c r="B15" s="311" t="s">
        <v>22182</v>
      </c>
      <c r="C15" s="311">
        <v>4</v>
      </c>
      <c r="D15" s="311" t="s">
        <v>22179</v>
      </c>
      <c r="E15" s="311">
        <v>60</v>
      </c>
      <c r="F15" s="311">
        <v>0</v>
      </c>
      <c r="G15" s="311">
        <v>0</v>
      </c>
      <c r="H15" s="311">
        <v>0</v>
      </c>
      <c r="I15" s="311">
        <v>0</v>
      </c>
    </row>
    <row r="16">
      <c r="A16" s="311">
        <v>15</v>
      </c>
      <c r="B16" s="311" t="s">
        <v>22182</v>
      </c>
      <c r="C16" s="311">
        <v>2</v>
      </c>
      <c r="D16" s="311" t="s">
        <v>22180</v>
      </c>
      <c r="E16" s="311">
        <v>60</v>
      </c>
      <c r="F16" s="311">
        <v>0</v>
      </c>
      <c r="G16" s="311">
        <v>0</v>
      </c>
      <c r="H16" s="311">
        <v>0</v>
      </c>
      <c r="I16" s="311">
        <v>0</v>
      </c>
    </row>
    <row r="17">
      <c r="A17" s="311">
        <v>16</v>
      </c>
      <c r="B17" s="311" t="s">
        <v>22182</v>
      </c>
      <c r="C17" s="311">
        <v>4</v>
      </c>
      <c r="D17" s="311" t="s">
        <v>22180</v>
      </c>
      <c r="E17" s="311">
        <v>60</v>
      </c>
      <c r="F17" s="311">
        <v>0</v>
      </c>
      <c r="G17" s="311">
        <v>0</v>
      </c>
      <c r="H17" s="311">
        <v>0</v>
      </c>
      <c r="I17" s="311">
        <v>0</v>
      </c>
    </row>
    <row r="18">
      <c r="A18" s="311">
        <v>17</v>
      </c>
      <c r="B18" s="311" t="s">
        <v>22183</v>
      </c>
      <c r="C18" s="311">
        <v>6</v>
      </c>
      <c r="D18" s="311" t="s">
        <v>22184</v>
      </c>
      <c r="E18" s="311">
        <v>60</v>
      </c>
      <c r="F18" s="311">
        <v>0</v>
      </c>
      <c r="G18" s="311">
        <v>0</v>
      </c>
      <c r="H18" s="311">
        <v>0</v>
      </c>
      <c r="I18" s="311">
        <v>0</v>
      </c>
    </row>
    <row r="19">
      <c r="A19" s="311">
        <v>18</v>
      </c>
      <c r="B19" s="311" t="s">
        <v>22183</v>
      </c>
      <c r="C19" s="311">
        <v>7</v>
      </c>
      <c r="D19" s="311" t="s">
        <v>22184</v>
      </c>
      <c r="E19" s="311">
        <v>60</v>
      </c>
      <c r="F19" s="311">
        <v>0</v>
      </c>
      <c r="G19" s="311">
        <v>0</v>
      </c>
      <c r="H19" s="311">
        <v>0</v>
      </c>
      <c r="I19" s="311">
        <v>0</v>
      </c>
    </row>
    <row r="20">
      <c r="A20" s="311">
        <v>19</v>
      </c>
      <c r="B20" s="311" t="s">
        <v>22185</v>
      </c>
      <c r="C20" s="311">
        <v>2</v>
      </c>
      <c r="D20" s="311" t="s">
        <v>22179</v>
      </c>
      <c r="E20" s="311">
        <v>60</v>
      </c>
      <c r="F20" s="311">
        <v>0</v>
      </c>
      <c r="G20" s="311">
        <v>0</v>
      </c>
      <c r="H20" s="311">
        <v>0</v>
      </c>
      <c r="I20" s="311">
        <v>0</v>
      </c>
    </row>
    <row r="21">
      <c r="A21" s="311">
        <v>20</v>
      </c>
      <c r="B21" s="311" t="s">
        <v>22185</v>
      </c>
      <c r="C21" s="311">
        <v>4</v>
      </c>
      <c r="D21" s="311" t="s">
        <v>22179</v>
      </c>
      <c r="E21" s="311">
        <v>60</v>
      </c>
      <c r="F21" s="311">
        <v>0</v>
      </c>
      <c r="G21" s="311">
        <v>0</v>
      </c>
      <c r="H21" s="311">
        <v>0</v>
      </c>
      <c r="I21" s="311">
        <v>0</v>
      </c>
    </row>
    <row r="22">
      <c r="A22" s="311">
        <v>21</v>
      </c>
      <c r="B22" s="311" t="s">
        <v>22185</v>
      </c>
      <c r="C22" s="311">
        <v>2</v>
      </c>
      <c r="D22" s="311" t="s">
        <v>22180</v>
      </c>
      <c r="E22" s="311">
        <v>60</v>
      </c>
      <c r="F22" s="311">
        <v>0</v>
      </c>
      <c r="G22" s="311">
        <v>0</v>
      </c>
      <c r="H22" s="311">
        <v>0</v>
      </c>
      <c r="I22" s="311">
        <v>0</v>
      </c>
    </row>
    <row r="23">
      <c r="A23" s="311">
        <v>22</v>
      </c>
      <c r="B23" s="311" t="s">
        <v>22185</v>
      </c>
      <c r="C23" s="311">
        <v>4</v>
      </c>
      <c r="D23" s="311" t="s">
        <v>22180</v>
      </c>
      <c r="E23" s="311">
        <v>60</v>
      </c>
      <c r="F23" s="311">
        <v>0</v>
      </c>
      <c r="G23" s="311">
        <v>0</v>
      </c>
      <c r="H23" s="311">
        <v>0</v>
      </c>
      <c r="I23" s="311">
        <v>0</v>
      </c>
    </row>
    <row r="24">
      <c r="A24" s="311">
        <v>23</v>
      </c>
      <c r="B24" s="311" t="s">
        <v>22186</v>
      </c>
      <c r="C24" s="311">
        <v>6</v>
      </c>
      <c r="D24" s="311" t="s">
        <v>22184</v>
      </c>
      <c r="E24" s="311">
        <v>60</v>
      </c>
      <c r="F24" s="311">
        <v>0</v>
      </c>
      <c r="G24" s="311">
        <v>0</v>
      </c>
      <c r="H24" s="311">
        <v>0</v>
      </c>
      <c r="I24" s="311">
        <v>0</v>
      </c>
    </row>
    <row r="25">
      <c r="A25" s="311">
        <v>24</v>
      </c>
      <c r="B25" s="311" t="s">
        <v>22186</v>
      </c>
      <c r="C25" s="311">
        <v>7</v>
      </c>
      <c r="D25" s="311" t="s">
        <v>22184</v>
      </c>
      <c r="E25" s="311">
        <v>60</v>
      </c>
      <c r="F25" s="311">
        <v>0</v>
      </c>
      <c r="G25" s="311">
        <v>0</v>
      </c>
      <c r="H25" s="311">
        <v>0</v>
      </c>
      <c r="I25" s="311">
        <v>0</v>
      </c>
    </row>
    <row r="26">
      <c r="A26" s="311">
        <v>25</v>
      </c>
      <c r="B26" s="311" t="s">
        <v>22187</v>
      </c>
      <c r="C26" s="311">
        <v>6</v>
      </c>
      <c r="D26" s="311" t="s">
        <v>22184</v>
      </c>
      <c r="E26" s="311">
        <v>60</v>
      </c>
      <c r="F26" s="311">
        <v>0</v>
      </c>
      <c r="G26" s="311">
        <v>0</v>
      </c>
      <c r="H26" s="311">
        <v>0</v>
      </c>
      <c r="I26" s="311">
        <v>0</v>
      </c>
    </row>
    <row r="27">
      <c r="A27" s="311">
        <v>26</v>
      </c>
      <c r="B27" s="311" t="s">
        <v>22187</v>
      </c>
      <c r="C27" s="311">
        <v>7</v>
      </c>
      <c r="D27" s="311" t="s">
        <v>22184</v>
      </c>
      <c r="E27" s="311">
        <v>60</v>
      </c>
      <c r="F27" s="311">
        <v>0</v>
      </c>
      <c r="G27" s="311">
        <v>0</v>
      </c>
      <c r="H27" s="311">
        <v>0</v>
      </c>
      <c r="I27" s="311">
        <v>0</v>
      </c>
    </row>
    <row r="28">
      <c r="A28" s="311">
        <v>27</v>
      </c>
      <c r="B28" s="311" t="s">
        <v>22188</v>
      </c>
      <c r="C28" s="311">
        <v>2</v>
      </c>
      <c r="D28" s="311" t="s">
        <v>22179</v>
      </c>
      <c r="E28" s="311">
        <v>60</v>
      </c>
      <c r="F28" s="311">
        <v>0</v>
      </c>
      <c r="G28" s="311">
        <v>0</v>
      </c>
      <c r="H28" s="311">
        <v>0</v>
      </c>
      <c r="I28" s="311">
        <v>0</v>
      </c>
    </row>
    <row r="29">
      <c r="A29" s="311">
        <v>28</v>
      </c>
      <c r="B29" s="311" t="s">
        <v>22188</v>
      </c>
      <c r="C29" s="311">
        <v>3</v>
      </c>
      <c r="D29" s="311" t="s">
        <v>22179</v>
      </c>
      <c r="E29" s="311">
        <v>60</v>
      </c>
      <c r="F29" s="311">
        <v>0</v>
      </c>
      <c r="G29" s="311">
        <v>0</v>
      </c>
      <c r="H29" s="311">
        <v>0</v>
      </c>
      <c r="I29" s="311">
        <v>0</v>
      </c>
    </row>
    <row r="30">
      <c r="A30" s="311">
        <v>29</v>
      </c>
      <c r="B30" s="311" t="s">
        <v>22188</v>
      </c>
      <c r="C30" s="311">
        <v>4</v>
      </c>
      <c r="D30" s="311" t="s">
        <v>22179</v>
      </c>
      <c r="E30" s="311">
        <v>60</v>
      </c>
      <c r="F30" s="311">
        <v>0</v>
      </c>
      <c r="G30" s="311">
        <v>0</v>
      </c>
      <c r="H30" s="311">
        <v>0</v>
      </c>
      <c r="I30" s="311">
        <v>0</v>
      </c>
    </row>
    <row r="31">
      <c r="A31" s="311">
        <v>30</v>
      </c>
      <c r="B31" s="311" t="s">
        <v>22188</v>
      </c>
      <c r="C31" s="311">
        <v>1</v>
      </c>
      <c r="D31" s="311" t="s">
        <v>22180</v>
      </c>
      <c r="E31" s="311">
        <v>60</v>
      </c>
      <c r="F31" s="311">
        <v>0</v>
      </c>
      <c r="G31" s="311">
        <v>0</v>
      </c>
      <c r="H31" s="311">
        <v>0</v>
      </c>
      <c r="I31" s="311">
        <v>0</v>
      </c>
    </row>
    <row r="32">
      <c r="A32" s="311">
        <v>31</v>
      </c>
      <c r="B32" s="311" t="s">
        <v>22188</v>
      </c>
      <c r="C32" s="311">
        <v>2</v>
      </c>
      <c r="D32" s="311" t="s">
        <v>22180</v>
      </c>
      <c r="E32" s="311">
        <v>60</v>
      </c>
      <c r="F32" s="311">
        <v>0</v>
      </c>
      <c r="G32" s="311">
        <v>0</v>
      </c>
      <c r="H32" s="311">
        <v>0</v>
      </c>
      <c r="I32" s="311">
        <v>0</v>
      </c>
    </row>
    <row r="33">
      <c r="A33" s="311">
        <v>32</v>
      </c>
      <c r="B33" s="311" t="s">
        <v>22188</v>
      </c>
      <c r="C33" s="311">
        <v>4</v>
      </c>
      <c r="D33" s="311" t="s">
        <v>22180</v>
      </c>
      <c r="E33" s="311">
        <v>60</v>
      </c>
      <c r="F33" s="311">
        <v>0</v>
      </c>
      <c r="G33" s="311">
        <v>0</v>
      </c>
      <c r="H33" s="311">
        <v>0</v>
      </c>
      <c r="I33" s="311">
        <v>0</v>
      </c>
    </row>
    <row r="34">
      <c r="A34" s="311">
        <v>33</v>
      </c>
      <c r="B34" s="311" t="s">
        <v>22188</v>
      </c>
      <c r="C34" s="311">
        <v>4</v>
      </c>
      <c r="D34" s="311" t="s">
        <v>22181</v>
      </c>
      <c r="E34" s="311">
        <v>60</v>
      </c>
      <c r="F34" s="311">
        <v>0</v>
      </c>
      <c r="G34" s="311">
        <v>0</v>
      </c>
      <c r="H34" s="311">
        <v>0</v>
      </c>
      <c r="I34" s="311">
        <v>0</v>
      </c>
    </row>
    <row r="35">
      <c r="A35" s="311">
        <v>34</v>
      </c>
      <c r="B35" s="311" t="s">
        <v>22188</v>
      </c>
      <c r="C35" s="311">
        <v>6</v>
      </c>
      <c r="D35" s="311" t="s">
        <v>22181</v>
      </c>
      <c r="E35" s="311">
        <v>60</v>
      </c>
      <c r="F35" s="311">
        <v>0</v>
      </c>
      <c r="G35" s="311">
        <v>0</v>
      </c>
      <c r="H35" s="311">
        <v>0</v>
      </c>
      <c r="I35" s="311">
        <v>0</v>
      </c>
    </row>
    <row r="36">
      <c r="A36" s="311">
        <v>35</v>
      </c>
      <c r="B36" s="311" t="s">
        <v>22188</v>
      </c>
      <c r="C36" s="311">
        <v>8</v>
      </c>
      <c r="D36" s="311" t="s">
        <v>22181</v>
      </c>
      <c r="E36" s="311">
        <v>60</v>
      </c>
      <c r="F36" s="311">
        <v>0</v>
      </c>
      <c r="G36" s="311">
        <v>0</v>
      </c>
      <c r="H36" s="311">
        <v>0</v>
      </c>
      <c r="I36" s="311">
        <v>0</v>
      </c>
    </row>
    <row r="37">
      <c r="A37" s="311">
        <v>36</v>
      </c>
      <c r="B37" s="311" t="s">
        <v>22189</v>
      </c>
      <c r="C37" s="311">
        <v>4</v>
      </c>
      <c r="D37" s="311" t="s">
        <v>22181</v>
      </c>
      <c r="E37" s="311">
        <v>60</v>
      </c>
      <c r="F37" s="311">
        <v>0</v>
      </c>
      <c r="G37" s="311">
        <v>0</v>
      </c>
      <c r="H37" s="311">
        <v>0</v>
      </c>
      <c r="I37" s="311">
        <v>0</v>
      </c>
    </row>
    <row r="38">
      <c r="A38" s="311">
        <v>37</v>
      </c>
      <c r="B38" s="311" t="s">
        <v>22189</v>
      </c>
      <c r="C38" s="311">
        <v>6</v>
      </c>
      <c r="D38" s="311" t="s">
        <v>22181</v>
      </c>
      <c r="E38" s="311">
        <v>60</v>
      </c>
      <c r="F38" s="311">
        <v>0</v>
      </c>
      <c r="G38" s="311">
        <v>0</v>
      </c>
      <c r="H38" s="311">
        <v>0</v>
      </c>
      <c r="I38" s="311">
        <v>0</v>
      </c>
    </row>
    <row r="39">
      <c r="A39" s="311">
        <v>38</v>
      </c>
      <c r="B39" s="311" t="s">
        <v>22189</v>
      </c>
      <c r="C39" s="311">
        <v>8</v>
      </c>
      <c r="D39" s="311" t="s">
        <v>22181</v>
      </c>
      <c r="E39" s="311">
        <v>60</v>
      </c>
      <c r="F39" s="311">
        <v>0</v>
      </c>
      <c r="G39" s="311">
        <v>0</v>
      </c>
      <c r="H39" s="311">
        <v>0</v>
      </c>
      <c r="I39" s="311">
        <v>0</v>
      </c>
    </row>
    <row r="40">
      <c r="A40" s="311">
        <v>39</v>
      </c>
      <c r="B40" s="311" t="s">
        <v>22190</v>
      </c>
      <c r="C40" s="311">
        <v>4</v>
      </c>
      <c r="D40" s="311" t="s">
        <v>22181</v>
      </c>
      <c r="E40" s="311">
        <v>60</v>
      </c>
      <c r="F40" s="311">
        <v>0</v>
      </c>
      <c r="G40" s="311">
        <v>0</v>
      </c>
      <c r="H40" s="311">
        <v>0</v>
      </c>
      <c r="I40" s="311">
        <v>0</v>
      </c>
    </row>
    <row r="41">
      <c r="A41" s="311">
        <v>40</v>
      </c>
      <c r="B41" s="311" t="s">
        <v>22190</v>
      </c>
      <c r="C41" s="311">
        <v>6</v>
      </c>
      <c r="D41" s="311" t="s">
        <v>22181</v>
      </c>
      <c r="E41" s="311">
        <v>60</v>
      </c>
      <c r="F41" s="311">
        <v>0</v>
      </c>
      <c r="G41" s="311">
        <v>0</v>
      </c>
      <c r="H41" s="311">
        <v>0</v>
      </c>
      <c r="I41" s="311">
        <v>0</v>
      </c>
    </row>
    <row r="42">
      <c r="A42" s="311">
        <v>41</v>
      </c>
      <c r="B42" s="311" t="s">
        <v>22190</v>
      </c>
      <c r="C42" s="311">
        <v>8</v>
      </c>
      <c r="D42" s="311" t="s">
        <v>22181</v>
      </c>
      <c r="E42" s="311">
        <v>60</v>
      </c>
      <c r="F42" s="311">
        <v>0</v>
      </c>
      <c r="G42" s="311">
        <v>0</v>
      </c>
      <c r="H42" s="311">
        <v>0</v>
      </c>
      <c r="I42" s="311">
        <v>0</v>
      </c>
    </row>
    <row r="43">
      <c r="A43" s="311">
        <v>42</v>
      </c>
      <c r="B43" s="311" t="s">
        <v>22191</v>
      </c>
      <c r="C43" s="311">
        <v>2</v>
      </c>
      <c r="D43" s="311" t="s">
        <v>22179</v>
      </c>
      <c r="E43" s="311">
        <v>60</v>
      </c>
      <c r="F43" s="311">
        <v>67.6</v>
      </c>
      <c r="G43" s="311">
        <v>0</v>
      </c>
      <c r="H43" s="311">
        <v>0</v>
      </c>
      <c r="I43" s="311">
        <v>0</v>
      </c>
    </row>
    <row r="44">
      <c r="A44" s="311">
        <v>43</v>
      </c>
      <c r="B44" s="311" t="s">
        <v>22191</v>
      </c>
      <c r="C44" s="311">
        <v>4</v>
      </c>
      <c r="D44" s="311" t="s">
        <v>22179</v>
      </c>
      <c r="E44" s="311">
        <v>60</v>
      </c>
      <c r="F44" s="311">
        <v>63.2</v>
      </c>
      <c r="G44" s="311">
        <v>0</v>
      </c>
      <c r="H44" s="311">
        <v>0</v>
      </c>
      <c r="I44" s="311">
        <v>0</v>
      </c>
    </row>
    <row r="45">
      <c r="A45" s="311">
        <v>44</v>
      </c>
      <c r="B45" s="311" t="s">
        <v>22191</v>
      </c>
      <c r="C45" s="311">
        <v>2</v>
      </c>
      <c r="D45" s="311" t="s">
        <v>22180</v>
      </c>
      <c r="E45" s="311">
        <v>60</v>
      </c>
      <c r="F45" s="311">
        <v>47.9</v>
      </c>
      <c r="G45" s="311">
        <v>0</v>
      </c>
      <c r="H45" s="311">
        <v>0</v>
      </c>
      <c r="I45" s="311">
        <v>0</v>
      </c>
    </row>
    <row r="46">
      <c r="A46" s="311">
        <v>45</v>
      </c>
      <c r="B46" s="311" t="s">
        <v>22191</v>
      </c>
      <c r="C46" s="311">
        <v>4</v>
      </c>
      <c r="D46" s="311" t="s">
        <v>22180</v>
      </c>
      <c r="E46" s="311">
        <v>60</v>
      </c>
      <c r="F46" s="311">
        <v>44.8</v>
      </c>
      <c r="G46" s="311">
        <v>0</v>
      </c>
      <c r="H46" s="311">
        <v>0</v>
      </c>
      <c r="I46" s="311">
        <v>0</v>
      </c>
    </row>
    <row r="47">
      <c r="A47" s="311">
        <v>46</v>
      </c>
      <c r="B47" s="311" t="s">
        <v>22191</v>
      </c>
      <c r="C47" s="311">
        <v>4</v>
      </c>
      <c r="D47" s="311" t="s">
        <v>22181</v>
      </c>
      <c r="E47" s="311">
        <v>60</v>
      </c>
      <c r="F47" s="311">
        <v>0</v>
      </c>
      <c r="G47" s="311">
        <v>0</v>
      </c>
      <c r="H47" s="311">
        <v>0</v>
      </c>
      <c r="I47" s="311">
        <v>0</v>
      </c>
    </row>
    <row r="48">
      <c r="A48" s="311">
        <v>47</v>
      </c>
      <c r="B48" s="311" t="s">
        <v>22191</v>
      </c>
      <c r="C48" s="311">
        <v>6</v>
      </c>
      <c r="D48" s="311" t="s">
        <v>22181</v>
      </c>
      <c r="E48" s="311">
        <v>60</v>
      </c>
      <c r="F48" s="311">
        <v>0</v>
      </c>
      <c r="G48" s="311">
        <v>0</v>
      </c>
      <c r="H48" s="311">
        <v>0</v>
      </c>
      <c r="I48" s="311">
        <v>0</v>
      </c>
    </row>
    <row r="49">
      <c r="A49" s="311">
        <v>48</v>
      </c>
      <c r="B49" s="311" t="s">
        <v>22191</v>
      </c>
      <c r="C49" s="311">
        <v>8</v>
      </c>
      <c r="D49" s="311" t="s">
        <v>22181</v>
      </c>
      <c r="E49" s="311">
        <v>60</v>
      </c>
      <c r="F49" s="311">
        <v>0</v>
      </c>
      <c r="G49" s="311">
        <v>0</v>
      </c>
      <c r="H49" s="311">
        <v>0</v>
      </c>
      <c r="I49" s="311">
        <v>0</v>
      </c>
    </row>
    <row r="50">
      <c r="A50" s="311">
        <v>49</v>
      </c>
      <c r="B50" s="311" t="s">
        <v>22192</v>
      </c>
      <c r="C50" s="311">
        <v>4</v>
      </c>
      <c r="D50" s="311" t="s">
        <v>22181</v>
      </c>
      <c r="E50" s="311">
        <v>60</v>
      </c>
      <c r="F50" s="311">
        <v>0</v>
      </c>
      <c r="G50" s="311">
        <v>0</v>
      </c>
      <c r="H50" s="311">
        <v>0</v>
      </c>
      <c r="I50" s="311">
        <v>0</v>
      </c>
    </row>
    <row r="51">
      <c r="A51" s="311">
        <v>50</v>
      </c>
      <c r="B51" s="311" t="s">
        <v>22192</v>
      </c>
      <c r="C51" s="311">
        <v>6</v>
      </c>
      <c r="D51" s="311" t="s">
        <v>22181</v>
      </c>
      <c r="E51" s="311">
        <v>60</v>
      </c>
      <c r="F51" s="311">
        <v>0</v>
      </c>
      <c r="G51" s="311">
        <v>0</v>
      </c>
      <c r="H51" s="311">
        <v>0</v>
      </c>
      <c r="I51" s="311">
        <v>0</v>
      </c>
    </row>
    <row r="52">
      <c r="A52" s="311">
        <v>51</v>
      </c>
      <c r="B52" s="311" t="s">
        <v>22192</v>
      </c>
      <c r="C52" s="311">
        <v>8</v>
      </c>
      <c r="D52" s="311" t="s">
        <v>22181</v>
      </c>
      <c r="E52" s="311">
        <v>60</v>
      </c>
      <c r="F52" s="311">
        <v>0</v>
      </c>
      <c r="G52" s="311">
        <v>0</v>
      </c>
      <c r="H52" s="311">
        <v>0</v>
      </c>
      <c r="I52" s="311">
        <v>0</v>
      </c>
    </row>
    <row r="53">
      <c r="A53" s="311">
        <v>52</v>
      </c>
      <c r="B53" s="311" t="s">
        <v>21458</v>
      </c>
      <c r="C53" s="311">
        <v>2</v>
      </c>
      <c r="D53" s="311" t="s">
        <v>22179</v>
      </c>
      <c r="E53" s="311">
        <v>60</v>
      </c>
      <c r="F53" s="311">
        <v>39.81</v>
      </c>
      <c r="G53" s="311">
        <v>0</v>
      </c>
      <c r="H53" s="311">
        <v>40</v>
      </c>
      <c r="I53" s="311">
        <v>0</v>
      </c>
    </row>
    <row r="54">
      <c r="A54" s="311">
        <v>53</v>
      </c>
      <c r="B54" s="311" t="s">
        <v>21458</v>
      </c>
      <c r="C54" s="311">
        <v>4</v>
      </c>
      <c r="D54" s="311" t="s">
        <v>22179</v>
      </c>
      <c r="E54" s="311">
        <v>60</v>
      </c>
      <c r="F54" s="311">
        <v>35.56</v>
      </c>
      <c r="G54" s="311">
        <v>0</v>
      </c>
      <c r="H54" s="311">
        <v>80</v>
      </c>
      <c r="I54" s="311">
        <v>0</v>
      </c>
    </row>
    <row r="55">
      <c r="A55" s="311">
        <v>54</v>
      </c>
      <c r="B55" s="311" t="s">
        <v>21458</v>
      </c>
      <c r="C55" s="311">
        <v>2</v>
      </c>
      <c r="D55" s="311" t="s">
        <v>22180</v>
      </c>
      <c r="E55" s="311">
        <v>60</v>
      </c>
      <c r="F55" s="311">
        <v>35.48</v>
      </c>
      <c r="G55" s="311">
        <v>0</v>
      </c>
      <c r="H55" s="311">
        <v>0</v>
      </c>
      <c r="I55" s="311">
        <v>0</v>
      </c>
    </row>
    <row r="56">
      <c r="A56" s="311">
        <v>55</v>
      </c>
      <c r="B56" s="311" t="s">
        <v>21458</v>
      </c>
      <c r="C56" s="311">
        <v>4</v>
      </c>
      <c r="D56" s="311" t="s">
        <v>22180</v>
      </c>
      <c r="E56" s="311">
        <v>60</v>
      </c>
      <c r="F56" s="311">
        <v>31.7</v>
      </c>
      <c r="G56" s="311">
        <v>0</v>
      </c>
      <c r="H56" s="311">
        <v>0</v>
      </c>
      <c r="I56" s="311">
        <v>0</v>
      </c>
    </row>
    <row r="57">
      <c r="A57" s="311">
        <v>56</v>
      </c>
      <c r="B57" s="311" t="s">
        <v>21458</v>
      </c>
      <c r="C57" s="311">
        <v>4</v>
      </c>
      <c r="D57" s="311" t="s">
        <v>22181</v>
      </c>
      <c r="E57" s="311">
        <v>60</v>
      </c>
      <c r="F57" s="311">
        <v>0</v>
      </c>
      <c r="G57" s="311">
        <v>0</v>
      </c>
      <c r="H57" s="311">
        <v>0</v>
      </c>
      <c r="I57" s="311">
        <v>0</v>
      </c>
    </row>
    <row r="58">
      <c r="A58" s="311">
        <v>57</v>
      </c>
      <c r="B58" s="311" t="s">
        <v>21458</v>
      </c>
      <c r="C58" s="311">
        <v>6</v>
      </c>
      <c r="D58" s="311" t="s">
        <v>22181</v>
      </c>
      <c r="E58" s="311">
        <v>60</v>
      </c>
      <c r="F58" s="311">
        <v>0</v>
      </c>
      <c r="G58" s="311">
        <v>0</v>
      </c>
      <c r="H58" s="311">
        <v>0</v>
      </c>
      <c r="I58" s="311">
        <v>0</v>
      </c>
    </row>
    <row r="59">
      <c r="A59" s="311">
        <v>58</v>
      </c>
      <c r="B59" s="311" t="s">
        <v>21458</v>
      </c>
      <c r="C59" s="311">
        <v>8</v>
      </c>
      <c r="D59" s="311" t="s">
        <v>22181</v>
      </c>
      <c r="E59" s="311">
        <v>60</v>
      </c>
      <c r="F59" s="311">
        <v>0</v>
      </c>
      <c r="G59" s="311">
        <v>0</v>
      </c>
      <c r="H59" s="311">
        <v>0</v>
      </c>
      <c r="I59" s="311">
        <v>0</v>
      </c>
    </row>
    <row r="60">
      <c r="A60" s="311">
        <v>59</v>
      </c>
      <c r="B60" s="311" t="s">
        <v>22193</v>
      </c>
      <c r="C60" s="311">
        <v>4</v>
      </c>
      <c r="D60" s="311" t="s">
        <v>22181</v>
      </c>
      <c r="E60" s="311">
        <v>60</v>
      </c>
      <c r="F60" s="311">
        <v>0</v>
      </c>
      <c r="G60" s="311">
        <v>0</v>
      </c>
      <c r="H60" s="311">
        <v>0</v>
      </c>
      <c r="I60" s="311">
        <v>0</v>
      </c>
    </row>
    <row r="61">
      <c r="A61" s="311">
        <v>60</v>
      </c>
      <c r="B61" s="311" t="s">
        <v>22193</v>
      </c>
      <c r="C61" s="311">
        <v>6</v>
      </c>
      <c r="D61" s="311" t="s">
        <v>22181</v>
      </c>
      <c r="E61" s="311">
        <v>60</v>
      </c>
      <c r="F61" s="311">
        <v>0</v>
      </c>
      <c r="G61" s="311">
        <v>0</v>
      </c>
      <c r="H61" s="311">
        <v>0</v>
      </c>
      <c r="I61" s="311">
        <v>0</v>
      </c>
    </row>
    <row r="62">
      <c r="A62" s="311">
        <v>61</v>
      </c>
      <c r="B62" s="311" t="s">
        <v>22193</v>
      </c>
      <c r="C62" s="311">
        <v>8</v>
      </c>
      <c r="D62" s="311" t="s">
        <v>22181</v>
      </c>
      <c r="E62" s="311">
        <v>60</v>
      </c>
      <c r="F62" s="311">
        <v>0</v>
      </c>
      <c r="G62" s="311">
        <v>0</v>
      </c>
      <c r="H62" s="311">
        <v>0</v>
      </c>
      <c r="I62" s="311">
        <v>0</v>
      </c>
    </row>
    <row r="63">
      <c r="A63" s="311">
        <v>62</v>
      </c>
      <c r="B63" s="311" t="s">
        <v>22194</v>
      </c>
      <c r="C63" s="311">
        <v>6</v>
      </c>
      <c r="D63" s="311" t="s">
        <v>22184</v>
      </c>
      <c r="E63" s="311">
        <v>60</v>
      </c>
      <c r="F63" s="311">
        <v>0</v>
      </c>
      <c r="G63" s="311">
        <v>0</v>
      </c>
      <c r="H63" s="311">
        <v>0</v>
      </c>
      <c r="I63" s="311">
        <v>0</v>
      </c>
    </row>
    <row r="64">
      <c r="A64" s="311">
        <v>63</v>
      </c>
      <c r="B64" s="311" t="s">
        <v>22194</v>
      </c>
      <c r="C64" s="311">
        <v>7</v>
      </c>
      <c r="D64" s="311" t="s">
        <v>22184</v>
      </c>
      <c r="E64" s="311">
        <v>60</v>
      </c>
      <c r="F64" s="311">
        <v>0</v>
      </c>
      <c r="G64" s="311">
        <v>0</v>
      </c>
      <c r="H64" s="311">
        <v>0</v>
      </c>
      <c r="I64" s="311">
        <v>0</v>
      </c>
    </row>
    <row r="65">
      <c r="A65" s="311">
        <v>64</v>
      </c>
      <c r="B65" s="311" t="s">
        <v>22195</v>
      </c>
      <c r="C65" s="311">
        <v>1</v>
      </c>
      <c r="D65" s="311" t="s">
        <v>22196</v>
      </c>
      <c r="E65" s="311">
        <v>20</v>
      </c>
      <c r="F65" s="311">
        <v>0</v>
      </c>
      <c r="G65" s="311">
        <v>0</v>
      </c>
      <c r="H65" s="311">
        <v>0</v>
      </c>
      <c r="I65" s="311">
        <v>0</v>
      </c>
    </row>
    <row r="66">
      <c r="A66" s="311">
        <v>65</v>
      </c>
      <c r="B66" s="311" t="s">
        <v>22195</v>
      </c>
      <c r="C66" s="311">
        <v>2</v>
      </c>
      <c r="D66" s="311" t="s">
        <v>22196</v>
      </c>
      <c r="E66" s="311">
        <v>40</v>
      </c>
      <c r="F66" s="311">
        <v>0</v>
      </c>
      <c r="G66" s="311">
        <v>0</v>
      </c>
      <c r="H66" s="311">
        <v>0</v>
      </c>
      <c r="I66" s="311">
        <v>0</v>
      </c>
    </row>
    <row r="67">
      <c r="A67" s="311">
        <v>66</v>
      </c>
      <c r="B67" s="311" t="s">
        <v>22195</v>
      </c>
      <c r="C67" s="311">
        <v>3</v>
      </c>
      <c r="D67" s="311" t="s">
        <v>22196</v>
      </c>
      <c r="E67" s="311">
        <v>60</v>
      </c>
      <c r="F67" s="311">
        <v>0</v>
      </c>
      <c r="G67" s="311">
        <v>0</v>
      </c>
      <c r="H67" s="311">
        <v>0</v>
      </c>
      <c r="I67" s="311">
        <v>0</v>
      </c>
    </row>
    <row r="68">
      <c r="A68" s="311">
        <v>67</v>
      </c>
      <c r="B68" s="311" t="s">
        <v>22197</v>
      </c>
      <c r="C68" s="311">
        <v>1</v>
      </c>
      <c r="D68" s="311" t="s">
        <v>22196</v>
      </c>
      <c r="E68" s="311">
        <v>20</v>
      </c>
      <c r="F68" s="311">
        <v>0</v>
      </c>
      <c r="G68" s="311">
        <v>0</v>
      </c>
      <c r="H68" s="311">
        <v>0</v>
      </c>
      <c r="I68" s="311">
        <v>0</v>
      </c>
    </row>
    <row r="69">
      <c r="A69" s="311">
        <v>68</v>
      </c>
      <c r="B69" s="311" t="s">
        <v>22197</v>
      </c>
      <c r="C69" s="311">
        <v>2</v>
      </c>
      <c r="D69" s="311" t="s">
        <v>22196</v>
      </c>
      <c r="E69" s="311">
        <v>40</v>
      </c>
      <c r="F69" s="311">
        <v>0</v>
      </c>
      <c r="G69" s="311">
        <v>40</v>
      </c>
      <c r="H69" s="311">
        <v>0</v>
      </c>
      <c r="I69" s="311">
        <v>0</v>
      </c>
    </row>
    <row r="70">
      <c r="A70" s="311">
        <v>69</v>
      </c>
      <c r="B70" s="311" t="s">
        <v>22198</v>
      </c>
      <c r="C70" s="311">
        <v>1</v>
      </c>
      <c r="D70" s="311" t="s">
        <v>22196</v>
      </c>
      <c r="E70" s="311">
        <v>20</v>
      </c>
      <c r="F70" s="311">
        <v>0</v>
      </c>
      <c r="G70" s="311">
        <v>30</v>
      </c>
      <c r="H70" s="311">
        <v>0</v>
      </c>
      <c r="I70" s="311">
        <v>0</v>
      </c>
    </row>
    <row r="71">
      <c r="A71" s="311">
        <v>70</v>
      </c>
      <c r="B71" s="311" t="s">
        <v>22198</v>
      </c>
      <c r="C71" s="311">
        <v>2</v>
      </c>
      <c r="D71" s="311" t="s">
        <v>22196</v>
      </c>
      <c r="E71" s="311">
        <v>40</v>
      </c>
      <c r="F71" s="311">
        <v>0</v>
      </c>
      <c r="G71" s="311">
        <v>60</v>
      </c>
      <c r="H71" s="311">
        <v>0</v>
      </c>
      <c r="I71" s="311">
        <v>0</v>
      </c>
    </row>
    <row r="72">
      <c r="A72" s="311">
        <v>71</v>
      </c>
      <c r="B72" s="311" t="s">
        <v>22198</v>
      </c>
      <c r="C72" s="311">
        <v>3</v>
      </c>
      <c r="D72" s="311" t="s">
        <v>22196</v>
      </c>
      <c r="E72" s="311">
        <v>60</v>
      </c>
      <c r="F72" s="311">
        <v>0</v>
      </c>
      <c r="G72" s="311">
        <v>0</v>
      </c>
      <c r="H72" s="311">
        <v>0</v>
      </c>
      <c r="I72" s="311">
        <v>0</v>
      </c>
    </row>
    <row r="73">
      <c r="A73" s="311">
        <v>72</v>
      </c>
      <c r="B73" s="311" t="s">
        <v>22199</v>
      </c>
      <c r="C73" s="311">
        <v>2</v>
      </c>
      <c r="D73" s="311" t="s">
        <v>22179</v>
      </c>
      <c r="E73" s="311">
        <v>60</v>
      </c>
      <c r="F73" s="311">
        <v>0</v>
      </c>
      <c r="G73" s="311">
        <v>40</v>
      </c>
      <c r="H73" s="311">
        <v>0</v>
      </c>
      <c r="I73" s="311">
        <v>0</v>
      </c>
    </row>
    <row r="74">
      <c r="A74" s="311">
        <v>73</v>
      </c>
      <c r="B74" s="311" t="s">
        <v>22199</v>
      </c>
      <c r="C74" s="311">
        <v>4</v>
      </c>
      <c r="D74" s="311" t="s">
        <v>22179</v>
      </c>
      <c r="E74" s="311">
        <v>60</v>
      </c>
      <c r="F74" s="311">
        <v>0</v>
      </c>
      <c r="G74" s="311">
        <v>80</v>
      </c>
      <c r="H74" s="311">
        <v>0</v>
      </c>
      <c r="I74" s="311">
        <v>0</v>
      </c>
    </row>
    <row r="75">
      <c r="A75" s="311">
        <v>74</v>
      </c>
      <c r="B75" s="311" t="s">
        <v>22199</v>
      </c>
      <c r="C75" s="311">
        <v>2</v>
      </c>
      <c r="D75" s="311" t="s">
        <v>22180</v>
      </c>
      <c r="E75" s="311">
        <v>60</v>
      </c>
      <c r="F75" s="311">
        <v>0</v>
      </c>
      <c r="G75" s="311">
        <v>40</v>
      </c>
      <c r="H75" s="311">
        <v>0</v>
      </c>
      <c r="I75" s="311">
        <v>0</v>
      </c>
    </row>
    <row r="76">
      <c r="A76" s="311">
        <v>75</v>
      </c>
      <c r="B76" s="311" t="s">
        <v>22199</v>
      </c>
      <c r="C76" s="311">
        <v>4</v>
      </c>
      <c r="D76" s="311" t="s">
        <v>22180</v>
      </c>
      <c r="E76" s="311">
        <v>60</v>
      </c>
      <c r="F76" s="311">
        <v>25.18</v>
      </c>
      <c r="G76" s="311">
        <v>80</v>
      </c>
      <c r="H76" s="311">
        <v>0</v>
      </c>
      <c r="I76" s="311">
        <v>0</v>
      </c>
    </row>
    <row r="77">
      <c r="A77" s="311">
        <v>76</v>
      </c>
      <c r="B77" s="311" t="s">
        <v>22199</v>
      </c>
      <c r="C77" s="311">
        <v>1</v>
      </c>
      <c r="D77" s="311" t="s">
        <v>22196</v>
      </c>
      <c r="E77" s="311">
        <v>20</v>
      </c>
      <c r="F77" s="311">
        <v>20</v>
      </c>
      <c r="G77" s="311">
        <v>30</v>
      </c>
      <c r="H77" s="311">
        <v>0</v>
      </c>
      <c r="I77" s="311">
        <v>0</v>
      </c>
    </row>
    <row r="78">
      <c r="A78" s="311">
        <v>77</v>
      </c>
      <c r="B78" s="311" t="s">
        <v>22199</v>
      </c>
      <c r="C78" s="311">
        <v>2</v>
      </c>
      <c r="D78" s="311" t="s">
        <v>22196</v>
      </c>
      <c r="E78" s="311">
        <v>40</v>
      </c>
      <c r="F78" s="311">
        <v>40</v>
      </c>
      <c r="G78" s="311">
        <v>60</v>
      </c>
      <c r="H78" s="311">
        <v>0</v>
      </c>
      <c r="I78" s="311">
        <v>0</v>
      </c>
    </row>
    <row r="79">
      <c r="A79" s="311">
        <v>78</v>
      </c>
      <c r="B79" s="311" t="s">
        <v>22199</v>
      </c>
      <c r="C79" s="311">
        <v>4</v>
      </c>
      <c r="D79" s="311" t="s">
        <v>22181</v>
      </c>
      <c r="E79" s="311">
        <v>60</v>
      </c>
      <c r="F79" s="311">
        <v>0</v>
      </c>
      <c r="G79" s="311">
        <v>40</v>
      </c>
      <c r="H79" s="311">
        <v>0</v>
      </c>
      <c r="I79" s="311">
        <v>0</v>
      </c>
    </row>
    <row r="80">
      <c r="A80" s="311">
        <v>79</v>
      </c>
      <c r="B80" s="311" t="s">
        <v>22199</v>
      </c>
      <c r="C80" s="311">
        <v>6</v>
      </c>
      <c r="D80" s="311" t="s">
        <v>22181</v>
      </c>
      <c r="E80" s="311">
        <v>60</v>
      </c>
      <c r="F80" s="311">
        <v>0</v>
      </c>
      <c r="G80" s="311">
        <v>60</v>
      </c>
      <c r="H80" s="311">
        <v>0</v>
      </c>
      <c r="I80" s="311">
        <v>0</v>
      </c>
    </row>
    <row r="81">
      <c r="A81" s="311">
        <v>80</v>
      </c>
      <c r="B81" s="311" t="s">
        <v>22199</v>
      </c>
      <c r="C81" s="311">
        <v>8</v>
      </c>
      <c r="D81" s="311" t="s">
        <v>22181</v>
      </c>
      <c r="E81" s="311">
        <v>60</v>
      </c>
      <c r="F81" s="311">
        <v>0</v>
      </c>
      <c r="G81" s="311">
        <v>80</v>
      </c>
      <c r="H81" s="311">
        <v>0</v>
      </c>
      <c r="I81" s="311">
        <v>0</v>
      </c>
    </row>
    <row r="82">
      <c r="A82" s="311">
        <v>81</v>
      </c>
      <c r="B82" s="311" t="s">
        <v>21326</v>
      </c>
      <c r="C82" s="311">
        <v>1</v>
      </c>
      <c r="D82" s="311" t="s">
        <v>22196</v>
      </c>
      <c r="E82" s="311">
        <v>20</v>
      </c>
      <c r="F82" s="311">
        <v>0</v>
      </c>
      <c r="G82" s="311">
        <v>30</v>
      </c>
      <c r="H82" s="311">
        <v>0</v>
      </c>
      <c r="I82" s="311">
        <v>0</v>
      </c>
    </row>
    <row r="83">
      <c r="A83" s="311">
        <v>82</v>
      </c>
      <c r="B83" s="311" t="s">
        <v>21326</v>
      </c>
      <c r="C83" s="311">
        <v>2</v>
      </c>
      <c r="D83" s="311" t="s">
        <v>22196</v>
      </c>
      <c r="E83" s="311">
        <v>40</v>
      </c>
      <c r="F83" s="311">
        <v>0</v>
      </c>
      <c r="G83" s="311">
        <v>60</v>
      </c>
      <c r="H83" s="311">
        <v>0</v>
      </c>
      <c r="I83" s="311">
        <v>0</v>
      </c>
    </row>
    <row r="84">
      <c r="A84" s="311">
        <v>83</v>
      </c>
      <c r="B84" s="311" t="s">
        <v>21326</v>
      </c>
      <c r="C84" s="311">
        <v>3</v>
      </c>
      <c r="D84" s="311" t="s">
        <v>22196</v>
      </c>
      <c r="E84" s="311">
        <v>60</v>
      </c>
      <c r="F84" s="311">
        <v>20</v>
      </c>
      <c r="G84" s="311">
        <v>80</v>
      </c>
      <c r="H84" s="311">
        <v>0</v>
      </c>
      <c r="I84" s="311">
        <v>0</v>
      </c>
    </row>
    <row r="85">
      <c r="A85" s="311">
        <v>84</v>
      </c>
      <c r="B85" s="311" t="s">
        <v>22200</v>
      </c>
      <c r="C85" s="311">
        <v>2</v>
      </c>
      <c r="D85" s="311" t="s">
        <v>22179</v>
      </c>
      <c r="E85" s="311">
        <v>60</v>
      </c>
      <c r="F85" s="311">
        <v>0</v>
      </c>
      <c r="G85" s="311">
        <v>60</v>
      </c>
      <c r="H85" s="311">
        <v>0</v>
      </c>
      <c r="I85" s="311">
        <v>0</v>
      </c>
    </row>
    <row r="86">
      <c r="A86" s="311">
        <v>85</v>
      </c>
      <c r="B86" s="311" t="s">
        <v>22200</v>
      </c>
      <c r="C86" s="311">
        <v>4</v>
      </c>
      <c r="D86" s="311" t="s">
        <v>22179</v>
      </c>
      <c r="E86" s="311">
        <v>60</v>
      </c>
      <c r="F86" s="311">
        <v>0</v>
      </c>
      <c r="G86" s="311">
        <v>60</v>
      </c>
      <c r="H86" s="311">
        <v>0</v>
      </c>
      <c r="I86" s="311">
        <v>0</v>
      </c>
    </row>
    <row r="87">
      <c r="A87" s="311">
        <v>86</v>
      </c>
      <c r="B87" s="311" t="s">
        <v>22200</v>
      </c>
      <c r="C87" s="311">
        <v>2</v>
      </c>
      <c r="D87" s="311" t="s">
        <v>22180</v>
      </c>
      <c r="E87" s="311">
        <v>60</v>
      </c>
      <c r="F87" s="311">
        <v>0</v>
      </c>
      <c r="G87" s="311">
        <v>60</v>
      </c>
      <c r="H87" s="311">
        <v>0</v>
      </c>
      <c r="I87" s="311">
        <v>0</v>
      </c>
    </row>
    <row r="88">
      <c r="A88" s="311">
        <v>87</v>
      </c>
      <c r="B88" s="311" t="s">
        <v>22200</v>
      </c>
      <c r="C88" s="311">
        <v>4</v>
      </c>
      <c r="D88" s="311" t="s">
        <v>22180</v>
      </c>
      <c r="E88" s="311">
        <v>60</v>
      </c>
      <c r="F88" s="311">
        <v>0</v>
      </c>
      <c r="G88" s="311">
        <v>60</v>
      </c>
      <c r="H88" s="311">
        <v>0</v>
      </c>
      <c r="I88" s="311">
        <v>0</v>
      </c>
    </row>
    <row r="89">
      <c r="A89" s="311">
        <v>88</v>
      </c>
      <c r="B89" s="311" t="s">
        <v>22200</v>
      </c>
      <c r="C89" s="311">
        <v>4</v>
      </c>
      <c r="D89" s="311" t="s">
        <v>22181</v>
      </c>
      <c r="E89" s="311">
        <v>60</v>
      </c>
      <c r="F89" s="311">
        <v>0</v>
      </c>
      <c r="G89" s="311">
        <v>60</v>
      </c>
      <c r="H89" s="311">
        <v>0</v>
      </c>
      <c r="I89" s="311">
        <v>0</v>
      </c>
    </row>
    <row r="90">
      <c r="A90" s="311">
        <v>89</v>
      </c>
      <c r="B90" s="311" t="s">
        <v>22200</v>
      </c>
      <c r="C90" s="311">
        <v>6</v>
      </c>
      <c r="D90" s="311" t="s">
        <v>22181</v>
      </c>
      <c r="E90" s="311">
        <v>60</v>
      </c>
      <c r="F90" s="311">
        <v>0</v>
      </c>
      <c r="G90" s="311">
        <v>60</v>
      </c>
      <c r="H90" s="311">
        <v>0</v>
      </c>
      <c r="I90" s="311">
        <v>0</v>
      </c>
    </row>
    <row r="91">
      <c r="A91" s="311">
        <v>90</v>
      </c>
      <c r="B91" s="311" t="s">
        <v>22200</v>
      </c>
      <c r="C91" s="311">
        <v>8</v>
      </c>
      <c r="D91" s="311" t="s">
        <v>22181</v>
      </c>
      <c r="E91" s="311">
        <v>60</v>
      </c>
      <c r="F91" s="311">
        <v>0</v>
      </c>
      <c r="G91" s="311">
        <v>60</v>
      </c>
      <c r="H91" s="311">
        <v>0</v>
      </c>
      <c r="I91" s="311">
        <v>0</v>
      </c>
    </row>
    <row r="92">
      <c r="A92" s="311">
        <v>91</v>
      </c>
      <c r="B92" s="311" t="s">
        <v>22201</v>
      </c>
      <c r="C92" s="311">
        <v>2</v>
      </c>
      <c r="D92" s="311" t="s">
        <v>22179</v>
      </c>
      <c r="E92" s="311">
        <v>60</v>
      </c>
      <c r="F92" s="311">
        <v>90</v>
      </c>
      <c r="G92" s="311">
        <v>71</v>
      </c>
      <c r="H92" s="311">
        <v>40</v>
      </c>
      <c r="I92" s="311">
        <v>0</v>
      </c>
    </row>
    <row r="93">
      <c r="A93" s="311">
        <v>92</v>
      </c>
      <c r="B93" s="311" t="s">
        <v>22201</v>
      </c>
      <c r="C93" s="311">
        <v>4</v>
      </c>
      <c r="D93" s="311" t="s">
        <v>22179</v>
      </c>
      <c r="E93" s="311">
        <v>60</v>
      </c>
      <c r="F93" s="311">
        <v>40</v>
      </c>
      <c r="G93" s="311">
        <v>71</v>
      </c>
      <c r="H93" s="311">
        <v>80</v>
      </c>
      <c r="I93" s="311">
        <v>0</v>
      </c>
    </row>
    <row r="94">
      <c r="A94" s="311">
        <v>93</v>
      </c>
      <c r="B94" s="311" t="s">
        <v>22201</v>
      </c>
      <c r="C94" s="311">
        <v>2</v>
      </c>
      <c r="D94" s="311" t="s">
        <v>22180</v>
      </c>
      <c r="E94" s="311">
        <v>60</v>
      </c>
      <c r="F94" s="311">
        <v>80</v>
      </c>
      <c r="G94" s="311">
        <v>63</v>
      </c>
      <c r="H94" s="311">
        <v>0</v>
      </c>
      <c r="I94" s="311">
        <v>40</v>
      </c>
    </row>
    <row r="95">
      <c r="A95" s="311">
        <v>94</v>
      </c>
      <c r="B95" s="311" t="s">
        <v>22201</v>
      </c>
      <c r="C95" s="311">
        <v>4</v>
      </c>
      <c r="D95" s="311" t="s">
        <v>22180</v>
      </c>
      <c r="E95" s="311">
        <v>60</v>
      </c>
      <c r="F95" s="311">
        <v>36</v>
      </c>
      <c r="G95" s="311">
        <v>63</v>
      </c>
      <c r="H95" s="311">
        <v>0</v>
      </c>
      <c r="I95" s="311">
        <v>20</v>
      </c>
    </row>
    <row r="96">
      <c r="A96" s="311">
        <v>95</v>
      </c>
      <c r="B96" s="311" t="s">
        <v>22201</v>
      </c>
      <c r="C96" s="311">
        <v>1</v>
      </c>
      <c r="D96" s="311" t="s">
        <v>22196</v>
      </c>
      <c r="E96" s="311">
        <v>20</v>
      </c>
      <c r="F96" s="311">
        <v>20</v>
      </c>
      <c r="G96" s="311">
        <v>0</v>
      </c>
      <c r="H96" s="311">
        <v>0</v>
      </c>
      <c r="I96" s="311">
        <v>0</v>
      </c>
    </row>
    <row r="97">
      <c r="A97" s="311">
        <v>96</v>
      </c>
      <c r="B97" s="311" t="s">
        <v>22201</v>
      </c>
      <c r="C97" s="311">
        <v>2</v>
      </c>
      <c r="D97" s="311" t="s">
        <v>22196</v>
      </c>
      <c r="E97" s="311">
        <v>40</v>
      </c>
      <c r="F97" s="311">
        <v>40</v>
      </c>
      <c r="G97" s="311">
        <v>0</v>
      </c>
      <c r="H97" s="311">
        <v>0</v>
      </c>
      <c r="I97" s="311">
        <v>0</v>
      </c>
    </row>
    <row r="98">
      <c r="A98" s="311">
        <v>97</v>
      </c>
      <c r="B98" s="311" t="s">
        <v>22201</v>
      </c>
      <c r="C98" s="311">
        <v>4</v>
      </c>
      <c r="D98" s="311" t="s">
        <v>22181</v>
      </c>
      <c r="E98" s="311">
        <v>60</v>
      </c>
      <c r="F98" s="311">
        <v>0</v>
      </c>
      <c r="G98" s="311">
        <v>71</v>
      </c>
      <c r="H98" s="311">
        <v>0</v>
      </c>
      <c r="I98" s="311">
        <v>0</v>
      </c>
    </row>
    <row r="99">
      <c r="A99" s="311">
        <v>98</v>
      </c>
      <c r="B99" s="311" t="s">
        <v>22201</v>
      </c>
      <c r="C99" s="311">
        <v>6</v>
      </c>
      <c r="D99" s="311" t="s">
        <v>22181</v>
      </c>
      <c r="E99" s="311">
        <v>60</v>
      </c>
      <c r="F99" s="311">
        <v>0</v>
      </c>
      <c r="G99" s="311">
        <v>71</v>
      </c>
      <c r="H99" s="311">
        <v>0</v>
      </c>
      <c r="I99" s="311">
        <v>0</v>
      </c>
    </row>
    <row r="100">
      <c r="A100" s="311">
        <v>99</v>
      </c>
      <c r="B100" s="311" t="s">
        <v>22201</v>
      </c>
      <c r="C100" s="311">
        <v>8</v>
      </c>
      <c r="D100" s="311" t="s">
        <v>22181</v>
      </c>
      <c r="E100" s="311">
        <v>60</v>
      </c>
      <c r="F100" s="311">
        <v>0</v>
      </c>
      <c r="G100" s="311">
        <v>71</v>
      </c>
      <c r="H100" s="311">
        <v>0</v>
      </c>
      <c r="I100" s="311">
        <v>0</v>
      </c>
    </row>
    <row r="101">
      <c r="A101" s="311">
        <v>100</v>
      </c>
      <c r="B101" s="311" t="s">
        <v>22202</v>
      </c>
      <c r="C101" s="311">
        <v>2</v>
      </c>
      <c r="D101" s="311" t="s">
        <v>22179</v>
      </c>
      <c r="E101" s="311">
        <v>60</v>
      </c>
      <c r="F101" s="311">
        <v>90</v>
      </c>
      <c r="G101" s="311">
        <v>0</v>
      </c>
      <c r="H101" s="311">
        <v>40</v>
      </c>
      <c r="I101" s="311">
        <v>0</v>
      </c>
    </row>
    <row r="102">
      <c r="A102" s="311">
        <v>101</v>
      </c>
      <c r="B102" s="311" t="s">
        <v>22202</v>
      </c>
      <c r="C102" s="311">
        <v>4</v>
      </c>
      <c r="D102" s="311" t="s">
        <v>22179</v>
      </c>
      <c r="E102" s="311">
        <v>60</v>
      </c>
      <c r="F102" s="311">
        <v>40</v>
      </c>
      <c r="G102" s="311">
        <v>0</v>
      </c>
      <c r="H102" s="311">
        <v>80</v>
      </c>
      <c r="I102" s="311">
        <v>0</v>
      </c>
    </row>
    <row r="103">
      <c r="A103" s="311">
        <v>102</v>
      </c>
      <c r="B103" s="311" t="s">
        <v>22202</v>
      </c>
      <c r="C103" s="311">
        <v>2</v>
      </c>
      <c r="D103" s="311" t="s">
        <v>22180</v>
      </c>
      <c r="E103" s="311">
        <v>60</v>
      </c>
      <c r="F103" s="311">
        <v>0</v>
      </c>
      <c r="G103" s="311">
        <v>0</v>
      </c>
      <c r="H103" s="311">
        <v>0</v>
      </c>
      <c r="I103" s="311">
        <v>40</v>
      </c>
    </row>
    <row r="104">
      <c r="A104" s="311">
        <v>103</v>
      </c>
      <c r="B104" s="311" t="s">
        <v>22202</v>
      </c>
      <c r="C104" s="311">
        <v>4</v>
      </c>
      <c r="D104" s="311" t="s">
        <v>22180</v>
      </c>
      <c r="E104" s="311">
        <v>60</v>
      </c>
      <c r="F104" s="311">
        <v>0</v>
      </c>
      <c r="G104" s="311">
        <v>0</v>
      </c>
      <c r="H104" s="311">
        <v>0</v>
      </c>
      <c r="I104" s="311">
        <v>20</v>
      </c>
    </row>
    <row r="105">
      <c r="A105" s="311">
        <v>104</v>
      </c>
      <c r="B105" s="311" t="s">
        <v>22203</v>
      </c>
      <c r="C105" s="311">
        <v>2</v>
      </c>
      <c r="D105" s="311" t="s">
        <v>22179</v>
      </c>
      <c r="E105" s="311">
        <v>60</v>
      </c>
      <c r="F105" s="311">
        <v>40</v>
      </c>
      <c r="G105" s="311">
        <v>20</v>
      </c>
      <c r="H105" s="311">
        <v>0</v>
      </c>
      <c r="I105" s="311">
        <v>0</v>
      </c>
    </row>
    <row r="106">
      <c r="A106" s="311">
        <v>105</v>
      </c>
      <c r="B106" s="311" t="s">
        <v>22203</v>
      </c>
      <c r="C106" s="311">
        <v>4</v>
      </c>
      <c r="D106" s="311" t="s">
        <v>22180</v>
      </c>
      <c r="E106" s="311">
        <v>60</v>
      </c>
      <c r="F106" s="311">
        <v>20</v>
      </c>
      <c r="G106" s="311">
        <v>15</v>
      </c>
      <c r="H106" s="311">
        <v>0</v>
      </c>
      <c r="I106" s="311">
        <v>20</v>
      </c>
    </row>
    <row r="107">
      <c r="A107" s="311">
        <v>106</v>
      </c>
      <c r="B107" s="311" t="s">
        <v>22203</v>
      </c>
      <c r="C107" s="311">
        <v>1</v>
      </c>
      <c r="D107" s="311" t="s">
        <v>22196</v>
      </c>
      <c r="E107" s="311">
        <v>20</v>
      </c>
      <c r="F107" s="311">
        <v>20</v>
      </c>
      <c r="G107" s="311">
        <v>0</v>
      </c>
      <c r="H107" s="311">
        <v>30</v>
      </c>
      <c r="I107" s="311">
        <v>0</v>
      </c>
    </row>
    <row r="108">
      <c r="A108" s="311">
        <v>107</v>
      </c>
      <c r="B108" s="311" t="s">
        <v>22203</v>
      </c>
      <c r="C108" s="311">
        <v>2</v>
      </c>
      <c r="D108" s="311" t="s">
        <v>22196</v>
      </c>
      <c r="E108" s="311">
        <v>40</v>
      </c>
      <c r="F108" s="311">
        <v>40</v>
      </c>
      <c r="G108" s="311">
        <v>0</v>
      </c>
      <c r="H108" s="311">
        <v>60</v>
      </c>
      <c r="I108" s="311">
        <v>0</v>
      </c>
    </row>
    <row r="109">
      <c r="A109" s="311">
        <v>108</v>
      </c>
      <c r="B109" s="311" t="s">
        <v>22204</v>
      </c>
      <c r="C109" s="311">
        <v>2</v>
      </c>
      <c r="D109" s="311" t="s">
        <v>22179</v>
      </c>
      <c r="E109" s="311">
        <v>60</v>
      </c>
      <c r="F109" s="311">
        <v>41.7</v>
      </c>
      <c r="G109" s="311">
        <v>0</v>
      </c>
      <c r="H109" s="311">
        <v>0</v>
      </c>
      <c r="I109" s="311">
        <v>0</v>
      </c>
    </row>
    <row r="110">
      <c r="A110" s="311">
        <v>109</v>
      </c>
      <c r="B110" s="311" t="s">
        <v>22205</v>
      </c>
      <c r="C110" s="311">
        <v>1</v>
      </c>
      <c r="D110" s="311" t="s">
        <v>22196</v>
      </c>
      <c r="E110" s="311">
        <v>20</v>
      </c>
      <c r="F110" s="311">
        <v>20</v>
      </c>
      <c r="G110" s="311">
        <v>0</v>
      </c>
      <c r="H110" s="311">
        <v>0</v>
      </c>
      <c r="I110" s="311">
        <v>0</v>
      </c>
    </row>
    <row r="111">
      <c r="A111" s="311">
        <v>110</v>
      </c>
      <c r="B111" s="311" t="s">
        <v>22205</v>
      </c>
      <c r="C111" s="311">
        <v>2</v>
      </c>
      <c r="D111" s="311" t="s">
        <v>22196</v>
      </c>
      <c r="E111" s="311">
        <v>40</v>
      </c>
      <c r="F111" s="311">
        <v>40</v>
      </c>
      <c r="G111" s="311">
        <v>0</v>
      </c>
      <c r="H111" s="311">
        <v>0</v>
      </c>
      <c r="I111" s="311">
        <v>0</v>
      </c>
    </row>
    <row r="112">
      <c r="A112" s="311">
        <v>111</v>
      </c>
      <c r="B112" s="311" t="s">
        <v>22206</v>
      </c>
      <c r="C112" s="311">
        <v>2</v>
      </c>
      <c r="D112" s="311" t="s">
        <v>22179</v>
      </c>
      <c r="E112" s="311">
        <v>60</v>
      </c>
      <c r="F112" s="311">
        <v>0</v>
      </c>
      <c r="G112" s="311">
        <v>0</v>
      </c>
      <c r="H112" s="311">
        <v>0</v>
      </c>
      <c r="I112" s="311">
        <v>0</v>
      </c>
    </row>
    <row r="113">
      <c r="A113" s="311">
        <v>112</v>
      </c>
      <c r="B113" s="311" t="s">
        <v>22206</v>
      </c>
      <c r="C113" s="311">
        <v>4</v>
      </c>
      <c r="D113" s="311" t="s">
        <v>22179</v>
      </c>
      <c r="E113" s="311">
        <v>60</v>
      </c>
      <c r="F113" s="311">
        <v>0</v>
      </c>
      <c r="G113" s="311">
        <v>0</v>
      </c>
      <c r="H113" s="311">
        <v>0</v>
      </c>
      <c r="I113" s="311">
        <v>0</v>
      </c>
    </row>
    <row r="114">
      <c r="A114" s="311">
        <v>113</v>
      </c>
      <c r="B114" s="311" t="s">
        <v>22206</v>
      </c>
      <c r="C114" s="311">
        <v>2</v>
      </c>
      <c r="D114" s="311" t="s">
        <v>22180</v>
      </c>
      <c r="E114" s="311">
        <v>60</v>
      </c>
      <c r="F114" s="311">
        <v>0</v>
      </c>
      <c r="G114" s="311">
        <v>0</v>
      </c>
      <c r="H114" s="311">
        <v>0</v>
      </c>
      <c r="I114" s="311">
        <v>0</v>
      </c>
    </row>
    <row r="115">
      <c r="A115" s="311">
        <v>114</v>
      </c>
      <c r="B115" s="311" t="s">
        <v>22206</v>
      </c>
      <c r="C115" s="311">
        <v>4</v>
      </c>
      <c r="D115" s="311" t="s">
        <v>22180</v>
      </c>
      <c r="E115" s="311">
        <v>60</v>
      </c>
      <c r="F115" s="311">
        <v>0</v>
      </c>
      <c r="G115" s="311">
        <v>0</v>
      </c>
      <c r="H115" s="311">
        <v>0</v>
      </c>
      <c r="I115" s="311">
        <v>0</v>
      </c>
    </row>
    <row r="116">
      <c r="A116" s="311">
        <v>115</v>
      </c>
      <c r="B116" s="311" t="s">
        <v>22206</v>
      </c>
      <c r="C116" s="311">
        <v>6</v>
      </c>
      <c r="D116" s="311" t="s">
        <v>22180</v>
      </c>
      <c r="E116" s="311">
        <v>60</v>
      </c>
      <c r="F116" s="311">
        <v>0</v>
      </c>
      <c r="G116" s="311">
        <v>0</v>
      </c>
      <c r="H116" s="311">
        <v>0</v>
      </c>
      <c r="I116" s="311">
        <v>0</v>
      </c>
    </row>
    <row r="117">
      <c r="A117" s="311">
        <v>116</v>
      </c>
      <c r="B117" s="311" t="s">
        <v>22206</v>
      </c>
      <c r="C117" s="311">
        <v>6</v>
      </c>
      <c r="D117" s="311" t="s">
        <v>22181</v>
      </c>
      <c r="E117" s="311">
        <v>60</v>
      </c>
      <c r="F117" s="311">
        <v>0</v>
      </c>
      <c r="G117" s="311">
        <v>0</v>
      </c>
      <c r="H117" s="311">
        <v>0</v>
      </c>
      <c r="I117" s="311">
        <v>0</v>
      </c>
    </row>
    <row r="118">
      <c r="A118" s="311">
        <v>117</v>
      </c>
      <c r="B118" s="311" t="s">
        <v>22206</v>
      </c>
      <c r="C118" s="311">
        <v>8</v>
      </c>
      <c r="D118" s="311" t="s">
        <v>22181</v>
      </c>
      <c r="E118" s="311">
        <v>60</v>
      </c>
      <c r="F118" s="311">
        <v>0</v>
      </c>
      <c r="G118" s="311">
        <v>0</v>
      </c>
      <c r="H118" s="311">
        <v>0</v>
      </c>
      <c r="I118" s="311">
        <v>0</v>
      </c>
    </row>
    <row r="119">
      <c r="A119" s="311">
        <v>118</v>
      </c>
      <c r="B119" s="311" t="s">
        <v>22206</v>
      </c>
      <c r="C119" s="311">
        <v>10</v>
      </c>
      <c r="D119" s="311" t="s">
        <v>22181</v>
      </c>
      <c r="E119" s="311">
        <v>60</v>
      </c>
      <c r="F119" s="311">
        <v>0</v>
      </c>
      <c r="G119" s="311">
        <v>0</v>
      </c>
      <c r="H119" s="311">
        <v>0</v>
      </c>
      <c r="I119" s="311">
        <v>0</v>
      </c>
    </row>
    <row r="120">
      <c r="A120" s="311">
        <v>119</v>
      </c>
      <c r="B120" s="311" t="s">
        <v>22206</v>
      </c>
      <c r="C120" s="311">
        <v>12</v>
      </c>
      <c r="D120" s="311" t="s">
        <v>22181</v>
      </c>
      <c r="E120" s="311">
        <v>60</v>
      </c>
      <c r="F120" s="311">
        <v>0</v>
      </c>
      <c r="G120" s="311">
        <v>0</v>
      </c>
      <c r="H120" s="311">
        <v>0</v>
      </c>
      <c r="I120" s="311">
        <v>0</v>
      </c>
    </row>
    <row r="121" ht="30">
      <c r="A121" s="311">
        <v>120</v>
      </c>
      <c r="B121" s="311" t="s">
        <v>22207</v>
      </c>
      <c r="C121" s="311">
        <v>6</v>
      </c>
      <c r="D121" s="311" t="s">
        <v>22208</v>
      </c>
      <c r="E121" s="311">
        <v>60</v>
      </c>
      <c r="F121" s="311">
        <v>0</v>
      </c>
      <c r="G121" s="311">
        <v>0</v>
      </c>
      <c r="H121" s="311">
        <v>0</v>
      </c>
      <c r="I121" s="311">
        <v>0</v>
      </c>
    </row>
    <row r="122" ht="30">
      <c r="A122" s="311">
        <v>121</v>
      </c>
      <c r="B122" s="311" t="s">
        <v>22207</v>
      </c>
      <c r="C122" s="311">
        <v>7</v>
      </c>
      <c r="D122" s="311" t="s">
        <v>22208</v>
      </c>
      <c r="E122" s="311">
        <v>60</v>
      </c>
      <c r="F122" s="311">
        <v>0</v>
      </c>
      <c r="G122" s="311">
        <v>0</v>
      </c>
      <c r="H122" s="311">
        <v>0</v>
      </c>
      <c r="I122" s="311">
        <v>0</v>
      </c>
    </row>
    <row r="123">
      <c r="A123" s="311">
        <v>122</v>
      </c>
      <c r="B123" s="311" t="s">
        <v>22209</v>
      </c>
      <c r="C123" s="311">
        <v>1</v>
      </c>
      <c r="D123" s="311" t="s">
        <v>22210</v>
      </c>
      <c r="E123" s="311">
        <v>40</v>
      </c>
      <c r="F123" s="311">
        <v>0</v>
      </c>
      <c r="G123" s="311">
        <v>0</v>
      </c>
      <c r="H123" s="311">
        <v>0</v>
      </c>
      <c r="I123" s="311">
        <v>0</v>
      </c>
    </row>
    <row r="124">
      <c r="A124" s="311">
        <v>123</v>
      </c>
      <c r="B124" s="311" t="s">
        <v>22211</v>
      </c>
      <c r="C124" s="311">
        <v>1</v>
      </c>
      <c r="D124" s="311" t="s">
        <v>22196</v>
      </c>
      <c r="E124" s="311">
        <v>20</v>
      </c>
      <c r="F124" s="311">
        <v>0</v>
      </c>
      <c r="G124" s="311">
        <v>0</v>
      </c>
      <c r="H124" s="311">
        <v>0</v>
      </c>
      <c r="I124" s="311">
        <v>0</v>
      </c>
    </row>
    <row r="125">
      <c r="A125" s="311">
        <v>124</v>
      </c>
      <c r="B125" s="311" t="s">
        <v>22211</v>
      </c>
      <c r="C125" s="311">
        <v>2</v>
      </c>
      <c r="D125" s="311" t="s">
        <v>22196</v>
      </c>
      <c r="E125" s="311">
        <v>40</v>
      </c>
      <c r="F125" s="311">
        <v>0</v>
      </c>
      <c r="G125" s="311">
        <v>0</v>
      </c>
      <c r="H125" s="311">
        <v>0</v>
      </c>
      <c r="I125" s="311">
        <v>0</v>
      </c>
    </row>
    <row r="126">
      <c r="A126" s="311">
        <v>125</v>
      </c>
      <c r="B126" s="311" t="s">
        <v>22212</v>
      </c>
      <c r="C126" s="311">
        <v>1</v>
      </c>
      <c r="D126" s="311" t="s">
        <v>22179</v>
      </c>
      <c r="E126" s="311">
        <v>40</v>
      </c>
      <c r="F126" s="311">
        <v>0</v>
      </c>
      <c r="G126" s="311">
        <v>0</v>
      </c>
      <c r="H126" s="311">
        <v>40</v>
      </c>
      <c r="I126" s="311">
        <v>0</v>
      </c>
    </row>
    <row r="127">
      <c r="A127" s="311">
        <v>126</v>
      </c>
      <c r="B127" s="311" t="s">
        <v>22212</v>
      </c>
      <c r="C127" s="311">
        <v>2</v>
      </c>
      <c r="D127" s="311" t="s">
        <v>22179</v>
      </c>
      <c r="E127" s="311">
        <v>80</v>
      </c>
      <c r="F127" s="311">
        <v>0</v>
      </c>
      <c r="G127" s="311">
        <v>0</v>
      </c>
      <c r="H127" s="311">
        <v>80</v>
      </c>
      <c r="I127" s="311">
        <v>0</v>
      </c>
    </row>
    <row r="128">
      <c r="A128" s="311">
        <v>127</v>
      </c>
      <c r="B128" s="311" t="s">
        <v>22212</v>
      </c>
      <c r="C128" s="311">
        <v>4</v>
      </c>
      <c r="D128" s="311" t="s">
        <v>22179</v>
      </c>
      <c r="E128" s="311">
        <v>80</v>
      </c>
      <c r="F128" s="311">
        <v>0</v>
      </c>
      <c r="G128" s="311">
        <v>0</v>
      </c>
      <c r="H128" s="311">
        <v>0</v>
      </c>
      <c r="I128" s="311">
        <v>0</v>
      </c>
    </row>
    <row r="129">
      <c r="A129" s="311">
        <v>128</v>
      </c>
      <c r="B129" s="311" t="s">
        <v>22212</v>
      </c>
      <c r="C129" s="311">
        <v>2</v>
      </c>
      <c r="D129" s="311" t="s">
        <v>22180</v>
      </c>
      <c r="E129" s="311">
        <v>40</v>
      </c>
      <c r="F129" s="311">
        <v>0</v>
      </c>
      <c r="G129" s="311">
        <v>0</v>
      </c>
      <c r="H129" s="311">
        <v>0</v>
      </c>
      <c r="I129" s="311">
        <v>0</v>
      </c>
    </row>
    <row r="130">
      <c r="A130" s="311">
        <v>129</v>
      </c>
      <c r="B130" s="311" t="s">
        <v>22212</v>
      </c>
      <c r="C130" s="311">
        <v>4</v>
      </c>
      <c r="D130" s="311" t="s">
        <v>22180</v>
      </c>
      <c r="E130" s="311">
        <v>40</v>
      </c>
      <c r="F130" s="311">
        <v>0</v>
      </c>
      <c r="G130" s="311">
        <v>0</v>
      </c>
      <c r="H130" s="311">
        <v>0</v>
      </c>
      <c r="I130" s="311">
        <v>0</v>
      </c>
    </row>
    <row r="131">
      <c r="A131" s="311">
        <v>130</v>
      </c>
      <c r="B131" s="311" t="s">
        <v>22212</v>
      </c>
      <c r="C131" s="311">
        <v>1</v>
      </c>
      <c r="D131" s="311" t="s">
        <v>22196</v>
      </c>
      <c r="E131" s="311">
        <v>20</v>
      </c>
      <c r="F131" s="311">
        <v>0</v>
      </c>
      <c r="G131" s="311">
        <v>0</v>
      </c>
      <c r="H131" s="311">
        <v>40</v>
      </c>
      <c r="I131" s="311">
        <v>0</v>
      </c>
    </row>
    <row r="132">
      <c r="A132" s="311">
        <v>131</v>
      </c>
      <c r="B132" s="311" t="s">
        <v>22212</v>
      </c>
      <c r="C132" s="311">
        <v>2</v>
      </c>
      <c r="D132" s="311" t="s">
        <v>22196</v>
      </c>
      <c r="E132" s="311">
        <v>40</v>
      </c>
      <c r="F132" s="311">
        <v>0</v>
      </c>
      <c r="G132" s="311">
        <v>0</v>
      </c>
      <c r="H132" s="311">
        <v>80</v>
      </c>
      <c r="I132" s="311">
        <v>0</v>
      </c>
    </row>
    <row r="133">
      <c r="A133" s="311">
        <v>132</v>
      </c>
      <c r="B133" s="311" t="s">
        <v>22213</v>
      </c>
      <c r="C133" s="311">
        <v>1</v>
      </c>
      <c r="D133" s="311" t="s">
        <v>22179</v>
      </c>
      <c r="E133" s="311">
        <v>40</v>
      </c>
      <c r="F133" s="311">
        <v>0</v>
      </c>
      <c r="G133" s="311">
        <v>0</v>
      </c>
      <c r="H133" s="311">
        <v>0</v>
      </c>
      <c r="I133" s="311">
        <v>0</v>
      </c>
    </row>
    <row r="134">
      <c r="A134" s="311">
        <v>133</v>
      </c>
      <c r="B134" s="311" t="s">
        <v>22213</v>
      </c>
      <c r="C134" s="311">
        <v>2</v>
      </c>
      <c r="D134" s="311" t="s">
        <v>22179</v>
      </c>
      <c r="E134" s="311">
        <v>80</v>
      </c>
      <c r="F134" s="311">
        <v>0</v>
      </c>
      <c r="G134" s="311">
        <v>0</v>
      </c>
      <c r="H134" s="311">
        <v>0</v>
      </c>
      <c r="I134" s="311">
        <v>0</v>
      </c>
    </row>
    <row r="135">
      <c r="A135" s="311">
        <v>134</v>
      </c>
      <c r="B135" s="311" t="s">
        <v>22213</v>
      </c>
      <c r="C135" s="311">
        <v>4</v>
      </c>
      <c r="D135" s="311" t="s">
        <v>22179</v>
      </c>
      <c r="E135" s="311">
        <v>80</v>
      </c>
      <c r="F135" s="311">
        <v>0</v>
      </c>
      <c r="G135" s="311">
        <v>0</v>
      </c>
      <c r="H135" s="311">
        <v>0</v>
      </c>
      <c r="I135" s="311">
        <v>0</v>
      </c>
    </row>
    <row r="136">
      <c r="A136" s="311">
        <v>135</v>
      </c>
      <c r="B136" s="311" t="s">
        <v>22213</v>
      </c>
      <c r="C136" s="311">
        <v>2</v>
      </c>
      <c r="D136" s="311" t="s">
        <v>22180</v>
      </c>
      <c r="E136" s="311">
        <v>40</v>
      </c>
      <c r="F136" s="311">
        <v>0</v>
      </c>
      <c r="G136" s="311">
        <v>0</v>
      </c>
      <c r="H136" s="311">
        <v>0</v>
      </c>
      <c r="I136" s="311">
        <v>0</v>
      </c>
    </row>
    <row r="137">
      <c r="A137" s="311">
        <v>136</v>
      </c>
      <c r="B137" s="311" t="s">
        <v>22213</v>
      </c>
      <c r="C137" s="311">
        <v>4</v>
      </c>
      <c r="D137" s="311" t="s">
        <v>22180</v>
      </c>
      <c r="E137" s="311">
        <v>40</v>
      </c>
      <c r="F137" s="311">
        <v>0</v>
      </c>
      <c r="G137" s="311">
        <v>0</v>
      </c>
      <c r="H137" s="311">
        <v>0</v>
      </c>
      <c r="I137" s="311">
        <v>0</v>
      </c>
    </row>
    <row r="138">
      <c r="A138" s="311">
        <v>137</v>
      </c>
      <c r="B138" s="311" t="s">
        <v>22214</v>
      </c>
      <c r="C138" s="311">
        <v>3</v>
      </c>
      <c r="D138" s="311" t="s">
        <v>22196</v>
      </c>
      <c r="E138" s="311">
        <v>60</v>
      </c>
      <c r="F138" s="311">
        <v>0</v>
      </c>
      <c r="G138" s="311">
        <v>0</v>
      </c>
      <c r="H138" s="311">
        <v>0</v>
      </c>
      <c r="I138" s="311">
        <v>0</v>
      </c>
    </row>
    <row r="139">
      <c r="A139" s="311">
        <v>138</v>
      </c>
      <c r="B139" s="311" t="s">
        <v>22215</v>
      </c>
      <c r="C139" s="311">
        <v>1</v>
      </c>
      <c r="D139" s="311" t="s">
        <v>22179</v>
      </c>
      <c r="E139" s="311">
        <v>40</v>
      </c>
      <c r="F139" s="311">
        <v>0</v>
      </c>
      <c r="G139" s="311">
        <v>0</v>
      </c>
      <c r="H139" s="311">
        <v>0</v>
      </c>
      <c r="I139" s="311">
        <v>0</v>
      </c>
    </row>
    <row r="140">
      <c r="A140" s="311">
        <v>139</v>
      </c>
      <c r="B140" s="311" t="s">
        <v>22215</v>
      </c>
      <c r="C140" s="311">
        <v>2</v>
      </c>
      <c r="D140" s="311" t="s">
        <v>22179</v>
      </c>
      <c r="E140" s="311">
        <v>80</v>
      </c>
      <c r="F140" s="311">
        <v>0</v>
      </c>
      <c r="G140" s="311">
        <v>0</v>
      </c>
      <c r="H140" s="311">
        <v>0</v>
      </c>
      <c r="I140" s="311">
        <v>0</v>
      </c>
    </row>
    <row r="141">
      <c r="A141" s="311">
        <v>140</v>
      </c>
      <c r="B141" s="311" t="s">
        <v>22215</v>
      </c>
      <c r="C141" s="311">
        <v>4</v>
      </c>
      <c r="D141" s="311" t="s">
        <v>22179</v>
      </c>
      <c r="E141" s="311">
        <v>80</v>
      </c>
      <c r="F141" s="311">
        <v>0</v>
      </c>
      <c r="G141" s="311">
        <v>0</v>
      </c>
      <c r="H141" s="311">
        <v>0</v>
      </c>
      <c r="I141" s="311">
        <v>0</v>
      </c>
    </row>
    <row r="142">
      <c r="A142" s="311">
        <v>141</v>
      </c>
      <c r="B142" s="311" t="s">
        <v>22215</v>
      </c>
      <c r="C142" s="311">
        <v>2</v>
      </c>
      <c r="D142" s="311" t="s">
        <v>22180</v>
      </c>
      <c r="E142" s="311">
        <v>40</v>
      </c>
      <c r="F142" s="311">
        <v>0</v>
      </c>
      <c r="G142" s="311">
        <v>0</v>
      </c>
      <c r="H142" s="311">
        <v>0</v>
      </c>
      <c r="I142" s="311">
        <v>0</v>
      </c>
    </row>
    <row r="143">
      <c r="A143" s="311">
        <v>142</v>
      </c>
      <c r="B143" s="311" t="s">
        <v>22215</v>
      </c>
      <c r="C143" s="311">
        <v>4</v>
      </c>
      <c r="D143" s="311" t="s">
        <v>22180</v>
      </c>
      <c r="E143" s="311">
        <v>40</v>
      </c>
      <c r="F143" s="311">
        <v>0</v>
      </c>
      <c r="G143" s="311">
        <v>0</v>
      </c>
      <c r="H143" s="311">
        <v>0</v>
      </c>
      <c r="I143" s="311">
        <v>0</v>
      </c>
    </row>
    <row r="144">
      <c r="A144" s="311">
        <v>143</v>
      </c>
      <c r="B144" s="311" t="s">
        <v>22178</v>
      </c>
      <c r="C144" s="311">
        <v>1</v>
      </c>
      <c r="D144" s="311" t="s">
        <v>22179</v>
      </c>
      <c r="E144" s="311">
        <v>0</v>
      </c>
      <c r="F144" s="311">
        <v>35.48</v>
      </c>
      <c r="G144" s="311">
        <v>0</v>
      </c>
      <c r="H144" s="311">
        <v>0</v>
      </c>
      <c r="I144" s="311">
        <v>0</v>
      </c>
    </row>
    <row r="145">
      <c r="A145" s="311">
        <v>144</v>
      </c>
      <c r="B145" s="311" t="s">
        <v>22199</v>
      </c>
      <c r="C145" s="311">
        <v>3</v>
      </c>
      <c r="D145" s="311" t="s">
        <v>22180</v>
      </c>
      <c r="E145" s="311">
        <v>0</v>
      </c>
      <c r="F145" s="311">
        <v>27.54</v>
      </c>
      <c r="G145" s="311">
        <v>60</v>
      </c>
      <c r="H145" s="311">
        <v>0</v>
      </c>
      <c r="I145" s="311">
        <v>0</v>
      </c>
    </row>
    <row r="146">
      <c r="A146" s="311">
        <v>145</v>
      </c>
      <c r="B146" s="311" t="s">
        <v>22199</v>
      </c>
      <c r="C146" s="311">
        <v>3</v>
      </c>
      <c r="D146" s="311" t="s">
        <v>22196</v>
      </c>
      <c r="E146" s="311">
        <v>0</v>
      </c>
      <c r="F146" s="311">
        <v>20</v>
      </c>
      <c r="G146" s="311">
        <v>80</v>
      </c>
      <c r="H146" s="311">
        <v>0</v>
      </c>
      <c r="I146" s="311">
        <v>0</v>
      </c>
    </row>
    <row r="147">
      <c r="A147" s="311">
        <v>146</v>
      </c>
      <c r="B147" s="311" t="s">
        <v>21326</v>
      </c>
      <c r="C147" s="311">
        <v>2</v>
      </c>
      <c r="D147" s="311" t="s">
        <v>22179</v>
      </c>
      <c r="E147" s="311">
        <v>0</v>
      </c>
      <c r="F147" s="311">
        <v>40</v>
      </c>
      <c r="G147" s="311">
        <v>0</v>
      </c>
      <c r="H147" s="311">
        <v>40</v>
      </c>
      <c r="I147" s="311">
        <v>0</v>
      </c>
    </row>
    <row r="148">
      <c r="A148" s="311">
        <v>147</v>
      </c>
      <c r="B148" s="311" t="s">
        <v>21326</v>
      </c>
      <c r="C148" s="311">
        <v>4</v>
      </c>
      <c r="D148" s="311" t="s">
        <v>22179</v>
      </c>
      <c r="E148" s="311">
        <v>0</v>
      </c>
      <c r="F148" s="311">
        <v>80</v>
      </c>
      <c r="G148" s="311">
        <v>0</v>
      </c>
      <c r="H148" s="311">
        <v>80</v>
      </c>
      <c r="I148" s="311">
        <v>0</v>
      </c>
    </row>
    <row r="149">
      <c r="A149" s="311">
        <v>148</v>
      </c>
      <c r="B149" s="311" t="s">
        <v>21326</v>
      </c>
      <c r="C149" s="311">
        <v>2</v>
      </c>
      <c r="D149" s="311" t="s">
        <v>22180</v>
      </c>
      <c r="E149" s="311">
        <v>0</v>
      </c>
      <c r="F149" s="311">
        <v>40</v>
      </c>
      <c r="G149" s="311">
        <v>0</v>
      </c>
      <c r="H149" s="311">
        <v>0</v>
      </c>
      <c r="I149" s="311">
        <v>0</v>
      </c>
    </row>
    <row r="150">
      <c r="A150" s="311">
        <v>149</v>
      </c>
      <c r="B150" s="311" t="s">
        <v>21326</v>
      </c>
      <c r="C150" s="311">
        <v>4</v>
      </c>
      <c r="D150" s="311" t="s">
        <v>22180</v>
      </c>
      <c r="E150" s="311">
        <v>0</v>
      </c>
      <c r="F150" s="311">
        <v>80</v>
      </c>
      <c r="G150" s="311">
        <v>0</v>
      </c>
      <c r="H150" s="311">
        <v>0</v>
      </c>
      <c r="I150" s="311">
        <v>0</v>
      </c>
    </row>
    <row r="151">
      <c r="A151" s="311">
        <v>150</v>
      </c>
      <c r="B151" s="311" t="s">
        <v>22203</v>
      </c>
      <c r="C151" s="311">
        <v>4</v>
      </c>
      <c r="D151" s="311" t="s">
        <v>22179</v>
      </c>
      <c r="E151" s="311">
        <v>0</v>
      </c>
      <c r="F151" s="311">
        <v>20</v>
      </c>
      <c r="G151" s="311">
        <v>15</v>
      </c>
      <c r="H151" s="311">
        <v>0</v>
      </c>
      <c r="I151" s="311">
        <v>0</v>
      </c>
    </row>
    <row r="152">
      <c r="A152" s="311">
        <v>151</v>
      </c>
      <c r="B152" s="311" t="s">
        <v>22203</v>
      </c>
      <c r="C152" s="311">
        <v>2</v>
      </c>
      <c r="D152" s="311" t="s">
        <v>22180</v>
      </c>
      <c r="E152" s="311">
        <v>0</v>
      </c>
      <c r="F152" s="311">
        <v>40</v>
      </c>
      <c r="G152" s="311">
        <v>20</v>
      </c>
      <c r="H152" s="311">
        <v>0</v>
      </c>
      <c r="I152" s="311">
        <v>40</v>
      </c>
    </row>
    <row r="153">
      <c r="A153" s="311">
        <v>152</v>
      </c>
      <c r="B153" s="311" t="s">
        <v>22204</v>
      </c>
      <c r="C153" s="311">
        <v>4</v>
      </c>
      <c r="D153" s="311" t="s">
        <v>22179</v>
      </c>
      <c r="E153" s="311">
        <v>0</v>
      </c>
      <c r="F153" s="311">
        <v>37.24</v>
      </c>
      <c r="G153" s="311">
        <v>0</v>
      </c>
      <c r="H153" s="311">
        <v>0</v>
      </c>
      <c r="I153" s="311">
        <v>0</v>
      </c>
    </row>
    <row r="154">
      <c r="A154" s="311">
        <v>153</v>
      </c>
      <c r="B154" s="311" t="s">
        <v>22204</v>
      </c>
      <c r="C154" s="311">
        <v>2</v>
      </c>
      <c r="D154" s="311" t="s">
        <v>22180</v>
      </c>
      <c r="E154" s="311">
        <v>0</v>
      </c>
      <c r="F154" s="311">
        <v>41.7</v>
      </c>
      <c r="G154" s="311">
        <v>0</v>
      </c>
      <c r="H154" s="311">
        <v>0</v>
      </c>
      <c r="I154" s="311">
        <v>0</v>
      </c>
    </row>
    <row r="155">
      <c r="A155" s="311">
        <v>154</v>
      </c>
      <c r="B155" s="311" t="s">
        <v>22204</v>
      </c>
      <c r="C155" s="311">
        <v>4</v>
      </c>
      <c r="D155" s="311" t="s">
        <v>22180</v>
      </c>
      <c r="E155" s="311">
        <v>0</v>
      </c>
      <c r="F155" s="311">
        <v>37.24</v>
      </c>
      <c r="G155" s="311">
        <v>0</v>
      </c>
      <c r="H155" s="311">
        <v>0</v>
      </c>
      <c r="I155" s="311">
        <v>0</v>
      </c>
    </row>
    <row r="156">
      <c r="A156" s="311">
        <v>155</v>
      </c>
      <c r="B156" s="311" t="s">
        <v>22216</v>
      </c>
      <c r="C156" s="311">
        <v>1</v>
      </c>
      <c r="D156" s="311" t="s">
        <v>22179</v>
      </c>
      <c r="E156" s="311">
        <v>0</v>
      </c>
      <c r="F156" s="311">
        <v>20</v>
      </c>
      <c r="G156" s="311">
        <v>0</v>
      </c>
      <c r="H156" s="311">
        <v>0</v>
      </c>
      <c r="I156" s="311">
        <v>0</v>
      </c>
    </row>
    <row r="157">
      <c r="A157" s="311">
        <v>156</v>
      </c>
      <c r="B157" s="311" t="s">
        <v>22216</v>
      </c>
      <c r="C157" s="311">
        <v>2</v>
      </c>
      <c r="D157" s="311" t="s">
        <v>22179</v>
      </c>
      <c r="E157" s="311">
        <v>0</v>
      </c>
      <c r="F157" s="311">
        <v>40</v>
      </c>
      <c r="G157" s="311">
        <v>0</v>
      </c>
      <c r="H157" s="311">
        <v>0</v>
      </c>
      <c r="I157" s="311">
        <v>0</v>
      </c>
    </row>
    <row r="158">
      <c r="A158" s="311">
        <v>157</v>
      </c>
      <c r="B158" s="311" t="s">
        <v>22216</v>
      </c>
      <c r="C158" s="311">
        <v>3</v>
      </c>
      <c r="D158" s="311" t="s">
        <v>22179</v>
      </c>
      <c r="E158" s="311">
        <v>0</v>
      </c>
      <c r="F158" s="311">
        <v>60</v>
      </c>
      <c r="G158" s="311">
        <v>0</v>
      </c>
      <c r="H158" s="311">
        <v>0</v>
      </c>
      <c r="I158" s="311">
        <v>0</v>
      </c>
    </row>
    <row r="159">
      <c r="A159" s="311">
        <v>158</v>
      </c>
      <c r="B159" s="311" t="s">
        <v>22216</v>
      </c>
      <c r="C159" s="311">
        <v>4</v>
      </c>
      <c r="D159" s="311" t="s">
        <v>22179</v>
      </c>
      <c r="E159" s="311">
        <v>0</v>
      </c>
      <c r="F159" s="311">
        <v>80</v>
      </c>
      <c r="G159" s="311">
        <v>0</v>
      </c>
      <c r="H159" s="311">
        <v>0</v>
      </c>
      <c r="I159" s="311">
        <v>0</v>
      </c>
    </row>
    <row r="160">
      <c r="A160" s="311">
        <v>159</v>
      </c>
      <c r="B160" s="311" t="s">
        <v>22216</v>
      </c>
      <c r="C160" s="311">
        <v>5</v>
      </c>
      <c r="D160" s="311" t="s">
        <v>22179</v>
      </c>
      <c r="E160" s="311">
        <v>0</v>
      </c>
      <c r="F160" s="311">
        <v>100</v>
      </c>
      <c r="G160" s="311">
        <v>0</v>
      </c>
      <c r="H160" s="311">
        <v>0</v>
      </c>
      <c r="I160" s="311">
        <v>0</v>
      </c>
    </row>
    <row r="161">
      <c r="A161" s="311">
        <v>160</v>
      </c>
      <c r="B161" s="311" t="s">
        <v>22216</v>
      </c>
      <c r="C161" s="311">
        <v>6</v>
      </c>
      <c r="D161" s="311" t="s">
        <v>22179</v>
      </c>
      <c r="E161" s="311">
        <v>0</v>
      </c>
      <c r="F161" s="311">
        <v>120</v>
      </c>
      <c r="G161" s="311">
        <v>0</v>
      </c>
      <c r="H161" s="311">
        <v>0</v>
      </c>
      <c r="I161" s="311">
        <v>0</v>
      </c>
    </row>
    <row r="162">
      <c r="A162" s="311">
        <v>161</v>
      </c>
      <c r="B162" s="311" t="s">
        <v>22216</v>
      </c>
      <c r="C162" s="311">
        <v>1</v>
      </c>
      <c r="D162" s="311" t="s">
        <v>22180</v>
      </c>
      <c r="E162" s="311">
        <v>0</v>
      </c>
      <c r="F162" s="311">
        <v>20</v>
      </c>
      <c r="G162" s="311">
        <v>0</v>
      </c>
      <c r="H162" s="311">
        <v>0</v>
      </c>
      <c r="I162" s="311">
        <v>0</v>
      </c>
    </row>
    <row r="163">
      <c r="A163" s="311">
        <v>162</v>
      </c>
      <c r="B163" s="311" t="s">
        <v>22216</v>
      </c>
      <c r="C163" s="311">
        <v>2</v>
      </c>
      <c r="D163" s="311" t="s">
        <v>22180</v>
      </c>
      <c r="E163" s="311">
        <v>0</v>
      </c>
      <c r="F163" s="311">
        <v>40</v>
      </c>
      <c r="G163" s="311">
        <v>0</v>
      </c>
      <c r="H163" s="311">
        <v>0</v>
      </c>
      <c r="I163" s="311">
        <v>0</v>
      </c>
    </row>
    <row r="164">
      <c r="A164" s="311">
        <v>163</v>
      </c>
      <c r="B164" s="311" t="s">
        <v>22216</v>
      </c>
      <c r="C164" s="311">
        <v>3</v>
      </c>
      <c r="D164" s="311" t="s">
        <v>22180</v>
      </c>
      <c r="E164" s="311">
        <v>0</v>
      </c>
      <c r="F164" s="311">
        <v>60</v>
      </c>
      <c r="G164" s="311">
        <v>0</v>
      </c>
      <c r="H164" s="311">
        <v>0</v>
      </c>
      <c r="I164" s="311">
        <v>0</v>
      </c>
    </row>
    <row r="165">
      <c r="A165" s="311">
        <v>164</v>
      </c>
      <c r="B165" s="311" t="s">
        <v>22216</v>
      </c>
      <c r="C165" s="311">
        <v>4</v>
      </c>
      <c r="D165" s="311" t="s">
        <v>22180</v>
      </c>
      <c r="E165" s="311">
        <v>0</v>
      </c>
      <c r="F165" s="311">
        <v>80</v>
      </c>
      <c r="G165" s="311">
        <v>0</v>
      </c>
      <c r="H165" s="311">
        <v>0</v>
      </c>
      <c r="I165" s="311">
        <v>0</v>
      </c>
    </row>
    <row r="166">
      <c r="A166" s="311">
        <v>165</v>
      </c>
      <c r="B166" s="311" t="s">
        <v>22216</v>
      </c>
      <c r="C166" s="311">
        <v>5</v>
      </c>
      <c r="D166" s="311" t="s">
        <v>22180</v>
      </c>
      <c r="E166" s="311">
        <v>0</v>
      </c>
      <c r="F166" s="311">
        <v>100</v>
      </c>
      <c r="G166" s="311">
        <v>0</v>
      </c>
      <c r="H166" s="311">
        <v>0</v>
      </c>
      <c r="I166" s="311">
        <v>0</v>
      </c>
    </row>
    <row r="167">
      <c r="A167" s="311">
        <v>166</v>
      </c>
      <c r="B167" s="311" t="s">
        <v>22216</v>
      </c>
      <c r="C167" s="311">
        <v>6</v>
      </c>
      <c r="D167" s="311" t="s">
        <v>22180</v>
      </c>
      <c r="E167" s="311">
        <v>0</v>
      </c>
      <c r="F167" s="311">
        <v>120</v>
      </c>
      <c r="G167" s="311">
        <v>0</v>
      </c>
      <c r="H167" s="311">
        <v>0</v>
      </c>
      <c r="I167" s="311">
        <v>0</v>
      </c>
    </row>
    <row r="168">
      <c r="A168" s="311">
        <v>167</v>
      </c>
      <c r="B168" s="311" t="s">
        <v>22217</v>
      </c>
      <c r="C168" s="311">
        <v>1</v>
      </c>
      <c r="D168" s="311" t="s">
        <v>22210</v>
      </c>
      <c r="E168" s="311">
        <v>0</v>
      </c>
      <c r="F168" s="311">
        <v>40</v>
      </c>
      <c r="G168" s="311">
        <v>0</v>
      </c>
      <c r="H168" s="311">
        <v>0</v>
      </c>
      <c r="I168" s="311">
        <v>0</v>
      </c>
    </row>
    <row r="169">
      <c r="A169" s="311">
        <v>168</v>
      </c>
      <c r="B169" s="311" t="s">
        <v>22218</v>
      </c>
      <c r="C169" s="311">
        <v>1</v>
      </c>
      <c r="D169" s="311" t="s">
        <v>22179</v>
      </c>
      <c r="E169" s="311">
        <v>0</v>
      </c>
      <c r="F169" s="311">
        <v>20</v>
      </c>
      <c r="G169" s="311">
        <v>0</v>
      </c>
      <c r="H169" s="311">
        <v>0</v>
      </c>
      <c r="I169" s="311">
        <v>0</v>
      </c>
    </row>
    <row r="170">
      <c r="A170" s="311">
        <v>169</v>
      </c>
      <c r="B170" s="311" t="s">
        <v>22218</v>
      </c>
      <c r="C170" s="311">
        <v>2</v>
      </c>
      <c r="D170" s="311" t="s">
        <v>22179</v>
      </c>
      <c r="E170" s="311">
        <v>0</v>
      </c>
      <c r="F170" s="311">
        <v>40</v>
      </c>
      <c r="G170" s="311">
        <v>0</v>
      </c>
      <c r="H170" s="311">
        <v>0</v>
      </c>
      <c r="I170" s="311">
        <v>0</v>
      </c>
    </row>
    <row r="171">
      <c r="A171" s="311">
        <v>170</v>
      </c>
      <c r="B171" s="311" t="s">
        <v>22218</v>
      </c>
      <c r="C171" s="311">
        <v>3</v>
      </c>
      <c r="D171" s="311" t="s">
        <v>22179</v>
      </c>
      <c r="E171" s="311">
        <v>0</v>
      </c>
      <c r="F171" s="311">
        <v>60</v>
      </c>
      <c r="G171" s="311">
        <v>0</v>
      </c>
      <c r="H171" s="311">
        <v>0</v>
      </c>
      <c r="I171" s="311">
        <v>0</v>
      </c>
    </row>
    <row r="172">
      <c r="A172" s="311">
        <v>171</v>
      </c>
      <c r="B172" s="311" t="s">
        <v>22218</v>
      </c>
      <c r="C172" s="311">
        <v>4</v>
      </c>
      <c r="D172" s="311" t="s">
        <v>22179</v>
      </c>
      <c r="E172" s="311">
        <v>0</v>
      </c>
      <c r="F172" s="311">
        <v>80</v>
      </c>
      <c r="G172" s="311">
        <v>0</v>
      </c>
      <c r="H172" s="311">
        <v>0</v>
      </c>
      <c r="I172" s="311">
        <v>0</v>
      </c>
    </row>
    <row r="173">
      <c r="A173" s="311">
        <v>172</v>
      </c>
      <c r="B173" s="311" t="s">
        <v>22218</v>
      </c>
      <c r="C173" s="311">
        <v>5</v>
      </c>
      <c r="D173" s="311" t="s">
        <v>22179</v>
      </c>
      <c r="E173" s="311">
        <v>0</v>
      </c>
      <c r="F173" s="311">
        <v>80</v>
      </c>
      <c r="G173" s="311">
        <v>0</v>
      </c>
      <c r="H173" s="311">
        <v>0</v>
      </c>
      <c r="I173" s="311">
        <v>0</v>
      </c>
    </row>
    <row r="174">
      <c r="A174" s="311">
        <v>173</v>
      </c>
      <c r="B174" s="311" t="s">
        <v>22218</v>
      </c>
      <c r="C174" s="311">
        <v>6</v>
      </c>
      <c r="D174" s="311" t="s">
        <v>22179</v>
      </c>
      <c r="E174" s="311">
        <v>0</v>
      </c>
      <c r="F174" s="311">
        <v>80</v>
      </c>
      <c r="G174" s="311">
        <v>0</v>
      </c>
      <c r="H174" s="311">
        <v>0</v>
      </c>
      <c r="I174" s="311">
        <v>0</v>
      </c>
    </row>
    <row r="175">
      <c r="A175" s="311">
        <v>174</v>
      </c>
      <c r="B175" s="311" t="s">
        <v>22218</v>
      </c>
      <c r="C175" s="311">
        <v>1</v>
      </c>
      <c r="D175" s="311" t="s">
        <v>22180</v>
      </c>
      <c r="E175" s="311">
        <v>0</v>
      </c>
      <c r="F175" s="311">
        <v>20</v>
      </c>
      <c r="G175" s="311">
        <v>0</v>
      </c>
      <c r="H175" s="311">
        <v>0</v>
      </c>
      <c r="I175" s="311">
        <v>0</v>
      </c>
    </row>
    <row r="176">
      <c r="A176" s="311">
        <v>175</v>
      </c>
      <c r="B176" s="311" t="s">
        <v>22218</v>
      </c>
      <c r="C176" s="311">
        <v>2</v>
      </c>
      <c r="D176" s="311" t="s">
        <v>22180</v>
      </c>
      <c r="E176" s="311">
        <v>0</v>
      </c>
      <c r="F176" s="311">
        <v>40</v>
      </c>
      <c r="G176" s="311">
        <v>0</v>
      </c>
      <c r="H176" s="311">
        <v>0</v>
      </c>
      <c r="I176" s="311">
        <v>0</v>
      </c>
    </row>
    <row r="177">
      <c r="A177" s="311">
        <v>176</v>
      </c>
      <c r="B177" s="311" t="s">
        <v>22218</v>
      </c>
      <c r="C177" s="311">
        <v>3</v>
      </c>
      <c r="D177" s="311" t="s">
        <v>22180</v>
      </c>
      <c r="E177" s="311">
        <v>0</v>
      </c>
      <c r="F177" s="311">
        <v>60</v>
      </c>
      <c r="G177" s="311">
        <v>0</v>
      </c>
      <c r="H177" s="311">
        <v>0</v>
      </c>
      <c r="I177" s="311">
        <v>0</v>
      </c>
    </row>
    <row r="178">
      <c r="A178" s="311">
        <v>177</v>
      </c>
      <c r="B178" s="311" t="s">
        <v>22218</v>
      </c>
      <c r="C178" s="311">
        <v>4</v>
      </c>
      <c r="D178" s="311" t="s">
        <v>22180</v>
      </c>
      <c r="E178" s="311">
        <v>0</v>
      </c>
      <c r="F178" s="311">
        <v>80</v>
      </c>
      <c r="G178" s="311">
        <v>0</v>
      </c>
      <c r="H178" s="311">
        <v>0</v>
      </c>
      <c r="I178" s="311">
        <v>0</v>
      </c>
    </row>
    <row r="179">
      <c r="A179" s="311">
        <v>178</v>
      </c>
      <c r="B179" s="311" t="s">
        <v>22218</v>
      </c>
      <c r="C179" s="311">
        <v>5</v>
      </c>
      <c r="D179" s="311" t="s">
        <v>22180</v>
      </c>
      <c r="E179" s="311">
        <v>0</v>
      </c>
      <c r="F179" s="311">
        <v>80</v>
      </c>
      <c r="G179" s="311">
        <v>0</v>
      </c>
      <c r="H179" s="311">
        <v>0</v>
      </c>
      <c r="I179" s="311">
        <v>0</v>
      </c>
    </row>
    <row r="180">
      <c r="A180" s="311">
        <v>179</v>
      </c>
      <c r="B180" s="311" t="s">
        <v>22218</v>
      </c>
      <c r="C180" s="311">
        <v>6</v>
      </c>
      <c r="D180" s="311" t="s">
        <v>22180</v>
      </c>
      <c r="E180" s="311">
        <v>0</v>
      </c>
      <c r="F180" s="311">
        <v>80</v>
      </c>
      <c r="G180" s="311">
        <v>0</v>
      </c>
      <c r="H180" s="311">
        <v>0</v>
      </c>
      <c r="I180" s="311">
        <v>0</v>
      </c>
    </row>
    <row r="181">
      <c r="A181" s="311">
        <v>180</v>
      </c>
      <c r="B181" s="311" t="s">
        <v>22201</v>
      </c>
      <c r="C181" s="311">
        <v>3</v>
      </c>
      <c r="D181" s="311" t="s">
        <v>22196</v>
      </c>
      <c r="E181" s="311">
        <v>0</v>
      </c>
      <c r="F181" s="311">
        <v>60</v>
      </c>
      <c r="G181" s="311">
        <v>0</v>
      </c>
      <c r="H181" s="311">
        <v>0</v>
      </c>
      <c r="I181" s="311">
        <v>0</v>
      </c>
    </row>
    <row r="182">
      <c r="A182" s="311">
        <v>181</v>
      </c>
      <c r="B182" s="311" t="s">
        <v>22201</v>
      </c>
      <c r="C182" s="311">
        <v>4</v>
      </c>
      <c r="D182" s="311" t="s">
        <v>22196</v>
      </c>
      <c r="E182" s="311">
        <v>0</v>
      </c>
      <c r="F182" s="311">
        <v>80</v>
      </c>
      <c r="G182" s="311">
        <v>0</v>
      </c>
      <c r="H182" s="311">
        <v>0</v>
      </c>
      <c r="I182" s="311">
        <v>0</v>
      </c>
    </row>
    <row r="183">
      <c r="A183" s="311">
        <v>182</v>
      </c>
      <c r="B183" s="311" t="s">
        <v>22203</v>
      </c>
      <c r="C183" s="311">
        <v>3</v>
      </c>
      <c r="D183" s="311" t="s">
        <v>22196</v>
      </c>
      <c r="E183" s="311">
        <v>0</v>
      </c>
      <c r="F183" s="311">
        <v>60</v>
      </c>
      <c r="G183" s="311">
        <v>0</v>
      </c>
      <c r="H183" s="311">
        <v>0</v>
      </c>
      <c r="I183" s="311">
        <v>0</v>
      </c>
    </row>
    <row r="184">
      <c r="A184" s="311">
        <v>183</v>
      </c>
      <c r="B184" s="311" t="s">
        <v>22203</v>
      </c>
      <c r="C184" s="311">
        <v>4</v>
      </c>
      <c r="D184" s="311" t="s">
        <v>22196</v>
      </c>
      <c r="E184" s="311">
        <v>0</v>
      </c>
      <c r="F184" s="311">
        <v>80</v>
      </c>
      <c r="G184" s="311">
        <v>0</v>
      </c>
      <c r="H184" s="311">
        <v>0</v>
      </c>
      <c r="I184" s="311">
        <v>0</v>
      </c>
    </row>
    <row r="185">
      <c r="A185" s="311">
        <v>184</v>
      </c>
      <c r="B185" s="311" t="s">
        <v>22219</v>
      </c>
      <c r="C185" s="311">
        <v>1</v>
      </c>
      <c r="D185" s="311" t="s">
        <v>22210</v>
      </c>
      <c r="E185" s="311">
        <v>0</v>
      </c>
      <c r="F185" s="311">
        <v>40</v>
      </c>
      <c r="G185" s="311">
        <v>0</v>
      </c>
      <c r="H185" s="311">
        <v>0</v>
      </c>
      <c r="I185" s="311">
        <v>0</v>
      </c>
    </row>
    <row r="186">
      <c r="A186" s="311">
        <v>185</v>
      </c>
      <c r="B186" s="311" t="s">
        <v>22220</v>
      </c>
      <c r="C186" s="311">
        <v>1</v>
      </c>
      <c r="D186" s="311" t="s">
        <v>22196</v>
      </c>
      <c r="E186" s="311">
        <v>0</v>
      </c>
      <c r="F186" s="311">
        <v>20</v>
      </c>
      <c r="G186" s="311">
        <v>0</v>
      </c>
      <c r="H186" s="311">
        <v>0</v>
      </c>
      <c r="I186" s="311">
        <v>0</v>
      </c>
    </row>
    <row r="187">
      <c r="A187" s="311">
        <v>186</v>
      </c>
      <c r="B187" s="311" t="s">
        <v>22220</v>
      </c>
      <c r="C187" s="311">
        <v>2</v>
      </c>
      <c r="D187" s="311" t="s">
        <v>22196</v>
      </c>
      <c r="E187" s="311">
        <v>0</v>
      </c>
      <c r="F187" s="311">
        <v>40</v>
      </c>
      <c r="G187" s="311">
        <v>0</v>
      </c>
      <c r="H187" s="311">
        <v>0</v>
      </c>
      <c r="I187" s="311">
        <v>0</v>
      </c>
    </row>
    <row r="188">
      <c r="A188" s="311">
        <v>187</v>
      </c>
      <c r="B188" s="311" t="s">
        <v>22220</v>
      </c>
      <c r="C188" s="311">
        <v>3</v>
      </c>
      <c r="D188" s="311" t="s">
        <v>22196</v>
      </c>
      <c r="E188" s="311">
        <v>0</v>
      </c>
      <c r="F188" s="311">
        <v>60</v>
      </c>
      <c r="G188" s="311">
        <v>0</v>
      </c>
      <c r="H188" s="311">
        <v>0</v>
      </c>
      <c r="I188" s="311">
        <v>0</v>
      </c>
    </row>
    <row r="189">
      <c r="A189" s="311">
        <v>188</v>
      </c>
      <c r="B189" s="311" t="s">
        <v>22220</v>
      </c>
      <c r="C189" s="311">
        <v>4</v>
      </c>
      <c r="D189" s="311" t="s">
        <v>22196</v>
      </c>
      <c r="E189" s="311">
        <v>0</v>
      </c>
      <c r="F189" s="311">
        <v>80</v>
      </c>
      <c r="G189" s="311">
        <v>0</v>
      </c>
      <c r="H189" s="311">
        <v>0</v>
      </c>
      <c r="I189" s="311">
        <v>0</v>
      </c>
    </row>
    <row r="190">
      <c r="A190" s="311">
        <v>189</v>
      </c>
      <c r="B190" s="311" t="s">
        <v>22221</v>
      </c>
      <c r="C190" s="311">
        <v>1</v>
      </c>
      <c r="D190" s="311" t="s">
        <v>22210</v>
      </c>
      <c r="E190" s="311">
        <v>0</v>
      </c>
      <c r="F190" s="311">
        <v>40</v>
      </c>
      <c r="G190" s="311">
        <v>0</v>
      </c>
      <c r="H190" s="311">
        <v>0</v>
      </c>
      <c r="I190" s="311">
        <v>0</v>
      </c>
    </row>
    <row r="191">
      <c r="A191" s="311">
        <v>190</v>
      </c>
      <c r="B191" s="311" t="s">
        <v>22222</v>
      </c>
      <c r="C191" s="311">
        <v>2</v>
      </c>
      <c r="D191" s="311" t="s">
        <v>22196</v>
      </c>
      <c r="E191" s="311">
        <v>0</v>
      </c>
      <c r="F191" s="311">
        <v>0</v>
      </c>
      <c r="G191" s="311">
        <v>80</v>
      </c>
      <c r="H191" s="311">
        <v>0</v>
      </c>
      <c r="I191" s="311">
        <v>0</v>
      </c>
    </row>
    <row r="192">
      <c r="A192" s="311">
        <v>191</v>
      </c>
      <c r="B192" s="311" t="s">
        <v>22222</v>
      </c>
      <c r="C192" s="311">
        <v>1</v>
      </c>
      <c r="D192" s="311" t="s">
        <v>22223</v>
      </c>
      <c r="E192" s="311">
        <v>0</v>
      </c>
      <c r="F192" s="311">
        <v>0</v>
      </c>
      <c r="G192" s="311">
        <v>80</v>
      </c>
      <c r="H192" s="311">
        <v>0</v>
      </c>
      <c r="I192" s="311">
        <v>0</v>
      </c>
    </row>
    <row r="193">
      <c r="A193" s="311">
        <v>192</v>
      </c>
      <c r="B193" s="311" t="s">
        <v>22199</v>
      </c>
      <c r="C193" s="311">
        <v>1</v>
      </c>
      <c r="D193" s="311" t="s">
        <v>22179</v>
      </c>
      <c r="E193" s="311">
        <v>0</v>
      </c>
      <c r="F193" s="311">
        <v>0</v>
      </c>
      <c r="G193" s="311">
        <v>20</v>
      </c>
      <c r="H193" s="311">
        <v>0</v>
      </c>
      <c r="I193" s="311">
        <v>0</v>
      </c>
    </row>
    <row r="194">
      <c r="A194" s="311">
        <v>193</v>
      </c>
      <c r="B194" s="311" t="s">
        <v>22199</v>
      </c>
      <c r="C194" s="311">
        <v>3</v>
      </c>
      <c r="D194" s="311" t="s">
        <v>22179</v>
      </c>
      <c r="E194" s="311">
        <v>0</v>
      </c>
      <c r="F194" s="311">
        <v>0</v>
      </c>
      <c r="G194" s="311">
        <v>60</v>
      </c>
      <c r="H194" s="311">
        <v>0</v>
      </c>
      <c r="I194" s="311">
        <v>0</v>
      </c>
    </row>
    <row r="195">
      <c r="A195" s="311">
        <v>194</v>
      </c>
      <c r="B195" s="311" t="s">
        <v>22199</v>
      </c>
      <c r="C195" s="311">
        <v>1</v>
      </c>
      <c r="D195" s="311" t="s">
        <v>22180</v>
      </c>
      <c r="E195" s="311">
        <v>0</v>
      </c>
      <c r="F195" s="311">
        <v>0</v>
      </c>
      <c r="G195" s="311">
        <v>20</v>
      </c>
      <c r="H195" s="311">
        <v>0</v>
      </c>
      <c r="I195" s="311">
        <v>0</v>
      </c>
    </row>
    <row r="196">
      <c r="A196" s="311">
        <v>195</v>
      </c>
      <c r="B196" s="311" t="s">
        <v>21326</v>
      </c>
      <c r="C196" s="311">
        <v>1</v>
      </c>
      <c r="D196" s="311" t="s">
        <v>22223</v>
      </c>
      <c r="E196" s="311">
        <v>0</v>
      </c>
      <c r="F196" s="311">
        <v>0</v>
      </c>
      <c r="G196" s="311">
        <v>80</v>
      </c>
      <c r="H196" s="311">
        <v>0</v>
      </c>
      <c r="I196" s="311">
        <v>0</v>
      </c>
    </row>
    <row r="197">
      <c r="A197" s="311">
        <v>196</v>
      </c>
      <c r="B197" s="311" t="s">
        <v>22224</v>
      </c>
      <c r="C197" s="311">
        <v>1</v>
      </c>
      <c r="D197" s="311" t="s">
        <v>22210</v>
      </c>
      <c r="E197" s="311">
        <v>0</v>
      </c>
      <c r="F197" s="311">
        <v>0</v>
      </c>
      <c r="G197" s="311">
        <v>60</v>
      </c>
      <c r="H197" s="311">
        <v>0</v>
      </c>
      <c r="I197" s="311">
        <v>0</v>
      </c>
    </row>
    <row r="198">
      <c r="A198" s="311">
        <v>197</v>
      </c>
      <c r="B198" s="311" t="s">
        <v>22225</v>
      </c>
      <c r="C198" s="311">
        <v>1</v>
      </c>
      <c r="D198" s="311" t="s">
        <v>22210</v>
      </c>
      <c r="E198" s="311">
        <v>0</v>
      </c>
      <c r="F198" s="311">
        <v>0</v>
      </c>
      <c r="G198" s="311">
        <v>120</v>
      </c>
      <c r="H198" s="311">
        <v>0</v>
      </c>
      <c r="I198" s="311">
        <v>0</v>
      </c>
    </row>
    <row r="199">
      <c r="A199" s="311">
        <v>198</v>
      </c>
      <c r="B199" s="311" t="s">
        <v>22201</v>
      </c>
      <c r="C199" s="311">
        <v>3</v>
      </c>
      <c r="D199" s="311" t="s">
        <v>22179</v>
      </c>
      <c r="E199" s="311">
        <v>0</v>
      </c>
      <c r="F199" s="311">
        <v>0</v>
      </c>
      <c r="G199" s="311">
        <v>71</v>
      </c>
      <c r="H199" s="311">
        <v>60</v>
      </c>
      <c r="I199" s="311">
        <v>0</v>
      </c>
    </row>
    <row r="200">
      <c r="A200" s="311">
        <v>199</v>
      </c>
      <c r="B200" s="311" t="s">
        <v>21272</v>
      </c>
      <c r="C200" s="311">
        <v>2</v>
      </c>
      <c r="D200" s="311" t="s">
        <v>22179</v>
      </c>
      <c r="E200" s="311">
        <v>0</v>
      </c>
      <c r="F200" s="311">
        <v>0</v>
      </c>
      <c r="G200" s="311">
        <v>20</v>
      </c>
      <c r="H200" s="311">
        <v>0</v>
      </c>
      <c r="I200" s="311">
        <v>0</v>
      </c>
    </row>
    <row r="201">
      <c r="A201" s="311">
        <v>200</v>
      </c>
      <c r="B201" s="311" t="s">
        <v>21272</v>
      </c>
      <c r="C201" s="311">
        <v>3</v>
      </c>
      <c r="D201" s="311" t="s">
        <v>22179</v>
      </c>
      <c r="E201" s="311">
        <v>0</v>
      </c>
      <c r="F201" s="311">
        <v>0</v>
      </c>
      <c r="G201" s="311">
        <v>20</v>
      </c>
      <c r="H201" s="311">
        <v>0</v>
      </c>
      <c r="I201" s="311">
        <v>0</v>
      </c>
    </row>
    <row r="202">
      <c r="A202" s="311">
        <v>201</v>
      </c>
      <c r="B202" s="311" t="s">
        <v>21272</v>
      </c>
      <c r="C202" s="311">
        <v>4</v>
      </c>
      <c r="D202" s="311" t="s">
        <v>22179</v>
      </c>
      <c r="E202" s="311">
        <v>0</v>
      </c>
      <c r="F202" s="311">
        <v>0</v>
      </c>
      <c r="G202" s="311">
        <v>20</v>
      </c>
      <c r="H202" s="311">
        <v>0</v>
      </c>
      <c r="I202" s="311">
        <v>0</v>
      </c>
    </row>
    <row r="203">
      <c r="A203" s="311">
        <v>202</v>
      </c>
      <c r="B203" s="311" t="s">
        <v>21272</v>
      </c>
      <c r="C203" s="311">
        <v>2</v>
      </c>
      <c r="D203" s="311" t="s">
        <v>22180</v>
      </c>
      <c r="E203" s="311">
        <v>0</v>
      </c>
      <c r="F203" s="311">
        <v>0</v>
      </c>
      <c r="G203" s="311">
        <v>16</v>
      </c>
      <c r="H203" s="311">
        <v>0</v>
      </c>
      <c r="I203" s="311">
        <v>0</v>
      </c>
    </row>
    <row r="204">
      <c r="A204" s="311">
        <v>203</v>
      </c>
      <c r="B204" s="311" t="s">
        <v>21272</v>
      </c>
      <c r="C204" s="311">
        <v>3</v>
      </c>
      <c r="D204" s="311" t="s">
        <v>22180</v>
      </c>
      <c r="E204" s="311">
        <v>0</v>
      </c>
      <c r="F204" s="311">
        <v>0</v>
      </c>
      <c r="G204" s="311">
        <v>16</v>
      </c>
      <c r="H204" s="311">
        <v>0</v>
      </c>
      <c r="I204" s="311">
        <v>0</v>
      </c>
    </row>
    <row r="205">
      <c r="A205" s="311">
        <v>204</v>
      </c>
      <c r="B205" s="311" t="s">
        <v>21272</v>
      </c>
      <c r="C205" s="311">
        <v>4</v>
      </c>
      <c r="D205" s="311" t="s">
        <v>22180</v>
      </c>
      <c r="E205" s="311">
        <v>0</v>
      </c>
      <c r="F205" s="311">
        <v>0</v>
      </c>
      <c r="G205" s="311">
        <v>16</v>
      </c>
      <c r="H205" s="311">
        <v>0</v>
      </c>
      <c r="I205" s="311">
        <v>0</v>
      </c>
    </row>
    <row r="206">
      <c r="A206" s="311">
        <v>205</v>
      </c>
      <c r="B206" s="311" t="s">
        <v>21272</v>
      </c>
      <c r="C206" s="311">
        <v>4</v>
      </c>
      <c r="D206" s="311" t="s">
        <v>22181</v>
      </c>
      <c r="E206" s="311">
        <v>0</v>
      </c>
      <c r="F206" s="311">
        <v>0</v>
      </c>
      <c r="G206" s="311">
        <v>20</v>
      </c>
      <c r="H206" s="311">
        <v>0</v>
      </c>
      <c r="I206" s="311">
        <v>0</v>
      </c>
    </row>
    <row r="207">
      <c r="A207" s="311">
        <v>206</v>
      </c>
      <c r="B207" s="311" t="s">
        <v>21272</v>
      </c>
      <c r="C207" s="311">
        <v>6</v>
      </c>
      <c r="D207" s="311" t="s">
        <v>22181</v>
      </c>
      <c r="E207" s="311">
        <v>0</v>
      </c>
      <c r="F207" s="311">
        <v>0</v>
      </c>
      <c r="G207" s="311">
        <v>20</v>
      </c>
      <c r="H207" s="311">
        <v>0</v>
      </c>
      <c r="I207" s="311">
        <v>0</v>
      </c>
    </row>
    <row r="208">
      <c r="A208" s="311">
        <v>207</v>
      </c>
      <c r="B208" s="311" t="s">
        <v>21272</v>
      </c>
      <c r="C208" s="311">
        <v>8</v>
      </c>
      <c r="D208" s="311" t="s">
        <v>22181</v>
      </c>
      <c r="E208" s="311">
        <v>0</v>
      </c>
      <c r="F208" s="311">
        <v>0</v>
      </c>
      <c r="G208" s="311">
        <v>20</v>
      </c>
      <c r="H208" s="311">
        <v>0</v>
      </c>
      <c r="I208" s="311">
        <v>0</v>
      </c>
    </row>
    <row r="209">
      <c r="A209" s="311">
        <v>208</v>
      </c>
      <c r="B209" s="311" t="s">
        <v>22226</v>
      </c>
      <c r="C209" s="311">
        <v>1</v>
      </c>
      <c r="D209" s="311" t="s">
        <v>22179</v>
      </c>
      <c r="E209" s="311">
        <v>0</v>
      </c>
      <c r="F209" s="311">
        <v>0</v>
      </c>
      <c r="G209" s="311">
        <v>63</v>
      </c>
      <c r="H209" s="311">
        <v>0</v>
      </c>
      <c r="I209" s="311">
        <v>0</v>
      </c>
    </row>
    <row r="210">
      <c r="A210" s="311">
        <v>209</v>
      </c>
      <c r="B210" s="311" t="s">
        <v>22226</v>
      </c>
      <c r="C210" s="311">
        <v>2</v>
      </c>
      <c r="D210" s="311" t="s">
        <v>22179</v>
      </c>
      <c r="E210" s="311">
        <v>0</v>
      </c>
      <c r="F210" s="311">
        <v>0</v>
      </c>
      <c r="G210" s="311">
        <v>63</v>
      </c>
      <c r="H210" s="311">
        <v>0</v>
      </c>
      <c r="I210" s="311">
        <v>0</v>
      </c>
    </row>
    <row r="211">
      <c r="A211" s="311">
        <v>210</v>
      </c>
      <c r="B211" s="311" t="s">
        <v>22226</v>
      </c>
      <c r="C211" s="311">
        <v>1</v>
      </c>
      <c r="D211" s="311" t="s">
        <v>22180</v>
      </c>
      <c r="E211" s="311">
        <v>0</v>
      </c>
      <c r="F211" s="311">
        <v>0</v>
      </c>
      <c r="G211" s="311">
        <v>50</v>
      </c>
      <c r="H211" s="311">
        <v>0</v>
      </c>
      <c r="I211" s="311">
        <v>0</v>
      </c>
    </row>
    <row r="212">
      <c r="A212" s="311">
        <v>211</v>
      </c>
      <c r="B212" s="311" t="s">
        <v>22226</v>
      </c>
      <c r="C212" s="311">
        <v>2</v>
      </c>
      <c r="D212" s="311" t="s">
        <v>22180</v>
      </c>
      <c r="E212" s="311">
        <v>0</v>
      </c>
      <c r="F212" s="311">
        <v>0</v>
      </c>
      <c r="G212" s="311">
        <v>50</v>
      </c>
      <c r="H212" s="311">
        <v>0</v>
      </c>
      <c r="I212" s="311">
        <v>0</v>
      </c>
    </row>
    <row r="213">
      <c r="A213" s="311">
        <v>212</v>
      </c>
      <c r="B213" s="311" t="s">
        <v>22227</v>
      </c>
      <c r="C213" s="311">
        <v>2</v>
      </c>
      <c r="D213" s="311" t="s">
        <v>22179</v>
      </c>
      <c r="E213" s="311">
        <v>0</v>
      </c>
      <c r="F213" s="311">
        <v>0</v>
      </c>
      <c r="G213" s="311">
        <v>60</v>
      </c>
      <c r="H213" s="311">
        <v>0</v>
      </c>
      <c r="I213" s="311">
        <v>0</v>
      </c>
    </row>
    <row r="214">
      <c r="A214" s="311">
        <v>213</v>
      </c>
      <c r="B214" s="311" t="s">
        <v>22228</v>
      </c>
      <c r="C214" s="311">
        <v>1</v>
      </c>
      <c r="D214" s="311" t="s">
        <v>22223</v>
      </c>
      <c r="E214" s="311">
        <v>0</v>
      </c>
      <c r="F214" s="311">
        <v>0</v>
      </c>
      <c r="G214" s="311">
        <v>60</v>
      </c>
      <c r="H214" s="311">
        <v>0</v>
      </c>
      <c r="I214" s="311">
        <v>0</v>
      </c>
    </row>
    <row r="215">
      <c r="A215" s="311">
        <v>214</v>
      </c>
      <c r="B215" s="311" t="s">
        <v>22229</v>
      </c>
      <c r="C215" s="311">
        <v>1</v>
      </c>
      <c r="D215" s="311" t="s">
        <v>22210</v>
      </c>
      <c r="E215" s="311">
        <v>0</v>
      </c>
      <c r="F215" s="311">
        <v>0</v>
      </c>
      <c r="G215" s="311">
        <v>160</v>
      </c>
      <c r="H215" s="311">
        <v>0</v>
      </c>
      <c r="I215" s="311">
        <v>0</v>
      </c>
    </row>
    <row r="216">
      <c r="A216" s="311">
        <v>215</v>
      </c>
      <c r="B216" s="311" t="s">
        <v>22230</v>
      </c>
      <c r="C216" s="311">
        <v>1</v>
      </c>
      <c r="D216" s="311" t="s">
        <v>22210</v>
      </c>
      <c r="E216" s="311">
        <v>0</v>
      </c>
      <c r="F216" s="311">
        <v>0</v>
      </c>
      <c r="G216" s="311">
        <v>120</v>
      </c>
      <c r="H216" s="311">
        <v>0</v>
      </c>
      <c r="I216" s="311">
        <v>0</v>
      </c>
    </row>
    <row r="217">
      <c r="A217" s="311">
        <v>216</v>
      </c>
      <c r="B217" s="311" t="s">
        <v>22231</v>
      </c>
      <c r="C217" s="311">
        <v>1</v>
      </c>
      <c r="D217" s="311" t="s">
        <v>22196</v>
      </c>
      <c r="E217" s="311">
        <v>0</v>
      </c>
      <c r="F217" s="311">
        <v>0</v>
      </c>
      <c r="G217" s="311">
        <v>80</v>
      </c>
      <c r="H217" s="311">
        <v>0</v>
      </c>
      <c r="I217" s="311">
        <v>0</v>
      </c>
    </row>
    <row r="218">
      <c r="A218" s="311">
        <v>217</v>
      </c>
      <c r="B218" s="311" t="s">
        <v>22231</v>
      </c>
      <c r="C218" s="311">
        <v>2</v>
      </c>
      <c r="D218" s="311" t="s">
        <v>22196</v>
      </c>
      <c r="E218" s="311">
        <v>0</v>
      </c>
      <c r="F218" s="311">
        <v>0</v>
      </c>
      <c r="G218" s="311">
        <v>80</v>
      </c>
      <c r="H218" s="311">
        <v>0</v>
      </c>
      <c r="I218" s="311">
        <v>0</v>
      </c>
    </row>
    <row r="219">
      <c r="A219" s="311">
        <v>218</v>
      </c>
      <c r="B219" s="311" t="s">
        <v>22231</v>
      </c>
      <c r="C219" s="311">
        <v>3</v>
      </c>
      <c r="D219" s="311" t="s">
        <v>22196</v>
      </c>
      <c r="E219" s="311">
        <v>0</v>
      </c>
      <c r="F219" s="311">
        <v>0</v>
      </c>
      <c r="G219" s="311">
        <v>80</v>
      </c>
      <c r="H219" s="311">
        <v>0</v>
      </c>
      <c r="I219" s="311">
        <v>0</v>
      </c>
    </row>
    <row r="220">
      <c r="A220" s="311">
        <v>219</v>
      </c>
      <c r="B220" s="311" t="s">
        <v>22232</v>
      </c>
      <c r="C220" s="311">
        <v>1</v>
      </c>
      <c r="D220" s="311" t="s">
        <v>22196</v>
      </c>
      <c r="E220" s="311">
        <v>0</v>
      </c>
      <c r="F220" s="311">
        <v>0</v>
      </c>
      <c r="G220" s="311">
        <v>120</v>
      </c>
      <c r="H220" s="311">
        <v>0</v>
      </c>
      <c r="I220" s="311">
        <v>0</v>
      </c>
    </row>
    <row r="221">
      <c r="A221" s="311">
        <v>220</v>
      </c>
      <c r="B221" s="311" t="s">
        <v>22232</v>
      </c>
      <c r="C221" s="311">
        <v>2</v>
      </c>
      <c r="D221" s="311" t="s">
        <v>22196</v>
      </c>
      <c r="E221" s="311">
        <v>0</v>
      </c>
      <c r="F221" s="311">
        <v>0</v>
      </c>
      <c r="G221" s="311">
        <v>120</v>
      </c>
      <c r="H221" s="311">
        <v>0</v>
      </c>
      <c r="I221" s="311">
        <v>0</v>
      </c>
    </row>
    <row r="222">
      <c r="A222" s="311">
        <v>221</v>
      </c>
      <c r="B222" s="311" t="s">
        <v>22232</v>
      </c>
      <c r="C222" s="311">
        <v>3</v>
      </c>
      <c r="D222" s="311" t="s">
        <v>22196</v>
      </c>
      <c r="E222" s="311">
        <v>0</v>
      </c>
      <c r="F222" s="311">
        <v>0</v>
      </c>
      <c r="G222" s="311">
        <v>120</v>
      </c>
      <c r="H222" s="311">
        <v>0</v>
      </c>
      <c r="I222" s="311">
        <v>0</v>
      </c>
    </row>
    <row r="223">
      <c r="A223" s="311">
        <v>222</v>
      </c>
      <c r="B223" s="311" t="s">
        <v>22233</v>
      </c>
      <c r="C223" s="311">
        <v>1</v>
      </c>
      <c r="D223" s="311" t="s">
        <v>22223</v>
      </c>
      <c r="E223" s="311">
        <v>0</v>
      </c>
      <c r="F223" s="311">
        <v>0</v>
      </c>
      <c r="G223" s="311">
        <v>80</v>
      </c>
      <c r="H223" s="311">
        <v>0</v>
      </c>
      <c r="I223" s="311">
        <v>0</v>
      </c>
    </row>
    <row r="224">
      <c r="A224" s="311">
        <v>223</v>
      </c>
      <c r="B224" s="311" t="s">
        <v>22234</v>
      </c>
      <c r="C224" s="311">
        <v>2</v>
      </c>
      <c r="D224" s="311" t="s">
        <v>22196</v>
      </c>
      <c r="E224" s="311">
        <v>0</v>
      </c>
      <c r="F224" s="311">
        <v>0</v>
      </c>
      <c r="G224" s="311">
        <v>20</v>
      </c>
      <c r="H224" s="311">
        <v>0</v>
      </c>
      <c r="I224" s="311">
        <v>0</v>
      </c>
    </row>
    <row r="225">
      <c r="A225" s="311">
        <v>224</v>
      </c>
      <c r="B225" s="311" t="s">
        <v>22235</v>
      </c>
      <c r="C225" s="311">
        <v>2</v>
      </c>
      <c r="D225" s="311" t="s">
        <v>22196</v>
      </c>
      <c r="E225" s="311">
        <v>0</v>
      </c>
      <c r="F225" s="311">
        <v>0</v>
      </c>
      <c r="G225" s="311">
        <v>40</v>
      </c>
      <c r="H225" s="311">
        <v>0</v>
      </c>
      <c r="I225" s="311">
        <v>0</v>
      </c>
    </row>
    <row r="226">
      <c r="A226" s="311">
        <v>225</v>
      </c>
      <c r="B226" s="311" t="s">
        <v>22227</v>
      </c>
      <c r="C226" s="311">
        <v>1</v>
      </c>
      <c r="D226" s="311" t="s">
        <v>22210</v>
      </c>
      <c r="E226" s="311">
        <v>0</v>
      </c>
      <c r="F226" s="311">
        <v>0</v>
      </c>
      <c r="G226" s="311">
        <v>120</v>
      </c>
      <c r="H226" s="311">
        <v>0</v>
      </c>
      <c r="I226" s="311">
        <v>0</v>
      </c>
    </row>
    <row r="227">
      <c r="A227" s="311">
        <v>226</v>
      </c>
      <c r="B227" s="311" t="s">
        <v>21326</v>
      </c>
      <c r="C227" s="311">
        <v>1</v>
      </c>
      <c r="D227" s="311" t="s">
        <v>22210</v>
      </c>
      <c r="E227" s="311">
        <v>0</v>
      </c>
      <c r="F227" s="311">
        <v>0</v>
      </c>
      <c r="G227" s="311">
        <v>60</v>
      </c>
      <c r="H227" s="311">
        <v>0</v>
      </c>
      <c r="I227" s="311">
        <v>0</v>
      </c>
    </row>
    <row r="228">
      <c r="A228" s="311">
        <v>227</v>
      </c>
      <c r="B228" s="311" t="s">
        <v>21458</v>
      </c>
      <c r="C228" s="311">
        <v>3</v>
      </c>
      <c r="D228" s="311" t="s">
        <v>22179</v>
      </c>
      <c r="E228" s="311">
        <v>0</v>
      </c>
      <c r="F228" s="311">
        <v>0</v>
      </c>
      <c r="G228" s="311">
        <v>0</v>
      </c>
      <c r="H228" s="311">
        <v>76</v>
      </c>
      <c r="I228" s="311">
        <v>0</v>
      </c>
    </row>
    <row r="229">
      <c r="A229" s="311">
        <v>228</v>
      </c>
      <c r="B229" s="311" t="s">
        <v>21326</v>
      </c>
      <c r="C229" s="311">
        <v>6</v>
      </c>
      <c r="D229" s="311" t="s">
        <v>22179</v>
      </c>
      <c r="E229" s="311">
        <v>0</v>
      </c>
      <c r="F229" s="311">
        <v>0</v>
      </c>
      <c r="G229" s="311">
        <v>0</v>
      </c>
      <c r="H229" s="311">
        <v>120</v>
      </c>
      <c r="I229" s="311">
        <v>0</v>
      </c>
    </row>
    <row r="230">
      <c r="A230" s="311">
        <v>229</v>
      </c>
      <c r="B230" s="311" t="s">
        <v>22201</v>
      </c>
      <c r="C230" s="311">
        <v>6</v>
      </c>
      <c r="D230" s="311" t="s">
        <v>22179</v>
      </c>
      <c r="E230" s="311">
        <v>0</v>
      </c>
      <c r="F230" s="311">
        <v>0</v>
      </c>
      <c r="G230" s="311">
        <v>0</v>
      </c>
      <c r="H230" s="311">
        <v>120</v>
      </c>
      <c r="I230" s="311">
        <v>0</v>
      </c>
    </row>
    <row r="231">
      <c r="A231" s="311">
        <v>230</v>
      </c>
      <c r="B231" s="311" t="s">
        <v>22202</v>
      </c>
      <c r="C231" s="311">
        <v>3</v>
      </c>
      <c r="D231" s="311" t="s">
        <v>22179</v>
      </c>
      <c r="E231" s="311">
        <v>0</v>
      </c>
      <c r="F231" s="311">
        <v>0</v>
      </c>
      <c r="G231" s="311">
        <v>0</v>
      </c>
      <c r="H231" s="311">
        <v>60</v>
      </c>
      <c r="I231" s="311">
        <v>0</v>
      </c>
    </row>
    <row r="232">
      <c r="A232" s="311">
        <v>231</v>
      </c>
      <c r="B232" s="311" t="s">
        <v>22202</v>
      </c>
      <c r="C232" s="311">
        <v>6</v>
      </c>
      <c r="D232" s="311" t="s">
        <v>22179</v>
      </c>
      <c r="E232" s="311">
        <v>0</v>
      </c>
      <c r="F232" s="311">
        <v>0</v>
      </c>
      <c r="G232" s="311">
        <v>0</v>
      </c>
      <c r="H232" s="311">
        <v>120</v>
      </c>
      <c r="I232" s="311">
        <v>0</v>
      </c>
    </row>
    <row r="233">
      <c r="A233" s="311">
        <v>232</v>
      </c>
      <c r="B233" s="311" t="s">
        <v>22212</v>
      </c>
      <c r="C233" s="311">
        <v>1</v>
      </c>
      <c r="D233" s="311" t="s">
        <v>22223</v>
      </c>
      <c r="E233" s="311">
        <v>0</v>
      </c>
      <c r="F233" s="311">
        <v>0</v>
      </c>
      <c r="G233" s="311">
        <v>0</v>
      </c>
      <c r="H233" s="311">
        <v>40</v>
      </c>
      <c r="I233" s="311">
        <v>0</v>
      </c>
    </row>
    <row r="234">
      <c r="A234" s="311">
        <v>233</v>
      </c>
      <c r="B234" s="311" t="s">
        <v>22201</v>
      </c>
      <c r="C234" s="311">
        <v>1</v>
      </c>
      <c r="D234" s="311" t="s">
        <v>22180</v>
      </c>
      <c r="E234" s="311">
        <v>0</v>
      </c>
      <c r="F234" s="311">
        <v>0</v>
      </c>
      <c r="G234" s="311">
        <v>0</v>
      </c>
      <c r="H234" s="311">
        <v>0</v>
      </c>
      <c r="I234" s="311">
        <v>60</v>
      </c>
    </row>
    <row r="235">
      <c r="A235" s="311">
        <v>234</v>
      </c>
      <c r="B235" s="311" t="s">
        <v>22202</v>
      </c>
      <c r="C235" s="311">
        <v>1</v>
      </c>
      <c r="D235" s="311" t="s">
        <v>22180</v>
      </c>
      <c r="E235" s="311">
        <v>0</v>
      </c>
      <c r="F235" s="311">
        <v>0</v>
      </c>
      <c r="G235" s="311">
        <v>0</v>
      </c>
      <c r="H235" s="311">
        <v>0</v>
      </c>
      <c r="I235" s="311">
        <v>60</v>
      </c>
    </row>
    <row r="236">
      <c r="A236" s="311">
        <v>235</v>
      </c>
      <c r="B236" s="311" t="s">
        <v>22203</v>
      </c>
      <c r="C236" s="311">
        <v>1</v>
      </c>
      <c r="D236" s="311" t="s">
        <v>22180</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22171</v>
      </c>
    </row>
    <row r="3">
      <c r="A3" s="305">
        <v>2</v>
      </c>
      <c r="B3" s="305">
        <v>2</v>
      </c>
      <c r="C3" s="305" t="s">
        <v>22172</v>
      </c>
    </row>
    <row r="4">
      <c r="A4" s="305">
        <v>3</v>
      </c>
      <c r="B4" s="305">
        <v>3</v>
      </c>
      <c r="C4" s="305" t="s">
        <v>22173</v>
      </c>
    </row>
    <row r="5">
      <c r="A5" s="305">
        <v>4</v>
      </c>
      <c r="B5" s="305">
        <v>4</v>
      </c>
      <c r="C5" s="305" t="s">
        <v>22174</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0" activePane="bottomRight" state="frozen"/>
      <selection pane="topRight" activeCell="D1" sqref="D1"/>
      <selection pane="bottomLeft" activeCell="A2" sqref="A2"/>
      <selection pane="bottomRight" sqref="A1:H30"/>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21563</v>
      </c>
      <c r="E1" s="310" t="s">
        <v>22015</v>
      </c>
      <c r="F1" s="310" t="s">
        <v>22016</v>
      </c>
      <c r="G1" s="310" t="s">
        <v>22017</v>
      </c>
      <c r="H1" s="310" t="s">
        <v>21283</v>
      </c>
    </row>
    <row r="2" ht="45">
      <c r="A2" s="309">
        <v>1</v>
      </c>
      <c r="B2" s="309" t="s">
        <v>22018</v>
      </c>
      <c r="C2" s="309" t="s">
        <v>22019</v>
      </c>
      <c r="D2" s="309" t="s">
        <v>22020</v>
      </c>
      <c r="E2" s="309" t="s">
        <v>22021</v>
      </c>
      <c r="F2" s="309" t="s">
        <v>22022</v>
      </c>
      <c r="G2" s="309" t="s">
        <v>22023</v>
      </c>
      <c r="H2" s="309" t="s">
        <v>22024</v>
      </c>
    </row>
    <row r="3" ht="45">
      <c r="A3" s="309">
        <v>2</v>
      </c>
      <c r="B3" s="309" t="s">
        <v>22025</v>
      </c>
      <c r="C3" s="309" t="s">
        <v>22026</v>
      </c>
      <c r="D3" s="309" t="s">
        <v>22027</v>
      </c>
      <c r="E3" s="309" t="s">
        <v>21303</v>
      </c>
      <c r="F3" s="309" t="s">
        <v>21303</v>
      </c>
      <c r="G3" s="309" t="s">
        <v>21303</v>
      </c>
      <c r="H3" s="309" t="s">
        <v>22028</v>
      </c>
    </row>
    <row r="4">
      <c r="A4" s="309">
        <v>3</v>
      </c>
      <c r="B4" s="309" t="s">
        <v>22029</v>
      </c>
      <c r="C4" s="309" t="s">
        <v>22030</v>
      </c>
      <c r="D4" s="309" t="s">
        <v>22031</v>
      </c>
      <c r="E4" s="309" t="s">
        <v>22032</v>
      </c>
      <c r="F4" s="309" t="s">
        <v>22022</v>
      </c>
      <c r="G4" s="309" t="s">
        <v>22033</v>
      </c>
      <c r="H4" s="309" t="s">
        <v>22034</v>
      </c>
    </row>
    <row r="5" ht="45">
      <c r="A5" s="309">
        <v>4</v>
      </c>
      <c r="B5" s="309" t="s">
        <v>21287</v>
      </c>
      <c r="C5" s="309" t="s">
        <v>21305</v>
      </c>
      <c r="D5" s="309" t="s">
        <v>22035</v>
      </c>
      <c r="E5" s="309" t="s">
        <v>22036</v>
      </c>
      <c r="F5" s="309" t="s">
        <v>22037</v>
      </c>
      <c r="G5" s="309" t="s">
        <v>22038</v>
      </c>
      <c r="H5" s="309" t="s">
        <v>21288</v>
      </c>
    </row>
    <row r="6" ht="45">
      <c r="A6" s="309">
        <v>5</v>
      </c>
      <c r="B6" s="309" t="s">
        <v>22039</v>
      </c>
      <c r="C6" s="309" t="s">
        <v>22040</v>
      </c>
      <c r="D6" s="309" t="s">
        <v>22041</v>
      </c>
      <c r="E6" s="309" t="s">
        <v>22042</v>
      </c>
      <c r="F6" s="309" t="s">
        <v>22043</v>
      </c>
      <c r="G6" s="309" t="s">
        <v>22044</v>
      </c>
      <c r="H6" s="309" t="s">
        <v>22045</v>
      </c>
    </row>
    <row r="7" ht="30">
      <c r="A7" s="309">
        <v>6</v>
      </c>
      <c r="B7" s="309" t="s">
        <v>22046</v>
      </c>
      <c r="C7" s="309" t="s">
        <v>22047</v>
      </c>
      <c r="D7" s="309" t="s">
        <v>22048</v>
      </c>
      <c r="E7" s="309" t="s">
        <v>22049</v>
      </c>
      <c r="F7" s="309" t="s">
        <v>22050</v>
      </c>
      <c r="G7" s="309" t="s">
        <v>22051</v>
      </c>
      <c r="H7" s="309" t="s">
        <v>22034</v>
      </c>
    </row>
    <row r="8" ht="45">
      <c r="A8" s="309">
        <v>7</v>
      </c>
      <c r="B8" s="309" t="s">
        <v>22052</v>
      </c>
      <c r="C8" s="309" t="s">
        <v>22053</v>
      </c>
      <c r="D8" s="309" t="s">
        <v>22054</v>
      </c>
      <c r="E8" s="309" t="s">
        <v>22055</v>
      </c>
      <c r="F8" s="309" t="s">
        <v>22056</v>
      </c>
      <c r="G8" s="309" t="s">
        <v>22057</v>
      </c>
      <c r="H8" s="309" t="s">
        <v>22028</v>
      </c>
    </row>
    <row r="9" ht="45">
      <c r="A9" s="309">
        <v>8</v>
      </c>
      <c r="B9" s="309" t="s">
        <v>22058</v>
      </c>
      <c r="C9" s="309" t="s">
        <v>22059</v>
      </c>
      <c r="D9" s="309" t="s">
        <v>22060</v>
      </c>
      <c r="E9" s="309" t="s">
        <v>22061</v>
      </c>
      <c r="F9" s="309" t="s">
        <v>21303</v>
      </c>
      <c r="G9" s="309" t="s">
        <v>22062</v>
      </c>
      <c r="H9" s="309" t="s">
        <v>22028</v>
      </c>
    </row>
    <row r="10" ht="30">
      <c r="A10" s="309">
        <v>9</v>
      </c>
      <c r="B10" s="309" t="s">
        <v>22063</v>
      </c>
      <c r="C10" s="309" t="s">
        <v>22064</v>
      </c>
      <c r="D10" s="309" t="s">
        <v>22065</v>
      </c>
      <c r="E10" s="309" t="s">
        <v>22066</v>
      </c>
      <c r="F10" s="309" t="s">
        <v>22067</v>
      </c>
      <c r="G10" s="309" t="s">
        <v>22068</v>
      </c>
      <c r="H10" s="309" t="s">
        <v>22028</v>
      </c>
    </row>
    <row r="11" ht="30">
      <c r="A11" s="309">
        <v>10</v>
      </c>
      <c r="B11" s="309" t="s">
        <v>22069</v>
      </c>
      <c r="C11" s="309" t="s">
        <v>22070</v>
      </c>
      <c r="D11" s="309" t="s">
        <v>22071</v>
      </c>
      <c r="E11" s="309" t="s">
        <v>22072</v>
      </c>
      <c r="F11" s="309" t="s">
        <v>22073</v>
      </c>
      <c r="G11" s="309" t="s">
        <v>22074</v>
      </c>
      <c r="H11" s="309" t="s">
        <v>22028</v>
      </c>
    </row>
    <row r="12" ht="45">
      <c r="A12" s="309">
        <v>11</v>
      </c>
      <c r="B12" s="309" t="s">
        <v>22075</v>
      </c>
      <c r="C12" s="309" t="s">
        <v>22076</v>
      </c>
      <c r="D12" s="309" t="s">
        <v>22077</v>
      </c>
      <c r="E12" s="309" t="s">
        <v>22078</v>
      </c>
      <c r="F12" s="309" t="s">
        <v>21303</v>
      </c>
      <c r="G12" s="309" t="s">
        <v>22079</v>
      </c>
      <c r="H12" s="309" t="s">
        <v>22028</v>
      </c>
    </row>
    <row r="13" ht="30">
      <c r="A13" s="309">
        <v>12</v>
      </c>
      <c r="B13" s="309" t="s">
        <v>22080</v>
      </c>
      <c r="C13" s="309" t="s">
        <v>22081</v>
      </c>
      <c r="D13" s="309" t="s">
        <v>22082</v>
      </c>
      <c r="E13" s="309" t="s">
        <v>22083</v>
      </c>
      <c r="F13" s="309" t="s">
        <v>21303</v>
      </c>
      <c r="G13" s="309" t="s">
        <v>22084</v>
      </c>
      <c r="H13" s="309" t="s">
        <v>22028</v>
      </c>
    </row>
    <row r="14" ht="45">
      <c r="A14" s="309">
        <v>13</v>
      </c>
      <c r="B14" s="309" t="s">
        <v>22085</v>
      </c>
      <c r="C14" s="309" t="s">
        <v>22086</v>
      </c>
      <c r="D14" s="309" t="s">
        <v>22087</v>
      </c>
      <c r="E14" s="309" t="s">
        <v>22088</v>
      </c>
      <c r="F14" s="309" t="s">
        <v>21303</v>
      </c>
      <c r="G14" s="309" t="s">
        <v>22062</v>
      </c>
      <c r="H14" s="309" t="s">
        <v>22028</v>
      </c>
    </row>
    <row r="15" ht="45">
      <c r="A15" s="309">
        <v>14</v>
      </c>
      <c r="B15" s="309" t="s">
        <v>22089</v>
      </c>
      <c r="C15" s="309" t="s">
        <v>22090</v>
      </c>
      <c r="D15" s="309" t="s">
        <v>22091</v>
      </c>
      <c r="E15" s="309" t="s">
        <v>22092</v>
      </c>
      <c r="F15" s="309" t="s">
        <v>22093</v>
      </c>
      <c r="G15" s="309" t="s">
        <v>22094</v>
      </c>
      <c r="H15" s="309" t="s">
        <v>22028</v>
      </c>
    </row>
    <row r="16" ht="30">
      <c r="A16" s="309">
        <v>15</v>
      </c>
      <c r="B16" s="309" t="s">
        <v>22095</v>
      </c>
      <c r="C16" s="309" t="s">
        <v>22096</v>
      </c>
      <c r="D16" s="309" t="s">
        <v>22097</v>
      </c>
      <c r="E16" s="309" t="s">
        <v>22098</v>
      </c>
      <c r="F16" s="309" t="s">
        <v>22098</v>
      </c>
      <c r="G16" s="309" t="s">
        <v>22099</v>
      </c>
      <c r="H16" s="309" t="s">
        <v>22028</v>
      </c>
    </row>
    <row r="17" ht="30">
      <c r="A17" s="309">
        <v>16</v>
      </c>
      <c r="B17" s="309" t="s">
        <v>22100</v>
      </c>
      <c r="C17" s="309" t="s">
        <v>22101</v>
      </c>
      <c r="D17" s="309" t="s">
        <v>22102</v>
      </c>
      <c r="E17" s="309" t="s">
        <v>22103</v>
      </c>
      <c r="F17" s="309" t="s">
        <v>21303</v>
      </c>
      <c r="G17" s="309" t="s">
        <v>22104</v>
      </c>
      <c r="H17" s="309" t="s">
        <v>22028</v>
      </c>
    </row>
    <row r="18" ht="45">
      <c r="A18" s="309">
        <v>17</v>
      </c>
      <c r="B18" s="309" t="s">
        <v>22105</v>
      </c>
      <c r="C18" s="309" t="s">
        <v>22106</v>
      </c>
      <c r="D18" s="309" t="s">
        <v>22107</v>
      </c>
      <c r="E18" s="309" t="s">
        <v>22108</v>
      </c>
      <c r="F18" s="309" t="s">
        <v>22109</v>
      </c>
      <c r="G18" s="309" t="s">
        <v>22110</v>
      </c>
      <c r="H18" s="309" t="s">
        <v>22028</v>
      </c>
    </row>
    <row r="19" ht="30">
      <c r="A19" s="309">
        <v>18</v>
      </c>
      <c r="B19" s="309" t="s">
        <v>22111</v>
      </c>
      <c r="C19" s="309" t="s">
        <v>22112</v>
      </c>
      <c r="D19" s="309" t="s">
        <v>22113</v>
      </c>
      <c r="E19" s="309" t="s">
        <v>22114</v>
      </c>
      <c r="F19" s="309" t="s">
        <v>21303</v>
      </c>
      <c r="G19" s="309" t="s">
        <v>22115</v>
      </c>
      <c r="H19" s="309" t="s">
        <v>22028</v>
      </c>
    </row>
    <row r="20" ht="30">
      <c r="A20" s="309">
        <v>19</v>
      </c>
      <c r="B20" s="309" t="s">
        <v>22116</v>
      </c>
      <c r="C20" s="309" t="s">
        <v>22117</v>
      </c>
      <c r="D20" s="309" t="s">
        <v>22118</v>
      </c>
      <c r="E20" s="309" t="s">
        <v>22119</v>
      </c>
      <c r="F20" s="309" t="s">
        <v>21303</v>
      </c>
      <c r="G20" s="309" t="s">
        <v>22120</v>
      </c>
      <c r="H20" s="309" t="s">
        <v>22028</v>
      </c>
    </row>
    <row r="21" ht="45">
      <c r="A21" s="309">
        <v>20</v>
      </c>
      <c r="B21" s="309" t="s">
        <v>22121</v>
      </c>
      <c r="C21" s="309" t="s">
        <v>22122</v>
      </c>
      <c r="D21" s="309" t="s">
        <v>22123</v>
      </c>
      <c r="E21" s="309" t="s">
        <v>22124</v>
      </c>
      <c r="F21" s="309" t="s">
        <v>21303</v>
      </c>
      <c r="G21" s="309" t="s">
        <v>22125</v>
      </c>
      <c r="H21" s="309" t="s">
        <v>22028</v>
      </c>
    </row>
    <row r="22" ht="30">
      <c r="A22" s="309">
        <v>21</v>
      </c>
      <c r="B22" s="309" t="s">
        <v>22126</v>
      </c>
      <c r="C22" s="309" t="s">
        <v>22127</v>
      </c>
      <c r="D22" s="309" t="s">
        <v>22128</v>
      </c>
      <c r="E22" s="309" t="s">
        <v>22129</v>
      </c>
      <c r="F22" s="309" t="s">
        <v>21303</v>
      </c>
      <c r="G22" s="309" t="s">
        <v>22130</v>
      </c>
      <c r="H22" s="309" t="s">
        <v>22028</v>
      </c>
    </row>
    <row r="23" ht="30">
      <c r="A23" s="309">
        <v>22</v>
      </c>
      <c r="B23" s="309" t="s">
        <v>22131</v>
      </c>
      <c r="C23" s="309" t="s">
        <v>22132</v>
      </c>
      <c r="D23" s="309" t="s">
        <v>22133</v>
      </c>
      <c r="E23" s="309" t="s">
        <v>21303</v>
      </c>
      <c r="F23" s="309" t="s">
        <v>22134</v>
      </c>
      <c r="G23" s="309" t="s">
        <v>22135</v>
      </c>
      <c r="H23" s="309" t="s">
        <v>22028</v>
      </c>
    </row>
    <row r="24" ht="45">
      <c r="A24" s="309">
        <v>23</v>
      </c>
      <c r="B24" s="309" t="s">
        <v>22136</v>
      </c>
      <c r="C24" s="309" t="s">
        <v>22137</v>
      </c>
      <c r="D24" s="309" t="s">
        <v>22138</v>
      </c>
      <c r="E24" s="309" t="s">
        <v>22139</v>
      </c>
      <c r="F24" s="309" t="s">
        <v>21303</v>
      </c>
      <c r="G24" s="309" t="s">
        <v>22140</v>
      </c>
      <c r="H24" s="309" t="s">
        <v>22028</v>
      </c>
    </row>
    <row r="25" ht="30">
      <c r="A25" s="309">
        <v>24</v>
      </c>
      <c r="B25" s="309" t="s">
        <v>22141</v>
      </c>
      <c r="C25" s="309" t="s">
        <v>22142</v>
      </c>
      <c r="D25" s="309" t="s">
        <v>22143</v>
      </c>
      <c r="E25" s="309" t="s">
        <v>22144</v>
      </c>
      <c r="F25" s="309" t="s">
        <v>22145</v>
      </c>
      <c r="G25" s="309" t="s">
        <v>22146</v>
      </c>
      <c r="H25" s="309" t="s">
        <v>22028</v>
      </c>
    </row>
    <row r="26" ht="45">
      <c r="A26" s="309">
        <v>25</v>
      </c>
      <c r="B26" s="309" t="s">
        <v>22147</v>
      </c>
      <c r="C26" s="309" t="s">
        <v>22148</v>
      </c>
      <c r="D26" s="309" t="s">
        <v>22149</v>
      </c>
      <c r="E26" s="309" t="s">
        <v>22150</v>
      </c>
      <c r="F26" s="309" t="s">
        <v>21303</v>
      </c>
      <c r="G26" s="309" t="s">
        <v>22151</v>
      </c>
      <c r="H26" s="309" t="s">
        <v>22028</v>
      </c>
    </row>
    <row r="27" ht="45">
      <c r="A27" s="309">
        <v>26</v>
      </c>
      <c r="B27" s="309" t="s">
        <v>22152</v>
      </c>
      <c r="C27" s="309" t="s">
        <v>22153</v>
      </c>
      <c r="D27" s="309" t="s">
        <v>22154</v>
      </c>
      <c r="E27" s="309" t="s">
        <v>22155</v>
      </c>
      <c r="F27" s="309" t="s">
        <v>22156</v>
      </c>
      <c r="G27" s="309" t="s">
        <v>22157</v>
      </c>
      <c r="H27" s="309" t="s">
        <v>22028</v>
      </c>
    </row>
    <row r="28" ht="45">
      <c r="A28" s="309">
        <v>27</v>
      </c>
      <c r="B28" s="309" t="s">
        <v>22158</v>
      </c>
      <c r="C28" s="309" t="s">
        <v>22159</v>
      </c>
      <c r="D28" s="309" t="s">
        <v>22160</v>
      </c>
      <c r="E28" s="309" t="s">
        <v>22161</v>
      </c>
      <c r="F28" s="309" t="s">
        <v>21303</v>
      </c>
      <c r="G28" s="309" t="s">
        <v>22162</v>
      </c>
      <c r="H28" s="309" t="s">
        <v>22028</v>
      </c>
    </row>
    <row r="29" ht="30">
      <c r="A29" s="309">
        <v>28</v>
      </c>
      <c r="B29" s="309" t="s">
        <v>22163</v>
      </c>
      <c r="C29" s="309" t="s">
        <v>22164</v>
      </c>
      <c r="D29" s="309" t="s">
        <v>22165</v>
      </c>
      <c r="E29" s="309" t="s">
        <v>22166</v>
      </c>
      <c r="F29" s="309" t="s">
        <v>22166</v>
      </c>
      <c r="G29" s="309" t="s">
        <v>22167</v>
      </c>
      <c r="H29" s="309" t="s">
        <v>22028</v>
      </c>
    </row>
    <row r="30" ht="30">
      <c r="A30" s="309">
        <v>29</v>
      </c>
      <c r="B30" s="309" t="s">
        <v>22168</v>
      </c>
      <c r="C30" s="309" t="s">
        <v>22169</v>
      </c>
      <c r="D30" s="309" t="s">
        <v>22170</v>
      </c>
      <c r="E30" s="309" t="s">
        <v>21303</v>
      </c>
      <c r="F30" s="309" t="s">
        <v>21303</v>
      </c>
      <c r="G30" s="309" t="s">
        <v>22130</v>
      </c>
      <c r="H30" s="309" t="s">
        <v>22028</v>
      </c>
    </row>
  </sheetData>
  <sheetProtection formatCells="0" formatColumns="0" formatRows="0" sort="0" autoFilter="0" pivotTables="0"/>
  <autoFilter ref="A1:H30"/>
  <dataConsolidate/>
  <dataValidations count="1">
    <dataValidation type="list" allowBlank="1" showInputMessage="1" showErrorMessage="1" sqref="B1:B1048576" xr:uid="{CB86A05D-67C0-4C10-B565-119DB4FBDDAD}">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I2" activePane="bottomRight" state="frozen"/>
      <selection activeCell="G5" sqref="G5"/>
      <selection pane="topRight" activeCell="G5" sqref="G5"/>
      <selection pane="bottomLeft" activeCell="G5" sqref="G5"/>
      <selection pane="bottomRight" sqref="A1:M4"/>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21282</v>
      </c>
      <c r="B1" s="440" t="s">
        <v>21596</v>
      </c>
      <c r="C1" s="439" t="s">
        <v>21995</v>
      </c>
      <c r="D1" s="439" t="s">
        <v>21996</v>
      </c>
      <c r="E1" s="439" t="s">
        <v>21997</v>
      </c>
      <c r="F1" s="439" t="s">
        <v>21998</v>
      </c>
      <c r="G1" s="439" t="s">
        <v>21999</v>
      </c>
      <c r="H1" s="441" t="s">
        <v>22000</v>
      </c>
      <c r="I1" s="439" t="s">
        <v>22001</v>
      </c>
      <c r="J1" s="439" t="s">
        <v>22002</v>
      </c>
      <c r="K1" s="439" t="s">
        <v>22003</v>
      </c>
      <c r="L1" s="441" t="s">
        <v>21283</v>
      </c>
      <c r="M1" s="441" t="s">
        <v>21597</v>
      </c>
    </row>
    <row r="2" ht="45" s="438" customFormat="1">
      <c r="A2" s="423" t="s">
        <v>21801</v>
      </c>
      <c r="B2" s="446" t="s">
        <v>21809</v>
      </c>
      <c r="C2" s="423" t="s">
        <v>22004</v>
      </c>
      <c r="D2" s="423" t="s">
        <v>22005</v>
      </c>
      <c r="E2" s="423" t="s">
        <v>22006</v>
      </c>
      <c r="F2" s="423" t="s">
        <v>22007</v>
      </c>
      <c r="G2" s="423" t="s">
        <v>22008</v>
      </c>
      <c r="H2" s="423" t="s">
        <v>22009</v>
      </c>
      <c r="I2" s="423" t="s">
        <v>22010</v>
      </c>
      <c r="J2" s="423" t="s">
        <v>22011</v>
      </c>
      <c r="K2" s="423" t="s">
        <v>22012</v>
      </c>
      <c r="L2" s="423" t="s">
        <v>21802</v>
      </c>
      <c r="M2" s="423" t="s">
        <v>21810</v>
      </c>
    </row>
    <row r="3" ht="30" s="217" customFormat="1">
      <c r="A3" s="442" t="s">
        <v>21287</v>
      </c>
      <c r="B3" s="442" t="str">
        <f>INDEX(ApplicantNameList,MATCH(A3,ApplicantIDList,0))</f>
        <v>Công ty Cổ phần Viễn thông Di động Vietnamobile</v>
      </c>
      <c r="C3" s="442" t="s">
        <v>22013</v>
      </c>
      <c r="D3" s="443">
        <v>43543</v>
      </c>
      <c r="E3" s="442">
        <v>46</v>
      </c>
      <c r="F3" s="442">
        <v>46</v>
      </c>
      <c r="G3" s="443">
        <v>43566</v>
      </c>
      <c r="H3" s="444">
        <f>F3*2500000</f>
        <v>115000000</v>
      </c>
      <c r="I3" s="445" t="s">
        <v>22014</v>
      </c>
      <c r="J3" s="443">
        <v>43610</v>
      </c>
      <c r="K3" s="443">
        <v>43627</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6B08A1B5-9D58-4AED-810E-A5EC0485722E}">
      <formula1>ApplicantIDList</formula1>
    </dataValidation>
    <dataValidation type="whole" operator="greaterThanOrEqual" allowBlank="1" showInputMessage="1" showErrorMessage="1" errorTitle="Lỗi nhập liệu" error="Yêu cầu nhập vào một số &gt;= 1" sqref="E3:F3" xr:uid="{12EFF375-3A0D-4F96-8B6C-908D0032E758}">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0" activePane="bottomRight" state="frozen"/>
      <selection pane="topRight" activeCell="C1" sqref="C1"/>
      <selection pane="bottomLeft" activeCell="A2" sqref="A2"/>
      <selection pane="bottomRight"/>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22255</v>
      </c>
      <c r="C1" s="345" t="s">
        <v>22256</v>
      </c>
      <c r="D1" s="345" t="s">
        <v>22257</v>
      </c>
      <c r="E1" s="345" t="s">
        <v>22258</v>
      </c>
      <c r="F1" s="346" t="s">
        <v>22259</v>
      </c>
      <c r="G1" s="345" t="s">
        <v>22260</v>
      </c>
      <c r="I1" s="477" t="s">
        <v>22261</v>
      </c>
      <c r="J1" s="477"/>
      <c r="K1" s="477"/>
      <c r="L1" s="477"/>
    </row>
    <row r="2">
      <c r="A2" s="349">
        <v>1</v>
      </c>
      <c r="B2" s="400" t="s">
        <v>0</v>
      </c>
      <c r="C2" s="349" t="s">
        <v>22262</v>
      </c>
      <c r="D2" s="400" t="s">
        <v>0</v>
      </c>
      <c r="E2" s="349">
        <v>1</v>
      </c>
      <c r="F2" s="403" t="s">
        <v>0</v>
      </c>
      <c r="G2" s="350" t="s">
        <v>22263</v>
      </c>
      <c r="H2" s="351"/>
      <c r="I2" s="348" t="s">
        <v>0</v>
      </c>
      <c r="J2" s="348" t="s">
        <v>22264</v>
      </c>
      <c r="K2" s="348" t="s">
        <v>22265</v>
      </c>
      <c r="L2" s="348" t="s">
        <v>22266</v>
      </c>
    </row>
    <row r="3">
      <c r="A3" s="349">
        <v>2</v>
      </c>
      <c r="B3" s="401" t="s">
        <v>22267</v>
      </c>
      <c r="C3" s="349" t="s">
        <v>22262</v>
      </c>
      <c r="D3" s="401" t="s">
        <v>21562</v>
      </c>
      <c r="E3" s="356"/>
      <c r="F3" s="404" t="s">
        <v>21562</v>
      </c>
      <c r="G3" s="353" t="s">
        <v>22268</v>
      </c>
      <c r="H3" s="351"/>
      <c r="I3" s="361">
        <v>1</v>
      </c>
      <c r="J3" s="361" t="b">
        <v>1</v>
      </c>
      <c r="K3" s="352" t="s">
        <v>22269</v>
      </c>
      <c r="L3" s="352" t="s">
        <v>22270</v>
      </c>
    </row>
    <row r="4">
      <c r="A4" s="349">
        <v>3</v>
      </c>
      <c r="B4" s="401" t="s">
        <v>21563</v>
      </c>
      <c r="C4" s="349" t="s">
        <v>22262</v>
      </c>
      <c r="D4" s="401" t="s">
        <v>21563</v>
      </c>
      <c r="E4" s="355"/>
      <c r="F4" s="404" t="s">
        <v>21563</v>
      </c>
      <c r="G4" s="353" t="s">
        <v>22271</v>
      </c>
      <c r="H4" s="351"/>
      <c r="I4" s="361">
        <v>2</v>
      </c>
      <c r="J4" s="361" t="b">
        <v>0</v>
      </c>
      <c r="K4" s="352" t="s">
        <v>22272</v>
      </c>
      <c r="L4" s="352" t="s">
        <v>0</v>
      </c>
    </row>
    <row r="5">
      <c r="A5" s="349">
        <v>4</v>
      </c>
      <c r="B5" s="401" t="s">
        <v>21564</v>
      </c>
      <c r="C5" s="349" t="s">
        <v>22262</v>
      </c>
      <c r="D5" s="401" t="s">
        <v>21564</v>
      </c>
      <c r="E5" s="355" t="s">
        <v>20917</v>
      </c>
      <c r="F5" s="404" t="s">
        <v>21564</v>
      </c>
      <c r="G5" s="353" t="s">
        <v>22273</v>
      </c>
      <c r="H5" s="351"/>
    </row>
    <row r="6">
      <c r="A6" s="349">
        <v>5</v>
      </c>
      <c r="B6" s="400" t="s">
        <v>21602</v>
      </c>
      <c r="C6" s="349" t="s">
        <v>22262</v>
      </c>
      <c r="D6" s="400" t="s">
        <v>21602</v>
      </c>
      <c r="E6" s="355" t="s">
        <v>17532</v>
      </c>
      <c r="F6" s="403" t="s">
        <v>21602</v>
      </c>
      <c r="G6" s="353" t="s">
        <v>22274</v>
      </c>
      <c r="H6" s="351"/>
      <c r="I6" s="345" t="s">
        <v>22275</v>
      </c>
      <c r="J6" s="345" t="s">
        <v>22276</v>
      </c>
      <c r="K6" s="345" t="s">
        <v>22277</v>
      </c>
      <c r="L6" s="345" t="s">
        <v>22278</v>
      </c>
    </row>
    <row r="7">
      <c r="A7" s="349">
        <v>6</v>
      </c>
      <c r="B7" s="401" t="s">
        <v>22279</v>
      </c>
      <c r="C7" s="349" t="s">
        <v>22280</v>
      </c>
      <c r="D7" s="401" t="s">
        <v>21565</v>
      </c>
      <c r="E7" s="355"/>
      <c r="F7" s="404" t="s">
        <v>21565</v>
      </c>
      <c r="G7" s="353" t="s">
        <v>22281</v>
      </c>
      <c r="H7" s="351"/>
      <c r="I7" s="363" t="s">
        <v>22282</v>
      </c>
      <c r="J7" s="349">
        <v>0</v>
      </c>
      <c r="K7" s="349" t="e">
        <f>INDEX(TrueFalseList,_xlfn.IFNA(MATCH(OptionsIsNotLogicalValue,CoKhongList,0),MATCH(OptionsIsNotLogicalValue,YesNoList,0)))</f>
        <v>#N/A</v>
      </c>
      <c r="L7" s="349" t="b">
        <v>1</v>
      </c>
    </row>
    <row r="8">
      <c r="A8" s="349">
        <v>7</v>
      </c>
      <c r="B8" s="401" t="s">
        <v>22279</v>
      </c>
      <c r="C8" s="349" t="s">
        <v>22283</v>
      </c>
      <c r="D8" s="401" t="s">
        <v>21566</v>
      </c>
      <c r="E8" s="355"/>
      <c r="F8" s="404" t="s">
        <v>21566</v>
      </c>
      <c r="G8" s="353" t="s">
        <v>22284</v>
      </c>
      <c r="H8" s="351"/>
    </row>
    <row r="9">
      <c r="A9" s="349">
        <v>8</v>
      </c>
      <c r="B9" s="401" t="s">
        <v>22285</v>
      </c>
      <c r="C9" s="349" t="s">
        <v>22262</v>
      </c>
      <c r="D9" s="401" t="s">
        <v>21567</v>
      </c>
      <c r="E9" s="355">
        <v>1</v>
      </c>
      <c r="F9" s="404" t="s">
        <v>21567</v>
      </c>
      <c r="G9" s="353" t="s">
        <v>22286</v>
      </c>
      <c r="H9" s="351"/>
    </row>
    <row r="10">
      <c r="A10" s="349">
        <v>9</v>
      </c>
      <c r="B10" s="401" t="s">
        <v>21568</v>
      </c>
      <c r="C10" s="355" t="s">
        <v>22287</v>
      </c>
      <c r="D10" s="401" t="s">
        <v>21568</v>
      </c>
      <c r="E10" s="355"/>
      <c r="F10" s="404" t="s">
        <v>21568</v>
      </c>
      <c r="G10" s="353" t="s">
        <v>22288</v>
      </c>
      <c r="H10" s="351"/>
      <c r="I10" s="477" t="s">
        <v>22289</v>
      </c>
      <c r="J10" s="477"/>
      <c r="K10" s="477"/>
      <c r="L10" s="477"/>
    </row>
    <row r="11" ht="45">
      <c r="A11" s="349">
        <v>10</v>
      </c>
      <c r="B11" s="401" t="s">
        <v>22290</v>
      </c>
      <c r="C11" s="355" t="s">
        <v>22291</v>
      </c>
      <c r="D11" s="401" t="s">
        <v>21615</v>
      </c>
      <c r="E11" s="355"/>
      <c r="F11" s="405" t="s">
        <v>21615</v>
      </c>
      <c r="G11" s="353" t="s">
        <v>22292</v>
      </c>
      <c r="H11" s="351"/>
      <c r="I11" s="345" t="s">
        <v>22293</v>
      </c>
      <c r="J11" s="345" t="s">
        <v>22258</v>
      </c>
      <c r="K11" s="345" t="s">
        <v>22260</v>
      </c>
      <c r="L11" s="360"/>
    </row>
    <row r="12" ht="45">
      <c r="A12" s="349">
        <v>11</v>
      </c>
      <c r="B12" s="401" t="s">
        <v>22294</v>
      </c>
      <c r="C12" s="355" t="s">
        <v>22291</v>
      </c>
      <c r="D12" s="401" t="s">
        <v>21569</v>
      </c>
      <c r="E12" s="355"/>
      <c r="F12" s="404" t="s">
        <v>21569</v>
      </c>
      <c r="G12" s="353" t="s">
        <v>22295</v>
      </c>
      <c r="H12" s="351"/>
      <c r="I12" s="379" t="s">
        <v>22296</v>
      </c>
      <c r="J12" s="349" t="b">
        <v>1</v>
      </c>
      <c r="K12" s="349" t="s">
        <v>22297</v>
      </c>
      <c r="L12" s="349"/>
    </row>
    <row r="13" ht="45">
      <c r="A13" s="349">
        <v>12</v>
      </c>
      <c r="B13" s="401" t="s">
        <v>22267</v>
      </c>
      <c r="C13" s="355" t="s">
        <v>22291</v>
      </c>
      <c r="D13" s="401" t="s">
        <v>21570</v>
      </c>
      <c r="E13" s="355"/>
      <c r="F13" s="404" t="s">
        <v>21570</v>
      </c>
      <c r="G13" s="353" t="s">
        <v>22298</v>
      </c>
      <c r="H13" s="351"/>
      <c r="I13" s="379" t="s">
        <v>21563</v>
      </c>
      <c r="J13" s="349" t="b">
        <v>0</v>
      </c>
      <c r="K13" s="349" t="s">
        <v>22299</v>
      </c>
      <c r="L13" s="349"/>
    </row>
    <row r="14" ht="45">
      <c r="A14" s="349">
        <v>13</v>
      </c>
      <c r="B14" s="401" t="s">
        <v>22300</v>
      </c>
      <c r="C14" s="355" t="s">
        <v>22291</v>
      </c>
      <c r="D14" s="401" t="s">
        <v>21571</v>
      </c>
      <c r="E14" s="355"/>
      <c r="F14" s="404" t="s">
        <v>21571</v>
      </c>
      <c r="G14" s="353" t="s">
        <v>22301</v>
      </c>
      <c r="H14" s="351"/>
      <c r="I14" s="379" t="s">
        <v>22302</v>
      </c>
      <c r="J14" s="349" t="b">
        <v>0</v>
      </c>
      <c r="K14" s="349" t="s">
        <v>22303</v>
      </c>
      <c r="L14" s="349"/>
    </row>
    <row r="15" ht="45">
      <c r="A15" s="349">
        <v>14</v>
      </c>
      <c r="B15" s="401" t="s">
        <v>22304</v>
      </c>
      <c r="C15" s="355" t="s">
        <v>22291</v>
      </c>
      <c r="D15" s="401" t="s">
        <v>21572</v>
      </c>
      <c r="E15" s="355"/>
      <c r="F15" s="404" t="s">
        <v>21572</v>
      </c>
      <c r="G15" s="353" t="s">
        <v>22305</v>
      </c>
      <c r="H15" s="351"/>
      <c r="I15" s="379" t="s">
        <v>22306</v>
      </c>
      <c r="J15" s="349" t="b">
        <v>0</v>
      </c>
      <c r="K15" s="349" t="s">
        <v>22307</v>
      </c>
      <c r="L15" s="349"/>
    </row>
    <row r="16" ht="45">
      <c r="A16" s="349">
        <v>15</v>
      </c>
      <c r="B16" s="401" t="s">
        <v>22308</v>
      </c>
      <c r="C16" s="355" t="s">
        <v>22291</v>
      </c>
      <c r="D16" s="401" t="s">
        <v>21573</v>
      </c>
      <c r="E16" s="355"/>
      <c r="F16" s="404" t="s">
        <v>21573</v>
      </c>
      <c r="G16" s="353" t="s">
        <v>22309</v>
      </c>
      <c r="H16" s="351"/>
      <c r="I16" s="363" t="s">
        <v>22310</v>
      </c>
      <c r="J16" s="349" t="b">
        <v>1</v>
      </c>
      <c r="K16" s="349" t="s">
        <v>22311</v>
      </c>
      <c r="L16" s="349"/>
    </row>
    <row r="17" ht="45">
      <c r="A17" s="349">
        <v>16</v>
      </c>
      <c r="B17" s="401" t="s">
        <v>22312</v>
      </c>
      <c r="C17" s="355" t="s">
        <v>22291</v>
      </c>
      <c r="D17" s="401" t="s">
        <v>21574</v>
      </c>
      <c r="E17" s="355"/>
      <c r="F17" s="404" t="s">
        <v>21574</v>
      </c>
      <c r="G17" s="353" t="s">
        <v>22313</v>
      </c>
      <c r="H17" s="351"/>
    </row>
    <row r="18" ht="45">
      <c r="A18" s="349">
        <v>17</v>
      </c>
      <c r="B18" s="401" t="s">
        <v>22314</v>
      </c>
      <c r="C18" s="355" t="s">
        <v>22291</v>
      </c>
      <c r="D18" s="401" t="s">
        <v>21575</v>
      </c>
      <c r="E18" s="355"/>
      <c r="F18" s="404" t="s">
        <v>21575</v>
      </c>
      <c r="G18" s="353" t="s">
        <v>22315</v>
      </c>
      <c r="H18" s="351"/>
      <c r="I18" s="477" t="s">
        <v>22316</v>
      </c>
      <c r="J18" s="477"/>
      <c r="K18" s="477"/>
      <c r="L18" s="477"/>
    </row>
    <row r="19" ht="45">
      <c r="A19" s="349">
        <v>18</v>
      </c>
      <c r="B19" s="401" t="s">
        <v>22317</v>
      </c>
      <c r="C19" s="355" t="s">
        <v>22291</v>
      </c>
      <c r="D19" s="401" t="s">
        <v>21576</v>
      </c>
      <c r="E19" s="355"/>
      <c r="F19" s="404" t="s">
        <v>21576</v>
      </c>
      <c r="G19" s="353" t="s">
        <v>22318</v>
      </c>
      <c r="H19" s="351"/>
      <c r="I19" s="345" t="s">
        <v>0</v>
      </c>
      <c r="J19" s="345" t="s">
        <v>21590</v>
      </c>
      <c r="K19" s="345" t="s">
        <v>22319</v>
      </c>
      <c r="L19" s="345" t="s">
        <v>21794</v>
      </c>
    </row>
    <row r="20" ht="30">
      <c r="A20" s="349">
        <v>19</v>
      </c>
      <c r="B20" s="401" t="s">
        <v>21577</v>
      </c>
      <c r="C20" s="349" t="s">
        <v>22262</v>
      </c>
      <c r="D20" s="401" t="s">
        <v>21577</v>
      </c>
      <c r="E20" s="355" t="b">
        <v>1</v>
      </c>
      <c r="F20" s="404" t="s">
        <v>21577</v>
      </c>
      <c r="G20" s="353" t="s">
        <v>22320</v>
      </c>
      <c r="H20" s="351"/>
      <c r="I20" s="349">
        <v>1</v>
      </c>
      <c r="J20" s="349" t="s">
        <v>21301</v>
      </c>
      <c r="K20" s="349" t="s">
        <v>21302</v>
      </c>
      <c r="L20" s="349" t="s">
        <v>21035</v>
      </c>
    </row>
    <row r="21" ht="30">
      <c r="A21" s="349">
        <v>20</v>
      </c>
      <c r="B21" s="401" t="s">
        <v>21284</v>
      </c>
      <c r="C21" s="349" t="s">
        <v>22262</v>
      </c>
      <c r="D21" s="401" t="s">
        <v>21284</v>
      </c>
      <c r="E21" s="356" t="s">
        <v>21303</v>
      </c>
      <c r="F21" s="404" t="s">
        <v>21284</v>
      </c>
      <c r="G21" s="353" t="s">
        <v>22321</v>
      </c>
      <c r="H21" s="351"/>
      <c r="I21" s="349">
        <v>2</v>
      </c>
      <c r="J21" s="349" t="s">
        <v>21025</v>
      </c>
      <c r="K21" s="349" t="s">
        <v>21059</v>
      </c>
      <c r="L21" s="349" t="s">
        <v>21036</v>
      </c>
    </row>
    <row r="22" ht="30">
      <c r="A22" s="349">
        <v>21</v>
      </c>
      <c r="B22" s="401" t="s">
        <v>22285</v>
      </c>
      <c r="C22" s="349" t="s">
        <v>22285</v>
      </c>
      <c r="D22" s="401" t="s">
        <v>21578</v>
      </c>
      <c r="E22" s="355"/>
      <c r="F22" s="404" t="s">
        <v>21578</v>
      </c>
      <c r="G22" s="353" t="s">
        <v>22322</v>
      </c>
      <c r="H22" s="351"/>
      <c r="I22" s="349">
        <v>3</v>
      </c>
      <c r="J22" s="349" t="s">
        <v>22323</v>
      </c>
      <c r="K22" s="349" t="s">
        <v>22324</v>
      </c>
      <c r="L22" s="349" t="s">
        <v>21037</v>
      </c>
    </row>
    <row r="23">
      <c r="A23" s="349">
        <v>22</v>
      </c>
      <c r="B23" s="401" t="s">
        <v>22285</v>
      </c>
      <c r="C23" s="349" t="s">
        <v>22285</v>
      </c>
      <c r="D23" s="401" t="s">
        <v>21579</v>
      </c>
      <c r="E23" s="355" t="s">
        <v>21297</v>
      </c>
      <c r="F23" s="404" t="s">
        <v>21579</v>
      </c>
      <c r="G23" s="353" t="s">
        <v>22325</v>
      </c>
      <c r="H23" s="351"/>
    </row>
    <row r="24">
      <c r="A24" s="349">
        <v>23</v>
      </c>
      <c r="B24" s="401" t="s">
        <v>21580</v>
      </c>
      <c r="C24" s="349" t="s">
        <v>22262</v>
      </c>
      <c r="D24" s="401" t="s">
        <v>21580</v>
      </c>
      <c r="E24" s="355"/>
      <c r="F24" s="404" t="s">
        <v>21580</v>
      </c>
      <c r="G24" s="353" t="s">
        <v>21092</v>
      </c>
      <c r="H24" s="351"/>
      <c r="I24" s="345" t="s">
        <v>22326</v>
      </c>
      <c r="J24" s="345" t="s">
        <v>22258</v>
      </c>
      <c r="K24" s="345" t="s">
        <v>22260</v>
      </c>
      <c r="L24" s="345"/>
    </row>
    <row r="25" ht="30">
      <c r="A25" s="349">
        <v>24</v>
      </c>
      <c r="B25" s="404" t="s">
        <v>21581</v>
      </c>
      <c r="C25" s="349" t="s">
        <v>22262</v>
      </c>
      <c r="D25" s="404" t="s">
        <v>21581</v>
      </c>
      <c r="E25" s="462"/>
      <c r="F25" s="404" t="s">
        <v>21581</v>
      </c>
      <c r="G25" s="353" t="s">
        <v>22327</v>
      </c>
      <c r="H25" s="351"/>
      <c r="I25" s="359" t="s">
        <v>21590</v>
      </c>
      <c r="J25" s="349" t="s">
        <v>21301</v>
      </c>
      <c r="K25" s="349" t="s">
        <v>22328</v>
      </c>
      <c r="L25" s="349"/>
    </row>
    <row r="26" ht="30">
      <c r="A26" s="349">
        <v>25</v>
      </c>
      <c r="B26" s="401" t="s">
        <v>21582</v>
      </c>
      <c r="C26" s="349" t="s">
        <v>22262</v>
      </c>
      <c r="D26" s="401" t="s">
        <v>21582</v>
      </c>
      <c r="E26" s="355" t="b">
        <v>0</v>
      </c>
      <c r="F26" s="404" t="s">
        <v>21582</v>
      </c>
      <c r="G26" s="353" t="s">
        <v>22329</v>
      </c>
      <c r="H26" s="351"/>
      <c r="I26" s="379" t="s">
        <v>21591</v>
      </c>
      <c r="J26" s="349" t="str">
        <f>INDEX(OptionsPlaceList,MATCH(OptionsVerifyUnit,OptionsVerifyUnitList,0))</f>
        <v>TP. Hà Nội</v>
      </c>
      <c r="K26" s="349" t="s">
        <v>22330</v>
      </c>
      <c r="L26" s="349"/>
    </row>
    <row r="27" ht="30">
      <c r="A27" s="349">
        <v>26</v>
      </c>
      <c r="B27" s="401" t="s">
        <v>21583</v>
      </c>
      <c r="C27" s="349" t="s">
        <v>22262</v>
      </c>
      <c r="D27" s="401" t="s">
        <v>21583</v>
      </c>
      <c r="E27" s="355" t="b">
        <v>0</v>
      </c>
      <c r="F27" s="404" t="s">
        <v>21583</v>
      </c>
      <c r="G27" s="353" t="s">
        <v>22331</v>
      </c>
      <c r="H27" s="351"/>
      <c r="I27" s="379" t="s">
        <v>21794</v>
      </c>
      <c r="J27" s="349" t="s">
        <v>21035</v>
      </c>
      <c r="K27" s="349" t="s">
        <v>22332</v>
      </c>
      <c r="L27" s="349"/>
    </row>
    <row r="28" ht="30">
      <c r="A28" s="349">
        <v>27</v>
      </c>
      <c r="B28" s="401" t="s">
        <v>21584</v>
      </c>
      <c r="C28" s="349" t="s">
        <v>22262</v>
      </c>
      <c r="D28" s="401" t="s">
        <v>21584</v>
      </c>
      <c r="E28" s="355"/>
      <c r="F28" s="404" t="s">
        <v>21584</v>
      </c>
      <c r="G28" s="353" t="s">
        <v>22333</v>
      </c>
      <c r="H28" s="351"/>
      <c r="I28" s="379" t="s">
        <v>21797</v>
      </c>
      <c r="J28" s="349" t="s">
        <v>21321</v>
      </c>
      <c r="K28" s="349" t="s">
        <v>22334</v>
      </c>
      <c r="L28" s="349"/>
    </row>
    <row r="29" ht="45">
      <c r="A29" s="349">
        <v>28</v>
      </c>
      <c r="B29" s="401" t="s">
        <v>21585</v>
      </c>
      <c r="C29" s="349" t="s">
        <v>22262</v>
      </c>
      <c r="D29" s="401" t="s">
        <v>21585</v>
      </c>
      <c r="E29" s="355" t="b">
        <v>1</v>
      </c>
      <c r="F29" s="404" t="s">
        <v>21585</v>
      </c>
      <c r="G29" s="353" t="s">
        <v>22335</v>
      </c>
      <c r="H29" s="351"/>
      <c r="I29" s="359" t="s">
        <v>21592</v>
      </c>
      <c r="J29" s="349" t="s">
        <v>21054</v>
      </c>
      <c r="K29" s="349" t="s">
        <v>22336</v>
      </c>
      <c r="L29" s="349"/>
    </row>
    <row r="30" ht="60">
      <c r="A30" s="349">
        <v>29</v>
      </c>
      <c r="B30" s="401" t="s">
        <v>21586</v>
      </c>
      <c r="C30" s="349" t="s">
        <v>22337</v>
      </c>
      <c r="D30" s="401" t="s">
        <v>21586</v>
      </c>
      <c r="E30" s="355"/>
      <c r="F30" s="404" t="s">
        <v>21586</v>
      </c>
      <c r="G30" s="353" t="s">
        <v>22338</v>
      </c>
      <c r="I30" s="359" t="s">
        <v>21593</v>
      </c>
      <c r="J30" s="380" t="s">
        <v>21303</v>
      </c>
      <c r="K30" s="349" t="s">
        <v>22339</v>
      </c>
      <c r="L30" s="349"/>
    </row>
    <row r="31" ht="45">
      <c r="A31" s="349">
        <v>30</v>
      </c>
      <c r="B31" s="401" t="s">
        <v>21587</v>
      </c>
      <c r="C31" s="349" t="s">
        <v>22262</v>
      </c>
      <c r="D31" s="401" t="s">
        <v>21587</v>
      </c>
      <c r="E31" s="355" t="b">
        <v>0</v>
      </c>
      <c r="F31" s="404" t="s">
        <v>21587</v>
      </c>
      <c r="G31" s="353" t="s">
        <v>22340</v>
      </c>
      <c r="I31" s="359" t="s">
        <v>21594</v>
      </c>
      <c r="J31" s="349" t="s">
        <v>21304</v>
      </c>
      <c r="K31" s="349" t="s">
        <v>22341</v>
      </c>
      <c r="L31" s="349"/>
    </row>
    <row r="32" ht="30">
      <c r="A32" s="349">
        <v>31</v>
      </c>
      <c r="B32" s="401" t="s">
        <v>22285</v>
      </c>
      <c r="C32" s="349" t="s">
        <v>22285</v>
      </c>
      <c r="D32" s="401" t="s">
        <v>22285</v>
      </c>
      <c r="E32" s="356" t="s">
        <v>22342</v>
      </c>
      <c r="F32" s="404" t="s">
        <v>21792</v>
      </c>
      <c r="G32" s="353" t="s">
        <v>22343</v>
      </c>
      <c r="I32" s="379" t="s">
        <v>21588</v>
      </c>
      <c r="J32" s="349" t="s">
        <v>21300</v>
      </c>
      <c r="K32" s="349" t="s">
        <v>22344</v>
      </c>
      <c r="L32" s="349"/>
    </row>
    <row r="33" ht="60">
      <c r="A33" s="349">
        <v>32</v>
      </c>
      <c r="B33" s="401" t="s">
        <v>22285</v>
      </c>
      <c r="C33" s="349" t="s">
        <v>22285</v>
      </c>
      <c r="D33" s="401" t="s">
        <v>22285</v>
      </c>
      <c r="E33" s="356" t="s">
        <v>22345</v>
      </c>
      <c r="F33" s="404" t="s">
        <v>21793</v>
      </c>
      <c r="G33" s="353" t="s">
        <v>22346</v>
      </c>
      <c r="I33" s="379" t="s">
        <v>21589</v>
      </c>
      <c r="J33" s="349" t="s">
        <v>21299</v>
      </c>
      <c r="K33" s="349" t="s">
        <v>22347</v>
      </c>
      <c r="L33" s="349"/>
    </row>
    <row r="34">
      <c r="A34" s="349">
        <v>33</v>
      </c>
      <c r="B34" s="400" t="s">
        <v>21588</v>
      </c>
      <c r="C34" s="349" t="s">
        <v>22262</v>
      </c>
      <c r="D34" s="400" t="s">
        <v>21588</v>
      </c>
      <c r="E34" s="380" t="s">
        <v>22348</v>
      </c>
      <c r="F34" s="403" t="s">
        <v>21588</v>
      </c>
      <c r="G34" s="350" t="s">
        <v>22349</v>
      </c>
    </row>
    <row r="35">
      <c r="A35" s="349">
        <v>34</v>
      </c>
      <c r="B35" s="400" t="s">
        <v>21589</v>
      </c>
      <c r="C35" s="349" t="s">
        <v>22262</v>
      </c>
      <c r="D35" s="400" t="s">
        <v>21589</v>
      </c>
      <c r="E35" s="380" t="s">
        <v>22350</v>
      </c>
      <c r="F35" s="403" t="s">
        <v>21589</v>
      </c>
      <c r="G35" s="350" t="s">
        <v>22351</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98E450C0-18E6-477B-888A-31AE2B603D5A}">
      <formula1>LabIDList</formula1>
    </dataValidation>
    <dataValidation type="list" allowBlank="1" showInputMessage="1" showErrorMessage="1" sqref="E9" xr:uid="{D0B16450-49A1-4144-A5CC-C473AC155D30}">
      <formula1 xml:space="preserve"> InCaseOfIDList</formula1>
    </dataValidation>
    <dataValidation type="list" allowBlank="1" showInputMessage="1" showErrorMessage="1" sqref="E6" xr:uid="{125B5E91-BA3F-42EF-8D5F-236D5F8EA529}">
      <formula1>CityIDList</formula1>
    </dataValidation>
    <dataValidation type="list" allowBlank="1" showInputMessage="1" showErrorMessage="1" sqref="E5" xr:uid="{2DAAEA58-4C2B-4D21-8652-7C6763287585}">
      <formula1>CityNameList</formula1>
    </dataValidation>
    <dataValidation type="list" allowBlank="1" showInputMessage="1" showErrorMessage="1" sqref="J25" xr:uid="{BF99F43B-D642-4AD7-85FF-5CAF99EA61ED}">
      <formula1 xml:space="preserve"> OptionsVerifyUnitList</formula1>
    </dataValidation>
    <dataValidation type="list" allowBlank="1" showInputMessage="1" showErrorMessage="1" sqref="J31" xr:uid="{4E4AE4F7-2FFF-4A7E-B07D-5644B215D6F7}">
      <formula1>"Bùi Ngọc Dũng,Lỗ Quốc Việt,Trần Công Khanh,Vũ Long"</formula1>
    </dataValidation>
    <dataValidation type="list" allowBlank="1" showInputMessage="1" showErrorMessage="1" sqref="J29" xr:uid="{1105DA28-340A-4455-BA8D-7C313D6895C9}">
      <formula1>"GIÁM ĐỐC, KT. GIÁM ĐỐC"</formula1>
    </dataValidation>
    <dataValidation type="list" showInputMessage="1" showErrorMessage="1" sqref="J30" xr:uid="{9E037A95-4AF0-404C-9733-A24C7908DDB0}">
      <formula1>"',PHÓ GIÁM ĐỐC"</formula1>
    </dataValidation>
    <dataValidation type="list" allowBlank="1" showInputMessage="1" showErrorMessage="1" sqref="L7 E20 E26:E27 E29 E31 J12:J15" xr:uid="{0F936D8F-157B-485E-BFEE-9051C95BCF61}">
      <formula1>"TRUE,FALSE"</formula1>
    </dataValidation>
    <dataValidation type="list" allowBlank="1" showInputMessage="1" showErrorMessage="1" sqref="J26" xr:uid="{BD10F98D-5715-4C4F-88AC-734C4D648EC3}">
      <formula1 xml:space="preserve"> OptionsPlaceList</formula1>
    </dataValidation>
    <dataValidation type="list" allowBlank="1" showInputMessage="1" showErrorMessage="1" sqref="J27" xr:uid="{5163236C-5E55-43E7-B0BA-86CC5F528F8D}">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239"/>
  <sheetViews>
    <sheetView showZeros="0" zoomScaleNormal="100" workbookViewId="0">
      <pane xSplit="2" ySplit="1" topLeftCell="C2" activePane="bottomRight" state="frozen"/>
      <selection activeCell="G5" sqref="G5"/>
      <selection pane="topRight" activeCell="G5" sqref="G5"/>
      <selection pane="bottomLeft" activeCell="G5" sqref="G5"/>
      <selection pane="bottomRight" activeCell="G9" sqref="G9"/>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464"/>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21563</v>
      </c>
      <c r="C1" s="451" t="s">
        <v>21564</v>
      </c>
      <c r="D1" s="451" t="s">
        <v>22279</v>
      </c>
      <c r="E1" s="371" t="s">
        <v>22290</v>
      </c>
      <c r="F1" s="370" t="s">
        <v>22370</v>
      </c>
      <c r="G1" s="371" t="s">
        <v>22267</v>
      </c>
      <c r="H1" s="371" t="s">
        <v>22300</v>
      </c>
      <c r="I1" s="371" t="s">
        <v>22304</v>
      </c>
      <c r="J1" s="371" t="s">
        <v>22308</v>
      </c>
      <c r="K1" s="371" t="s">
        <v>22312</v>
      </c>
      <c r="L1" s="371" t="s">
        <v>22314</v>
      </c>
      <c r="M1" s="371" t="s">
        <v>22317</v>
      </c>
      <c r="N1" s="411" t="s">
        <v>21284</v>
      </c>
      <c r="O1" s="398" t="s">
        <v>21577</v>
      </c>
      <c r="P1" s="398" t="s">
        <v>21586</v>
      </c>
      <c r="Q1" s="452" t="s">
        <v>21567</v>
      </c>
      <c r="R1" s="336" t="s">
        <v>21580</v>
      </c>
      <c r="S1" s="467" t="s">
        <v>21581</v>
      </c>
      <c r="T1" s="337" t="s">
        <v>21582</v>
      </c>
      <c r="U1" s="337" t="s">
        <v>21583</v>
      </c>
      <c r="V1" s="337" t="s">
        <v>21585</v>
      </c>
      <c r="W1" s="408" t="s">
        <v>21586</v>
      </c>
      <c r="X1" s="337" t="s">
        <v>21587</v>
      </c>
      <c r="Y1" s="408" t="s">
        <v>21588</v>
      </c>
      <c r="Z1" s="408" t="s">
        <v>21589</v>
      </c>
    </row>
    <row r="2" ht="75" s="456" customFormat="1">
      <c r="A2" s="453" t="s">
        <v>21079</v>
      </c>
      <c r="B2" s="453" t="s">
        <v>21027</v>
      </c>
      <c r="C2" s="453" t="s">
        <v>21081</v>
      </c>
      <c r="D2" s="454" t="s">
        <v>21082</v>
      </c>
      <c r="E2" s="453" t="s">
        <v>22382</v>
      </c>
      <c r="F2" s="453" t="s">
        <v>22383</v>
      </c>
      <c r="G2" s="453" t="s">
        <v>21029</v>
      </c>
      <c r="H2" s="453" t="s">
        <v>21068</v>
      </c>
      <c r="I2" s="453" t="s">
        <v>21069</v>
      </c>
      <c r="J2" s="454" t="s">
        <v>22384</v>
      </c>
      <c r="K2" s="453" t="s">
        <v>22385</v>
      </c>
      <c r="L2" s="455" t="s">
        <v>22386</v>
      </c>
      <c r="M2" s="453" t="s">
        <v>22387</v>
      </c>
      <c r="N2" s="453" t="s">
        <v>22388</v>
      </c>
      <c r="O2" s="431" t="s">
        <v>22320</v>
      </c>
      <c r="P2" s="431" t="s">
        <v>22379</v>
      </c>
      <c r="Q2" s="432" t="s">
        <v>22381</v>
      </c>
      <c r="R2" s="431" t="s">
        <v>21092</v>
      </c>
      <c r="S2" s="466" t="s">
        <v>22327</v>
      </c>
      <c r="T2" s="431" t="s">
        <v>22329</v>
      </c>
      <c r="U2" s="431" t="s">
        <v>22331</v>
      </c>
      <c r="V2" s="431" t="s">
        <v>22364</v>
      </c>
      <c r="W2" s="431" t="s">
        <v>22365</v>
      </c>
      <c r="X2" s="432" t="s">
        <v>22340</v>
      </c>
      <c r="Y2" s="431" t="s">
        <v>22349</v>
      </c>
      <c r="Z2" s="431" t="s">
        <v>22351</v>
      </c>
    </row>
    <row r="3" ht="25.5">
      <c r="A3" s="314">
        <v>1</v>
      </c>
      <c r="B3" s="330" t="s">
        <v>21097</v>
      </c>
      <c r="C3" s="329" t="s">
        <v>20859</v>
      </c>
      <c r="D3" s="329" t="s">
        <v>22389</v>
      </c>
      <c r="E3" s="282" t="s">
        <v>21288</v>
      </c>
      <c r="F3" s="314" t="s">
        <v>22390</v>
      </c>
      <c r="G3" s="282">
        <v>128521</v>
      </c>
      <c r="H3" s="282" t="s">
        <v>21312</v>
      </c>
      <c r="I3" s="282">
        <v>3</v>
      </c>
      <c r="J3" s="282" t="s">
        <v>21313</v>
      </c>
      <c r="K3" s="282" t="s">
        <v>21314</v>
      </c>
      <c r="L3" s="282">
        <v>900</v>
      </c>
      <c r="M3" s="282" t="s">
        <v>21317</v>
      </c>
      <c r="N3" s="341" t="s">
        <v>21098</v>
      </c>
      <c r="O3" s="341" t="b">
        <v>1</v>
      </c>
      <c r="P3" s="333">
        <v>18</v>
      </c>
      <c r="Q3" s="282">
        <v>3</v>
      </c>
      <c r="R3" s="282" t="s">
        <v>21099</v>
      </c>
      <c r="S3" s="464">
        <v>43748</v>
      </c>
      <c r="T3" s="282" t="b">
        <v>0</v>
      </c>
      <c r="U3" s="341" t="b">
        <v>0</v>
      </c>
      <c r="V3" s="282" t="b">
        <v>1</v>
      </c>
      <c r="W3" s="282">
        <v>18</v>
      </c>
      <c r="X3" s="282" t="b">
        <v>0</v>
      </c>
      <c r="Y3" s="282" t="s">
        <v>21299</v>
      </c>
      <c r="Z3" s="282" t="s">
        <v>21300</v>
      </c>
    </row>
    <row r="4" ht="25.5">
      <c r="G4" s="282">
        <v>128521</v>
      </c>
      <c r="H4" s="282" t="s">
        <v>21312</v>
      </c>
      <c r="I4" s="282">
        <v>3</v>
      </c>
      <c r="J4" s="282" t="s">
        <v>21313</v>
      </c>
      <c r="K4" s="282" t="s">
        <v>21314</v>
      </c>
      <c r="L4" s="282">
        <v>2100</v>
      </c>
      <c r="M4" s="282" t="s">
        <v>21317</v>
      </c>
      <c r="O4" s="341" t="b">
        <v>1</v>
      </c>
      <c r="P4" s="333">
        <v>18</v>
      </c>
      <c r="Q4" s="282">
        <v>3</v>
      </c>
      <c r="R4" s="282" t="s">
        <v>22391</v>
      </c>
      <c r="S4" s="464">
        <v>43748</v>
      </c>
      <c r="T4" s="282" t="b">
        <v>0</v>
      </c>
      <c r="U4" s="341" t="b">
        <v>0</v>
      </c>
      <c r="V4" s="282" t="b">
        <v>1</v>
      </c>
      <c r="W4" s="282">
        <v>18</v>
      </c>
      <c r="X4" s="282" t="b">
        <v>0</v>
      </c>
      <c r="Y4" s="282" t="s">
        <v>21299</v>
      </c>
      <c r="Z4" s="282" t="s">
        <v>21300</v>
      </c>
    </row>
    <row r="5" ht="38.25">
      <c r="A5" s="314">
        <v>2</v>
      </c>
      <c r="B5" s="330" t="s">
        <v>21100</v>
      </c>
      <c r="C5" s="329" t="s">
        <v>20859</v>
      </c>
      <c r="D5" s="329" t="s">
        <v>22392</v>
      </c>
      <c r="E5" s="282" t="s">
        <v>21288</v>
      </c>
      <c r="F5" s="314" t="s">
        <v>22390</v>
      </c>
      <c r="G5" s="282">
        <v>128173</v>
      </c>
      <c r="H5" s="282" t="s">
        <v>21326</v>
      </c>
      <c r="I5" s="282">
        <v>3</v>
      </c>
      <c r="J5" s="282" t="s">
        <v>21313</v>
      </c>
      <c r="K5" s="282" t="s">
        <v>21314</v>
      </c>
      <c r="L5" s="282">
        <v>900</v>
      </c>
      <c r="M5" s="282" t="s">
        <v>21317</v>
      </c>
      <c r="N5" s="341" t="s">
        <v>21101</v>
      </c>
      <c r="O5" s="341" t="b">
        <v>1</v>
      </c>
      <c r="P5" s="333">
        <v>21</v>
      </c>
      <c r="Q5" s="282">
        <v>3</v>
      </c>
      <c r="R5" s="282" t="s">
        <v>21102</v>
      </c>
      <c r="S5" s="464">
        <v>43748</v>
      </c>
      <c r="T5" s="282" t="b">
        <v>0</v>
      </c>
      <c r="U5" s="341" t="b">
        <v>0</v>
      </c>
      <c r="V5" s="282" t="b">
        <v>1</v>
      </c>
      <c r="W5" s="282">
        <v>21</v>
      </c>
      <c r="X5" s="282" t="b">
        <v>0</v>
      </c>
      <c r="Y5" s="282" t="s">
        <v>21299</v>
      </c>
      <c r="Z5" s="282" t="s">
        <v>21300</v>
      </c>
    </row>
    <row r="6" ht="25.5">
      <c r="G6" s="282">
        <v>128173</v>
      </c>
      <c r="H6" s="282" t="s">
        <v>21326</v>
      </c>
      <c r="I6" s="282">
        <v>3</v>
      </c>
      <c r="J6" s="282" t="s">
        <v>21313</v>
      </c>
      <c r="K6" s="282" t="s">
        <v>21314</v>
      </c>
      <c r="L6" s="282">
        <v>2100</v>
      </c>
      <c r="M6" s="282" t="s">
        <v>21317</v>
      </c>
      <c r="O6" s="341" t="b">
        <v>1</v>
      </c>
      <c r="P6" s="333">
        <v>21</v>
      </c>
      <c r="Q6" s="282">
        <v>3</v>
      </c>
      <c r="R6" s="282" t="s">
        <v>22393</v>
      </c>
      <c r="S6" s="464">
        <v>43748</v>
      </c>
      <c r="T6" s="282" t="b">
        <v>0</v>
      </c>
      <c r="U6" s="341" t="b">
        <v>0</v>
      </c>
      <c r="V6" s="282" t="b">
        <v>1</v>
      </c>
      <c r="W6" s="282">
        <v>21</v>
      </c>
      <c r="X6" s="282" t="b">
        <v>0</v>
      </c>
      <c r="Y6" s="282" t="s">
        <v>21299</v>
      </c>
      <c r="Z6" s="282" t="s">
        <v>21300</v>
      </c>
    </row>
    <row r="7" ht="38.25">
      <c r="A7" s="314">
        <v>3</v>
      </c>
      <c r="B7" s="330" t="s">
        <v>21103</v>
      </c>
      <c r="C7" s="329" t="s">
        <v>20859</v>
      </c>
      <c r="D7" s="329" t="s">
        <v>22394</v>
      </c>
      <c r="E7" s="282" t="s">
        <v>21288</v>
      </c>
      <c r="F7" s="314" t="s">
        <v>22390</v>
      </c>
      <c r="G7" s="282">
        <v>128167</v>
      </c>
      <c r="H7" s="282" t="s">
        <v>21312</v>
      </c>
      <c r="I7" s="282">
        <v>3</v>
      </c>
      <c r="J7" s="282" t="s">
        <v>21313</v>
      </c>
      <c r="K7" s="282" t="s">
        <v>21314</v>
      </c>
      <c r="L7" s="282">
        <v>900</v>
      </c>
      <c r="M7" s="282" t="s">
        <v>21333</v>
      </c>
      <c r="N7" s="341" t="s">
        <v>21104</v>
      </c>
      <c r="O7" s="341" t="b">
        <v>1</v>
      </c>
      <c r="P7" s="333">
        <v>14</v>
      </c>
      <c r="Q7" s="282">
        <v>3</v>
      </c>
      <c r="R7" s="282" t="s">
        <v>21105</v>
      </c>
      <c r="S7" s="464">
        <v>43748</v>
      </c>
      <c r="T7" s="282" t="b">
        <v>0</v>
      </c>
      <c r="U7" s="341" t="b">
        <v>0</v>
      </c>
      <c r="V7" s="282" t="b">
        <v>1</v>
      </c>
      <c r="W7" s="282">
        <v>14</v>
      </c>
      <c r="X7" s="282" t="b">
        <v>0</v>
      </c>
      <c r="Y7" s="282" t="s">
        <v>21299</v>
      </c>
      <c r="Z7" s="282" t="s">
        <v>21300</v>
      </c>
    </row>
    <row r="8" ht="25.5">
      <c r="G8" s="282">
        <v>128167</v>
      </c>
      <c r="H8" s="282" t="s">
        <v>21312</v>
      </c>
      <c r="I8" s="282">
        <v>3</v>
      </c>
      <c r="J8" s="282" t="s">
        <v>21313</v>
      </c>
      <c r="K8" s="282" t="s">
        <v>21314</v>
      </c>
      <c r="L8" s="282">
        <v>2100</v>
      </c>
      <c r="M8" s="282" t="s">
        <v>21335</v>
      </c>
      <c r="O8" s="341" t="b">
        <v>1</v>
      </c>
      <c r="P8" s="333">
        <v>14</v>
      </c>
      <c r="Q8" s="282">
        <v>3</v>
      </c>
      <c r="R8" s="282" t="s">
        <v>22395</v>
      </c>
      <c r="S8" s="464">
        <v>43748</v>
      </c>
      <c r="T8" s="282" t="b">
        <v>0</v>
      </c>
      <c r="U8" s="341" t="b">
        <v>0</v>
      </c>
      <c r="V8" s="282" t="b">
        <v>1</v>
      </c>
      <c r="W8" s="282">
        <v>14</v>
      </c>
      <c r="X8" s="282" t="b">
        <v>0</v>
      </c>
      <c r="Y8" s="282" t="s">
        <v>21299</v>
      </c>
      <c r="Z8" s="282" t="s">
        <v>21300</v>
      </c>
    </row>
    <row r="9" ht="25.5">
      <c r="A9" s="314">
        <v>4</v>
      </c>
      <c r="B9" s="330" t="s">
        <v>21106</v>
      </c>
      <c r="C9" s="329" t="s">
        <v>20859</v>
      </c>
      <c r="D9" s="329" t="s">
        <v>22396</v>
      </c>
      <c r="E9" s="282" t="s">
        <v>21288</v>
      </c>
      <c r="F9" s="314" t="s">
        <v>22390</v>
      </c>
      <c r="G9" s="282">
        <v>128512</v>
      </c>
      <c r="H9" s="282" t="s">
        <v>21312</v>
      </c>
      <c r="I9" s="282">
        <v>3</v>
      </c>
      <c r="J9" s="282" t="s">
        <v>21313</v>
      </c>
      <c r="K9" s="282" t="s">
        <v>21314</v>
      </c>
      <c r="L9" s="282">
        <v>900</v>
      </c>
      <c r="M9" s="282" t="s">
        <v>21343</v>
      </c>
      <c r="N9" s="341" t="s">
        <v>21107</v>
      </c>
      <c r="O9" s="341" t="b">
        <v>1</v>
      </c>
      <c r="P9" s="333">
        <v>10</v>
      </c>
      <c r="Q9" s="282">
        <v>3</v>
      </c>
      <c r="R9" s="282" t="s">
        <v>21099</v>
      </c>
      <c r="S9" s="464">
        <v>43748</v>
      </c>
      <c r="T9" s="282" t="b">
        <v>1</v>
      </c>
      <c r="U9" s="341" t="b">
        <v>0</v>
      </c>
      <c r="V9" s="282" t="b">
        <v>1</v>
      </c>
      <c r="W9" s="282">
        <v>10</v>
      </c>
      <c r="X9" s="282" t="b">
        <v>0</v>
      </c>
      <c r="Y9" s="282" t="s">
        <v>21299</v>
      </c>
      <c r="Z9" s="282" t="s">
        <v>21300</v>
      </c>
    </row>
    <row r="10" ht="25.5">
      <c r="G10" s="282">
        <v>128512</v>
      </c>
      <c r="H10" s="282" t="s">
        <v>21312</v>
      </c>
      <c r="I10" s="282">
        <v>3</v>
      </c>
      <c r="J10" s="282" t="s">
        <v>21313</v>
      </c>
      <c r="K10" s="282" t="s">
        <v>21314</v>
      </c>
      <c r="L10" s="282">
        <v>2100</v>
      </c>
      <c r="M10" s="282" t="s">
        <v>21343</v>
      </c>
      <c r="O10" s="341" t="b">
        <v>1</v>
      </c>
      <c r="P10" s="333">
        <v>10</v>
      </c>
      <c r="Q10" s="282">
        <v>3</v>
      </c>
      <c r="R10" s="282" t="s">
        <v>22391</v>
      </c>
      <c r="S10" s="464">
        <v>43748</v>
      </c>
      <c r="T10" s="282" t="b">
        <v>1</v>
      </c>
      <c r="U10" s="341" t="b">
        <v>0</v>
      </c>
      <c r="V10" s="282" t="b">
        <v>1</v>
      </c>
      <c r="W10" s="282">
        <v>10</v>
      </c>
      <c r="X10" s="282" t="b">
        <v>0</v>
      </c>
      <c r="Y10" s="282" t="s">
        <v>21299</v>
      </c>
      <c r="Z10" s="282" t="s">
        <v>21300</v>
      </c>
    </row>
    <row r="11" ht="38.25">
      <c r="A11" s="314">
        <v>5</v>
      </c>
      <c r="B11" s="330" t="s">
        <v>21108</v>
      </c>
      <c r="C11" s="329" t="s">
        <v>20859</v>
      </c>
      <c r="D11" s="329" t="s">
        <v>22397</v>
      </c>
      <c r="E11" s="282" t="s">
        <v>21288</v>
      </c>
      <c r="F11" s="314" t="s">
        <v>22390</v>
      </c>
      <c r="G11" s="282">
        <v>128041</v>
      </c>
      <c r="H11" s="282" t="s">
        <v>21326</v>
      </c>
      <c r="I11" s="282">
        <v>3</v>
      </c>
      <c r="J11" s="282" t="s">
        <v>21313</v>
      </c>
      <c r="K11" s="282" t="s">
        <v>21314</v>
      </c>
      <c r="L11" s="282">
        <v>900</v>
      </c>
      <c r="M11" s="282" t="s">
        <v>21317</v>
      </c>
      <c r="N11" s="341" t="s">
        <v>21109</v>
      </c>
      <c r="O11" s="341" t="b">
        <v>1</v>
      </c>
      <c r="P11" s="333">
        <v>21</v>
      </c>
      <c r="Q11" s="282">
        <v>3</v>
      </c>
      <c r="R11" s="282" t="s">
        <v>21110</v>
      </c>
      <c r="S11" s="464">
        <v>43748</v>
      </c>
      <c r="T11" s="282" t="b">
        <v>1</v>
      </c>
      <c r="U11" s="341" t="b">
        <v>0</v>
      </c>
      <c r="V11" s="282" t="b">
        <v>1</v>
      </c>
      <c r="W11" s="282">
        <v>21</v>
      </c>
      <c r="X11" s="282" t="b">
        <v>0</v>
      </c>
      <c r="Y11" s="282" t="s">
        <v>21299</v>
      </c>
      <c r="Z11" s="282" t="s">
        <v>21300</v>
      </c>
    </row>
    <row r="12" ht="25.5">
      <c r="G12" s="282">
        <v>128041</v>
      </c>
      <c r="H12" s="282" t="s">
        <v>21326</v>
      </c>
      <c r="I12" s="282">
        <v>3</v>
      </c>
      <c r="J12" s="282" t="s">
        <v>21313</v>
      </c>
      <c r="K12" s="282" t="s">
        <v>21314</v>
      </c>
      <c r="L12" s="282">
        <v>2100</v>
      </c>
      <c r="M12" s="282" t="s">
        <v>21317</v>
      </c>
      <c r="O12" s="341" t="b">
        <v>1</v>
      </c>
      <c r="P12" s="333">
        <v>21</v>
      </c>
      <c r="Q12" s="282">
        <v>3</v>
      </c>
      <c r="R12" s="282" t="s">
        <v>22398</v>
      </c>
      <c r="S12" s="464">
        <v>43748</v>
      </c>
      <c r="T12" s="282" t="b">
        <v>1</v>
      </c>
      <c r="U12" s="341" t="b">
        <v>0</v>
      </c>
      <c r="V12" s="282" t="b">
        <v>1</v>
      </c>
      <c r="W12" s="282">
        <v>21</v>
      </c>
      <c r="X12" s="282" t="b">
        <v>0</v>
      </c>
      <c r="Y12" s="282" t="s">
        <v>21299</v>
      </c>
      <c r="Z12" s="282" t="s">
        <v>21300</v>
      </c>
    </row>
    <row r="13" ht="38.25">
      <c r="A13" s="314">
        <v>6</v>
      </c>
      <c r="B13" s="330" t="s">
        <v>21111</v>
      </c>
      <c r="C13" s="329" t="s">
        <v>20859</v>
      </c>
      <c r="D13" s="329" t="s">
        <v>22399</v>
      </c>
      <c r="E13" s="282" t="s">
        <v>21288</v>
      </c>
      <c r="F13" s="314" t="s">
        <v>22390</v>
      </c>
      <c r="G13" s="282">
        <v>128031</v>
      </c>
      <c r="H13" s="282" t="s">
        <v>21326</v>
      </c>
      <c r="I13" s="282">
        <v>3</v>
      </c>
      <c r="J13" s="282" t="s">
        <v>21313</v>
      </c>
      <c r="K13" s="282" t="s">
        <v>21314</v>
      </c>
      <c r="L13" s="282">
        <v>900</v>
      </c>
      <c r="M13" s="282" t="s">
        <v>21355</v>
      </c>
      <c r="N13" s="341" t="s">
        <v>21112</v>
      </c>
      <c r="O13" s="341" t="b">
        <v>1</v>
      </c>
      <c r="P13" s="333">
        <v>10</v>
      </c>
      <c r="Q13" s="282">
        <v>3</v>
      </c>
      <c r="R13" s="282" t="s">
        <v>21113</v>
      </c>
      <c r="S13" s="464">
        <v>43748</v>
      </c>
      <c r="T13" s="282" t="b">
        <v>1</v>
      </c>
      <c r="U13" s="341" t="b">
        <v>1</v>
      </c>
      <c r="V13" s="282" t="b">
        <v>1</v>
      </c>
      <c r="W13" s="282">
        <v>10</v>
      </c>
      <c r="X13" s="282" t="b">
        <v>0</v>
      </c>
      <c r="Y13" s="282" t="s">
        <v>21299</v>
      </c>
      <c r="Z13" s="282" t="s">
        <v>21300</v>
      </c>
    </row>
    <row r="14" ht="25.5">
      <c r="G14" s="282">
        <v>128031</v>
      </c>
      <c r="H14" s="282" t="s">
        <v>21326</v>
      </c>
      <c r="I14" s="282">
        <v>3</v>
      </c>
      <c r="J14" s="282" t="s">
        <v>21313</v>
      </c>
      <c r="K14" s="282" t="s">
        <v>21314</v>
      </c>
      <c r="L14" s="282">
        <v>2100</v>
      </c>
      <c r="M14" s="282" t="s">
        <v>21355</v>
      </c>
      <c r="O14" s="341" t="b">
        <v>1</v>
      </c>
      <c r="P14" s="333">
        <v>10</v>
      </c>
      <c r="Q14" s="282">
        <v>3</v>
      </c>
      <c r="R14" s="282" t="s">
        <v>22400</v>
      </c>
      <c r="S14" s="464">
        <v>43748</v>
      </c>
      <c r="T14" s="282" t="b">
        <v>1</v>
      </c>
      <c r="U14" s="341" t="b">
        <v>0</v>
      </c>
      <c r="V14" s="282" t="b">
        <v>1</v>
      </c>
      <c r="W14" s="282">
        <v>10</v>
      </c>
      <c r="X14" s="282" t="b">
        <v>0</v>
      </c>
      <c r="Y14" s="282" t="s">
        <v>21299</v>
      </c>
      <c r="Z14" s="282" t="s">
        <v>21300</v>
      </c>
    </row>
    <row r="15" ht="25.5">
      <c r="A15" s="314">
        <v>7</v>
      </c>
      <c r="B15" s="330" t="s">
        <v>21114</v>
      </c>
      <c r="C15" s="329" t="s">
        <v>20859</v>
      </c>
      <c r="D15" s="329" t="s">
        <v>22401</v>
      </c>
      <c r="E15" s="282" t="s">
        <v>21288</v>
      </c>
      <c r="F15" s="314" t="s">
        <v>22390</v>
      </c>
      <c r="G15" s="282">
        <v>128142</v>
      </c>
      <c r="H15" s="282" t="s">
        <v>21312</v>
      </c>
      <c r="I15" s="282">
        <v>3</v>
      </c>
      <c r="J15" s="282" t="s">
        <v>21313</v>
      </c>
      <c r="K15" s="282" t="s">
        <v>21314</v>
      </c>
      <c r="L15" s="282">
        <v>900</v>
      </c>
      <c r="M15" s="282" t="s">
        <v>21362</v>
      </c>
      <c r="N15" s="341" t="s">
        <v>21115</v>
      </c>
      <c r="O15" s="341" t="b">
        <v>1</v>
      </c>
      <c r="P15" s="333">
        <v>0</v>
      </c>
      <c r="Q15" s="282">
        <v>3</v>
      </c>
      <c r="R15" s="282" t="s">
        <v>21116</v>
      </c>
      <c r="S15" s="464">
        <v>43748</v>
      </c>
      <c r="T15" s="282" t="b">
        <v>1</v>
      </c>
      <c r="U15" s="341" t="b">
        <v>1</v>
      </c>
      <c r="V15" s="282" t="b">
        <v>0</v>
      </c>
      <c r="W15" s="282">
        <v>0</v>
      </c>
      <c r="X15" s="282" t="b">
        <v>0</v>
      </c>
      <c r="Y15" s="282" t="s">
        <v>21299</v>
      </c>
      <c r="Z15" s="282" t="s">
        <v>21300</v>
      </c>
    </row>
    <row r="16" ht="25.5">
      <c r="G16" s="282">
        <v>128142</v>
      </c>
      <c r="H16" s="282" t="s">
        <v>21312</v>
      </c>
      <c r="I16" s="282">
        <v>3</v>
      </c>
      <c r="J16" s="282" t="s">
        <v>21313</v>
      </c>
      <c r="K16" s="282" t="s">
        <v>21314</v>
      </c>
      <c r="L16" s="282">
        <v>2100</v>
      </c>
      <c r="M16" s="282" t="s">
        <v>21362</v>
      </c>
      <c r="O16" s="341" t="b">
        <v>1</v>
      </c>
      <c r="P16" s="333">
        <v>0</v>
      </c>
      <c r="Q16" s="282">
        <v>3</v>
      </c>
      <c r="R16" s="282" t="s">
        <v>22402</v>
      </c>
      <c r="S16" s="464">
        <v>43748</v>
      </c>
      <c r="T16" s="282" t="b">
        <v>1</v>
      </c>
      <c r="U16" s="341" t="b">
        <v>0</v>
      </c>
      <c r="V16" s="282" t="b">
        <v>0</v>
      </c>
      <c r="W16" s="282">
        <v>0</v>
      </c>
      <c r="X16" s="282" t="b">
        <v>0</v>
      </c>
      <c r="Y16" s="282" t="s">
        <v>21299</v>
      </c>
      <c r="Z16" s="282" t="s">
        <v>21300</v>
      </c>
    </row>
    <row r="17" ht="25.5">
      <c r="A17" s="314">
        <v>8</v>
      </c>
      <c r="B17" s="330" t="s">
        <v>21117</v>
      </c>
      <c r="C17" s="329" t="s">
        <v>20859</v>
      </c>
      <c r="D17" s="329" t="s">
        <v>22403</v>
      </c>
      <c r="E17" s="282" t="s">
        <v>21288</v>
      </c>
      <c r="F17" s="314" t="s">
        <v>22390</v>
      </c>
      <c r="G17" s="282">
        <v>128146</v>
      </c>
      <c r="H17" s="282" t="s">
        <v>21312</v>
      </c>
      <c r="I17" s="282">
        <v>3</v>
      </c>
      <c r="J17" s="282" t="s">
        <v>21313</v>
      </c>
      <c r="K17" s="282" t="s">
        <v>21314</v>
      </c>
      <c r="L17" s="282">
        <v>900</v>
      </c>
      <c r="M17" s="282" t="s">
        <v>21368</v>
      </c>
      <c r="N17" s="341" t="s">
        <v>21118</v>
      </c>
      <c r="O17" s="341" t="b">
        <v>1</v>
      </c>
      <c r="P17" s="333">
        <v>14</v>
      </c>
      <c r="Q17" s="282">
        <v>3</v>
      </c>
      <c r="R17" s="282" t="s">
        <v>21119</v>
      </c>
      <c r="S17" s="464">
        <v>43748</v>
      </c>
      <c r="T17" s="282" t="b">
        <v>0</v>
      </c>
      <c r="U17" s="341" t="b">
        <v>0</v>
      </c>
      <c r="V17" s="282" t="b">
        <v>1</v>
      </c>
      <c r="W17" s="282">
        <v>14</v>
      </c>
      <c r="X17" s="282" t="b">
        <v>0</v>
      </c>
      <c r="Y17" s="282" t="s">
        <v>21299</v>
      </c>
      <c r="Z17" s="282" t="s">
        <v>21300</v>
      </c>
    </row>
    <row r="18" ht="25.5">
      <c r="G18" s="282">
        <v>128146</v>
      </c>
      <c r="H18" s="282" t="s">
        <v>21312</v>
      </c>
      <c r="I18" s="282">
        <v>3</v>
      </c>
      <c r="J18" s="282" t="s">
        <v>21313</v>
      </c>
      <c r="K18" s="282" t="s">
        <v>21314</v>
      </c>
      <c r="L18" s="282">
        <v>2100</v>
      </c>
      <c r="M18" s="282" t="s">
        <v>21370</v>
      </c>
      <c r="O18" s="341" t="b">
        <v>1</v>
      </c>
      <c r="P18" s="333">
        <v>14</v>
      </c>
      <c r="Q18" s="282">
        <v>3</v>
      </c>
      <c r="R18" s="282" t="s">
        <v>22404</v>
      </c>
      <c r="S18" s="464">
        <v>43748</v>
      </c>
      <c r="T18" s="282" t="b">
        <v>0</v>
      </c>
      <c r="U18" s="341" t="b">
        <v>0</v>
      </c>
      <c r="V18" s="282" t="b">
        <v>1</v>
      </c>
      <c r="W18" s="282">
        <v>14</v>
      </c>
      <c r="X18" s="282" t="b">
        <v>0</v>
      </c>
      <c r="Y18" s="282" t="s">
        <v>21299</v>
      </c>
      <c r="Z18" s="282" t="s">
        <v>21300</v>
      </c>
    </row>
    <row r="19" ht="38.25">
      <c r="A19" s="314">
        <v>9</v>
      </c>
      <c r="B19" s="330" t="s">
        <v>21120</v>
      </c>
      <c r="C19" s="329" t="s">
        <v>20859</v>
      </c>
      <c r="D19" s="329" t="s">
        <v>22405</v>
      </c>
      <c r="E19" s="282" t="s">
        <v>21288</v>
      </c>
      <c r="F19" s="314" t="s">
        <v>22390</v>
      </c>
      <c r="G19" s="282">
        <v>128068</v>
      </c>
      <c r="H19" s="282" t="s">
        <v>21312</v>
      </c>
      <c r="I19" s="282">
        <v>3</v>
      </c>
      <c r="J19" s="282" t="s">
        <v>21313</v>
      </c>
      <c r="K19" s="282" t="s">
        <v>21314</v>
      </c>
      <c r="L19" s="282">
        <v>900</v>
      </c>
      <c r="M19" s="282" t="s">
        <v>21377</v>
      </c>
      <c r="N19" s="341" t="s">
        <v>21121</v>
      </c>
      <c r="O19" s="341" t="b">
        <v>1</v>
      </c>
      <c r="P19" s="333">
        <v>8</v>
      </c>
      <c r="Q19" s="282">
        <v>3</v>
      </c>
      <c r="R19" s="282" t="s">
        <v>21122</v>
      </c>
      <c r="S19" s="464">
        <v>43748</v>
      </c>
      <c r="T19" s="282" t="b">
        <v>1</v>
      </c>
      <c r="U19" s="341" t="b">
        <v>1</v>
      </c>
      <c r="V19" s="282" t="b">
        <v>1</v>
      </c>
      <c r="W19" s="282">
        <v>8</v>
      </c>
      <c r="X19" s="282" t="b">
        <v>0</v>
      </c>
      <c r="Y19" s="282" t="s">
        <v>21299</v>
      </c>
      <c r="Z19" s="282" t="s">
        <v>21300</v>
      </c>
    </row>
    <row r="20" ht="25.5">
      <c r="G20" s="282">
        <v>128068</v>
      </c>
      <c r="H20" s="282" t="s">
        <v>21312</v>
      </c>
      <c r="I20" s="282">
        <v>3</v>
      </c>
      <c r="J20" s="282" t="s">
        <v>21313</v>
      </c>
      <c r="K20" s="282" t="s">
        <v>21314</v>
      </c>
      <c r="L20" s="282">
        <v>2100</v>
      </c>
      <c r="M20" s="282" t="s">
        <v>21362</v>
      </c>
      <c r="O20" s="341" t="b">
        <v>1</v>
      </c>
      <c r="P20" s="333">
        <v>8</v>
      </c>
      <c r="Q20" s="282">
        <v>3</v>
      </c>
      <c r="R20" s="282" t="s">
        <v>22406</v>
      </c>
      <c r="S20" s="464">
        <v>43748</v>
      </c>
      <c r="T20" s="282" t="b">
        <v>1</v>
      </c>
      <c r="U20" s="341" t="b">
        <v>0</v>
      </c>
      <c r="V20" s="282" t="b">
        <v>1</v>
      </c>
      <c r="W20" s="282">
        <v>8</v>
      </c>
      <c r="X20" s="282" t="b">
        <v>0</v>
      </c>
      <c r="Y20" s="282" t="s">
        <v>21299</v>
      </c>
      <c r="Z20" s="282" t="s">
        <v>21300</v>
      </c>
    </row>
    <row r="21" ht="25.5">
      <c r="A21" s="314">
        <v>10</v>
      </c>
      <c r="B21" s="330" t="s">
        <v>21123</v>
      </c>
      <c r="C21" s="329" t="s">
        <v>20859</v>
      </c>
      <c r="D21" s="329" t="s">
        <v>22407</v>
      </c>
      <c r="E21" s="282" t="s">
        <v>21288</v>
      </c>
      <c r="F21" s="314" t="s">
        <v>22390</v>
      </c>
      <c r="G21" s="282">
        <v>128045</v>
      </c>
      <c r="H21" s="282" t="s">
        <v>21326</v>
      </c>
      <c r="I21" s="282">
        <v>3</v>
      </c>
      <c r="J21" s="282" t="s">
        <v>21313</v>
      </c>
      <c r="K21" s="282" t="s">
        <v>21314</v>
      </c>
      <c r="L21" s="282">
        <v>900</v>
      </c>
      <c r="M21" s="282" t="s">
        <v>21384</v>
      </c>
      <c r="N21" s="341" t="s">
        <v>21124</v>
      </c>
      <c r="O21" s="341" t="b">
        <v>1</v>
      </c>
      <c r="P21" s="333">
        <v>10</v>
      </c>
      <c r="Q21" s="282">
        <v>3</v>
      </c>
      <c r="R21" s="282" t="s">
        <v>21125</v>
      </c>
      <c r="S21" s="464">
        <v>43748</v>
      </c>
      <c r="T21" s="282" t="b">
        <v>0</v>
      </c>
      <c r="U21" s="341" t="b">
        <v>0</v>
      </c>
      <c r="V21" s="282" t="b">
        <v>1</v>
      </c>
      <c r="W21" s="282">
        <v>10</v>
      </c>
      <c r="X21" s="282" t="b">
        <v>0</v>
      </c>
      <c r="Y21" s="282" t="s">
        <v>21299</v>
      </c>
      <c r="Z21" s="282" t="s">
        <v>21300</v>
      </c>
    </row>
    <row r="22" ht="25.5">
      <c r="G22" s="282">
        <v>128045</v>
      </c>
      <c r="H22" s="282" t="s">
        <v>21326</v>
      </c>
      <c r="I22" s="282">
        <v>3</v>
      </c>
      <c r="J22" s="282" t="s">
        <v>21313</v>
      </c>
      <c r="K22" s="282" t="s">
        <v>21314</v>
      </c>
      <c r="L22" s="282">
        <v>2100</v>
      </c>
      <c r="M22" s="282" t="s">
        <v>21386</v>
      </c>
      <c r="O22" s="341" t="b">
        <v>1</v>
      </c>
      <c r="P22" s="333">
        <v>10</v>
      </c>
      <c r="Q22" s="282">
        <v>3</v>
      </c>
      <c r="R22" s="282" t="s">
        <v>22408</v>
      </c>
      <c r="S22" s="464">
        <v>43748</v>
      </c>
      <c r="T22" s="282" t="b">
        <v>0</v>
      </c>
      <c r="U22" s="341" t="b">
        <v>0</v>
      </c>
      <c r="V22" s="282" t="b">
        <v>1</v>
      </c>
      <c r="W22" s="282">
        <v>10</v>
      </c>
      <c r="X22" s="282" t="b">
        <v>0</v>
      </c>
      <c r="Y22" s="282" t="s">
        <v>21299</v>
      </c>
      <c r="Z22" s="282" t="s">
        <v>21300</v>
      </c>
    </row>
    <row r="23" ht="25.5">
      <c r="A23" s="314">
        <v>11</v>
      </c>
      <c r="B23" s="330" t="s">
        <v>21126</v>
      </c>
      <c r="C23" s="329" t="s">
        <v>20859</v>
      </c>
      <c r="D23" s="329" t="s">
        <v>22409</v>
      </c>
      <c r="E23" s="282" t="s">
        <v>21288</v>
      </c>
      <c r="F23" s="314" t="s">
        <v>22390</v>
      </c>
      <c r="G23" s="282">
        <v>128156</v>
      </c>
      <c r="H23" s="282" t="s">
        <v>21312</v>
      </c>
      <c r="I23" s="282">
        <v>3</v>
      </c>
      <c r="J23" s="282" t="s">
        <v>21313</v>
      </c>
      <c r="K23" s="282" t="s">
        <v>21314</v>
      </c>
      <c r="L23" s="282">
        <v>900</v>
      </c>
      <c r="M23" s="282" t="s">
        <v>21362</v>
      </c>
      <c r="N23" s="341" t="s">
        <v>21127</v>
      </c>
      <c r="O23" s="341" t="b">
        <v>1</v>
      </c>
      <c r="P23" s="333">
        <v>10</v>
      </c>
      <c r="Q23" s="282">
        <v>3</v>
      </c>
      <c r="R23" s="282" t="s">
        <v>21128</v>
      </c>
      <c r="S23" s="464">
        <v>43748</v>
      </c>
      <c r="T23" s="282" t="b">
        <v>1</v>
      </c>
      <c r="U23" s="341" t="b">
        <v>0</v>
      </c>
      <c r="V23" s="282" t="b">
        <v>1</v>
      </c>
      <c r="W23" s="282">
        <v>10</v>
      </c>
      <c r="X23" s="282" t="b">
        <v>0</v>
      </c>
      <c r="Y23" s="282" t="s">
        <v>21299</v>
      </c>
      <c r="Z23" s="282" t="s">
        <v>21300</v>
      </c>
    </row>
    <row r="24" ht="25.5">
      <c r="G24" s="282">
        <v>128156</v>
      </c>
      <c r="H24" s="282" t="s">
        <v>21312</v>
      </c>
      <c r="I24" s="282">
        <v>3</v>
      </c>
      <c r="J24" s="282" t="s">
        <v>21313</v>
      </c>
      <c r="K24" s="282" t="s">
        <v>21314</v>
      </c>
      <c r="L24" s="282">
        <v>2100</v>
      </c>
      <c r="M24" s="282" t="s">
        <v>21392</v>
      </c>
      <c r="O24" s="341" t="b">
        <v>1</v>
      </c>
      <c r="P24" s="333">
        <v>10</v>
      </c>
      <c r="Q24" s="282">
        <v>3</v>
      </c>
      <c r="R24" s="282" t="s">
        <v>22410</v>
      </c>
      <c r="S24" s="464">
        <v>43748</v>
      </c>
      <c r="T24" s="282" t="b">
        <v>1</v>
      </c>
      <c r="U24" s="341" t="b">
        <v>0</v>
      </c>
      <c r="V24" s="282" t="b">
        <v>1</v>
      </c>
      <c r="W24" s="282">
        <v>10</v>
      </c>
      <c r="X24" s="282" t="b">
        <v>0</v>
      </c>
      <c r="Y24" s="282" t="s">
        <v>21299</v>
      </c>
      <c r="Z24" s="282" t="s">
        <v>21300</v>
      </c>
    </row>
    <row r="25" ht="25.5">
      <c r="A25" s="314">
        <v>12</v>
      </c>
      <c r="B25" s="330" t="s">
        <v>21129</v>
      </c>
      <c r="C25" s="329" t="s">
        <v>20859</v>
      </c>
      <c r="D25" s="329" t="s">
        <v>22411</v>
      </c>
      <c r="E25" s="282" t="s">
        <v>21288</v>
      </c>
      <c r="F25" s="314" t="s">
        <v>22390</v>
      </c>
      <c r="G25" s="282">
        <v>128120</v>
      </c>
      <c r="H25" s="282" t="s">
        <v>21326</v>
      </c>
      <c r="I25" s="282">
        <v>3</v>
      </c>
      <c r="J25" s="282" t="s">
        <v>21313</v>
      </c>
      <c r="K25" s="282" t="s">
        <v>21314</v>
      </c>
      <c r="L25" s="282">
        <v>900</v>
      </c>
      <c r="M25" s="282" t="s">
        <v>21399</v>
      </c>
      <c r="N25" s="341" t="s">
        <v>21130</v>
      </c>
      <c r="O25" s="341" t="b">
        <v>1</v>
      </c>
      <c r="P25" s="333">
        <v>10</v>
      </c>
      <c r="Q25" s="282">
        <v>3</v>
      </c>
      <c r="R25" s="282" t="s">
        <v>21131</v>
      </c>
      <c r="S25" s="464">
        <v>43748</v>
      </c>
      <c r="T25" s="282" t="b">
        <v>0</v>
      </c>
      <c r="U25" s="341" t="b">
        <v>0</v>
      </c>
      <c r="V25" s="282" t="b">
        <v>1</v>
      </c>
      <c r="W25" s="282">
        <v>10</v>
      </c>
      <c r="X25" s="282" t="b">
        <v>0</v>
      </c>
      <c r="Y25" s="282" t="s">
        <v>21299</v>
      </c>
      <c r="Z25" s="282" t="s">
        <v>21300</v>
      </c>
    </row>
    <row r="26" ht="25.5">
      <c r="G26" s="282">
        <v>128120</v>
      </c>
      <c r="H26" s="282" t="s">
        <v>21326</v>
      </c>
      <c r="I26" s="282">
        <v>3</v>
      </c>
      <c r="J26" s="282" t="s">
        <v>21313</v>
      </c>
      <c r="K26" s="282" t="s">
        <v>21314</v>
      </c>
      <c r="L26" s="282">
        <v>2100</v>
      </c>
      <c r="M26" s="282" t="s">
        <v>21399</v>
      </c>
      <c r="O26" s="341" t="b">
        <v>1</v>
      </c>
      <c r="P26" s="333">
        <v>10</v>
      </c>
      <c r="Q26" s="282">
        <v>3</v>
      </c>
      <c r="R26" s="282" t="s">
        <v>22412</v>
      </c>
      <c r="S26" s="464">
        <v>43748</v>
      </c>
      <c r="T26" s="282" t="b">
        <v>0</v>
      </c>
      <c r="U26" s="341" t="b">
        <v>0</v>
      </c>
      <c r="V26" s="282" t="b">
        <v>1</v>
      </c>
      <c r="W26" s="282">
        <v>10</v>
      </c>
      <c r="X26" s="282" t="b">
        <v>0</v>
      </c>
      <c r="Y26" s="282" t="s">
        <v>21299</v>
      </c>
      <c r="Z26" s="282" t="s">
        <v>21300</v>
      </c>
    </row>
    <row r="27" ht="51">
      <c r="A27" s="314">
        <v>13</v>
      </c>
      <c r="B27" s="330" t="s">
        <v>21132</v>
      </c>
      <c r="C27" s="329" t="s">
        <v>20859</v>
      </c>
      <c r="D27" s="329" t="s">
        <v>22413</v>
      </c>
      <c r="E27" s="282" t="s">
        <v>21288</v>
      </c>
      <c r="F27" s="314" t="s">
        <v>22390</v>
      </c>
      <c r="G27" s="282">
        <v>128165</v>
      </c>
      <c r="H27" s="282" t="s">
        <v>21312</v>
      </c>
      <c r="I27" s="282">
        <v>3</v>
      </c>
      <c r="J27" s="282" t="s">
        <v>21313</v>
      </c>
      <c r="K27" s="282" t="s">
        <v>21314</v>
      </c>
      <c r="L27" s="282">
        <v>900</v>
      </c>
      <c r="M27" s="282" t="s">
        <v>21335</v>
      </c>
      <c r="N27" s="341" t="s">
        <v>21133</v>
      </c>
      <c r="O27" s="341" t="b">
        <v>1</v>
      </c>
      <c r="P27" s="333">
        <v>10</v>
      </c>
      <c r="Q27" s="282">
        <v>3</v>
      </c>
      <c r="R27" s="282" t="s">
        <v>21134</v>
      </c>
      <c r="S27" s="464">
        <v>43748</v>
      </c>
      <c r="T27" s="282" t="b">
        <v>0</v>
      </c>
      <c r="U27" s="341" t="b">
        <v>0</v>
      </c>
      <c r="V27" s="282" t="b">
        <v>1</v>
      </c>
      <c r="W27" s="282">
        <v>10</v>
      </c>
      <c r="X27" s="282" t="b">
        <v>0</v>
      </c>
      <c r="Y27" s="282" t="s">
        <v>21299</v>
      </c>
      <c r="Z27" s="282" t="s">
        <v>21300</v>
      </c>
    </row>
    <row r="28" ht="25.5">
      <c r="G28" s="282">
        <v>128165</v>
      </c>
      <c r="H28" s="282" t="s">
        <v>21312</v>
      </c>
      <c r="I28" s="282">
        <v>3</v>
      </c>
      <c r="J28" s="282" t="s">
        <v>21313</v>
      </c>
      <c r="K28" s="282" t="s">
        <v>21314</v>
      </c>
      <c r="L28" s="282">
        <v>2100</v>
      </c>
      <c r="M28" s="282" t="s">
        <v>21386</v>
      </c>
      <c r="O28" s="341" t="b">
        <v>1</v>
      </c>
      <c r="P28" s="333">
        <v>10</v>
      </c>
      <c r="Q28" s="282">
        <v>3</v>
      </c>
      <c r="R28" s="282" t="s">
        <v>22414</v>
      </c>
      <c r="S28" s="464">
        <v>43748</v>
      </c>
      <c r="T28" s="282" t="b">
        <v>0</v>
      </c>
      <c r="U28" s="341" t="b">
        <v>0</v>
      </c>
      <c r="V28" s="282" t="b">
        <v>1</v>
      </c>
      <c r="W28" s="282">
        <v>10</v>
      </c>
      <c r="X28" s="282" t="b">
        <v>0</v>
      </c>
      <c r="Y28" s="282" t="s">
        <v>21299</v>
      </c>
      <c r="Z28" s="282" t="s">
        <v>21300</v>
      </c>
    </row>
    <row r="29" ht="25.5">
      <c r="A29" s="314">
        <v>14</v>
      </c>
      <c r="B29" s="330" t="s">
        <v>21135</v>
      </c>
      <c r="C29" s="329" t="s">
        <v>20859</v>
      </c>
      <c r="D29" s="329" t="s">
        <v>22415</v>
      </c>
      <c r="E29" s="282" t="s">
        <v>21288</v>
      </c>
      <c r="F29" s="314" t="s">
        <v>22390</v>
      </c>
      <c r="G29" s="282">
        <v>128043</v>
      </c>
      <c r="H29" s="282" t="s">
        <v>21326</v>
      </c>
      <c r="I29" s="282">
        <v>3</v>
      </c>
      <c r="J29" s="282" t="s">
        <v>21313</v>
      </c>
      <c r="K29" s="282" t="s">
        <v>21314</v>
      </c>
      <c r="L29" s="282">
        <v>900</v>
      </c>
      <c r="M29" s="282" t="s">
        <v>21410</v>
      </c>
      <c r="N29" s="341" t="s">
        <v>21136</v>
      </c>
      <c r="O29" s="341" t="b">
        <v>1</v>
      </c>
      <c r="P29" s="333">
        <v>8</v>
      </c>
      <c r="Q29" s="282">
        <v>3</v>
      </c>
      <c r="R29" s="282" t="s">
        <v>21137</v>
      </c>
      <c r="S29" s="464">
        <v>43748</v>
      </c>
      <c r="T29" s="282" t="b">
        <v>1</v>
      </c>
      <c r="U29" s="341" t="b">
        <v>0</v>
      </c>
      <c r="V29" s="282" t="b">
        <v>1</v>
      </c>
      <c r="W29" s="282">
        <v>8</v>
      </c>
      <c r="X29" s="282" t="b">
        <v>0</v>
      </c>
      <c r="Y29" s="282" t="s">
        <v>21299</v>
      </c>
      <c r="Z29" s="282" t="s">
        <v>21300</v>
      </c>
    </row>
    <row r="30" ht="25.5">
      <c r="G30" s="282">
        <v>128043</v>
      </c>
      <c r="H30" s="282" t="s">
        <v>21326</v>
      </c>
      <c r="I30" s="282">
        <v>3</v>
      </c>
      <c r="J30" s="282" t="s">
        <v>21313</v>
      </c>
      <c r="K30" s="282" t="s">
        <v>21314</v>
      </c>
      <c r="L30" s="282">
        <v>2100</v>
      </c>
      <c r="M30" s="282" t="s">
        <v>21343</v>
      </c>
      <c r="O30" s="341" t="b">
        <v>1</v>
      </c>
      <c r="P30" s="333">
        <v>8</v>
      </c>
      <c r="Q30" s="282">
        <v>3</v>
      </c>
      <c r="R30" s="282" t="s">
        <v>22416</v>
      </c>
      <c r="S30" s="464">
        <v>43748</v>
      </c>
      <c r="T30" s="282" t="b">
        <v>1</v>
      </c>
      <c r="U30" s="341" t="b">
        <v>0</v>
      </c>
      <c r="V30" s="282" t="b">
        <v>1</v>
      </c>
      <c r="W30" s="282">
        <v>8</v>
      </c>
      <c r="X30" s="282" t="b">
        <v>0</v>
      </c>
      <c r="Y30" s="282" t="s">
        <v>21299</v>
      </c>
      <c r="Z30" s="282" t="s">
        <v>21300</v>
      </c>
    </row>
    <row r="31" ht="25.5">
      <c r="A31" s="314">
        <v>15</v>
      </c>
      <c r="B31" s="330" t="s">
        <v>21138</v>
      </c>
      <c r="C31" s="329" t="s">
        <v>20859</v>
      </c>
      <c r="D31" s="329" t="s">
        <v>22417</v>
      </c>
      <c r="E31" s="282" t="s">
        <v>21288</v>
      </c>
      <c r="F31" s="314" t="s">
        <v>22390</v>
      </c>
      <c r="G31" s="282">
        <v>128501</v>
      </c>
      <c r="H31" s="282" t="s">
        <v>21326</v>
      </c>
      <c r="I31" s="282">
        <v>3</v>
      </c>
      <c r="J31" s="282" t="s">
        <v>21313</v>
      </c>
      <c r="K31" s="282" t="s">
        <v>21314</v>
      </c>
      <c r="L31" s="282">
        <v>900</v>
      </c>
      <c r="M31" s="282" t="s">
        <v>21343</v>
      </c>
      <c r="N31" s="341" t="s">
        <v>21139</v>
      </c>
      <c r="O31" s="341" t="b">
        <v>1</v>
      </c>
      <c r="P31" s="333">
        <v>10</v>
      </c>
      <c r="Q31" s="282">
        <v>3</v>
      </c>
      <c r="R31" s="282" t="s">
        <v>21140</v>
      </c>
      <c r="S31" s="464">
        <v>43748</v>
      </c>
      <c r="T31" s="282" t="b">
        <v>1</v>
      </c>
      <c r="U31" s="341" t="b">
        <v>0</v>
      </c>
      <c r="V31" s="282" t="b">
        <v>1</v>
      </c>
      <c r="W31" s="282">
        <v>10</v>
      </c>
      <c r="X31" s="282" t="b">
        <v>0</v>
      </c>
      <c r="Y31" s="282" t="s">
        <v>21299</v>
      </c>
      <c r="Z31" s="282" t="s">
        <v>21300</v>
      </c>
    </row>
    <row r="32" ht="25.5">
      <c r="G32" s="282">
        <v>128501</v>
      </c>
      <c r="H32" s="282" t="s">
        <v>21326</v>
      </c>
      <c r="I32" s="282">
        <v>3</v>
      </c>
      <c r="J32" s="282" t="s">
        <v>21313</v>
      </c>
      <c r="K32" s="282" t="s">
        <v>21314</v>
      </c>
      <c r="L32" s="282">
        <v>2100</v>
      </c>
      <c r="M32" s="282" t="s">
        <v>21417</v>
      </c>
      <c r="O32" s="341" t="b">
        <v>1</v>
      </c>
      <c r="P32" s="333">
        <v>10</v>
      </c>
      <c r="Q32" s="282">
        <v>3</v>
      </c>
      <c r="R32" s="282" t="s">
        <v>22418</v>
      </c>
      <c r="S32" s="464">
        <v>43748</v>
      </c>
      <c r="T32" s="282" t="b">
        <v>1</v>
      </c>
      <c r="U32" s="341" t="b">
        <v>0</v>
      </c>
      <c r="V32" s="282" t="b">
        <v>1</v>
      </c>
      <c r="W32" s="282">
        <v>10</v>
      </c>
      <c r="X32" s="282" t="b">
        <v>0</v>
      </c>
      <c r="Y32" s="282" t="s">
        <v>21299</v>
      </c>
      <c r="Z32" s="282" t="s">
        <v>21300</v>
      </c>
    </row>
    <row r="33" ht="25.5">
      <c r="A33" s="314">
        <v>16</v>
      </c>
      <c r="B33" s="330" t="s">
        <v>21141</v>
      </c>
      <c r="C33" s="329" t="s">
        <v>20859</v>
      </c>
      <c r="D33" s="329" t="s">
        <v>22419</v>
      </c>
      <c r="E33" s="282" t="s">
        <v>21288</v>
      </c>
      <c r="F33" s="314" t="s">
        <v>22420</v>
      </c>
      <c r="G33" s="282">
        <v>128154</v>
      </c>
      <c r="H33" s="282" t="s">
        <v>21312</v>
      </c>
      <c r="I33" s="282">
        <v>3</v>
      </c>
      <c r="J33" s="282" t="s">
        <v>21313</v>
      </c>
      <c r="K33" s="282" t="s">
        <v>21314</v>
      </c>
      <c r="L33" s="282">
        <v>2100</v>
      </c>
      <c r="M33" s="282" t="s">
        <v>21410</v>
      </c>
      <c r="N33" s="341" t="s">
        <v>21142</v>
      </c>
      <c r="O33" s="341" t="b">
        <v>1</v>
      </c>
      <c r="P33" s="333">
        <v>8</v>
      </c>
      <c r="Q33" s="282">
        <v>1</v>
      </c>
      <c r="R33" s="282" t="s">
        <v>21143</v>
      </c>
      <c r="S33" s="464">
        <v>43748</v>
      </c>
      <c r="T33" s="282" t="b">
        <v>1</v>
      </c>
      <c r="U33" s="341" t="b">
        <v>0</v>
      </c>
      <c r="V33" s="282" t="b">
        <v>1</v>
      </c>
      <c r="W33" s="282">
        <v>8</v>
      </c>
      <c r="X33" s="282" t="b">
        <v>0</v>
      </c>
      <c r="Y33" s="282" t="s">
        <v>21299</v>
      </c>
      <c r="Z33" s="282" t="s">
        <v>21300</v>
      </c>
    </row>
    <row r="34" ht="25.5">
      <c r="A34" s="314">
        <v>17</v>
      </c>
      <c r="B34" s="330" t="s">
        <v>21144</v>
      </c>
      <c r="C34" s="329" t="s">
        <v>20859</v>
      </c>
      <c r="D34" s="329" t="s">
        <v>22421</v>
      </c>
      <c r="E34" s="282" t="s">
        <v>21288</v>
      </c>
      <c r="F34" s="314" t="s">
        <v>22390</v>
      </c>
      <c r="G34" s="282">
        <v>128145</v>
      </c>
      <c r="H34" s="282" t="s">
        <v>21326</v>
      </c>
      <c r="I34" s="282">
        <v>3</v>
      </c>
      <c r="J34" s="282" t="s">
        <v>21313</v>
      </c>
      <c r="K34" s="282" t="s">
        <v>21314</v>
      </c>
      <c r="L34" s="282">
        <v>900</v>
      </c>
      <c r="M34" s="282" t="s">
        <v>21317</v>
      </c>
      <c r="N34" s="341" t="s">
        <v>21145</v>
      </c>
      <c r="O34" s="341" t="b">
        <v>1</v>
      </c>
      <c r="P34" s="333">
        <v>8</v>
      </c>
      <c r="Q34" s="282">
        <v>3</v>
      </c>
      <c r="R34" s="282" t="s">
        <v>21146</v>
      </c>
      <c r="S34" s="464">
        <v>43748</v>
      </c>
      <c r="T34" s="282" t="b">
        <v>1</v>
      </c>
      <c r="U34" s="341" t="b">
        <v>0</v>
      </c>
      <c r="V34" s="282" t="b">
        <v>1</v>
      </c>
      <c r="W34" s="282">
        <v>8</v>
      </c>
      <c r="X34" s="282" t="b">
        <v>0</v>
      </c>
      <c r="Y34" s="282" t="s">
        <v>21299</v>
      </c>
      <c r="Z34" s="282" t="s">
        <v>21300</v>
      </c>
    </row>
    <row r="35" ht="25.5">
      <c r="G35" s="282">
        <v>128145</v>
      </c>
      <c r="H35" s="282" t="s">
        <v>21326</v>
      </c>
      <c r="I35" s="282">
        <v>3</v>
      </c>
      <c r="J35" s="282" t="s">
        <v>21313</v>
      </c>
      <c r="K35" s="282" t="s">
        <v>21314</v>
      </c>
      <c r="L35" s="282">
        <v>2100</v>
      </c>
      <c r="M35" s="282" t="s">
        <v>21368</v>
      </c>
      <c r="O35" s="341" t="b">
        <v>1</v>
      </c>
      <c r="P35" s="333">
        <v>8</v>
      </c>
      <c r="Q35" s="282">
        <v>3</v>
      </c>
      <c r="R35" s="282" t="s">
        <v>22422</v>
      </c>
      <c r="S35" s="464">
        <v>43748</v>
      </c>
      <c r="T35" s="282" t="b">
        <v>1</v>
      </c>
      <c r="U35" s="341" t="b">
        <v>0</v>
      </c>
      <c r="V35" s="282" t="b">
        <v>1</v>
      </c>
      <c r="W35" s="282">
        <v>8</v>
      </c>
      <c r="X35" s="282" t="b">
        <v>0</v>
      </c>
      <c r="Y35" s="282" t="s">
        <v>21299</v>
      </c>
      <c r="Z35" s="282" t="s">
        <v>21300</v>
      </c>
    </row>
    <row r="36" ht="38.25">
      <c r="A36" s="314">
        <v>18</v>
      </c>
      <c r="B36" s="330" t="s">
        <v>21147</v>
      </c>
      <c r="C36" s="329" t="s">
        <v>20859</v>
      </c>
      <c r="D36" s="329" t="s">
        <v>22423</v>
      </c>
      <c r="E36" s="282" t="s">
        <v>21288</v>
      </c>
      <c r="F36" s="314" t="s">
        <v>22390</v>
      </c>
      <c r="G36" s="282">
        <v>128020</v>
      </c>
      <c r="H36" s="282" t="s">
        <v>21312</v>
      </c>
      <c r="I36" s="282">
        <v>3</v>
      </c>
      <c r="J36" s="282" t="s">
        <v>21313</v>
      </c>
      <c r="K36" s="282" t="s">
        <v>21314</v>
      </c>
      <c r="L36" s="282">
        <v>900</v>
      </c>
      <c r="M36" s="282" t="s">
        <v>21386</v>
      </c>
      <c r="N36" s="341" t="s">
        <v>21148</v>
      </c>
      <c r="O36" s="341" t="b">
        <v>1</v>
      </c>
      <c r="P36" s="333">
        <v>21</v>
      </c>
      <c r="Q36" s="282">
        <v>3</v>
      </c>
      <c r="R36" s="282" t="s">
        <v>21149</v>
      </c>
      <c r="S36" s="464">
        <v>43748</v>
      </c>
      <c r="T36" s="282" t="b">
        <v>0</v>
      </c>
      <c r="U36" s="341" t="b">
        <v>0</v>
      </c>
      <c r="V36" s="282" t="b">
        <v>1</v>
      </c>
      <c r="W36" s="282">
        <v>21</v>
      </c>
      <c r="X36" s="282" t="b">
        <v>0</v>
      </c>
      <c r="Y36" s="282" t="s">
        <v>21299</v>
      </c>
      <c r="Z36" s="282" t="s">
        <v>21300</v>
      </c>
    </row>
    <row r="37" ht="25.5">
      <c r="G37" s="282">
        <v>128020</v>
      </c>
      <c r="H37" s="282" t="s">
        <v>21312</v>
      </c>
      <c r="I37" s="282">
        <v>3</v>
      </c>
      <c r="J37" s="282" t="s">
        <v>21313</v>
      </c>
      <c r="K37" s="282" t="s">
        <v>21314</v>
      </c>
      <c r="L37" s="282">
        <v>2100</v>
      </c>
      <c r="M37" s="282" t="s">
        <v>21386</v>
      </c>
      <c r="O37" s="341" t="b">
        <v>1</v>
      </c>
      <c r="P37" s="333">
        <v>21</v>
      </c>
      <c r="Q37" s="282">
        <v>3</v>
      </c>
      <c r="R37" s="282" t="s">
        <v>22424</v>
      </c>
      <c r="S37" s="464">
        <v>43748</v>
      </c>
      <c r="T37" s="282" t="b">
        <v>0</v>
      </c>
      <c r="U37" s="341" t="b">
        <v>0</v>
      </c>
      <c r="V37" s="282" t="b">
        <v>1</v>
      </c>
      <c r="W37" s="282">
        <v>21</v>
      </c>
      <c r="X37" s="282" t="b">
        <v>0</v>
      </c>
      <c r="Y37" s="282" t="s">
        <v>21299</v>
      </c>
      <c r="Z37" s="282" t="s">
        <v>21300</v>
      </c>
    </row>
    <row r="38" ht="38.25">
      <c r="A38" s="314">
        <v>19</v>
      </c>
      <c r="B38" s="330" t="s">
        <v>21150</v>
      </c>
      <c r="C38" s="329" t="s">
        <v>20859</v>
      </c>
      <c r="D38" s="329" t="s">
        <v>22425</v>
      </c>
      <c r="E38" s="282" t="s">
        <v>21288</v>
      </c>
      <c r="F38" s="314" t="s">
        <v>22390</v>
      </c>
      <c r="G38" s="282">
        <v>128117</v>
      </c>
      <c r="H38" s="282" t="s">
        <v>21326</v>
      </c>
      <c r="I38" s="282">
        <v>3</v>
      </c>
      <c r="J38" s="282" t="s">
        <v>21313</v>
      </c>
      <c r="K38" s="282" t="s">
        <v>21314</v>
      </c>
      <c r="L38" s="282">
        <v>900</v>
      </c>
      <c r="M38" s="282" t="s">
        <v>21355</v>
      </c>
      <c r="N38" s="341" t="s">
        <v>21151</v>
      </c>
      <c r="O38" s="341" t="b">
        <v>1</v>
      </c>
      <c r="P38" s="333">
        <v>8</v>
      </c>
      <c r="Q38" s="282">
        <v>3</v>
      </c>
      <c r="R38" s="282" t="s">
        <v>21152</v>
      </c>
      <c r="S38" s="464">
        <v>43748</v>
      </c>
      <c r="T38" s="282" t="b">
        <v>1</v>
      </c>
      <c r="U38" s="341" t="b">
        <v>1</v>
      </c>
      <c r="V38" s="282" t="b">
        <v>1</v>
      </c>
      <c r="W38" s="282">
        <v>8</v>
      </c>
      <c r="X38" s="282" t="b">
        <v>0</v>
      </c>
      <c r="Y38" s="282" t="s">
        <v>21299</v>
      </c>
      <c r="Z38" s="282" t="s">
        <v>21300</v>
      </c>
    </row>
    <row r="39" ht="25.5">
      <c r="G39" s="282">
        <v>128117</v>
      </c>
      <c r="H39" s="282" t="s">
        <v>21326</v>
      </c>
      <c r="I39" s="282">
        <v>3</v>
      </c>
      <c r="J39" s="282" t="s">
        <v>21313</v>
      </c>
      <c r="K39" s="282" t="s">
        <v>21314</v>
      </c>
      <c r="L39" s="282">
        <v>2100</v>
      </c>
      <c r="M39" s="282" t="s">
        <v>21355</v>
      </c>
      <c r="O39" s="341" t="b">
        <v>1</v>
      </c>
      <c r="P39" s="333">
        <v>8</v>
      </c>
      <c r="Q39" s="282">
        <v>3</v>
      </c>
      <c r="R39" s="282" t="s">
        <v>22426</v>
      </c>
      <c r="S39" s="464">
        <v>43748</v>
      </c>
      <c r="T39" s="282" t="b">
        <v>1</v>
      </c>
      <c r="U39" s="341" t="b">
        <v>0</v>
      </c>
      <c r="V39" s="282" t="b">
        <v>1</v>
      </c>
      <c r="W39" s="282">
        <v>8</v>
      </c>
      <c r="X39" s="282" t="b">
        <v>0</v>
      </c>
      <c r="Y39" s="282" t="s">
        <v>21299</v>
      </c>
      <c r="Z39" s="282" t="s">
        <v>21300</v>
      </c>
    </row>
    <row r="40" ht="25.5">
      <c r="A40" s="314">
        <v>20</v>
      </c>
      <c r="B40" s="330" t="s">
        <v>21153</v>
      </c>
      <c r="C40" s="329" t="s">
        <v>20859</v>
      </c>
      <c r="D40" s="329" t="s">
        <v>22427</v>
      </c>
      <c r="E40" s="282" t="s">
        <v>21288</v>
      </c>
      <c r="F40" s="314" t="s">
        <v>22390</v>
      </c>
      <c r="G40" s="282">
        <v>128077</v>
      </c>
      <c r="H40" s="282" t="s">
        <v>21326</v>
      </c>
      <c r="I40" s="282">
        <v>3</v>
      </c>
      <c r="J40" s="282" t="s">
        <v>21313</v>
      </c>
      <c r="K40" s="282" t="s">
        <v>21314</v>
      </c>
      <c r="L40" s="282">
        <v>900</v>
      </c>
      <c r="M40" s="282" t="s">
        <v>21386</v>
      </c>
      <c r="N40" s="341" t="s">
        <v>21154</v>
      </c>
      <c r="O40" s="341" t="b">
        <v>1</v>
      </c>
      <c r="P40" s="333">
        <v>10</v>
      </c>
      <c r="Q40" s="282">
        <v>3</v>
      </c>
      <c r="R40" s="282" t="s">
        <v>21155</v>
      </c>
      <c r="S40" s="464">
        <v>43748</v>
      </c>
      <c r="T40" s="282" t="b">
        <v>0</v>
      </c>
      <c r="U40" s="341" t="b">
        <v>0</v>
      </c>
      <c r="V40" s="282" t="b">
        <v>1</v>
      </c>
      <c r="W40" s="282">
        <v>10</v>
      </c>
      <c r="X40" s="282" t="b">
        <v>0</v>
      </c>
      <c r="Y40" s="282" t="s">
        <v>21299</v>
      </c>
      <c r="Z40" s="282" t="s">
        <v>21300</v>
      </c>
    </row>
    <row r="41" ht="25.5">
      <c r="G41" s="282">
        <v>128077</v>
      </c>
      <c r="H41" s="282" t="s">
        <v>21326</v>
      </c>
      <c r="I41" s="282">
        <v>3</v>
      </c>
      <c r="J41" s="282" t="s">
        <v>21313</v>
      </c>
      <c r="K41" s="282" t="s">
        <v>21314</v>
      </c>
      <c r="L41" s="282">
        <v>2100</v>
      </c>
      <c r="M41" s="282" t="s">
        <v>21333</v>
      </c>
      <c r="O41" s="341" t="b">
        <v>1</v>
      </c>
      <c r="P41" s="333">
        <v>10</v>
      </c>
      <c r="Q41" s="282">
        <v>3</v>
      </c>
      <c r="R41" s="282" t="s">
        <v>22428</v>
      </c>
      <c r="S41" s="464">
        <v>43748</v>
      </c>
      <c r="T41" s="282" t="b">
        <v>0</v>
      </c>
      <c r="U41" s="341" t="b">
        <v>0</v>
      </c>
      <c r="V41" s="282" t="b">
        <v>1</v>
      </c>
      <c r="W41" s="282">
        <v>10</v>
      </c>
      <c r="X41" s="282" t="b">
        <v>0</v>
      </c>
      <c r="Y41" s="282" t="s">
        <v>21299</v>
      </c>
      <c r="Z41" s="282" t="s">
        <v>21300</v>
      </c>
    </row>
    <row r="42" ht="25.5">
      <c r="A42" s="314">
        <v>21</v>
      </c>
      <c r="B42" s="330" t="s">
        <v>21156</v>
      </c>
      <c r="C42" s="329" t="s">
        <v>20859</v>
      </c>
      <c r="D42" s="329" t="s">
        <v>22429</v>
      </c>
      <c r="E42" s="282" t="s">
        <v>21288</v>
      </c>
      <c r="F42" s="314" t="s">
        <v>22390</v>
      </c>
      <c r="G42" s="282">
        <v>128044</v>
      </c>
      <c r="H42" s="282" t="s">
        <v>21326</v>
      </c>
      <c r="I42" s="282">
        <v>3</v>
      </c>
      <c r="J42" s="282" t="s">
        <v>21313</v>
      </c>
      <c r="K42" s="282" t="s">
        <v>21314</v>
      </c>
      <c r="L42" s="282">
        <v>900</v>
      </c>
      <c r="M42" s="282" t="s">
        <v>21444</v>
      </c>
      <c r="N42" s="341" t="s">
        <v>21157</v>
      </c>
      <c r="O42" s="341" t="b">
        <v>1</v>
      </c>
      <c r="P42" s="333">
        <v>14</v>
      </c>
      <c r="Q42" s="282">
        <v>3</v>
      </c>
      <c r="R42" s="282" t="s">
        <v>21158</v>
      </c>
      <c r="S42" s="464">
        <v>43748</v>
      </c>
      <c r="T42" s="282" t="b">
        <v>0</v>
      </c>
      <c r="U42" s="341" t="b">
        <v>0</v>
      </c>
      <c r="V42" s="282" t="b">
        <v>1</v>
      </c>
      <c r="W42" s="282">
        <v>14</v>
      </c>
      <c r="X42" s="282" t="b">
        <v>0</v>
      </c>
      <c r="Y42" s="282" t="s">
        <v>21299</v>
      </c>
      <c r="Z42" s="282" t="s">
        <v>21300</v>
      </c>
    </row>
    <row r="43" ht="25.5">
      <c r="G43" s="282">
        <v>128044</v>
      </c>
      <c r="H43" s="282" t="s">
        <v>21326</v>
      </c>
      <c r="I43" s="282">
        <v>3</v>
      </c>
      <c r="J43" s="282" t="s">
        <v>21313</v>
      </c>
      <c r="K43" s="282" t="s">
        <v>21314</v>
      </c>
      <c r="L43" s="282">
        <v>2100</v>
      </c>
      <c r="M43" s="282" t="s">
        <v>21444</v>
      </c>
      <c r="O43" s="341" t="b">
        <v>1</v>
      </c>
      <c r="P43" s="333">
        <v>14</v>
      </c>
      <c r="Q43" s="282">
        <v>3</v>
      </c>
      <c r="R43" s="282" t="s">
        <v>22430</v>
      </c>
      <c r="S43" s="464">
        <v>43748</v>
      </c>
      <c r="T43" s="282" t="b">
        <v>0</v>
      </c>
      <c r="U43" s="341" t="b">
        <v>0</v>
      </c>
      <c r="V43" s="282" t="b">
        <v>1</v>
      </c>
      <c r="W43" s="282">
        <v>14</v>
      </c>
      <c r="X43" s="282" t="b">
        <v>0</v>
      </c>
      <c r="Y43" s="282" t="s">
        <v>21299</v>
      </c>
      <c r="Z43" s="282" t="s">
        <v>21300</v>
      </c>
    </row>
    <row r="44" ht="25.5">
      <c r="A44" s="314">
        <v>22</v>
      </c>
      <c r="B44" s="330" t="s">
        <v>21159</v>
      </c>
      <c r="C44" s="329" t="s">
        <v>20859</v>
      </c>
      <c r="D44" s="329" t="s">
        <v>22431</v>
      </c>
      <c r="E44" s="282" t="s">
        <v>21288</v>
      </c>
      <c r="F44" s="314" t="s">
        <v>22390</v>
      </c>
      <c r="G44" s="282">
        <v>128525</v>
      </c>
      <c r="H44" s="282" t="s">
        <v>21312</v>
      </c>
      <c r="I44" s="282">
        <v>3</v>
      </c>
      <c r="J44" s="282" t="s">
        <v>21313</v>
      </c>
      <c r="K44" s="282" t="s">
        <v>21314</v>
      </c>
      <c r="L44" s="282">
        <v>900</v>
      </c>
      <c r="M44" s="282" t="s">
        <v>21368</v>
      </c>
      <c r="N44" s="341" t="s">
        <v>21160</v>
      </c>
      <c r="O44" s="341" t="b">
        <v>1</v>
      </c>
      <c r="P44" s="333">
        <v>0</v>
      </c>
      <c r="Q44" s="282">
        <v>3</v>
      </c>
      <c r="R44" s="282" t="s">
        <v>21161</v>
      </c>
      <c r="S44" s="464">
        <v>43748</v>
      </c>
      <c r="T44" s="282" t="b">
        <v>1</v>
      </c>
      <c r="U44" s="341" t="b">
        <v>1</v>
      </c>
      <c r="V44" s="282" t="b">
        <v>0</v>
      </c>
      <c r="W44" s="282">
        <v>0</v>
      </c>
      <c r="X44" s="282" t="b">
        <v>0</v>
      </c>
      <c r="Y44" s="282" t="s">
        <v>21299</v>
      </c>
      <c r="Z44" s="282" t="s">
        <v>21300</v>
      </c>
    </row>
    <row r="45" ht="25.5">
      <c r="G45" s="282">
        <v>128525</v>
      </c>
      <c r="H45" s="282" t="s">
        <v>21312</v>
      </c>
      <c r="I45" s="282">
        <v>3</v>
      </c>
      <c r="J45" s="282" t="s">
        <v>21313</v>
      </c>
      <c r="K45" s="282" t="s">
        <v>21314</v>
      </c>
      <c r="L45" s="282">
        <v>2100</v>
      </c>
      <c r="M45" s="282" t="s">
        <v>21368</v>
      </c>
      <c r="O45" s="341" t="b">
        <v>1</v>
      </c>
      <c r="P45" s="333">
        <v>0</v>
      </c>
      <c r="Q45" s="282">
        <v>3</v>
      </c>
      <c r="R45" s="282" t="s">
        <v>22432</v>
      </c>
      <c r="S45" s="464">
        <v>43748</v>
      </c>
      <c r="T45" s="282" t="b">
        <v>1</v>
      </c>
      <c r="U45" s="341" t="b">
        <v>0</v>
      </c>
      <c r="V45" s="282" t="b">
        <v>0</v>
      </c>
      <c r="W45" s="282">
        <v>0</v>
      </c>
      <c r="X45" s="282" t="b">
        <v>0</v>
      </c>
      <c r="Y45" s="282" t="s">
        <v>21299</v>
      </c>
      <c r="Z45" s="282" t="s">
        <v>21300</v>
      </c>
    </row>
    <row r="46" ht="38.25">
      <c r="A46" s="314">
        <v>23</v>
      </c>
      <c r="B46" s="330" t="s">
        <v>21162</v>
      </c>
      <c r="C46" s="329" t="s">
        <v>20859</v>
      </c>
      <c r="D46" s="329" t="s">
        <v>22433</v>
      </c>
      <c r="E46" s="282" t="s">
        <v>21288</v>
      </c>
      <c r="F46" s="314" t="s">
        <v>22390</v>
      </c>
      <c r="G46" s="282">
        <v>128002</v>
      </c>
      <c r="H46" s="282" t="s">
        <v>21458</v>
      </c>
      <c r="I46" s="282">
        <v>3</v>
      </c>
      <c r="J46" s="282" t="s">
        <v>21042</v>
      </c>
      <c r="K46" s="282" t="s">
        <v>21314</v>
      </c>
      <c r="L46" s="282">
        <v>900</v>
      </c>
      <c r="M46" s="282" t="s">
        <v>21459</v>
      </c>
      <c r="N46" s="341" t="s">
        <v>21163</v>
      </c>
      <c r="O46" s="341" t="b">
        <v>1</v>
      </c>
      <c r="P46" s="333">
        <v>0</v>
      </c>
      <c r="Q46" s="282">
        <v>1</v>
      </c>
      <c r="R46" s="282" t="s">
        <v>21164</v>
      </c>
      <c r="S46" s="464">
        <v>43748</v>
      </c>
      <c r="T46" s="282" t="b">
        <v>1</v>
      </c>
      <c r="U46" s="341" t="b">
        <v>1</v>
      </c>
      <c r="V46" s="282" t="b">
        <v>0</v>
      </c>
      <c r="W46" s="282">
        <v>0</v>
      </c>
      <c r="X46" s="282" t="b">
        <v>0</v>
      </c>
      <c r="Y46" s="282" t="s">
        <v>21299</v>
      </c>
      <c r="Z46" s="282" t="s">
        <v>21300</v>
      </c>
    </row>
    <row r="47" ht="25.5">
      <c r="G47" s="282">
        <v>128002</v>
      </c>
      <c r="H47" s="282" t="s">
        <v>21326</v>
      </c>
      <c r="I47" s="282">
        <v>3</v>
      </c>
      <c r="J47" s="282" t="s">
        <v>21313</v>
      </c>
      <c r="K47" s="282" t="s">
        <v>21314</v>
      </c>
      <c r="L47" s="282">
        <v>2100</v>
      </c>
      <c r="M47" s="282" t="s">
        <v>21459</v>
      </c>
      <c r="O47" s="341" t="b">
        <v>1</v>
      </c>
      <c r="P47" s="333">
        <v>0</v>
      </c>
      <c r="Q47" s="282">
        <v>1</v>
      </c>
      <c r="R47" s="282" t="s">
        <v>22434</v>
      </c>
      <c r="S47" s="464">
        <v>43748</v>
      </c>
      <c r="T47" s="282" t="b">
        <v>1</v>
      </c>
      <c r="U47" s="341" t="b">
        <v>0</v>
      </c>
      <c r="V47" s="282" t="b">
        <v>0</v>
      </c>
      <c r="W47" s="282">
        <v>0</v>
      </c>
      <c r="X47" s="282" t="b">
        <v>0</v>
      </c>
      <c r="Y47" s="282" t="s">
        <v>21299</v>
      </c>
      <c r="Z47" s="282" t="s">
        <v>21300</v>
      </c>
    </row>
    <row r="48" ht="25.5">
      <c r="A48" s="314">
        <v>24</v>
      </c>
      <c r="B48" s="330" t="s">
        <v>21165</v>
      </c>
      <c r="C48" s="329" t="s">
        <v>20880</v>
      </c>
      <c r="D48" s="329" t="s">
        <v>22435</v>
      </c>
      <c r="E48" s="282" t="s">
        <v>21288</v>
      </c>
      <c r="F48" s="314" t="s">
        <v>22420</v>
      </c>
      <c r="G48" s="282">
        <v>149173</v>
      </c>
      <c r="H48" s="282" t="s">
        <v>21312</v>
      </c>
      <c r="I48" s="282">
        <v>3</v>
      </c>
      <c r="J48" s="282" t="s">
        <v>21313</v>
      </c>
      <c r="K48" s="282" t="s">
        <v>21314</v>
      </c>
      <c r="L48" s="282">
        <v>2100</v>
      </c>
      <c r="M48" s="282" t="s">
        <v>21386</v>
      </c>
      <c r="N48" s="341" t="s">
        <v>21166</v>
      </c>
      <c r="O48" s="341" t="b">
        <v>1</v>
      </c>
      <c r="P48" s="333">
        <v>10</v>
      </c>
      <c r="Q48" s="282">
        <v>1</v>
      </c>
      <c r="R48" s="282" t="s">
        <v>21167</v>
      </c>
      <c r="S48" s="464">
        <v>43748</v>
      </c>
      <c r="T48" s="282" t="b">
        <v>0</v>
      </c>
      <c r="U48" s="341" t="b">
        <v>0</v>
      </c>
      <c r="V48" s="282" t="b">
        <v>1</v>
      </c>
      <c r="W48" s="282">
        <v>10</v>
      </c>
      <c r="X48" s="282" t="b">
        <v>0</v>
      </c>
      <c r="Y48" s="282" t="s">
        <v>21299</v>
      </c>
      <c r="Z48" s="282" t="s">
        <v>21300</v>
      </c>
    </row>
    <row r="49" ht="25.5">
      <c r="A49" s="314">
        <v>25</v>
      </c>
      <c r="B49" s="330" t="s">
        <v>21168</v>
      </c>
      <c r="C49" s="329" t="s">
        <v>20851</v>
      </c>
      <c r="D49" s="329" t="s">
        <v>22436</v>
      </c>
      <c r="E49" s="282" t="s">
        <v>21288</v>
      </c>
      <c r="F49" s="314" t="s">
        <v>22420</v>
      </c>
      <c r="G49" s="282">
        <v>127510</v>
      </c>
      <c r="H49" s="282" t="s">
        <v>21312</v>
      </c>
      <c r="I49" s="282">
        <v>3</v>
      </c>
      <c r="J49" s="282" t="s">
        <v>21313</v>
      </c>
      <c r="K49" s="282" t="s">
        <v>21314</v>
      </c>
      <c r="L49" s="282">
        <v>2100</v>
      </c>
      <c r="M49" s="282" t="s">
        <v>21410</v>
      </c>
      <c r="N49" s="341" t="s">
        <v>21169</v>
      </c>
      <c r="O49" s="341" t="b">
        <v>1</v>
      </c>
      <c r="P49" s="333">
        <v>10</v>
      </c>
      <c r="Q49" s="282">
        <v>1</v>
      </c>
      <c r="R49" s="282" t="s">
        <v>21170</v>
      </c>
      <c r="S49" s="464">
        <v>43748</v>
      </c>
      <c r="T49" s="282" t="b">
        <v>1</v>
      </c>
      <c r="U49" s="341" t="b">
        <v>0</v>
      </c>
      <c r="V49" s="282" t="b">
        <v>1</v>
      </c>
      <c r="W49" s="282">
        <v>10</v>
      </c>
      <c r="X49" s="282" t="b">
        <v>0</v>
      </c>
      <c r="Y49" s="282" t="s">
        <v>21299</v>
      </c>
      <c r="Z49" s="282" t="s">
        <v>21300</v>
      </c>
    </row>
    <row r="50" ht="25.5">
      <c r="A50" s="314">
        <v>26</v>
      </c>
      <c r="B50" s="330" t="s">
        <v>21171</v>
      </c>
      <c r="C50" s="329" t="s">
        <v>20851</v>
      </c>
      <c r="D50" s="329" t="s">
        <v>22437</v>
      </c>
      <c r="E50" s="282" t="s">
        <v>21288</v>
      </c>
      <c r="F50" s="314" t="s">
        <v>22420</v>
      </c>
      <c r="G50" s="282">
        <v>127143</v>
      </c>
      <c r="H50" s="282" t="s">
        <v>21312</v>
      </c>
      <c r="I50" s="282">
        <v>3</v>
      </c>
      <c r="J50" s="282" t="s">
        <v>21313</v>
      </c>
      <c r="K50" s="282" t="s">
        <v>21314</v>
      </c>
      <c r="L50" s="282">
        <v>2100</v>
      </c>
      <c r="M50" s="282" t="s">
        <v>21410</v>
      </c>
      <c r="N50" s="341" t="s">
        <v>21172</v>
      </c>
      <c r="O50" s="341" t="b">
        <v>1</v>
      </c>
      <c r="P50" s="333">
        <v>4</v>
      </c>
      <c r="Q50" s="282">
        <v>1</v>
      </c>
      <c r="R50" s="282" t="s">
        <v>21173</v>
      </c>
      <c r="S50" s="464">
        <v>43748</v>
      </c>
      <c r="T50" s="282" t="b">
        <v>1</v>
      </c>
      <c r="U50" s="341" t="b">
        <v>1</v>
      </c>
      <c r="V50" s="282" t="b">
        <v>1</v>
      </c>
      <c r="W50" s="282">
        <v>4</v>
      </c>
      <c r="X50" s="282" t="b">
        <v>0</v>
      </c>
      <c r="Y50" s="282" t="s">
        <v>21299</v>
      </c>
      <c r="Z50" s="282" t="s">
        <v>21300</v>
      </c>
    </row>
    <row r="51" ht="25.5">
      <c r="A51" s="314">
        <v>27</v>
      </c>
      <c r="B51" s="330" t="s">
        <v>21174</v>
      </c>
      <c r="C51" s="329" t="s">
        <v>20863</v>
      </c>
      <c r="D51" s="329" t="s">
        <v>22438</v>
      </c>
      <c r="E51" s="282" t="s">
        <v>21288</v>
      </c>
      <c r="F51" s="314" t="s">
        <v>22420</v>
      </c>
      <c r="G51" s="282">
        <v>131121</v>
      </c>
      <c r="H51" s="282" t="s">
        <v>21312</v>
      </c>
      <c r="I51" s="282">
        <v>3</v>
      </c>
      <c r="J51" s="282" t="s">
        <v>21313</v>
      </c>
      <c r="K51" s="282" t="s">
        <v>21314</v>
      </c>
      <c r="L51" s="282">
        <v>2100</v>
      </c>
      <c r="M51" s="282" t="s">
        <v>21475</v>
      </c>
      <c r="N51" s="341" t="s">
        <v>21175</v>
      </c>
      <c r="O51" s="341" t="b">
        <v>1</v>
      </c>
      <c r="P51" s="333">
        <v>10</v>
      </c>
      <c r="Q51" s="282">
        <v>1</v>
      </c>
      <c r="R51" s="282" t="s">
        <v>21176</v>
      </c>
      <c r="S51" s="464">
        <v>43748</v>
      </c>
      <c r="T51" s="282" t="b">
        <v>1</v>
      </c>
      <c r="U51" s="341" t="b">
        <v>1</v>
      </c>
      <c r="V51" s="282" t="b">
        <v>1</v>
      </c>
      <c r="W51" s="282">
        <v>10</v>
      </c>
      <c r="X51" s="282" t="b">
        <v>0</v>
      </c>
      <c r="Y51" s="282" t="s">
        <v>21299</v>
      </c>
      <c r="Z51" s="282" t="s">
        <v>21300</v>
      </c>
    </row>
    <row r="52" ht="25.5">
      <c r="A52" s="314">
        <v>28</v>
      </c>
      <c r="B52" s="330" t="s">
        <v>21177</v>
      </c>
      <c r="C52" s="329" t="s">
        <v>20863</v>
      </c>
      <c r="D52" s="329" t="s">
        <v>22439</v>
      </c>
      <c r="E52" s="282" t="s">
        <v>21288</v>
      </c>
      <c r="F52" s="314" t="s">
        <v>22420</v>
      </c>
      <c r="G52" s="282">
        <v>131122</v>
      </c>
      <c r="H52" s="282" t="s">
        <v>21312</v>
      </c>
      <c r="I52" s="282">
        <v>3</v>
      </c>
      <c r="J52" s="282" t="s">
        <v>21313</v>
      </c>
      <c r="K52" s="282" t="s">
        <v>21314</v>
      </c>
      <c r="L52" s="282">
        <v>2100</v>
      </c>
      <c r="M52" s="282" t="s">
        <v>21482</v>
      </c>
      <c r="N52" s="341" t="s">
        <v>21178</v>
      </c>
      <c r="O52" s="341" t="b">
        <v>1</v>
      </c>
      <c r="P52" s="333">
        <v>10</v>
      </c>
      <c r="Q52" s="282">
        <v>1</v>
      </c>
      <c r="R52" s="282" t="s">
        <v>21179</v>
      </c>
      <c r="S52" s="464">
        <v>43748</v>
      </c>
      <c r="T52" s="282" t="b">
        <v>1</v>
      </c>
      <c r="U52" s="341" t="b">
        <v>0</v>
      </c>
      <c r="V52" s="282" t="b">
        <v>1</v>
      </c>
      <c r="W52" s="282">
        <v>10</v>
      </c>
      <c r="X52" s="282" t="b">
        <v>0</v>
      </c>
      <c r="Y52" s="282" t="s">
        <v>21299</v>
      </c>
      <c r="Z52" s="282" t="s">
        <v>21300</v>
      </c>
    </row>
    <row r="53" ht="25.5">
      <c r="A53" s="314">
        <v>29</v>
      </c>
      <c r="B53" s="330" t="s">
        <v>21180</v>
      </c>
      <c r="C53" s="329" t="s">
        <v>20842</v>
      </c>
      <c r="D53" s="329" t="s">
        <v>22440</v>
      </c>
      <c r="E53" s="282" t="s">
        <v>21288</v>
      </c>
      <c r="F53" s="314" t="s">
        <v>22420</v>
      </c>
      <c r="G53" s="282">
        <v>106534</v>
      </c>
      <c r="H53" s="282" t="s">
        <v>21312</v>
      </c>
      <c r="I53" s="282">
        <v>3</v>
      </c>
      <c r="J53" s="282" t="s">
        <v>21313</v>
      </c>
      <c r="K53" s="282" t="s">
        <v>21314</v>
      </c>
      <c r="L53" s="282">
        <v>2100</v>
      </c>
      <c r="M53" s="282" t="s">
        <v>21410</v>
      </c>
      <c r="N53" s="341" t="s">
        <v>21181</v>
      </c>
      <c r="O53" s="341" t="b">
        <v>1</v>
      </c>
      <c r="P53" s="333">
        <v>0</v>
      </c>
      <c r="Q53" s="282">
        <v>1</v>
      </c>
      <c r="R53" s="282" t="s">
        <v>21182</v>
      </c>
      <c r="S53" s="464">
        <v>43748</v>
      </c>
      <c r="T53" s="282" t="b">
        <v>1</v>
      </c>
      <c r="U53" s="341" t="b">
        <v>1</v>
      </c>
      <c r="V53" s="282" t="b">
        <v>0</v>
      </c>
      <c r="W53" s="282">
        <v>0</v>
      </c>
      <c r="X53" s="282" t="b">
        <v>0</v>
      </c>
      <c r="Y53" s="282" t="s">
        <v>21299</v>
      </c>
      <c r="Z53" s="282" t="s">
        <v>21300</v>
      </c>
    </row>
    <row r="54" ht="25.5">
      <c r="A54" s="314">
        <v>30</v>
      </c>
      <c r="B54" s="330" t="s">
        <v>21183</v>
      </c>
      <c r="C54" s="329" t="s">
        <v>20837</v>
      </c>
      <c r="D54" s="329" t="s">
        <v>22441</v>
      </c>
      <c r="E54" s="282" t="s">
        <v>21288</v>
      </c>
      <c r="F54" s="314" t="s">
        <v>22390</v>
      </c>
      <c r="G54" s="282">
        <v>105103</v>
      </c>
      <c r="H54" s="282" t="s">
        <v>21312</v>
      </c>
      <c r="I54" s="282">
        <v>3</v>
      </c>
      <c r="J54" s="282" t="s">
        <v>21313</v>
      </c>
      <c r="K54" s="282" t="s">
        <v>21314</v>
      </c>
      <c r="L54" s="282">
        <v>900</v>
      </c>
      <c r="M54" s="282" t="s">
        <v>21497</v>
      </c>
      <c r="N54" s="341" t="s">
        <v>21184</v>
      </c>
      <c r="O54" s="341" t="b">
        <v>1</v>
      </c>
      <c r="P54" s="333">
        <v>21</v>
      </c>
      <c r="Q54" s="282">
        <v>1</v>
      </c>
      <c r="R54" s="282" t="s">
        <v>21185</v>
      </c>
      <c r="S54" s="464">
        <v>43748</v>
      </c>
      <c r="T54" s="282" t="b">
        <v>0</v>
      </c>
      <c r="U54" s="341" t="b">
        <v>0</v>
      </c>
      <c r="V54" s="282" t="b">
        <v>1</v>
      </c>
      <c r="W54" s="282">
        <v>21</v>
      </c>
      <c r="X54" s="282" t="b">
        <v>0</v>
      </c>
      <c r="Y54" s="282" t="s">
        <v>21299</v>
      </c>
      <c r="Z54" s="282" t="s">
        <v>21300</v>
      </c>
    </row>
    <row r="55" ht="25.5">
      <c r="G55" s="282">
        <v>105103</v>
      </c>
      <c r="H55" s="282" t="s">
        <v>21312</v>
      </c>
      <c r="I55" s="282">
        <v>3</v>
      </c>
      <c r="J55" s="282" t="s">
        <v>21313</v>
      </c>
      <c r="K55" s="282" t="s">
        <v>21314</v>
      </c>
      <c r="L55" s="282">
        <v>2100</v>
      </c>
      <c r="M55" s="282" t="s">
        <v>21497</v>
      </c>
      <c r="O55" s="341" t="b">
        <v>1</v>
      </c>
      <c r="P55" s="333">
        <v>21</v>
      </c>
      <c r="Q55" s="282">
        <v>1</v>
      </c>
      <c r="R55" s="282" t="s">
        <v>22442</v>
      </c>
      <c r="S55" s="464">
        <v>43748</v>
      </c>
      <c r="T55" s="282" t="b">
        <v>0</v>
      </c>
      <c r="U55" s="341" t="b">
        <v>0</v>
      </c>
      <c r="V55" s="282" t="b">
        <v>1</v>
      </c>
      <c r="W55" s="282">
        <v>21</v>
      </c>
      <c r="X55" s="282" t="b">
        <v>0</v>
      </c>
      <c r="Y55" s="282" t="s">
        <v>21299</v>
      </c>
      <c r="Z55" s="282" t="s">
        <v>21300</v>
      </c>
    </row>
    <row r="56" ht="25.5">
      <c r="A56" s="314">
        <v>31</v>
      </c>
      <c r="B56" s="330" t="s">
        <v>21186</v>
      </c>
      <c r="C56" s="329" t="s">
        <v>20837</v>
      </c>
      <c r="D56" s="329" t="s">
        <v>22443</v>
      </c>
      <c r="E56" s="282" t="s">
        <v>21288</v>
      </c>
      <c r="F56" s="314" t="s">
        <v>22420</v>
      </c>
      <c r="G56" s="282">
        <v>105100</v>
      </c>
      <c r="H56" s="282" t="s">
        <v>21312</v>
      </c>
      <c r="I56" s="282">
        <v>3</v>
      </c>
      <c r="J56" s="282" t="s">
        <v>21313</v>
      </c>
      <c r="K56" s="282" t="s">
        <v>21314</v>
      </c>
      <c r="L56" s="282">
        <v>2100</v>
      </c>
      <c r="M56" s="282" t="s">
        <v>21368</v>
      </c>
      <c r="N56" s="341" t="s">
        <v>21187</v>
      </c>
      <c r="O56" s="341" t="b">
        <v>1</v>
      </c>
      <c r="P56" s="333">
        <v>8</v>
      </c>
      <c r="Q56" s="282">
        <v>1</v>
      </c>
      <c r="R56" s="282" t="s">
        <v>21188</v>
      </c>
      <c r="S56" s="464">
        <v>43748</v>
      </c>
      <c r="T56" s="282" t="b">
        <v>1</v>
      </c>
      <c r="U56" s="341" t="b">
        <v>0</v>
      </c>
      <c r="V56" s="282" t="b">
        <v>1</v>
      </c>
      <c r="W56" s="282">
        <v>8</v>
      </c>
      <c r="X56" s="282" t="b">
        <v>0</v>
      </c>
      <c r="Y56" s="282" t="s">
        <v>21299</v>
      </c>
      <c r="Z56" s="282" t="s">
        <v>21300</v>
      </c>
    </row>
    <row r="57" ht="38.25">
      <c r="A57" s="314">
        <v>32</v>
      </c>
      <c r="B57" s="330" t="s">
        <v>21189</v>
      </c>
      <c r="C57" s="329" t="s">
        <v>20837</v>
      </c>
      <c r="D57" s="329" t="s">
        <v>22444</v>
      </c>
      <c r="E57" s="282" t="s">
        <v>21288</v>
      </c>
      <c r="F57" s="314" t="s">
        <v>22420</v>
      </c>
      <c r="G57" s="282">
        <v>105145</v>
      </c>
      <c r="H57" s="282" t="s">
        <v>21312</v>
      </c>
      <c r="I57" s="282">
        <v>3</v>
      </c>
      <c r="J57" s="282" t="s">
        <v>21313</v>
      </c>
      <c r="K57" s="282" t="s">
        <v>21314</v>
      </c>
      <c r="L57" s="282">
        <v>2100</v>
      </c>
      <c r="M57" s="282" t="s">
        <v>21368</v>
      </c>
      <c r="N57" s="341" t="s">
        <v>21190</v>
      </c>
      <c r="O57" s="341" t="b">
        <v>1</v>
      </c>
      <c r="P57" s="333">
        <v>24</v>
      </c>
      <c r="Q57" s="282">
        <v>1</v>
      </c>
      <c r="R57" s="282" t="s">
        <v>21191</v>
      </c>
      <c r="S57" s="464">
        <v>43748</v>
      </c>
      <c r="T57" s="282" t="b">
        <v>1</v>
      </c>
      <c r="U57" s="341" t="b">
        <v>0</v>
      </c>
      <c r="V57" s="282" t="b">
        <v>1</v>
      </c>
      <c r="W57" s="282">
        <v>24</v>
      </c>
      <c r="X57" s="282" t="b">
        <v>0</v>
      </c>
      <c r="Y57" s="282" t="s">
        <v>21299</v>
      </c>
      <c r="Z57" s="282" t="s">
        <v>21300</v>
      </c>
    </row>
    <row r="58" ht="25.5">
      <c r="A58" s="314">
        <v>33</v>
      </c>
      <c r="B58" s="330" t="s">
        <v>21192</v>
      </c>
      <c r="C58" s="329" t="s">
        <v>20837</v>
      </c>
      <c r="D58" s="329" t="s">
        <v>22445</v>
      </c>
      <c r="E58" s="282" t="s">
        <v>21288</v>
      </c>
      <c r="F58" s="314" t="s">
        <v>22420</v>
      </c>
      <c r="G58" s="282">
        <v>105144</v>
      </c>
      <c r="H58" s="282" t="s">
        <v>21312</v>
      </c>
      <c r="I58" s="282">
        <v>3</v>
      </c>
      <c r="J58" s="282" t="s">
        <v>21313</v>
      </c>
      <c r="K58" s="282" t="s">
        <v>21314</v>
      </c>
      <c r="L58" s="282">
        <v>2100</v>
      </c>
      <c r="M58" s="282" t="s">
        <v>21482</v>
      </c>
      <c r="N58" s="341" t="s">
        <v>21193</v>
      </c>
      <c r="O58" s="341" t="b">
        <v>1</v>
      </c>
      <c r="P58" s="333">
        <v>14</v>
      </c>
      <c r="Q58" s="282">
        <v>1</v>
      </c>
      <c r="R58" s="282" t="s">
        <v>21194</v>
      </c>
      <c r="S58" s="464">
        <v>43748</v>
      </c>
      <c r="T58" s="282" t="b">
        <v>1</v>
      </c>
      <c r="U58" s="341" t="b">
        <v>0</v>
      </c>
      <c r="V58" s="282" t="b">
        <v>1</v>
      </c>
      <c r="W58" s="282">
        <v>14</v>
      </c>
      <c r="X58" s="282" t="b">
        <v>0</v>
      </c>
      <c r="Y58" s="282" t="s">
        <v>21299</v>
      </c>
      <c r="Z58" s="282" t="s">
        <v>21300</v>
      </c>
    </row>
    <row r="59" ht="25.5">
      <c r="A59" s="314">
        <v>34</v>
      </c>
      <c r="B59" s="330" t="s">
        <v>21195</v>
      </c>
      <c r="C59" s="329" t="s">
        <v>20855</v>
      </c>
      <c r="D59" s="329" t="s">
        <v>22446</v>
      </c>
      <c r="E59" s="282" t="s">
        <v>21288</v>
      </c>
      <c r="F59" s="314" t="s">
        <v>22420</v>
      </c>
      <c r="G59" s="282">
        <v>124827</v>
      </c>
      <c r="H59" s="282" t="s">
        <v>21312</v>
      </c>
      <c r="I59" s="282">
        <v>3</v>
      </c>
      <c r="J59" s="282" t="s">
        <v>21313</v>
      </c>
      <c r="K59" s="282" t="s">
        <v>21314</v>
      </c>
      <c r="L59" s="282">
        <v>2100</v>
      </c>
      <c r="M59" s="282" t="s">
        <v>21343</v>
      </c>
      <c r="N59" s="341" t="s">
        <v>21196</v>
      </c>
      <c r="O59" s="341" t="b">
        <v>1</v>
      </c>
      <c r="P59" s="333">
        <v>10</v>
      </c>
      <c r="Q59" s="282">
        <v>1</v>
      </c>
      <c r="R59" s="282" t="s">
        <v>21197</v>
      </c>
      <c r="S59" s="464">
        <v>43748</v>
      </c>
      <c r="T59" s="282" t="b">
        <v>1</v>
      </c>
      <c r="U59" s="341" t="b">
        <v>0</v>
      </c>
      <c r="V59" s="282" t="b">
        <v>1</v>
      </c>
      <c r="W59" s="282">
        <v>10</v>
      </c>
      <c r="X59" s="282" t="b">
        <v>0</v>
      </c>
      <c r="Y59" s="282" t="s">
        <v>21299</v>
      </c>
      <c r="Z59" s="282" t="s">
        <v>21300</v>
      </c>
    </row>
    <row r="60" ht="25.5">
      <c r="A60" s="314">
        <v>35</v>
      </c>
      <c r="B60" s="330" t="s">
        <v>21198</v>
      </c>
      <c r="C60" s="329" t="s">
        <v>20855</v>
      </c>
      <c r="D60" s="329" t="s">
        <v>22447</v>
      </c>
      <c r="E60" s="282" t="s">
        <v>21288</v>
      </c>
      <c r="F60" s="314" t="s">
        <v>22420</v>
      </c>
      <c r="G60" s="282">
        <v>124970</v>
      </c>
      <c r="H60" s="282" t="s">
        <v>21312</v>
      </c>
      <c r="I60" s="282">
        <v>3</v>
      </c>
      <c r="J60" s="282" t="s">
        <v>21313</v>
      </c>
      <c r="K60" s="282" t="s">
        <v>21314</v>
      </c>
      <c r="L60" s="282">
        <v>2100</v>
      </c>
      <c r="M60" s="282" t="s">
        <v>21343</v>
      </c>
      <c r="N60" s="341" t="s">
        <v>21199</v>
      </c>
      <c r="O60" s="341" t="b">
        <v>1</v>
      </c>
      <c r="P60" s="333">
        <v>8</v>
      </c>
      <c r="Q60" s="282">
        <v>1</v>
      </c>
      <c r="R60" s="282" t="s">
        <v>21200</v>
      </c>
      <c r="S60" s="464">
        <v>43748</v>
      </c>
      <c r="T60" s="282" t="b">
        <v>1</v>
      </c>
      <c r="U60" s="341" t="b">
        <v>0</v>
      </c>
      <c r="V60" s="282" t="b">
        <v>1</v>
      </c>
      <c r="W60" s="282">
        <v>8</v>
      </c>
      <c r="X60" s="282" t="b">
        <v>0</v>
      </c>
      <c r="Y60" s="282" t="s">
        <v>21299</v>
      </c>
      <c r="Z60" s="282" t="s">
        <v>21300</v>
      </c>
    </row>
    <row r="61" ht="38.25">
      <c r="A61" s="314">
        <v>36</v>
      </c>
      <c r="B61" s="330" t="s">
        <v>21201</v>
      </c>
      <c r="C61" s="329" t="s">
        <v>20855</v>
      </c>
      <c r="D61" s="329" t="s">
        <v>22448</v>
      </c>
      <c r="E61" s="282" t="s">
        <v>21288</v>
      </c>
      <c r="F61" s="314" t="s">
        <v>22420</v>
      </c>
      <c r="G61" s="282">
        <v>124791</v>
      </c>
      <c r="H61" s="282" t="s">
        <v>21312</v>
      </c>
      <c r="I61" s="282">
        <v>3</v>
      </c>
      <c r="J61" s="282" t="s">
        <v>21313</v>
      </c>
      <c r="K61" s="282" t="s">
        <v>21314</v>
      </c>
      <c r="L61" s="282">
        <v>2100</v>
      </c>
      <c r="M61" s="282" t="s">
        <v>21399</v>
      </c>
      <c r="N61" s="341" t="s">
        <v>21202</v>
      </c>
      <c r="O61" s="341" t="b">
        <v>1</v>
      </c>
      <c r="P61" s="333">
        <v>21</v>
      </c>
      <c r="Q61" s="282">
        <v>1</v>
      </c>
      <c r="R61" s="282" t="s">
        <v>21203</v>
      </c>
      <c r="S61" s="464">
        <v>43748</v>
      </c>
      <c r="T61" s="282" t="b">
        <v>0</v>
      </c>
      <c r="U61" s="341" t="b">
        <v>0</v>
      </c>
      <c r="V61" s="282" t="b">
        <v>1</v>
      </c>
      <c r="W61" s="282">
        <v>21</v>
      </c>
      <c r="X61" s="282" t="b">
        <v>0</v>
      </c>
      <c r="Y61" s="282" t="s">
        <v>21299</v>
      </c>
      <c r="Z61" s="282" t="s">
        <v>21300</v>
      </c>
    </row>
    <row r="62" ht="25.5">
      <c r="A62" s="314">
        <v>37</v>
      </c>
      <c r="B62" s="330" t="s">
        <v>21204</v>
      </c>
      <c r="C62" s="329" t="s">
        <v>20855</v>
      </c>
      <c r="D62" s="329" t="s">
        <v>22449</v>
      </c>
      <c r="E62" s="282" t="s">
        <v>21288</v>
      </c>
      <c r="F62" s="314" t="s">
        <v>22420</v>
      </c>
      <c r="G62" s="282">
        <v>124800</v>
      </c>
      <c r="H62" s="282" t="s">
        <v>21312</v>
      </c>
      <c r="I62" s="282">
        <v>3</v>
      </c>
      <c r="J62" s="282" t="s">
        <v>21313</v>
      </c>
      <c r="K62" s="282" t="s">
        <v>21314</v>
      </c>
      <c r="L62" s="282">
        <v>2100</v>
      </c>
      <c r="M62" s="282" t="s">
        <v>21343</v>
      </c>
      <c r="N62" s="341" t="s">
        <v>21205</v>
      </c>
      <c r="O62" s="341" t="b">
        <v>1</v>
      </c>
      <c r="P62" s="333">
        <v>18</v>
      </c>
      <c r="Q62" s="282">
        <v>1</v>
      </c>
      <c r="R62" s="282" t="s">
        <v>21206</v>
      </c>
      <c r="S62" s="464">
        <v>43748</v>
      </c>
      <c r="T62" s="282" t="b">
        <v>0</v>
      </c>
      <c r="U62" s="341" t="b">
        <v>0</v>
      </c>
      <c r="V62" s="282" t="b">
        <v>1</v>
      </c>
      <c r="W62" s="282">
        <v>18</v>
      </c>
      <c r="X62" s="282" t="b">
        <v>0</v>
      </c>
      <c r="Y62" s="282" t="s">
        <v>21299</v>
      </c>
      <c r="Z62" s="282" t="s">
        <v>21300</v>
      </c>
    </row>
    <row r="63" ht="25.5">
      <c r="A63" s="314">
        <v>38</v>
      </c>
      <c r="B63" s="330" t="s">
        <v>21207</v>
      </c>
      <c r="C63" s="329" t="s">
        <v>20855</v>
      </c>
      <c r="D63" s="329" t="s">
        <v>22450</v>
      </c>
      <c r="E63" s="282" t="s">
        <v>21288</v>
      </c>
      <c r="F63" s="314" t="s">
        <v>22420</v>
      </c>
      <c r="G63" s="282">
        <v>124777</v>
      </c>
      <c r="H63" s="282" t="s">
        <v>21312</v>
      </c>
      <c r="I63" s="282">
        <v>3</v>
      </c>
      <c r="J63" s="282" t="s">
        <v>21313</v>
      </c>
      <c r="K63" s="282" t="s">
        <v>21314</v>
      </c>
      <c r="L63" s="282">
        <v>2100</v>
      </c>
      <c r="M63" s="282" t="s">
        <v>21410</v>
      </c>
      <c r="N63" s="341" t="s">
        <v>21208</v>
      </c>
      <c r="O63" s="341" t="b">
        <v>1</v>
      </c>
      <c r="P63" s="333">
        <v>8</v>
      </c>
      <c r="Q63" s="282">
        <v>1</v>
      </c>
      <c r="R63" s="282" t="s">
        <v>21209</v>
      </c>
      <c r="S63" s="464">
        <v>43748</v>
      </c>
      <c r="T63" s="282" t="b">
        <v>1</v>
      </c>
      <c r="U63" s="341" t="b">
        <v>0</v>
      </c>
      <c r="V63" s="282" t="b">
        <v>1</v>
      </c>
      <c r="W63" s="282">
        <v>8</v>
      </c>
      <c r="X63" s="282" t="b">
        <v>0</v>
      </c>
      <c r="Y63" s="282" t="s">
        <v>21299</v>
      </c>
      <c r="Z63" s="282" t="s">
        <v>21300</v>
      </c>
    </row>
    <row r="64" ht="51">
      <c r="A64" s="314">
        <v>39</v>
      </c>
      <c r="B64" s="330" t="s">
        <v>21210</v>
      </c>
      <c r="C64" s="329" t="s">
        <v>20855</v>
      </c>
      <c r="D64" s="329" t="s">
        <v>22451</v>
      </c>
      <c r="E64" s="282" t="s">
        <v>21288</v>
      </c>
      <c r="F64" s="314" t="s">
        <v>22420</v>
      </c>
      <c r="G64" s="282">
        <v>124730</v>
      </c>
      <c r="H64" s="282" t="s">
        <v>21312</v>
      </c>
      <c r="I64" s="282">
        <v>3</v>
      </c>
      <c r="J64" s="282" t="s">
        <v>21313</v>
      </c>
      <c r="K64" s="282" t="s">
        <v>21314</v>
      </c>
      <c r="L64" s="282">
        <v>2100</v>
      </c>
      <c r="M64" s="282" t="s">
        <v>21399</v>
      </c>
      <c r="N64" s="341" t="s">
        <v>21211</v>
      </c>
      <c r="O64" s="341" t="b">
        <v>1</v>
      </c>
      <c r="P64" s="333">
        <v>21</v>
      </c>
      <c r="Q64" s="282">
        <v>1</v>
      </c>
      <c r="R64" s="282" t="s">
        <v>21212</v>
      </c>
      <c r="S64" s="464">
        <v>43748</v>
      </c>
      <c r="T64" s="282" t="b">
        <v>0</v>
      </c>
      <c r="U64" s="341" t="b">
        <v>0</v>
      </c>
      <c r="V64" s="282" t="b">
        <v>1</v>
      </c>
      <c r="W64" s="282">
        <v>21</v>
      </c>
      <c r="X64" s="282" t="b">
        <v>0</v>
      </c>
      <c r="Y64" s="282" t="s">
        <v>21299</v>
      </c>
      <c r="Z64" s="282" t="s">
        <v>21300</v>
      </c>
    </row>
    <row r="65" ht="38.25">
      <c r="A65" s="314">
        <v>40</v>
      </c>
      <c r="B65" s="330" t="s">
        <v>21213</v>
      </c>
      <c r="C65" s="329" t="s">
        <v>20855</v>
      </c>
      <c r="D65" s="329" t="s">
        <v>22452</v>
      </c>
      <c r="E65" s="282" t="s">
        <v>21288</v>
      </c>
      <c r="F65" s="314" t="s">
        <v>22420</v>
      </c>
      <c r="G65" s="282">
        <v>124807</v>
      </c>
      <c r="H65" s="282" t="s">
        <v>21312</v>
      </c>
      <c r="I65" s="282">
        <v>3</v>
      </c>
      <c r="J65" s="282" t="s">
        <v>21313</v>
      </c>
      <c r="K65" s="282" t="s">
        <v>21314</v>
      </c>
      <c r="L65" s="282">
        <v>2100</v>
      </c>
      <c r="M65" s="282" t="s">
        <v>21532</v>
      </c>
      <c r="N65" s="341" t="s">
        <v>21214</v>
      </c>
      <c r="O65" s="341" t="b">
        <v>1</v>
      </c>
      <c r="P65" s="333">
        <v>18</v>
      </c>
      <c r="Q65" s="282">
        <v>1</v>
      </c>
      <c r="R65" s="282" t="s">
        <v>21215</v>
      </c>
      <c r="S65" s="464">
        <v>43748</v>
      </c>
      <c r="T65" s="282" t="b">
        <v>0</v>
      </c>
      <c r="U65" s="341" t="b">
        <v>0</v>
      </c>
      <c r="V65" s="282" t="b">
        <v>1</v>
      </c>
      <c r="W65" s="282">
        <v>18</v>
      </c>
      <c r="X65" s="282" t="b">
        <v>0</v>
      </c>
      <c r="Y65" s="282" t="s">
        <v>21299</v>
      </c>
      <c r="Z65" s="282" t="s">
        <v>21300</v>
      </c>
    </row>
    <row r="66" ht="38.25">
      <c r="A66" s="314">
        <v>41</v>
      </c>
      <c r="B66" s="330" t="s">
        <v>21216</v>
      </c>
      <c r="C66" s="329" t="s">
        <v>20855</v>
      </c>
      <c r="D66" s="329" t="s">
        <v>22453</v>
      </c>
      <c r="E66" s="282" t="s">
        <v>21288</v>
      </c>
      <c r="F66" s="314" t="s">
        <v>22420</v>
      </c>
      <c r="G66" s="282">
        <v>124941</v>
      </c>
      <c r="H66" s="282" t="s">
        <v>21312</v>
      </c>
      <c r="I66" s="282">
        <v>3</v>
      </c>
      <c r="J66" s="282" t="s">
        <v>21313</v>
      </c>
      <c r="K66" s="282" t="s">
        <v>21314</v>
      </c>
      <c r="L66" s="282">
        <v>2100</v>
      </c>
      <c r="M66" s="282" t="s">
        <v>21399</v>
      </c>
      <c r="N66" s="341" t="s">
        <v>21217</v>
      </c>
      <c r="O66" s="341" t="b">
        <v>1</v>
      </c>
      <c r="P66" s="333">
        <v>18</v>
      </c>
      <c r="Q66" s="282">
        <v>1</v>
      </c>
      <c r="R66" s="282" t="s">
        <v>21218</v>
      </c>
      <c r="S66" s="464">
        <v>43748</v>
      </c>
      <c r="T66" s="282" t="b">
        <v>0</v>
      </c>
      <c r="U66" s="341" t="b">
        <v>0</v>
      </c>
      <c r="V66" s="282" t="b">
        <v>1</v>
      </c>
      <c r="W66" s="282">
        <v>18</v>
      </c>
      <c r="X66" s="282" t="b">
        <v>0</v>
      </c>
      <c r="Y66" s="282" t="s">
        <v>21299</v>
      </c>
      <c r="Z66" s="282" t="s">
        <v>21300</v>
      </c>
    </row>
    <row r="67" ht="38.25">
      <c r="A67" s="314">
        <v>42</v>
      </c>
      <c r="B67" s="330" t="s">
        <v>21219</v>
      </c>
      <c r="C67" s="329" t="s">
        <v>20855</v>
      </c>
      <c r="D67" s="329" t="s">
        <v>22454</v>
      </c>
      <c r="E67" s="282" t="s">
        <v>21288</v>
      </c>
      <c r="F67" s="314" t="s">
        <v>22420</v>
      </c>
      <c r="G67" s="282">
        <v>124107</v>
      </c>
      <c r="H67" s="282" t="s">
        <v>21312</v>
      </c>
      <c r="I67" s="282">
        <v>3</v>
      </c>
      <c r="J67" s="282" t="s">
        <v>21313</v>
      </c>
      <c r="K67" s="282" t="s">
        <v>21314</v>
      </c>
      <c r="L67" s="282">
        <v>2100</v>
      </c>
      <c r="M67" s="282" t="s">
        <v>21417</v>
      </c>
      <c r="N67" s="341" t="s">
        <v>21220</v>
      </c>
      <c r="O67" s="341" t="b">
        <v>1</v>
      </c>
      <c r="P67" s="333">
        <v>28</v>
      </c>
      <c r="Q67" s="282">
        <v>1</v>
      </c>
      <c r="R67" s="282" t="s">
        <v>21221</v>
      </c>
      <c r="S67" s="464">
        <v>43748</v>
      </c>
      <c r="T67" s="282" t="b">
        <v>0</v>
      </c>
      <c r="U67" s="341" t="b">
        <v>0</v>
      </c>
      <c r="V67" s="282" t="b">
        <v>1</v>
      </c>
      <c r="W67" s="282">
        <v>28</v>
      </c>
      <c r="X67" s="282" t="b">
        <v>0</v>
      </c>
      <c r="Y67" s="282" t="s">
        <v>21299</v>
      </c>
      <c r="Z67" s="282" t="s">
        <v>21300</v>
      </c>
    </row>
    <row r="68" ht="25.5">
      <c r="A68" s="314">
        <v>43</v>
      </c>
      <c r="B68" s="330" t="s">
        <v>21222</v>
      </c>
      <c r="C68" s="329" t="s">
        <v>20855</v>
      </c>
      <c r="D68" s="329" t="s">
        <v>22455</v>
      </c>
      <c r="E68" s="282" t="s">
        <v>21288</v>
      </c>
      <c r="F68" s="314" t="s">
        <v>22420</v>
      </c>
      <c r="G68" s="282">
        <v>124703</v>
      </c>
      <c r="H68" s="282" t="s">
        <v>21312</v>
      </c>
      <c r="I68" s="282">
        <v>3</v>
      </c>
      <c r="J68" s="282" t="s">
        <v>21313</v>
      </c>
      <c r="K68" s="282" t="s">
        <v>21314</v>
      </c>
      <c r="L68" s="282">
        <v>2100</v>
      </c>
      <c r="M68" s="282" t="s">
        <v>21399</v>
      </c>
      <c r="N68" s="341" t="s">
        <v>21223</v>
      </c>
      <c r="O68" s="341" t="b">
        <v>1</v>
      </c>
      <c r="P68" s="333">
        <v>18</v>
      </c>
      <c r="Q68" s="282">
        <v>1</v>
      </c>
      <c r="R68" s="282" t="s">
        <v>21224</v>
      </c>
      <c r="S68" s="464">
        <v>43748</v>
      </c>
      <c r="T68" s="282" t="b">
        <v>0</v>
      </c>
      <c r="U68" s="341" t="b">
        <v>0</v>
      </c>
      <c r="V68" s="282" t="b">
        <v>1</v>
      </c>
      <c r="W68" s="282">
        <v>18</v>
      </c>
      <c r="X68" s="282" t="b">
        <v>0</v>
      </c>
      <c r="Y68" s="282" t="s">
        <v>21299</v>
      </c>
      <c r="Z68" s="282" t="s">
        <v>21300</v>
      </c>
    </row>
    <row r="69" ht="25.5">
      <c r="A69" s="314">
        <v>44</v>
      </c>
      <c r="B69" s="330" t="s">
        <v>21225</v>
      </c>
      <c r="C69" s="329" t="s">
        <v>20855</v>
      </c>
      <c r="D69" s="329" t="s">
        <v>22456</v>
      </c>
      <c r="E69" s="282" t="s">
        <v>21288</v>
      </c>
      <c r="F69" s="314" t="s">
        <v>22420</v>
      </c>
      <c r="G69" s="282">
        <v>124677</v>
      </c>
      <c r="H69" s="282" t="s">
        <v>21312</v>
      </c>
      <c r="I69" s="282">
        <v>3</v>
      </c>
      <c r="J69" s="282" t="s">
        <v>21313</v>
      </c>
      <c r="K69" s="282" t="s">
        <v>21314</v>
      </c>
      <c r="L69" s="282">
        <v>2100</v>
      </c>
      <c r="M69" s="282" t="s">
        <v>21386</v>
      </c>
      <c r="N69" s="341" t="s">
        <v>21226</v>
      </c>
      <c r="O69" s="341" t="b">
        <v>1</v>
      </c>
      <c r="P69" s="333">
        <v>21</v>
      </c>
      <c r="Q69" s="282">
        <v>1</v>
      </c>
      <c r="R69" s="282" t="s">
        <v>21227</v>
      </c>
      <c r="S69" s="464">
        <v>43748</v>
      </c>
      <c r="T69" s="282" t="b">
        <v>0</v>
      </c>
      <c r="U69" s="341" t="b">
        <v>0</v>
      </c>
      <c r="V69" s="282" t="b">
        <v>1</v>
      </c>
      <c r="W69" s="282">
        <v>21</v>
      </c>
      <c r="X69" s="282" t="b">
        <v>0</v>
      </c>
      <c r="Y69" s="282" t="s">
        <v>21299</v>
      </c>
      <c r="Z69" s="282" t="s">
        <v>21300</v>
      </c>
    </row>
    <row r="70" ht="38.25">
      <c r="A70" s="314">
        <v>45</v>
      </c>
      <c r="B70" s="330" t="s">
        <v>21228</v>
      </c>
      <c r="C70" s="329" t="s">
        <v>20855</v>
      </c>
      <c r="D70" s="329" t="s">
        <v>22457</v>
      </c>
      <c r="E70" s="282" t="s">
        <v>21288</v>
      </c>
      <c r="F70" s="314" t="s">
        <v>22420</v>
      </c>
      <c r="G70" s="282">
        <v>124763</v>
      </c>
      <c r="H70" s="282" t="s">
        <v>21312</v>
      </c>
      <c r="I70" s="282">
        <v>3</v>
      </c>
      <c r="J70" s="282" t="s">
        <v>21313</v>
      </c>
      <c r="K70" s="282" t="s">
        <v>21314</v>
      </c>
      <c r="L70" s="282">
        <v>2100</v>
      </c>
      <c r="M70" s="282" t="s">
        <v>21377</v>
      </c>
      <c r="N70" s="341" t="s">
        <v>21229</v>
      </c>
      <c r="O70" s="341" t="b">
        <v>1</v>
      </c>
      <c r="P70" s="333">
        <v>4</v>
      </c>
      <c r="Q70" s="282">
        <v>1</v>
      </c>
      <c r="R70" s="282" t="s">
        <v>21230</v>
      </c>
      <c r="S70" s="464">
        <v>43748</v>
      </c>
      <c r="T70" s="282" t="b">
        <v>1</v>
      </c>
      <c r="U70" s="341" t="b">
        <v>1</v>
      </c>
      <c r="V70" s="282" t="b">
        <v>1</v>
      </c>
      <c r="W70" s="282">
        <v>4</v>
      </c>
      <c r="X70" s="282" t="b">
        <v>0</v>
      </c>
      <c r="Y70" s="282" t="s">
        <v>21299</v>
      </c>
      <c r="Z70" s="282" t="s">
        <v>21300</v>
      </c>
    </row>
    <row r="71" ht="38.25">
      <c r="A71" s="314">
        <v>46</v>
      </c>
      <c r="B71" s="330" t="s">
        <v>21231</v>
      </c>
      <c r="C71" s="329" t="s">
        <v>20855</v>
      </c>
      <c r="D71" s="329" t="s">
        <v>22458</v>
      </c>
      <c r="E71" s="282" t="s">
        <v>21288</v>
      </c>
      <c r="F71" s="314" t="s">
        <v>22390</v>
      </c>
      <c r="G71" s="282">
        <v>124450</v>
      </c>
      <c r="H71" s="282" t="s">
        <v>21458</v>
      </c>
      <c r="I71" s="282">
        <v>3</v>
      </c>
      <c r="J71" s="282" t="s">
        <v>21042</v>
      </c>
      <c r="K71" s="282" t="s">
        <v>21314</v>
      </c>
      <c r="L71" s="282">
        <v>900</v>
      </c>
      <c r="M71" s="282" t="s">
        <v>21560</v>
      </c>
      <c r="N71" s="341" t="s">
        <v>21232</v>
      </c>
      <c r="O71" s="341" t="b">
        <v>1</v>
      </c>
      <c r="P71" s="333">
        <v>73</v>
      </c>
      <c r="Q71" s="282">
        <v>1</v>
      </c>
      <c r="R71" s="282" t="s">
        <v>21233</v>
      </c>
      <c r="S71" s="464">
        <v>43748</v>
      </c>
      <c r="T71" s="282" t="b">
        <v>0</v>
      </c>
      <c r="U71" s="341" t="b">
        <v>0</v>
      </c>
      <c r="V71" s="282" t="b">
        <v>1</v>
      </c>
      <c r="W71" s="282">
        <v>73</v>
      </c>
      <c r="X71" s="282" t="b">
        <v>0</v>
      </c>
      <c r="Y71" s="282" t="s">
        <v>21299</v>
      </c>
      <c r="Z71" s="282" t="s">
        <v>21300</v>
      </c>
    </row>
    <row r="72" ht="25.5">
      <c r="G72" s="282">
        <v>124450</v>
      </c>
      <c r="H72" s="282" t="s">
        <v>21326</v>
      </c>
      <c r="I72" s="282">
        <v>3</v>
      </c>
      <c r="J72" s="282" t="s">
        <v>21313</v>
      </c>
      <c r="K72" s="282" t="s">
        <v>21314</v>
      </c>
      <c r="L72" s="282">
        <v>2100</v>
      </c>
      <c r="M72" s="282" t="s">
        <v>21475</v>
      </c>
      <c r="O72" s="341" t="b">
        <v>1</v>
      </c>
      <c r="P72" s="333">
        <v>73</v>
      </c>
      <c r="Q72" s="282">
        <v>1</v>
      </c>
      <c r="R72" s="282" t="s">
        <v>22459</v>
      </c>
      <c r="S72" s="464">
        <v>43748</v>
      </c>
      <c r="T72" s="282" t="b">
        <v>0</v>
      </c>
      <c r="U72" s="341" t="b">
        <v>0</v>
      </c>
      <c r="V72" s="282" t="b">
        <v>1</v>
      </c>
      <c r="W72" s="282">
        <v>73</v>
      </c>
      <c r="X72" s="282" t="b">
        <v>0</v>
      </c>
      <c r="Y72" s="282" t="s">
        <v>21299</v>
      </c>
      <c r="Z72" s="282" t="s">
        <v>21300</v>
      </c>
    </row>
    <row r="114">
      <c r="P114" s="334"/>
    </row>
    <row r="115">
      <c r="P115" s="334"/>
    </row>
    <row r="116">
      <c r="P116" s="334"/>
    </row>
    <row r="117">
      <c r="P117" s="334"/>
    </row>
    <row r="118">
      <c r="P118" s="334"/>
    </row>
    <row r="119">
      <c r="P119" s="334"/>
    </row>
    <row r="120">
      <c r="P120" s="334"/>
    </row>
    <row r="121">
      <c r="P121" s="334"/>
    </row>
    <row r="122">
      <c r="P122" s="334"/>
    </row>
    <row r="123">
      <c r="P123" s="334"/>
    </row>
    <row r="124">
      <c r="P124" s="334"/>
    </row>
    <row r="125">
      <c r="P125" s="334"/>
    </row>
    <row r="126">
      <c r="P126" s="334"/>
    </row>
    <row r="127">
      <c r="P127" s="334"/>
    </row>
    <row r="128">
      <c r="P128" s="334"/>
    </row>
    <row r="129">
      <c r="P129" s="334"/>
    </row>
    <row r="130">
      <c r="P130" s="334"/>
    </row>
    <row r="131">
      <c r="P131" s="334"/>
    </row>
    <row r="132">
      <c r="P132" s="334"/>
    </row>
    <row r="133">
      <c r="P133" s="334"/>
    </row>
    <row r="134">
      <c r="P134" s="334"/>
    </row>
    <row r="135">
      <c r="P135" s="334"/>
    </row>
    <row r="136">
      <c r="P136" s="334"/>
    </row>
    <row r="137">
      <c r="P137" s="334"/>
    </row>
    <row r="138">
      <c r="P138" s="334"/>
    </row>
    <row r="139">
      <c r="P139" s="334"/>
    </row>
    <row r="140">
      <c r="P140" s="334"/>
    </row>
    <row r="141">
      <c r="P141" s="334"/>
    </row>
    <row r="142">
      <c r="P142" s="334"/>
    </row>
    <row r="143">
      <c r="P143" s="334"/>
    </row>
    <row r="144">
      <c r="P144" s="334"/>
    </row>
    <row r="145">
      <c r="P145" s="334"/>
    </row>
    <row r="146">
      <c r="P146" s="334"/>
    </row>
    <row r="147">
      <c r="P147" s="334"/>
    </row>
    <row r="148">
      <c r="P148" s="334"/>
    </row>
    <row r="149">
      <c r="P149" s="334"/>
    </row>
    <row r="150">
      <c r="P150" s="334"/>
    </row>
    <row r="151">
      <c r="P151" s="334"/>
    </row>
    <row r="152">
      <c r="P152" s="334"/>
    </row>
    <row r="153">
      <c r="P153" s="334"/>
    </row>
    <row r="154">
      <c r="P154" s="334"/>
    </row>
    <row r="155">
      <c r="P155" s="334"/>
    </row>
    <row r="156">
      <c r="P156" s="334"/>
    </row>
    <row r="157">
      <c r="P157" s="334"/>
    </row>
    <row r="158">
      <c r="P158" s="334"/>
    </row>
    <row r="159">
      <c r="P159" s="334"/>
    </row>
    <row r="160">
      <c r="P160" s="334"/>
    </row>
    <row r="161">
      <c r="P161" s="334"/>
    </row>
    <row r="162">
      <c r="P162" s="334"/>
    </row>
    <row r="163">
      <c r="P163" s="334"/>
    </row>
    <row r="164">
      <c r="P164" s="334"/>
    </row>
    <row r="165">
      <c r="P165" s="334"/>
    </row>
    <row r="166">
      <c r="P166" s="334"/>
    </row>
    <row r="167">
      <c r="P167" s="334"/>
    </row>
    <row r="168">
      <c r="P168" s="334"/>
    </row>
    <row r="169">
      <c r="P169" s="334"/>
    </row>
    <row r="170">
      <c r="P170" s="334"/>
    </row>
    <row r="171">
      <c r="P171" s="334"/>
    </row>
    <row r="172">
      <c r="P172" s="334"/>
    </row>
    <row r="173">
      <c r="P173" s="334"/>
    </row>
    <row r="174">
      <c r="P174" s="334"/>
    </row>
    <row r="175">
      <c r="P175" s="334"/>
    </row>
    <row r="176">
      <c r="P176" s="334"/>
    </row>
    <row r="177">
      <c r="P177" s="334"/>
    </row>
    <row r="178">
      <c r="P178" s="334"/>
    </row>
    <row r="179">
      <c r="P179" s="334"/>
    </row>
    <row r="180">
      <c r="P180" s="334"/>
    </row>
    <row r="181">
      <c r="P181" s="334"/>
    </row>
    <row r="182">
      <c r="P182" s="334"/>
    </row>
    <row r="183">
      <c r="P183" s="334"/>
    </row>
    <row r="184">
      <c r="P184" s="334"/>
    </row>
    <row r="185">
      <c r="P185" s="334"/>
    </row>
    <row r="186">
      <c r="P186" s="334"/>
    </row>
    <row r="187">
      <c r="P187" s="334"/>
    </row>
    <row r="188">
      <c r="P188" s="334"/>
    </row>
    <row r="189">
      <c r="P189" s="334"/>
    </row>
    <row r="190">
      <c r="P190" s="334"/>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sheetData>
  <sheetProtection formatCells="0" formatColumns="0" formatRows="0" sort="0" autoFilter="0" pivotTables="0"/>
  <autoFilter ref="A1:V2"/>
  <dataValidations count="1">
    <dataValidation type="list" allowBlank="1" showInputMessage="1" showErrorMessage="1" sqref="S2" xr:uid="{0063BA1E-AD2F-424A-B130-28F60FB064EE}">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48"/>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464"/>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21562</v>
      </c>
      <c r="C1" s="377" t="s">
        <v>21563</v>
      </c>
      <c r="D1" s="368" t="s">
        <v>21564</v>
      </c>
      <c r="E1" s="368" t="s">
        <v>21565</v>
      </c>
      <c r="F1" s="368" t="s">
        <v>21566</v>
      </c>
      <c r="G1" s="370" t="s">
        <v>21615</v>
      </c>
      <c r="H1" s="370" t="s">
        <v>22370</v>
      </c>
      <c r="I1" s="370" t="s">
        <v>21570</v>
      </c>
      <c r="J1" s="370" t="s">
        <v>21571</v>
      </c>
      <c r="K1" s="414" t="s">
        <v>21573</v>
      </c>
      <c r="L1" s="370" t="s">
        <v>21574</v>
      </c>
      <c r="M1" s="370" t="s">
        <v>21572</v>
      </c>
      <c r="N1" s="370" t="s">
        <v>21575</v>
      </c>
      <c r="O1" s="370" t="s">
        <v>21576</v>
      </c>
      <c r="P1" s="409" t="s">
        <v>21586</v>
      </c>
      <c r="Q1" s="410" t="s">
        <v>22371</v>
      </c>
      <c r="R1" s="369" t="s">
        <v>21567</v>
      </c>
      <c r="S1" s="408" t="s">
        <v>21577</v>
      </c>
      <c r="T1" s="411" t="s">
        <v>21284</v>
      </c>
      <c r="U1" s="411" t="s">
        <v>21578</v>
      </c>
      <c r="V1" s="411" t="s">
        <v>21579</v>
      </c>
      <c r="W1" s="412" t="s">
        <v>21580</v>
      </c>
      <c r="X1" s="465" t="s">
        <v>21581</v>
      </c>
      <c r="Y1" s="408" t="s">
        <v>21582</v>
      </c>
      <c r="Z1" s="408" t="s">
        <v>21583</v>
      </c>
      <c r="AA1" s="413" t="s">
        <v>21584</v>
      </c>
      <c r="AB1" s="408" t="s">
        <v>21585</v>
      </c>
      <c r="AC1" s="408" t="s">
        <v>21586</v>
      </c>
      <c r="AD1" s="408" t="s">
        <v>21587</v>
      </c>
      <c r="AE1" s="408" t="s">
        <v>21588</v>
      </c>
      <c r="AF1" s="408" t="s">
        <v>21589</v>
      </c>
    </row>
    <row r="2" ht="75" s="314" customFormat="1">
      <c r="A2" s="431" t="s">
        <v>20973</v>
      </c>
      <c r="B2" s="431" t="s">
        <v>22268</v>
      </c>
      <c r="C2" s="431" t="s">
        <v>21027</v>
      </c>
      <c r="D2" s="436" t="s">
        <v>22372</v>
      </c>
      <c r="E2" s="436" t="s">
        <v>22281</v>
      </c>
      <c r="F2" s="436" t="s">
        <v>22284</v>
      </c>
      <c r="G2" s="431" t="s">
        <v>22356</v>
      </c>
      <c r="H2" s="431" t="s">
        <v>22355</v>
      </c>
      <c r="I2" s="431" t="s">
        <v>22373</v>
      </c>
      <c r="J2" s="431" t="s">
        <v>22374</v>
      </c>
      <c r="K2" s="431" t="s">
        <v>22375</v>
      </c>
      <c r="L2" s="431" t="s">
        <v>22376</v>
      </c>
      <c r="M2" s="437" t="s">
        <v>22377</v>
      </c>
      <c r="N2" s="431" t="s">
        <v>21072</v>
      </c>
      <c r="O2" s="431" t="s">
        <v>22378</v>
      </c>
      <c r="P2" s="431" t="s">
        <v>22379</v>
      </c>
      <c r="Q2" s="431" t="s">
        <v>22380</v>
      </c>
      <c r="R2" s="432" t="s">
        <v>22381</v>
      </c>
      <c r="S2" s="431" t="s">
        <v>22320</v>
      </c>
      <c r="T2" s="436" t="s">
        <v>22321</v>
      </c>
      <c r="U2" s="431" t="s">
        <v>22322</v>
      </c>
      <c r="V2" s="431" t="s">
        <v>22325</v>
      </c>
      <c r="W2" s="431" t="s">
        <v>21092</v>
      </c>
      <c r="X2" s="466" t="s">
        <v>22327</v>
      </c>
      <c r="Y2" s="431" t="s">
        <v>22329</v>
      </c>
      <c r="Z2" s="431" t="s">
        <v>22331</v>
      </c>
      <c r="AA2" s="431" t="s">
        <v>22333</v>
      </c>
      <c r="AB2" s="431" t="s">
        <v>22364</v>
      </c>
      <c r="AC2" s="431" t="s">
        <v>22365</v>
      </c>
      <c r="AD2" s="432" t="s">
        <v>22340</v>
      </c>
      <c r="AE2" s="431" t="s">
        <v>22349</v>
      </c>
      <c r="AF2" s="431" t="s">
        <v>22351</v>
      </c>
    </row>
    <row r="3" ht="38.25">
      <c r="A3" s="314">
        <v>1</v>
      </c>
      <c r="B3" s="314">
        <v>128521</v>
      </c>
      <c r="C3" s="330" t="s">
        <v>21097</v>
      </c>
      <c r="D3" s="329" t="s">
        <v>20859</v>
      </c>
      <c r="E3" s="329">
        <v>106.649429</v>
      </c>
      <c r="F3" s="329">
        <v>20.875002</v>
      </c>
      <c r="G3" s="282" t="s">
        <v>21310</v>
      </c>
      <c r="H3" s="314">
        <v>2</v>
      </c>
      <c r="I3" s="282" t="s">
        <v>21290</v>
      </c>
      <c r="J3" s="282" t="s">
        <v>21291</v>
      </c>
      <c r="K3" s="399" t="s">
        <v>21293</v>
      </c>
      <c r="L3" s="282" t="s">
        <v>21294</v>
      </c>
      <c r="M3" s="282" t="s">
        <v>21292</v>
      </c>
      <c r="N3" s="282" t="s">
        <v>21295</v>
      </c>
      <c r="O3" s="282" t="s">
        <v>21296</v>
      </c>
      <c r="P3" s="341">
        <v>18</v>
      </c>
      <c r="R3" s="333">
        <v>1</v>
      </c>
      <c r="S3" s="282" t="b">
        <v>1</v>
      </c>
      <c r="T3" s="282" t="s">
        <v>21098</v>
      </c>
      <c r="V3" s="282" t="s">
        <v>21297</v>
      </c>
      <c r="W3" s="282" t="s">
        <v>21099</v>
      </c>
      <c r="X3" s="464">
        <v>43748</v>
      </c>
      <c r="Y3" s="282" t="b">
        <v>0</v>
      </c>
      <c r="Z3" s="282" t="b">
        <v>0</v>
      </c>
      <c r="AB3" s="282" t="b">
        <v>1</v>
      </c>
      <c r="AC3" s="282">
        <v>18</v>
      </c>
      <c r="AD3" s="282" t="b">
        <v>0</v>
      </c>
      <c r="AE3" s="282" t="s">
        <v>21299</v>
      </c>
      <c r="AF3" s="282" t="s">
        <v>21300</v>
      </c>
    </row>
    <row r="4" ht="38.25">
      <c r="A4" s="314">
        <v>2</v>
      </c>
      <c r="B4" s="314">
        <v>128173</v>
      </c>
      <c r="C4" s="330" t="s">
        <v>21100</v>
      </c>
      <c r="D4" s="329" t="s">
        <v>20859</v>
      </c>
      <c r="E4" s="329">
        <v>106.678771</v>
      </c>
      <c r="F4" s="329">
        <v>20.85682</v>
      </c>
      <c r="G4" s="282" t="s">
        <v>21310</v>
      </c>
      <c r="H4" s="314">
        <v>2</v>
      </c>
      <c r="I4" s="282" t="s">
        <v>21322</v>
      </c>
      <c r="J4" s="282" t="s">
        <v>21323</v>
      </c>
      <c r="K4" s="399" t="s">
        <v>21293</v>
      </c>
      <c r="L4" s="282" t="s">
        <v>21294</v>
      </c>
      <c r="M4" s="282" t="s">
        <v>21292</v>
      </c>
      <c r="N4" s="282" t="s">
        <v>21295</v>
      </c>
      <c r="O4" s="282" t="s">
        <v>21296</v>
      </c>
      <c r="P4" s="341">
        <v>21</v>
      </c>
      <c r="R4" s="333">
        <v>1</v>
      </c>
      <c r="S4" s="282" t="b">
        <v>1</v>
      </c>
      <c r="T4" s="282" t="s">
        <v>21101</v>
      </c>
      <c r="V4" s="282" t="s">
        <v>21297</v>
      </c>
      <c r="W4" s="282" t="s">
        <v>21102</v>
      </c>
      <c r="X4" s="464">
        <v>43748</v>
      </c>
      <c r="Y4" s="282" t="b">
        <v>0</v>
      </c>
      <c r="Z4" s="282" t="b">
        <v>0</v>
      </c>
      <c r="AB4" s="282" t="b">
        <v>1</v>
      </c>
      <c r="AC4" s="282">
        <v>21</v>
      </c>
      <c r="AD4" s="282" t="b">
        <v>0</v>
      </c>
      <c r="AE4" s="282" t="s">
        <v>21299</v>
      </c>
      <c r="AF4" s="282" t="s">
        <v>21300</v>
      </c>
    </row>
    <row r="5" ht="38.25">
      <c r="A5" s="314">
        <v>3</v>
      </c>
      <c r="B5" s="314">
        <v>128167</v>
      </c>
      <c r="C5" s="330" t="s">
        <v>21103</v>
      </c>
      <c r="D5" s="329" t="s">
        <v>20859</v>
      </c>
      <c r="E5" s="329">
        <v>106.69343</v>
      </c>
      <c r="F5" s="329">
        <v>20.857695</v>
      </c>
      <c r="G5" s="282" t="s">
        <v>21310</v>
      </c>
      <c r="H5" s="314">
        <v>2</v>
      </c>
      <c r="I5" s="282" t="s">
        <v>21328</v>
      </c>
      <c r="J5" s="282" t="s">
        <v>21291</v>
      </c>
      <c r="K5" s="399" t="s">
        <v>21293</v>
      </c>
      <c r="L5" s="282" t="s">
        <v>21294</v>
      </c>
      <c r="M5" s="282" t="s">
        <v>21292</v>
      </c>
      <c r="N5" s="282" t="s">
        <v>21295</v>
      </c>
      <c r="O5" s="282" t="s">
        <v>21329</v>
      </c>
      <c r="P5" s="341">
        <v>14</v>
      </c>
      <c r="R5" s="333">
        <v>1</v>
      </c>
      <c r="S5" s="282" t="b">
        <v>1</v>
      </c>
      <c r="T5" s="282" t="s">
        <v>21104</v>
      </c>
      <c r="V5" s="282" t="s">
        <v>21297</v>
      </c>
      <c r="W5" s="282" t="s">
        <v>21105</v>
      </c>
      <c r="X5" s="464">
        <v>43748</v>
      </c>
      <c r="Y5" s="282" t="b">
        <v>0</v>
      </c>
      <c r="Z5" s="282" t="b">
        <v>0</v>
      </c>
      <c r="AB5" s="282" t="b">
        <v>1</v>
      </c>
      <c r="AC5" s="282">
        <v>14</v>
      </c>
      <c r="AD5" s="282" t="b">
        <v>0</v>
      </c>
      <c r="AE5" s="282" t="s">
        <v>21299</v>
      </c>
      <c r="AF5" s="282" t="s">
        <v>21300</v>
      </c>
    </row>
    <row r="6" ht="38.25">
      <c r="A6" s="314">
        <v>4</v>
      </c>
      <c r="B6" s="314">
        <v>128512</v>
      </c>
      <c r="C6" s="330" t="s">
        <v>21106</v>
      </c>
      <c r="D6" s="329" t="s">
        <v>20859</v>
      </c>
      <c r="E6" s="329">
        <v>106.674985</v>
      </c>
      <c r="F6" s="329">
        <v>20.826901</v>
      </c>
      <c r="G6" s="282" t="s">
        <v>21310</v>
      </c>
      <c r="H6" s="314">
        <v>2</v>
      </c>
      <c r="I6" s="282" t="s">
        <v>21338</v>
      </c>
      <c r="J6" s="282" t="s">
        <v>21291</v>
      </c>
      <c r="K6" s="399" t="s">
        <v>21293</v>
      </c>
      <c r="L6" s="282" t="s">
        <v>21294</v>
      </c>
      <c r="M6" s="282" t="s">
        <v>21292</v>
      </c>
      <c r="N6" s="282" t="s">
        <v>21295</v>
      </c>
      <c r="O6" s="282" t="s">
        <v>21339</v>
      </c>
      <c r="P6" s="341">
        <v>10</v>
      </c>
      <c r="R6" s="333">
        <v>1</v>
      </c>
      <c r="S6" s="282" t="b">
        <v>1</v>
      </c>
      <c r="T6" s="282" t="s">
        <v>21107</v>
      </c>
      <c r="V6" s="282" t="s">
        <v>21297</v>
      </c>
      <c r="W6" s="282" t="s">
        <v>21099</v>
      </c>
      <c r="X6" s="464">
        <v>43748</v>
      </c>
      <c r="Y6" s="282" t="b">
        <v>1</v>
      </c>
      <c r="Z6" s="282" t="b">
        <v>0</v>
      </c>
      <c r="AB6" s="282" t="b">
        <v>1</v>
      </c>
      <c r="AC6" s="282">
        <v>10</v>
      </c>
      <c r="AD6" s="282" t="b">
        <v>0</v>
      </c>
      <c r="AE6" s="282" t="s">
        <v>21299</v>
      </c>
      <c r="AF6" s="282" t="s">
        <v>21300</v>
      </c>
    </row>
    <row r="7" ht="38.25">
      <c r="A7" s="314">
        <v>5</v>
      </c>
      <c r="B7" s="314">
        <v>128041</v>
      </c>
      <c r="C7" s="330" t="s">
        <v>21108</v>
      </c>
      <c r="D7" s="329" t="s">
        <v>20859</v>
      </c>
      <c r="E7" s="329">
        <v>106.613022</v>
      </c>
      <c r="F7" s="329">
        <v>20.864554</v>
      </c>
      <c r="G7" s="282" t="s">
        <v>21310</v>
      </c>
      <c r="H7" s="314">
        <v>2</v>
      </c>
      <c r="I7" s="282" t="s">
        <v>21345</v>
      </c>
      <c r="J7" s="282" t="s">
        <v>21323</v>
      </c>
      <c r="K7" s="399" t="s">
        <v>21293</v>
      </c>
      <c r="L7" s="282" t="s">
        <v>21294</v>
      </c>
      <c r="M7" s="282" t="s">
        <v>21292</v>
      </c>
      <c r="N7" s="282" t="s">
        <v>21295</v>
      </c>
      <c r="O7" s="282" t="s">
        <v>21296</v>
      </c>
      <c r="P7" s="341">
        <v>21</v>
      </c>
      <c r="R7" s="333">
        <v>1</v>
      </c>
      <c r="S7" s="282" t="b">
        <v>1</v>
      </c>
      <c r="T7" s="282" t="s">
        <v>21109</v>
      </c>
      <c r="V7" s="282" t="s">
        <v>21297</v>
      </c>
      <c r="W7" s="282" t="s">
        <v>21110</v>
      </c>
      <c r="X7" s="464">
        <v>43748</v>
      </c>
      <c r="Y7" s="282" t="b">
        <v>1</v>
      </c>
      <c r="Z7" s="282" t="b">
        <v>0</v>
      </c>
      <c r="AB7" s="282" t="b">
        <v>1</v>
      </c>
      <c r="AC7" s="282">
        <v>21</v>
      </c>
      <c r="AD7" s="282" t="b">
        <v>0</v>
      </c>
      <c r="AE7" s="282" t="s">
        <v>21299</v>
      </c>
      <c r="AF7" s="282" t="s">
        <v>21300</v>
      </c>
    </row>
    <row r="8" ht="38.25">
      <c r="A8" s="314">
        <v>6</v>
      </c>
      <c r="B8" s="314">
        <v>128031</v>
      </c>
      <c r="C8" s="330" t="s">
        <v>21111</v>
      </c>
      <c r="D8" s="329" t="s">
        <v>20859</v>
      </c>
      <c r="E8" s="329">
        <v>106.67062</v>
      </c>
      <c r="F8" s="329">
        <v>20.890691</v>
      </c>
      <c r="G8" s="282" t="s">
        <v>21310</v>
      </c>
      <c r="H8" s="314">
        <v>2</v>
      </c>
      <c r="I8" s="282" t="s">
        <v>21350</v>
      </c>
      <c r="J8" s="282" t="s">
        <v>21323</v>
      </c>
      <c r="K8" s="399" t="s">
        <v>21293</v>
      </c>
      <c r="L8" s="282" t="s">
        <v>21294</v>
      </c>
      <c r="M8" s="282" t="s">
        <v>21292</v>
      </c>
      <c r="N8" s="282" t="s">
        <v>21295</v>
      </c>
      <c r="O8" s="282" t="s">
        <v>21351</v>
      </c>
      <c r="P8" s="341">
        <v>10</v>
      </c>
      <c r="R8" s="333">
        <v>1</v>
      </c>
      <c r="S8" s="282" t="b">
        <v>1</v>
      </c>
      <c r="T8" s="282" t="s">
        <v>21112</v>
      </c>
      <c r="V8" s="282" t="s">
        <v>21297</v>
      </c>
      <c r="W8" s="282" t="s">
        <v>21113</v>
      </c>
      <c r="X8" s="464">
        <v>43748</v>
      </c>
      <c r="Y8" s="282" t="b">
        <v>1</v>
      </c>
      <c r="Z8" s="282" t="b">
        <v>1</v>
      </c>
      <c r="AB8" s="282" t="b">
        <v>1</v>
      </c>
      <c r="AC8" s="282">
        <v>10</v>
      </c>
      <c r="AD8" s="282" t="b">
        <v>0</v>
      </c>
      <c r="AE8" s="282" t="s">
        <v>21299</v>
      </c>
      <c r="AF8" s="282" t="s">
        <v>21300</v>
      </c>
    </row>
    <row r="9" ht="38.25">
      <c r="A9" s="314">
        <v>7</v>
      </c>
      <c r="B9" s="314">
        <v>128142</v>
      </c>
      <c r="C9" s="330" t="s">
        <v>21114</v>
      </c>
      <c r="D9" s="329" t="s">
        <v>20859</v>
      </c>
      <c r="E9" s="329">
        <v>106.693493</v>
      </c>
      <c r="F9" s="329">
        <v>20.900186</v>
      </c>
      <c r="G9" s="282" t="s">
        <v>21310</v>
      </c>
      <c r="H9" s="314">
        <v>2</v>
      </c>
      <c r="I9" s="282" t="s">
        <v>21358</v>
      </c>
      <c r="J9" s="282" t="s">
        <v>21291</v>
      </c>
      <c r="K9" s="399" t="s">
        <v>21293</v>
      </c>
      <c r="L9" s="282" t="s">
        <v>21294</v>
      </c>
      <c r="M9" s="282" t="s">
        <v>21292</v>
      </c>
      <c r="N9" s="282" t="s">
        <v>21295</v>
      </c>
      <c r="O9" s="282" t="s">
        <v>21359</v>
      </c>
      <c r="P9" s="341">
        <v>0</v>
      </c>
      <c r="R9" s="333">
        <v>1</v>
      </c>
      <c r="S9" s="282" t="b">
        <v>1</v>
      </c>
      <c r="T9" s="282" t="s">
        <v>21115</v>
      </c>
      <c r="V9" s="282" t="s">
        <v>21297</v>
      </c>
      <c r="W9" s="282" t="s">
        <v>21116</v>
      </c>
      <c r="X9" s="464">
        <v>43748</v>
      </c>
      <c r="Y9" s="282" t="b">
        <v>1</v>
      </c>
      <c r="Z9" s="282" t="b">
        <v>1</v>
      </c>
      <c r="AB9" s="282" t="b">
        <v>0</v>
      </c>
      <c r="AC9" s="282">
        <v>0</v>
      </c>
      <c r="AD9" s="282" t="b">
        <v>0</v>
      </c>
      <c r="AE9" s="282" t="s">
        <v>21299</v>
      </c>
      <c r="AF9" s="282" t="s">
        <v>21300</v>
      </c>
    </row>
    <row r="10" ht="38.25">
      <c r="A10" s="314">
        <v>8</v>
      </c>
      <c r="B10" s="314">
        <v>128146</v>
      </c>
      <c r="C10" s="330" t="s">
        <v>21117</v>
      </c>
      <c r="D10" s="329" t="s">
        <v>20859</v>
      </c>
      <c r="E10" s="329">
        <v>106.691803</v>
      </c>
      <c r="F10" s="329">
        <v>20.92746</v>
      </c>
      <c r="G10" s="282" t="s">
        <v>21310</v>
      </c>
      <c r="H10" s="314">
        <v>2</v>
      </c>
      <c r="I10" s="282" t="s">
        <v>21364</v>
      </c>
      <c r="J10" s="282" t="s">
        <v>21291</v>
      </c>
      <c r="K10" s="399" t="s">
        <v>21293</v>
      </c>
      <c r="L10" s="282" t="s">
        <v>21294</v>
      </c>
      <c r="M10" s="282" t="s">
        <v>21292</v>
      </c>
      <c r="N10" s="282" t="s">
        <v>21295</v>
      </c>
      <c r="O10" s="282" t="s">
        <v>21365</v>
      </c>
      <c r="P10" s="341">
        <v>14</v>
      </c>
      <c r="R10" s="333">
        <v>1</v>
      </c>
      <c r="S10" s="282" t="b">
        <v>1</v>
      </c>
      <c r="T10" s="282" t="s">
        <v>21118</v>
      </c>
      <c r="V10" s="282" t="s">
        <v>21297</v>
      </c>
      <c r="W10" s="282" t="s">
        <v>21119</v>
      </c>
      <c r="X10" s="464">
        <v>43748</v>
      </c>
      <c r="Y10" s="282" t="b">
        <v>0</v>
      </c>
      <c r="Z10" s="282" t="b">
        <v>0</v>
      </c>
      <c r="AB10" s="282" t="b">
        <v>1</v>
      </c>
      <c r="AC10" s="282">
        <v>14</v>
      </c>
      <c r="AD10" s="282" t="b">
        <v>0</v>
      </c>
      <c r="AE10" s="282" t="s">
        <v>21299</v>
      </c>
      <c r="AF10" s="282" t="s">
        <v>21300</v>
      </c>
    </row>
    <row r="11" ht="38.25">
      <c r="A11" s="314">
        <v>9</v>
      </c>
      <c r="B11" s="314">
        <v>128068</v>
      </c>
      <c r="C11" s="330" t="s">
        <v>21120</v>
      </c>
      <c r="D11" s="329" t="s">
        <v>20859</v>
      </c>
      <c r="E11" s="329">
        <v>106.70757</v>
      </c>
      <c r="F11" s="329">
        <v>20.92783</v>
      </c>
      <c r="G11" s="282" t="s">
        <v>21310</v>
      </c>
      <c r="H11" s="314">
        <v>2</v>
      </c>
      <c r="I11" s="282" t="s">
        <v>21373</v>
      </c>
      <c r="J11" s="282" t="s">
        <v>21291</v>
      </c>
      <c r="K11" s="399" t="s">
        <v>21293</v>
      </c>
      <c r="L11" s="282" t="s">
        <v>21294</v>
      </c>
      <c r="M11" s="282" t="s">
        <v>21292</v>
      </c>
      <c r="N11" s="282" t="s">
        <v>21295</v>
      </c>
      <c r="O11" s="282" t="s">
        <v>21374</v>
      </c>
      <c r="P11" s="341">
        <v>8</v>
      </c>
      <c r="R11" s="333">
        <v>1</v>
      </c>
      <c r="S11" s="282" t="b">
        <v>1</v>
      </c>
      <c r="T11" s="282" t="s">
        <v>21121</v>
      </c>
      <c r="V11" s="282" t="s">
        <v>21297</v>
      </c>
      <c r="W11" s="282" t="s">
        <v>21122</v>
      </c>
      <c r="X11" s="464">
        <v>43748</v>
      </c>
      <c r="Y11" s="282" t="b">
        <v>1</v>
      </c>
      <c r="Z11" s="282" t="b">
        <v>1</v>
      </c>
      <c r="AB11" s="282" t="b">
        <v>1</v>
      </c>
      <c r="AC11" s="282">
        <v>8</v>
      </c>
      <c r="AD11" s="282" t="b">
        <v>0</v>
      </c>
      <c r="AE11" s="282" t="s">
        <v>21299</v>
      </c>
      <c r="AF11" s="282" t="s">
        <v>21300</v>
      </c>
    </row>
    <row r="12" ht="38.25">
      <c r="A12" s="314">
        <v>10</v>
      </c>
      <c r="B12" s="314">
        <v>128045</v>
      </c>
      <c r="C12" s="330" t="s">
        <v>21123</v>
      </c>
      <c r="D12" s="329" t="s">
        <v>20859</v>
      </c>
      <c r="E12" s="329">
        <v>106.742752</v>
      </c>
      <c r="F12" s="329">
        <v>20.923122</v>
      </c>
      <c r="G12" s="282" t="s">
        <v>21310</v>
      </c>
      <c r="H12" s="314">
        <v>2</v>
      </c>
      <c r="I12" s="282" t="s">
        <v>21380</v>
      </c>
      <c r="J12" s="282" t="s">
        <v>21323</v>
      </c>
      <c r="K12" s="399" t="s">
        <v>21293</v>
      </c>
      <c r="L12" s="282" t="s">
        <v>21294</v>
      </c>
      <c r="M12" s="282" t="s">
        <v>21292</v>
      </c>
      <c r="N12" s="282" t="s">
        <v>21295</v>
      </c>
      <c r="O12" s="282" t="s">
        <v>21381</v>
      </c>
      <c r="P12" s="341">
        <v>10</v>
      </c>
      <c r="R12" s="333">
        <v>1</v>
      </c>
      <c r="S12" s="282" t="b">
        <v>1</v>
      </c>
      <c r="T12" s="282" t="s">
        <v>21124</v>
      </c>
      <c r="V12" s="282" t="s">
        <v>21297</v>
      </c>
      <c r="W12" s="282" t="s">
        <v>21125</v>
      </c>
      <c r="X12" s="464">
        <v>43748</v>
      </c>
      <c r="Y12" s="282" t="b">
        <v>0</v>
      </c>
      <c r="Z12" s="282" t="b">
        <v>0</v>
      </c>
      <c r="AB12" s="282" t="b">
        <v>1</v>
      </c>
      <c r="AC12" s="282">
        <v>10</v>
      </c>
      <c r="AD12" s="282" t="b">
        <v>0</v>
      </c>
      <c r="AE12" s="282" t="s">
        <v>21299</v>
      </c>
      <c r="AF12" s="282" t="s">
        <v>21300</v>
      </c>
    </row>
    <row r="13" ht="38.25">
      <c r="A13" s="314">
        <v>11</v>
      </c>
      <c r="B13" s="314">
        <v>128156</v>
      </c>
      <c r="C13" s="330" t="s">
        <v>21126</v>
      </c>
      <c r="D13" s="329" t="s">
        <v>20859</v>
      </c>
      <c r="E13" s="329">
        <v>106.731641</v>
      </c>
      <c r="F13" s="329">
        <v>20.943714</v>
      </c>
      <c r="G13" s="282" t="s">
        <v>21310</v>
      </c>
      <c r="H13" s="314">
        <v>2</v>
      </c>
      <c r="I13" s="282" t="s">
        <v>21388</v>
      </c>
      <c r="J13" s="282" t="s">
        <v>21291</v>
      </c>
      <c r="K13" s="399" t="s">
        <v>21293</v>
      </c>
      <c r="L13" s="282" t="s">
        <v>21294</v>
      </c>
      <c r="M13" s="282" t="s">
        <v>21292</v>
      </c>
      <c r="N13" s="282" t="s">
        <v>21295</v>
      </c>
      <c r="O13" s="282" t="s">
        <v>21389</v>
      </c>
      <c r="P13" s="341">
        <v>10</v>
      </c>
      <c r="R13" s="333">
        <v>1</v>
      </c>
      <c r="S13" s="282" t="b">
        <v>1</v>
      </c>
      <c r="T13" s="282" t="s">
        <v>21127</v>
      </c>
      <c r="V13" s="282" t="s">
        <v>21297</v>
      </c>
      <c r="W13" s="282" t="s">
        <v>21128</v>
      </c>
      <c r="X13" s="464">
        <v>43748</v>
      </c>
      <c r="Y13" s="282" t="b">
        <v>1</v>
      </c>
      <c r="Z13" s="282" t="b">
        <v>0</v>
      </c>
      <c r="AB13" s="282" t="b">
        <v>1</v>
      </c>
      <c r="AC13" s="282">
        <v>10</v>
      </c>
      <c r="AD13" s="282" t="b">
        <v>0</v>
      </c>
      <c r="AE13" s="282" t="s">
        <v>21299</v>
      </c>
      <c r="AF13" s="282" t="s">
        <v>21300</v>
      </c>
    </row>
    <row r="14" ht="38.25">
      <c r="A14" s="314">
        <v>12</v>
      </c>
      <c r="B14" s="314">
        <v>128120</v>
      </c>
      <c r="C14" s="330" t="s">
        <v>21129</v>
      </c>
      <c r="D14" s="329" t="s">
        <v>20859</v>
      </c>
      <c r="E14" s="329">
        <v>106.67469</v>
      </c>
      <c r="F14" s="329">
        <v>20.94173</v>
      </c>
      <c r="G14" s="282" t="s">
        <v>21310</v>
      </c>
      <c r="H14" s="314">
        <v>2</v>
      </c>
      <c r="I14" s="282" t="s">
        <v>21395</v>
      </c>
      <c r="J14" s="282" t="s">
        <v>21323</v>
      </c>
      <c r="K14" s="399" t="s">
        <v>21293</v>
      </c>
      <c r="L14" s="282" t="s">
        <v>21294</v>
      </c>
      <c r="M14" s="282" t="s">
        <v>21292</v>
      </c>
      <c r="N14" s="282" t="s">
        <v>21295</v>
      </c>
      <c r="O14" s="282" t="s">
        <v>21396</v>
      </c>
      <c r="P14" s="341">
        <v>10</v>
      </c>
      <c r="R14" s="333">
        <v>1</v>
      </c>
      <c r="S14" s="282" t="b">
        <v>1</v>
      </c>
      <c r="T14" s="282" t="s">
        <v>21130</v>
      </c>
      <c r="V14" s="282" t="s">
        <v>21297</v>
      </c>
      <c r="W14" s="282" t="s">
        <v>21131</v>
      </c>
      <c r="X14" s="464">
        <v>43748</v>
      </c>
      <c r="Y14" s="282" t="b">
        <v>0</v>
      </c>
      <c r="Z14" s="282" t="b">
        <v>0</v>
      </c>
      <c r="AB14" s="282" t="b">
        <v>1</v>
      </c>
      <c r="AC14" s="282">
        <v>10</v>
      </c>
      <c r="AD14" s="282" t="b">
        <v>0</v>
      </c>
      <c r="AE14" s="282" t="s">
        <v>21299</v>
      </c>
      <c r="AF14" s="282" t="s">
        <v>21300</v>
      </c>
    </row>
    <row r="15" ht="51">
      <c r="A15" s="314">
        <v>13</v>
      </c>
      <c r="B15" s="314">
        <v>128165</v>
      </c>
      <c r="C15" s="330" t="s">
        <v>21132</v>
      </c>
      <c r="D15" s="329" t="s">
        <v>20859</v>
      </c>
      <c r="E15" s="329">
        <v>106.654525</v>
      </c>
      <c r="F15" s="329">
        <v>20.925022</v>
      </c>
      <c r="G15" s="282" t="s">
        <v>21310</v>
      </c>
      <c r="H15" s="314">
        <v>2</v>
      </c>
      <c r="I15" s="282" t="s">
        <v>21402</v>
      </c>
      <c r="J15" s="282" t="s">
        <v>21291</v>
      </c>
      <c r="K15" s="399" t="s">
        <v>21293</v>
      </c>
      <c r="L15" s="282" t="s">
        <v>21294</v>
      </c>
      <c r="M15" s="282" t="s">
        <v>21292</v>
      </c>
      <c r="N15" s="282" t="s">
        <v>21295</v>
      </c>
      <c r="O15" s="282" t="s">
        <v>21403</v>
      </c>
      <c r="P15" s="341">
        <v>10</v>
      </c>
      <c r="R15" s="333">
        <v>1</v>
      </c>
      <c r="S15" s="282" t="b">
        <v>1</v>
      </c>
      <c r="T15" s="282" t="s">
        <v>21133</v>
      </c>
      <c r="V15" s="282" t="s">
        <v>21297</v>
      </c>
      <c r="W15" s="282" t="s">
        <v>21134</v>
      </c>
      <c r="X15" s="464">
        <v>43748</v>
      </c>
      <c r="Y15" s="282" t="b">
        <v>0</v>
      </c>
      <c r="Z15" s="282" t="b">
        <v>0</v>
      </c>
      <c r="AB15" s="282" t="b">
        <v>1</v>
      </c>
      <c r="AC15" s="282">
        <v>10</v>
      </c>
      <c r="AD15" s="282" t="b">
        <v>0</v>
      </c>
      <c r="AE15" s="282" t="s">
        <v>21299</v>
      </c>
      <c r="AF15" s="282" t="s">
        <v>21300</v>
      </c>
    </row>
    <row r="16" ht="38.25">
      <c r="A16" s="314">
        <v>14</v>
      </c>
      <c r="B16" s="314">
        <v>128043</v>
      </c>
      <c r="C16" s="330" t="s">
        <v>21135</v>
      </c>
      <c r="D16" s="329" t="s">
        <v>20859</v>
      </c>
      <c r="E16" s="329">
        <v>106.632459</v>
      </c>
      <c r="F16" s="329">
        <v>20.938518</v>
      </c>
      <c r="G16" s="282" t="s">
        <v>21310</v>
      </c>
      <c r="H16" s="314">
        <v>2</v>
      </c>
      <c r="I16" s="282" t="s">
        <v>21406</v>
      </c>
      <c r="J16" s="282" t="s">
        <v>21323</v>
      </c>
      <c r="K16" s="399" t="s">
        <v>21293</v>
      </c>
      <c r="L16" s="282" t="s">
        <v>21294</v>
      </c>
      <c r="M16" s="282" t="s">
        <v>21292</v>
      </c>
      <c r="N16" s="282" t="s">
        <v>21295</v>
      </c>
      <c r="O16" s="282" t="s">
        <v>21407</v>
      </c>
      <c r="P16" s="341">
        <v>8</v>
      </c>
      <c r="R16" s="333">
        <v>1</v>
      </c>
      <c r="S16" s="282" t="b">
        <v>1</v>
      </c>
      <c r="T16" s="282" t="s">
        <v>21136</v>
      </c>
      <c r="V16" s="282" t="s">
        <v>21297</v>
      </c>
      <c r="W16" s="282" t="s">
        <v>21137</v>
      </c>
      <c r="X16" s="464">
        <v>43748</v>
      </c>
      <c r="Y16" s="282" t="b">
        <v>1</v>
      </c>
      <c r="Z16" s="282" t="b">
        <v>0</v>
      </c>
      <c r="AB16" s="282" t="b">
        <v>1</v>
      </c>
      <c r="AC16" s="282">
        <v>8</v>
      </c>
      <c r="AD16" s="282" t="b">
        <v>0</v>
      </c>
      <c r="AE16" s="282" t="s">
        <v>21299</v>
      </c>
      <c r="AF16" s="282" t="s">
        <v>21300</v>
      </c>
    </row>
    <row r="17" ht="38.25">
      <c r="A17" s="314">
        <v>15</v>
      </c>
      <c r="B17" s="314">
        <v>128501</v>
      </c>
      <c r="C17" s="330" t="s">
        <v>21138</v>
      </c>
      <c r="D17" s="329" t="s">
        <v>20859</v>
      </c>
      <c r="E17" s="329">
        <v>106.629956</v>
      </c>
      <c r="F17" s="329">
        <v>20.918116</v>
      </c>
      <c r="G17" s="282" t="s">
        <v>21310</v>
      </c>
      <c r="H17" s="314">
        <v>2</v>
      </c>
      <c r="I17" s="282" t="s">
        <v>21413</v>
      </c>
      <c r="J17" s="282" t="s">
        <v>21323</v>
      </c>
      <c r="K17" s="399" t="s">
        <v>21293</v>
      </c>
      <c r="L17" s="282" t="s">
        <v>21294</v>
      </c>
      <c r="M17" s="282" t="s">
        <v>21292</v>
      </c>
      <c r="N17" s="282" t="s">
        <v>21295</v>
      </c>
      <c r="O17" s="282" t="s">
        <v>21414</v>
      </c>
      <c r="P17" s="341">
        <v>10</v>
      </c>
      <c r="R17" s="333">
        <v>1</v>
      </c>
      <c r="S17" s="282" t="b">
        <v>1</v>
      </c>
      <c r="T17" s="282" t="s">
        <v>21139</v>
      </c>
      <c r="V17" s="282" t="s">
        <v>21297</v>
      </c>
      <c r="W17" s="282" t="s">
        <v>21140</v>
      </c>
      <c r="X17" s="464">
        <v>43748</v>
      </c>
      <c r="Y17" s="282" t="b">
        <v>1</v>
      </c>
      <c r="Z17" s="282" t="b">
        <v>0</v>
      </c>
      <c r="AB17" s="282" t="b">
        <v>1</v>
      </c>
      <c r="AC17" s="282">
        <v>10</v>
      </c>
      <c r="AD17" s="282" t="b">
        <v>0</v>
      </c>
      <c r="AE17" s="282" t="s">
        <v>21299</v>
      </c>
      <c r="AF17" s="282" t="s">
        <v>21300</v>
      </c>
    </row>
    <row r="18" ht="25.5">
      <c r="A18" s="314">
        <v>16</v>
      </c>
      <c r="B18" s="314">
        <v>128154</v>
      </c>
      <c r="C18" s="330" t="s">
        <v>21141</v>
      </c>
      <c r="D18" s="329" t="s">
        <v>20859</v>
      </c>
      <c r="E18" s="329">
        <v>106.70502</v>
      </c>
      <c r="F18" s="329">
        <v>20.991976</v>
      </c>
      <c r="G18" s="282" t="s">
        <v>21288</v>
      </c>
      <c r="H18" s="314">
        <v>1</v>
      </c>
      <c r="I18" s="282">
        <v>128154</v>
      </c>
      <c r="J18" s="282" t="s">
        <v>21312</v>
      </c>
      <c r="K18" s="399" t="s">
        <v>21313</v>
      </c>
      <c r="L18" s="282" t="s">
        <v>21314</v>
      </c>
      <c r="M18" s="282">
        <v>3</v>
      </c>
      <c r="N18" s="282">
        <v>2100</v>
      </c>
      <c r="O18" s="282" t="s">
        <v>21410</v>
      </c>
      <c r="P18" s="341">
        <v>8</v>
      </c>
      <c r="R18" s="333">
        <v>1</v>
      </c>
      <c r="S18" s="282" t="b">
        <v>1</v>
      </c>
      <c r="T18" s="282" t="s">
        <v>21142</v>
      </c>
      <c r="V18" s="282" t="s">
        <v>21297</v>
      </c>
      <c r="W18" s="282" t="s">
        <v>21143</v>
      </c>
      <c r="X18" s="464">
        <v>43748</v>
      </c>
      <c r="Y18" s="282" t="b">
        <v>1</v>
      </c>
      <c r="Z18" s="282" t="b">
        <v>0</v>
      </c>
      <c r="AB18" s="282" t="b">
        <v>1</v>
      </c>
      <c r="AC18" s="282">
        <v>8</v>
      </c>
      <c r="AD18" s="282" t="b">
        <v>0</v>
      </c>
      <c r="AE18" s="282" t="s">
        <v>21299</v>
      </c>
      <c r="AF18" s="282" t="s">
        <v>21300</v>
      </c>
    </row>
    <row r="19" ht="38.25">
      <c r="A19" s="314">
        <v>17</v>
      </c>
      <c r="B19" s="314">
        <v>128145</v>
      </c>
      <c r="C19" s="330" t="s">
        <v>21144</v>
      </c>
      <c r="D19" s="329" t="s">
        <v>20859</v>
      </c>
      <c r="E19" s="329">
        <v>106.644549</v>
      </c>
      <c r="F19" s="329">
        <v>20.894669</v>
      </c>
      <c r="G19" s="282" t="s">
        <v>21310</v>
      </c>
      <c r="H19" s="314">
        <v>2</v>
      </c>
      <c r="I19" s="282" t="s">
        <v>21422</v>
      </c>
      <c r="J19" s="282" t="s">
        <v>21323</v>
      </c>
      <c r="K19" s="399" t="s">
        <v>21293</v>
      </c>
      <c r="L19" s="282" t="s">
        <v>21294</v>
      </c>
      <c r="M19" s="282" t="s">
        <v>21292</v>
      </c>
      <c r="N19" s="282" t="s">
        <v>21295</v>
      </c>
      <c r="O19" s="282" t="s">
        <v>21423</v>
      </c>
      <c r="P19" s="341">
        <v>8</v>
      </c>
      <c r="R19" s="333">
        <v>1</v>
      </c>
      <c r="S19" s="282" t="b">
        <v>1</v>
      </c>
      <c r="T19" s="282" t="s">
        <v>21145</v>
      </c>
      <c r="V19" s="282" t="s">
        <v>21297</v>
      </c>
      <c r="W19" s="282" t="s">
        <v>21146</v>
      </c>
      <c r="X19" s="464">
        <v>43748</v>
      </c>
      <c r="Y19" s="282" t="b">
        <v>1</v>
      </c>
      <c r="Z19" s="282" t="b">
        <v>0</v>
      </c>
      <c r="AB19" s="282" t="b">
        <v>1</v>
      </c>
      <c r="AC19" s="282">
        <v>8</v>
      </c>
      <c r="AD19" s="282" t="b">
        <v>0</v>
      </c>
      <c r="AE19" s="282" t="s">
        <v>21299</v>
      </c>
      <c r="AF19" s="282" t="s">
        <v>21300</v>
      </c>
    </row>
    <row r="20" ht="38.25">
      <c r="A20" s="314">
        <v>18</v>
      </c>
      <c r="B20" s="314">
        <v>128020</v>
      </c>
      <c r="C20" s="330" t="s">
        <v>21147</v>
      </c>
      <c r="D20" s="329" t="s">
        <v>20859</v>
      </c>
      <c r="E20" s="329">
        <v>106.680372</v>
      </c>
      <c r="F20" s="329">
        <v>20.834769</v>
      </c>
      <c r="G20" s="282" t="s">
        <v>21310</v>
      </c>
      <c r="H20" s="314">
        <v>2</v>
      </c>
      <c r="I20" s="282" t="s">
        <v>21427</v>
      </c>
      <c r="J20" s="282" t="s">
        <v>21291</v>
      </c>
      <c r="K20" s="399" t="s">
        <v>21293</v>
      </c>
      <c r="L20" s="282" t="s">
        <v>21294</v>
      </c>
      <c r="M20" s="282" t="s">
        <v>21292</v>
      </c>
      <c r="N20" s="282" t="s">
        <v>21295</v>
      </c>
      <c r="O20" s="282" t="s">
        <v>21428</v>
      </c>
      <c r="P20" s="341">
        <v>21</v>
      </c>
      <c r="R20" s="333">
        <v>1</v>
      </c>
      <c r="S20" s="282" t="b">
        <v>1</v>
      </c>
      <c r="T20" s="282" t="s">
        <v>21148</v>
      </c>
      <c r="V20" s="282" t="s">
        <v>21297</v>
      </c>
      <c r="W20" s="282" t="s">
        <v>21149</v>
      </c>
      <c r="X20" s="464">
        <v>43748</v>
      </c>
      <c r="Y20" s="282" t="b">
        <v>0</v>
      </c>
      <c r="Z20" s="282" t="b">
        <v>0</v>
      </c>
      <c r="AB20" s="282" t="b">
        <v>1</v>
      </c>
      <c r="AC20" s="282">
        <v>21</v>
      </c>
      <c r="AD20" s="282" t="b">
        <v>0</v>
      </c>
      <c r="AE20" s="282" t="s">
        <v>21299</v>
      </c>
      <c r="AF20" s="282" t="s">
        <v>21300</v>
      </c>
    </row>
    <row r="21" ht="38.25">
      <c r="A21" s="314">
        <v>19</v>
      </c>
      <c r="B21" s="314">
        <v>128117</v>
      </c>
      <c r="C21" s="330" t="s">
        <v>21150</v>
      </c>
      <c r="D21" s="329" t="s">
        <v>20859</v>
      </c>
      <c r="E21" s="329">
        <v>106.657939</v>
      </c>
      <c r="F21" s="329">
        <v>20.790016</v>
      </c>
      <c r="G21" s="282" t="s">
        <v>21310</v>
      </c>
      <c r="H21" s="314">
        <v>2</v>
      </c>
      <c r="I21" s="282" t="s">
        <v>21432</v>
      </c>
      <c r="J21" s="282" t="s">
        <v>21323</v>
      </c>
      <c r="K21" s="399" t="s">
        <v>21293</v>
      </c>
      <c r="L21" s="282" t="s">
        <v>21294</v>
      </c>
      <c r="M21" s="282" t="s">
        <v>21292</v>
      </c>
      <c r="N21" s="282" t="s">
        <v>21295</v>
      </c>
      <c r="O21" s="282" t="s">
        <v>21351</v>
      </c>
      <c r="P21" s="341">
        <v>8</v>
      </c>
      <c r="R21" s="333">
        <v>1</v>
      </c>
      <c r="S21" s="282" t="b">
        <v>1</v>
      </c>
      <c r="T21" s="282" t="s">
        <v>21151</v>
      </c>
      <c r="V21" s="282" t="s">
        <v>21297</v>
      </c>
      <c r="W21" s="282" t="s">
        <v>21152</v>
      </c>
      <c r="X21" s="464">
        <v>43748</v>
      </c>
      <c r="Y21" s="282" t="b">
        <v>1</v>
      </c>
      <c r="Z21" s="282" t="b">
        <v>1</v>
      </c>
      <c r="AB21" s="282" t="b">
        <v>1</v>
      </c>
      <c r="AC21" s="282">
        <v>8</v>
      </c>
      <c r="AD21" s="282" t="b">
        <v>0</v>
      </c>
      <c r="AE21" s="282" t="s">
        <v>21299</v>
      </c>
      <c r="AF21" s="282" t="s">
        <v>21300</v>
      </c>
    </row>
    <row r="22" ht="38.25">
      <c r="A22" s="314">
        <v>20</v>
      </c>
      <c r="B22" s="314">
        <v>128077</v>
      </c>
      <c r="C22" s="330" t="s">
        <v>21153</v>
      </c>
      <c r="D22" s="329" t="s">
        <v>20859</v>
      </c>
      <c r="E22" s="329">
        <v>106.57121</v>
      </c>
      <c r="F22" s="329">
        <v>20.909983</v>
      </c>
      <c r="G22" s="282" t="s">
        <v>21310</v>
      </c>
      <c r="H22" s="314">
        <v>2</v>
      </c>
      <c r="I22" s="282" t="s">
        <v>21436</v>
      </c>
      <c r="J22" s="282" t="s">
        <v>21323</v>
      </c>
      <c r="K22" s="399" t="s">
        <v>21293</v>
      </c>
      <c r="L22" s="282" t="s">
        <v>21294</v>
      </c>
      <c r="M22" s="282" t="s">
        <v>21292</v>
      </c>
      <c r="N22" s="282" t="s">
        <v>21295</v>
      </c>
      <c r="O22" s="282" t="s">
        <v>21437</v>
      </c>
      <c r="P22" s="341">
        <v>10</v>
      </c>
      <c r="R22" s="333">
        <v>1</v>
      </c>
      <c r="S22" s="282" t="b">
        <v>1</v>
      </c>
      <c r="T22" s="282" t="s">
        <v>21154</v>
      </c>
      <c r="V22" s="282" t="s">
        <v>21297</v>
      </c>
      <c r="W22" s="282" t="s">
        <v>21155</v>
      </c>
      <c r="X22" s="464">
        <v>43748</v>
      </c>
      <c r="Y22" s="282" t="b">
        <v>0</v>
      </c>
      <c r="Z22" s="282" t="b">
        <v>0</v>
      </c>
      <c r="AB22" s="282" t="b">
        <v>1</v>
      </c>
      <c r="AC22" s="282">
        <v>10</v>
      </c>
      <c r="AD22" s="282" t="b">
        <v>0</v>
      </c>
      <c r="AE22" s="282" t="s">
        <v>21299</v>
      </c>
      <c r="AF22" s="282" t="s">
        <v>21300</v>
      </c>
    </row>
    <row r="23" ht="38.25">
      <c r="A23" s="314">
        <v>21</v>
      </c>
      <c r="B23" s="314">
        <v>128044</v>
      </c>
      <c r="C23" s="330" t="s">
        <v>21156</v>
      </c>
      <c r="D23" s="329" t="s">
        <v>20859</v>
      </c>
      <c r="E23" s="329">
        <v>106.55422</v>
      </c>
      <c r="F23" s="329">
        <v>20.9297</v>
      </c>
      <c r="G23" s="282" t="s">
        <v>21310</v>
      </c>
      <c r="H23" s="314">
        <v>2</v>
      </c>
      <c r="I23" s="282" t="s">
        <v>21441</v>
      </c>
      <c r="J23" s="282" t="s">
        <v>21323</v>
      </c>
      <c r="K23" s="399" t="s">
        <v>21293</v>
      </c>
      <c r="L23" s="282" t="s">
        <v>21294</v>
      </c>
      <c r="M23" s="282" t="s">
        <v>21292</v>
      </c>
      <c r="N23" s="282" t="s">
        <v>21295</v>
      </c>
      <c r="O23" s="282" t="s">
        <v>21442</v>
      </c>
      <c r="P23" s="341">
        <v>14</v>
      </c>
      <c r="R23" s="333">
        <v>1</v>
      </c>
      <c r="S23" s="282" t="b">
        <v>1</v>
      </c>
      <c r="T23" s="282" t="s">
        <v>21157</v>
      </c>
      <c r="V23" s="282" t="s">
        <v>21297</v>
      </c>
      <c r="W23" s="282" t="s">
        <v>21158</v>
      </c>
      <c r="X23" s="464">
        <v>43748</v>
      </c>
      <c r="Y23" s="282" t="b">
        <v>0</v>
      </c>
      <c r="Z23" s="282" t="b">
        <v>0</v>
      </c>
      <c r="AB23" s="282" t="b">
        <v>1</v>
      </c>
      <c r="AC23" s="282">
        <v>14</v>
      </c>
      <c r="AD23" s="282" t="b">
        <v>0</v>
      </c>
      <c r="AE23" s="282" t="s">
        <v>21299</v>
      </c>
      <c r="AF23" s="282" t="s">
        <v>21300</v>
      </c>
    </row>
    <row r="24" ht="38.25">
      <c r="A24" s="314">
        <v>22</v>
      </c>
      <c r="B24" s="314">
        <v>128525</v>
      </c>
      <c r="C24" s="330" t="s">
        <v>21159</v>
      </c>
      <c r="D24" s="329" t="s">
        <v>20859</v>
      </c>
      <c r="E24" s="329">
        <v>106.874202</v>
      </c>
      <c r="F24" s="329">
        <v>20.805652</v>
      </c>
      <c r="G24" s="282" t="s">
        <v>21310</v>
      </c>
      <c r="H24" s="314">
        <v>2</v>
      </c>
      <c r="I24" s="282" t="s">
        <v>21447</v>
      </c>
      <c r="J24" s="282" t="s">
        <v>21291</v>
      </c>
      <c r="K24" s="399" t="s">
        <v>21293</v>
      </c>
      <c r="L24" s="282" t="s">
        <v>21294</v>
      </c>
      <c r="M24" s="282" t="s">
        <v>21292</v>
      </c>
      <c r="N24" s="282" t="s">
        <v>21295</v>
      </c>
      <c r="O24" s="282" t="s">
        <v>21448</v>
      </c>
      <c r="P24" s="341">
        <v>0</v>
      </c>
      <c r="R24" s="333">
        <v>1</v>
      </c>
      <c r="S24" s="282" t="b">
        <v>1</v>
      </c>
      <c r="T24" s="282" t="s">
        <v>21160</v>
      </c>
      <c r="V24" s="282" t="s">
        <v>21297</v>
      </c>
      <c r="W24" s="282" t="s">
        <v>21161</v>
      </c>
      <c r="X24" s="464">
        <v>43748</v>
      </c>
      <c r="Y24" s="282" t="b">
        <v>1</v>
      </c>
      <c r="Z24" s="282" t="b">
        <v>1</v>
      </c>
      <c r="AB24" s="282" t="b">
        <v>0</v>
      </c>
      <c r="AC24" s="282">
        <v>0</v>
      </c>
      <c r="AD24" s="282" t="b">
        <v>0</v>
      </c>
      <c r="AE24" s="282" t="s">
        <v>21299</v>
      </c>
      <c r="AF24" s="282" t="s">
        <v>21300</v>
      </c>
    </row>
    <row r="25" ht="38.25">
      <c r="A25" s="314">
        <v>23</v>
      </c>
      <c r="B25" s="314">
        <v>128002</v>
      </c>
      <c r="C25" s="330" t="s">
        <v>21162</v>
      </c>
      <c r="D25" s="329" t="s">
        <v>20859</v>
      </c>
      <c r="E25" s="329">
        <v>107.046844</v>
      </c>
      <c r="F25" s="329">
        <v>20.729484</v>
      </c>
      <c r="G25" s="282" t="s">
        <v>21310</v>
      </c>
      <c r="H25" s="314">
        <v>2</v>
      </c>
      <c r="I25" s="282" t="s">
        <v>21452</v>
      </c>
      <c r="J25" s="282" t="s">
        <v>21453</v>
      </c>
      <c r="K25" s="399" t="s">
        <v>21454</v>
      </c>
      <c r="L25" s="282" t="s">
        <v>21294</v>
      </c>
      <c r="M25" s="282" t="s">
        <v>21292</v>
      </c>
      <c r="N25" s="282" t="s">
        <v>21295</v>
      </c>
      <c r="O25" s="282" t="s">
        <v>21455</v>
      </c>
      <c r="P25" s="341">
        <v>0</v>
      </c>
      <c r="R25" s="333">
        <v>1</v>
      </c>
      <c r="S25" s="282" t="b">
        <v>1</v>
      </c>
      <c r="T25" s="282" t="s">
        <v>21163</v>
      </c>
      <c r="V25" s="282" t="s">
        <v>21297</v>
      </c>
      <c r="W25" s="282" t="s">
        <v>21164</v>
      </c>
      <c r="X25" s="464">
        <v>43748</v>
      </c>
      <c r="Y25" s="282" t="b">
        <v>1</v>
      </c>
      <c r="Z25" s="282" t="b">
        <v>1</v>
      </c>
      <c r="AB25" s="282" t="b">
        <v>0</v>
      </c>
      <c r="AC25" s="282">
        <v>0</v>
      </c>
      <c r="AD25" s="282" t="b">
        <v>0</v>
      </c>
      <c r="AE25" s="282" t="s">
        <v>21299</v>
      </c>
      <c r="AF25" s="282" t="s">
        <v>21300</v>
      </c>
    </row>
    <row r="26" ht="25.5">
      <c r="A26" s="314">
        <v>24</v>
      </c>
      <c r="B26" s="314">
        <v>149173</v>
      </c>
      <c r="C26" s="330" t="s">
        <v>21165</v>
      </c>
      <c r="D26" s="329" t="s">
        <v>20880</v>
      </c>
      <c r="E26" s="329">
        <v>107.1256</v>
      </c>
      <c r="F26" s="329">
        <v>20.94673</v>
      </c>
      <c r="G26" s="282" t="s">
        <v>21288</v>
      </c>
      <c r="H26" s="314">
        <v>1</v>
      </c>
      <c r="I26" s="282">
        <v>149173</v>
      </c>
      <c r="J26" s="282" t="s">
        <v>21312</v>
      </c>
      <c r="K26" s="399" t="s">
        <v>21313</v>
      </c>
      <c r="L26" s="282" t="s">
        <v>21314</v>
      </c>
      <c r="M26" s="282">
        <v>3</v>
      </c>
      <c r="N26" s="282">
        <v>2100</v>
      </c>
      <c r="O26" s="282" t="s">
        <v>21386</v>
      </c>
      <c r="P26" s="341">
        <v>10</v>
      </c>
      <c r="R26" s="333">
        <v>1</v>
      </c>
      <c r="S26" s="282" t="b">
        <v>1</v>
      </c>
      <c r="T26" s="282" t="s">
        <v>21166</v>
      </c>
      <c r="V26" s="282" t="s">
        <v>21297</v>
      </c>
      <c r="W26" s="282" t="s">
        <v>21167</v>
      </c>
      <c r="X26" s="464">
        <v>43748</v>
      </c>
      <c r="Y26" s="282" t="b">
        <v>0</v>
      </c>
      <c r="Z26" s="282" t="b">
        <v>0</v>
      </c>
      <c r="AB26" s="282" t="b">
        <v>1</v>
      </c>
      <c r="AC26" s="282">
        <v>10</v>
      </c>
      <c r="AD26" s="282" t="b">
        <v>0</v>
      </c>
      <c r="AE26" s="282" t="s">
        <v>21299</v>
      </c>
      <c r="AF26" s="282" t="s">
        <v>21300</v>
      </c>
    </row>
    <row r="27" ht="25.5">
      <c r="A27" s="314">
        <v>25</v>
      </c>
      <c r="B27" s="314">
        <v>127510</v>
      </c>
      <c r="C27" s="330" t="s">
        <v>21168</v>
      </c>
      <c r="D27" s="329" t="s">
        <v>20851</v>
      </c>
      <c r="E27" s="329">
        <v>106.3224</v>
      </c>
      <c r="F27" s="329">
        <v>21.11631</v>
      </c>
      <c r="G27" s="282" t="s">
        <v>21288</v>
      </c>
      <c r="H27" s="314">
        <v>1</v>
      </c>
      <c r="I27" s="282">
        <v>127510</v>
      </c>
      <c r="J27" s="282" t="s">
        <v>21312</v>
      </c>
      <c r="K27" s="399" t="s">
        <v>21313</v>
      </c>
      <c r="L27" s="282" t="s">
        <v>21314</v>
      </c>
      <c r="M27" s="282">
        <v>3</v>
      </c>
      <c r="N27" s="282">
        <v>2100</v>
      </c>
      <c r="O27" s="282" t="s">
        <v>21410</v>
      </c>
      <c r="P27" s="341">
        <v>10</v>
      </c>
      <c r="R27" s="333">
        <v>1</v>
      </c>
      <c r="S27" s="282" t="b">
        <v>1</v>
      </c>
      <c r="T27" s="282" t="s">
        <v>21169</v>
      </c>
      <c r="V27" s="282" t="s">
        <v>21297</v>
      </c>
      <c r="W27" s="282" t="s">
        <v>21170</v>
      </c>
      <c r="X27" s="464">
        <v>43748</v>
      </c>
      <c r="Y27" s="282" t="b">
        <v>1</v>
      </c>
      <c r="Z27" s="282" t="b">
        <v>0</v>
      </c>
      <c r="AB27" s="282" t="b">
        <v>1</v>
      </c>
      <c r="AC27" s="282">
        <v>10</v>
      </c>
      <c r="AD27" s="282" t="b">
        <v>0</v>
      </c>
      <c r="AE27" s="282" t="s">
        <v>21299</v>
      </c>
      <c r="AF27" s="282" t="s">
        <v>21300</v>
      </c>
    </row>
    <row r="28" ht="25.5">
      <c r="A28" s="314">
        <v>26</v>
      </c>
      <c r="B28" s="314">
        <v>127143</v>
      </c>
      <c r="C28" s="330" t="s">
        <v>21171</v>
      </c>
      <c r="D28" s="329" t="s">
        <v>20851</v>
      </c>
      <c r="E28" s="329">
        <v>106.27983</v>
      </c>
      <c r="F28" s="329">
        <v>20.791222</v>
      </c>
      <c r="G28" s="282" t="s">
        <v>21288</v>
      </c>
      <c r="H28" s="314">
        <v>1</v>
      </c>
      <c r="I28" s="282">
        <v>127143</v>
      </c>
      <c r="J28" s="282" t="s">
        <v>21312</v>
      </c>
      <c r="K28" s="399" t="s">
        <v>21313</v>
      </c>
      <c r="L28" s="282" t="s">
        <v>21314</v>
      </c>
      <c r="M28" s="282">
        <v>3</v>
      </c>
      <c r="N28" s="282">
        <v>2100</v>
      </c>
      <c r="O28" s="282" t="s">
        <v>21410</v>
      </c>
      <c r="P28" s="341">
        <v>4</v>
      </c>
      <c r="R28" s="333">
        <v>1</v>
      </c>
      <c r="S28" s="282" t="b">
        <v>1</v>
      </c>
      <c r="T28" s="282" t="s">
        <v>21172</v>
      </c>
      <c r="V28" s="282" t="s">
        <v>21297</v>
      </c>
      <c r="W28" s="282" t="s">
        <v>21173</v>
      </c>
      <c r="X28" s="464">
        <v>43748</v>
      </c>
      <c r="Y28" s="282" t="b">
        <v>1</v>
      </c>
      <c r="Z28" s="282" t="b">
        <v>1</v>
      </c>
      <c r="AB28" s="282" t="b">
        <v>1</v>
      </c>
      <c r="AC28" s="282">
        <v>4</v>
      </c>
      <c r="AD28" s="282" t="b">
        <v>0</v>
      </c>
      <c r="AE28" s="282" t="s">
        <v>21299</v>
      </c>
      <c r="AF28" s="282" t="s">
        <v>21300</v>
      </c>
    </row>
    <row r="29" ht="25.5">
      <c r="A29" s="314">
        <v>27</v>
      </c>
      <c r="B29" s="314">
        <v>131121</v>
      </c>
      <c r="C29" s="330" t="s">
        <v>21174</v>
      </c>
      <c r="D29" s="329" t="s">
        <v>20863</v>
      </c>
      <c r="E29" s="329">
        <v>106.025422</v>
      </c>
      <c r="F29" s="329">
        <v>20.957053</v>
      </c>
      <c r="G29" s="282" t="s">
        <v>21288</v>
      </c>
      <c r="H29" s="314">
        <v>1</v>
      </c>
      <c r="I29" s="282">
        <v>131121</v>
      </c>
      <c r="J29" s="282" t="s">
        <v>21312</v>
      </c>
      <c r="K29" s="399" t="s">
        <v>21313</v>
      </c>
      <c r="L29" s="282" t="s">
        <v>21314</v>
      </c>
      <c r="M29" s="282">
        <v>3</v>
      </c>
      <c r="N29" s="282">
        <v>2100</v>
      </c>
      <c r="O29" s="282" t="s">
        <v>21475</v>
      </c>
      <c r="P29" s="341">
        <v>10</v>
      </c>
      <c r="R29" s="333">
        <v>1</v>
      </c>
      <c r="S29" s="282" t="b">
        <v>1</v>
      </c>
      <c r="T29" s="282" t="s">
        <v>21175</v>
      </c>
      <c r="V29" s="282" t="s">
        <v>21297</v>
      </c>
      <c r="W29" s="282" t="s">
        <v>21176</v>
      </c>
      <c r="X29" s="464">
        <v>43748</v>
      </c>
      <c r="Y29" s="282" t="b">
        <v>1</v>
      </c>
      <c r="Z29" s="282" t="b">
        <v>1</v>
      </c>
      <c r="AB29" s="282" t="b">
        <v>1</v>
      </c>
      <c r="AC29" s="282">
        <v>10</v>
      </c>
      <c r="AD29" s="282" t="b">
        <v>0</v>
      </c>
      <c r="AE29" s="282" t="s">
        <v>21299</v>
      </c>
      <c r="AF29" s="282" t="s">
        <v>21300</v>
      </c>
    </row>
    <row r="30" ht="25.5">
      <c r="A30" s="314">
        <v>28</v>
      </c>
      <c r="B30" s="314">
        <v>131122</v>
      </c>
      <c r="C30" s="330" t="s">
        <v>21177</v>
      </c>
      <c r="D30" s="329" t="s">
        <v>20863</v>
      </c>
      <c r="E30" s="329">
        <v>106.04802</v>
      </c>
      <c r="F30" s="329">
        <v>20.969839</v>
      </c>
      <c r="G30" s="282" t="s">
        <v>21288</v>
      </c>
      <c r="H30" s="314">
        <v>1</v>
      </c>
      <c r="I30" s="282">
        <v>131122</v>
      </c>
      <c r="J30" s="282" t="s">
        <v>21312</v>
      </c>
      <c r="K30" s="399" t="s">
        <v>21313</v>
      </c>
      <c r="L30" s="282" t="s">
        <v>21314</v>
      </c>
      <c r="M30" s="282">
        <v>3</v>
      </c>
      <c r="N30" s="282">
        <v>2100</v>
      </c>
      <c r="O30" s="282" t="s">
        <v>21482</v>
      </c>
      <c r="P30" s="341">
        <v>10</v>
      </c>
      <c r="R30" s="333">
        <v>1</v>
      </c>
      <c r="S30" s="282" t="b">
        <v>1</v>
      </c>
      <c r="T30" s="282" t="s">
        <v>21178</v>
      </c>
      <c r="V30" s="282" t="s">
        <v>21297</v>
      </c>
      <c r="W30" s="282" t="s">
        <v>21179</v>
      </c>
      <c r="X30" s="464">
        <v>43748</v>
      </c>
      <c r="Y30" s="282" t="b">
        <v>1</v>
      </c>
      <c r="Z30" s="282" t="b">
        <v>0</v>
      </c>
      <c r="AB30" s="282" t="b">
        <v>1</v>
      </c>
      <c r="AC30" s="282">
        <v>10</v>
      </c>
      <c r="AD30" s="282" t="b">
        <v>0</v>
      </c>
      <c r="AE30" s="282" t="s">
        <v>21299</v>
      </c>
      <c r="AF30" s="282" t="s">
        <v>21300</v>
      </c>
    </row>
    <row r="31" ht="25.5">
      <c r="A31" s="314">
        <v>29</v>
      </c>
      <c r="B31" s="314">
        <v>106534</v>
      </c>
      <c r="C31" s="330" t="s">
        <v>21180</v>
      </c>
      <c r="D31" s="329" t="s">
        <v>20842</v>
      </c>
      <c r="E31" s="329">
        <v>106.030854</v>
      </c>
      <c r="F31" s="329">
        <v>21.016435</v>
      </c>
      <c r="G31" s="282" t="s">
        <v>21288</v>
      </c>
      <c r="H31" s="314">
        <v>1</v>
      </c>
      <c r="I31" s="282">
        <v>106534</v>
      </c>
      <c r="J31" s="282" t="s">
        <v>21312</v>
      </c>
      <c r="K31" s="399" t="s">
        <v>21313</v>
      </c>
      <c r="L31" s="282" t="s">
        <v>21314</v>
      </c>
      <c r="M31" s="282">
        <v>3</v>
      </c>
      <c r="N31" s="282">
        <v>2100</v>
      </c>
      <c r="O31" s="282" t="s">
        <v>21410</v>
      </c>
      <c r="P31" s="341">
        <v>0</v>
      </c>
      <c r="R31" s="333">
        <v>1</v>
      </c>
      <c r="S31" s="282" t="b">
        <v>1</v>
      </c>
      <c r="T31" s="282" t="s">
        <v>21181</v>
      </c>
      <c r="V31" s="282" t="s">
        <v>21297</v>
      </c>
      <c r="W31" s="282" t="s">
        <v>21182</v>
      </c>
      <c r="X31" s="464">
        <v>43748</v>
      </c>
      <c r="Y31" s="282" t="b">
        <v>1</v>
      </c>
      <c r="Z31" s="282" t="b">
        <v>1</v>
      </c>
      <c r="AB31" s="282" t="b">
        <v>0</v>
      </c>
      <c r="AC31" s="282">
        <v>0</v>
      </c>
      <c r="AD31" s="282" t="b">
        <v>0</v>
      </c>
      <c r="AE31" s="282" t="s">
        <v>21299</v>
      </c>
      <c r="AF31" s="282" t="s">
        <v>21300</v>
      </c>
    </row>
    <row r="32" ht="38.25">
      <c r="A32" s="314">
        <v>30</v>
      </c>
      <c r="B32" s="314">
        <v>105103</v>
      </c>
      <c r="C32" s="330" t="s">
        <v>21183</v>
      </c>
      <c r="D32" s="329" t="s">
        <v>20837</v>
      </c>
      <c r="E32" s="329">
        <v>106.134164</v>
      </c>
      <c r="F32" s="329">
        <v>21.252007</v>
      </c>
      <c r="G32" s="282" t="s">
        <v>21310</v>
      </c>
      <c r="H32" s="314">
        <v>2</v>
      </c>
      <c r="I32" s="282" t="s">
        <v>21491</v>
      </c>
      <c r="J32" s="282" t="s">
        <v>21291</v>
      </c>
      <c r="K32" s="399" t="s">
        <v>21293</v>
      </c>
      <c r="L32" s="282" t="s">
        <v>21294</v>
      </c>
      <c r="M32" s="282" t="s">
        <v>21292</v>
      </c>
      <c r="N32" s="282" t="s">
        <v>21295</v>
      </c>
      <c r="O32" s="282" t="s">
        <v>21492</v>
      </c>
      <c r="P32" s="341">
        <v>21</v>
      </c>
      <c r="R32" s="333">
        <v>1</v>
      </c>
      <c r="S32" s="282" t="b">
        <v>1</v>
      </c>
      <c r="T32" s="282" t="s">
        <v>21184</v>
      </c>
      <c r="V32" s="282" t="s">
        <v>21297</v>
      </c>
      <c r="W32" s="282" t="s">
        <v>21185</v>
      </c>
      <c r="X32" s="464">
        <v>43748</v>
      </c>
      <c r="Y32" s="282" t="b">
        <v>0</v>
      </c>
      <c r="Z32" s="282" t="b">
        <v>0</v>
      </c>
      <c r="AB32" s="282" t="b">
        <v>1</v>
      </c>
      <c r="AC32" s="282">
        <v>21</v>
      </c>
      <c r="AD32" s="282" t="b">
        <v>0</v>
      </c>
      <c r="AE32" s="282" t="s">
        <v>21299</v>
      </c>
      <c r="AF32" s="282" t="s">
        <v>21300</v>
      </c>
    </row>
    <row r="33" ht="25.5">
      <c r="A33" s="314">
        <v>31</v>
      </c>
      <c r="B33" s="314">
        <v>105100</v>
      </c>
      <c r="C33" s="330" t="s">
        <v>21186</v>
      </c>
      <c r="D33" s="329" t="s">
        <v>20837</v>
      </c>
      <c r="E33" s="329">
        <v>106.184445</v>
      </c>
      <c r="F33" s="329">
        <v>21.275372</v>
      </c>
      <c r="G33" s="282" t="s">
        <v>21288</v>
      </c>
      <c r="H33" s="314">
        <v>1</v>
      </c>
      <c r="I33" s="282">
        <v>105100</v>
      </c>
      <c r="J33" s="282" t="s">
        <v>21312</v>
      </c>
      <c r="K33" s="399" t="s">
        <v>21313</v>
      </c>
      <c r="L33" s="282" t="s">
        <v>21314</v>
      </c>
      <c r="M33" s="282">
        <v>3</v>
      </c>
      <c r="N33" s="282">
        <v>2100</v>
      </c>
      <c r="O33" s="282" t="s">
        <v>21368</v>
      </c>
      <c r="P33" s="341">
        <v>8</v>
      </c>
      <c r="R33" s="333">
        <v>1</v>
      </c>
      <c r="S33" s="282" t="b">
        <v>1</v>
      </c>
      <c r="T33" s="282" t="s">
        <v>21187</v>
      </c>
      <c r="V33" s="282" t="s">
        <v>21297</v>
      </c>
      <c r="W33" s="282" t="s">
        <v>21188</v>
      </c>
      <c r="X33" s="464">
        <v>43748</v>
      </c>
      <c r="Y33" s="282" t="b">
        <v>1</v>
      </c>
      <c r="Z33" s="282" t="b">
        <v>0</v>
      </c>
      <c r="AB33" s="282" t="b">
        <v>1</v>
      </c>
      <c r="AC33" s="282">
        <v>8</v>
      </c>
      <c r="AD33" s="282" t="b">
        <v>0</v>
      </c>
      <c r="AE33" s="282" t="s">
        <v>21299</v>
      </c>
      <c r="AF33" s="282" t="s">
        <v>21300</v>
      </c>
    </row>
    <row r="34" ht="38.25">
      <c r="A34" s="314">
        <v>32</v>
      </c>
      <c r="B34" s="314">
        <v>105145</v>
      </c>
      <c r="C34" s="330" t="s">
        <v>21189</v>
      </c>
      <c r="D34" s="329" t="s">
        <v>20837</v>
      </c>
      <c r="E34" s="329">
        <v>106.19995</v>
      </c>
      <c r="F34" s="329">
        <v>21.282727</v>
      </c>
      <c r="G34" s="282" t="s">
        <v>21288</v>
      </c>
      <c r="H34" s="314">
        <v>1</v>
      </c>
      <c r="I34" s="282">
        <v>105145</v>
      </c>
      <c r="J34" s="282" t="s">
        <v>21312</v>
      </c>
      <c r="K34" s="399" t="s">
        <v>21313</v>
      </c>
      <c r="L34" s="282" t="s">
        <v>21314</v>
      </c>
      <c r="M34" s="282">
        <v>3</v>
      </c>
      <c r="N34" s="282">
        <v>2100</v>
      </c>
      <c r="O34" s="282" t="s">
        <v>21368</v>
      </c>
      <c r="P34" s="341">
        <v>24</v>
      </c>
      <c r="R34" s="333">
        <v>1</v>
      </c>
      <c r="S34" s="282" t="b">
        <v>1</v>
      </c>
      <c r="T34" s="282" t="s">
        <v>21190</v>
      </c>
      <c r="V34" s="282" t="s">
        <v>21297</v>
      </c>
      <c r="W34" s="282" t="s">
        <v>21191</v>
      </c>
      <c r="X34" s="464">
        <v>43748</v>
      </c>
      <c r="Y34" s="282" t="b">
        <v>1</v>
      </c>
      <c r="Z34" s="282" t="b">
        <v>0</v>
      </c>
      <c r="AB34" s="282" t="b">
        <v>1</v>
      </c>
      <c r="AC34" s="282">
        <v>24</v>
      </c>
      <c r="AD34" s="282" t="b">
        <v>0</v>
      </c>
      <c r="AE34" s="282" t="s">
        <v>21299</v>
      </c>
      <c r="AF34" s="282" t="s">
        <v>21300</v>
      </c>
    </row>
    <row r="35" ht="25.5">
      <c r="A35" s="314">
        <v>33</v>
      </c>
      <c r="B35" s="314">
        <v>105144</v>
      </c>
      <c r="C35" s="330" t="s">
        <v>21192</v>
      </c>
      <c r="D35" s="329" t="s">
        <v>20837</v>
      </c>
      <c r="E35" s="329">
        <v>106.084983</v>
      </c>
      <c r="F35" s="329">
        <v>21.354485</v>
      </c>
      <c r="G35" s="282" t="s">
        <v>21288</v>
      </c>
      <c r="H35" s="314">
        <v>1</v>
      </c>
      <c r="I35" s="282">
        <v>105144</v>
      </c>
      <c r="J35" s="282" t="s">
        <v>21312</v>
      </c>
      <c r="K35" s="399" t="s">
        <v>21313</v>
      </c>
      <c r="L35" s="282" t="s">
        <v>21314</v>
      </c>
      <c r="M35" s="282">
        <v>3</v>
      </c>
      <c r="N35" s="282">
        <v>2100</v>
      </c>
      <c r="O35" s="282" t="s">
        <v>21482</v>
      </c>
      <c r="P35" s="341">
        <v>14</v>
      </c>
      <c r="R35" s="333">
        <v>1</v>
      </c>
      <c r="S35" s="282" t="b">
        <v>1</v>
      </c>
      <c r="T35" s="282" t="s">
        <v>21193</v>
      </c>
      <c r="V35" s="282" t="s">
        <v>21297</v>
      </c>
      <c r="W35" s="282" t="s">
        <v>21194</v>
      </c>
      <c r="X35" s="464">
        <v>43748</v>
      </c>
      <c r="Y35" s="282" t="b">
        <v>1</v>
      </c>
      <c r="Z35" s="282" t="b">
        <v>0</v>
      </c>
      <c r="AB35" s="282" t="b">
        <v>1</v>
      </c>
      <c r="AC35" s="282">
        <v>14</v>
      </c>
      <c r="AD35" s="282" t="b">
        <v>0</v>
      </c>
      <c r="AE35" s="282" t="s">
        <v>21299</v>
      </c>
      <c r="AF35" s="282" t="s">
        <v>21300</v>
      </c>
    </row>
    <row r="36" ht="25.5">
      <c r="A36" s="314">
        <v>34</v>
      </c>
      <c r="B36" s="314">
        <v>124827</v>
      </c>
      <c r="C36" s="330" t="s">
        <v>21195</v>
      </c>
      <c r="D36" s="329" t="s">
        <v>20855</v>
      </c>
      <c r="E36" s="329">
        <v>105.5688</v>
      </c>
      <c r="F36" s="329">
        <v>21.133463</v>
      </c>
      <c r="G36" s="282" t="s">
        <v>21288</v>
      </c>
      <c r="H36" s="314">
        <v>1</v>
      </c>
      <c r="I36" s="282">
        <v>124827</v>
      </c>
      <c r="J36" s="282" t="s">
        <v>21312</v>
      </c>
      <c r="K36" s="399" t="s">
        <v>21313</v>
      </c>
      <c r="L36" s="282" t="s">
        <v>21314</v>
      </c>
      <c r="M36" s="282">
        <v>3</v>
      </c>
      <c r="N36" s="282">
        <v>2100</v>
      </c>
      <c r="O36" s="282" t="s">
        <v>21343</v>
      </c>
      <c r="P36" s="341">
        <v>10</v>
      </c>
      <c r="R36" s="333">
        <v>1</v>
      </c>
      <c r="S36" s="282" t="b">
        <v>1</v>
      </c>
      <c r="T36" s="282" t="s">
        <v>21196</v>
      </c>
      <c r="V36" s="282" t="s">
        <v>21297</v>
      </c>
      <c r="W36" s="282" t="s">
        <v>21197</v>
      </c>
      <c r="X36" s="464">
        <v>43748</v>
      </c>
      <c r="Y36" s="282" t="b">
        <v>1</v>
      </c>
      <c r="Z36" s="282" t="b">
        <v>0</v>
      </c>
      <c r="AB36" s="282" t="b">
        <v>1</v>
      </c>
      <c r="AC36" s="282">
        <v>10</v>
      </c>
      <c r="AD36" s="282" t="b">
        <v>0</v>
      </c>
      <c r="AE36" s="282" t="s">
        <v>21299</v>
      </c>
      <c r="AF36" s="282" t="s">
        <v>21300</v>
      </c>
    </row>
    <row r="37" ht="25.5">
      <c r="A37" s="314">
        <v>35</v>
      </c>
      <c r="B37" s="314">
        <v>124970</v>
      </c>
      <c r="C37" s="330" t="s">
        <v>21198</v>
      </c>
      <c r="D37" s="329" t="s">
        <v>20855</v>
      </c>
      <c r="E37" s="329">
        <v>105.683996</v>
      </c>
      <c r="F37" s="329">
        <v>20.941844</v>
      </c>
      <c r="G37" s="282" t="s">
        <v>21288</v>
      </c>
      <c r="H37" s="314">
        <v>1</v>
      </c>
      <c r="I37" s="282">
        <v>124970</v>
      </c>
      <c r="J37" s="282" t="s">
        <v>21312</v>
      </c>
      <c r="K37" s="399" t="s">
        <v>21313</v>
      </c>
      <c r="L37" s="282" t="s">
        <v>21314</v>
      </c>
      <c r="M37" s="282">
        <v>3</v>
      </c>
      <c r="N37" s="282">
        <v>2100</v>
      </c>
      <c r="O37" s="282" t="s">
        <v>21343</v>
      </c>
      <c r="P37" s="341">
        <v>8</v>
      </c>
      <c r="R37" s="333">
        <v>1</v>
      </c>
      <c r="S37" s="282" t="b">
        <v>1</v>
      </c>
      <c r="T37" s="282" t="s">
        <v>21199</v>
      </c>
      <c r="V37" s="282" t="s">
        <v>21297</v>
      </c>
      <c r="W37" s="282" t="s">
        <v>21200</v>
      </c>
      <c r="X37" s="464">
        <v>43748</v>
      </c>
      <c r="Y37" s="282" t="b">
        <v>1</v>
      </c>
      <c r="Z37" s="282" t="b">
        <v>0</v>
      </c>
      <c r="AB37" s="282" t="b">
        <v>1</v>
      </c>
      <c r="AC37" s="282">
        <v>8</v>
      </c>
      <c r="AD37" s="282" t="b">
        <v>0</v>
      </c>
      <c r="AE37" s="282" t="s">
        <v>21299</v>
      </c>
      <c r="AF37" s="282" t="s">
        <v>21300</v>
      </c>
    </row>
    <row r="38" ht="38.25">
      <c r="A38" s="314">
        <v>36</v>
      </c>
      <c r="B38" s="314">
        <v>124791</v>
      </c>
      <c r="C38" s="330" t="s">
        <v>21201</v>
      </c>
      <c r="D38" s="329" t="s">
        <v>20855</v>
      </c>
      <c r="E38" s="329">
        <v>105.738588</v>
      </c>
      <c r="F38" s="329">
        <v>20.986976</v>
      </c>
      <c r="G38" s="282" t="s">
        <v>21288</v>
      </c>
      <c r="H38" s="314">
        <v>1</v>
      </c>
      <c r="I38" s="282">
        <v>124791</v>
      </c>
      <c r="J38" s="282" t="s">
        <v>21312</v>
      </c>
      <c r="K38" s="399" t="s">
        <v>21313</v>
      </c>
      <c r="L38" s="282" t="s">
        <v>21314</v>
      </c>
      <c r="M38" s="282">
        <v>3</v>
      </c>
      <c r="N38" s="282">
        <v>2100</v>
      </c>
      <c r="O38" s="282" t="s">
        <v>21399</v>
      </c>
      <c r="P38" s="341">
        <v>21</v>
      </c>
      <c r="R38" s="333">
        <v>1</v>
      </c>
      <c r="S38" s="282" t="b">
        <v>1</v>
      </c>
      <c r="T38" s="282" t="s">
        <v>21202</v>
      </c>
      <c r="V38" s="282" t="s">
        <v>21297</v>
      </c>
      <c r="W38" s="282" t="s">
        <v>21203</v>
      </c>
      <c r="X38" s="464">
        <v>43748</v>
      </c>
      <c r="Y38" s="282" t="b">
        <v>0</v>
      </c>
      <c r="Z38" s="282" t="b">
        <v>0</v>
      </c>
      <c r="AB38" s="282" t="b">
        <v>1</v>
      </c>
      <c r="AC38" s="282">
        <v>21</v>
      </c>
      <c r="AD38" s="282" t="b">
        <v>0</v>
      </c>
      <c r="AE38" s="282" t="s">
        <v>21299</v>
      </c>
      <c r="AF38" s="282" t="s">
        <v>21300</v>
      </c>
    </row>
    <row r="39" ht="25.5">
      <c r="A39" s="314">
        <v>37</v>
      </c>
      <c r="B39" s="314">
        <v>124800</v>
      </c>
      <c r="C39" s="330" t="s">
        <v>21204</v>
      </c>
      <c r="D39" s="329" t="s">
        <v>20855</v>
      </c>
      <c r="E39" s="329">
        <v>105.75563</v>
      </c>
      <c r="F39" s="329">
        <v>20.942788</v>
      </c>
      <c r="G39" s="282" t="s">
        <v>21288</v>
      </c>
      <c r="H39" s="314">
        <v>1</v>
      </c>
      <c r="I39" s="282">
        <v>124800</v>
      </c>
      <c r="J39" s="282" t="s">
        <v>21312</v>
      </c>
      <c r="K39" s="399" t="s">
        <v>21313</v>
      </c>
      <c r="L39" s="282" t="s">
        <v>21314</v>
      </c>
      <c r="M39" s="282">
        <v>3</v>
      </c>
      <c r="N39" s="282">
        <v>2100</v>
      </c>
      <c r="O39" s="282" t="s">
        <v>21343</v>
      </c>
      <c r="P39" s="341">
        <v>18</v>
      </c>
      <c r="R39" s="333">
        <v>1</v>
      </c>
      <c r="S39" s="282" t="b">
        <v>1</v>
      </c>
      <c r="T39" s="282" t="s">
        <v>21205</v>
      </c>
      <c r="V39" s="282" t="s">
        <v>21297</v>
      </c>
      <c r="W39" s="282" t="s">
        <v>21206</v>
      </c>
      <c r="X39" s="464">
        <v>43748</v>
      </c>
      <c r="Y39" s="282" t="b">
        <v>0</v>
      </c>
      <c r="Z39" s="282" t="b">
        <v>0</v>
      </c>
      <c r="AB39" s="282" t="b">
        <v>1</v>
      </c>
      <c r="AC39" s="282">
        <v>18</v>
      </c>
      <c r="AD39" s="282" t="b">
        <v>0</v>
      </c>
      <c r="AE39" s="282" t="s">
        <v>21299</v>
      </c>
      <c r="AF39" s="282" t="s">
        <v>21300</v>
      </c>
    </row>
    <row r="40" ht="25.5">
      <c r="A40" s="314">
        <v>38</v>
      </c>
      <c r="B40" s="314">
        <v>124777</v>
      </c>
      <c r="C40" s="330" t="s">
        <v>21207</v>
      </c>
      <c r="D40" s="329" t="s">
        <v>20855</v>
      </c>
      <c r="E40" s="329">
        <v>105.782002</v>
      </c>
      <c r="F40" s="329">
        <v>20.805605</v>
      </c>
      <c r="G40" s="282" t="s">
        <v>21288</v>
      </c>
      <c r="H40" s="314">
        <v>1</v>
      </c>
      <c r="I40" s="282">
        <v>124777</v>
      </c>
      <c r="J40" s="282" t="s">
        <v>21312</v>
      </c>
      <c r="K40" s="399" t="s">
        <v>21313</v>
      </c>
      <c r="L40" s="282" t="s">
        <v>21314</v>
      </c>
      <c r="M40" s="282">
        <v>3</v>
      </c>
      <c r="N40" s="282">
        <v>2100</v>
      </c>
      <c r="O40" s="282" t="s">
        <v>21410</v>
      </c>
      <c r="P40" s="341">
        <v>8</v>
      </c>
      <c r="R40" s="333">
        <v>1</v>
      </c>
      <c r="S40" s="282" t="b">
        <v>1</v>
      </c>
      <c r="T40" s="282" t="s">
        <v>21208</v>
      </c>
      <c r="V40" s="282" t="s">
        <v>21297</v>
      </c>
      <c r="W40" s="282" t="s">
        <v>21209</v>
      </c>
      <c r="X40" s="464">
        <v>43748</v>
      </c>
      <c r="Y40" s="282" t="b">
        <v>1</v>
      </c>
      <c r="Z40" s="282" t="b">
        <v>0</v>
      </c>
      <c r="AB40" s="282" t="b">
        <v>1</v>
      </c>
      <c r="AC40" s="282">
        <v>8</v>
      </c>
      <c r="AD40" s="282" t="b">
        <v>0</v>
      </c>
      <c r="AE40" s="282" t="s">
        <v>21299</v>
      </c>
      <c r="AF40" s="282" t="s">
        <v>21300</v>
      </c>
    </row>
    <row r="41" ht="51">
      <c r="A41" s="314">
        <v>39</v>
      </c>
      <c r="B41" s="314">
        <v>124730</v>
      </c>
      <c r="C41" s="330" t="s">
        <v>21210</v>
      </c>
      <c r="D41" s="329" t="s">
        <v>20855</v>
      </c>
      <c r="E41" s="329">
        <v>105.822011</v>
      </c>
      <c r="F41" s="329">
        <v>20.990358</v>
      </c>
      <c r="G41" s="282" t="s">
        <v>21288</v>
      </c>
      <c r="H41" s="314">
        <v>1</v>
      </c>
      <c r="I41" s="282">
        <v>124730</v>
      </c>
      <c r="J41" s="282" t="s">
        <v>21312</v>
      </c>
      <c r="K41" s="399" t="s">
        <v>21313</v>
      </c>
      <c r="L41" s="282" t="s">
        <v>21314</v>
      </c>
      <c r="M41" s="282">
        <v>3</v>
      </c>
      <c r="N41" s="282">
        <v>2100</v>
      </c>
      <c r="O41" s="282" t="s">
        <v>21399</v>
      </c>
      <c r="P41" s="341">
        <v>21</v>
      </c>
      <c r="R41" s="333">
        <v>1</v>
      </c>
      <c r="S41" s="282" t="b">
        <v>1</v>
      </c>
      <c r="T41" s="282" t="s">
        <v>21211</v>
      </c>
      <c r="V41" s="282" t="s">
        <v>21297</v>
      </c>
      <c r="W41" s="282" t="s">
        <v>21212</v>
      </c>
      <c r="X41" s="464">
        <v>43748</v>
      </c>
      <c r="Y41" s="282" t="b">
        <v>0</v>
      </c>
      <c r="Z41" s="282" t="b">
        <v>0</v>
      </c>
      <c r="AB41" s="282" t="b">
        <v>1</v>
      </c>
      <c r="AC41" s="282">
        <v>21</v>
      </c>
      <c r="AD41" s="282" t="b">
        <v>0</v>
      </c>
      <c r="AE41" s="282" t="s">
        <v>21299</v>
      </c>
      <c r="AF41" s="282" t="s">
        <v>21300</v>
      </c>
    </row>
    <row r="42" ht="38.25">
      <c r="A42" s="314">
        <v>40</v>
      </c>
      <c r="B42" s="314">
        <v>124807</v>
      </c>
      <c r="C42" s="330" t="s">
        <v>21213</v>
      </c>
      <c r="D42" s="329" t="s">
        <v>20855</v>
      </c>
      <c r="E42" s="329">
        <v>105.820882</v>
      </c>
      <c r="F42" s="329">
        <v>20.983029</v>
      </c>
      <c r="G42" s="282" t="s">
        <v>21288</v>
      </c>
      <c r="H42" s="314">
        <v>1</v>
      </c>
      <c r="I42" s="282">
        <v>124807</v>
      </c>
      <c r="J42" s="282" t="s">
        <v>21312</v>
      </c>
      <c r="K42" s="399" t="s">
        <v>21313</v>
      </c>
      <c r="L42" s="282" t="s">
        <v>21314</v>
      </c>
      <c r="M42" s="282">
        <v>3</v>
      </c>
      <c r="N42" s="282">
        <v>2100</v>
      </c>
      <c r="O42" s="282" t="s">
        <v>21532</v>
      </c>
      <c r="P42" s="341">
        <v>18</v>
      </c>
      <c r="R42" s="333">
        <v>1</v>
      </c>
      <c r="S42" s="282" t="b">
        <v>1</v>
      </c>
      <c r="T42" s="282" t="s">
        <v>21214</v>
      </c>
      <c r="V42" s="282" t="s">
        <v>21297</v>
      </c>
      <c r="W42" s="282" t="s">
        <v>21215</v>
      </c>
      <c r="X42" s="464">
        <v>43748</v>
      </c>
      <c r="Y42" s="282" t="b">
        <v>0</v>
      </c>
      <c r="Z42" s="282" t="b">
        <v>0</v>
      </c>
      <c r="AB42" s="282" t="b">
        <v>1</v>
      </c>
      <c r="AC42" s="282">
        <v>18</v>
      </c>
      <c r="AD42" s="282" t="b">
        <v>0</v>
      </c>
      <c r="AE42" s="282" t="s">
        <v>21299</v>
      </c>
      <c r="AF42" s="282" t="s">
        <v>21300</v>
      </c>
    </row>
    <row r="43" ht="38.25">
      <c r="A43" s="314">
        <v>41</v>
      </c>
      <c r="B43" s="314">
        <v>124941</v>
      </c>
      <c r="C43" s="330" t="s">
        <v>21216</v>
      </c>
      <c r="D43" s="329" t="s">
        <v>20855</v>
      </c>
      <c r="E43" s="329">
        <v>105.859908</v>
      </c>
      <c r="F43" s="329">
        <v>20.990874</v>
      </c>
      <c r="G43" s="282" t="s">
        <v>21288</v>
      </c>
      <c r="H43" s="314">
        <v>1</v>
      </c>
      <c r="I43" s="282">
        <v>124941</v>
      </c>
      <c r="J43" s="282" t="s">
        <v>21312</v>
      </c>
      <c r="K43" s="399" t="s">
        <v>21313</v>
      </c>
      <c r="L43" s="282" t="s">
        <v>21314</v>
      </c>
      <c r="M43" s="282">
        <v>3</v>
      </c>
      <c r="N43" s="282">
        <v>2100</v>
      </c>
      <c r="O43" s="282" t="s">
        <v>21399</v>
      </c>
      <c r="P43" s="341">
        <v>18</v>
      </c>
      <c r="R43" s="333">
        <v>1</v>
      </c>
      <c r="S43" s="282" t="b">
        <v>1</v>
      </c>
      <c r="T43" s="282" t="s">
        <v>21217</v>
      </c>
      <c r="V43" s="282" t="s">
        <v>21297</v>
      </c>
      <c r="W43" s="282" t="s">
        <v>21218</v>
      </c>
      <c r="X43" s="464">
        <v>43748</v>
      </c>
      <c r="Y43" s="282" t="b">
        <v>0</v>
      </c>
      <c r="Z43" s="282" t="b">
        <v>0</v>
      </c>
      <c r="AB43" s="282" t="b">
        <v>1</v>
      </c>
      <c r="AC43" s="282">
        <v>18</v>
      </c>
      <c r="AD43" s="282" t="b">
        <v>0</v>
      </c>
      <c r="AE43" s="282" t="s">
        <v>21299</v>
      </c>
      <c r="AF43" s="282" t="s">
        <v>21300</v>
      </c>
    </row>
    <row r="44" ht="38.25">
      <c r="A44" s="314">
        <v>42</v>
      </c>
      <c r="B44" s="314">
        <v>124107</v>
      </c>
      <c r="C44" s="330" t="s">
        <v>21219</v>
      </c>
      <c r="D44" s="329" t="s">
        <v>20855</v>
      </c>
      <c r="E44" s="329">
        <v>105.841328</v>
      </c>
      <c r="F44" s="329">
        <v>21.041262</v>
      </c>
      <c r="G44" s="282" t="s">
        <v>21288</v>
      </c>
      <c r="H44" s="314">
        <v>1</v>
      </c>
      <c r="I44" s="282">
        <v>124107</v>
      </c>
      <c r="J44" s="282" t="s">
        <v>21312</v>
      </c>
      <c r="K44" s="399" t="s">
        <v>21313</v>
      </c>
      <c r="L44" s="282" t="s">
        <v>21314</v>
      </c>
      <c r="M44" s="282">
        <v>3</v>
      </c>
      <c r="N44" s="282">
        <v>2100</v>
      </c>
      <c r="O44" s="282" t="s">
        <v>21417</v>
      </c>
      <c r="P44" s="341">
        <v>28</v>
      </c>
      <c r="R44" s="333">
        <v>1</v>
      </c>
      <c r="S44" s="282" t="b">
        <v>1</v>
      </c>
      <c r="T44" s="282" t="s">
        <v>21220</v>
      </c>
      <c r="V44" s="282" t="s">
        <v>21297</v>
      </c>
      <c r="W44" s="282" t="s">
        <v>21221</v>
      </c>
      <c r="X44" s="464">
        <v>43748</v>
      </c>
      <c r="Y44" s="282" t="b">
        <v>0</v>
      </c>
      <c r="Z44" s="282" t="b">
        <v>0</v>
      </c>
      <c r="AB44" s="282" t="b">
        <v>1</v>
      </c>
      <c r="AC44" s="282">
        <v>28</v>
      </c>
      <c r="AD44" s="282" t="b">
        <v>0</v>
      </c>
      <c r="AE44" s="282" t="s">
        <v>21299</v>
      </c>
      <c r="AF44" s="282" t="s">
        <v>21300</v>
      </c>
    </row>
    <row r="45" ht="25.5">
      <c r="A45" s="314">
        <v>43</v>
      </c>
      <c r="B45" s="314">
        <v>124703</v>
      </c>
      <c r="C45" s="330" t="s">
        <v>21222</v>
      </c>
      <c r="D45" s="329" t="s">
        <v>20855</v>
      </c>
      <c r="E45" s="329">
        <v>105.87647</v>
      </c>
      <c r="F45" s="329">
        <v>21.04955</v>
      </c>
      <c r="G45" s="282" t="s">
        <v>21288</v>
      </c>
      <c r="H45" s="314">
        <v>1</v>
      </c>
      <c r="I45" s="282">
        <v>124703</v>
      </c>
      <c r="J45" s="282" t="s">
        <v>21312</v>
      </c>
      <c r="K45" s="399" t="s">
        <v>21313</v>
      </c>
      <c r="L45" s="282" t="s">
        <v>21314</v>
      </c>
      <c r="M45" s="282">
        <v>3</v>
      </c>
      <c r="N45" s="282">
        <v>2100</v>
      </c>
      <c r="O45" s="282" t="s">
        <v>21399</v>
      </c>
      <c r="P45" s="341">
        <v>18</v>
      </c>
      <c r="R45" s="333">
        <v>1</v>
      </c>
      <c r="S45" s="282" t="b">
        <v>1</v>
      </c>
      <c r="T45" s="282" t="s">
        <v>21223</v>
      </c>
      <c r="V45" s="282" t="s">
        <v>21297</v>
      </c>
      <c r="W45" s="282" t="s">
        <v>21224</v>
      </c>
      <c r="X45" s="464">
        <v>43748</v>
      </c>
      <c r="Y45" s="282" t="b">
        <v>0</v>
      </c>
      <c r="Z45" s="282" t="b">
        <v>0</v>
      </c>
      <c r="AB45" s="282" t="b">
        <v>1</v>
      </c>
      <c r="AC45" s="282">
        <v>18</v>
      </c>
      <c r="AD45" s="282" t="b">
        <v>0</v>
      </c>
      <c r="AE45" s="282" t="s">
        <v>21299</v>
      </c>
      <c r="AF45" s="282" t="s">
        <v>21300</v>
      </c>
    </row>
    <row r="46" ht="25.5">
      <c r="A46" s="314">
        <v>44</v>
      </c>
      <c r="B46" s="314">
        <v>124677</v>
      </c>
      <c r="C46" s="330" t="s">
        <v>21225</v>
      </c>
      <c r="D46" s="329" t="s">
        <v>20855</v>
      </c>
      <c r="E46" s="329">
        <v>105.964745</v>
      </c>
      <c r="F46" s="329">
        <v>21.016525</v>
      </c>
      <c r="G46" s="282" t="s">
        <v>21288</v>
      </c>
      <c r="H46" s="314">
        <v>1</v>
      </c>
      <c r="I46" s="282">
        <v>124677</v>
      </c>
      <c r="J46" s="282" t="s">
        <v>21312</v>
      </c>
      <c r="K46" s="399" t="s">
        <v>21313</v>
      </c>
      <c r="L46" s="282" t="s">
        <v>21314</v>
      </c>
      <c r="M46" s="282">
        <v>3</v>
      </c>
      <c r="N46" s="282">
        <v>2100</v>
      </c>
      <c r="O46" s="282" t="s">
        <v>21386</v>
      </c>
      <c r="P46" s="341">
        <v>21</v>
      </c>
      <c r="R46" s="333">
        <v>1</v>
      </c>
      <c r="S46" s="282" t="b">
        <v>1</v>
      </c>
      <c r="T46" s="282" t="s">
        <v>21226</v>
      </c>
      <c r="V46" s="282" t="s">
        <v>21297</v>
      </c>
      <c r="W46" s="282" t="s">
        <v>21227</v>
      </c>
      <c r="X46" s="464">
        <v>43748</v>
      </c>
      <c r="Y46" s="282" t="b">
        <v>0</v>
      </c>
      <c r="Z46" s="282" t="b">
        <v>0</v>
      </c>
      <c r="AB46" s="282" t="b">
        <v>1</v>
      </c>
      <c r="AC46" s="282">
        <v>21</v>
      </c>
      <c r="AD46" s="282" t="b">
        <v>0</v>
      </c>
      <c r="AE46" s="282" t="s">
        <v>21299</v>
      </c>
      <c r="AF46" s="282" t="s">
        <v>21300</v>
      </c>
    </row>
    <row r="47" ht="38.25">
      <c r="A47" s="314">
        <v>45</v>
      </c>
      <c r="B47" s="314">
        <v>124763</v>
      </c>
      <c r="C47" s="330" t="s">
        <v>21228</v>
      </c>
      <c r="D47" s="329" t="s">
        <v>20855</v>
      </c>
      <c r="E47" s="329">
        <v>105.82129</v>
      </c>
      <c r="F47" s="329">
        <v>21.101444</v>
      </c>
      <c r="G47" s="282" t="s">
        <v>21288</v>
      </c>
      <c r="H47" s="314">
        <v>1</v>
      </c>
      <c r="I47" s="282">
        <v>124763</v>
      </c>
      <c r="J47" s="282" t="s">
        <v>21312</v>
      </c>
      <c r="K47" s="399" t="s">
        <v>21313</v>
      </c>
      <c r="L47" s="282" t="s">
        <v>21314</v>
      </c>
      <c r="M47" s="282">
        <v>3</v>
      </c>
      <c r="N47" s="282">
        <v>2100</v>
      </c>
      <c r="O47" s="282" t="s">
        <v>21377</v>
      </c>
      <c r="P47" s="341">
        <v>4</v>
      </c>
      <c r="R47" s="333">
        <v>1</v>
      </c>
      <c r="S47" s="282" t="b">
        <v>1</v>
      </c>
      <c r="T47" s="282" t="s">
        <v>21229</v>
      </c>
      <c r="V47" s="282" t="s">
        <v>21297</v>
      </c>
      <c r="W47" s="282" t="s">
        <v>21230</v>
      </c>
      <c r="X47" s="464">
        <v>43748</v>
      </c>
      <c r="Y47" s="282" t="b">
        <v>1</v>
      </c>
      <c r="Z47" s="282" t="b">
        <v>1</v>
      </c>
      <c r="AB47" s="282" t="b">
        <v>1</v>
      </c>
      <c r="AC47" s="282">
        <v>4</v>
      </c>
      <c r="AD47" s="282" t="b">
        <v>0</v>
      </c>
      <c r="AE47" s="282" t="s">
        <v>21299</v>
      </c>
      <c r="AF47" s="282" t="s">
        <v>21300</v>
      </c>
    </row>
    <row r="48" ht="38.25">
      <c r="A48" s="314">
        <v>46</v>
      </c>
      <c r="B48" s="314">
        <v>124450</v>
      </c>
      <c r="C48" s="330" t="s">
        <v>21231</v>
      </c>
      <c r="D48" s="329" t="s">
        <v>20855</v>
      </c>
      <c r="E48" s="329">
        <v>105.763641</v>
      </c>
      <c r="F48" s="329">
        <v>21.035005</v>
      </c>
      <c r="G48" s="282" t="s">
        <v>21310</v>
      </c>
      <c r="H48" s="314">
        <v>2</v>
      </c>
      <c r="I48" s="282" t="s">
        <v>21555</v>
      </c>
      <c r="J48" s="282" t="s">
        <v>21453</v>
      </c>
      <c r="K48" s="399" t="s">
        <v>21454</v>
      </c>
      <c r="L48" s="282" t="s">
        <v>21294</v>
      </c>
      <c r="M48" s="282" t="s">
        <v>21292</v>
      </c>
      <c r="N48" s="282" t="s">
        <v>21295</v>
      </c>
      <c r="O48" s="282" t="s">
        <v>21556</v>
      </c>
      <c r="P48" s="341">
        <v>73</v>
      </c>
      <c r="R48" s="333">
        <v>1</v>
      </c>
      <c r="S48" s="282" t="b">
        <v>1</v>
      </c>
      <c r="T48" s="282" t="s">
        <v>21232</v>
      </c>
      <c r="V48" s="282" t="s">
        <v>21297</v>
      </c>
      <c r="W48" s="282" t="s">
        <v>21233</v>
      </c>
      <c r="X48" s="464">
        <v>43748</v>
      </c>
      <c r="Y48" s="282" t="b">
        <v>0</v>
      </c>
      <c r="Z48" s="282" t="b">
        <v>0</v>
      </c>
      <c r="AB48" s="282" t="b">
        <v>1</v>
      </c>
      <c r="AC48" s="282">
        <v>73</v>
      </c>
      <c r="AD48" s="282" t="b">
        <v>0</v>
      </c>
      <c r="AE48" s="282" t="s">
        <v>21299</v>
      </c>
      <c r="AF48" s="282" t="s">
        <v>21300</v>
      </c>
    </row>
  </sheetData>
  <sheetProtection formatCells="0" formatColumns="0" formatRows="0" sort="0" autoFilter="0" pivotTables="0"/>
  <phoneticPr fontId="100" type="noConversion"/>
  <dataValidations count="1">
    <dataValidation type="list" allowBlank="1" showInputMessage="1" showErrorMessage="1" sqref="X2 V3:V1048576" xr:uid="{4C3866EB-0951-450D-999C-259202B3BF50}">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21562</v>
      </c>
      <c r="C1" s="335" t="s">
        <v>21563</v>
      </c>
      <c r="D1" s="335" t="s">
        <v>21564</v>
      </c>
      <c r="E1" s="321" t="s">
        <v>21565</v>
      </c>
      <c r="F1" s="321" t="s">
        <v>21566</v>
      </c>
      <c r="G1" s="321" t="s">
        <v>21567</v>
      </c>
      <c r="H1" s="322" t="s">
        <v>21602</v>
      </c>
      <c r="I1" s="323"/>
      <c r="J1" s="323"/>
    </row>
    <row r="2" ht="30">
      <c r="A2" s="325">
        <v>1</v>
      </c>
      <c r="B2" s="217">
        <v>359018</v>
      </c>
      <c r="C2" s="326" t="s">
        <v>22366</v>
      </c>
      <c r="D2" s="325" t="s">
        <v>20917</v>
      </c>
      <c r="E2" s="327">
        <v>106.698889</v>
      </c>
      <c r="F2" s="217">
        <v>10.759444</v>
      </c>
      <c r="G2" s="217">
        <v>1</v>
      </c>
      <c r="H2" s="325" t="str">
        <f>INDEX(CityIDList,MATCH(D2,CityNameList,0))</f>
        <v>HCM</v>
      </c>
    </row>
    <row r="3" ht="45">
      <c r="A3" s="325">
        <v>2</v>
      </c>
      <c r="B3" s="217">
        <v>359184</v>
      </c>
      <c r="C3" s="326" t="s">
        <v>22367</v>
      </c>
      <c r="D3" s="325" t="s">
        <v>20917</v>
      </c>
      <c r="E3" s="327">
        <v>106.6932</v>
      </c>
      <c r="F3" s="217">
        <v>10.77212</v>
      </c>
      <c r="G3" s="217">
        <v>1</v>
      </c>
      <c r="H3" s="325" t="str">
        <f>INDEX(CityIDList,MATCH(D3,CityNameList,0))</f>
        <v>HCM</v>
      </c>
    </row>
    <row r="4" ht="45">
      <c r="A4" s="325">
        <v>3</v>
      </c>
      <c r="B4" s="217">
        <v>359356</v>
      </c>
      <c r="C4" s="326" t="s">
        <v>22368</v>
      </c>
      <c r="D4" s="325" t="s">
        <v>20917</v>
      </c>
      <c r="E4" s="327">
        <v>106.68681</v>
      </c>
      <c r="F4" s="217">
        <v>10.76398</v>
      </c>
      <c r="G4" s="217">
        <v>1</v>
      </c>
      <c r="H4" s="325" t="str">
        <f>INDEX(CityIDList,MATCH(D4,CityNameList,0))</f>
        <v>HCM</v>
      </c>
    </row>
    <row r="5" ht="30">
      <c r="A5" s="325">
        <v>5</v>
      </c>
      <c r="B5" s="217">
        <v>359389</v>
      </c>
      <c r="C5" s="326" t="s">
        <v>22369</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115" zoomScaleNormal="115" workbookViewId="0">
      <pane xSplit="3" ySplit="1" topLeftCell="D2" activePane="bottomRight" state="frozen"/>
      <selection activeCell="G5" sqref="G5"/>
      <selection pane="topRight" activeCell="G5" sqref="G5"/>
      <selection pane="bottomLeft" activeCell="G5" sqref="G5"/>
      <selection pane="bottomRight" sqref="A1:AC48"/>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464"/>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21562</v>
      </c>
      <c r="C1" s="377" t="s">
        <v>21563</v>
      </c>
      <c r="D1" s="368" t="s">
        <v>21564</v>
      </c>
      <c r="E1" s="406" t="s">
        <v>21565</v>
      </c>
      <c r="F1" s="406" t="s">
        <v>21566</v>
      </c>
      <c r="G1" s="369" t="s">
        <v>21567</v>
      </c>
      <c r="H1" s="370" t="s">
        <v>21568</v>
      </c>
      <c r="I1" s="371" t="s">
        <v>21615</v>
      </c>
      <c r="J1" s="371" t="s">
        <v>21570</v>
      </c>
      <c r="K1" s="371" t="s">
        <v>21571</v>
      </c>
      <c r="L1" s="371" t="s">
        <v>21572</v>
      </c>
      <c r="M1" s="371" t="s">
        <v>21573</v>
      </c>
      <c r="N1" s="371" t="s">
        <v>21574</v>
      </c>
      <c r="O1" s="371" t="s">
        <v>21575</v>
      </c>
      <c r="P1" s="371" t="s">
        <v>21576</v>
      </c>
      <c r="Q1" s="372" t="s">
        <v>21577</v>
      </c>
      <c r="R1" s="373" t="s">
        <v>21284</v>
      </c>
      <c r="S1" s="373" t="s">
        <v>21578</v>
      </c>
      <c r="T1" s="373" t="s">
        <v>21579</v>
      </c>
      <c r="U1" s="336" t="s">
        <v>21580</v>
      </c>
      <c r="V1" s="467" t="s">
        <v>21581</v>
      </c>
      <c r="W1" s="337" t="s">
        <v>21582</v>
      </c>
      <c r="X1" s="337" t="s">
        <v>21583</v>
      </c>
      <c r="Y1" s="337" t="s">
        <v>21585</v>
      </c>
      <c r="Z1" s="340" t="s">
        <v>21586</v>
      </c>
      <c r="AA1" s="337" t="s">
        <v>21587</v>
      </c>
      <c r="AB1" s="408" t="s">
        <v>21588</v>
      </c>
      <c r="AC1" s="408" t="s">
        <v>21589</v>
      </c>
    </row>
    <row r="2" ht="90">
      <c r="A2" s="431" t="s">
        <v>20973</v>
      </c>
      <c r="B2" s="423" t="s">
        <v>22268</v>
      </c>
      <c r="C2" s="423" t="s">
        <v>22352</v>
      </c>
      <c r="D2" s="423" t="s">
        <v>22353</v>
      </c>
      <c r="E2" s="424" t="s">
        <v>22281</v>
      </c>
      <c r="F2" s="424" t="s">
        <v>22284</v>
      </c>
      <c r="G2" s="423" t="s">
        <v>22354</v>
      </c>
      <c r="H2" s="425" t="s">
        <v>22355</v>
      </c>
      <c r="I2" s="426" t="s">
        <v>22356</v>
      </c>
      <c r="J2" s="433" t="s">
        <v>22357</v>
      </c>
      <c r="K2" s="433" t="s">
        <v>22358</v>
      </c>
      <c r="L2" s="426" t="s">
        <v>22359</v>
      </c>
      <c r="M2" s="434" t="s">
        <v>22360</v>
      </c>
      <c r="N2" s="433" t="s">
        <v>22361</v>
      </c>
      <c r="O2" s="433" t="s">
        <v>22362</v>
      </c>
      <c r="P2" s="433" t="s">
        <v>22363</v>
      </c>
      <c r="Q2" s="426" t="s">
        <v>22320</v>
      </c>
      <c r="R2" s="431" t="s">
        <v>22321</v>
      </c>
      <c r="S2" s="435" t="s">
        <v>22322</v>
      </c>
      <c r="T2" s="435" t="s">
        <v>22325</v>
      </c>
      <c r="U2" s="426" t="s">
        <v>21092</v>
      </c>
      <c r="V2" s="468" t="s">
        <v>22327</v>
      </c>
      <c r="W2" s="426" t="s">
        <v>22329</v>
      </c>
      <c r="X2" s="427" t="s">
        <v>22331</v>
      </c>
      <c r="Y2" s="426" t="s">
        <v>22364</v>
      </c>
      <c r="Z2" s="428" t="s">
        <v>22365</v>
      </c>
      <c r="AA2" s="426" t="s">
        <v>22340</v>
      </c>
      <c r="AB2" s="431" t="s">
        <v>22349</v>
      </c>
      <c r="AC2" s="431" t="s">
        <v>22351</v>
      </c>
    </row>
    <row r="3" ht="38.25">
      <c r="A3" s="320">
        <v>1</v>
      </c>
      <c r="B3" s="415">
        <v>128521</v>
      </c>
      <c r="C3" s="416" t="s">
        <v>21097</v>
      </c>
      <c r="D3" s="417" t="s">
        <v>20859</v>
      </c>
      <c r="E3" s="418">
        <v>106.649429</v>
      </c>
      <c r="F3" s="418">
        <v>20.875002</v>
      </c>
      <c r="G3" s="419">
        <v>1</v>
      </c>
      <c r="H3" s="320">
        <v>2</v>
      </c>
      <c r="I3" s="342" t="s">
        <v>21310</v>
      </c>
      <c r="J3" s="342" t="s">
        <v>21290</v>
      </c>
      <c r="K3" s="342" t="s">
        <v>21291</v>
      </c>
      <c r="L3" s="342" t="s">
        <v>21292</v>
      </c>
      <c r="M3" s="420" t="s">
        <v>21293</v>
      </c>
      <c r="N3" s="342" t="s">
        <v>21294</v>
      </c>
      <c r="O3" s="342" t="s">
        <v>21295</v>
      </c>
      <c r="P3" s="342" t="s">
        <v>21296</v>
      </c>
      <c r="Q3" s="342" t="b">
        <v>1</v>
      </c>
      <c r="R3" s="342" t="s">
        <v>21098</v>
      </c>
      <c r="S3" s="342">
        <v>0</v>
      </c>
      <c r="T3" s="342" t="s">
        <v>21297</v>
      </c>
      <c r="U3" s="342" t="s">
        <v>21099</v>
      </c>
      <c r="V3" s="469">
        <v>43748</v>
      </c>
      <c r="W3" s="342" t="b">
        <v>0</v>
      </c>
      <c r="X3" s="421" t="b">
        <v>0</v>
      </c>
      <c r="Y3" s="342" t="b">
        <v>1</v>
      </c>
      <c r="Z3" s="422">
        <v>18</v>
      </c>
      <c r="AA3" s="342" t="b">
        <v>0</v>
      </c>
      <c r="AB3" s="342" t="s">
        <v>21299</v>
      </c>
      <c r="AC3" s="342" t="s">
        <v>21300</v>
      </c>
    </row>
    <row r="4" ht="38.25">
      <c r="A4" s="320">
        <v>2</v>
      </c>
      <c r="B4" s="415">
        <v>128173</v>
      </c>
      <c r="C4" s="416" t="s">
        <v>21100</v>
      </c>
      <c r="D4" s="417" t="s">
        <v>20859</v>
      </c>
      <c r="E4" s="418">
        <v>106.678771</v>
      </c>
      <c r="F4" s="418">
        <v>20.85682</v>
      </c>
      <c r="G4" s="419">
        <v>1</v>
      </c>
      <c r="H4" s="320">
        <v>2</v>
      </c>
      <c r="I4" s="342" t="s">
        <v>21310</v>
      </c>
      <c r="J4" s="342" t="s">
        <v>21322</v>
      </c>
      <c r="K4" s="342" t="s">
        <v>21323</v>
      </c>
      <c r="L4" s="342" t="s">
        <v>21292</v>
      </c>
      <c r="M4" s="420" t="s">
        <v>21293</v>
      </c>
      <c r="N4" s="342" t="s">
        <v>21294</v>
      </c>
      <c r="O4" s="342" t="s">
        <v>21295</v>
      </c>
      <c r="P4" s="342" t="s">
        <v>21296</v>
      </c>
      <c r="Q4" s="342" t="b">
        <v>1</v>
      </c>
      <c r="R4" s="342" t="s">
        <v>21101</v>
      </c>
      <c r="S4" s="342">
        <v>0</v>
      </c>
      <c r="T4" s="342" t="s">
        <v>21297</v>
      </c>
      <c r="U4" s="342" t="s">
        <v>21102</v>
      </c>
      <c r="V4" s="469">
        <v>43748</v>
      </c>
      <c r="W4" s="342" t="b">
        <v>0</v>
      </c>
      <c r="X4" s="421" t="b">
        <v>0</v>
      </c>
      <c r="Y4" s="342" t="b">
        <v>1</v>
      </c>
      <c r="Z4" s="422">
        <v>21</v>
      </c>
      <c r="AA4" s="342" t="b">
        <v>0</v>
      </c>
      <c r="AB4" s="342" t="s">
        <v>21299</v>
      </c>
      <c r="AC4" s="342" t="s">
        <v>21300</v>
      </c>
    </row>
    <row r="5" ht="38.25">
      <c r="A5" s="320">
        <v>3</v>
      </c>
      <c r="B5" s="415">
        <v>128167</v>
      </c>
      <c r="C5" s="416" t="s">
        <v>21103</v>
      </c>
      <c r="D5" s="417" t="s">
        <v>20859</v>
      </c>
      <c r="E5" s="418">
        <v>106.69343</v>
      </c>
      <c r="F5" s="418">
        <v>20.857695</v>
      </c>
      <c r="G5" s="419">
        <v>1</v>
      </c>
      <c r="H5" s="320">
        <v>2</v>
      </c>
      <c r="I5" s="342" t="s">
        <v>21310</v>
      </c>
      <c r="J5" s="342" t="s">
        <v>21328</v>
      </c>
      <c r="K5" s="342" t="s">
        <v>21291</v>
      </c>
      <c r="L5" s="342" t="s">
        <v>21292</v>
      </c>
      <c r="M5" s="420" t="s">
        <v>21293</v>
      </c>
      <c r="N5" s="342" t="s">
        <v>21294</v>
      </c>
      <c r="O5" s="342" t="s">
        <v>21295</v>
      </c>
      <c r="P5" s="342" t="s">
        <v>21329</v>
      </c>
      <c r="Q5" s="342" t="b">
        <v>1</v>
      </c>
      <c r="R5" s="342" t="s">
        <v>21104</v>
      </c>
      <c r="S5" s="342">
        <v>0</v>
      </c>
      <c r="T5" s="342" t="s">
        <v>21297</v>
      </c>
      <c r="U5" s="342" t="s">
        <v>21105</v>
      </c>
      <c r="V5" s="469">
        <v>43748</v>
      </c>
      <c r="W5" s="342" t="b">
        <v>0</v>
      </c>
      <c r="X5" s="421" t="b">
        <v>0</v>
      </c>
      <c r="Y5" s="342" t="b">
        <v>1</v>
      </c>
      <c r="Z5" s="422">
        <v>14</v>
      </c>
      <c r="AA5" s="342" t="b">
        <v>0</v>
      </c>
      <c r="AB5" s="342" t="s">
        <v>21299</v>
      </c>
      <c r="AC5" s="342" t="s">
        <v>21300</v>
      </c>
    </row>
    <row r="6" ht="38.25">
      <c r="A6" s="320">
        <v>4</v>
      </c>
      <c r="B6" s="415">
        <v>128512</v>
      </c>
      <c r="C6" s="416" t="s">
        <v>21106</v>
      </c>
      <c r="D6" s="417" t="s">
        <v>20859</v>
      </c>
      <c r="E6" s="418">
        <v>106.674985</v>
      </c>
      <c r="F6" s="418">
        <v>20.826901</v>
      </c>
      <c r="G6" s="419">
        <v>1</v>
      </c>
      <c r="H6" s="320">
        <v>2</v>
      </c>
      <c r="I6" s="342" t="s">
        <v>21310</v>
      </c>
      <c r="J6" s="342" t="s">
        <v>21338</v>
      </c>
      <c r="K6" s="342" t="s">
        <v>21291</v>
      </c>
      <c r="L6" s="342" t="s">
        <v>21292</v>
      </c>
      <c r="M6" s="420" t="s">
        <v>21293</v>
      </c>
      <c r="N6" s="342" t="s">
        <v>21294</v>
      </c>
      <c r="O6" s="342" t="s">
        <v>21295</v>
      </c>
      <c r="P6" s="342" t="s">
        <v>21339</v>
      </c>
      <c r="Q6" s="342" t="b">
        <v>1</v>
      </c>
      <c r="R6" s="342" t="s">
        <v>21107</v>
      </c>
      <c r="S6" s="342">
        <v>0</v>
      </c>
      <c r="T6" s="342" t="s">
        <v>21297</v>
      </c>
      <c r="U6" s="342" t="s">
        <v>21099</v>
      </c>
      <c r="V6" s="469">
        <v>43748</v>
      </c>
      <c r="W6" s="342" t="b">
        <v>1</v>
      </c>
      <c r="X6" s="421" t="b">
        <v>0</v>
      </c>
      <c r="Y6" s="342" t="b">
        <v>1</v>
      </c>
      <c r="Z6" s="422">
        <v>10</v>
      </c>
      <c r="AA6" s="342" t="b">
        <v>0</v>
      </c>
      <c r="AB6" s="342" t="s">
        <v>21299</v>
      </c>
      <c r="AC6" s="342" t="s">
        <v>21300</v>
      </c>
    </row>
    <row r="7" ht="38.25">
      <c r="A7" s="320">
        <v>5</v>
      </c>
      <c r="B7" s="415">
        <v>128041</v>
      </c>
      <c r="C7" s="416" t="s">
        <v>21108</v>
      </c>
      <c r="D7" s="417" t="s">
        <v>20859</v>
      </c>
      <c r="E7" s="418">
        <v>106.613022</v>
      </c>
      <c r="F7" s="418">
        <v>20.864554</v>
      </c>
      <c r="G7" s="419">
        <v>1</v>
      </c>
      <c r="H7" s="320">
        <v>2</v>
      </c>
      <c r="I7" s="342" t="s">
        <v>21310</v>
      </c>
      <c r="J7" s="342" t="s">
        <v>21345</v>
      </c>
      <c r="K7" s="342" t="s">
        <v>21323</v>
      </c>
      <c r="L7" s="342" t="s">
        <v>21292</v>
      </c>
      <c r="M7" s="420" t="s">
        <v>21293</v>
      </c>
      <c r="N7" s="342" t="s">
        <v>21294</v>
      </c>
      <c r="O7" s="342" t="s">
        <v>21295</v>
      </c>
      <c r="P7" s="342" t="s">
        <v>21296</v>
      </c>
      <c r="Q7" s="342" t="b">
        <v>1</v>
      </c>
      <c r="R7" s="342" t="s">
        <v>21109</v>
      </c>
      <c r="S7" s="342">
        <v>0</v>
      </c>
      <c r="T7" s="342" t="s">
        <v>21297</v>
      </c>
      <c r="U7" s="342" t="s">
        <v>21110</v>
      </c>
      <c r="V7" s="469">
        <v>43748</v>
      </c>
      <c r="W7" s="342" t="b">
        <v>1</v>
      </c>
      <c r="X7" s="421" t="b">
        <v>0</v>
      </c>
      <c r="Y7" s="342" t="b">
        <v>1</v>
      </c>
      <c r="Z7" s="422">
        <v>21</v>
      </c>
      <c r="AA7" s="342" t="b">
        <v>0</v>
      </c>
      <c r="AB7" s="342" t="s">
        <v>21299</v>
      </c>
      <c r="AC7" s="342" t="s">
        <v>21300</v>
      </c>
    </row>
    <row r="8" ht="38.25">
      <c r="A8" s="320">
        <v>6</v>
      </c>
      <c r="B8" s="415">
        <v>128031</v>
      </c>
      <c r="C8" s="416" t="s">
        <v>21111</v>
      </c>
      <c r="D8" s="417" t="s">
        <v>20859</v>
      </c>
      <c r="E8" s="418">
        <v>106.67062</v>
      </c>
      <c r="F8" s="418">
        <v>20.890691</v>
      </c>
      <c r="G8" s="419">
        <v>1</v>
      </c>
      <c r="H8" s="320">
        <v>2</v>
      </c>
      <c r="I8" s="342" t="s">
        <v>21310</v>
      </c>
      <c r="J8" s="342" t="s">
        <v>21350</v>
      </c>
      <c r="K8" s="342" t="s">
        <v>21323</v>
      </c>
      <c r="L8" s="342" t="s">
        <v>21292</v>
      </c>
      <c r="M8" s="420" t="s">
        <v>21293</v>
      </c>
      <c r="N8" s="342" t="s">
        <v>21294</v>
      </c>
      <c r="O8" s="342" t="s">
        <v>21295</v>
      </c>
      <c r="P8" s="342" t="s">
        <v>21351</v>
      </c>
      <c r="Q8" s="342" t="b">
        <v>1</v>
      </c>
      <c r="R8" s="342" t="s">
        <v>21112</v>
      </c>
      <c r="S8" s="342">
        <v>0</v>
      </c>
      <c r="T8" s="342" t="s">
        <v>21297</v>
      </c>
      <c r="U8" s="342" t="s">
        <v>21113</v>
      </c>
      <c r="V8" s="469">
        <v>43748</v>
      </c>
      <c r="W8" s="342" t="b">
        <v>1</v>
      </c>
      <c r="X8" s="421" t="b">
        <v>1</v>
      </c>
      <c r="Y8" s="342" t="b">
        <v>1</v>
      </c>
      <c r="Z8" s="422">
        <v>10</v>
      </c>
      <c r="AA8" s="342" t="b">
        <v>0</v>
      </c>
      <c r="AB8" s="342" t="s">
        <v>21299</v>
      </c>
      <c r="AC8" s="342" t="s">
        <v>21300</v>
      </c>
    </row>
    <row r="9" ht="38.25">
      <c r="A9" s="320">
        <v>7</v>
      </c>
      <c r="B9" s="415">
        <v>128142</v>
      </c>
      <c r="C9" s="416" t="s">
        <v>21114</v>
      </c>
      <c r="D9" s="417" t="s">
        <v>20859</v>
      </c>
      <c r="E9" s="418">
        <v>106.693493</v>
      </c>
      <c r="F9" s="418">
        <v>20.900186</v>
      </c>
      <c r="G9" s="419">
        <v>1</v>
      </c>
      <c r="H9" s="320">
        <v>2</v>
      </c>
      <c r="I9" s="342" t="s">
        <v>21310</v>
      </c>
      <c r="J9" s="342" t="s">
        <v>21358</v>
      </c>
      <c r="K9" s="342" t="s">
        <v>21291</v>
      </c>
      <c r="L9" s="342" t="s">
        <v>21292</v>
      </c>
      <c r="M9" s="420" t="s">
        <v>21293</v>
      </c>
      <c r="N9" s="342" t="s">
        <v>21294</v>
      </c>
      <c r="O9" s="342" t="s">
        <v>21295</v>
      </c>
      <c r="P9" s="342" t="s">
        <v>21359</v>
      </c>
      <c r="Q9" s="342" t="b">
        <v>1</v>
      </c>
      <c r="R9" s="342" t="s">
        <v>21115</v>
      </c>
      <c r="S9" s="342">
        <v>0</v>
      </c>
      <c r="T9" s="342" t="s">
        <v>21297</v>
      </c>
      <c r="U9" s="342" t="s">
        <v>21116</v>
      </c>
      <c r="V9" s="469">
        <v>43748</v>
      </c>
      <c r="W9" s="342" t="b">
        <v>1</v>
      </c>
      <c r="X9" s="421" t="b">
        <v>1</v>
      </c>
      <c r="Y9" s="342" t="b">
        <v>0</v>
      </c>
      <c r="Z9" s="422">
        <v>0</v>
      </c>
      <c r="AA9" s="342" t="b">
        <v>0</v>
      </c>
      <c r="AB9" s="342" t="s">
        <v>21299</v>
      </c>
      <c r="AC9" s="342" t="s">
        <v>21300</v>
      </c>
    </row>
    <row r="10" ht="38.25">
      <c r="A10" s="320">
        <v>8</v>
      </c>
      <c r="B10" s="415">
        <v>128146</v>
      </c>
      <c r="C10" s="416" t="s">
        <v>21117</v>
      </c>
      <c r="D10" s="417" t="s">
        <v>20859</v>
      </c>
      <c r="E10" s="418">
        <v>106.691803</v>
      </c>
      <c r="F10" s="418">
        <v>20.92746</v>
      </c>
      <c r="G10" s="419">
        <v>1</v>
      </c>
      <c r="H10" s="320">
        <v>2</v>
      </c>
      <c r="I10" s="342" t="s">
        <v>21310</v>
      </c>
      <c r="J10" s="342" t="s">
        <v>21364</v>
      </c>
      <c r="K10" s="342" t="s">
        <v>21291</v>
      </c>
      <c r="L10" s="342" t="s">
        <v>21292</v>
      </c>
      <c r="M10" s="420" t="s">
        <v>21293</v>
      </c>
      <c r="N10" s="342" t="s">
        <v>21294</v>
      </c>
      <c r="O10" s="342" t="s">
        <v>21295</v>
      </c>
      <c r="P10" s="342" t="s">
        <v>21365</v>
      </c>
      <c r="Q10" s="342" t="b">
        <v>1</v>
      </c>
      <c r="R10" s="342" t="s">
        <v>21118</v>
      </c>
      <c r="S10" s="342">
        <v>0</v>
      </c>
      <c r="T10" s="342" t="s">
        <v>21297</v>
      </c>
      <c r="U10" s="342" t="s">
        <v>21119</v>
      </c>
      <c r="V10" s="469">
        <v>43748</v>
      </c>
      <c r="W10" s="342" t="b">
        <v>0</v>
      </c>
      <c r="X10" s="421" t="b">
        <v>0</v>
      </c>
      <c r="Y10" s="342" t="b">
        <v>1</v>
      </c>
      <c r="Z10" s="422">
        <v>14</v>
      </c>
      <c r="AA10" s="342" t="b">
        <v>0</v>
      </c>
      <c r="AB10" s="342" t="s">
        <v>21299</v>
      </c>
      <c r="AC10" s="342" t="s">
        <v>21300</v>
      </c>
    </row>
    <row r="11" ht="38.25">
      <c r="A11" s="320">
        <v>9</v>
      </c>
      <c r="B11" s="415">
        <v>128068</v>
      </c>
      <c r="C11" s="416" t="s">
        <v>21120</v>
      </c>
      <c r="D11" s="417" t="s">
        <v>20859</v>
      </c>
      <c r="E11" s="418">
        <v>106.70757</v>
      </c>
      <c r="F11" s="418">
        <v>20.92783</v>
      </c>
      <c r="G11" s="419">
        <v>1</v>
      </c>
      <c r="H11" s="320">
        <v>2</v>
      </c>
      <c r="I11" s="342" t="s">
        <v>21310</v>
      </c>
      <c r="J11" s="342" t="s">
        <v>21373</v>
      </c>
      <c r="K11" s="342" t="s">
        <v>21291</v>
      </c>
      <c r="L11" s="342" t="s">
        <v>21292</v>
      </c>
      <c r="M11" s="420" t="s">
        <v>21293</v>
      </c>
      <c r="N11" s="342" t="s">
        <v>21294</v>
      </c>
      <c r="O11" s="342" t="s">
        <v>21295</v>
      </c>
      <c r="P11" s="342" t="s">
        <v>21374</v>
      </c>
      <c r="Q11" s="342" t="b">
        <v>1</v>
      </c>
      <c r="R11" s="342" t="s">
        <v>21121</v>
      </c>
      <c r="S11" s="342">
        <v>0</v>
      </c>
      <c r="T11" s="342" t="s">
        <v>21297</v>
      </c>
      <c r="U11" s="342" t="s">
        <v>21122</v>
      </c>
      <c r="V11" s="469">
        <v>43748</v>
      </c>
      <c r="W11" s="342" t="b">
        <v>1</v>
      </c>
      <c r="X11" s="421" t="b">
        <v>1</v>
      </c>
      <c r="Y11" s="342" t="b">
        <v>1</v>
      </c>
      <c r="Z11" s="422">
        <v>8</v>
      </c>
      <c r="AA11" s="342" t="b">
        <v>0</v>
      </c>
      <c r="AB11" s="342" t="s">
        <v>21299</v>
      </c>
      <c r="AC11" s="342" t="s">
        <v>21300</v>
      </c>
    </row>
    <row r="12" ht="38.25">
      <c r="A12" s="320">
        <v>10</v>
      </c>
      <c r="B12" s="415">
        <v>128045</v>
      </c>
      <c r="C12" s="416" t="s">
        <v>21123</v>
      </c>
      <c r="D12" s="417" t="s">
        <v>20859</v>
      </c>
      <c r="E12" s="418">
        <v>106.742752</v>
      </c>
      <c r="F12" s="418">
        <v>20.923122</v>
      </c>
      <c r="G12" s="419">
        <v>1</v>
      </c>
      <c r="H12" s="320">
        <v>2</v>
      </c>
      <c r="I12" s="342" t="s">
        <v>21310</v>
      </c>
      <c r="J12" s="342" t="s">
        <v>21380</v>
      </c>
      <c r="K12" s="342" t="s">
        <v>21323</v>
      </c>
      <c r="L12" s="342" t="s">
        <v>21292</v>
      </c>
      <c r="M12" s="420" t="s">
        <v>21293</v>
      </c>
      <c r="N12" s="342" t="s">
        <v>21294</v>
      </c>
      <c r="O12" s="342" t="s">
        <v>21295</v>
      </c>
      <c r="P12" s="342" t="s">
        <v>21381</v>
      </c>
      <c r="Q12" s="342" t="b">
        <v>1</v>
      </c>
      <c r="R12" s="342" t="s">
        <v>21124</v>
      </c>
      <c r="S12" s="342">
        <v>0</v>
      </c>
      <c r="T12" s="342" t="s">
        <v>21297</v>
      </c>
      <c r="U12" s="342" t="s">
        <v>21125</v>
      </c>
      <c r="V12" s="469">
        <v>43748</v>
      </c>
      <c r="W12" s="342" t="b">
        <v>0</v>
      </c>
      <c r="X12" s="421" t="b">
        <v>0</v>
      </c>
      <c r="Y12" s="342" t="b">
        <v>1</v>
      </c>
      <c r="Z12" s="422">
        <v>10</v>
      </c>
      <c r="AA12" s="342" t="b">
        <v>0</v>
      </c>
      <c r="AB12" s="342" t="s">
        <v>21299</v>
      </c>
      <c r="AC12" s="342" t="s">
        <v>21300</v>
      </c>
    </row>
    <row r="13" ht="38.25">
      <c r="A13" s="320">
        <v>11</v>
      </c>
      <c r="B13" s="415">
        <v>128156</v>
      </c>
      <c r="C13" s="416" t="s">
        <v>21126</v>
      </c>
      <c r="D13" s="417" t="s">
        <v>20859</v>
      </c>
      <c r="E13" s="418">
        <v>106.731641</v>
      </c>
      <c r="F13" s="418">
        <v>20.943714</v>
      </c>
      <c r="G13" s="419">
        <v>1</v>
      </c>
      <c r="H13" s="320">
        <v>2</v>
      </c>
      <c r="I13" s="342" t="s">
        <v>21310</v>
      </c>
      <c r="J13" s="342" t="s">
        <v>21388</v>
      </c>
      <c r="K13" s="342" t="s">
        <v>21291</v>
      </c>
      <c r="L13" s="342" t="s">
        <v>21292</v>
      </c>
      <c r="M13" s="420" t="s">
        <v>21293</v>
      </c>
      <c r="N13" s="342" t="s">
        <v>21294</v>
      </c>
      <c r="O13" s="342" t="s">
        <v>21295</v>
      </c>
      <c r="P13" s="342" t="s">
        <v>21389</v>
      </c>
      <c r="Q13" s="342" t="b">
        <v>1</v>
      </c>
      <c r="R13" s="342" t="s">
        <v>21127</v>
      </c>
      <c r="S13" s="342">
        <v>0</v>
      </c>
      <c r="T13" s="342" t="s">
        <v>21297</v>
      </c>
      <c r="U13" s="342" t="s">
        <v>21128</v>
      </c>
      <c r="V13" s="469">
        <v>43748</v>
      </c>
      <c r="W13" s="342" t="b">
        <v>1</v>
      </c>
      <c r="X13" s="421" t="b">
        <v>0</v>
      </c>
      <c r="Y13" s="342" t="b">
        <v>1</v>
      </c>
      <c r="Z13" s="422">
        <v>10</v>
      </c>
      <c r="AA13" s="342" t="b">
        <v>0</v>
      </c>
      <c r="AB13" s="342" t="s">
        <v>21299</v>
      </c>
      <c r="AC13" s="342" t="s">
        <v>21300</v>
      </c>
    </row>
    <row r="14" ht="38.25">
      <c r="A14" s="320">
        <v>12</v>
      </c>
      <c r="B14" s="415">
        <v>128120</v>
      </c>
      <c r="C14" s="416" t="s">
        <v>21129</v>
      </c>
      <c r="D14" s="417" t="s">
        <v>20859</v>
      </c>
      <c r="E14" s="418">
        <v>106.67469</v>
      </c>
      <c r="F14" s="418">
        <v>20.94173</v>
      </c>
      <c r="G14" s="419">
        <v>1</v>
      </c>
      <c r="H14" s="320">
        <v>2</v>
      </c>
      <c r="I14" s="342" t="s">
        <v>21310</v>
      </c>
      <c r="J14" s="342" t="s">
        <v>21395</v>
      </c>
      <c r="K14" s="342" t="s">
        <v>21323</v>
      </c>
      <c r="L14" s="342" t="s">
        <v>21292</v>
      </c>
      <c r="M14" s="420" t="s">
        <v>21293</v>
      </c>
      <c r="N14" s="342" t="s">
        <v>21294</v>
      </c>
      <c r="O14" s="342" t="s">
        <v>21295</v>
      </c>
      <c r="P14" s="342" t="s">
        <v>21396</v>
      </c>
      <c r="Q14" s="342" t="b">
        <v>1</v>
      </c>
      <c r="R14" s="342" t="s">
        <v>21130</v>
      </c>
      <c r="S14" s="342">
        <v>0</v>
      </c>
      <c r="T14" s="342" t="s">
        <v>21297</v>
      </c>
      <c r="U14" s="342" t="s">
        <v>21131</v>
      </c>
      <c r="V14" s="469">
        <v>43748</v>
      </c>
      <c r="W14" s="342" t="b">
        <v>0</v>
      </c>
      <c r="X14" s="421" t="b">
        <v>0</v>
      </c>
      <c r="Y14" s="342" t="b">
        <v>1</v>
      </c>
      <c r="Z14" s="422">
        <v>10</v>
      </c>
      <c r="AA14" s="342" t="b">
        <v>0</v>
      </c>
      <c r="AB14" s="342" t="s">
        <v>21299</v>
      </c>
      <c r="AC14" s="342" t="s">
        <v>21300</v>
      </c>
    </row>
    <row r="15" ht="51">
      <c r="A15" s="320">
        <v>13</v>
      </c>
      <c r="B15" s="415">
        <v>128165</v>
      </c>
      <c r="C15" s="416" t="s">
        <v>21132</v>
      </c>
      <c r="D15" s="417" t="s">
        <v>20859</v>
      </c>
      <c r="E15" s="418">
        <v>106.654525</v>
      </c>
      <c r="F15" s="418">
        <v>20.925022</v>
      </c>
      <c r="G15" s="419">
        <v>1</v>
      </c>
      <c r="H15" s="320">
        <v>2</v>
      </c>
      <c r="I15" s="342" t="s">
        <v>21310</v>
      </c>
      <c r="J15" s="342" t="s">
        <v>21402</v>
      </c>
      <c r="K15" s="342" t="s">
        <v>21291</v>
      </c>
      <c r="L15" s="342" t="s">
        <v>21292</v>
      </c>
      <c r="M15" s="420" t="s">
        <v>21293</v>
      </c>
      <c r="N15" s="342" t="s">
        <v>21294</v>
      </c>
      <c r="O15" s="342" t="s">
        <v>21295</v>
      </c>
      <c r="P15" s="342" t="s">
        <v>21403</v>
      </c>
      <c r="Q15" s="342" t="b">
        <v>1</v>
      </c>
      <c r="R15" s="342" t="s">
        <v>21133</v>
      </c>
      <c r="S15" s="342">
        <v>0</v>
      </c>
      <c r="T15" s="342" t="s">
        <v>21297</v>
      </c>
      <c r="U15" s="342" t="s">
        <v>21134</v>
      </c>
      <c r="V15" s="469">
        <v>43748</v>
      </c>
      <c r="W15" s="342" t="b">
        <v>0</v>
      </c>
      <c r="X15" s="421" t="b">
        <v>0</v>
      </c>
      <c r="Y15" s="342" t="b">
        <v>1</v>
      </c>
      <c r="Z15" s="422">
        <v>10</v>
      </c>
      <c r="AA15" s="342" t="b">
        <v>0</v>
      </c>
      <c r="AB15" s="342" t="s">
        <v>21299</v>
      </c>
      <c r="AC15" s="342" t="s">
        <v>21300</v>
      </c>
    </row>
    <row r="16" ht="38.25">
      <c r="A16" s="320">
        <v>14</v>
      </c>
      <c r="B16" s="415">
        <v>128043</v>
      </c>
      <c r="C16" s="416" t="s">
        <v>21135</v>
      </c>
      <c r="D16" s="417" t="s">
        <v>20859</v>
      </c>
      <c r="E16" s="418">
        <v>106.632459</v>
      </c>
      <c r="F16" s="418">
        <v>20.938518</v>
      </c>
      <c r="G16" s="419">
        <v>1</v>
      </c>
      <c r="H16" s="320">
        <v>2</v>
      </c>
      <c r="I16" s="342" t="s">
        <v>21310</v>
      </c>
      <c r="J16" s="342" t="s">
        <v>21406</v>
      </c>
      <c r="K16" s="342" t="s">
        <v>21323</v>
      </c>
      <c r="L16" s="342" t="s">
        <v>21292</v>
      </c>
      <c r="M16" s="420" t="s">
        <v>21293</v>
      </c>
      <c r="N16" s="342" t="s">
        <v>21294</v>
      </c>
      <c r="O16" s="342" t="s">
        <v>21295</v>
      </c>
      <c r="P16" s="342" t="s">
        <v>21407</v>
      </c>
      <c r="Q16" s="342" t="b">
        <v>1</v>
      </c>
      <c r="R16" s="342" t="s">
        <v>21136</v>
      </c>
      <c r="S16" s="342">
        <v>0</v>
      </c>
      <c r="T16" s="342" t="s">
        <v>21297</v>
      </c>
      <c r="U16" s="342" t="s">
        <v>21137</v>
      </c>
      <c r="V16" s="469">
        <v>43748</v>
      </c>
      <c r="W16" s="342" t="b">
        <v>1</v>
      </c>
      <c r="X16" s="421" t="b">
        <v>0</v>
      </c>
      <c r="Y16" s="342" t="b">
        <v>1</v>
      </c>
      <c r="Z16" s="422">
        <v>8</v>
      </c>
      <c r="AA16" s="342" t="b">
        <v>0</v>
      </c>
      <c r="AB16" s="342" t="s">
        <v>21299</v>
      </c>
      <c r="AC16" s="342" t="s">
        <v>21300</v>
      </c>
    </row>
    <row r="17" ht="38.25">
      <c r="A17" s="320">
        <v>15</v>
      </c>
      <c r="B17" s="415">
        <v>128501</v>
      </c>
      <c r="C17" s="416" t="s">
        <v>21138</v>
      </c>
      <c r="D17" s="417" t="s">
        <v>20859</v>
      </c>
      <c r="E17" s="418">
        <v>106.629956</v>
      </c>
      <c r="F17" s="418">
        <v>20.918116</v>
      </c>
      <c r="G17" s="419">
        <v>1</v>
      </c>
      <c r="H17" s="320">
        <v>2</v>
      </c>
      <c r="I17" s="342" t="s">
        <v>21310</v>
      </c>
      <c r="J17" s="342" t="s">
        <v>21413</v>
      </c>
      <c r="K17" s="342" t="s">
        <v>21323</v>
      </c>
      <c r="L17" s="342" t="s">
        <v>21292</v>
      </c>
      <c r="M17" s="420" t="s">
        <v>21293</v>
      </c>
      <c r="N17" s="342" t="s">
        <v>21294</v>
      </c>
      <c r="O17" s="342" t="s">
        <v>21295</v>
      </c>
      <c r="P17" s="342" t="s">
        <v>21414</v>
      </c>
      <c r="Q17" s="342" t="b">
        <v>1</v>
      </c>
      <c r="R17" s="342" t="s">
        <v>21139</v>
      </c>
      <c r="S17" s="342">
        <v>0</v>
      </c>
      <c r="T17" s="342" t="s">
        <v>21297</v>
      </c>
      <c r="U17" s="342" t="s">
        <v>21140</v>
      </c>
      <c r="V17" s="469">
        <v>43748</v>
      </c>
      <c r="W17" s="342" t="b">
        <v>1</v>
      </c>
      <c r="X17" s="421" t="b">
        <v>0</v>
      </c>
      <c r="Y17" s="342" t="b">
        <v>1</v>
      </c>
      <c r="Z17" s="422">
        <v>10</v>
      </c>
      <c r="AA17" s="342" t="b">
        <v>0</v>
      </c>
      <c r="AB17" s="342" t="s">
        <v>21299</v>
      </c>
      <c r="AC17" s="342" t="s">
        <v>21300</v>
      </c>
    </row>
    <row r="18" ht="25.5">
      <c r="A18" s="320">
        <v>16</v>
      </c>
      <c r="B18" s="415">
        <v>128154</v>
      </c>
      <c r="C18" s="416" t="s">
        <v>21141</v>
      </c>
      <c r="D18" s="417" t="s">
        <v>20859</v>
      </c>
      <c r="E18" s="418">
        <v>106.70502</v>
      </c>
      <c r="F18" s="418">
        <v>20.991976</v>
      </c>
      <c r="G18" s="419">
        <v>1</v>
      </c>
      <c r="H18" s="320">
        <v>1</v>
      </c>
      <c r="I18" s="342" t="s">
        <v>21288</v>
      </c>
      <c r="J18" s="342">
        <v>128154</v>
      </c>
      <c r="K18" s="342" t="s">
        <v>21312</v>
      </c>
      <c r="L18" s="342">
        <v>3</v>
      </c>
      <c r="M18" s="420" t="s">
        <v>21313</v>
      </c>
      <c r="N18" s="342" t="s">
        <v>21314</v>
      </c>
      <c r="O18" s="342">
        <v>2100</v>
      </c>
      <c r="P18" s="342" t="s">
        <v>21410</v>
      </c>
      <c r="Q18" s="342" t="b">
        <v>1</v>
      </c>
      <c r="R18" s="342" t="s">
        <v>21142</v>
      </c>
      <c r="S18" s="342">
        <v>0</v>
      </c>
      <c r="T18" s="342" t="s">
        <v>21297</v>
      </c>
      <c r="U18" s="342" t="s">
        <v>21143</v>
      </c>
      <c r="V18" s="469">
        <v>43748</v>
      </c>
      <c r="W18" s="342" t="b">
        <v>1</v>
      </c>
      <c r="X18" s="421" t="b">
        <v>0</v>
      </c>
      <c r="Y18" s="342" t="b">
        <v>1</v>
      </c>
      <c r="Z18" s="422">
        <v>8</v>
      </c>
      <c r="AA18" s="342" t="b">
        <v>0</v>
      </c>
      <c r="AB18" s="342" t="s">
        <v>21299</v>
      </c>
      <c r="AC18" s="342" t="s">
        <v>21300</v>
      </c>
    </row>
    <row r="19" ht="38.25">
      <c r="A19" s="320">
        <v>17</v>
      </c>
      <c r="B19" s="415">
        <v>128145</v>
      </c>
      <c r="C19" s="416" t="s">
        <v>21144</v>
      </c>
      <c r="D19" s="417" t="s">
        <v>20859</v>
      </c>
      <c r="E19" s="418">
        <v>106.644549</v>
      </c>
      <c r="F19" s="418">
        <v>20.894669</v>
      </c>
      <c r="G19" s="419">
        <v>1</v>
      </c>
      <c r="H19" s="320">
        <v>2</v>
      </c>
      <c r="I19" s="342" t="s">
        <v>21310</v>
      </c>
      <c r="J19" s="342" t="s">
        <v>21422</v>
      </c>
      <c r="K19" s="342" t="s">
        <v>21323</v>
      </c>
      <c r="L19" s="342" t="s">
        <v>21292</v>
      </c>
      <c r="M19" s="420" t="s">
        <v>21293</v>
      </c>
      <c r="N19" s="342" t="s">
        <v>21294</v>
      </c>
      <c r="O19" s="342" t="s">
        <v>21295</v>
      </c>
      <c r="P19" s="342" t="s">
        <v>21423</v>
      </c>
      <c r="Q19" s="342" t="b">
        <v>1</v>
      </c>
      <c r="R19" s="342" t="s">
        <v>21145</v>
      </c>
      <c r="S19" s="342">
        <v>0</v>
      </c>
      <c r="T19" s="342" t="s">
        <v>21297</v>
      </c>
      <c r="U19" s="342" t="s">
        <v>21146</v>
      </c>
      <c r="V19" s="469">
        <v>43748</v>
      </c>
      <c r="W19" s="342" t="b">
        <v>1</v>
      </c>
      <c r="X19" s="421" t="b">
        <v>0</v>
      </c>
      <c r="Y19" s="342" t="b">
        <v>1</v>
      </c>
      <c r="Z19" s="422">
        <v>8</v>
      </c>
      <c r="AA19" s="342" t="b">
        <v>0</v>
      </c>
      <c r="AB19" s="342" t="s">
        <v>21299</v>
      </c>
      <c r="AC19" s="342" t="s">
        <v>21300</v>
      </c>
    </row>
    <row r="20" ht="38.25">
      <c r="A20" s="320">
        <v>18</v>
      </c>
      <c r="B20" s="415">
        <v>128020</v>
      </c>
      <c r="C20" s="416" t="s">
        <v>21147</v>
      </c>
      <c r="D20" s="417" t="s">
        <v>20859</v>
      </c>
      <c r="E20" s="418">
        <v>106.680372</v>
      </c>
      <c r="F20" s="418">
        <v>20.834769</v>
      </c>
      <c r="G20" s="419">
        <v>1</v>
      </c>
      <c r="H20" s="320">
        <v>2</v>
      </c>
      <c r="I20" s="342" t="s">
        <v>21310</v>
      </c>
      <c r="J20" s="342" t="s">
        <v>21427</v>
      </c>
      <c r="K20" s="342" t="s">
        <v>21291</v>
      </c>
      <c r="L20" s="342" t="s">
        <v>21292</v>
      </c>
      <c r="M20" s="420" t="s">
        <v>21293</v>
      </c>
      <c r="N20" s="342" t="s">
        <v>21294</v>
      </c>
      <c r="O20" s="342" t="s">
        <v>21295</v>
      </c>
      <c r="P20" s="342" t="s">
        <v>21428</v>
      </c>
      <c r="Q20" s="342" t="b">
        <v>1</v>
      </c>
      <c r="R20" s="342" t="s">
        <v>21148</v>
      </c>
      <c r="S20" s="342">
        <v>0</v>
      </c>
      <c r="T20" s="342" t="s">
        <v>21297</v>
      </c>
      <c r="U20" s="342" t="s">
        <v>21149</v>
      </c>
      <c r="V20" s="469">
        <v>43748</v>
      </c>
      <c r="W20" s="342" t="b">
        <v>0</v>
      </c>
      <c r="X20" s="421" t="b">
        <v>0</v>
      </c>
      <c r="Y20" s="342" t="b">
        <v>1</v>
      </c>
      <c r="Z20" s="422">
        <v>21</v>
      </c>
      <c r="AA20" s="342" t="b">
        <v>0</v>
      </c>
      <c r="AB20" s="342" t="s">
        <v>21299</v>
      </c>
      <c r="AC20" s="342" t="s">
        <v>21300</v>
      </c>
    </row>
    <row r="21" ht="38.25">
      <c r="A21" s="320">
        <v>19</v>
      </c>
      <c r="B21" s="415">
        <v>128117</v>
      </c>
      <c r="C21" s="416" t="s">
        <v>21150</v>
      </c>
      <c r="D21" s="417" t="s">
        <v>20859</v>
      </c>
      <c r="E21" s="418">
        <v>106.657939</v>
      </c>
      <c r="F21" s="418">
        <v>20.790016</v>
      </c>
      <c r="G21" s="419">
        <v>1</v>
      </c>
      <c r="H21" s="320">
        <v>2</v>
      </c>
      <c r="I21" s="342" t="s">
        <v>21310</v>
      </c>
      <c r="J21" s="342" t="s">
        <v>21432</v>
      </c>
      <c r="K21" s="342" t="s">
        <v>21323</v>
      </c>
      <c r="L21" s="342" t="s">
        <v>21292</v>
      </c>
      <c r="M21" s="420" t="s">
        <v>21293</v>
      </c>
      <c r="N21" s="342" t="s">
        <v>21294</v>
      </c>
      <c r="O21" s="342" t="s">
        <v>21295</v>
      </c>
      <c r="P21" s="342" t="s">
        <v>21351</v>
      </c>
      <c r="Q21" s="342" t="b">
        <v>1</v>
      </c>
      <c r="R21" s="342" t="s">
        <v>21151</v>
      </c>
      <c r="S21" s="342">
        <v>0</v>
      </c>
      <c r="T21" s="342" t="s">
        <v>21297</v>
      </c>
      <c r="U21" s="342" t="s">
        <v>21152</v>
      </c>
      <c r="V21" s="469">
        <v>43748</v>
      </c>
      <c r="W21" s="342" t="b">
        <v>1</v>
      </c>
      <c r="X21" s="421" t="b">
        <v>1</v>
      </c>
      <c r="Y21" s="342" t="b">
        <v>1</v>
      </c>
      <c r="Z21" s="422">
        <v>8</v>
      </c>
      <c r="AA21" s="342" t="b">
        <v>0</v>
      </c>
      <c r="AB21" s="342" t="s">
        <v>21299</v>
      </c>
      <c r="AC21" s="342" t="s">
        <v>21300</v>
      </c>
    </row>
    <row r="22" ht="38.25">
      <c r="A22" s="320">
        <v>20</v>
      </c>
      <c r="B22" s="415">
        <v>128077</v>
      </c>
      <c r="C22" s="416" t="s">
        <v>21153</v>
      </c>
      <c r="D22" s="417" t="s">
        <v>20859</v>
      </c>
      <c r="E22" s="418">
        <v>106.57121</v>
      </c>
      <c r="F22" s="418">
        <v>20.909983</v>
      </c>
      <c r="G22" s="419">
        <v>1</v>
      </c>
      <c r="H22" s="320">
        <v>2</v>
      </c>
      <c r="I22" s="342" t="s">
        <v>21310</v>
      </c>
      <c r="J22" s="342" t="s">
        <v>21436</v>
      </c>
      <c r="K22" s="342" t="s">
        <v>21323</v>
      </c>
      <c r="L22" s="342" t="s">
        <v>21292</v>
      </c>
      <c r="M22" s="420" t="s">
        <v>21293</v>
      </c>
      <c r="N22" s="342" t="s">
        <v>21294</v>
      </c>
      <c r="O22" s="342" t="s">
        <v>21295</v>
      </c>
      <c r="P22" s="342" t="s">
        <v>21437</v>
      </c>
      <c r="Q22" s="342" t="b">
        <v>1</v>
      </c>
      <c r="R22" s="342" t="s">
        <v>21154</v>
      </c>
      <c r="S22" s="342">
        <v>0</v>
      </c>
      <c r="T22" s="342" t="s">
        <v>21297</v>
      </c>
      <c r="U22" s="342" t="s">
        <v>21155</v>
      </c>
      <c r="V22" s="469">
        <v>43748</v>
      </c>
      <c r="W22" s="342" t="b">
        <v>0</v>
      </c>
      <c r="X22" s="421" t="b">
        <v>0</v>
      </c>
      <c r="Y22" s="342" t="b">
        <v>1</v>
      </c>
      <c r="Z22" s="422">
        <v>10</v>
      </c>
      <c r="AA22" s="342" t="b">
        <v>0</v>
      </c>
      <c r="AB22" s="342" t="s">
        <v>21299</v>
      </c>
      <c r="AC22" s="342" t="s">
        <v>21300</v>
      </c>
    </row>
    <row r="23" ht="38.25">
      <c r="A23" s="320">
        <v>21</v>
      </c>
      <c r="B23" s="415">
        <v>128044</v>
      </c>
      <c r="C23" s="416" t="s">
        <v>21156</v>
      </c>
      <c r="D23" s="417" t="s">
        <v>20859</v>
      </c>
      <c r="E23" s="418">
        <v>106.55422</v>
      </c>
      <c r="F23" s="418">
        <v>20.9297</v>
      </c>
      <c r="G23" s="419">
        <v>1</v>
      </c>
      <c r="H23" s="320">
        <v>2</v>
      </c>
      <c r="I23" s="342" t="s">
        <v>21310</v>
      </c>
      <c r="J23" s="342" t="s">
        <v>21441</v>
      </c>
      <c r="K23" s="342" t="s">
        <v>21323</v>
      </c>
      <c r="L23" s="342" t="s">
        <v>21292</v>
      </c>
      <c r="M23" s="420" t="s">
        <v>21293</v>
      </c>
      <c r="N23" s="342" t="s">
        <v>21294</v>
      </c>
      <c r="O23" s="342" t="s">
        <v>21295</v>
      </c>
      <c r="P23" s="342" t="s">
        <v>21442</v>
      </c>
      <c r="Q23" s="342" t="b">
        <v>1</v>
      </c>
      <c r="R23" s="342" t="s">
        <v>21157</v>
      </c>
      <c r="S23" s="342">
        <v>0</v>
      </c>
      <c r="T23" s="342" t="s">
        <v>21297</v>
      </c>
      <c r="U23" s="342" t="s">
        <v>21158</v>
      </c>
      <c r="V23" s="469">
        <v>43748</v>
      </c>
      <c r="W23" s="342" t="b">
        <v>0</v>
      </c>
      <c r="X23" s="421" t="b">
        <v>0</v>
      </c>
      <c r="Y23" s="342" t="b">
        <v>1</v>
      </c>
      <c r="Z23" s="422">
        <v>14</v>
      </c>
      <c r="AA23" s="342" t="b">
        <v>0</v>
      </c>
      <c r="AB23" s="342" t="s">
        <v>21299</v>
      </c>
      <c r="AC23" s="342" t="s">
        <v>21300</v>
      </c>
    </row>
    <row r="24" ht="38.25">
      <c r="A24" s="320">
        <v>22</v>
      </c>
      <c r="B24" s="415">
        <v>128525</v>
      </c>
      <c r="C24" s="416" t="s">
        <v>21159</v>
      </c>
      <c r="D24" s="417" t="s">
        <v>20859</v>
      </c>
      <c r="E24" s="418">
        <v>106.874202</v>
      </c>
      <c r="F24" s="418">
        <v>20.805652</v>
      </c>
      <c r="G24" s="419">
        <v>1</v>
      </c>
      <c r="H24" s="320">
        <v>2</v>
      </c>
      <c r="I24" s="342" t="s">
        <v>21310</v>
      </c>
      <c r="J24" s="342" t="s">
        <v>21447</v>
      </c>
      <c r="K24" s="342" t="s">
        <v>21291</v>
      </c>
      <c r="L24" s="342" t="s">
        <v>21292</v>
      </c>
      <c r="M24" s="420" t="s">
        <v>21293</v>
      </c>
      <c r="N24" s="342" t="s">
        <v>21294</v>
      </c>
      <c r="O24" s="342" t="s">
        <v>21295</v>
      </c>
      <c r="P24" s="342" t="s">
        <v>21448</v>
      </c>
      <c r="Q24" s="342" t="b">
        <v>1</v>
      </c>
      <c r="R24" s="342" t="s">
        <v>21160</v>
      </c>
      <c r="S24" s="342">
        <v>0</v>
      </c>
      <c r="T24" s="342" t="s">
        <v>21297</v>
      </c>
      <c r="U24" s="342" t="s">
        <v>21161</v>
      </c>
      <c r="V24" s="469">
        <v>43748</v>
      </c>
      <c r="W24" s="342" t="b">
        <v>1</v>
      </c>
      <c r="X24" s="421" t="b">
        <v>1</v>
      </c>
      <c r="Y24" s="342" t="b">
        <v>0</v>
      </c>
      <c r="Z24" s="422">
        <v>0</v>
      </c>
      <c r="AA24" s="342" t="b">
        <v>0</v>
      </c>
      <c r="AB24" s="342" t="s">
        <v>21299</v>
      </c>
      <c r="AC24" s="342" t="s">
        <v>21300</v>
      </c>
    </row>
    <row r="25" ht="38.25">
      <c r="A25" s="320">
        <v>23</v>
      </c>
      <c r="B25" s="415">
        <v>128002</v>
      </c>
      <c r="C25" s="416" t="s">
        <v>21162</v>
      </c>
      <c r="D25" s="417" t="s">
        <v>20859</v>
      </c>
      <c r="E25" s="418">
        <v>107.046844</v>
      </c>
      <c r="F25" s="418">
        <v>20.729484</v>
      </c>
      <c r="G25" s="419">
        <v>1</v>
      </c>
      <c r="H25" s="320">
        <v>2</v>
      </c>
      <c r="I25" s="342" t="s">
        <v>21310</v>
      </c>
      <c r="J25" s="342" t="s">
        <v>21452</v>
      </c>
      <c r="K25" s="342" t="s">
        <v>21453</v>
      </c>
      <c r="L25" s="342" t="s">
        <v>21292</v>
      </c>
      <c r="M25" s="420" t="s">
        <v>21454</v>
      </c>
      <c r="N25" s="342" t="s">
        <v>21294</v>
      </c>
      <c r="O25" s="342" t="s">
        <v>21295</v>
      </c>
      <c r="P25" s="342" t="s">
        <v>21455</v>
      </c>
      <c r="Q25" s="342" t="b">
        <v>1</v>
      </c>
      <c r="R25" s="342" t="s">
        <v>21163</v>
      </c>
      <c r="S25" s="342">
        <v>0</v>
      </c>
      <c r="T25" s="342" t="s">
        <v>21297</v>
      </c>
      <c r="U25" s="342" t="s">
        <v>21164</v>
      </c>
      <c r="V25" s="469">
        <v>43748</v>
      </c>
      <c r="W25" s="342" t="b">
        <v>1</v>
      </c>
      <c r="X25" s="421" t="b">
        <v>1</v>
      </c>
      <c r="Y25" s="342" t="b">
        <v>0</v>
      </c>
      <c r="Z25" s="422">
        <v>0</v>
      </c>
      <c r="AA25" s="342" t="b">
        <v>0</v>
      </c>
      <c r="AB25" s="342" t="s">
        <v>21299</v>
      </c>
      <c r="AC25" s="342" t="s">
        <v>21300</v>
      </c>
    </row>
    <row r="26" ht="25.5">
      <c r="A26" s="320">
        <v>24</v>
      </c>
      <c r="B26" s="415">
        <v>149173</v>
      </c>
      <c r="C26" s="416" t="s">
        <v>21165</v>
      </c>
      <c r="D26" s="417" t="s">
        <v>20880</v>
      </c>
      <c r="E26" s="418">
        <v>107.1256</v>
      </c>
      <c r="F26" s="418">
        <v>20.94673</v>
      </c>
      <c r="G26" s="419">
        <v>1</v>
      </c>
      <c r="H26" s="320">
        <v>1</v>
      </c>
      <c r="I26" s="342" t="s">
        <v>21288</v>
      </c>
      <c r="J26" s="342">
        <v>149173</v>
      </c>
      <c r="K26" s="342" t="s">
        <v>21312</v>
      </c>
      <c r="L26" s="342">
        <v>3</v>
      </c>
      <c r="M26" s="420" t="s">
        <v>21313</v>
      </c>
      <c r="N26" s="342" t="s">
        <v>21314</v>
      </c>
      <c r="O26" s="342">
        <v>2100</v>
      </c>
      <c r="P26" s="342" t="s">
        <v>21386</v>
      </c>
      <c r="Q26" s="342" t="b">
        <v>1</v>
      </c>
      <c r="R26" s="342" t="s">
        <v>21166</v>
      </c>
      <c r="S26" s="342">
        <v>0</v>
      </c>
      <c r="T26" s="342" t="s">
        <v>21297</v>
      </c>
      <c r="U26" s="342" t="s">
        <v>21167</v>
      </c>
      <c r="V26" s="469">
        <v>43748</v>
      </c>
      <c r="W26" s="342" t="b">
        <v>0</v>
      </c>
      <c r="X26" s="421" t="b">
        <v>0</v>
      </c>
      <c r="Y26" s="342" t="b">
        <v>1</v>
      </c>
      <c r="Z26" s="422">
        <v>10</v>
      </c>
      <c r="AA26" s="342" t="b">
        <v>0</v>
      </c>
      <c r="AB26" s="342" t="s">
        <v>21299</v>
      </c>
      <c r="AC26" s="342" t="s">
        <v>21300</v>
      </c>
    </row>
    <row r="27" ht="25.5">
      <c r="A27" s="320">
        <v>25</v>
      </c>
      <c r="B27" s="415">
        <v>127510</v>
      </c>
      <c r="C27" s="416" t="s">
        <v>21168</v>
      </c>
      <c r="D27" s="417" t="s">
        <v>20851</v>
      </c>
      <c r="E27" s="418">
        <v>106.3224</v>
      </c>
      <c r="F27" s="418">
        <v>21.11631</v>
      </c>
      <c r="G27" s="419">
        <v>1</v>
      </c>
      <c r="H27" s="320">
        <v>1</v>
      </c>
      <c r="I27" s="342" t="s">
        <v>21288</v>
      </c>
      <c r="J27" s="342">
        <v>127510</v>
      </c>
      <c r="K27" s="342" t="s">
        <v>21312</v>
      </c>
      <c r="L27" s="342">
        <v>3</v>
      </c>
      <c r="M27" s="420" t="s">
        <v>21313</v>
      </c>
      <c r="N27" s="342" t="s">
        <v>21314</v>
      </c>
      <c r="O27" s="342">
        <v>2100</v>
      </c>
      <c r="P27" s="342" t="s">
        <v>21410</v>
      </c>
      <c r="Q27" s="342" t="b">
        <v>1</v>
      </c>
      <c r="R27" s="342" t="s">
        <v>21169</v>
      </c>
      <c r="S27" s="342">
        <v>0</v>
      </c>
      <c r="T27" s="342" t="s">
        <v>21297</v>
      </c>
      <c r="U27" s="342" t="s">
        <v>21170</v>
      </c>
      <c r="V27" s="469">
        <v>43748</v>
      </c>
      <c r="W27" s="342" t="b">
        <v>1</v>
      </c>
      <c r="X27" s="421" t="b">
        <v>0</v>
      </c>
      <c r="Y27" s="342" t="b">
        <v>1</v>
      </c>
      <c r="Z27" s="422">
        <v>10</v>
      </c>
      <c r="AA27" s="342" t="b">
        <v>0</v>
      </c>
      <c r="AB27" s="342" t="s">
        <v>21299</v>
      </c>
      <c r="AC27" s="342" t="s">
        <v>21300</v>
      </c>
    </row>
    <row r="28" ht="25.5">
      <c r="A28" s="320">
        <v>26</v>
      </c>
      <c r="B28" s="415">
        <v>127143</v>
      </c>
      <c r="C28" s="416" t="s">
        <v>21171</v>
      </c>
      <c r="D28" s="417" t="s">
        <v>20851</v>
      </c>
      <c r="E28" s="418">
        <v>106.27983</v>
      </c>
      <c r="F28" s="418">
        <v>20.791222</v>
      </c>
      <c r="G28" s="419">
        <v>1</v>
      </c>
      <c r="H28" s="320">
        <v>1</v>
      </c>
      <c r="I28" s="342" t="s">
        <v>21288</v>
      </c>
      <c r="J28" s="342">
        <v>127143</v>
      </c>
      <c r="K28" s="342" t="s">
        <v>21312</v>
      </c>
      <c r="L28" s="342">
        <v>3</v>
      </c>
      <c r="M28" s="420" t="s">
        <v>21313</v>
      </c>
      <c r="N28" s="342" t="s">
        <v>21314</v>
      </c>
      <c r="O28" s="342">
        <v>2100</v>
      </c>
      <c r="P28" s="342" t="s">
        <v>21410</v>
      </c>
      <c r="Q28" s="342" t="b">
        <v>1</v>
      </c>
      <c r="R28" s="342" t="s">
        <v>21172</v>
      </c>
      <c r="S28" s="342">
        <v>0</v>
      </c>
      <c r="T28" s="342" t="s">
        <v>21297</v>
      </c>
      <c r="U28" s="342" t="s">
        <v>21173</v>
      </c>
      <c r="V28" s="469">
        <v>43748</v>
      </c>
      <c r="W28" s="342" t="b">
        <v>1</v>
      </c>
      <c r="X28" s="421" t="b">
        <v>1</v>
      </c>
      <c r="Y28" s="342" t="b">
        <v>1</v>
      </c>
      <c r="Z28" s="422">
        <v>4</v>
      </c>
      <c r="AA28" s="342" t="b">
        <v>0</v>
      </c>
      <c r="AB28" s="342" t="s">
        <v>21299</v>
      </c>
      <c r="AC28" s="342" t="s">
        <v>21300</v>
      </c>
    </row>
    <row r="29" ht="25.5">
      <c r="A29" s="320">
        <v>27</v>
      </c>
      <c r="B29" s="415">
        <v>131121</v>
      </c>
      <c r="C29" s="416" t="s">
        <v>21174</v>
      </c>
      <c r="D29" s="417" t="s">
        <v>20863</v>
      </c>
      <c r="E29" s="418">
        <v>106.025422</v>
      </c>
      <c r="F29" s="418">
        <v>20.957053</v>
      </c>
      <c r="G29" s="419">
        <v>1</v>
      </c>
      <c r="H29" s="320">
        <v>1</v>
      </c>
      <c r="I29" s="342" t="s">
        <v>21288</v>
      </c>
      <c r="J29" s="342">
        <v>131121</v>
      </c>
      <c r="K29" s="342" t="s">
        <v>21312</v>
      </c>
      <c r="L29" s="342">
        <v>3</v>
      </c>
      <c r="M29" s="420" t="s">
        <v>21313</v>
      </c>
      <c r="N29" s="342" t="s">
        <v>21314</v>
      </c>
      <c r="O29" s="342">
        <v>2100</v>
      </c>
      <c r="P29" s="342" t="s">
        <v>21475</v>
      </c>
      <c r="Q29" s="342" t="b">
        <v>1</v>
      </c>
      <c r="R29" s="342" t="s">
        <v>21175</v>
      </c>
      <c r="S29" s="342">
        <v>0</v>
      </c>
      <c r="T29" s="342" t="s">
        <v>21297</v>
      </c>
      <c r="U29" s="342" t="s">
        <v>21176</v>
      </c>
      <c r="V29" s="469">
        <v>43748</v>
      </c>
      <c r="W29" s="342" t="b">
        <v>1</v>
      </c>
      <c r="X29" s="421" t="b">
        <v>1</v>
      </c>
      <c r="Y29" s="342" t="b">
        <v>1</v>
      </c>
      <c r="Z29" s="422">
        <v>10</v>
      </c>
      <c r="AA29" s="342" t="b">
        <v>0</v>
      </c>
      <c r="AB29" s="342" t="s">
        <v>21299</v>
      </c>
      <c r="AC29" s="342" t="s">
        <v>21300</v>
      </c>
    </row>
    <row r="30" ht="25.5">
      <c r="A30" s="320">
        <v>28</v>
      </c>
      <c r="B30" s="415">
        <v>131122</v>
      </c>
      <c r="C30" s="416" t="s">
        <v>21177</v>
      </c>
      <c r="D30" s="417" t="s">
        <v>20863</v>
      </c>
      <c r="E30" s="418">
        <v>106.04802</v>
      </c>
      <c r="F30" s="418">
        <v>20.969839</v>
      </c>
      <c r="G30" s="419">
        <v>1</v>
      </c>
      <c r="H30" s="320">
        <v>1</v>
      </c>
      <c r="I30" s="342" t="s">
        <v>21288</v>
      </c>
      <c r="J30" s="342">
        <v>131122</v>
      </c>
      <c r="K30" s="342" t="s">
        <v>21312</v>
      </c>
      <c r="L30" s="342">
        <v>3</v>
      </c>
      <c r="M30" s="420" t="s">
        <v>21313</v>
      </c>
      <c r="N30" s="342" t="s">
        <v>21314</v>
      </c>
      <c r="O30" s="342">
        <v>2100</v>
      </c>
      <c r="P30" s="342" t="s">
        <v>21482</v>
      </c>
      <c r="Q30" s="342" t="b">
        <v>1</v>
      </c>
      <c r="R30" s="342" t="s">
        <v>21178</v>
      </c>
      <c r="S30" s="342">
        <v>0</v>
      </c>
      <c r="T30" s="342" t="s">
        <v>21297</v>
      </c>
      <c r="U30" s="342" t="s">
        <v>21179</v>
      </c>
      <c r="V30" s="469">
        <v>43748</v>
      </c>
      <c r="W30" s="342" t="b">
        <v>1</v>
      </c>
      <c r="X30" s="421" t="b">
        <v>0</v>
      </c>
      <c r="Y30" s="342" t="b">
        <v>1</v>
      </c>
      <c r="Z30" s="422">
        <v>10</v>
      </c>
      <c r="AA30" s="342" t="b">
        <v>0</v>
      </c>
      <c r="AB30" s="342" t="s">
        <v>21299</v>
      </c>
      <c r="AC30" s="342" t="s">
        <v>21300</v>
      </c>
    </row>
    <row r="31" ht="25.5">
      <c r="A31" s="320">
        <v>29</v>
      </c>
      <c r="B31" s="415">
        <v>106534</v>
      </c>
      <c r="C31" s="416" t="s">
        <v>21180</v>
      </c>
      <c r="D31" s="417" t="s">
        <v>20842</v>
      </c>
      <c r="E31" s="418">
        <v>106.030854</v>
      </c>
      <c r="F31" s="418">
        <v>21.016435</v>
      </c>
      <c r="G31" s="419">
        <v>1</v>
      </c>
      <c r="H31" s="320">
        <v>1</v>
      </c>
      <c r="I31" s="342" t="s">
        <v>21288</v>
      </c>
      <c r="J31" s="342">
        <v>106534</v>
      </c>
      <c r="K31" s="342" t="s">
        <v>21312</v>
      </c>
      <c r="L31" s="342">
        <v>3</v>
      </c>
      <c r="M31" s="420" t="s">
        <v>21313</v>
      </c>
      <c r="N31" s="342" t="s">
        <v>21314</v>
      </c>
      <c r="O31" s="342">
        <v>2100</v>
      </c>
      <c r="P31" s="342" t="s">
        <v>21410</v>
      </c>
      <c r="Q31" s="342" t="b">
        <v>1</v>
      </c>
      <c r="R31" s="342" t="s">
        <v>21181</v>
      </c>
      <c r="S31" s="342">
        <v>0</v>
      </c>
      <c r="T31" s="342" t="s">
        <v>21297</v>
      </c>
      <c r="U31" s="342" t="s">
        <v>21182</v>
      </c>
      <c r="V31" s="469">
        <v>43748</v>
      </c>
      <c r="W31" s="342" t="b">
        <v>1</v>
      </c>
      <c r="X31" s="421" t="b">
        <v>1</v>
      </c>
      <c r="Y31" s="342" t="b">
        <v>0</v>
      </c>
      <c r="Z31" s="422">
        <v>0</v>
      </c>
      <c r="AA31" s="342" t="b">
        <v>0</v>
      </c>
      <c r="AB31" s="342" t="s">
        <v>21299</v>
      </c>
      <c r="AC31" s="342" t="s">
        <v>21300</v>
      </c>
    </row>
    <row r="32" ht="38.25">
      <c r="A32" s="320">
        <v>30</v>
      </c>
      <c r="B32" s="415">
        <v>105103</v>
      </c>
      <c r="C32" s="416" t="s">
        <v>21183</v>
      </c>
      <c r="D32" s="417" t="s">
        <v>20837</v>
      </c>
      <c r="E32" s="418">
        <v>106.134164</v>
      </c>
      <c r="F32" s="418">
        <v>21.252007</v>
      </c>
      <c r="G32" s="419">
        <v>1</v>
      </c>
      <c r="H32" s="320">
        <v>2</v>
      </c>
      <c r="I32" s="342" t="s">
        <v>21310</v>
      </c>
      <c r="J32" s="342" t="s">
        <v>21491</v>
      </c>
      <c r="K32" s="342" t="s">
        <v>21291</v>
      </c>
      <c r="L32" s="342" t="s">
        <v>21292</v>
      </c>
      <c r="M32" s="420" t="s">
        <v>21293</v>
      </c>
      <c r="N32" s="342" t="s">
        <v>21294</v>
      </c>
      <c r="O32" s="342" t="s">
        <v>21295</v>
      </c>
      <c r="P32" s="342" t="s">
        <v>21492</v>
      </c>
      <c r="Q32" s="342" t="b">
        <v>1</v>
      </c>
      <c r="R32" s="342" t="s">
        <v>21184</v>
      </c>
      <c r="S32" s="342">
        <v>0</v>
      </c>
      <c r="T32" s="342" t="s">
        <v>21297</v>
      </c>
      <c r="U32" s="342" t="s">
        <v>21185</v>
      </c>
      <c r="V32" s="469">
        <v>43748</v>
      </c>
      <c r="W32" s="342" t="b">
        <v>0</v>
      </c>
      <c r="X32" s="421" t="b">
        <v>0</v>
      </c>
      <c r="Y32" s="342" t="b">
        <v>1</v>
      </c>
      <c r="Z32" s="422">
        <v>21</v>
      </c>
      <c r="AA32" s="342" t="b">
        <v>0</v>
      </c>
      <c r="AB32" s="342" t="s">
        <v>21299</v>
      </c>
      <c r="AC32" s="342" t="s">
        <v>21300</v>
      </c>
    </row>
    <row r="33" ht="25.5">
      <c r="A33" s="320">
        <v>31</v>
      </c>
      <c r="B33" s="415">
        <v>105100</v>
      </c>
      <c r="C33" s="416" t="s">
        <v>21186</v>
      </c>
      <c r="D33" s="417" t="s">
        <v>20837</v>
      </c>
      <c r="E33" s="418">
        <v>106.184445</v>
      </c>
      <c r="F33" s="418">
        <v>21.275372</v>
      </c>
      <c r="G33" s="419">
        <v>1</v>
      </c>
      <c r="H33" s="320">
        <v>1</v>
      </c>
      <c r="I33" s="342" t="s">
        <v>21288</v>
      </c>
      <c r="J33" s="342">
        <v>105100</v>
      </c>
      <c r="K33" s="342" t="s">
        <v>21312</v>
      </c>
      <c r="L33" s="342">
        <v>3</v>
      </c>
      <c r="M33" s="420" t="s">
        <v>21313</v>
      </c>
      <c r="N33" s="342" t="s">
        <v>21314</v>
      </c>
      <c r="O33" s="342">
        <v>2100</v>
      </c>
      <c r="P33" s="342" t="s">
        <v>21368</v>
      </c>
      <c r="Q33" s="342" t="b">
        <v>1</v>
      </c>
      <c r="R33" s="342" t="s">
        <v>21187</v>
      </c>
      <c r="S33" s="342">
        <v>0</v>
      </c>
      <c r="T33" s="342" t="s">
        <v>21297</v>
      </c>
      <c r="U33" s="342" t="s">
        <v>21188</v>
      </c>
      <c r="V33" s="469">
        <v>43748</v>
      </c>
      <c r="W33" s="342" t="b">
        <v>1</v>
      </c>
      <c r="X33" s="421" t="b">
        <v>0</v>
      </c>
      <c r="Y33" s="342" t="b">
        <v>1</v>
      </c>
      <c r="Z33" s="422">
        <v>8</v>
      </c>
      <c r="AA33" s="342" t="b">
        <v>0</v>
      </c>
      <c r="AB33" s="342" t="s">
        <v>21299</v>
      </c>
      <c r="AC33" s="342" t="s">
        <v>21300</v>
      </c>
    </row>
    <row r="34" ht="38.25">
      <c r="A34" s="320">
        <v>32</v>
      </c>
      <c r="B34" s="415">
        <v>105145</v>
      </c>
      <c r="C34" s="416" t="s">
        <v>21189</v>
      </c>
      <c r="D34" s="417" t="s">
        <v>20837</v>
      </c>
      <c r="E34" s="418">
        <v>106.19995</v>
      </c>
      <c r="F34" s="418">
        <v>21.282727</v>
      </c>
      <c r="G34" s="419">
        <v>1</v>
      </c>
      <c r="H34" s="320">
        <v>1</v>
      </c>
      <c r="I34" s="342" t="s">
        <v>21288</v>
      </c>
      <c r="J34" s="342">
        <v>105145</v>
      </c>
      <c r="K34" s="342" t="s">
        <v>21312</v>
      </c>
      <c r="L34" s="342">
        <v>3</v>
      </c>
      <c r="M34" s="420" t="s">
        <v>21313</v>
      </c>
      <c r="N34" s="342" t="s">
        <v>21314</v>
      </c>
      <c r="O34" s="342">
        <v>2100</v>
      </c>
      <c r="P34" s="342" t="s">
        <v>21368</v>
      </c>
      <c r="Q34" s="342" t="b">
        <v>1</v>
      </c>
      <c r="R34" s="342" t="s">
        <v>21190</v>
      </c>
      <c r="S34" s="342">
        <v>0</v>
      </c>
      <c r="T34" s="342" t="s">
        <v>21297</v>
      </c>
      <c r="U34" s="342" t="s">
        <v>21191</v>
      </c>
      <c r="V34" s="469">
        <v>43748</v>
      </c>
      <c r="W34" s="342" t="b">
        <v>1</v>
      </c>
      <c r="X34" s="421" t="b">
        <v>0</v>
      </c>
      <c r="Y34" s="342" t="b">
        <v>1</v>
      </c>
      <c r="Z34" s="422">
        <v>24</v>
      </c>
      <c r="AA34" s="342" t="b">
        <v>0</v>
      </c>
      <c r="AB34" s="342" t="s">
        <v>21299</v>
      </c>
      <c r="AC34" s="342" t="s">
        <v>21300</v>
      </c>
    </row>
    <row r="35" ht="25.5">
      <c r="A35" s="320">
        <v>33</v>
      </c>
      <c r="B35" s="415">
        <v>105144</v>
      </c>
      <c r="C35" s="416" t="s">
        <v>21192</v>
      </c>
      <c r="D35" s="417" t="s">
        <v>20837</v>
      </c>
      <c r="E35" s="418">
        <v>106.084983</v>
      </c>
      <c r="F35" s="418">
        <v>21.354485</v>
      </c>
      <c r="G35" s="419">
        <v>1</v>
      </c>
      <c r="H35" s="320">
        <v>1</v>
      </c>
      <c r="I35" s="342" t="s">
        <v>21288</v>
      </c>
      <c r="J35" s="342">
        <v>105144</v>
      </c>
      <c r="K35" s="342" t="s">
        <v>21312</v>
      </c>
      <c r="L35" s="342">
        <v>3</v>
      </c>
      <c r="M35" s="420" t="s">
        <v>21313</v>
      </c>
      <c r="N35" s="342" t="s">
        <v>21314</v>
      </c>
      <c r="O35" s="342">
        <v>2100</v>
      </c>
      <c r="P35" s="342" t="s">
        <v>21482</v>
      </c>
      <c r="Q35" s="342" t="b">
        <v>1</v>
      </c>
      <c r="R35" s="342" t="s">
        <v>21193</v>
      </c>
      <c r="S35" s="342">
        <v>0</v>
      </c>
      <c r="T35" s="342" t="s">
        <v>21297</v>
      </c>
      <c r="U35" s="342" t="s">
        <v>21194</v>
      </c>
      <c r="V35" s="469">
        <v>43748</v>
      </c>
      <c r="W35" s="342" t="b">
        <v>1</v>
      </c>
      <c r="X35" s="421" t="b">
        <v>0</v>
      </c>
      <c r="Y35" s="342" t="b">
        <v>1</v>
      </c>
      <c r="Z35" s="422">
        <v>14</v>
      </c>
      <c r="AA35" s="342" t="b">
        <v>0</v>
      </c>
      <c r="AB35" s="342" t="s">
        <v>21299</v>
      </c>
      <c r="AC35" s="342" t="s">
        <v>21300</v>
      </c>
    </row>
    <row r="36" ht="25.5">
      <c r="A36" s="320">
        <v>34</v>
      </c>
      <c r="B36" s="415">
        <v>124827</v>
      </c>
      <c r="C36" s="416" t="s">
        <v>21195</v>
      </c>
      <c r="D36" s="417" t="s">
        <v>20855</v>
      </c>
      <c r="E36" s="418">
        <v>105.5688</v>
      </c>
      <c r="F36" s="418">
        <v>21.133463</v>
      </c>
      <c r="G36" s="419">
        <v>1</v>
      </c>
      <c r="H36" s="320">
        <v>1</v>
      </c>
      <c r="I36" s="342" t="s">
        <v>21288</v>
      </c>
      <c r="J36" s="342">
        <v>124827</v>
      </c>
      <c r="K36" s="342" t="s">
        <v>21312</v>
      </c>
      <c r="L36" s="342">
        <v>3</v>
      </c>
      <c r="M36" s="420" t="s">
        <v>21313</v>
      </c>
      <c r="N36" s="342" t="s">
        <v>21314</v>
      </c>
      <c r="O36" s="342">
        <v>2100</v>
      </c>
      <c r="P36" s="342" t="s">
        <v>21343</v>
      </c>
      <c r="Q36" s="342" t="b">
        <v>1</v>
      </c>
      <c r="R36" s="342" t="s">
        <v>21196</v>
      </c>
      <c r="S36" s="342">
        <v>0</v>
      </c>
      <c r="T36" s="342" t="s">
        <v>21297</v>
      </c>
      <c r="U36" s="342" t="s">
        <v>21197</v>
      </c>
      <c r="V36" s="469">
        <v>43748</v>
      </c>
      <c r="W36" s="342" t="b">
        <v>1</v>
      </c>
      <c r="X36" s="421" t="b">
        <v>0</v>
      </c>
      <c r="Y36" s="342" t="b">
        <v>1</v>
      </c>
      <c r="Z36" s="422">
        <v>10</v>
      </c>
      <c r="AA36" s="342" t="b">
        <v>0</v>
      </c>
      <c r="AB36" s="342" t="s">
        <v>21299</v>
      </c>
      <c r="AC36" s="342" t="s">
        <v>21300</v>
      </c>
    </row>
    <row r="37" ht="25.5">
      <c r="A37" s="320">
        <v>35</v>
      </c>
      <c r="B37" s="415">
        <v>124970</v>
      </c>
      <c r="C37" s="416" t="s">
        <v>21198</v>
      </c>
      <c r="D37" s="417" t="s">
        <v>20855</v>
      </c>
      <c r="E37" s="418">
        <v>105.683996</v>
      </c>
      <c r="F37" s="418">
        <v>20.941844</v>
      </c>
      <c r="G37" s="419">
        <v>1</v>
      </c>
      <c r="H37" s="320">
        <v>1</v>
      </c>
      <c r="I37" s="342" t="s">
        <v>21288</v>
      </c>
      <c r="J37" s="342">
        <v>124970</v>
      </c>
      <c r="K37" s="342" t="s">
        <v>21312</v>
      </c>
      <c r="L37" s="342">
        <v>3</v>
      </c>
      <c r="M37" s="420" t="s">
        <v>21313</v>
      </c>
      <c r="N37" s="342" t="s">
        <v>21314</v>
      </c>
      <c r="O37" s="342">
        <v>2100</v>
      </c>
      <c r="P37" s="342" t="s">
        <v>21343</v>
      </c>
      <c r="Q37" s="342" t="b">
        <v>1</v>
      </c>
      <c r="R37" s="342" t="s">
        <v>21199</v>
      </c>
      <c r="S37" s="342">
        <v>0</v>
      </c>
      <c r="T37" s="342" t="s">
        <v>21297</v>
      </c>
      <c r="U37" s="342" t="s">
        <v>21200</v>
      </c>
      <c r="V37" s="469">
        <v>43748</v>
      </c>
      <c r="W37" s="342" t="b">
        <v>1</v>
      </c>
      <c r="X37" s="421" t="b">
        <v>0</v>
      </c>
      <c r="Y37" s="342" t="b">
        <v>1</v>
      </c>
      <c r="Z37" s="422">
        <v>8</v>
      </c>
      <c r="AA37" s="342" t="b">
        <v>0</v>
      </c>
      <c r="AB37" s="342" t="s">
        <v>21299</v>
      </c>
      <c r="AC37" s="342" t="s">
        <v>21300</v>
      </c>
    </row>
    <row r="38" ht="38.25">
      <c r="A38" s="320">
        <v>36</v>
      </c>
      <c r="B38" s="415">
        <v>124791</v>
      </c>
      <c r="C38" s="416" t="s">
        <v>21201</v>
      </c>
      <c r="D38" s="417" t="s">
        <v>20855</v>
      </c>
      <c r="E38" s="418">
        <v>105.738588</v>
      </c>
      <c r="F38" s="418">
        <v>20.986976</v>
      </c>
      <c r="G38" s="419">
        <v>1</v>
      </c>
      <c r="H38" s="320">
        <v>1</v>
      </c>
      <c r="I38" s="342" t="s">
        <v>21288</v>
      </c>
      <c r="J38" s="342">
        <v>124791</v>
      </c>
      <c r="K38" s="342" t="s">
        <v>21312</v>
      </c>
      <c r="L38" s="342">
        <v>3</v>
      </c>
      <c r="M38" s="420" t="s">
        <v>21313</v>
      </c>
      <c r="N38" s="342" t="s">
        <v>21314</v>
      </c>
      <c r="O38" s="342">
        <v>2100</v>
      </c>
      <c r="P38" s="342" t="s">
        <v>21399</v>
      </c>
      <c r="Q38" s="342" t="b">
        <v>1</v>
      </c>
      <c r="R38" s="342" t="s">
        <v>21202</v>
      </c>
      <c r="S38" s="342">
        <v>0</v>
      </c>
      <c r="T38" s="342" t="s">
        <v>21297</v>
      </c>
      <c r="U38" s="342" t="s">
        <v>21203</v>
      </c>
      <c r="V38" s="469">
        <v>43748</v>
      </c>
      <c r="W38" s="342" t="b">
        <v>0</v>
      </c>
      <c r="X38" s="421" t="b">
        <v>0</v>
      </c>
      <c r="Y38" s="342" t="b">
        <v>1</v>
      </c>
      <c r="Z38" s="422">
        <v>21</v>
      </c>
      <c r="AA38" s="342" t="b">
        <v>0</v>
      </c>
      <c r="AB38" s="342" t="s">
        <v>21299</v>
      </c>
      <c r="AC38" s="342" t="s">
        <v>21300</v>
      </c>
    </row>
    <row r="39" ht="25.5">
      <c r="A39" s="320">
        <v>37</v>
      </c>
      <c r="B39" s="415">
        <v>124800</v>
      </c>
      <c r="C39" s="416" t="s">
        <v>21204</v>
      </c>
      <c r="D39" s="417" t="s">
        <v>20855</v>
      </c>
      <c r="E39" s="418">
        <v>105.75563</v>
      </c>
      <c r="F39" s="418">
        <v>20.942788</v>
      </c>
      <c r="G39" s="419">
        <v>1</v>
      </c>
      <c r="H39" s="320">
        <v>1</v>
      </c>
      <c r="I39" s="342" t="s">
        <v>21288</v>
      </c>
      <c r="J39" s="342">
        <v>124800</v>
      </c>
      <c r="K39" s="342" t="s">
        <v>21312</v>
      </c>
      <c r="L39" s="342">
        <v>3</v>
      </c>
      <c r="M39" s="420" t="s">
        <v>21313</v>
      </c>
      <c r="N39" s="342" t="s">
        <v>21314</v>
      </c>
      <c r="O39" s="342">
        <v>2100</v>
      </c>
      <c r="P39" s="342" t="s">
        <v>21343</v>
      </c>
      <c r="Q39" s="342" t="b">
        <v>1</v>
      </c>
      <c r="R39" s="342" t="s">
        <v>21205</v>
      </c>
      <c r="S39" s="342">
        <v>0</v>
      </c>
      <c r="T39" s="342" t="s">
        <v>21297</v>
      </c>
      <c r="U39" s="342" t="s">
        <v>21206</v>
      </c>
      <c r="V39" s="469">
        <v>43748</v>
      </c>
      <c r="W39" s="342" t="b">
        <v>0</v>
      </c>
      <c r="X39" s="421" t="b">
        <v>0</v>
      </c>
      <c r="Y39" s="342" t="b">
        <v>1</v>
      </c>
      <c r="Z39" s="422">
        <v>18</v>
      </c>
      <c r="AA39" s="342" t="b">
        <v>0</v>
      </c>
      <c r="AB39" s="342" t="s">
        <v>21299</v>
      </c>
      <c r="AC39" s="342" t="s">
        <v>21300</v>
      </c>
    </row>
    <row r="40" ht="25.5">
      <c r="A40" s="320">
        <v>38</v>
      </c>
      <c r="B40" s="415">
        <v>124777</v>
      </c>
      <c r="C40" s="416" t="s">
        <v>21207</v>
      </c>
      <c r="D40" s="417" t="s">
        <v>20855</v>
      </c>
      <c r="E40" s="418">
        <v>105.782002</v>
      </c>
      <c r="F40" s="418">
        <v>20.805605</v>
      </c>
      <c r="G40" s="419">
        <v>1</v>
      </c>
      <c r="H40" s="320">
        <v>1</v>
      </c>
      <c r="I40" s="342" t="s">
        <v>21288</v>
      </c>
      <c r="J40" s="342">
        <v>124777</v>
      </c>
      <c r="K40" s="342" t="s">
        <v>21312</v>
      </c>
      <c r="L40" s="342">
        <v>3</v>
      </c>
      <c r="M40" s="420" t="s">
        <v>21313</v>
      </c>
      <c r="N40" s="342" t="s">
        <v>21314</v>
      </c>
      <c r="O40" s="342">
        <v>2100</v>
      </c>
      <c r="P40" s="342" t="s">
        <v>21410</v>
      </c>
      <c r="Q40" s="342" t="b">
        <v>1</v>
      </c>
      <c r="R40" s="342" t="s">
        <v>21208</v>
      </c>
      <c r="S40" s="342">
        <v>0</v>
      </c>
      <c r="T40" s="342" t="s">
        <v>21297</v>
      </c>
      <c r="U40" s="342" t="s">
        <v>21209</v>
      </c>
      <c r="V40" s="469">
        <v>43748</v>
      </c>
      <c r="W40" s="342" t="b">
        <v>1</v>
      </c>
      <c r="X40" s="421" t="b">
        <v>0</v>
      </c>
      <c r="Y40" s="342" t="b">
        <v>1</v>
      </c>
      <c r="Z40" s="422">
        <v>8</v>
      </c>
      <c r="AA40" s="342" t="b">
        <v>0</v>
      </c>
      <c r="AB40" s="342" t="s">
        <v>21299</v>
      </c>
      <c r="AC40" s="342" t="s">
        <v>21300</v>
      </c>
    </row>
    <row r="41" ht="51">
      <c r="A41" s="320">
        <v>39</v>
      </c>
      <c r="B41" s="415">
        <v>124730</v>
      </c>
      <c r="C41" s="416" t="s">
        <v>21210</v>
      </c>
      <c r="D41" s="417" t="s">
        <v>20855</v>
      </c>
      <c r="E41" s="418">
        <v>105.822011</v>
      </c>
      <c r="F41" s="418">
        <v>20.990358</v>
      </c>
      <c r="G41" s="419">
        <v>1</v>
      </c>
      <c r="H41" s="320">
        <v>1</v>
      </c>
      <c r="I41" s="342" t="s">
        <v>21288</v>
      </c>
      <c r="J41" s="342">
        <v>124730</v>
      </c>
      <c r="K41" s="342" t="s">
        <v>21312</v>
      </c>
      <c r="L41" s="342">
        <v>3</v>
      </c>
      <c r="M41" s="420" t="s">
        <v>21313</v>
      </c>
      <c r="N41" s="342" t="s">
        <v>21314</v>
      </c>
      <c r="O41" s="342">
        <v>2100</v>
      </c>
      <c r="P41" s="342" t="s">
        <v>21399</v>
      </c>
      <c r="Q41" s="342" t="b">
        <v>1</v>
      </c>
      <c r="R41" s="342" t="s">
        <v>21211</v>
      </c>
      <c r="S41" s="342">
        <v>0</v>
      </c>
      <c r="T41" s="342" t="s">
        <v>21297</v>
      </c>
      <c r="U41" s="342" t="s">
        <v>21212</v>
      </c>
      <c r="V41" s="469">
        <v>43748</v>
      </c>
      <c r="W41" s="342" t="b">
        <v>0</v>
      </c>
      <c r="X41" s="421" t="b">
        <v>0</v>
      </c>
      <c r="Y41" s="342" t="b">
        <v>1</v>
      </c>
      <c r="Z41" s="422">
        <v>21</v>
      </c>
      <c r="AA41" s="342" t="b">
        <v>0</v>
      </c>
      <c r="AB41" s="342" t="s">
        <v>21299</v>
      </c>
      <c r="AC41" s="342" t="s">
        <v>21300</v>
      </c>
    </row>
    <row r="42" ht="38.25">
      <c r="A42" s="320">
        <v>40</v>
      </c>
      <c r="B42" s="415">
        <v>124807</v>
      </c>
      <c r="C42" s="416" t="s">
        <v>21213</v>
      </c>
      <c r="D42" s="417" t="s">
        <v>20855</v>
      </c>
      <c r="E42" s="418">
        <v>105.820882</v>
      </c>
      <c r="F42" s="418">
        <v>20.983029</v>
      </c>
      <c r="G42" s="419">
        <v>1</v>
      </c>
      <c r="H42" s="320">
        <v>1</v>
      </c>
      <c r="I42" s="342" t="s">
        <v>21288</v>
      </c>
      <c r="J42" s="342">
        <v>124807</v>
      </c>
      <c r="K42" s="342" t="s">
        <v>21312</v>
      </c>
      <c r="L42" s="342">
        <v>3</v>
      </c>
      <c r="M42" s="420" t="s">
        <v>21313</v>
      </c>
      <c r="N42" s="342" t="s">
        <v>21314</v>
      </c>
      <c r="O42" s="342">
        <v>2100</v>
      </c>
      <c r="P42" s="342" t="s">
        <v>21532</v>
      </c>
      <c r="Q42" s="342" t="b">
        <v>1</v>
      </c>
      <c r="R42" s="342" t="s">
        <v>21214</v>
      </c>
      <c r="S42" s="342">
        <v>0</v>
      </c>
      <c r="T42" s="342" t="s">
        <v>21297</v>
      </c>
      <c r="U42" s="342" t="s">
        <v>21215</v>
      </c>
      <c r="V42" s="469">
        <v>43748</v>
      </c>
      <c r="W42" s="342" t="b">
        <v>0</v>
      </c>
      <c r="X42" s="421" t="b">
        <v>0</v>
      </c>
      <c r="Y42" s="342" t="b">
        <v>1</v>
      </c>
      <c r="Z42" s="422">
        <v>18</v>
      </c>
      <c r="AA42" s="342" t="b">
        <v>0</v>
      </c>
      <c r="AB42" s="342" t="s">
        <v>21299</v>
      </c>
      <c r="AC42" s="342" t="s">
        <v>21300</v>
      </c>
    </row>
    <row r="43" ht="38.25">
      <c r="A43" s="320">
        <v>41</v>
      </c>
      <c r="B43" s="415">
        <v>124941</v>
      </c>
      <c r="C43" s="416" t="s">
        <v>21216</v>
      </c>
      <c r="D43" s="417" t="s">
        <v>20855</v>
      </c>
      <c r="E43" s="418">
        <v>105.859908</v>
      </c>
      <c r="F43" s="418">
        <v>20.990874</v>
      </c>
      <c r="G43" s="419">
        <v>1</v>
      </c>
      <c r="H43" s="320">
        <v>1</v>
      </c>
      <c r="I43" s="342" t="s">
        <v>21288</v>
      </c>
      <c r="J43" s="342">
        <v>124941</v>
      </c>
      <c r="K43" s="342" t="s">
        <v>21312</v>
      </c>
      <c r="L43" s="342">
        <v>3</v>
      </c>
      <c r="M43" s="420" t="s">
        <v>21313</v>
      </c>
      <c r="N43" s="342" t="s">
        <v>21314</v>
      </c>
      <c r="O43" s="342">
        <v>2100</v>
      </c>
      <c r="P43" s="342" t="s">
        <v>21399</v>
      </c>
      <c r="Q43" s="342" t="b">
        <v>1</v>
      </c>
      <c r="R43" s="342" t="s">
        <v>21217</v>
      </c>
      <c r="S43" s="342">
        <v>0</v>
      </c>
      <c r="T43" s="342" t="s">
        <v>21297</v>
      </c>
      <c r="U43" s="342" t="s">
        <v>21218</v>
      </c>
      <c r="V43" s="469">
        <v>43748</v>
      </c>
      <c r="W43" s="342" t="b">
        <v>0</v>
      </c>
      <c r="X43" s="421" t="b">
        <v>0</v>
      </c>
      <c r="Y43" s="342" t="b">
        <v>1</v>
      </c>
      <c r="Z43" s="422">
        <v>18</v>
      </c>
      <c r="AA43" s="342" t="b">
        <v>0</v>
      </c>
      <c r="AB43" s="342" t="s">
        <v>21299</v>
      </c>
      <c r="AC43" s="342" t="s">
        <v>21300</v>
      </c>
    </row>
    <row r="44" ht="38.25">
      <c r="A44" s="320">
        <v>42</v>
      </c>
      <c r="B44" s="415">
        <v>124107</v>
      </c>
      <c r="C44" s="416" t="s">
        <v>21219</v>
      </c>
      <c r="D44" s="417" t="s">
        <v>20855</v>
      </c>
      <c r="E44" s="418">
        <v>105.841328</v>
      </c>
      <c r="F44" s="418">
        <v>21.041262</v>
      </c>
      <c r="G44" s="419">
        <v>1</v>
      </c>
      <c r="H44" s="320">
        <v>1</v>
      </c>
      <c r="I44" s="342" t="s">
        <v>21288</v>
      </c>
      <c r="J44" s="342">
        <v>124107</v>
      </c>
      <c r="K44" s="342" t="s">
        <v>21312</v>
      </c>
      <c r="L44" s="342">
        <v>3</v>
      </c>
      <c r="M44" s="420" t="s">
        <v>21313</v>
      </c>
      <c r="N44" s="342" t="s">
        <v>21314</v>
      </c>
      <c r="O44" s="342">
        <v>2100</v>
      </c>
      <c r="P44" s="342" t="s">
        <v>21417</v>
      </c>
      <c r="Q44" s="342" t="b">
        <v>1</v>
      </c>
      <c r="R44" s="342" t="s">
        <v>21220</v>
      </c>
      <c r="S44" s="342">
        <v>0</v>
      </c>
      <c r="T44" s="342" t="s">
        <v>21297</v>
      </c>
      <c r="U44" s="342" t="s">
        <v>21221</v>
      </c>
      <c r="V44" s="469">
        <v>43748</v>
      </c>
      <c r="W44" s="342" t="b">
        <v>0</v>
      </c>
      <c r="X44" s="421" t="b">
        <v>0</v>
      </c>
      <c r="Y44" s="342" t="b">
        <v>1</v>
      </c>
      <c r="Z44" s="422">
        <v>28</v>
      </c>
      <c r="AA44" s="342" t="b">
        <v>0</v>
      </c>
      <c r="AB44" s="342" t="s">
        <v>21299</v>
      </c>
      <c r="AC44" s="342" t="s">
        <v>21300</v>
      </c>
    </row>
    <row r="45" ht="25.5">
      <c r="A45" s="320">
        <v>43</v>
      </c>
      <c r="B45" s="415">
        <v>124703</v>
      </c>
      <c r="C45" s="416" t="s">
        <v>21222</v>
      </c>
      <c r="D45" s="417" t="s">
        <v>20855</v>
      </c>
      <c r="E45" s="418">
        <v>105.87647</v>
      </c>
      <c r="F45" s="418">
        <v>21.04955</v>
      </c>
      <c r="G45" s="419">
        <v>1</v>
      </c>
      <c r="H45" s="320">
        <v>1</v>
      </c>
      <c r="I45" s="342" t="s">
        <v>21288</v>
      </c>
      <c r="J45" s="342">
        <v>124703</v>
      </c>
      <c r="K45" s="342" t="s">
        <v>21312</v>
      </c>
      <c r="L45" s="342">
        <v>3</v>
      </c>
      <c r="M45" s="420" t="s">
        <v>21313</v>
      </c>
      <c r="N45" s="342" t="s">
        <v>21314</v>
      </c>
      <c r="O45" s="342">
        <v>2100</v>
      </c>
      <c r="P45" s="342" t="s">
        <v>21399</v>
      </c>
      <c r="Q45" s="342" t="b">
        <v>1</v>
      </c>
      <c r="R45" s="342" t="s">
        <v>21223</v>
      </c>
      <c r="S45" s="342">
        <v>0</v>
      </c>
      <c r="T45" s="342" t="s">
        <v>21297</v>
      </c>
      <c r="U45" s="342" t="s">
        <v>21224</v>
      </c>
      <c r="V45" s="469">
        <v>43748</v>
      </c>
      <c r="W45" s="342" t="b">
        <v>0</v>
      </c>
      <c r="X45" s="421" t="b">
        <v>0</v>
      </c>
      <c r="Y45" s="342" t="b">
        <v>1</v>
      </c>
      <c r="Z45" s="422">
        <v>18</v>
      </c>
      <c r="AA45" s="342" t="b">
        <v>0</v>
      </c>
      <c r="AB45" s="342" t="s">
        <v>21299</v>
      </c>
      <c r="AC45" s="342" t="s">
        <v>21300</v>
      </c>
    </row>
    <row r="46" ht="25.5">
      <c r="A46" s="320">
        <v>44</v>
      </c>
      <c r="B46" s="415">
        <v>124677</v>
      </c>
      <c r="C46" s="416" t="s">
        <v>21225</v>
      </c>
      <c r="D46" s="417" t="s">
        <v>20855</v>
      </c>
      <c r="E46" s="418">
        <v>105.964745</v>
      </c>
      <c r="F46" s="418">
        <v>21.016525</v>
      </c>
      <c r="G46" s="419">
        <v>1</v>
      </c>
      <c r="H46" s="320">
        <v>1</v>
      </c>
      <c r="I46" s="342" t="s">
        <v>21288</v>
      </c>
      <c r="J46" s="342">
        <v>124677</v>
      </c>
      <c r="K46" s="342" t="s">
        <v>21312</v>
      </c>
      <c r="L46" s="342">
        <v>3</v>
      </c>
      <c r="M46" s="420" t="s">
        <v>21313</v>
      </c>
      <c r="N46" s="342" t="s">
        <v>21314</v>
      </c>
      <c r="O46" s="342">
        <v>2100</v>
      </c>
      <c r="P46" s="342" t="s">
        <v>21386</v>
      </c>
      <c r="Q46" s="342" t="b">
        <v>1</v>
      </c>
      <c r="R46" s="342" t="s">
        <v>21226</v>
      </c>
      <c r="S46" s="342">
        <v>0</v>
      </c>
      <c r="T46" s="342" t="s">
        <v>21297</v>
      </c>
      <c r="U46" s="342" t="s">
        <v>21227</v>
      </c>
      <c r="V46" s="469">
        <v>43748</v>
      </c>
      <c r="W46" s="342" t="b">
        <v>0</v>
      </c>
      <c r="X46" s="421" t="b">
        <v>0</v>
      </c>
      <c r="Y46" s="342" t="b">
        <v>1</v>
      </c>
      <c r="Z46" s="422">
        <v>21</v>
      </c>
      <c r="AA46" s="342" t="b">
        <v>0</v>
      </c>
      <c r="AB46" s="342" t="s">
        <v>21299</v>
      </c>
      <c r="AC46" s="342" t="s">
        <v>21300</v>
      </c>
    </row>
    <row r="47" ht="38.25">
      <c r="A47" s="320">
        <v>45</v>
      </c>
      <c r="B47" s="415">
        <v>124763</v>
      </c>
      <c r="C47" s="416" t="s">
        <v>21228</v>
      </c>
      <c r="D47" s="417" t="s">
        <v>20855</v>
      </c>
      <c r="E47" s="418">
        <v>105.82129</v>
      </c>
      <c r="F47" s="418">
        <v>21.101444</v>
      </c>
      <c r="G47" s="419">
        <v>1</v>
      </c>
      <c r="H47" s="320">
        <v>1</v>
      </c>
      <c r="I47" s="342" t="s">
        <v>21288</v>
      </c>
      <c r="J47" s="342">
        <v>124763</v>
      </c>
      <c r="K47" s="342" t="s">
        <v>21312</v>
      </c>
      <c r="L47" s="342">
        <v>3</v>
      </c>
      <c r="M47" s="420" t="s">
        <v>21313</v>
      </c>
      <c r="N47" s="342" t="s">
        <v>21314</v>
      </c>
      <c r="O47" s="342">
        <v>2100</v>
      </c>
      <c r="P47" s="342" t="s">
        <v>21377</v>
      </c>
      <c r="Q47" s="342" t="b">
        <v>1</v>
      </c>
      <c r="R47" s="342" t="s">
        <v>21229</v>
      </c>
      <c r="S47" s="342">
        <v>0</v>
      </c>
      <c r="T47" s="342" t="s">
        <v>21297</v>
      </c>
      <c r="U47" s="342" t="s">
        <v>21230</v>
      </c>
      <c r="V47" s="469">
        <v>43748</v>
      </c>
      <c r="W47" s="342" t="b">
        <v>1</v>
      </c>
      <c r="X47" s="421" t="b">
        <v>1</v>
      </c>
      <c r="Y47" s="342" t="b">
        <v>1</v>
      </c>
      <c r="Z47" s="422">
        <v>4</v>
      </c>
      <c r="AA47" s="342" t="b">
        <v>0</v>
      </c>
      <c r="AB47" s="342" t="s">
        <v>21299</v>
      </c>
      <c r="AC47" s="342" t="s">
        <v>21300</v>
      </c>
    </row>
    <row r="48" ht="38.25">
      <c r="A48" s="320">
        <v>46</v>
      </c>
      <c r="B48" s="415">
        <v>124450</v>
      </c>
      <c r="C48" s="416" t="s">
        <v>21231</v>
      </c>
      <c r="D48" s="417" t="s">
        <v>20855</v>
      </c>
      <c r="E48" s="418">
        <v>105.763641</v>
      </c>
      <c r="F48" s="418">
        <v>21.035005</v>
      </c>
      <c r="G48" s="419">
        <v>1</v>
      </c>
      <c r="H48" s="320">
        <v>2</v>
      </c>
      <c r="I48" s="342" t="s">
        <v>21310</v>
      </c>
      <c r="J48" s="342" t="s">
        <v>21555</v>
      </c>
      <c r="K48" s="342" t="s">
        <v>21453</v>
      </c>
      <c r="L48" s="342" t="s">
        <v>21292</v>
      </c>
      <c r="M48" s="420" t="s">
        <v>21454</v>
      </c>
      <c r="N48" s="342" t="s">
        <v>21294</v>
      </c>
      <c r="O48" s="342" t="s">
        <v>21295</v>
      </c>
      <c r="P48" s="342" t="s">
        <v>21556</v>
      </c>
      <c r="Q48" s="342" t="b">
        <v>1</v>
      </c>
      <c r="R48" s="342" t="s">
        <v>21232</v>
      </c>
      <c r="S48" s="342">
        <v>0</v>
      </c>
      <c r="T48" s="342" t="s">
        <v>21297</v>
      </c>
      <c r="U48" s="342" t="s">
        <v>21233</v>
      </c>
      <c r="V48" s="469">
        <v>43748</v>
      </c>
      <c r="W48" s="342" t="b">
        <v>0</v>
      </c>
      <c r="X48" s="421" t="b">
        <v>0</v>
      </c>
      <c r="Y48" s="342" t="b">
        <v>1</v>
      </c>
      <c r="Z48" s="422">
        <v>73</v>
      </c>
      <c r="AA48" s="342" t="b">
        <v>0</v>
      </c>
      <c r="AB48" s="342" t="s">
        <v>21299</v>
      </c>
      <c r="AC48" s="342" t="s">
        <v>21300</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E00E72C6-0091-44C3-AC44-598A4EBFEEAD}">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6"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21282</v>
      </c>
      <c r="C1" s="344" t="s">
        <v>21283</v>
      </c>
      <c r="D1" s="374" t="s">
        <v>21562</v>
      </c>
      <c r="E1" s="378" t="s">
        <v>21563</v>
      </c>
      <c r="F1" s="374" t="s">
        <v>21564</v>
      </c>
      <c r="G1" s="374" t="s">
        <v>21565</v>
      </c>
      <c r="H1" s="375" t="s">
        <v>21566</v>
      </c>
      <c r="I1" s="375" t="s">
        <v>21567</v>
      </c>
      <c r="J1" s="375" t="s">
        <v>21568</v>
      </c>
      <c r="K1" s="375" t="s">
        <v>21569</v>
      </c>
      <c r="L1" s="375" t="s">
        <v>21570</v>
      </c>
      <c r="M1" s="375" t="s">
        <v>21571</v>
      </c>
      <c r="N1" s="375" t="s">
        <v>21572</v>
      </c>
      <c r="O1" s="375" t="s">
        <v>21573</v>
      </c>
      <c r="P1" s="375" t="s">
        <v>21574</v>
      </c>
      <c r="Q1" s="375" t="s">
        <v>21575</v>
      </c>
      <c r="R1" s="375" t="s">
        <v>21576</v>
      </c>
      <c r="S1" s="372" t="s">
        <v>21577</v>
      </c>
      <c r="T1" s="374" t="s">
        <v>21284</v>
      </c>
      <c r="U1" s="374" t="s">
        <v>21578</v>
      </c>
      <c r="V1" s="374" t="s">
        <v>21579</v>
      </c>
      <c r="W1" s="294" t="s">
        <v>21580</v>
      </c>
      <c r="X1" s="339" t="s">
        <v>21581</v>
      </c>
      <c r="Y1" s="337" t="s">
        <v>21582</v>
      </c>
      <c r="Z1" s="337" t="s">
        <v>21583</v>
      </c>
      <c r="AA1" s="337" t="s">
        <v>21584</v>
      </c>
      <c r="AB1" s="337" t="s">
        <v>21585</v>
      </c>
      <c r="AC1" s="338" t="s">
        <v>21586</v>
      </c>
      <c r="AD1" s="337" t="s">
        <v>21587</v>
      </c>
      <c r="AE1" s="358" t="s">
        <v>21588</v>
      </c>
      <c r="AF1" s="358" t="s">
        <v>21589</v>
      </c>
      <c r="AG1" s="358" t="s">
        <v>21590</v>
      </c>
      <c r="AH1" s="358" t="s">
        <v>21591</v>
      </c>
      <c r="AI1" s="358" t="s">
        <v>21592</v>
      </c>
      <c r="AJ1" s="358" t="s">
        <v>21593</v>
      </c>
      <c r="AK1" s="358" t="s">
        <v>21594</v>
      </c>
      <c r="AL1" s="365" t="s">
        <v>21595</v>
      </c>
      <c r="AM1" s="292" t="s">
        <v>21596</v>
      </c>
      <c r="AN1" s="292" t="s">
        <v>21597</v>
      </c>
      <c r="AO1" s="292" t="s">
        <v>21598</v>
      </c>
      <c r="AP1" s="292" t="s">
        <v>21599</v>
      </c>
      <c r="AQ1" s="385" t="s">
        <v>21600</v>
      </c>
      <c r="AR1" s="385" t="s">
        <v>21601</v>
      </c>
      <c r="AS1" s="294" t="s">
        <v>21602</v>
      </c>
      <c r="AT1" s="295" t="s">
        <v>21603</v>
      </c>
      <c r="AU1" s="295" t="s">
        <v>21604</v>
      </c>
      <c r="AV1" s="295" t="s">
        <v>21605</v>
      </c>
      <c r="AW1" s="295" t="s">
        <v>21606</v>
      </c>
      <c r="AX1" s="295" t="s">
        <v>21607</v>
      </c>
      <c r="AY1" s="295" t="s">
        <v>21608</v>
      </c>
      <c r="AZ1" s="294" t="s">
        <v>21609</v>
      </c>
      <c r="BA1" s="294" t="s">
        <v>21610</v>
      </c>
      <c r="BB1" s="294" t="s">
        <v>21611</v>
      </c>
      <c r="BC1" s="294" t="s">
        <v>21612</v>
      </c>
      <c r="BD1" s="294" t="s">
        <v>21613</v>
      </c>
      <c r="BE1" s="294" t="s">
        <v>21614</v>
      </c>
      <c r="BF1" s="295" t="s">
        <v>21615</v>
      </c>
      <c r="BG1" s="294" t="s">
        <v>21616</v>
      </c>
      <c r="BH1" s="294" t="s">
        <v>21617</v>
      </c>
      <c r="BI1" s="294" t="s">
        <v>21618</v>
      </c>
      <c r="BJ1" s="294" t="s">
        <v>21619</v>
      </c>
      <c r="BK1" s="294" t="s">
        <v>21620</v>
      </c>
      <c r="BL1" s="294" t="s">
        <v>21621</v>
      </c>
      <c r="BM1" s="295" t="s">
        <v>21622</v>
      </c>
      <c r="BN1" s="295" t="s">
        <v>21623</v>
      </c>
      <c r="BO1" s="295" t="s">
        <v>21624</v>
      </c>
      <c r="BP1" s="295" t="s">
        <v>21625</v>
      </c>
      <c r="BQ1" s="295" t="s">
        <v>21626</v>
      </c>
      <c r="BR1" s="295" t="s">
        <v>21627</v>
      </c>
      <c r="BS1" s="294" t="s">
        <v>21628</v>
      </c>
      <c r="BT1" s="294" t="s">
        <v>21629</v>
      </c>
      <c r="BU1" s="294" t="s">
        <v>21630</v>
      </c>
      <c r="BV1" s="294" t="s">
        <v>21631</v>
      </c>
      <c r="BW1" s="294" t="s">
        <v>21632</v>
      </c>
      <c r="BX1" s="294" t="s">
        <v>21633</v>
      </c>
      <c r="BY1" s="295" t="s">
        <v>21634</v>
      </c>
      <c r="BZ1" s="294" t="s">
        <v>21635</v>
      </c>
      <c r="CA1" s="294" t="s">
        <v>21636</v>
      </c>
      <c r="CB1" s="294" t="s">
        <v>21637</v>
      </c>
      <c r="CC1" s="294" t="s">
        <v>21638</v>
      </c>
      <c r="CD1" s="294" t="s">
        <v>21639</v>
      </c>
      <c r="CE1" s="294" t="s">
        <v>21640</v>
      </c>
      <c r="CF1" s="295" t="s">
        <v>21641</v>
      </c>
      <c r="CG1" s="294" t="s">
        <v>21642</v>
      </c>
      <c r="CH1" s="294" t="s">
        <v>21643</v>
      </c>
      <c r="CI1" s="294" t="s">
        <v>21644</v>
      </c>
      <c r="CJ1" s="294" t="s">
        <v>21645</v>
      </c>
      <c r="CK1" s="294" t="s">
        <v>21646</v>
      </c>
      <c r="CL1" s="294" t="s">
        <v>21647</v>
      </c>
      <c r="CM1" s="295" t="s">
        <v>21648</v>
      </c>
      <c r="CN1" s="294" t="s">
        <v>21649</v>
      </c>
      <c r="CO1" s="294" t="s">
        <v>21650</v>
      </c>
      <c r="CP1" s="294" t="s">
        <v>21651</v>
      </c>
      <c r="CQ1" s="294" t="s">
        <v>21652</v>
      </c>
      <c r="CR1" s="294" t="s">
        <v>21653</v>
      </c>
      <c r="CS1" s="294" t="s">
        <v>21654</v>
      </c>
      <c r="CT1" s="295" t="s">
        <v>21655</v>
      </c>
      <c r="CU1" s="294" t="s">
        <v>21656</v>
      </c>
      <c r="CV1" s="294" t="s">
        <v>21657</v>
      </c>
      <c r="CW1" s="294" t="s">
        <v>21658</v>
      </c>
      <c r="CX1" s="294" t="s">
        <v>21659</v>
      </c>
      <c r="CY1" s="294" t="s">
        <v>21660</v>
      </c>
      <c r="CZ1" s="294" t="s">
        <v>21661</v>
      </c>
      <c r="DA1" s="295" t="s">
        <v>21662</v>
      </c>
      <c r="DB1" s="294" t="s">
        <v>21663</v>
      </c>
      <c r="DC1" s="294" t="s">
        <v>21664</v>
      </c>
      <c r="DD1" s="294" t="s">
        <v>21665</v>
      </c>
      <c r="DE1" s="294" t="s">
        <v>21666</v>
      </c>
      <c r="DF1" s="294" t="s">
        <v>21667</v>
      </c>
      <c r="DG1" s="294" t="s">
        <v>21668</v>
      </c>
      <c r="DH1" s="295" t="s">
        <v>21669</v>
      </c>
      <c r="DI1" s="294" t="s">
        <v>21670</v>
      </c>
      <c r="DJ1" s="294" t="s">
        <v>21671</v>
      </c>
      <c r="DK1" s="294" t="s">
        <v>21672</v>
      </c>
      <c r="DL1" s="294" t="s">
        <v>21673</v>
      </c>
      <c r="DM1" s="294" t="s">
        <v>21674</v>
      </c>
      <c r="DN1" s="294" t="s">
        <v>21675</v>
      </c>
      <c r="DO1" s="295" t="s">
        <v>21676</v>
      </c>
      <c r="DP1" s="294" t="s">
        <v>21677</v>
      </c>
      <c r="DQ1" s="294" t="s">
        <v>21678</v>
      </c>
      <c r="DR1" s="294" t="s">
        <v>21679</v>
      </c>
      <c r="DS1" s="294" t="s">
        <v>21680</v>
      </c>
      <c r="DT1" s="294" t="s">
        <v>21681</v>
      </c>
      <c r="DU1" s="294" t="s">
        <v>21682</v>
      </c>
      <c r="DV1" s="296" t="s">
        <v>21683</v>
      </c>
      <c r="DW1" s="296" t="s">
        <v>21684</v>
      </c>
      <c r="DX1" s="295" t="s">
        <v>21685</v>
      </c>
      <c r="DY1" s="294" t="s">
        <v>21686</v>
      </c>
      <c r="DZ1" s="294" t="s">
        <v>21687</v>
      </c>
      <c r="EA1" s="294" t="s">
        <v>21688</v>
      </c>
      <c r="EB1" s="294" t="s">
        <v>21689</v>
      </c>
      <c r="EC1" s="294" t="s">
        <v>21690</v>
      </c>
      <c r="ED1" s="294" t="s">
        <v>21691</v>
      </c>
      <c r="EE1" s="296" t="s">
        <v>21692</v>
      </c>
      <c r="EF1" s="296" t="s">
        <v>21693</v>
      </c>
      <c r="EG1" s="295" t="s">
        <v>21694</v>
      </c>
      <c r="EH1" s="294" t="s">
        <v>21695</v>
      </c>
      <c r="EI1" s="294" t="s">
        <v>21696</v>
      </c>
      <c r="EJ1" s="294" t="s">
        <v>21697</v>
      </c>
      <c r="EK1" s="294" t="s">
        <v>21698</v>
      </c>
      <c r="EL1" s="294" t="s">
        <v>21699</v>
      </c>
      <c r="EM1" s="294" t="s">
        <v>21700</v>
      </c>
      <c r="EN1" s="296" t="s">
        <v>21701</v>
      </c>
      <c r="EO1" s="296" t="s">
        <v>21702</v>
      </c>
      <c r="EP1" s="295" t="s">
        <v>21703</v>
      </c>
      <c r="EQ1" s="294" t="s">
        <v>21704</v>
      </c>
      <c r="ER1" s="294" t="s">
        <v>21705</v>
      </c>
      <c r="ES1" s="294" t="s">
        <v>21706</v>
      </c>
      <c r="ET1" s="294" t="s">
        <v>21707</v>
      </c>
      <c r="EU1" s="294" t="s">
        <v>21708</v>
      </c>
      <c r="EV1" s="294" t="s">
        <v>21709</v>
      </c>
      <c r="EW1" s="296" t="s">
        <v>21710</v>
      </c>
      <c r="EX1" s="296" t="s">
        <v>21711</v>
      </c>
      <c r="EY1" s="295" t="s">
        <v>21712</v>
      </c>
      <c r="EZ1" s="294" t="s">
        <v>21713</v>
      </c>
      <c r="FA1" s="294" t="s">
        <v>21714</v>
      </c>
      <c r="FB1" s="294" t="s">
        <v>21715</v>
      </c>
      <c r="FC1" s="294" t="s">
        <v>21716</v>
      </c>
      <c r="FD1" s="294" t="s">
        <v>21717</v>
      </c>
      <c r="FE1" s="294" t="s">
        <v>21718</v>
      </c>
      <c r="FF1" s="296" t="s">
        <v>21719</v>
      </c>
      <c r="FG1" s="296" t="s">
        <v>21720</v>
      </c>
      <c r="FH1" s="295" t="s">
        <v>21721</v>
      </c>
      <c r="FI1" s="294" t="s">
        <v>21722</v>
      </c>
      <c r="FJ1" s="294" t="s">
        <v>21723</v>
      </c>
      <c r="FK1" s="294" t="s">
        <v>21724</v>
      </c>
      <c r="FL1" s="294" t="s">
        <v>21725</v>
      </c>
      <c r="FM1" s="294" t="s">
        <v>21726</v>
      </c>
      <c r="FN1" s="294" t="s">
        <v>21727</v>
      </c>
      <c r="FO1" s="296" t="s">
        <v>21728</v>
      </c>
      <c r="FP1" s="296" t="s">
        <v>21729</v>
      </c>
      <c r="FQ1" s="296" t="s">
        <v>21730</v>
      </c>
      <c r="FR1" s="297" t="s">
        <v>21731</v>
      </c>
      <c r="FS1" s="297" t="s">
        <v>21732</v>
      </c>
      <c r="FT1" s="297" t="s">
        <v>21733</v>
      </c>
      <c r="FU1" s="297" t="s">
        <v>21734</v>
      </c>
      <c r="FV1" s="297" t="s">
        <v>21735</v>
      </c>
      <c r="FW1" s="297" t="s">
        <v>21736</v>
      </c>
      <c r="FX1" s="295" t="s">
        <v>21737</v>
      </c>
      <c r="FY1" s="294" t="s">
        <v>21738</v>
      </c>
      <c r="FZ1" s="294" t="s">
        <v>21739</v>
      </c>
      <c r="GA1" s="294" t="s">
        <v>21740</v>
      </c>
      <c r="GB1" s="294" t="s">
        <v>21741</v>
      </c>
      <c r="GC1" s="294" t="s">
        <v>21742</v>
      </c>
      <c r="GD1" s="294" t="s">
        <v>21743</v>
      </c>
      <c r="GE1" s="296" t="s">
        <v>21744</v>
      </c>
      <c r="GF1" s="295" t="s">
        <v>21745</v>
      </c>
      <c r="GG1" s="294" t="s">
        <v>21746</v>
      </c>
      <c r="GH1" s="294" t="s">
        <v>21747</v>
      </c>
      <c r="GI1" s="294" t="s">
        <v>21748</v>
      </c>
      <c r="GJ1" s="294" t="s">
        <v>21749</v>
      </c>
      <c r="GK1" s="294" t="s">
        <v>21750</v>
      </c>
      <c r="GL1" s="294" t="s">
        <v>21751</v>
      </c>
      <c r="GM1" s="296" t="s">
        <v>21752</v>
      </c>
      <c r="GN1" s="295" t="s">
        <v>21753</v>
      </c>
      <c r="GO1" s="294" t="s">
        <v>21754</v>
      </c>
      <c r="GP1" s="294" t="s">
        <v>21755</v>
      </c>
      <c r="GQ1" s="294" t="s">
        <v>21756</v>
      </c>
      <c r="GR1" s="294" t="s">
        <v>21757</v>
      </c>
      <c r="GS1" s="294" t="s">
        <v>21758</v>
      </c>
      <c r="GT1" s="294" t="s">
        <v>21759</v>
      </c>
      <c r="GU1" s="296" t="s">
        <v>21760</v>
      </c>
      <c r="GV1" s="295" t="s">
        <v>21761</v>
      </c>
      <c r="GW1" s="294" t="s">
        <v>21762</v>
      </c>
      <c r="GX1" s="294" t="s">
        <v>21763</v>
      </c>
      <c r="GY1" s="294" t="s">
        <v>21764</v>
      </c>
      <c r="GZ1" s="294" t="s">
        <v>21765</v>
      </c>
      <c r="HA1" s="294" t="s">
        <v>21766</v>
      </c>
      <c r="HB1" s="294" t="s">
        <v>21767</v>
      </c>
      <c r="HC1" s="296" t="s">
        <v>21768</v>
      </c>
      <c r="HD1" s="295" t="s">
        <v>21769</v>
      </c>
      <c r="HE1" s="294" t="s">
        <v>21770</v>
      </c>
      <c r="HF1" s="294" t="s">
        <v>21771</v>
      </c>
      <c r="HG1" s="294" t="s">
        <v>21772</v>
      </c>
      <c r="HH1" s="294" t="s">
        <v>21773</v>
      </c>
      <c r="HI1" s="294" t="s">
        <v>21774</v>
      </c>
      <c r="HJ1" s="294" t="s">
        <v>21775</v>
      </c>
      <c r="HK1" s="296" t="s">
        <v>21776</v>
      </c>
      <c r="HL1" s="295" t="s">
        <v>21777</v>
      </c>
      <c r="HM1" s="294" t="s">
        <v>21778</v>
      </c>
      <c r="HN1" s="294" t="s">
        <v>21779</v>
      </c>
      <c r="HO1" s="294" t="s">
        <v>21780</v>
      </c>
      <c r="HP1" s="294" t="s">
        <v>21781</v>
      </c>
      <c r="HQ1" s="294" t="s">
        <v>21782</v>
      </c>
      <c r="HR1" s="294" t="s">
        <v>21783</v>
      </c>
      <c r="HS1" s="296" t="s">
        <v>21784</v>
      </c>
      <c r="HT1" s="295" t="s">
        <v>21785</v>
      </c>
      <c r="HU1" s="298" t="s">
        <v>21786</v>
      </c>
      <c r="HV1" s="298" t="s">
        <v>21787</v>
      </c>
      <c r="HW1" s="298" t="s">
        <v>21788</v>
      </c>
      <c r="HX1" s="298" t="s">
        <v>21789</v>
      </c>
      <c r="HY1" s="298" t="s">
        <v>21790</v>
      </c>
      <c r="HZ1" s="298" t="s">
        <v>21791</v>
      </c>
      <c r="IA1" s="299" t="s">
        <v>21792</v>
      </c>
      <c r="IB1" s="300" t="s">
        <v>21793</v>
      </c>
      <c r="IC1" s="381" t="s">
        <v>21794</v>
      </c>
      <c r="ID1" s="302" t="s">
        <v>21795</v>
      </c>
      <c r="IE1" s="303" t="s">
        <v>21796</v>
      </c>
      <c r="IF1" s="302" t="s">
        <v>21797</v>
      </c>
      <c r="IG1" s="382" t="s">
        <v>21798</v>
      </c>
      <c r="IH1" s="382" t="s">
        <v>21799</v>
      </c>
      <c r="II1" s="301" t="s">
        <v>21800</v>
      </c>
    </row>
    <row r="2" ht="76.5">
      <c r="A2" s="429" t="str">
        <f>Input!A2</f>
        <v>Stt</v>
      </c>
      <c r="B2" s="430" t="s">
        <v>21801</v>
      </c>
      <c r="C2" s="430" t="s">
        <v>21802</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s">
        <v>21803</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21804</v>
      </c>
      <c r="AH2" s="430" t="s">
        <v>21805</v>
      </c>
      <c r="AI2" s="430" t="s">
        <v>21806</v>
      </c>
      <c r="AJ2" s="430" t="s">
        <v>21807</v>
      </c>
      <c r="AK2" s="430" t="s">
        <v>21808</v>
      </c>
      <c r="AL2" s="429"/>
      <c r="AM2" s="429" t="s">
        <v>21809</v>
      </c>
      <c r="AN2" s="429" t="s">
        <v>21810</v>
      </c>
      <c r="AO2" s="429" t="s">
        <v>21811</v>
      </c>
      <c r="AP2" s="429" t="s">
        <v>21812</v>
      </c>
      <c r="AQ2" s="429" t="s">
        <v>21813</v>
      </c>
      <c r="AR2" s="429" t="s">
        <v>21814</v>
      </c>
      <c r="AS2" s="429" t="s">
        <v>21815</v>
      </c>
      <c r="AT2" s="429" t="s">
        <v>21816</v>
      </c>
      <c r="AU2" s="429" t="s">
        <v>21817</v>
      </c>
      <c r="AV2" s="429" t="s">
        <v>21818</v>
      </c>
      <c r="AW2" s="429" t="s">
        <v>21819</v>
      </c>
      <c r="AX2" s="429" t="s">
        <v>21820</v>
      </c>
      <c r="AY2" s="429" t="s">
        <v>21821</v>
      </c>
      <c r="AZ2" s="429" t="s">
        <v>21822</v>
      </c>
      <c r="BA2" s="429" t="s">
        <v>21823</v>
      </c>
      <c r="BB2" s="429" t="s">
        <v>21824</v>
      </c>
      <c r="BC2" s="429" t="s">
        <v>21825</v>
      </c>
      <c r="BD2" s="429" t="s">
        <v>21826</v>
      </c>
      <c r="BE2" s="429" t="s">
        <v>21827</v>
      </c>
      <c r="BF2" s="429" t="s">
        <v>21828</v>
      </c>
      <c r="BG2" s="429" t="s">
        <v>21822</v>
      </c>
      <c r="BH2" s="429" t="s">
        <v>21823</v>
      </c>
      <c r="BI2" s="429" t="s">
        <v>21824</v>
      </c>
      <c r="BJ2" s="429" t="s">
        <v>21825</v>
      </c>
      <c r="BK2" s="429" t="s">
        <v>21826</v>
      </c>
      <c r="BL2" s="429" t="s">
        <v>21827</v>
      </c>
      <c r="BM2" s="429" t="s">
        <v>21829</v>
      </c>
      <c r="BN2" s="429" t="s">
        <v>21830</v>
      </c>
      <c r="BO2" s="429" t="s">
        <v>21831</v>
      </c>
      <c r="BP2" s="429" t="s">
        <v>21832</v>
      </c>
      <c r="BQ2" s="429" t="s">
        <v>21833</v>
      </c>
      <c r="BR2" s="429" t="s">
        <v>21834</v>
      </c>
      <c r="BS2" s="429" t="s">
        <v>21835</v>
      </c>
      <c r="BT2" s="429" t="s">
        <v>21836</v>
      </c>
      <c r="BU2" s="429" t="s">
        <v>21837</v>
      </c>
      <c r="BV2" s="429" t="s">
        <v>21838</v>
      </c>
      <c r="BW2" s="429" t="s">
        <v>21839</v>
      </c>
      <c r="BX2" s="429" t="s">
        <v>21840</v>
      </c>
      <c r="BY2" s="429" t="s">
        <v>21841</v>
      </c>
      <c r="BZ2" s="429" t="s">
        <v>21842</v>
      </c>
      <c r="CA2" s="429" t="s">
        <v>21843</v>
      </c>
      <c r="CB2" s="429" t="s">
        <v>21844</v>
      </c>
      <c r="CC2" s="429" t="s">
        <v>21845</v>
      </c>
      <c r="CD2" s="429" t="s">
        <v>21846</v>
      </c>
      <c r="CE2" s="429" t="s">
        <v>21847</v>
      </c>
      <c r="CF2" s="429" t="s">
        <v>21848</v>
      </c>
      <c r="CG2" s="429" t="s">
        <v>21849</v>
      </c>
      <c r="CH2" s="429" t="s">
        <v>21850</v>
      </c>
      <c r="CI2" s="429" t="s">
        <v>21851</v>
      </c>
      <c r="CJ2" s="429" t="s">
        <v>21852</v>
      </c>
      <c r="CK2" s="429" t="s">
        <v>21853</v>
      </c>
      <c r="CL2" s="429" t="s">
        <v>21854</v>
      </c>
      <c r="CM2" s="429" t="s">
        <v>21855</v>
      </c>
      <c r="CN2" s="429" t="s">
        <v>21856</v>
      </c>
      <c r="CO2" s="429" t="s">
        <v>21857</v>
      </c>
      <c r="CP2" s="429" t="s">
        <v>21858</v>
      </c>
      <c r="CQ2" s="429" t="s">
        <v>21859</v>
      </c>
      <c r="CR2" s="429" t="s">
        <v>21860</v>
      </c>
      <c r="CS2" s="429" t="s">
        <v>21861</v>
      </c>
      <c r="CT2" s="429" t="s">
        <v>21862</v>
      </c>
      <c r="CU2" s="429" t="s">
        <v>21863</v>
      </c>
      <c r="CV2" s="429" t="s">
        <v>21864</v>
      </c>
      <c r="CW2" s="429" t="s">
        <v>21865</v>
      </c>
      <c r="CX2" s="429" t="s">
        <v>21866</v>
      </c>
      <c r="CY2" s="429" t="s">
        <v>21867</v>
      </c>
      <c r="CZ2" s="429" t="s">
        <v>21868</v>
      </c>
      <c r="DA2" s="429" t="s">
        <v>21869</v>
      </c>
      <c r="DB2" s="429" t="s">
        <v>21870</v>
      </c>
      <c r="DC2" s="429" t="s">
        <v>21871</v>
      </c>
      <c r="DD2" s="429" t="s">
        <v>21872</v>
      </c>
      <c r="DE2" s="429" t="s">
        <v>21873</v>
      </c>
      <c r="DF2" s="429" t="s">
        <v>21874</v>
      </c>
      <c r="DG2" s="429" t="s">
        <v>21875</v>
      </c>
      <c r="DH2" s="429" t="s">
        <v>21876</v>
      </c>
      <c r="DI2" s="429" t="s">
        <v>21877</v>
      </c>
      <c r="DJ2" s="429" t="s">
        <v>21878</v>
      </c>
      <c r="DK2" s="429" t="s">
        <v>21879</v>
      </c>
      <c r="DL2" s="429" t="s">
        <v>21880</v>
      </c>
      <c r="DM2" s="429" t="s">
        <v>21881</v>
      </c>
      <c r="DN2" s="429" t="s">
        <v>21882</v>
      </c>
      <c r="DO2" s="429" t="s">
        <v>21883</v>
      </c>
      <c r="DP2" s="429" t="s">
        <v>21884</v>
      </c>
      <c r="DQ2" s="429" t="s">
        <v>21885</v>
      </c>
      <c r="DR2" s="429" t="s">
        <v>21886</v>
      </c>
      <c r="DS2" s="429" t="s">
        <v>21887</v>
      </c>
      <c r="DT2" s="429" t="s">
        <v>21888</v>
      </c>
      <c r="DU2" s="429" t="s">
        <v>21889</v>
      </c>
      <c r="DV2" s="429" t="s">
        <v>21883</v>
      </c>
      <c r="DW2" s="429" t="s">
        <v>21890</v>
      </c>
      <c r="DX2" s="429" t="s">
        <v>21891</v>
      </c>
      <c r="DY2" s="429" t="s">
        <v>21892</v>
      </c>
      <c r="DZ2" s="429" t="s">
        <v>21893</v>
      </c>
      <c r="EA2" s="429" t="s">
        <v>21894</v>
      </c>
      <c r="EB2" s="429" t="s">
        <v>21895</v>
      </c>
      <c r="EC2" s="429" t="s">
        <v>21896</v>
      </c>
      <c r="ED2" s="429" t="s">
        <v>21897</v>
      </c>
      <c r="EE2" s="429" t="s">
        <v>21891</v>
      </c>
      <c r="EF2" s="429" t="s">
        <v>21898</v>
      </c>
      <c r="EG2" s="429" t="s">
        <v>21899</v>
      </c>
      <c r="EH2" s="429" t="s">
        <v>21900</v>
      </c>
      <c r="EI2" s="429" t="s">
        <v>21901</v>
      </c>
      <c r="EJ2" s="429" t="s">
        <v>21902</v>
      </c>
      <c r="EK2" s="429" t="s">
        <v>21903</v>
      </c>
      <c r="EL2" s="429" t="s">
        <v>21904</v>
      </c>
      <c r="EM2" s="429" t="s">
        <v>21905</v>
      </c>
      <c r="EN2" s="429" t="s">
        <v>21899</v>
      </c>
      <c r="EO2" s="429" t="s">
        <v>21906</v>
      </c>
      <c r="EP2" s="429" t="s">
        <v>21907</v>
      </c>
      <c r="EQ2" s="429" t="s">
        <v>21908</v>
      </c>
      <c r="ER2" s="429" t="s">
        <v>21909</v>
      </c>
      <c r="ES2" s="429" t="s">
        <v>21910</v>
      </c>
      <c r="ET2" s="429" t="s">
        <v>21911</v>
      </c>
      <c r="EU2" s="429" t="s">
        <v>21912</v>
      </c>
      <c r="EV2" s="429" t="s">
        <v>21913</v>
      </c>
      <c r="EW2" s="429" t="s">
        <v>21907</v>
      </c>
      <c r="EX2" s="429" t="s">
        <v>21914</v>
      </c>
      <c r="EY2" s="429" t="s">
        <v>21915</v>
      </c>
      <c r="EZ2" s="429" t="s">
        <v>21916</v>
      </c>
      <c r="FA2" s="429" t="s">
        <v>21917</v>
      </c>
      <c r="FB2" s="429" t="s">
        <v>21918</v>
      </c>
      <c r="FC2" s="429" t="s">
        <v>21919</v>
      </c>
      <c r="FD2" s="429" t="s">
        <v>21920</v>
      </c>
      <c r="FE2" s="429" t="s">
        <v>21921</v>
      </c>
      <c r="FF2" s="429" t="s">
        <v>21915</v>
      </c>
      <c r="FG2" s="429" t="s">
        <v>21922</v>
      </c>
      <c r="FH2" s="429" t="s">
        <v>21923</v>
      </c>
      <c r="FI2" s="429" t="s">
        <v>21924</v>
      </c>
      <c r="FJ2" s="429" t="s">
        <v>21925</v>
      </c>
      <c r="FK2" s="429" t="s">
        <v>21926</v>
      </c>
      <c r="FL2" s="429" t="s">
        <v>21927</v>
      </c>
      <c r="FM2" s="429" t="s">
        <v>21928</v>
      </c>
      <c r="FN2" s="429" t="s">
        <v>21929</v>
      </c>
      <c r="FO2" s="429" t="s">
        <v>21923</v>
      </c>
      <c r="FP2" s="429" t="s">
        <v>21930</v>
      </c>
      <c r="FQ2" s="429" t="s">
        <v>21931</v>
      </c>
      <c r="FR2" s="429" t="s">
        <v>21932</v>
      </c>
      <c r="FS2" s="429" t="s">
        <v>21933</v>
      </c>
      <c r="FT2" s="429" t="s">
        <v>21934</v>
      </c>
      <c r="FU2" s="429" t="s">
        <v>21935</v>
      </c>
      <c r="FV2" s="429" t="s">
        <v>21936</v>
      </c>
      <c r="FW2" s="429" t="s">
        <v>21937</v>
      </c>
      <c r="FX2" s="429" t="s">
        <v>21938</v>
      </c>
      <c r="FY2" s="429" t="s">
        <v>21939</v>
      </c>
      <c r="FZ2" s="429" t="s">
        <v>21940</v>
      </c>
      <c r="GA2" s="429" t="s">
        <v>21941</v>
      </c>
      <c r="GB2" s="429" t="s">
        <v>21942</v>
      </c>
      <c r="GC2" s="429" t="s">
        <v>21943</v>
      </c>
      <c r="GD2" s="429" t="s">
        <v>21944</v>
      </c>
      <c r="GE2" s="429" t="s">
        <v>21938</v>
      </c>
      <c r="GF2" s="429" t="s">
        <v>21945</v>
      </c>
      <c r="GG2" s="429" t="s">
        <v>21946</v>
      </c>
      <c r="GH2" s="429" t="s">
        <v>21947</v>
      </c>
      <c r="GI2" s="429" t="s">
        <v>21948</v>
      </c>
      <c r="GJ2" s="429" t="s">
        <v>21949</v>
      </c>
      <c r="GK2" s="429" t="s">
        <v>21950</v>
      </c>
      <c r="GL2" s="429" t="s">
        <v>21951</v>
      </c>
      <c r="GM2" s="429" t="s">
        <v>21945</v>
      </c>
      <c r="GN2" s="429" t="s">
        <v>21952</v>
      </c>
      <c r="GO2" s="429" t="s">
        <v>21953</v>
      </c>
      <c r="GP2" s="429" t="s">
        <v>21954</v>
      </c>
      <c r="GQ2" s="429" t="s">
        <v>21955</v>
      </c>
      <c r="GR2" s="429" t="s">
        <v>21956</v>
      </c>
      <c r="GS2" s="429" t="s">
        <v>21957</v>
      </c>
      <c r="GT2" s="429" t="s">
        <v>21958</v>
      </c>
      <c r="GU2" s="429" t="s">
        <v>21952</v>
      </c>
      <c r="GV2" s="429" t="s">
        <v>21959</v>
      </c>
      <c r="GW2" s="429" t="s">
        <v>21960</v>
      </c>
      <c r="GX2" s="429" t="s">
        <v>21961</v>
      </c>
      <c r="GY2" s="429" t="s">
        <v>21962</v>
      </c>
      <c r="GZ2" s="429" t="s">
        <v>21963</v>
      </c>
      <c r="HA2" s="429" t="s">
        <v>21964</v>
      </c>
      <c r="HB2" s="429" t="s">
        <v>21965</v>
      </c>
      <c r="HC2" s="429" t="s">
        <v>21959</v>
      </c>
      <c r="HD2" s="429" t="s">
        <v>21966</v>
      </c>
      <c r="HE2" s="429" t="s">
        <v>21967</v>
      </c>
      <c r="HF2" s="429" t="s">
        <v>21968</v>
      </c>
      <c r="HG2" s="429" t="s">
        <v>21969</v>
      </c>
      <c r="HH2" s="429" t="s">
        <v>21970</v>
      </c>
      <c r="HI2" s="429" t="s">
        <v>21971</v>
      </c>
      <c r="HJ2" s="429" t="s">
        <v>21972</v>
      </c>
      <c r="HK2" s="429" t="s">
        <v>21966</v>
      </c>
      <c r="HL2" s="429" t="s">
        <v>21973</v>
      </c>
      <c r="HM2" s="429" t="s">
        <v>21974</v>
      </c>
      <c r="HN2" s="429" t="s">
        <v>21975</v>
      </c>
      <c r="HO2" s="429" t="s">
        <v>21976</v>
      </c>
      <c r="HP2" s="429" t="s">
        <v>21977</v>
      </c>
      <c r="HQ2" s="429" t="s">
        <v>21978</v>
      </c>
      <c r="HR2" s="429" t="s">
        <v>21979</v>
      </c>
      <c r="HS2" s="429" t="s">
        <v>21973</v>
      </c>
      <c r="HT2" s="429" t="s">
        <v>21980</v>
      </c>
      <c r="HU2" s="429" t="s">
        <v>21981</v>
      </c>
      <c r="HV2" s="429" t="s">
        <v>21982</v>
      </c>
      <c r="HW2" s="429" t="s">
        <v>21983</v>
      </c>
      <c r="HX2" s="429" t="s">
        <v>21984</v>
      </c>
      <c r="HY2" s="429" t="s">
        <v>21985</v>
      </c>
      <c r="HZ2" s="429" t="s">
        <v>21986</v>
      </c>
      <c r="IA2" s="429" t="s">
        <v>21987</v>
      </c>
      <c r="IB2" s="429" t="s">
        <v>21988</v>
      </c>
      <c r="IC2" s="430" t="s">
        <v>21989</v>
      </c>
      <c r="ID2" s="430" t="s">
        <v>21990</v>
      </c>
      <c r="IE2" s="430" t="s">
        <v>21991</v>
      </c>
      <c r="IF2" s="430" t="s">
        <v>21992</v>
      </c>
      <c r="IG2" s="430" t="s">
        <v>21993</v>
      </c>
      <c r="IH2" s="430" t="s">
        <v>21994</v>
      </c>
      <c r="II2" s="429">
        <v>4</v>
      </c>
    </row>
    <row r="3" ht="102">
      <c r="A3" s="207">
        <f>Input!A3</f>
        <v>1</v>
      </c>
      <c r="B3" s="343" t="str">
        <f> Profile!$A$3</f>
        <v>VNM</v>
      </c>
      <c r="C3" s="343" t="str">
        <f> Profile!$L$3</f>
        <v>VNMOBILE</v>
      </c>
      <c r="D3" s="207">
        <f>Input!B3</f>
        <v>128521</v>
      </c>
      <c r="E3" s="317" t="str">
        <f>Input!C3</f>
        <v>Số 57, đường 5 cũ, phường Sở Dầu, quận Hồng Bàng, thành phố Hải Phòng</v>
      </c>
      <c r="F3" s="207" t="str">
        <f>Input!D3</f>
        <v>Hải Phòng</v>
      </c>
      <c r="G3" s="207">
        <f>Input!E3</f>
        <v>106.649429</v>
      </c>
      <c r="H3" s="207">
        <f>Input!F3</f>
        <v>20.875002</v>
      </c>
      <c r="I3" s="207">
        <f>Input!G3</f>
        <v>1</v>
      </c>
      <c r="J3" s="207">
        <f>Input!H3</f>
        <v>2</v>
      </c>
      <c r="K3" s="207" t="str">
        <f>ConcateMultiple(AT3:AY3,";",J3)</f>
        <v>CÔNG TY CỔ PHẦN VIỄN THÔNG DI ĐỘNG VIETNAMOBILE;CÔNG TY CỔ PHẦN VIỄN THÔNG DI ĐỘNG VIETNAMOBILE</v>
      </c>
      <c r="L3" s="207" t="str">
        <f>Input!J3</f>
        <v>128521;128521</v>
      </c>
      <c r="M3" s="207" t="str">
        <f>Input!K3</f>
        <v>ERICSSON RBS 6320;ERICSSON RBS 6320</v>
      </c>
      <c r="N3" s="207" t="str">
        <f>Input!L3</f>
        <v>3;3</v>
      </c>
      <c r="O3" s="207" t="str">
        <f>Input!M3</f>
        <v>1/1/1   ;1/1/1   </v>
      </c>
      <c r="P3" s="207" t="str">
        <f>Input!N3</f>
        <v>80/80/80  ;80/80/80  </v>
      </c>
      <c r="Q3" s="207" t="str">
        <f>Input!O3</f>
        <v>900;2100</v>
      </c>
      <c r="R3" s="207" t="str">
        <f>Input!P3</f>
        <v>26/26/26;26/26/26</v>
      </c>
      <c r="S3" s="364" t="b">
        <f>Input!Q3</f>
        <v>1</v>
      </c>
      <c r="T3" s="207" t="str">
        <f>Input!R3</f>
        <v>A03937101019TG05</v>
      </c>
      <c r="U3" s="207">
        <f>Input!S3</f>
        <v>0</v>
      </c>
      <c r="V3" s="207" t="str">
        <f>Input!T3</f>
        <v>VCC1</v>
      </c>
      <c r="W3" s="207" t="str">
        <f>Input!U3</f>
        <v>1902278/19/TG/TT1</v>
      </c>
      <c r="X3" s="209" t="str">
        <f>TEXT(Input!V3,"dd/mm/yyyy")</f>
        <v>10/10/2019</v>
      </c>
      <c r="Y3" s="207" t="b">
        <f>Input!W3</f>
        <v>0</v>
      </c>
      <c r="Z3" s="364" t="b">
        <f>Input!X3</f>
        <v>0</v>
      </c>
      <c r="AA3" s="207">
        <f>IA3</f>
        <v>26</v>
      </c>
      <c r="AB3" s="364" t="b">
        <f>Input!Y3</f>
        <v>1</v>
      </c>
      <c r="AC3" s="207">
        <f>VALUE(Input!Z3)</f>
        <v>18</v>
      </c>
      <c r="AD3" s="207" t="b">
        <f>Input!AA3</f>
        <v>0</v>
      </c>
      <c r="AE3" s="207" t="str">
        <f>Input!AB3</f>
        <v>Ứng Văn Nguyện</v>
      </c>
      <c r="AF3" s="207" t="str">
        <f>Input!AC3</f>
        <v>Nguyễn Đức Nam</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thành phố Hải Phòng</v>
      </c>
      <c r="AQ3" s="448" t="str">
        <f>TRIM(IF(AO3&gt;=2,MID(E3,FIND("~",SUBSTITUTE(E3,",","~", AO3-1))+1,IFERROR(FIND("~",SUBSTITUTE(E3,",","~", AO3-0))-1,LEN(E3))- FIND("~",SUBSTITUTE(E3,",","~", AO3-1))),""))</f>
        <v>quận Hồng Bàng</v>
      </c>
      <c r="AR3" s="448" t="str">
        <f>TRIM(IF(AO3&gt;=3,MID(E3,FIND("~",SUBSTITUTE(E3,",","~", AO3-2))+1,IFERROR(FIND("~",SUBSTITUTE(E3,",","~", AO3-1))-1,LEN(E3))- FIND("~",SUBSTITUTE(E3,",","~", AO3-2))),""))</f>
        <v>phường Sở Dầu</v>
      </c>
      <c r="AS3" s="449" t="str">
        <f>INDEX(CityIDList,MATCH(F3,CityNameList,0))</f>
        <v>HPG</v>
      </c>
      <c r="AT3" s="208" t="str">
        <f>IF(J3&gt;=1,INDEX(OperatorNameList,MATCH(AZ3,OperatorIDList,0)),"")</f>
        <v>CÔNG TY CỔ PHẦN VIỄN THÔNG DI ĐỘNG VIETNAMOBILE</v>
      </c>
      <c r="AU3" s="208" t="str">
        <f>IF(J3&gt;=2,INDEX(OperatorNameList,MATCH(BA3,OperatorIDList,0)),"")</f>
        <v>CÔNG TY CỔ PHẦN VIỄN THÔNG DI ĐỘNG VIETNAMOBILE</v>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v>VNMOBILE</v>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VNMOBILE;VNMOBILE</v>
      </c>
      <c r="BG3" s="208" t="str">
        <f>IF(J3&gt;=1,MID(L3,1,IFERROR(FIND("~",SUBSTITUTE(L3,";","~",1))-1,LEN(L3))),"")</f>
        <v>128521</v>
      </c>
      <c r="BH3" s="208" t="str">
        <f>IF(J3&gt;=2,MID(L3,FIND("~",SUBSTITUTE(L3,";","~",1))+1,IFERROR(FIND("~",SUBSTITUTE(L3,";","~",2))-1,LEN(L3))- FIND("~",SUBSTITUTE(L3,";","~",1))),"")</f>
        <v>128521</v>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v>ERICSSON RBS 6320</v>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3</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v>1/1/1   </v>
      </c>
      <c r="CG3" s="208">
        <f>IF(BT3&gt;=1,MID(CF3,1,IFERROR(FIND("~",SUBSTITUTE(CF3,"/","~",1))-1,LEN(CF3))),"0")*1</f>
        <v>1</v>
      </c>
      <c r="CH3" s="208">
        <f>IF(BT3&gt;=2,MID(CF3,FIND("~",SUBSTITUTE(CF3,"/","~",1))+1,IFERROR(FIND("~",SUBSTITUTE(CF3,"/","~",2))-1,LEN(CF3))- FIND("~",SUBSTITUTE(CF3,"/","~",1))),"0")*1</f>
        <v>1</v>
      </c>
      <c r="CI3" s="208">
        <f>IF(BT3&gt;=3,MID(CF3,FIND("~",SUBSTITUTE(CF3,"/","~",2))+1,IFERROR(FIND("~",SUBSTITUTE(CF3,"/","~",3))-1,LEN(CF3))- FIND("~",SUBSTITUTE(CF3,"/","~",2))),"0")*1</f>
        <v>1</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v>80/80/80  </v>
      </c>
      <c r="DY3" s="208">
        <f>SUBSTITUTE(IF(BT3&gt;=1,MID(DX3,1,IFERROR(FIND("~",SUBSTITUTE(DX3,"/","~",1))-1,LEN(DX3))),"0"),"W","")*1</f>
        <v>80</v>
      </c>
      <c r="DZ3" s="208">
        <f>SUBSTITUTE(IF(BT3&gt;=2,MID(DX3,FIND("~",SUBSTITUTE(DX3,"/","~",1))+1,IFERROR(FIND("~",SUBSTITUTE(DX3,"/","~",2))-1,LEN(DX3))- FIND("~",SUBSTITUTE(DX3,"/","~",1))),"0"),"W","")*1</f>
        <v>80</v>
      </c>
      <c r="EA3" s="208">
        <f>SUBSTITUTE(IF(BT3&gt;=3,MID(DX3,FIND("~",SUBSTITUTE(DX3,"/","~",2))+1,IFERROR(FIND("~",SUBSTITUTE(DX3,"/","~",3))-1,LEN(DX3))- FIND("~",SUBSTITUTE(DX3,"/","~",2))),"0"),"W","")*1</f>
        <v>80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v>80W/ 80W/ 80W</v>
      </c>
      <c r="EF3" s="208">
        <f>MAX(DY3:EB3)</f>
        <v>80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900</v>
      </c>
      <c r="FS3" s="208" t="str">
        <f>TRIM(IF(J3&gt;=2,MID(Q3,FIND("~",SUBSTITUTE(Q3,";","~",1))+1,IFERROR(FIND("~",SUBSTITUTE(Q3,";","~",2))-1,LEN(Q3))- FIND("~",SUBSTITUTE(Q3,";","~",1))),""))</f>
        <v>2100</v>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26/26/26</v>
      </c>
      <c r="FY3" s="208">
        <f>SUBSTITUTE(IF(BS3&gt;=1,MID(FX3,1,IFERROR(FIND("~",SUBSTITUTE(FX3,"/","~",1))-1,LEN(FX3))),"0"),"m","")*1</f>
        <v>26</v>
      </c>
      <c r="FZ3" s="208">
        <f>SUBSTITUTE(TRIM(IF(BS3&gt;=2,MID(FX3,FIND("~",SUBSTITUTE(FX3,"/","~",1))+1,IFERROR(FIND("~",SUBSTITUTE(FX3,"/","~",2))-1,LEN(FX3))- FIND("~",SUBSTITUTE(FX3,"/","~",1))),"0")),"m","")*1</f>
        <v>26</v>
      </c>
      <c r="GA3" s="208">
        <f>SUBSTITUTE(TRIM(IF(BS3&gt;=3,MID(FX3,FIND("~",SUBSTITUTE(FX3,"/","~",2))+1,IFERROR(FIND("~",SUBSTITUTE(FX3,"/","~",3))-1,LEN(FX3))- FIND("~",SUBSTITUTE(FX3,"/","~",2))),"0")),"m","")*1</f>
        <v>26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26m/ 26m/ 26m</v>
      </c>
      <c r="GF3" s="208" t="str">
        <f>TRIM(IF(J3&gt;=2,MID(R3,FIND("~",SUBSTITUTE(R3,";","~",1))+1,IFERROR(FIND("~",SUBSTITUTE(R3,";","~",2))-1,LEN(R3))- FIND("~",SUBSTITUTE(R3,";","~",1))),""))</f>
        <v>26/26/26</v>
      </c>
      <c r="GG3" s="208">
        <f>SUBSTITUTE(IF(BT3&gt;=1,MID(GF3,1,IFERROR(FIND("~",SUBSTITUTE(GF3,"/","~",1))-1,LEN(GF3))),"0"),"m","")*1</f>
        <v>26</v>
      </c>
      <c r="GH3" s="208">
        <f>SUBSTITUTE(TRIM(IF(BT3&gt;=2,MID(GF3,FIND("~",SUBSTITUTE(GF3,"/","~",1))+1,IFERROR(FIND("~",SUBSTITUTE(GF3,"/","~",2))-1,LEN(GF3))- FIND("~",SUBSTITUTE(GF3,"/","~",1))),"0")),"m","")*1</f>
        <v>26</v>
      </c>
      <c r="GI3" s="208">
        <f>SUBSTITUTE(TRIM(IF(BT3&gt;=3,MID(GF3,FIND("~",SUBSTITUTE(GF3,"/","~",2))+1,IFERROR(FIND("~",SUBSTITUTE(GF3,"/","~",3))-1,LEN(GF3))- FIND("~",SUBSTITUTE(GF3,"/","~",2))),"0")),"m","")*1</f>
        <v>26</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v>26m/ 26m/ 26m</v>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26</v>
      </c>
      <c r="HV3" s="208">
        <f>MinMultiple(GG3:GJ3,BT3)</f>
        <v>26</v>
      </c>
      <c r="HW3" s="208">
        <f>MinMultiple(GO3:GR3,BU3)</f>
        <v>0</v>
      </c>
      <c r="HX3" s="208">
        <f>MinMultiple(GW3:GZ3,BV3)</f>
        <v>0</v>
      </c>
      <c r="HY3" s="208">
        <f>MinMultiple(HE3:HH3,BW3)</f>
        <v>0</v>
      </c>
      <c r="HZ3" s="208">
        <f>MinMultiple(HM3:HP3,BX3)</f>
        <v>0</v>
      </c>
      <c r="IA3" s="207">
        <f>MinMultiple(HU3:HZ3,J3)</f>
        <v>26</v>
      </c>
      <c r="IB3" s="207">
        <f>IA3-AC3</f>
        <v>8</v>
      </c>
      <c r="IC3" s="343" t="str">
        <f>IF(S3=TRUE,MID(T3,1,1),"")</f>
        <v>A</v>
      </c>
      <c r="ID3" s="343" t="str">
        <f>MID(T3,2,5)</f>
        <v>03937</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128173</v>
      </c>
      <c r="E4" s="317" t="str">
        <f>Input!C4</f>
        <v>Số 24, đường Lãn Ông, phường Quang Trung, quận Hồng Bàng, thành phố Hải Phòng</v>
      </c>
      <c r="F4" s="207" t="str">
        <f>Input!D4</f>
        <v>Hải Phòng</v>
      </c>
      <c r="G4" s="207">
        <f>Input!E4</f>
        <v>106.678771</v>
      </c>
      <c r="H4" s="207">
        <f>Input!F4</f>
        <v>20.85682</v>
      </c>
      <c r="I4" s="207">
        <f>Input!G4</f>
        <v>1</v>
      </c>
      <c r="J4" s="207">
        <f>Input!H4</f>
        <v>2</v>
      </c>
      <c r="K4" s="207" t="str">
        <f ref="K4:K48" t="shared" si="0">ConcateMultiple(AT4:AY4,";",J4)</f>
        <v>CÔNG TY CỔ PHẦN VIỄN THÔNG DI ĐỘNG VIETNAMOBILE;CÔNG TY CỔ PHẦN VIỄN THÔNG DI ĐỘNG VIETNAMOBILE</v>
      </c>
      <c r="L4" s="207" t="str">
        <f>Input!J4</f>
        <v>128173;128173</v>
      </c>
      <c r="M4" s="207" t="str">
        <f>Input!K4</f>
        <v>ERICSSON RBS 6601;ERICSSON RBS 6601</v>
      </c>
      <c r="N4" s="207" t="str">
        <f>Input!L4</f>
        <v>3;3</v>
      </c>
      <c r="O4" s="207" t="str">
        <f>Input!M4</f>
        <v>1/1/1   ;1/1/1   </v>
      </c>
      <c r="P4" s="207" t="str">
        <f>Input!N4</f>
        <v>80/80/80  ;80/80/80  </v>
      </c>
      <c r="Q4" s="207" t="str">
        <f>Input!O4</f>
        <v>900;2100</v>
      </c>
      <c r="R4" s="207" t="str">
        <f>Input!P4</f>
        <v>26/26/26;26/26/26</v>
      </c>
      <c r="S4" s="364" t="b">
        <f>Input!Q4</f>
        <v>1</v>
      </c>
      <c r="T4" s="207" t="str">
        <f>Input!R4</f>
        <v>A03938101019TG05</v>
      </c>
      <c r="U4" s="207">
        <f>Input!S4</f>
        <v>0</v>
      </c>
      <c r="V4" s="207" t="str">
        <f>Input!T4</f>
        <v>VCC1</v>
      </c>
      <c r="W4" s="207" t="str">
        <f>Input!U4</f>
        <v>1902273/19/TG/TT1</v>
      </c>
      <c r="X4" s="209" t="str">
        <f>TEXT(Input!V4,"dd/mm/yyyy")</f>
        <v>10/10/2019</v>
      </c>
      <c r="Y4" s="207" t="b">
        <f>Input!W4</f>
        <v>0</v>
      </c>
      <c r="Z4" s="364" t="b">
        <f>Input!X4</f>
        <v>0</v>
      </c>
      <c r="AA4" s="207">
        <f ref="AA4:AA48" t="shared" si="1">IA4</f>
        <v>26</v>
      </c>
      <c r="AB4" s="364" t="b">
        <f>Input!Y4</f>
        <v>1</v>
      </c>
      <c r="AC4" s="207">
        <f>VALUE(Input!Z4)</f>
        <v>21</v>
      </c>
      <c r="AD4" s="207" t="b">
        <f>Input!AA4</f>
        <v>0</v>
      </c>
      <c r="AE4" s="207" t="str">
        <f>Input!AB4</f>
        <v>Ứng Văn Nguyện</v>
      </c>
      <c r="AF4" s="207" t="str">
        <f>Input!AC4</f>
        <v>Nguyễn Đức Nam</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4</v>
      </c>
      <c r="AP4" s="287" t="str">
        <f ref="AP4:AP48" t="shared" si="3">TRIM(IF(AO4&gt;=2,MID(E4,FIND("~",SUBSTITUTE(E4,",","~", AO4))+1,IFERROR(FIND("~",SUBSTITUTE(E4,",","~", AO4+1))-1,LEN(E4))- FIND("~",SUBSTITUTE(E4,",","~", AO4))),""))</f>
        <v>thành phố Hải Phòng</v>
      </c>
      <c r="AQ4" s="448" t="str">
        <f ref="AQ4:AQ48" t="shared" si="4">TRIM(IF(AO4&gt;=2,MID(E4,FIND("~",SUBSTITUTE(E4,",","~", AO4-1))+1,IFERROR(FIND("~",SUBSTITUTE(E4,",","~", AO4-0))-1,LEN(E4))- FIND("~",SUBSTITUTE(E4,",","~", AO4-1))),""))</f>
        <v>quận Hồng Bàng</v>
      </c>
      <c r="AR4" s="448" t="str">
        <f ref="AR4:AR48" t="shared" si="5">TRIM(IF(AO4&gt;=3,MID(E4,FIND("~",SUBSTITUTE(E4,",","~", AO4-2))+1,IFERROR(FIND("~",SUBSTITUTE(E4,",","~", AO4-1))-1,LEN(E4))- FIND("~",SUBSTITUTE(E4,",","~", AO4-2))),""))</f>
        <v>phường Quang Trung</v>
      </c>
      <c r="AS4" s="449" t="str">
        <f>INDEX(CityIDList,MATCH(F4,CityNameList,0))</f>
        <v>HPG</v>
      </c>
      <c r="AT4" s="208" t="str">
        <f>IF(J4&gt;=1,INDEX(OperatorNameList,MATCH(AZ4,OperatorIDList,0)),"")</f>
        <v>CÔNG TY CỔ PHẦN VIỄN THÔNG DI ĐỘNG VIETNAMOBILE</v>
      </c>
      <c r="AU4" s="208" t="str">
        <f>IF(J4&gt;=2,INDEX(OperatorNameList,MATCH(BA4,OperatorIDList,0)),"")</f>
        <v>CÔNG TY CỔ PHẦN VIỄN THÔNG DI ĐỘNG VIETNAMOBILE</v>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v>VNMOBILE</v>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VNMOBILE;VNMOBILE</v>
      </c>
      <c r="BG4" s="208" t="str">
        <f ref="BG4:BG48" t="shared" si="12">IF(J4&gt;=1,MID(L4,1,IFERROR(FIND("~",SUBSTITUTE(L4,";","~",1))-1,LEN(L4))),"")</f>
        <v>128173</v>
      </c>
      <c r="BH4" s="208" t="str">
        <f ref="BH4:BH48" t="shared" si="13">IF(J4&gt;=2,MID(L4,FIND("~",SUBSTITUTE(L4,";","~",1))+1,IFERROR(FIND("~",SUBSTITUTE(L4,";","~",2))-1,LEN(L4))- FIND("~",SUBSTITUTE(L4,";","~",1))),"")</f>
        <v>128173</v>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6601</v>
      </c>
      <c r="BN4" s="208" t="str">
        <f ref="BN4:BN48" t="shared" si="19">IF(J4&gt;=2,MID(M4,FIND("~",SUBSTITUTE(M4,";","~",1))+1,IFERROR(FIND("~",SUBSTITUTE(M4,";","~",2))-1,LEN(M4))- FIND("~",SUBSTITUTE(M4,";","~",1))),"")</f>
        <v>ERICSSON RBS 6601</v>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3</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v>1/1/1   </v>
      </c>
      <c r="CG4" s="208">
        <f ref="CG4:CG48" t="shared" si="38">IF(BT4&gt;=1,MID(CF4,1,IFERROR(FIND("~",SUBSTITUTE(CF4,"/","~",1))-1,LEN(CF4))),"0")*1</f>
        <v>1</v>
      </c>
      <c r="CH4" s="208">
        <f ref="CH4:CH48" t="shared" si="39">IF(BT4&gt;=2,MID(CF4,FIND("~",SUBSTITUTE(CF4,"/","~",1))+1,IFERROR(FIND("~",SUBSTITUTE(CF4,"/","~",2))-1,LEN(CF4))- FIND("~",SUBSTITUTE(CF4,"/","~",1))),"0")*1</f>
        <v>1</v>
      </c>
      <c r="CI4" s="208">
        <f ref="CI4:CI48" t="shared" si="40">IF(BT4&gt;=3,MID(CF4,FIND("~",SUBSTITUTE(CF4,"/","~",2))+1,IFERROR(FIND("~",SUBSTITUTE(CF4,"/","~",3))-1,LEN(CF4))- FIND("~",SUBSTITUTE(CF4,"/","~",2))),"0")*1</f>
        <v>1</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v>80/80/80  </v>
      </c>
      <c r="DY4" s="208">
        <f ref="DY4:DY48" t="shared" si="82">SUBSTITUTE(IF(BT4&gt;=1,MID(DX4,1,IFERROR(FIND("~",SUBSTITUTE(DX4,"/","~",1))-1,LEN(DX4))),"0"),"W","")*1</f>
        <v>80</v>
      </c>
      <c r="DZ4" s="208">
        <f ref="DZ4:DZ48" t="shared" si="83">SUBSTITUTE(IF(BT4&gt;=2,MID(DX4,FIND("~",SUBSTITUTE(DX4,"/","~",1))+1,IFERROR(FIND("~",SUBSTITUTE(DX4,"/","~",2))-1,LEN(DX4))- FIND("~",SUBSTITUTE(DX4,"/","~",1))),"0"),"W","")*1</f>
        <v>80</v>
      </c>
      <c r="EA4" s="208">
        <f ref="EA4:EA48" t="shared" si="84">SUBSTITUTE(IF(BT4&gt;=3,MID(DX4,FIND("~",SUBSTITUTE(DX4,"/","~",2))+1,IFERROR(FIND("~",SUBSTITUTE(DX4,"/","~",3))-1,LEN(DX4))- FIND("~",SUBSTITUTE(DX4,"/","~",2))),"0"),"W","")*1</f>
        <v>80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v>80W/ 80W/ 80W</v>
      </c>
      <c r="EF4" s="208">
        <f ref="EF4:EF48" t="shared" si="89">MAX(DY4:EB4)</f>
        <v>80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900</v>
      </c>
      <c r="FS4" s="208" t="str">
        <f ref="FS4:FS48" t="shared" si="128">TRIM(IF(J4&gt;=2,MID(Q4,FIND("~",SUBSTITUTE(Q4,";","~",1))+1,IFERROR(FIND("~",SUBSTITUTE(Q4,";","~",2))-1,LEN(Q4))- FIND("~",SUBSTITUTE(Q4,";","~",1))),""))</f>
        <v>2100</v>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26/26/26</v>
      </c>
      <c r="FY4" s="208">
        <f ref="FY4:FY48" t="shared" si="134">SUBSTITUTE(IF(BS4&gt;=1,MID(FX4,1,IFERROR(FIND("~",SUBSTITUTE(FX4,"/","~",1))-1,LEN(FX4))),"0"),"m","")*1</f>
        <v>26</v>
      </c>
      <c r="FZ4" s="208">
        <f ref="FZ4:FZ48" t="shared" si="135">SUBSTITUTE(TRIM(IF(BS4&gt;=2,MID(FX4,FIND("~",SUBSTITUTE(FX4,"/","~",1))+1,IFERROR(FIND("~",SUBSTITUTE(FX4,"/","~",2))-1,LEN(FX4))- FIND("~",SUBSTITUTE(FX4,"/","~",1))),"0")),"m","")*1</f>
        <v>26</v>
      </c>
      <c r="GA4" s="208">
        <f ref="GA4:GA48" t="shared" si="136">SUBSTITUTE(TRIM(IF(BS4&gt;=3,MID(FX4,FIND("~",SUBSTITUTE(FX4,"/","~",2))+1,IFERROR(FIND("~",SUBSTITUTE(FX4,"/","~",3))-1,LEN(FX4))- FIND("~",SUBSTITUTE(FX4,"/","~",2))),"0")),"m","")*1</f>
        <v>26</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26m/ 26m/ 26m</v>
      </c>
      <c r="GF4" s="208" t="str">
        <f ref="GF4:GF48" t="shared" si="141">TRIM(IF(J4&gt;=2,MID(R4,FIND("~",SUBSTITUTE(R4,";","~",1))+1,IFERROR(FIND("~",SUBSTITUTE(R4,";","~",2))-1,LEN(R4))- FIND("~",SUBSTITUTE(R4,";","~",1))),""))</f>
        <v>26/26/26</v>
      </c>
      <c r="GG4" s="208">
        <f ref="GG4:GG48" t="shared" si="142">SUBSTITUTE(IF(BT4&gt;=1,MID(GF4,1,IFERROR(FIND("~",SUBSTITUTE(GF4,"/","~",1))-1,LEN(GF4))),"0"),"m","")*1</f>
        <v>26</v>
      </c>
      <c r="GH4" s="208">
        <f ref="GH4:GH48" t="shared" si="143">SUBSTITUTE(TRIM(IF(BT4&gt;=2,MID(GF4,FIND("~",SUBSTITUTE(GF4,"/","~",1))+1,IFERROR(FIND("~",SUBSTITUTE(GF4,"/","~",2))-1,LEN(GF4))- FIND("~",SUBSTITUTE(GF4,"/","~",1))),"0")),"m","")*1</f>
        <v>26</v>
      </c>
      <c r="GI4" s="208">
        <f ref="GI4:GI48" t="shared" si="144">SUBSTITUTE(TRIM(IF(BT4&gt;=3,MID(GF4,FIND("~",SUBSTITUTE(GF4,"/","~",2))+1,IFERROR(FIND("~",SUBSTITUTE(GF4,"/","~",3))-1,LEN(GF4))- FIND("~",SUBSTITUTE(GF4,"/","~",2))),"0")),"m","")*1</f>
        <v>26</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v>26m/ 26m/ 26m</v>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26</v>
      </c>
      <c r="HV4" s="208">
        <f ref="HV4:HV48" t="shared" si="182">MinMultiple(GG4:GJ4,BT4)</f>
        <v>26</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26</v>
      </c>
      <c r="IB4" s="207">
        <f ref="IB4:IB48" t="shared" si="188">IA4-AC4</f>
        <v>5</v>
      </c>
      <c r="IC4" s="343" t="str">
        <f ref="IC4:IC48" t="shared" si="189">IF(S4=TRUE,MID(T4,1,1),"")</f>
        <v>A</v>
      </c>
      <c r="ID4" s="343" t="str">
        <f ref="ID4:ID48" t="shared" si="190">MID(T4,2,5)</f>
        <v>03938</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128167</v>
      </c>
      <c r="E5" s="317" t="str">
        <f>Input!C5</f>
        <v>Số 45/63, ngõ 1, phố Cấm, phường Máy Tơ, quận Ngô Quyền, thành phố Hải Phòng</v>
      </c>
      <c r="F5" s="207" t="str">
        <f>Input!D5</f>
        <v>Hải Phòng</v>
      </c>
      <c r="G5" s="207">
        <f>Input!E5</f>
        <v>106.69343</v>
      </c>
      <c r="H5" s="207">
        <f>Input!F5</f>
        <v>20.857695</v>
      </c>
      <c r="I5" s="207">
        <f>Input!G5</f>
        <v>1</v>
      </c>
      <c r="J5" s="207">
        <f>Input!H5</f>
        <v>2</v>
      </c>
      <c r="K5" s="207" t="str">
        <f t="shared" si="0"/>
        <v>CÔNG TY CỔ PHẦN VIỄN THÔNG DI ĐỘNG VIETNAMOBILE;CÔNG TY CỔ PHẦN VIỄN THÔNG DI ĐỘNG VIETNAMOBILE</v>
      </c>
      <c r="L5" s="207" t="str">
        <f>Input!J5</f>
        <v>128167;128167</v>
      </c>
      <c r="M5" s="207" t="str">
        <f>Input!K5</f>
        <v>ERICSSON RBS 6320;ERICSSON RBS 6320</v>
      </c>
      <c r="N5" s="207" t="str">
        <f>Input!L5</f>
        <v>3;3</v>
      </c>
      <c r="O5" s="207" t="str">
        <f>Input!M5</f>
        <v>1/1/1   ;1/1/1   </v>
      </c>
      <c r="P5" s="207" t="str">
        <f>Input!N5</f>
        <v>80/80/80  ;80/80/80  </v>
      </c>
      <c r="Q5" s="207" t="str">
        <f>Input!O5</f>
        <v>900;2100</v>
      </c>
      <c r="R5" s="207" t="str">
        <f>Input!P5</f>
        <v>21/21/21;22/22/22</v>
      </c>
      <c r="S5" s="364" t="b">
        <f>Input!Q5</f>
        <v>1</v>
      </c>
      <c r="T5" s="207" t="str">
        <f>Input!R5</f>
        <v>A03939101019TG05</v>
      </c>
      <c r="U5" s="207">
        <f>Input!S5</f>
        <v>0</v>
      </c>
      <c r="V5" s="207" t="str">
        <f>Input!T5</f>
        <v>VCC1</v>
      </c>
      <c r="W5" s="207" t="str">
        <f>Input!U5</f>
        <v>1902270/19/TG/TT1</v>
      </c>
      <c r="X5" s="209" t="str">
        <f>TEXT(Input!V5,"dd/mm/yyyy")</f>
        <v>10/10/2019</v>
      </c>
      <c r="Y5" s="207" t="b">
        <f>Input!W5</f>
        <v>0</v>
      </c>
      <c r="Z5" s="364" t="b">
        <f>Input!X5</f>
        <v>0</v>
      </c>
      <c r="AA5" s="207">
        <f t="shared" si="1"/>
        <v>21</v>
      </c>
      <c r="AB5" s="364" t="b">
        <f>Input!Y5</f>
        <v>1</v>
      </c>
      <c r="AC5" s="207">
        <f>VALUE(Input!Z5)</f>
        <v>14</v>
      </c>
      <c r="AD5" s="207" t="b">
        <f>Input!AA5</f>
        <v>0</v>
      </c>
      <c r="AE5" s="207" t="str">
        <f>Input!AB5</f>
        <v>Ứng Văn Nguyện</v>
      </c>
      <c r="AF5" s="207" t="str">
        <f>Input!AC5</f>
        <v>Nguyễn Đức Nam</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5</v>
      </c>
      <c r="AP5" s="287" t="str">
        <f t="shared" si="3"/>
        <v>thành phố Hải Phòng</v>
      </c>
      <c r="AQ5" s="448" t="str">
        <f t="shared" si="4"/>
        <v>quận Ngô Quyền</v>
      </c>
      <c r="AR5" s="448" t="str">
        <f t="shared" si="5"/>
        <v>phường Máy Tơ</v>
      </c>
      <c r="AS5" s="449" t="str">
        <f>INDEX(CityIDList,MATCH(F5,CityNameList,0))</f>
        <v>HPG</v>
      </c>
      <c r="AT5" s="208" t="str">
        <f>IF(J5&gt;=1,INDEX(OperatorNameList,MATCH(AZ5,OperatorIDList,0)),"")</f>
        <v>CÔNG TY CỔ PHẦN VIỄN THÔNG DI ĐỘNG VIETNAMOBILE</v>
      </c>
      <c r="AU5" s="208" t="str">
        <f>IF(J5&gt;=2,INDEX(OperatorNameList,MATCH(BA5,OperatorIDList,0)),"")</f>
        <v>CÔNG TY CỔ PHẦN VIỄN THÔNG DI ĐỘNG VIETNAMOBILE</v>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v>VNMOBILE</v>
      </c>
      <c r="BB5" s="208" t="str">
        <f t="shared" si="8"/>
      </c>
      <c r="BC5" s="208" t="str">
        <f t="shared" si="9"/>
      </c>
      <c r="BD5" s="208" t="str">
        <f t="shared" si="10"/>
      </c>
      <c r="BE5" s="208" t="str">
        <f t="shared" si="11"/>
      </c>
      <c r="BF5" s="208" t="str">
        <f>Input!I5</f>
        <v>VNMOBILE;VNMOBILE</v>
      </c>
      <c r="BG5" s="208" t="str">
        <f t="shared" si="12"/>
        <v>128167</v>
      </c>
      <c r="BH5" s="208" t="str">
        <f t="shared" si="13"/>
        <v>128167</v>
      </c>
      <c r="BI5" s="208" t="str">
        <f t="shared" si="14"/>
      </c>
      <c r="BJ5" s="208" t="str">
        <f t="shared" si="15"/>
      </c>
      <c r="BK5" s="208" t="str">
        <f t="shared" si="16"/>
      </c>
      <c r="BL5" s="208" t="str">
        <f t="shared" si="17"/>
      </c>
      <c r="BM5" s="208" t="str">
        <f t="shared" si="18"/>
        <v>ERICSSON RBS 6320</v>
      </c>
      <c r="BN5" s="208" t="str">
        <f t="shared" si="19"/>
        <v>ERICSSON RBS 6320</v>
      </c>
      <c r="BO5" s="208" t="str">
        <f t="shared" si="20"/>
      </c>
      <c r="BP5" s="208" t="str">
        <f t="shared" si="21"/>
      </c>
      <c r="BQ5" s="208" t="str">
        <f t="shared" si="22"/>
      </c>
      <c r="BR5" s="208" t="str">
        <f t="shared" si="23"/>
      </c>
      <c r="BS5" s="208">
        <f t="shared" si="24"/>
        <v>3</v>
      </c>
      <c r="BT5" s="208">
        <f t="shared" si="25"/>
        <v>3</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v>1/1/1   </v>
      </c>
      <c r="CG5" s="208">
        <f t="shared" si="38"/>
        <v>1</v>
      </c>
      <c r="CH5" s="208">
        <f t="shared" si="39"/>
        <v>1</v>
      </c>
      <c r="CI5" s="208">
        <f t="shared" si="40"/>
        <v>1</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v>80/80/80  </v>
      </c>
      <c r="DY5" s="208">
        <f t="shared" si="82"/>
        <v>80</v>
      </c>
      <c r="DZ5" s="208">
        <f t="shared" si="83"/>
        <v>80</v>
      </c>
      <c r="EA5" s="208">
        <f t="shared" si="84"/>
        <v>80</v>
      </c>
      <c r="EB5" s="208">
        <f t="shared" si="85"/>
        <v>0</v>
      </c>
      <c r="EC5" s="208">
        <f t="shared" si="86"/>
        <v>0</v>
      </c>
      <c r="ED5" s="208">
        <f t="shared" si="87"/>
        <v>0</v>
      </c>
      <c r="EE5" s="208" t="str">
        <f t="shared" si="88"/>
        <v>80W/ 80W/ 80W</v>
      </c>
      <c r="EF5" s="208">
        <f t="shared" si="89"/>
        <v>80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900</v>
      </c>
      <c r="FS5" s="208" t="str">
        <f t="shared" si="128"/>
        <v>2100</v>
      </c>
      <c r="FT5" s="208" t="str">
        <f t="shared" si="129"/>
      </c>
      <c r="FU5" s="208" t="str">
        <f t="shared" si="130"/>
      </c>
      <c r="FV5" s="208" t="str">
        <f t="shared" si="131"/>
      </c>
      <c r="FW5" s="208" t="str">
        <f t="shared" si="132"/>
      </c>
      <c r="FX5" s="208" t="str">
        <f t="shared" si="133"/>
        <v>21/21/21</v>
      </c>
      <c r="FY5" s="208">
        <f t="shared" si="134"/>
        <v>21</v>
      </c>
      <c r="FZ5" s="208">
        <f t="shared" si="135"/>
        <v>21</v>
      </c>
      <c r="GA5" s="208">
        <f t="shared" si="136"/>
        <v>21</v>
      </c>
      <c r="GB5" s="208">
        <f t="shared" si="137"/>
        <v>0</v>
      </c>
      <c r="GC5" s="208">
        <f t="shared" si="138"/>
        <v>0</v>
      </c>
      <c r="GD5" s="208">
        <f t="shared" si="139"/>
        <v>0</v>
      </c>
      <c r="GE5" s="208" t="str">
        <f t="shared" si="140"/>
        <v>21m/ 21m/ 21m</v>
      </c>
      <c r="GF5" s="208" t="str">
        <f t="shared" si="141"/>
        <v>22/22/22</v>
      </c>
      <c r="GG5" s="208">
        <f t="shared" si="142"/>
        <v>22</v>
      </c>
      <c r="GH5" s="208">
        <f t="shared" si="143"/>
        <v>22</v>
      </c>
      <c r="GI5" s="208">
        <f t="shared" si="144"/>
        <v>22</v>
      </c>
      <c r="GJ5" s="208">
        <f t="shared" si="145"/>
        <v>0</v>
      </c>
      <c r="GK5" s="208">
        <f t="shared" si="146"/>
        <v>0</v>
      </c>
      <c r="GL5" s="208">
        <f t="shared" si="147"/>
        <v>0</v>
      </c>
      <c r="GM5" s="208" t="str">
        <f t="shared" si="148"/>
        <v>22m/ 22m/ 22m</v>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21</v>
      </c>
      <c r="HV5" s="208">
        <f t="shared" si="182"/>
        <v>22</v>
      </c>
      <c r="HW5" s="208">
        <f t="shared" si="183"/>
        <v>0</v>
      </c>
      <c r="HX5" s="208">
        <f t="shared" si="184"/>
        <v>0</v>
      </c>
      <c r="HY5" s="208">
        <f t="shared" si="185"/>
        <v>0</v>
      </c>
      <c r="HZ5" s="208">
        <f t="shared" si="186"/>
        <v>0</v>
      </c>
      <c r="IA5" s="207">
        <f t="shared" si="187"/>
        <v>21</v>
      </c>
      <c r="IB5" s="207">
        <f t="shared" si="188"/>
        <v>7</v>
      </c>
      <c r="IC5" s="343" t="str">
        <f t="shared" si="189"/>
        <v>A</v>
      </c>
      <c r="ID5" s="343" t="str">
        <f t="shared" si="190"/>
        <v>03939</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128512</v>
      </c>
      <c r="E6" s="317" t="str">
        <f>Input!C6</f>
        <v>Số 10, tổ 22, phường Vĩnh Niệm, quận Lê Chân, thành phố Hải Phòng</v>
      </c>
      <c r="F6" s="207" t="str">
        <f>Input!D6</f>
        <v>Hải Phòng</v>
      </c>
      <c r="G6" s="207">
        <f>Input!E6</f>
        <v>106.674985</v>
      </c>
      <c r="H6" s="207">
        <f>Input!F6</f>
        <v>20.826901</v>
      </c>
      <c r="I6" s="207">
        <f>Input!G6</f>
        <v>1</v>
      </c>
      <c r="J6" s="207">
        <f>Input!H6</f>
        <v>2</v>
      </c>
      <c r="K6" s="207" t="str">
        <f t="shared" si="0"/>
        <v>CÔNG TY CỔ PHẦN VIỄN THÔNG DI ĐỘNG VIETNAMOBILE;CÔNG TY CỔ PHẦN VIỄN THÔNG DI ĐỘNG VIETNAMOBILE</v>
      </c>
      <c r="L6" s="207" t="str">
        <f>Input!J6</f>
        <v>128512;128512</v>
      </c>
      <c r="M6" s="207" t="str">
        <f>Input!K6</f>
        <v>ERICSSON RBS 6320;ERICSSON RBS 6320</v>
      </c>
      <c r="N6" s="207" t="str">
        <f>Input!L6</f>
        <v>3;3</v>
      </c>
      <c r="O6" s="207" t="str">
        <f>Input!M6</f>
        <v>1/1/1   ;1/1/1   </v>
      </c>
      <c r="P6" s="207" t="str">
        <f>Input!N6</f>
        <v>80/80/80  ;80/80/80  </v>
      </c>
      <c r="Q6" s="207" t="str">
        <f>Input!O6</f>
        <v>900;2100</v>
      </c>
      <c r="R6" s="207" t="str">
        <f>Input!P6</f>
        <v>33/33/33;33/33/33</v>
      </c>
      <c r="S6" s="364" t="b">
        <f>Input!Q6</f>
        <v>1</v>
      </c>
      <c r="T6" s="207" t="str">
        <f>Input!R6</f>
        <v>A03940101019TG05</v>
      </c>
      <c r="U6" s="207">
        <f>Input!S6</f>
        <v>0</v>
      </c>
      <c r="V6" s="207" t="str">
        <f>Input!T6</f>
        <v>VCC1</v>
      </c>
      <c r="W6" s="207" t="str">
        <f>Input!U6</f>
        <v>1902278/19/TG/TT1</v>
      </c>
      <c r="X6" s="209" t="str">
        <f>TEXT(Input!V6,"dd/mm/yyyy")</f>
        <v>10/10/2019</v>
      </c>
      <c r="Y6" s="207" t="b">
        <f>Input!W6</f>
        <v>1</v>
      </c>
      <c r="Z6" s="364" t="b">
        <f>Input!X6</f>
        <v>0</v>
      </c>
      <c r="AA6" s="207">
        <f t="shared" si="1"/>
        <v>33</v>
      </c>
      <c r="AB6" s="364" t="b">
        <f>Input!Y6</f>
        <v>1</v>
      </c>
      <c r="AC6" s="207">
        <f>VALUE(Input!Z6)</f>
        <v>10</v>
      </c>
      <c r="AD6" s="207" t="b">
        <f>Input!AA6</f>
        <v>0</v>
      </c>
      <c r="AE6" s="207" t="str">
        <f>Input!AB6</f>
        <v>Ứng Văn Nguyện</v>
      </c>
      <c r="AF6" s="207" t="str">
        <f>Input!AC6</f>
        <v>Nguyễn Đức Nam</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thành phố Hải Phòng</v>
      </c>
      <c r="AQ6" s="448" t="str">
        <f t="shared" si="4"/>
        <v>quận Lê Chân</v>
      </c>
      <c r="AR6" s="448" t="str">
        <f t="shared" si="5"/>
        <v>phường Vĩnh Niệm</v>
      </c>
      <c r="AS6" s="449" t="str">
        <f>INDEX(CityIDList,MATCH(F6,CityNameList,0))</f>
        <v>HPG</v>
      </c>
      <c r="AT6" s="208" t="str">
        <f>IF(J6&gt;=1,INDEX(OperatorNameList,MATCH(AZ6,OperatorIDList,0)),"")</f>
        <v>CÔNG TY CỔ PHẦN VIỄN THÔNG DI ĐỘNG VIETNAMOBILE</v>
      </c>
      <c r="AU6" s="208" t="str">
        <f>IF(J6&gt;=2,INDEX(OperatorNameList,MATCH(BA6,OperatorIDList,0)),"")</f>
        <v>CÔNG TY CỔ PHẦN VIỄN THÔNG DI ĐỘNG VIETNAMOBILE</v>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v>VNMOBILE</v>
      </c>
      <c r="BB6" s="208" t="str">
        <f t="shared" si="8"/>
      </c>
      <c r="BC6" s="208" t="str">
        <f t="shared" si="9"/>
      </c>
      <c r="BD6" s="208" t="str">
        <f t="shared" si="10"/>
      </c>
      <c r="BE6" s="208" t="str">
        <f t="shared" si="11"/>
      </c>
      <c r="BF6" s="208" t="str">
        <f>Input!I6</f>
        <v>VNMOBILE;VNMOBILE</v>
      </c>
      <c r="BG6" s="208" t="str">
        <f t="shared" si="12"/>
        <v>128512</v>
      </c>
      <c r="BH6" s="208" t="str">
        <f t="shared" si="13"/>
        <v>128512</v>
      </c>
      <c r="BI6" s="208" t="str">
        <f t="shared" si="14"/>
      </c>
      <c r="BJ6" s="208" t="str">
        <f t="shared" si="15"/>
      </c>
      <c r="BK6" s="208" t="str">
        <f t="shared" si="16"/>
      </c>
      <c r="BL6" s="208" t="str">
        <f t="shared" si="17"/>
      </c>
      <c r="BM6" s="208" t="str">
        <f t="shared" si="18"/>
        <v>ERICSSON RBS 6320</v>
      </c>
      <c r="BN6" s="208" t="str">
        <f t="shared" si="19"/>
        <v>ERICSSON RBS 6320</v>
      </c>
      <c r="BO6" s="208" t="str">
        <f t="shared" si="20"/>
      </c>
      <c r="BP6" s="208" t="str">
        <f t="shared" si="21"/>
      </c>
      <c r="BQ6" s="208" t="str">
        <f t="shared" si="22"/>
      </c>
      <c r="BR6" s="208" t="str">
        <f t="shared" si="23"/>
      </c>
      <c r="BS6" s="208">
        <f t="shared" si="24"/>
        <v>3</v>
      </c>
      <c r="BT6" s="208">
        <f t="shared" si="25"/>
        <v>3</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v>1/1/1   </v>
      </c>
      <c r="CG6" s="208">
        <f t="shared" si="38"/>
        <v>1</v>
      </c>
      <c r="CH6" s="208">
        <f t="shared" si="39"/>
        <v>1</v>
      </c>
      <c r="CI6" s="208">
        <f t="shared" si="40"/>
        <v>1</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v>80/80/80  </v>
      </c>
      <c r="DY6" s="208">
        <f t="shared" si="82"/>
        <v>80</v>
      </c>
      <c r="DZ6" s="208">
        <f t="shared" si="83"/>
        <v>80</v>
      </c>
      <c r="EA6" s="208">
        <f t="shared" si="84"/>
        <v>80</v>
      </c>
      <c r="EB6" s="208">
        <f t="shared" si="85"/>
        <v>0</v>
      </c>
      <c r="EC6" s="208">
        <f t="shared" si="86"/>
        <v>0</v>
      </c>
      <c r="ED6" s="208">
        <f t="shared" si="87"/>
        <v>0</v>
      </c>
      <c r="EE6" s="208" t="str">
        <f t="shared" si="88"/>
        <v>80W/ 80W/ 80W</v>
      </c>
      <c r="EF6" s="208">
        <f t="shared" si="89"/>
        <v>80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900</v>
      </c>
      <c r="FS6" s="208" t="str">
        <f t="shared" si="128"/>
        <v>2100</v>
      </c>
      <c r="FT6" s="208" t="str">
        <f t="shared" si="129"/>
      </c>
      <c r="FU6" s="208" t="str">
        <f t="shared" si="130"/>
      </c>
      <c r="FV6" s="208" t="str">
        <f t="shared" si="131"/>
      </c>
      <c r="FW6" s="208" t="str">
        <f t="shared" si="132"/>
      </c>
      <c r="FX6" s="208" t="str">
        <f t="shared" si="133"/>
        <v>33/33/33</v>
      </c>
      <c r="FY6" s="208">
        <f t="shared" si="134"/>
        <v>33</v>
      </c>
      <c r="FZ6" s="208">
        <f t="shared" si="135"/>
        <v>33</v>
      </c>
      <c r="GA6" s="208">
        <f t="shared" si="136"/>
        <v>33</v>
      </c>
      <c r="GB6" s="208">
        <f t="shared" si="137"/>
        <v>0</v>
      </c>
      <c r="GC6" s="208">
        <f t="shared" si="138"/>
        <v>0</v>
      </c>
      <c r="GD6" s="208">
        <f t="shared" si="139"/>
        <v>0</v>
      </c>
      <c r="GE6" s="208" t="str">
        <f t="shared" si="140"/>
        <v>33m/ 33m/ 33m</v>
      </c>
      <c r="GF6" s="208" t="str">
        <f t="shared" si="141"/>
        <v>33/33/33</v>
      </c>
      <c r="GG6" s="208">
        <f t="shared" si="142"/>
        <v>33</v>
      </c>
      <c r="GH6" s="208">
        <f t="shared" si="143"/>
        <v>33</v>
      </c>
      <c r="GI6" s="208">
        <f t="shared" si="144"/>
        <v>33</v>
      </c>
      <c r="GJ6" s="208">
        <f t="shared" si="145"/>
        <v>0</v>
      </c>
      <c r="GK6" s="208">
        <f t="shared" si="146"/>
        <v>0</v>
      </c>
      <c r="GL6" s="208">
        <f t="shared" si="147"/>
        <v>0</v>
      </c>
      <c r="GM6" s="208" t="str">
        <f t="shared" si="148"/>
        <v>33m/ 33m/ 33m</v>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33</v>
      </c>
      <c r="HV6" s="208">
        <f t="shared" si="182"/>
        <v>33</v>
      </c>
      <c r="HW6" s="208">
        <f t="shared" si="183"/>
        <v>0</v>
      </c>
      <c r="HX6" s="208">
        <f t="shared" si="184"/>
        <v>0</v>
      </c>
      <c r="HY6" s="208">
        <f t="shared" si="185"/>
        <v>0</v>
      </c>
      <c r="HZ6" s="208">
        <f t="shared" si="186"/>
        <v>0</v>
      </c>
      <c r="IA6" s="207">
        <f t="shared" si="187"/>
        <v>33</v>
      </c>
      <c r="IB6" s="207">
        <f t="shared" si="188"/>
        <v>23</v>
      </c>
      <c r="IC6" s="343" t="str">
        <f t="shared" si="189"/>
        <v>A</v>
      </c>
      <c r="ID6" s="343" t="str">
        <f t="shared" si="190"/>
        <v>03940</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128041</v>
      </c>
      <c r="E7" s="317" t="str">
        <f>Input!C7</f>
        <v>Đài phát thanh huyện An Dương, thị trấn An Dương, huyện An Dương, thành phố Hải Phòng</v>
      </c>
      <c r="F7" s="207" t="str">
        <f>Input!D7</f>
        <v>Hải Phòng</v>
      </c>
      <c r="G7" s="207">
        <f>Input!E7</f>
        <v>106.613022</v>
      </c>
      <c r="H7" s="207">
        <f>Input!F7</f>
        <v>20.864554</v>
      </c>
      <c r="I7" s="207">
        <f>Input!G7</f>
        <v>1</v>
      </c>
      <c r="J7" s="207">
        <f>Input!H7</f>
        <v>2</v>
      </c>
      <c r="K7" s="207" t="str">
        <f t="shared" si="0"/>
        <v>CÔNG TY CỔ PHẦN VIỄN THÔNG DI ĐỘNG VIETNAMOBILE;CÔNG TY CỔ PHẦN VIỄN THÔNG DI ĐỘNG VIETNAMOBILE</v>
      </c>
      <c r="L7" s="207" t="str">
        <f>Input!J7</f>
        <v>128041;128041</v>
      </c>
      <c r="M7" s="207" t="str">
        <f>Input!K7</f>
        <v>ERICSSON RBS 6601;ERICSSON RBS 6601</v>
      </c>
      <c r="N7" s="207" t="str">
        <f>Input!L7</f>
        <v>3;3</v>
      </c>
      <c r="O7" s="207" t="str">
        <f>Input!M7</f>
        <v>1/1/1   ;1/1/1   </v>
      </c>
      <c r="P7" s="207" t="str">
        <f>Input!N7</f>
        <v>80/80/80  ;80/80/80  </v>
      </c>
      <c r="Q7" s="207" t="str">
        <f>Input!O7</f>
        <v>900;2100</v>
      </c>
      <c r="R7" s="207" t="str">
        <f>Input!P7</f>
        <v>26/26/26;26/26/26</v>
      </c>
      <c r="S7" s="364" t="b">
        <f>Input!Q7</f>
        <v>1</v>
      </c>
      <c r="T7" s="207" t="str">
        <f>Input!R7</f>
        <v>A03941101019TG05</v>
      </c>
      <c r="U7" s="207">
        <f>Input!S7</f>
        <v>0</v>
      </c>
      <c r="V7" s="207" t="str">
        <f>Input!T7</f>
        <v>VCC1</v>
      </c>
      <c r="W7" s="207" t="str">
        <f>Input!U7</f>
        <v>1902234/19/TG/TT1</v>
      </c>
      <c r="X7" s="209" t="str">
        <f>TEXT(Input!V7,"dd/mm/yyyy")</f>
        <v>10/10/2019</v>
      </c>
      <c r="Y7" s="207" t="b">
        <f>Input!W7</f>
        <v>1</v>
      </c>
      <c r="Z7" s="364" t="b">
        <f>Input!X7</f>
        <v>0</v>
      </c>
      <c r="AA7" s="207">
        <f t="shared" si="1"/>
        <v>26</v>
      </c>
      <c r="AB7" s="364" t="b">
        <f>Input!Y7</f>
        <v>1</v>
      </c>
      <c r="AC7" s="207">
        <f>VALUE(Input!Z7)</f>
        <v>21</v>
      </c>
      <c r="AD7" s="207" t="b">
        <f>Input!AA7</f>
        <v>0</v>
      </c>
      <c r="AE7" s="207" t="str">
        <f>Input!AB7</f>
        <v>Ứng Văn Nguyện</v>
      </c>
      <c r="AF7" s="207" t="str">
        <f>Input!AC7</f>
        <v>Nguyễn Đức Nam</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thành phố Hải Phòng</v>
      </c>
      <c r="AQ7" s="448" t="str">
        <f t="shared" si="4"/>
        <v>huyện An Dương</v>
      </c>
      <c r="AR7" s="448" t="str">
        <f t="shared" si="5"/>
        <v>thị trấn An Dương</v>
      </c>
      <c r="AS7" s="449" t="str">
        <f>INDEX(CityIDList,MATCH(F7,CityNameList,0))</f>
        <v>HPG</v>
      </c>
      <c r="AT7" s="208" t="str">
        <f>IF(J7&gt;=1,INDEX(OperatorNameList,MATCH(AZ7,OperatorIDList,0)),"")</f>
        <v>CÔNG TY CỔ PHẦN VIỄN THÔNG DI ĐỘNG VIETNAMOBILE</v>
      </c>
      <c r="AU7" s="208" t="str">
        <f>IF(J7&gt;=2,INDEX(OperatorNameList,MATCH(BA7,OperatorIDList,0)),"")</f>
        <v>CÔNG TY CỔ PHẦN VIỄN THÔNG DI ĐỘNG VIETNAMOBILE</v>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v>VNMOBILE</v>
      </c>
      <c r="BB7" s="208" t="str">
        <f t="shared" si="8"/>
      </c>
      <c r="BC7" s="208" t="str">
        <f t="shared" si="9"/>
      </c>
      <c r="BD7" s="208" t="str">
        <f t="shared" si="10"/>
      </c>
      <c r="BE7" s="208" t="str">
        <f t="shared" si="11"/>
      </c>
      <c r="BF7" s="208" t="str">
        <f>Input!I7</f>
        <v>VNMOBILE;VNMOBILE</v>
      </c>
      <c r="BG7" s="208" t="str">
        <f t="shared" si="12"/>
        <v>128041</v>
      </c>
      <c r="BH7" s="208" t="str">
        <f t="shared" si="13"/>
        <v>128041</v>
      </c>
      <c r="BI7" s="208" t="str">
        <f t="shared" si="14"/>
      </c>
      <c r="BJ7" s="208" t="str">
        <f t="shared" si="15"/>
      </c>
      <c r="BK7" s="208" t="str">
        <f t="shared" si="16"/>
      </c>
      <c r="BL7" s="208" t="str">
        <f t="shared" si="17"/>
      </c>
      <c r="BM7" s="208" t="str">
        <f t="shared" si="18"/>
        <v>ERICSSON RBS 6601</v>
      </c>
      <c r="BN7" s="208" t="str">
        <f t="shared" si="19"/>
        <v>ERICSSON RBS 6601</v>
      </c>
      <c r="BO7" s="208" t="str">
        <f t="shared" si="20"/>
      </c>
      <c r="BP7" s="208" t="str">
        <f t="shared" si="21"/>
      </c>
      <c r="BQ7" s="208" t="str">
        <f t="shared" si="22"/>
      </c>
      <c r="BR7" s="208" t="str">
        <f t="shared" si="23"/>
      </c>
      <c r="BS7" s="208">
        <f t="shared" si="24"/>
        <v>3</v>
      </c>
      <c r="BT7" s="208">
        <f t="shared" si="25"/>
        <v>3</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v>1/1/1   </v>
      </c>
      <c r="CG7" s="208">
        <f t="shared" si="38"/>
        <v>1</v>
      </c>
      <c r="CH7" s="208">
        <f t="shared" si="39"/>
        <v>1</v>
      </c>
      <c r="CI7" s="208">
        <f t="shared" si="40"/>
        <v>1</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v>80/80/80  </v>
      </c>
      <c r="DY7" s="208">
        <f t="shared" si="82"/>
        <v>80</v>
      </c>
      <c r="DZ7" s="208">
        <f t="shared" si="83"/>
        <v>80</v>
      </c>
      <c r="EA7" s="208">
        <f t="shared" si="84"/>
        <v>80</v>
      </c>
      <c r="EB7" s="208">
        <f t="shared" si="85"/>
        <v>0</v>
      </c>
      <c r="EC7" s="208">
        <f t="shared" si="86"/>
        <v>0</v>
      </c>
      <c r="ED7" s="208">
        <f t="shared" si="87"/>
        <v>0</v>
      </c>
      <c r="EE7" s="208" t="str">
        <f t="shared" si="88"/>
        <v>80W/ 80W/ 80W</v>
      </c>
      <c r="EF7" s="208">
        <f t="shared" si="89"/>
        <v>80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900</v>
      </c>
      <c r="FS7" s="208" t="str">
        <f t="shared" si="128"/>
        <v>2100</v>
      </c>
      <c r="FT7" s="208" t="str">
        <f t="shared" si="129"/>
      </c>
      <c r="FU7" s="208" t="str">
        <f t="shared" si="130"/>
      </c>
      <c r="FV7" s="208" t="str">
        <f t="shared" si="131"/>
      </c>
      <c r="FW7" s="208" t="str">
        <f t="shared" si="132"/>
      </c>
      <c r="FX7" s="208" t="str">
        <f t="shared" si="133"/>
        <v>26/26/26</v>
      </c>
      <c r="FY7" s="208">
        <f t="shared" si="134"/>
        <v>26</v>
      </c>
      <c r="FZ7" s="208">
        <f t="shared" si="135"/>
        <v>26</v>
      </c>
      <c r="GA7" s="208">
        <f t="shared" si="136"/>
        <v>26</v>
      </c>
      <c r="GB7" s="208">
        <f t="shared" si="137"/>
        <v>0</v>
      </c>
      <c r="GC7" s="208">
        <f t="shared" si="138"/>
        <v>0</v>
      </c>
      <c r="GD7" s="208">
        <f t="shared" si="139"/>
        <v>0</v>
      </c>
      <c r="GE7" s="208" t="str">
        <f t="shared" si="140"/>
        <v>26m/ 26m/ 26m</v>
      </c>
      <c r="GF7" s="208" t="str">
        <f t="shared" si="141"/>
        <v>26/26/26</v>
      </c>
      <c r="GG7" s="208">
        <f t="shared" si="142"/>
        <v>26</v>
      </c>
      <c r="GH7" s="208">
        <f t="shared" si="143"/>
        <v>26</v>
      </c>
      <c r="GI7" s="208">
        <f t="shared" si="144"/>
        <v>26</v>
      </c>
      <c r="GJ7" s="208">
        <f t="shared" si="145"/>
        <v>0</v>
      </c>
      <c r="GK7" s="208">
        <f t="shared" si="146"/>
        <v>0</v>
      </c>
      <c r="GL7" s="208">
        <f t="shared" si="147"/>
        <v>0</v>
      </c>
      <c r="GM7" s="208" t="str">
        <f t="shared" si="148"/>
        <v>26m/ 26m/ 26m</v>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26</v>
      </c>
      <c r="HV7" s="208">
        <f t="shared" si="182"/>
        <v>26</v>
      </c>
      <c r="HW7" s="208">
        <f t="shared" si="183"/>
        <v>0</v>
      </c>
      <c r="HX7" s="208">
        <f t="shared" si="184"/>
        <v>0</v>
      </c>
      <c r="HY7" s="208">
        <f t="shared" si="185"/>
        <v>0</v>
      </c>
      <c r="HZ7" s="208">
        <f t="shared" si="186"/>
        <v>0</v>
      </c>
      <c r="IA7" s="207">
        <f t="shared" si="187"/>
        <v>26</v>
      </c>
      <c r="IB7" s="207">
        <f t="shared" si="188"/>
        <v>5</v>
      </c>
      <c r="IC7" s="343" t="str">
        <f t="shared" si="189"/>
        <v>A</v>
      </c>
      <c r="ID7" s="343" t="str">
        <f t="shared" si="190"/>
        <v>03941</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128031</v>
      </c>
      <c r="E8" s="317" t="str">
        <f>Input!C8</f>
        <v>Đội 7, thôn Hoa Động, xã Tân Dương, huyện Thủy Nguyên, thành phố Hải Phòng</v>
      </c>
      <c r="F8" s="207" t="str">
        <f>Input!D8</f>
        <v>Hải Phòng</v>
      </c>
      <c r="G8" s="207">
        <f>Input!E8</f>
        <v>106.67062</v>
      </c>
      <c r="H8" s="207">
        <f>Input!F8</f>
        <v>20.890691</v>
      </c>
      <c r="I8" s="207">
        <f>Input!G8</f>
        <v>1</v>
      </c>
      <c r="J8" s="207">
        <f>Input!H8</f>
        <v>2</v>
      </c>
      <c r="K8" s="207" t="str">
        <f t="shared" si="0"/>
        <v>CÔNG TY CỔ PHẦN VIỄN THÔNG DI ĐỘNG VIETNAMOBILE;CÔNG TY CỔ PHẦN VIỄN THÔNG DI ĐỘNG VIETNAMOBILE</v>
      </c>
      <c r="L8" s="207" t="str">
        <f>Input!J8</f>
        <v>128031;128031</v>
      </c>
      <c r="M8" s="207" t="str">
        <f>Input!K8</f>
        <v>ERICSSON RBS 6601;ERICSSON RBS 6601</v>
      </c>
      <c r="N8" s="207" t="str">
        <f>Input!L8</f>
        <v>3;3</v>
      </c>
      <c r="O8" s="207" t="str">
        <f>Input!M8</f>
        <v>1/1/1   ;1/1/1   </v>
      </c>
      <c r="P8" s="207" t="str">
        <f>Input!N8</f>
        <v>80/80/80  ;80/80/80  </v>
      </c>
      <c r="Q8" s="207" t="str">
        <f>Input!O8</f>
        <v>900;2100</v>
      </c>
      <c r="R8" s="207" t="str">
        <f>Input!P8</f>
        <v>45/45/45;45/45/45</v>
      </c>
      <c r="S8" s="364" t="b">
        <f>Input!Q8</f>
        <v>1</v>
      </c>
      <c r="T8" s="207" t="str">
        <f>Input!R8</f>
        <v>A03942101019TG05</v>
      </c>
      <c r="U8" s="207">
        <f>Input!S8</f>
        <v>0</v>
      </c>
      <c r="V8" s="207" t="str">
        <f>Input!T8</f>
        <v>VCC1</v>
      </c>
      <c r="W8" s="207" t="str">
        <f>Input!U8</f>
        <v>1902231/19/TG/TT1</v>
      </c>
      <c r="X8" s="209" t="str">
        <f>TEXT(Input!V8,"dd/mm/yyyy")</f>
        <v>10/10/2019</v>
      </c>
      <c r="Y8" s="207" t="b">
        <f>Input!W8</f>
        <v>1</v>
      </c>
      <c r="Z8" s="364" t="b">
        <f>Input!X8</f>
        <v>1</v>
      </c>
      <c r="AA8" s="207">
        <f t="shared" si="1"/>
        <v>45</v>
      </c>
      <c r="AB8" s="364" t="b">
        <f>Input!Y8</f>
        <v>1</v>
      </c>
      <c r="AC8" s="207">
        <f>VALUE(Input!Z8)</f>
        <v>10</v>
      </c>
      <c r="AD8" s="207" t="b">
        <f>Input!AA8</f>
        <v>0</v>
      </c>
      <c r="AE8" s="207" t="str">
        <f>Input!AB8</f>
        <v>Ứng Văn Nguyện</v>
      </c>
      <c r="AF8" s="207" t="str">
        <f>Input!AC8</f>
        <v>Nguyễn Đức Nam</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4</v>
      </c>
      <c r="AP8" s="287" t="str">
        <f t="shared" si="3"/>
        <v>thành phố Hải Phòng</v>
      </c>
      <c r="AQ8" s="448" t="str">
        <f t="shared" si="4"/>
        <v>huyện Thủy Nguyên</v>
      </c>
      <c r="AR8" s="448" t="str">
        <f t="shared" si="5"/>
        <v>xã Tân Dương</v>
      </c>
      <c r="AS8" s="449" t="str">
        <f>INDEX(CityIDList,MATCH(F8,CityNameList,0))</f>
        <v>HPG</v>
      </c>
      <c r="AT8" s="208" t="str">
        <f>IF(J8&gt;=1,INDEX(OperatorNameList,MATCH(AZ8,OperatorIDList,0)),"")</f>
        <v>CÔNG TY CỔ PHẦN VIỄN THÔNG DI ĐỘNG VIETNAMOBILE</v>
      </c>
      <c r="AU8" s="208" t="str">
        <f>IF(J8&gt;=2,INDEX(OperatorNameList,MATCH(BA8,OperatorIDList,0)),"")</f>
        <v>CÔNG TY CỔ PHẦN VIỄN THÔNG DI ĐỘNG VIETNAMOBILE</v>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v>VNMOBILE</v>
      </c>
      <c r="BB8" s="208" t="str">
        <f t="shared" si="8"/>
      </c>
      <c r="BC8" s="208" t="str">
        <f t="shared" si="9"/>
      </c>
      <c r="BD8" s="208" t="str">
        <f t="shared" si="10"/>
      </c>
      <c r="BE8" s="208" t="str">
        <f t="shared" si="11"/>
      </c>
      <c r="BF8" s="208" t="str">
        <f>Input!I8</f>
        <v>VNMOBILE;VNMOBILE</v>
      </c>
      <c r="BG8" s="208" t="str">
        <f t="shared" si="12"/>
        <v>128031</v>
      </c>
      <c r="BH8" s="208" t="str">
        <f t="shared" si="13"/>
        <v>128031</v>
      </c>
      <c r="BI8" s="208" t="str">
        <f t="shared" si="14"/>
      </c>
      <c r="BJ8" s="208" t="str">
        <f t="shared" si="15"/>
      </c>
      <c r="BK8" s="208" t="str">
        <f t="shared" si="16"/>
      </c>
      <c r="BL8" s="208" t="str">
        <f t="shared" si="17"/>
      </c>
      <c r="BM8" s="208" t="str">
        <f t="shared" si="18"/>
        <v>ERICSSON RBS 6601</v>
      </c>
      <c r="BN8" s="208" t="str">
        <f t="shared" si="19"/>
        <v>ERICSSON RBS 6601</v>
      </c>
      <c r="BO8" s="208" t="str">
        <f t="shared" si="20"/>
      </c>
      <c r="BP8" s="208" t="str">
        <f t="shared" si="21"/>
      </c>
      <c r="BQ8" s="208" t="str">
        <f t="shared" si="22"/>
      </c>
      <c r="BR8" s="208" t="str">
        <f t="shared" si="23"/>
      </c>
      <c r="BS8" s="208">
        <f t="shared" si="24"/>
        <v>3</v>
      </c>
      <c r="BT8" s="208">
        <f t="shared" si="25"/>
        <v>3</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v>1/1/1   </v>
      </c>
      <c r="CG8" s="208">
        <f t="shared" si="38"/>
        <v>1</v>
      </c>
      <c r="CH8" s="208">
        <f t="shared" si="39"/>
        <v>1</v>
      </c>
      <c r="CI8" s="208">
        <f t="shared" si="40"/>
        <v>1</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v>80/80/80  </v>
      </c>
      <c r="DY8" s="208">
        <f t="shared" si="82"/>
        <v>80</v>
      </c>
      <c r="DZ8" s="208">
        <f t="shared" si="83"/>
        <v>80</v>
      </c>
      <c r="EA8" s="208">
        <f t="shared" si="84"/>
        <v>80</v>
      </c>
      <c r="EB8" s="208">
        <f t="shared" si="85"/>
        <v>0</v>
      </c>
      <c r="EC8" s="208">
        <f t="shared" si="86"/>
        <v>0</v>
      </c>
      <c r="ED8" s="208">
        <f t="shared" si="87"/>
        <v>0</v>
      </c>
      <c r="EE8" s="208" t="str">
        <f t="shared" si="88"/>
        <v>80W/ 80W/ 80W</v>
      </c>
      <c r="EF8" s="208">
        <f t="shared" si="89"/>
        <v>80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900</v>
      </c>
      <c r="FS8" s="208" t="str">
        <f t="shared" si="128"/>
        <v>2100</v>
      </c>
      <c r="FT8" s="208" t="str">
        <f t="shared" si="129"/>
      </c>
      <c r="FU8" s="208" t="str">
        <f t="shared" si="130"/>
      </c>
      <c r="FV8" s="208" t="str">
        <f t="shared" si="131"/>
      </c>
      <c r="FW8" s="208" t="str">
        <f t="shared" si="132"/>
      </c>
      <c r="FX8" s="208" t="str">
        <f t="shared" si="133"/>
        <v>45/45/45</v>
      </c>
      <c r="FY8" s="208">
        <f t="shared" si="134"/>
        <v>45</v>
      </c>
      <c r="FZ8" s="208">
        <f t="shared" si="135"/>
        <v>45</v>
      </c>
      <c r="GA8" s="208">
        <f t="shared" si="136"/>
        <v>45</v>
      </c>
      <c r="GB8" s="208">
        <f t="shared" si="137"/>
        <v>0</v>
      </c>
      <c r="GC8" s="208">
        <f t="shared" si="138"/>
        <v>0</v>
      </c>
      <c r="GD8" s="208">
        <f t="shared" si="139"/>
        <v>0</v>
      </c>
      <c r="GE8" s="208" t="str">
        <f t="shared" si="140"/>
        <v>45m/ 45m/ 45m</v>
      </c>
      <c r="GF8" s="208" t="str">
        <f t="shared" si="141"/>
        <v>45/45/45</v>
      </c>
      <c r="GG8" s="208">
        <f t="shared" si="142"/>
        <v>45</v>
      </c>
      <c r="GH8" s="208">
        <f t="shared" si="143"/>
        <v>45</v>
      </c>
      <c r="GI8" s="208">
        <f t="shared" si="144"/>
        <v>45</v>
      </c>
      <c r="GJ8" s="208">
        <f t="shared" si="145"/>
        <v>0</v>
      </c>
      <c r="GK8" s="208">
        <f t="shared" si="146"/>
        <v>0</v>
      </c>
      <c r="GL8" s="208">
        <f t="shared" si="147"/>
        <v>0</v>
      </c>
      <c r="GM8" s="208" t="str">
        <f t="shared" si="148"/>
        <v>45m/ 45m/ 45m</v>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45</v>
      </c>
      <c r="HV8" s="208">
        <f t="shared" si="182"/>
        <v>45</v>
      </c>
      <c r="HW8" s="208">
        <f t="shared" si="183"/>
        <v>0</v>
      </c>
      <c r="HX8" s="208">
        <f t="shared" si="184"/>
        <v>0</v>
      </c>
      <c r="HY8" s="208">
        <f t="shared" si="185"/>
        <v>0</v>
      </c>
      <c r="HZ8" s="208">
        <f t="shared" si="186"/>
        <v>0</v>
      </c>
      <c r="IA8" s="207">
        <f t="shared" si="187"/>
        <v>45</v>
      </c>
      <c r="IB8" s="207">
        <f t="shared" si="188"/>
        <v>35</v>
      </c>
      <c r="IC8" s="343" t="str">
        <f t="shared" si="189"/>
        <v>A</v>
      </c>
      <c r="ID8" s="343" t="str">
        <f t="shared" si="190"/>
        <v>03942</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128142</v>
      </c>
      <c r="E9" s="317" t="str">
        <f>Input!C9</f>
        <v>Thôn Đông, xã Dương Quan, huyện Thủy Nguyên, thành phố Hải Phòng</v>
      </c>
      <c r="F9" s="207" t="str">
        <f>Input!D9</f>
        <v>Hải Phòng</v>
      </c>
      <c r="G9" s="207">
        <f>Input!E9</f>
        <v>106.693493</v>
      </c>
      <c r="H9" s="207">
        <f>Input!F9</f>
        <v>20.900186</v>
      </c>
      <c r="I9" s="207">
        <f>Input!G9</f>
        <v>1</v>
      </c>
      <c r="J9" s="207">
        <f>Input!H9</f>
        <v>2</v>
      </c>
      <c r="K9" s="207" t="str">
        <f t="shared" si="0"/>
        <v>CÔNG TY CỔ PHẦN VIỄN THÔNG DI ĐỘNG VIETNAMOBILE;CÔNG TY CỔ PHẦN VIỄN THÔNG DI ĐỘNG VIETNAMOBILE</v>
      </c>
      <c r="L9" s="207" t="str">
        <f>Input!J9</f>
        <v>128142;128142</v>
      </c>
      <c r="M9" s="207" t="str">
        <f>Input!K9</f>
        <v>ERICSSON RBS 6320;ERICSSON RBS 6320</v>
      </c>
      <c r="N9" s="207" t="str">
        <f>Input!L9</f>
        <v>3;3</v>
      </c>
      <c r="O9" s="207" t="str">
        <f>Input!M9</f>
        <v>1/1/1   ;1/1/1   </v>
      </c>
      <c r="P9" s="207" t="str">
        <f>Input!N9</f>
        <v>80/80/80  ;80/80/80  </v>
      </c>
      <c r="Q9" s="207" t="str">
        <f>Input!O9</f>
        <v>900;2100</v>
      </c>
      <c r="R9" s="207" t="str">
        <f>Input!P9</f>
        <v>36/36/36;36/36/36</v>
      </c>
      <c r="S9" s="364" t="b">
        <f>Input!Q9</f>
        <v>1</v>
      </c>
      <c r="T9" s="207" t="str">
        <f>Input!R9</f>
        <v>A03943101019TG05</v>
      </c>
      <c r="U9" s="207">
        <f>Input!S9</f>
        <v>0</v>
      </c>
      <c r="V9" s="207" t="str">
        <f>Input!T9</f>
        <v>VCC1</v>
      </c>
      <c r="W9" s="207" t="str">
        <f>Input!U9</f>
        <v>1902263/19/TG/TT1</v>
      </c>
      <c r="X9" s="209" t="str">
        <f>TEXT(Input!V9,"dd/mm/yyyy")</f>
        <v>10/10/2019</v>
      </c>
      <c r="Y9" s="207" t="b">
        <f>Input!W9</f>
        <v>1</v>
      </c>
      <c r="Z9" s="364" t="b">
        <f>Input!X9</f>
        <v>1</v>
      </c>
      <c r="AA9" s="207">
        <f t="shared" si="1"/>
        <v>36</v>
      </c>
      <c r="AB9" s="364" t="b">
        <f>Input!Y9</f>
        <v>0</v>
      </c>
      <c r="AC9" s="207">
        <f>VALUE(Input!Z9)</f>
        <v>0</v>
      </c>
      <c r="AD9" s="207" t="b">
        <f>Input!AA9</f>
        <v>0</v>
      </c>
      <c r="AE9" s="207" t="str">
        <f>Input!AB9</f>
        <v>Ứng Văn Nguyện</v>
      </c>
      <c r="AF9" s="207" t="str">
        <f>Input!AC9</f>
        <v>Nguyễn Đức Nam</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thành phố Hải Phòng</v>
      </c>
      <c r="AQ9" s="448" t="str">
        <f t="shared" si="4"/>
        <v>huyện Thủy Nguyên</v>
      </c>
      <c r="AR9" s="448" t="str">
        <f t="shared" si="5"/>
        <v>xã Dương Quan</v>
      </c>
      <c r="AS9" s="449" t="str">
        <f>INDEX(CityIDList,MATCH(F9,CityNameList,0))</f>
        <v>HPG</v>
      </c>
      <c r="AT9" s="208" t="str">
        <f>IF(J9&gt;=1,INDEX(OperatorNameList,MATCH(AZ9,OperatorIDList,0)),"")</f>
        <v>CÔNG TY CỔ PHẦN VIỄN THÔNG DI ĐỘNG VIETNAMOBILE</v>
      </c>
      <c r="AU9" s="208" t="str">
        <f>IF(J9&gt;=2,INDEX(OperatorNameList,MATCH(BA9,OperatorIDList,0)),"")</f>
        <v>CÔNG TY CỔ PHẦN VIỄN THÔNG DI ĐỘNG VIETNAMOBILE</v>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v>VNMOBILE</v>
      </c>
      <c r="BB9" s="208" t="str">
        <f t="shared" si="8"/>
      </c>
      <c r="BC9" s="208" t="str">
        <f t="shared" si="9"/>
      </c>
      <c r="BD9" s="208" t="str">
        <f t="shared" si="10"/>
      </c>
      <c r="BE9" s="208" t="str">
        <f t="shared" si="11"/>
      </c>
      <c r="BF9" s="208" t="str">
        <f>Input!I9</f>
        <v>VNMOBILE;VNMOBILE</v>
      </c>
      <c r="BG9" s="208" t="str">
        <f t="shared" si="12"/>
        <v>128142</v>
      </c>
      <c r="BH9" s="208" t="str">
        <f t="shared" si="13"/>
        <v>128142</v>
      </c>
      <c r="BI9" s="208" t="str">
        <f t="shared" si="14"/>
      </c>
      <c r="BJ9" s="208" t="str">
        <f t="shared" si="15"/>
      </c>
      <c r="BK9" s="208" t="str">
        <f t="shared" si="16"/>
      </c>
      <c r="BL9" s="208" t="str">
        <f t="shared" si="17"/>
      </c>
      <c r="BM9" s="208" t="str">
        <f t="shared" si="18"/>
        <v>ERICSSON RBS 6320</v>
      </c>
      <c r="BN9" s="208" t="str">
        <f t="shared" si="19"/>
        <v>ERICSSON RBS 6320</v>
      </c>
      <c r="BO9" s="208" t="str">
        <f t="shared" si="20"/>
      </c>
      <c r="BP9" s="208" t="str">
        <f t="shared" si="21"/>
      </c>
      <c r="BQ9" s="208" t="str">
        <f t="shared" si="22"/>
      </c>
      <c r="BR9" s="208" t="str">
        <f t="shared" si="23"/>
      </c>
      <c r="BS9" s="208">
        <f t="shared" si="24"/>
        <v>3</v>
      </c>
      <c r="BT9" s="208">
        <f t="shared" si="25"/>
        <v>3</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v>1/1/1   </v>
      </c>
      <c r="CG9" s="208">
        <f t="shared" si="38"/>
        <v>1</v>
      </c>
      <c r="CH9" s="208">
        <f t="shared" si="39"/>
        <v>1</v>
      </c>
      <c r="CI9" s="208">
        <f t="shared" si="40"/>
        <v>1</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v>80/80/80  </v>
      </c>
      <c r="DY9" s="208">
        <f t="shared" si="82"/>
        <v>80</v>
      </c>
      <c r="DZ9" s="208">
        <f t="shared" si="83"/>
        <v>80</v>
      </c>
      <c r="EA9" s="208">
        <f t="shared" si="84"/>
        <v>80</v>
      </c>
      <c r="EB9" s="208">
        <f t="shared" si="85"/>
        <v>0</v>
      </c>
      <c r="EC9" s="208">
        <f t="shared" si="86"/>
        <v>0</v>
      </c>
      <c r="ED9" s="208">
        <f t="shared" si="87"/>
        <v>0</v>
      </c>
      <c r="EE9" s="208" t="str">
        <f t="shared" si="88"/>
        <v>80W/ 80W/ 80W</v>
      </c>
      <c r="EF9" s="208">
        <f t="shared" si="89"/>
        <v>80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900</v>
      </c>
      <c r="FS9" s="208" t="str">
        <f t="shared" si="128"/>
        <v>2100</v>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v>36/36/36</v>
      </c>
      <c r="GG9" s="208">
        <f t="shared" si="142"/>
        <v>36</v>
      </c>
      <c r="GH9" s="208">
        <f t="shared" si="143"/>
        <v>36</v>
      </c>
      <c r="GI9" s="208">
        <f t="shared" si="144"/>
        <v>36</v>
      </c>
      <c r="GJ9" s="208">
        <f t="shared" si="145"/>
        <v>0</v>
      </c>
      <c r="GK9" s="208">
        <f t="shared" si="146"/>
        <v>0</v>
      </c>
      <c r="GL9" s="208">
        <f t="shared" si="147"/>
        <v>0</v>
      </c>
      <c r="GM9" s="208" t="str">
        <f t="shared" si="148"/>
        <v>36m/ 36m/ 36m</v>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36</v>
      </c>
      <c r="HW9" s="208">
        <f t="shared" si="183"/>
        <v>0</v>
      </c>
      <c r="HX9" s="208">
        <f t="shared" si="184"/>
        <v>0</v>
      </c>
      <c r="HY9" s="208">
        <f t="shared" si="185"/>
        <v>0</v>
      </c>
      <c r="HZ9" s="208">
        <f t="shared" si="186"/>
        <v>0</v>
      </c>
      <c r="IA9" s="207">
        <f t="shared" si="187"/>
        <v>36</v>
      </c>
      <c r="IB9" s="207">
        <f t="shared" si="188"/>
        <v>36</v>
      </c>
      <c r="IC9" s="343" t="str">
        <f t="shared" si="189"/>
        <v>A</v>
      </c>
      <c r="ID9" s="343" t="str">
        <f t="shared" si="190"/>
        <v>03943</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128146</v>
      </c>
      <c r="E10" s="317" t="str">
        <f>Input!C10</f>
        <v>Thôn Trại, xã Thủy Đường, huyện Thủy Nguyên, thành phố Hải Phòng</v>
      </c>
      <c r="F10" s="207" t="str">
        <f>Input!D10</f>
        <v>Hải Phòng</v>
      </c>
      <c r="G10" s="207">
        <f>Input!E10</f>
        <v>106.691803</v>
      </c>
      <c r="H10" s="207">
        <f>Input!F10</f>
        <v>20.92746</v>
      </c>
      <c r="I10" s="207">
        <f>Input!G10</f>
        <v>1</v>
      </c>
      <c r="J10" s="207">
        <f>Input!H10</f>
        <v>2</v>
      </c>
      <c r="K10" s="207" t="str">
        <f t="shared" si="0"/>
        <v>CÔNG TY CỔ PHẦN VIỄN THÔNG DI ĐỘNG VIETNAMOBILE;CÔNG TY CỔ PHẦN VIỄN THÔNG DI ĐỘNG VIETNAMOBILE</v>
      </c>
      <c r="L10" s="207" t="str">
        <f>Input!J10</f>
        <v>128146;128146</v>
      </c>
      <c r="M10" s="207" t="str">
        <f>Input!K10</f>
        <v>ERICSSON RBS 6320;ERICSSON RBS 6320</v>
      </c>
      <c r="N10" s="207" t="str">
        <f>Input!L10</f>
        <v>3;3</v>
      </c>
      <c r="O10" s="207" t="str">
        <f>Input!M10</f>
        <v>1/1/1   ;1/1/1   </v>
      </c>
      <c r="P10" s="207" t="str">
        <f>Input!N10</f>
        <v>80/80/80  ;80/80/80  </v>
      </c>
      <c r="Q10" s="207" t="str">
        <f>Input!O10</f>
        <v>900;2100</v>
      </c>
      <c r="R10" s="207" t="str">
        <f>Input!P10</f>
        <v>28/28/28;29/29/29</v>
      </c>
      <c r="S10" s="364" t="b">
        <f>Input!Q10</f>
        <v>1</v>
      </c>
      <c r="T10" s="207" t="str">
        <f>Input!R10</f>
        <v>A03944101019TG05</v>
      </c>
      <c r="U10" s="207">
        <f>Input!S10</f>
        <v>0</v>
      </c>
      <c r="V10" s="207" t="str">
        <f>Input!T10</f>
        <v>VCC1</v>
      </c>
      <c r="W10" s="207" t="str">
        <f>Input!U10</f>
        <v>1902265/19/TG/TT1</v>
      </c>
      <c r="X10" s="209" t="str">
        <f>TEXT(Input!V10,"dd/mm/yyyy")</f>
        <v>10/10/2019</v>
      </c>
      <c r="Y10" s="207" t="b">
        <f>Input!W10</f>
        <v>0</v>
      </c>
      <c r="Z10" s="364" t="b">
        <f>Input!X10</f>
        <v>0</v>
      </c>
      <c r="AA10" s="207">
        <f t="shared" si="1"/>
        <v>28</v>
      </c>
      <c r="AB10" s="364" t="b">
        <f>Input!Y10</f>
        <v>1</v>
      </c>
      <c r="AC10" s="207">
        <f>VALUE(Input!Z10)</f>
        <v>14</v>
      </c>
      <c r="AD10" s="207" t="b">
        <f>Input!AA10</f>
        <v>0</v>
      </c>
      <c r="AE10" s="207" t="str">
        <f>Input!AB10</f>
        <v>Ứng Văn Nguyện</v>
      </c>
      <c r="AF10" s="207" t="str">
        <f>Input!AC10</f>
        <v>Nguyễn Đức Nam</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thành phố Hải Phòng</v>
      </c>
      <c r="AQ10" s="448" t="str">
        <f t="shared" si="4"/>
        <v>huyện Thủy Nguyên</v>
      </c>
      <c r="AR10" s="448" t="str">
        <f t="shared" si="5"/>
        <v>xã Thủy Đường</v>
      </c>
      <c r="AS10" s="449" t="str">
        <f>INDEX(CityIDList,MATCH(F10,CityNameList,0))</f>
        <v>HPG</v>
      </c>
      <c r="AT10" s="208" t="str">
        <f>IF(J10&gt;=1,INDEX(OperatorNameList,MATCH(AZ10,OperatorIDList,0)),"")</f>
        <v>CÔNG TY CỔ PHẦN VIỄN THÔNG DI ĐỘNG VIETNAMOBILE</v>
      </c>
      <c r="AU10" s="208" t="str">
        <f>IF(J10&gt;=2,INDEX(OperatorNameList,MATCH(BA10,OperatorIDList,0)),"")</f>
        <v>CÔNG TY CỔ PHẦN VIỄN THÔNG DI ĐỘNG VIETNAMOBILE</v>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v>VNMOBILE</v>
      </c>
      <c r="BB10" s="208" t="str">
        <f t="shared" si="8"/>
      </c>
      <c r="BC10" s="208" t="str">
        <f t="shared" si="9"/>
      </c>
      <c r="BD10" s="208" t="str">
        <f t="shared" si="10"/>
      </c>
      <c r="BE10" s="208" t="str">
        <f t="shared" si="11"/>
      </c>
      <c r="BF10" s="208" t="str">
        <f>Input!I10</f>
        <v>VNMOBILE;VNMOBILE</v>
      </c>
      <c r="BG10" s="208" t="str">
        <f t="shared" si="12"/>
        <v>128146</v>
      </c>
      <c r="BH10" s="208" t="str">
        <f t="shared" si="13"/>
        <v>128146</v>
      </c>
      <c r="BI10" s="208" t="str">
        <f t="shared" si="14"/>
      </c>
      <c r="BJ10" s="208" t="str">
        <f t="shared" si="15"/>
      </c>
      <c r="BK10" s="208" t="str">
        <f t="shared" si="16"/>
      </c>
      <c r="BL10" s="208" t="str">
        <f t="shared" si="17"/>
      </c>
      <c r="BM10" s="208" t="str">
        <f t="shared" si="18"/>
        <v>ERICSSON RBS 6320</v>
      </c>
      <c r="BN10" s="208" t="str">
        <f t="shared" si="19"/>
        <v>ERICSSON RBS 6320</v>
      </c>
      <c r="BO10" s="208" t="str">
        <f t="shared" si="20"/>
      </c>
      <c r="BP10" s="208" t="str">
        <f t="shared" si="21"/>
      </c>
      <c r="BQ10" s="208" t="str">
        <f t="shared" si="22"/>
      </c>
      <c r="BR10" s="208" t="str">
        <f t="shared" si="23"/>
      </c>
      <c r="BS10" s="208">
        <f t="shared" si="24"/>
        <v>3</v>
      </c>
      <c r="BT10" s="208">
        <f t="shared" si="25"/>
        <v>3</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v>1/1/1   </v>
      </c>
      <c r="CG10" s="208">
        <f t="shared" si="38"/>
        <v>1</v>
      </c>
      <c r="CH10" s="208">
        <f t="shared" si="39"/>
        <v>1</v>
      </c>
      <c r="CI10" s="208">
        <f t="shared" si="40"/>
        <v>1</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v>80/80/80  </v>
      </c>
      <c r="DY10" s="208">
        <f t="shared" si="82"/>
        <v>80</v>
      </c>
      <c r="DZ10" s="208">
        <f t="shared" si="83"/>
        <v>80</v>
      </c>
      <c r="EA10" s="208">
        <f t="shared" si="84"/>
        <v>80</v>
      </c>
      <c r="EB10" s="208">
        <f t="shared" si="85"/>
        <v>0</v>
      </c>
      <c r="EC10" s="208">
        <f t="shared" si="86"/>
        <v>0</v>
      </c>
      <c r="ED10" s="208">
        <f t="shared" si="87"/>
        <v>0</v>
      </c>
      <c r="EE10" s="208" t="str">
        <f t="shared" si="88"/>
        <v>80W/ 80W/ 80W</v>
      </c>
      <c r="EF10" s="208">
        <f t="shared" si="89"/>
        <v>80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900</v>
      </c>
      <c r="FS10" s="208" t="str">
        <f t="shared" si="128"/>
        <v>2100</v>
      </c>
      <c r="FT10" s="208" t="str">
        <f t="shared" si="129"/>
      </c>
      <c r="FU10" s="208" t="str">
        <f t="shared" si="130"/>
      </c>
      <c r="FV10" s="208" t="str">
        <f t="shared" si="131"/>
      </c>
      <c r="FW10" s="208" t="str">
        <f t="shared" si="132"/>
      </c>
      <c r="FX10" s="208" t="str">
        <f t="shared" si="133"/>
        <v>28/28/28</v>
      </c>
      <c r="FY10" s="208">
        <f t="shared" si="134"/>
        <v>28</v>
      </c>
      <c r="FZ10" s="208">
        <f t="shared" si="135"/>
        <v>28</v>
      </c>
      <c r="GA10" s="208">
        <f t="shared" si="136"/>
        <v>28</v>
      </c>
      <c r="GB10" s="208">
        <f t="shared" si="137"/>
        <v>0</v>
      </c>
      <c r="GC10" s="208">
        <f t="shared" si="138"/>
        <v>0</v>
      </c>
      <c r="GD10" s="208">
        <f t="shared" si="139"/>
        <v>0</v>
      </c>
      <c r="GE10" s="208" t="str">
        <f t="shared" si="140"/>
        <v>28m/ 28m/ 28m</v>
      </c>
      <c r="GF10" s="208" t="str">
        <f t="shared" si="141"/>
        <v>29/29/29</v>
      </c>
      <c r="GG10" s="208">
        <f t="shared" si="142"/>
        <v>29</v>
      </c>
      <c r="GH10" s="208">
        <f t="shared" si="143"/>
        <v>29</v>
      </c>
      <c r="GI10" s="208">
        <f t="shared" si="144"/>
        <v>29</v>
      </c>
      <c r="GJ10" s="208">
        <f t="shared" si="145"/>
        <v>0</v>
      </c>
      <c r="GK10" s="208">
        <f t="shared" si="146"/>
        <v>0</v>
      </c>
      <c r="GL10" s="208">
        <f t="shared" si="147"/>
        <v>0</v>
      </c>
      <c r="GM10" s="208" t="str">
        <f t="shared" si="148"/>
        <v>29m/ 29m/ 29m</v>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28</v>
      </c>
      <c r="HV10" s="208">
        <f t="shared" si="182"/>
        <v>29</v>
      </c>
      <c r="HW10" s="208">
        <f t="shared" si="183"/>
        <v>0</v>
      </c>
      <c r="HX10" s="208">
        <f t="shared" si="184"/>
        <v>0</v>
      </c>
      <c r="HY10" s="208">
        <f t="shared" si="185"/>
        <v>0</v>
      </c>
      <c r="HZ10" s="208">
        <f t="shared" si="186"/>
        <v>0</v>
      </c>
      <c r="IA10" s="207">
        <f t="shared" si="187"/>
        <v>28</v>
      </c>
      <c r="IB10" s="207">
        <f t="shared" si="188"/>
        <v>14</v>
      </c>
      <c r="IC10" s="343" t="str">
        <f t="shared" si="189"/>
        <v>A</v>
      </c>
      <c r="ID10" s="343" t="str">
        <f t="shared" si="190"/>
        <v>03944</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128068</v>
      </c>
      <c r="E11" s="317" t="str">
        <f>Input!C11</f>
        <v>Xóm 7, thôn Tuy Lạc, xã Thủy Triều, huyện Thủy Nguyên, thành phố Hải Phòng</v>
      </c>
      <c r="F11" s="207" t="str">
        <f>Input!D11</f>
        <v>Hải Phòng</v>
      </c>
      <c r="G11" s="207">
        <f>Input!E11</f>
        <v>106.70757</v>
      </c>
      <c r="H11" s="207">
        <f>Input!F11</f>
        <v>20.92783</v>
      </c>
      <c r="I11" s="207">
        <f>Input!G11</f>
        <v>1</v>
      </c>
      <c r="J11" s="207">
        <f>Input!H11</f>
        <v>2</v>
      </c>
      <c r="K11" s="207" t="str">
        <f t="shared" si="0"/>
        <v>CÔNG TY CỔ PHẦN VIỄN THÔNG DI ĐỘNG VIETNAMOBILE;CÔNG TY CỔ PHẦN VIỄN THÔNG DI ĐỘNG VIETNAMOBILE</v>
      </c>
      <c r="L11" s="207" t="str">
        <f>Input!J11</f>
        <v>128068;128068</v>
      </c>
      <c r="M11" s="207" t="str">
        <f>Input!K11</f>
        <v>ERICSSON RBS 6320;ERICSSON RBS 6320</v>
      </c>
      <c r="N11" s="207" t="str">
        <f>Input!L11</f>
        <v>3;3</v>
      </c>
      <c r="O11" s="207" t="str">
        <f>Input!M11</f>
        <v>1/1/1   ;1/1/1   </v>
      </c>
      <c r="P11" s="207" t="str">
        <f>Input!N11</f>
        <v>80/80/80  ;80/80/80  </v>
      </c>
      <c r="Q11" s="207" t="str">
        <f>Input!O11</f>
        <v>900;2100</v>
      </c>
      <c r="R11" s="207" t="str">
        <f>Input!P11</f>
        <v>40/40/40;36/36/36</v>
      </c>
      <c r="S11" s="364" t="b">
        <f>Input!Q11</f>
        <v>1</v>
      </c>
      <c r="T11" s="207" t="str">
        <f>Input!R11</f>
        <v>A03945101019TG05</v>
      </c>
      <c r="U11" s="207">
        <f>Input!S11</f>
        <v>0</v>
      </c>
      <c r="V11" s="207" t="str">
        <f>Input!T11</f>
        <v>VCC1</v>
      </c>
      <c r="W11" s="207" t="str">
        <f>Input!U11</f>
        <v>1902245/19/TG/TT1</v>
      </c>
      <c r="X11" s="209" t="str">
        <f>TEXT(Input!V11,"dd/mm/yyyy")</f>
        <v>10/10/2019</v>
      </c>
      <c r="Y11" s="207" t="b">
        <f>Input!W11</f>
        <v>1</v>
      </c>
      <c r="Z11" s="364" t="b">
        <f>Input!X11</f>
        <v>1</v>
      </c>
      <c r="AA11" s="207">
        <f t="shared" si="1"/>
        <v>36</v>
      </c>
      <c r="AB11" s="364" t="b">
        <f>Input!Y11</f>
        <v>1</v>
      </c>
      <c r="AC11" s="207">
        <f>VALUE(Input!Z11)</f>
        <v>8</v>
      </c>
      <c r="AD11" s="207" t="b">
        <f>Input!AA11</f>
        <v>0</v>
      </c>
      <c r="AE11" s="207" t="str">
        <f>Input!AB11</f>
        <v>Ứng Văn Nguyện</v>
      </c>
      <c r="AF11" s="207" t="str">
        <f>Input!AC11</f>
        <v>Nguyễn Đức Nam</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4</v>
      </c>
      <c r="AP11" s="287" t="str">
        <f t="shared" si="3"/>
        <v>thành phố Hải Phòng</v>
      </c>
      <c r="AQ11" s="448" t="str">
        <f t="shared" si="4"/>
        <v>huyện Thủy Nguyên</v>
      </c>
      <c r="AR11" s="448" t="str">
        <f t="shared" si="5"/>
        <v>xã Thủy Triều</v>
      </c>
      <c r="AS11" s="449" t="str">
        <f>INDEX(CityIDList,MATCH(F11,CityNameList,0))</f>
        <v>HPG</v>
      </c>
      <c r="AT11" s="208" t="str">
        <f>IF(J11&gt;=1,INDEX(OperatorNameList,MATCH(AZ11,OperatorIDList,0)),"")</f>
        <v>CÔNG TY CỔ PHẦN VIỄN THÔNG DI ĐỘNG VIETNAMOBILE</v>
      </c>
      <c r="AU11" s="208" t="str">
        <f>IF(J11&gt;=2,INDEX(OperatorNameList,MATCH(BA11,OperatorIDList,0)),"")</f>
        <v>CÔNG TY CỔ PHẦN VIỄN THÔNG DI ĐỘNG VIETNAMOBILE</v>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v>VNMOBILE</v>
      </c>
      <c r="BB11" s="208" t="str">
        <f t="shared" si="8"/>
      </c>
      <c r="BC11" s="208" t="str">
        <f t="shared" si="9"/>
      </c>
      <c r="BD11" s="208" t="str">
        <f t="shared" si="10"/>
      </c>
      <c r="BE11" s="208" t="str">
        <f t="shared" si="11"/>
      </c>
      <c r="BF11" s="208" t="str">
        <f>Input!I11</f>
        <v>VNMOBILE;VNMOBILE</v>
      </c>
      <c r="BG11" s="208" t="str">
        <f t="shared" si="12"/>
        <v>128068</v>
      </c>
      <c r="BH11" s="208" t="str">
        <f t="shared" si="13"/>
        <v>128068</v>
      </c>
      <c r="BI11" s="208" t="str">
        <f t="shared" si="14"/>
      </c>
      <c r="BJ11" s="208" t="str">
        <f t="shared" si="15"/>
      </c>
      <c r="BK11" s="208" t="str">
        <f t="shared" si="16"/>
      </c>
      <c r="BL11" s="208" t="str">
        <f t="shared" si="17"/>
      </c>
      <c r="BM11" s="208" t="str">
        <f t="shared" si="18"/>
        <v>ERICSSON RBS 6320</v>
      </c>
      <c r="BN11" s="208" t="str">
        <f t="shared" si="19"/>
        <v>ERICSSON RBS 6320</v>
      </c>
      <c r="BO11" s="208" t="str">
        <f t="shared" si="20"/>
      </c>
      <c r="BP11" s="208" t="str">
        <f t="shared" si="21"/>
      </c>
      <c r="BQ11" s="208" t="str">
        <f t="shared" si="22"/>
      </c>
      <c r="BR11" s="208" t="str">
        <f t="shared" si="23"/>
      </c>
      <c r="BS11" s="208">
        <f t="shared" si="24"/>
        <v>3</v>
      </c>
      <c r="BT11" s="208">
        <f t="shared" si="25"/>
        <v>3</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v>1/1/1   </v>
      </c>
      <c r="CG11" s="208">
        <f t="shared" si="38"/>
        <v>1</v>
      </c>
      <c r="CH11" s="208">
        <f t="shared" si="39"/>
        <v>1</v>
      </c>
      <c r="CI11" s="208">
        <f t="shared" si="40"/>
        <v>1</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v>80/80/80  </v>
      </c>
      <c r="DY11" s="208">
        <f t="shared" si="82"/>
        <v>80</v>
      </c>
      <c r="DZ11" s="208">
        <f t="shared" si="83"/>
        <v>80</v>
      </c>
      <c r="EA11" s="208">
        <f t="shared" si="84"/>
        <v>80</v>
      </c>
      <c r="EB11" s="208">
        <f t="shared" si="85"/>
        <v>0</v>
      </c>
      <c r="EC11" s="208">
        <f t="shared" si="86"/>
        <v>0</v>
      </c>
      <c r="ED11" s="208">
        <f t="shared" si="87"/>
        <v>0</v>
      </c>
      <c r="EE11" s="208" t="str">
        <f t="shared" si="88"/>
        <v>80W/ 80W/ 80W</v>
      </c>
      <c r="EF11" s="208">
        <f t="shared" si="89"/>
        <v>80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900</v>
      </c>
      <c r="FS11" s="208" t="str">
        <f t="shared" si="128"/>
        <v>2100</v>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v>36/36/36</v>
      </c>
      <c r="GG11" s="208">
        <f t="shared" si="142"/>
        <v>36</v>
      </c>
      <c r="GH11" s="208">
        <f t="shared" si="143"/>
        <v>36</v>
      </c>
      <c r="GI11" s="208">
        <f t="shared" si="144"/>
        <v>36</v>
      </c>
      <c r="GJ11" s="208">
        <f t="shared" si="145"/>
        <v>0</v>
      </c>
      <c r="GK11" s="208">
        <f t="shared" si="146"/>
        <v>0</v>
      </c>
      <c r="GL11" s="208">
        <f t="shared" si="147"/>
        <v>0</v>
      </c>
      <c r="GM11" s="208" t="str">
        <f t="shared" si="148"/>
        <v>36m/ 36m/ 36m</v>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36</v>
      </c>
      <c r="HW11" s="208">
        <f t="shared" si="183"/>
        <v>0</v>
      </c>
      <c r="HX11" s="208">
        <f t="shared" si="184"/>
        <v>0</v>
      </c>
      <c r="HY11" s="208">
        <f t="shared" si="185"/>
        <v>0</v>
      </c>
      <c r="HZ11" s="208">
        <f t="shared" si="186"/>
        <v>0</v>
      </c>
      <c r="IA11" s="207">
        <f t="shared" si="187"/>
        <v>36</v>
      </c>
      <c r="IB11" s="207">
        <f t="shared" si="188"/>
        <v>28</v>
      </c>
      <c r="IC11" s="343" t="str">
        <f t="shared" si="189"/>
        <v>A</v>
      </c>
      <c r="ID11" s="343" t="str">
        <f t="shared" si="190"/>
        <v>03945</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128045</v>
      </c>
      <c r="E12" s="317" t="str">
        <f>Input!C12</f>
        <v>Thôn Nam, xã Phục Lễ, huyện Thủy Nguyên, thành phố Hải Phòng</v>
      </c>
      <c r="F12" s="207" t="str">
        <f>Input!D12</f>
        <v>Hải Phòng</v>
      </c>
      <c r="G12" s="207">
        <f>Input!E12</f>
        <v>106.742752</v>
      </c>
      <c r="H12" s="207">
        <f>Input!F12</f>
        <v>20.923122</v>
      </c>
      <c r="I12" s="207">
        <f>Input!G12</f>
        <v>1</v>
      </c>
      <c r="J12" s="207">
        <f>Input!H12</f>
        <v>2</v>
      </c>
      <c r="K12" s="207" t="str">
        <f t="shared" si="0"/>
        <v>CÔNG TY CỔ PHẦN VIỄN THÔNG DI ĐỘNG VIETNAMOBILE;CÔNG TY CỔ PHẦN VIỄN THÔNG DI ĐỘNG VIETNAMOBILE</v>
      </c>
      <c r="L12" s="207" t="str">
        <f>Input!J12</f>
        <v>128045;128045</v>
      </c>
      <c r="M12" s="207" t="str">
        <f>Input!K12</f>
        <v>ERICSSON RBS 6601;ERICSSON RBS 6601</v>
      </c>
      <c r="N12" s="207" t="str">
        <f>Input!L12</f>
        <v>3;3</v>
      </c>
      <c r="O12" s="207" t="str">
        <f>Input!M12</f>
        <v>1/1/1   ;1/1/1   </v>
      </c>
      <c r="P12" s="207" t="str">
        <f>Input!N12</f>
        <v>80/80/80  ;80/80/80  </v>
      </c>
      <c r="Q12" s="207" t="str">
        <f>Input!O12</f>
        <v>900;2100</v>
      </c>
      <c r="R12" s="207" t="str">
        <f>Input!P12</f>
        <v>20/20/20;23/23/23</v>
      </c>
      <c r="S12" s="364" t="b">
        <f>Input!Q12</f>
        <v>1</v>
      </c>
      <c r="T12" s="207" t="str">
        <f>Input!R12</f>
        <v>A03946101019TG05</v>
      </c>
      <c r="U12" s="207">
        <f>Input!S12</f>
        <v>0</v>
      </c>
      <c r="V12" s="207" t="str">
        <f>Input!T12</f>
        <v>VCC1</v>
      </c>
      <c r="W12" s="207" t="str">
        <f>Input!U12</f>
        <v>1902238/19/TG/TT1</v>
      </c>
      <c r="X12" s="209" t="str">
        <f>TEXT(Input!V12,"dd/mm/yyyy")</f>
        <v>10/10/2019</v>
      </c>
      <c r="Y12" s="207" t="b">
        <f>Input!W12</f>
        <v>0</v>
      </c>
      <c r="Z12" s="364" t="b">
        <f>Input!X12</f>
        <v>0</v>
      </c>
      <c r="AA12" s="207">
        <f t="shared" si="1"/>
        <v>20</v>
      </c>
      <c r="AB12" s="364" t="b">
        <f>Input!Y12</f>
        <v>1</v>
      </c>
      <c r="AC12" s="207">
        <f>VALUE(Input!Z12)</f>
        <v>10</v>
      </c>
      <c r="AD12" s="207" t="b">
        <f>Input!AA12</f>
        <v>0</v>
      </c>
      <c r="AE12" s="207" t="str">
        <f>Input!AB12</f>
        <v>Ứng Văn Nguyện</v>
      </c>
      <c r="AF12" s="207" t="str">
        <f>Input!AC12</f>
        <v>Nguyễn Đức Nam</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thành phố Hải Phòng</v>
      </c>
      <c r="AQ12" s="448" t="str">
        <f t="shared" si="4"/>
        <v>huyện Thủy Nguyên</v>
      </c>
      <c r="AR12" s="448" t="str">
        <f t="shared" si="5"/>
        <v>xã Phục Lễ</v>
      </c>
      <c r="AS12" s="449" t="str">
        <f>INDEX(CityIDList,MATCH(F12,CityNameList,0))</f>
        <v>HPG</v>
      </c>
      <c r="AT12" s="208" t="str">
        <f>IF(J12&gt;=1,INDEX(OperatorNameList,MATCH(AZ12,OperatorIDList,0)),"")</f>
        <v>CÔNG TY CỔ PHẦN VIỄN THÔNG DI ĐỘNG VIETNAMOBILE</v>
      </c>
      <c r="AU12" s="208" t="str">
        <f>IF(J12&gt;=2,INDEX(OperatorNameList,MATCH(BA12,OperatorIDList,0)),"")</f>
        <v>CÔNG TY CỔ PHẦN VIỄN THÔNG DI ĐỘNG VIETNAMOBILE</v>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v>VNMOBILE</v>
      </c>
      <c r="BB12" s="208" t="str">
        <f t="shared" si="8"/>
      </c>
      <c r="BC12" s="208" t="str">
        <f t="shared" si="9"/>
      </c>
      <c r="BD12" s="208" t="str">
        <f t="shared" si="10"/>
      </c>
      <c r="BE12" s="208" t="str">
        <f t="shared" si="11"/>
      </c>
      <c r="BF12" s="208" t="str">
        <f>Input!I12</f>
        <v>VNMOBILE;VNMOBILE</v>
      </c>
      <c r="BG12" s="208" t="str">
        <f t="shared" si="12"/>
        <v>128045</v>
      </c>
      <c r="BH12" s="208" t="str">
        <f t="shared" si="13"/>
        <v>128045</v>
      </c>
      <c r="BI12" s="208" t="str">
        <f t="shared" si="14"/>
      </c>
      <c r="BJ12" s="208" t="str">
        <f t="shared" si="15"/>
      </c>
      <c r="BK12" s="208" t="str">
        <f t="shared" si="16"/>
      </c>
      <c r="BL12" s="208" t="str">
        <f t="shared" si="17"/>
      </c>
      <c r="BM12" s="208" t="str">
        <f t="shared" si="18"/>
        <v>ERICSSON RBS 6601</v>
      </c>
      <c r="BN12" s="208" t="str">
        <f t="shared" si="19"/>
        <v>ERICSSON RBS 6601</v>
      </c>
      <c r="BO12" s="208" t="str">
        <f t="shared" si="20"/>
      </c>
      <c r="BP12" s="208" t="str">
        <f t="shared" si="21"/>
      </c>
      <c r="BQ12" s="208" t="str">
        <f t="shared" si="22"/>
      </c>
      <c r="BR12" s="208" t="str">
        <f t="shared" si="23"/>
      </c>
      <c r="BS12" s="208">
        <f t="shared" si="24"/>
        <v>3</v>
      </c>
      <c r="BT12" s="208">
        <f t="shared" si="25"/>
        <v>3</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v>1/1/1   </v>
      </c>
      <c r="CG12" s="208">
        <f t="shared" si="38"/>
        <v>1</v>
      </c>
      <c r="CH12" s="208">
        <f t="shared" si="39"/>
        <v>1</v>
      </c>
      <c r="CI12" s="208">
        <f t="shared" si="40"/>
        <v>1</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v>80/80/80  </v>
      </c>
      <c r="DY12" s="208">
        <f t="shared" si="82"/>
        <v>80</v>
      </c>
      <c r="DZ12" s="208">
        <f t="shared" si="83"/>
        <v>80</v>
      </c>
      <c r="EA12" s="208">
        <f t="shared" si="84"/>
        <v>80</v>
      </c>
      <c r="EB12" s="208">
        <f t="shared" si="85"/>
        <v>0</v>
      </c>
      <c r="EC12" s="208">
        <f t="shared" si="86"/>
        <v>0</v>
      </c>
      <c r="ED12" s="208">
        <f t="shared" si="87"/>
        <v>0</v>
      </c>
      <c r="EE12" s="208" t="str">
        <f t="shared" si="88"/>
        <v>80W/ 80W/ 80W</v>
      </c>
      <c r="EF12" s="208">
        <f t="shared" si="89"/>
        <v>80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900</v>
      </c>
      <c r="FS12" s="208" t="str">
        <f t="shared" si="128"/>
        <v>2100</v>
      </c>
      <c r="FT12" s="208" t="str">
        <f t="shared" si="129"/>
      </c>
      <c r="FU12" s="208" t="str">
        <f t="shared" si="130"/>
      </c>
      <c r="FV12" s="208" t="str">
        <f t="shared" si="131"/>
      </c>
      <c r="FW12" s="208" t="str">
        <f t="shared" si="132"/>
      </c>
      <c r="FX12" s="208" t="str">
        <f t="shared" si="133"/>
        <v>20/20/20</v>
      </c>
      <c r="FY12" s="208">
        <f t="shared" si="134"/>
        <v>20</v>
      </c>
      <c r="FZ12" s="208">
        <f t="shared" si="135"/>
        <v>20</v>
      </c>
      <c r="GA12" s="208">
        <f t="shared" si="136"/>
        <v>20</v>
      </c>
      <c r="GB12" s="208">
        <f t="shared" si="137"/>
        <v>0</v>
      </c>
      <c r="GC12" s="208">
        <f t="shared" si="138"/>
        <v>0</v>
      </c>
      <c r="GD12" s="208">
        <f t="shared" si="139"/>
        <v>0</v>
      </c>
      <c r="GE12" s="208" t="str">
        <f t="shared" si="140"/>
        <v>20m/ 20m/ 20m</v>
      </c>
      <c r="GF12" s="208" t="str">
        <f t="shared" si="141"/>
        <v>23/23/23</v>
      </c>
      <c r="GG12" s="208">
        <f t="shared" si="142"/>
        <v>23</v>
      </c>
      <c r="GH12" s="208">
        <f t="shared" si="143"/>
        <v>23</v>
      </c>
      <c r="GI12" s="208">
        <f t="shared" si="144"/>
        <v>23</v>
      </c>
      <c r="GJ12" s="208">
        <f t="shared" si="145"/>
        <v>0</v>
      </c>
      <c r="GK12" s="208">
        <f t="shared" si="146"/>
        <v>0</v>
      </c>
      <c r="GL12" s="208">
        <f t="shared" si="147"/>
        <v>0</v>
      </c>
      <c r="GM12" s="208" t="str">
        <f t="shared" si="148"/>
        <v>23m/ 23m/ 23m</v>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20</v>
      </c>
      <c r="HV12" s="208">
        <f t="shared" si="182"/>
        <v>23</v>
      </c>
      <c r="HW12" s="208">
        <f t="shared" si="183"/>
        <v>0</v>
      </c>
      <c r="HX12" s="208">
        <f t="shared" si="184"/>
        <v>0</v>
      </c>
      <c r="HY12" s="208">
        <f t="shared" si="185"/>
        <v>0</v>
      </c>
      <c r="HZ12" s="208">
        <f t="shared" si="186"/>
        <v>0</v>
      </c>
      <c r="IA12" s="207">
        <f t="shared" si="187"/>
        <v>20</v>
      </c>
      <c r="IB12" s="207">
        <f t="shared" si="188"/>
        <v>10</v>
      </c>
      <c r="IC12" s="343" t="str">
        <f t="shared" si="189"/>
        <v>A</v>
      </c>
      <c r="ID12" s="343" t="str">
        <f t="shared" si="190"/>
        <v>03946</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128156</v>
      </c>
      <c r="E13" s="317" t="str">
        <f>Input!C13</f>
        <v>Thôn My Sơn, xã Ngũ Lão, huyện Thủy Nguyên, thành phố Hải Phòng</v>
      </c>
      <c r="F13" s="207" t="str">
        <f>Input!D13</f>
        <v>Hải Phòng</v>
      </c>
      <c r="G13" s="207">
        <f>Input!E13</f>
        <v>106.731641</v>
      </c>
      <c r="H13" s="207">
        <f>Input!F13</f>
        <v>20.943714</v>
      </c>
      <c r="I13" s="207">
        <f>Input!G13</f>
        <v>1</v>
      </c>
      <c r="J13" s="207">
        <f>Input!H13</f>
        <v>2</v>
      </c>
      <c r="K13" s="207" t="str">
        <f t="shared" si="0"/>
        <v>CÔNG TY CỔ PHẦN VIỄN THÔNG DI ĐỘNG VIETNAMOBILE;CÔNG TY CỔ PHẦN VIỄN THÔNG DI ĐỘNG VIETNAMOBILE</v>
      </c>
      <c r="L13" s="207" t="str">
        <f>Input!J13</f>
        <v>128156;128156</v>
      </c>
      <c r="M13" s="207" t="str">
        <f>Input!K13</f>
        <v>ERICSSON RBS 6320;ERICSSON RBS 6320</v>
      </c>
      <c r="N13" s="207" t="str">
        <f>Input!L13</f>
        <v>3;3</v>
      </c>
      <c r="O13" s="207" t="str">
        <f>Input!M13</f>
        <v>1/1/1   ;1/1/1   </v>
      </c>
      <c r="P13" s="207" t="str">
        <f>Input!N13</f>
        <v>80/80/80  ;80/80/80  </v>
      </c>
      <c r="Q13" s="207" t="str">
        <f>Input!O13</f>
        <v>900;2100</v>
      </c>
      <c r="R13" s="207" t="str">
        <f>Input!P13</f>
        <v>36/36/36;36,5/36,5/36,5</v>
      </c>
      <c r="S13" s="364" t="b">
        <f>Input!Q13</f>
        <v>1</v>
      </c>
      <c r="T13" s="207" t="str">
        <f>Input!R13</f>
        <v>A03947101019TG05</v>
      </c>
      <c r="U13" s="207">
        <f>Input!S13</f>
        <v>0</v>
      </c>
      <c r="V13" s="207" t="str">
        <f>Input!T13</f>
        <v>VCC1</v>
      </c>
      <c r="W13" s="207" t="str">
        <f>Input!U13</f>
        <v>1902267/19/TG/TT1</v>
      </c>
      <c r="X13" s="209" t="str">
        <f>TEXT(Input!V13,"dd/mm/yyyy")</f>
        <v>10/10/2019</v>
      </c>
      <c r="Y13" s="207" t="b">
        <f>Input!W13</f>
        <v>1</v>
      </c>
      <c r="Z13" s="364" t="b">
        <f>Input!X13</f>
        <v>0</v>
      </c>
      <c r="AA13" s="207">
        <f t="shared" si="1"/>
        <v>36</v>
      </c>
      <c r="AB13" s="364" t="b">
        <f>Input!Y13</f>
        <v>1</v>
      </c>
      <c r="AC13" s="207">
        <f>VALUE(Input!Z13)</f>
        <v>10</v>
      </c>
      <c r="AD13" s="207" t="b">
        <f>Input!AA13</f>
        <v>0</v>
      </c>
      <c r="AE13" s="207" t="str">
        <f>Input!AB13</f>
        <v>Ứng Văn Nguyện</v>
      </c>
      <c r="AF13" s="207" t="str">
        <f>Input!AC13</f>
        <v>Nguyễn Đức Nam</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3</v>
      </c>
      <c r="AP13" s="287" t="str">
        <f t="shared" si="3"/>
        <v>thành phố Hải Phòng</v>
      </c>
      <c r="AQ13" s="448" t="str">
        <f t="shared" si="4"/>
        <v>huyện Thủy Nguyên</v>
      </c>
      <c r="AR13" s="448" t="str">
        <f t="shared" si="5"/>
        <v>xã Ngũ Lão</v>
      </c>
      <c r="AS13" s="449" t="str">
        <f>INDEX(CityIDList,MATCH(F13,CityNameList,0))</f>
        <v>HPG</v>
      </c>
      <c r="AT13" s="208" t="str">
        <f>IF(J13&gt;=1,INDEX(OperatorNameList,MATCH(AZ13,OperatorIDList,0)),"")</f>
        <v>CÔNG TY CỔ PHẦN VIỄN THÔNG DI ĐỘNG VIETNAMOBILE</v>
      </c>
      <c r="AU13" s="208" t="str">
        <f>IF(J13&gt;=2,INDEX(OperatorNameList,MATCH(BA13,OperatorIDList,0)),"")</f>
        <v>CÔNG TY CỔ PHẦN VIỄN THÔNG DI ĐỘNG VIETNAMOBILE</v>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v>VNMOBILE</v>
      </c>
      <c r="BB13" s="208" t="str">
        <f t="shared" si="8"/>
      </c>
      <c r="BC13" s="208" t="str">
        <f t="shared" si="9"/>
      </c>
      <c r="BD13" s="208" t="str">
        <f t="shared" si="10"/>
      </c>
      <c r="BE13" s="208" t="str">
        <f t="shared" si="11"/>
      </c>
      <c r="BF13" s="208" t="str">
        <f>Input!I13</f>
        <v>VNMOBILE;VNMOBILE</v>
      </c>
      <c r="BG13" s="208" t="str">
        <f t="shared" si="12"/>
        <v>128156</v>
      </c>
      <c r="BH13" s="208" t="str">
        <f t="shared" si="13"/>
        <v>128156</v>
      </c>
      <c r="BI13" s="208" t="str">
        <f t="shared" si="14"/>
      </c>
      <c r="BJ13" s="208" t="str">
        <f t="shared" si="15"/>
      </c>
      <c r="BK13" s="208" t="str">
        <f t="shared" si="16"/>
      </c>
      <c r="BL13" s="208" t="str">
        <f t="shared" si="17"/>
      </c>
      <c r="BM13" s="208" t="str">
        <f t="shared" si="18"/>
        <v>ERICSSON RBS 6320</v>
      </c>
      <c r="BN13" s="208" t="str">
        <f t="shared" si="19"/>
        <v>ERICSSON RBS 6320</v>
      </c>
      <c r="BO13" s="208" t="str">
        <f t="shared" si="20"/>
      </c>
      <c r="BP13" s="208" t="str">
        <f t="shared" si="21"/>
      </c>
      <c r="BQ13" s="208" t="str">
        <f t="shared" si="22"/>
      </c>
      <c r="BR13" s="208" t="str">
        <f t="shared" si="23"/>
      </c>
      <c r="BS13" s="208">
        <f t="shared" si="24"/>
        <v>3</v>
      </c>
      <c r="BT13" s="208">
        <f t="shared" si="25"/>
        <v>3</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v>1/1/1   </v>
      </c>
      <c r="CG13" s="208">
        <f t="shared" si="38"/>
        <v>1</v>
      </c>
      <c r="CH13" s="208">
        <f t="shared" si="39"/>
        <v>1</v>
      </c>
      <c r="CI13" s="208">
        <f t="shared" si="40"/>
        <v>1</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v>80/80/80  </v>
      </c>
      <c r="DY13" s="208">
        <f t="shared" si="82"/>
        <v>80</v>
      </c>
      <c r="DZ13" s="208">
        <f t="shared" si="83"/>
        <v>80</v>
      </c>
      <c r="EA13" s="208">
        <f t="shared" si="84"/>
        <v>80</v>
      </c>
      <c r="EB13" s="208">
        <f t="shared" si="85"/>
        <v>0</v>
      </c>
      <c r="EC13" s="208">
        <f t="shared" si="86"/>
        <v>0</v>
      </c>
      <c r="ED13" s="208">
        <f t="shared" si="87"/>
        <v>0</v>
      </c>
      <c r="EE13" s="208" t="str">
        <f t="shared" si="88"/>
        <v>80W/ 80W/ 80W</v>
      </c>
      <c r="EF13" s="208">
        <f t="shared" si="89"/>
        <v>80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900</v>
      </c>
      <c r="FS13" s="208" t="str">
        <f t="shared" si="128"/>
        <v>2100</v>
      </c>
      <c r="FT13" s="208" t="str">
        <f t="shared" si="129"/>
      </c>
      <c r="FU13" s="208" t="str">
        <f t="shared" si="130"/>
      </c>
      <c r="FV13" s="208" t="str">
        <f t="shared" si="131"/>
      </c>
      <c r="FW13" s="208" t="str">
        <f t="shared" si="132"/>
      </c>
      <c r="FX13" s="208" t="str">
        <f t="shared" si="133"/>
        <v>36/36/36</v>
      </c>
      <c r="FY13" s="208">
        <f t="shared" si="134"/>
        <v>36</v>
      </c>
      <c r="FZ13" s="208">
        <f t="shared" si="135"/>
        <v>36</v>
      </c>
      <c r="GA13" s="208">
        <f t="shared" si="136"/>
        <v>36</v>
      </c>
      <c r="GB13" s="208">
        <f t="shared" si="137"/>
        <v>0</v>
      </c>
      <c r="GC13" s="208">
        <f t="shared" si="138"/>
        <v>0</v>
      </c>
      <c r="GD13" s="208">
        <f t="shared" si="139"/>
        <v>0</v>
      </c>
      <c r="GE13" s="208" t="str">
        <f t="shared" si="140"/>
        <v>36m/ 36m/ 36m</v>
      </c>
      <c r="GF13" s="208" t="str">
        <f t="shared" si="141"/>
        <v>36,5/36,5/36,5</v>
      </c>
      <c r="GG13" s="208">
        <f t="shared" si="142"/>
        <v>36.5</v>
      </c>
      <c r="GH13" s="208">
        <f t="shared" si="143"/>
        <v>36.5</v>
      </c>
      <c r="GI13" s="208">
        <f t="shared" si="144"/>
        <v>36.5</v>
      </c>
      <c r="GJ13" s="208">
        <f t="shared" si="145"/>
        <v>0</v>
      </c>
      <c r="GK13" s="208">
        <f t="shared" si="146"/>
        <v>0</v>
      </c>
      <c r="GL13" s="208">
        <f t="shared" si="147"/>
        <v>0</v>
      </c>
      <c r="GM13" s="208" t="str">
        <f t="shared" si="148"/>
        <v>36,5m/ 36,5m/ 36,5m</v>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36</v>
      </c>
      <c r="HV13" s="208">
        <f t="shared" si="182"/>
        <v>36.5</v>
      </c>
      <c r="HW13" s="208">
        <f t="shared" si="183"/>
        <v>0</v>
      </c>
      <c r="HX13" s="208">
        <f t="shared" si="184"/>
        <v>0</v>
      </c>
      <c r="HY13" s="208">
        <f t="shared" si="185"/>
        <v>0</v>
      </c>
      <c r="HZ13" s="208">
        <f t="shared" si="186"/>
        <v>0</v>
      </c>
      <c r="IA13" s="207">
        <f t="shared" si="187"/>
        <v>36</v>
      </c>
      <c r="IB13" s="207">
        <f t="shared" si="188"/>
        <v>26</v>
      </c>
      <c r="IC13" s="343" t="str">
        <f t="shared" si="189"/>
        <v>A</v>
      </c>
      <c r="ID13" s="343" t="str">
        <f t="shared" si="190"/>
        <v>03947</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128120</v>
      </c>
      <c r="E14" s="317" t="str">
        <f>Input!C14</f>
        <v>Xóm 8, xã Hòa Bình, huyện Thủy Nguyên, thành phố Hải Phòng</v>
      </c>
      <c r="F14" s="207" t="str">
        <f>Input!D14</f>
        <v>Hải Phòng</v>
      </c>
      <c r="G14" s="207">
        <f>Input!E14</f>
        <v>106.67469</v>
      </c>
      <c r="H14" s="207">
        <f>Input!F14</f>
        <v>20.94173</v>
      </c>
      <c r="I14" s="207">
        <f>Input!G14</f>
        <v>1</v>
      </c>
      <c r="J14" s="207">
        <f>Input!H14</f>
        <v>2</v>
      </c>
      <c r="K14" s="207" t="str">
        <f t="shared" si="0"/>
        <v>CÔNG TY CỔ PHẦN VIỄN THÔNG DI ĐỘNG VIETNAMOBILE;CÔNG TY CỔ PHẦN VIỄN THÔNG DI ĐỘNG VIETNAMOBILE</v>
      </c>
      <c r="L14" s="207" t="str">
        <f>Input!J14</f>
        <v>128120;128120</v>
      </c>
      <c r="M14" s="207" t="str">
        <f>Input!K14</f>
        <v>ERICSSON RBS 6601;ERICSSON RBS 6601</v>
      </c>
      <c r="N14" s="207" t="str">
        <f>Input!L14</f>
        <v>3;3</v>
      </c>
      <c r="O14" s="207" t="str">
        <f>Input!M14</f>
        <v>1/1/1   ;1/1/1   </v>
      </c>
      <c r="P14" s="207" t="str">
        <f>Input!N14</f>
        <v>80/80/80  ;80/80/80  </v>
      </c>
      <c r="Q14" s="207" t="str">
        <f>Input!O14</f>
        <v>900;2100</v>
      </c>
      <c r="R14" s="207" t="str">
        <f>Input!P14</f>
        <v>25/25/25;25/25/25</v>
      </c>
      <c r="S14" s="364" t="b">
        <f>Input!Q14</f>
        <v>1</v>
      </c>
      <c r="T14" s="207" t="str">
        <f>Input!R14</f>
        <v>A03948101019TG05</v>
      </c>
      <c r="U14" s="207">
        <f>Input!S14</f>
        <v>0</v>
      </c>
      <c r="V14" s="207" t="str">
        <f>Input!T14</f>
        <v>VCC1</v>
      </c>
      <c r="W14" s="207" t="str">
        <f>Input!U14</f>
        <v>1902258/19/TG/TT1</v>
      </c>
      <c r="X14" s="209" t="str">
        <f>TEXT(Input!V14,"dd/mm/yyyy")</f>
        <v>10/10/2019</v>
      </c>
      <c r="Y14" s="207" t="b">
        <f>Input!W14</f>
        <v>0</v>
      </c>
      <c r="Z14" s="364" t="b">
        <f>Input!X14</f>
        <v>0</v>
      </c>
      <c r="AA14" s="207">
        <f t="shared" si="1"/>
        <v>25</v>
      </c>
      <c r="AB14" s="364" t="b">
        <f>Input!Y14</f>
        <v>1</v>
      </c>
      <c r="AC14" s="207">
        <f>VALUE(Input!Z14)</f>
        <v>10</v>
      </c>
      <c r="AD14" s="207" t="b">
        <f>Input!AA14</f>
        <v>0</v>
      </c>
      <c r="AE14" s="207" t="str">
        <f>Input!AB14</f>
        <v>Ứng Văn Nguyện</v>
      </c>
      <c r="AF14" s="207" t="str">
        <f>Input!AC14</f>
        <v>Nguyễn Đức Nam</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thành phố Hải Phòng</v>
      </c>
      <c r="AQ14" s="448" t="str">
        <f t="shared" si="4"/>
        <v>huyện Thủy Nguyên</v>
      </c>
      <c r="AR14" s="448" t="str">
        <f t="shared" si="5"/>
        <v>xã Hòa Bình</v>
      </c>
      <c r="AS14" s="449" t="str">
        <f>INDEX(CityIDList,MATCH(F14,CityNameList,0))</f>
        <v>HPG</v>
      </c>
      <c r="AT14" s="208" t="str">
        <f>IF(J14&gt;=1,INDEX(OperatorNameList,MATCH(AZ14,OperatorIDList,0)),"")</f>
        <v>CÔNG TY CỔ PHẦN VIỄN THÔNG DI ĐỘNG VIETNAMOBILE</v>
      </c>
      <c r="AU14" s="208" t="str">
        <f>IF(J14&gt;=2,INDEX(OperatorNameList,MATCH(BA14,OperatorIDList,0)),"")</f>
        <v>CÔNG TY CỔ PHẦN VIỄN THÔNG DI ĐỘNG VIETNAMOBILE</v>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v>VNMOBILE</v>
      </c>
      <c r="BB14" s="208" t="str">
        <f t="shared" si="8"/>
      </c>
      <c r="BC14" s="208" t="str">
        <f t="shared" si="9"/>
      </c>
      <c r="BD14" s="208" t="str">
        <f t="shared" si="10"/>
      </c>
      <c r="BE14" s="208" t="str">
        <f t="shared" si="11"/>
      </c>
      <c r="BF14" s="208" t="str">
        <f>Input!I14</f>
        <v>VNMOBILE;VNMOBILE</v>
      </c>
      <c r="BG14" s="208" t="str">
        <f t="shared" si="12"/>
        <v>128120</v>
      </c>
      <c r="BH14" s="208" t="str">
        <f t="shared" si="13"/>
        <v>128120</v>
      </c>
      <c r="BI14" s="208" t="str">
        <f t="shared" si="14"/>
      </c>
      <c r="BJ14" s="208" t="str">
        <f t="shared" si="15"/>
      </c>
      <c r="BK14" s="208" t="str">
        <f t="shared" si="16"/>
      </c>
      <c r="BL14" s="208" t="str">
        <f t="shared" si="17"/>
      </c>
      <c r="BM14" s="208" t="str">
        <f t="shared" si="18"/>
        <v>ERICSSON RBS 6601</v>
      </c>
      <c r="BN14" s="208" t="str">
        <f t="shared" si="19"/>
        <v>ERICSSON RBS 6601</v>
      </c>
      <c r="BO14" s="208" t="str">
        <f t="shared" si="20"/>
      </c>
      <c r="BP14" s="208" t="str">
        <f t="shared" si="21"/>
      </c>
      <c r="BQ14" s="208" t="str">
        <f t="shared" si="22"/>
      </c>
      <c r="BR14" s="208" t="str">
        <f t="shared" si="23"/>
      </c>
      <c r="BS14" s="208">
        <f t="shared" si="24"/>
        <v>3</v>
      </c>
      <c r="BT14" s="208">
        <f t="shared" si="25"/>
        <v>3</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v>1/1/1   </v>
      </c>
      <c r="CG14" s="208">
        <f t="shared" si="38"/>
        <v>1</v>
      </c>
      <c r="CH14" s="208">
        <f t="shared" si="39"/>
        <v>1</v>
      </c>
      <c r="CI14" s="208">
        <f t="shared" si="40"/>
        <v>1</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v>80/80/80  </v>
      </c>
      <c r="DY14" s="208">
        <f t="shared" si="82"/>
        <v>80</v>
      </c>
      <c r="DZ14" s="208">
        <f t="shared" si="83"/>
        <v>80</v>
      </c>
      <c r="EA14" s="208">
        <f t="shared" si="84"/>
        <v>80</v>
      </c>
      <c r="EB14" s="208">
        <f t="shared" si="85"/>
        <v>0</v>
      </c>
      <c r="EC14" s="208">
        <f t="shared" si="86"/>
        <v>0</v>
      </c>
      <c r="ED14" s="208">
        <f t="shared" si="87"/>
        <v>0</v>
      </c>
      <c r="EE14" s="208" t="str">
        <f t="shared" si="88"/>
        <v>80W/ 80W/ 80W</v>
      </c>
      <c r="EF14" s="208">
        <f t="shared" si="89"/>
        <v>80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900</v>
      </c>
      <c r="FS14" s="208" t="str">
        <f t="shared" si="128"/>
        <v>2100</v>
      </c>
      <c r="FT14" s="208" t="str">
        <f t="shared" si="129"/>
      </c>
      <c r="FU14" s="208" t="str">
        <f t="shared" si="130"/>
      </c>
      <c r="FV14" s="208" t="str">
        <f t="shared" si="131"/>
      </c>
      <c r="FW14" s="208" t="str">
        <f t="shared" si="132"/>
      </c>
      <c r="FX14" s="208" t="str">
        <f t="shared" si="133"/>
        <v>25/25/25</v>
      </c>
      <c r="FY14" s="208">
        <f t="shared" si="134"/>
        <v>25</v>
      </c>
      <c r="FZ14" s="208">
        <f t="shared" si="135"/>
        <v>25</v>
      </c>
      <c r="GA14" s="208">
        <f t="shared" si="136"/>
        <v>25</v>
      </c>
      <c r="GB14" s="208">
        <f t="shared" si="137"/>
        <v>0</v>
      </c>
      <c r="GC14" s="208">
        <f t="shared" si="138"/>
        <v>0</v>
      </c>
      <c r="GD14" s="208">
        <f t="shared" si="139"/>
        <v>0</v>
      </c>
      <c r="GE14" s="208" t="str">
        <f t="shared" si="140"/>
        <v>25m/ 25m/ 25m</v>
      </c>
      <c r="GF14" s="208" t="str">
        <f t="shared" si="141"/>
        <v>25/25/25</v>
      </c>
      <c r="GG14" s="208">
        <f t="shared" si="142"/>
        <v>25</v>
      </c>
      <c r="GH14" s="208">
        <f t="shared" si="143"/>
        <v>25</v>
      </c>
      <c r="GI14" s="208">
        <f t="shared" si="144"/>
        <v>25</v>
      </c>
      <c r="GJ14" s="208">
        <f t="shared" si="145"/>
        <v>0</v>
      </c>
      <c r="GK14" s="208">
        <f t="shared" si="146"/>
        <v>0</v>
      </c>
      <c r="GL14" s="208">
        <f t="shared" si="147"/>
        <v>0</v>
      </c>
      <c r="GM14" s="208" t="str">
        <f t="shared" si="148"/>
        <v>25m/ 25m/ 25m</v>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25</v>
      </c>
      <c r="HV14" s="208">
        <f t="shared" si="182"/>
        <v>25</v>
      </c>
      <c r="HW14" s="208">
        <f t="shared" si="183"/>
        <v>0</v>
      </c>
      <c r="HX14" s="208">
        <f t="shared" si="184"/>
        <v>0</v>
      </c>
      <c r="HY14" s="208">
        <f t="shared" si="185"/>
        <v>0</v>
      </c>
      <c r="HZ14" s="208">
        <f t="shared" si="186"/>
        <v>0</v>
      </c>
      <c r="IA14" s="207">
        <f t="shared" si="187"/>
        <v>25</v>
      </c>
      <c r="IB14" s="207">
        <f t="shared" si="188"/>
        <v>15</v>
      </c>
      <c r="IC14" s="343" t="str">
        <f t="shared" si="189"/>
        <v>A</v>
      </c>
      <c r="ID14" s="343" t="str">
        <f t="shared" si="190"/>
        <v>03948</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128165</v>
      </c>
      <c r="E15" s="317" t="str">
        <f>Input!C15</f>
        <v>Trung tâm giáo dục thường xuyên huyện Thủy Nguyên, thôn 7, xã Thủy Sơn, huyện Thủy Nguyên, thành phố Hải Phòng</v>
      </c>
      <c r="F15" s="207" t="str">
        <f>Input!D15</f>
        <v>Hải Phòng</v>
      </c>
      <c r="G15" s="207">
        <f>Input!E15</f>
        <v>106.654525</v>
      </c>
      <c r="H15" s="207">
        <f>Input!F15</f>
        <v>20.925022</v>
      </c>
      <c r="I15" s="207">
        <f>Input!G15</f>
        <v>1</v>
      </c>
      <c r="J15" s="207">
        <f>Input!H15</f>
        <v>2</v>
      </c>
      <c r="K15" s="207" t="str">
        <f t="shared" si="0"/>
        <v>CÔNG TY CỔ PHẦN VIỄN THÔNG DI ĐỘNG VIETNAMOBILE;CÔNG TY CỔ PHẦN VIỄN THÔNG DI ĐỘNG VIETNAMOBILE</v>
      </c>
      <c r="L15" s="207" t="str">
        <f>Input!J15</f>
        <v>128165;128165</v>
      </c>
      <c r="M15" s="207" t="str">
        <f>Input!K15</f>
        <v>ERICSSON RBS 6320;ERICSSON RBS 6320</v>
      </c>
      <c r="N15" s="207" t="str">
        <f>Input!L15</f>
        <v>3;3</v>
      </c>
      <c r="O15" s="207" t="str">
        <f>Input!M15</f>
        <v>1/1/1   ;1/1/1   </v>
      </c>
      <c r="P15" s="207" t="str">
        <f>Input!N15</f>
        <v>80/80/80  ;80/80/80  </v>
      </c>
      <c r="Q15" s="207" t="str">
        <f>Input!O15</f>
        <v>900;2100</v>
      </c>
      <c r="R15" s="207" t="str">
        <f>Input!P15</f>
        <v>22/22/22;23/23/23</v>
      </c>
      <c r="S15" s="364" t="b">
        <f>Input!Q15</f>
        <v>1</v>
      </c>
      <c r="T15" s="207" t="str">
        <f>Input!R15</f>
        <v>A03949101019TG05</v>
      </c>
      <c r="U15" s="207">
        <f>Input!S15</f>
        <v>0</v>
      </c>
      <c r="V15" s="207" t="str">
        <f>Input!T15</f>
        <v>VCC1</v>
      </c>
      <c r="W15" s="207" t="str">
        <f>Input!U15</f>
        <v>1902269/19/TG/TT1</v>
      </c>
      <c r="X15" s="209" t="str">
        <f>TEXT(Input!V15,"dd/mm/yyyy")</f>
        <v>10/10/2019</v>
      </c>
      <c r="Y15" s="207" t="b">
        <f>Input!W15</f>
        <v>0</v>
      </c>
      <c r="Z15" s="364" t="b">
        <f>Input!X15</f>
        <v>0</v>
      </c>
      <c r="AA15" s="207">
        <f t="shared" si="1"/>
        <v>22</v>
      </c>
      <c r="AB15" s="364" t="b">
        <f>Input!Y15</f>
        <v>1</v>
      </c>
      <c r="AC15" s="207">
        <f>VALUE(Input!Z15)</f>
        <v>10</v>
      </c>
      <c r="AD15" s="207" t="b">
        <f>Input!AA15</f>
        <v>0</v>
      </c>
      <c r="AE15" s="207" t="str">
        <f>Input!AB15</f>
        <v>Ứng Văn Nguyện</v>
      </c>
      <c r="AF15" s="207" t="str">
        <f>Input!AC15</f>
        <v>Nguyễn Đức Nam</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4</v>
      </c>
      <c r="AP15" s="287" t="str">
        <f t="shared" si="3"/>
        <v>thành phố Hải Phòng</v>
      </c>
      <c r="AQ15" s="448" t="str">
        <f t="shared" si="4"/>
        <v>huyện Thủy Nguyên</v>
      </c>
      <c r="AR15" s="448" t="str">
        <f t="shared" si="5"/>
        <v>xã Thủy Sơn</v>
      </c>
      <c r="AS15" s="449" t="str">
        <f>INDEX(CityIDList,MATCH(F15,CityNameList,0))</f>
        <v>HPG</v>
      </c>
      <c r="AT15" s="208" t="str">
        <f>IF(J15&gt;=1,INDEX(OperatorNameList,MATCH(AZ15,OperatorIDList,0)),"")</f>
        <v>CÔNG TY CỔ PHẦN VIỄN THÔNG DI ĐỘNG VIETNAMOBILE</v>
      </c>
      <c r="AU15" s="208" t="str">
        <f>IF(J15&gt;=2,INDEX(OperatorNameList,MATCH(BA15,OperatorIDList,0)),"")</f>
        <v>CÔNG TY CỔ PHẦN VIỄN THÔNG DI ĐỘNG VIETNAMOBILE</v>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v>VNMOBILE</v>
      </c>
      <c r="BB15" s="208" t="str">
        <f t="shared" si="8"/>
      </c>
      <c r="BC15" s="208" t="str">
        <f t="shared" si="9"/>
      </c>
      <c r="BD15" s="208" t="str">
        <f t="shared" si="10"/>
      </c>
      <c r="BE15" s="208" t="str">
        <f t="shared" si="11"/>
      </c>
      <c r="BF15" s="208" t="str">
        <f>Input!I15</f>
        <v>VNMOBILE;VNMOBILE</v>
      </c>
      <c r="BG15" s="208" t="str">
        <f t="shared" si="12"/>
        <v>128165</v>
      </c>
      <c r="BH15" s="208" t="str">
        <f t="shared" si="13"/>
        <v>128165</v>
      </c>
      <c r="BI15" s="208" t="str">
        <f t="shared" si="14"/>
      </c>
      <c r="BJ15" s="208" t="str">
        <f t="shared" si="15"/>
      </c>
      <c r="BK15" s="208" t="str">
        <f t="shared" si="16"/>
      </c>
      <c r="BL15" s="208" t="str">
        <f t="shared" si="17"/>
      </c>
      <c r="BM15" s="208" t="str">
        <f t="shared" si="18"/>
        <v>ERICSSON RBS 6320</v>
      </c>
      <c r="BN15" s="208" t="str">
        <f t="shared" si="19"/>
        <v>ERICSSON RBS 6320</v>
      </c>
      <c r="BO15" s="208" t="str">
        <f t="shared" si="20"/>
      </c>
      <c r="BP15" s="208" t="str">
        <f t="shared" si="21"/>
      </c>
      <c r="BQ15" s="208" t="str">
        <f t="shared" si="22"/>
      </c>
      <c r="BR15" s="208" t="str">
        <f t="shared" si="23"/>
      </c>
      <c r="BS15" s="208">
        <f t="shared" si="24"/>
        <v>3</v>
      </c>
      <c r="BT15" s="208">
        <f t="shared" si="25"/>
        <v>3</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v>1/1/1   </v>
      </c>
      <c r="CG15" s="208">
        <f t="shared" si="38"/>
        <v>1</v>
      </c>
      <c r="CH15" s="208">
        <f t="shared" si="39"/>
        <v>1</v>
      </c>
      <c r="CI15" s="208">
        <f t="shared" si="40"/>
        <v>1</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v>80/80/80  </v>
      </c>
      <c r="DY15" s="208">
        <f t="shared" si="82"/>
        <v>80</v>
      </c>
      <c r="DZ15" s="208">
        <f t="shared" si="83"/>
        <v>80</v>
      </c>
      <c r="EA15" s="208">
        <f t="shared" si="84"/>
        <v>80</v>
      </c>
      <c r="EB15" s="208">
        <f t="shared" si="85"/>
        <v>0</v>
      </c>
      <c r="EC15" s="208">
        <f t="shared" si="86"/>
        <v>0</v>
      </c>
      <c r="ED15" s="208">
        <f t="shared" si="87"/>
        <v>0</v>
      </c>
      <c r="EE15" s="208" t="str">
        <f t="shared" si="88"/>
        <v>80W/ 80W/ 80W</v>
      </c>
      <c r="EF15" s="208">
        <f t="shared" si="89"/>
        <v>80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900</v>
      </c>
      <c r="FS15" s="208" t="str">
        <f t="shared" si="128"/>
        <v>2100</v>
      </c>
      <c r="FT15" s="208" t="str">
        <f t="shared" si="129"/>
      </c>
      <c r="FU15" s="208" t="str">
        <f t="shared" si="130"/>
      </c>
      <c r="FV15" s="208" t="str">
        <f t="shared" si="131"/>
      </c>
      <c r="FW15" s="208" t="str">
        <f t="shared" si="132"/>
      </c>
      <c r="FX15" s="208" t="str">
        <f t="shared" si="133"/>
        <v>22/22/22</v>
      </c>
      <c r="FY15" s="208">
        <f t="shared" si="134"/>
        <v>22</v>
      </c>
      <c r="FZ15" s="208">
        <f t="shared" si="135"/>
        <v>22</v>
      </c>
      <c r="GA15" s="208">
        <f t="shared" si="136"/>
        <v>22</v>
      </c>
      <c r="GB15" s="208">
        <f t="shared" si="137"/>
        <v>0</v>
      </c>
      <c r="GC15" s="208">
        <f t="shared" si="138"/>
        <v>0</v>
      </c>
      <c r="GD15" s="208">
        <f t="shared" si="139"/>
        <v>0</v>
      </c>
      <c r="GE15" s="208" t="str">
        <f t="shared" si="140"/>
        <v>22m/ 22m/ 22m</v>
      </c>
      <c r="GF15" s="208" t="str">
        <f t="shared" si="141"/>
        <v>23/23/23</v>
      </c>
      <c r="GG15" s="208">
        <f t="shared" si="142"/>
        <v>23</v>
      </c>
      <c r="GH15" s="208">
        <f t="shared" si="143"/>
        <v>23</v>
      </c>
      <c r="GI15" s="208">
        <f t="shared" si="144"/>
        <v>23</v>
      </c>
      <c r="GJ15" s="208">
        <f t="shared" si="145"/>
        <v>0</v>
      </c>
      <c r="GK15" s="208">
        <f t="shared" si="146"/>
        <v>0</v>
      </c>
      <c r="GL15" s="208">
        <f t="shared" si="147"/>
        <v>0</v>
      </c>
      <c r="GM15" s="208" t="str">
        <f t="shared" si="148"/>
        <v>23m/ 23m/ 23m</v>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22</v>
      </c>
      <c r="HV15" s="208">
        <f t="shared" si="182"/>
        <v>23</v>
      </c>
      <c r="HW15" s="208">
        <f t="shared" si="183"/>
        <v>0</v>
      </c>
      <c r="HX15" s="208">
        <f t="shared" si="184"/>
        <v>0</v>
      </c>
      <c r="HY15" s="208">
        <f t="shared" si="185"/>
        <v>0</v>
      </c>
      <c r="HZ15" s="208">
        <f t="shared" si="186"/>
        <v>0</v>
      </c>
      <c r="IA15" s="207">
        <f t="shared" si="187"/>
        <v>22</v>
      </c>
      <c r="IB15" s="207">
        <f t="shared" si="188"/>
        <v>12</v>
      </c>
      <c r="IC15" s="343" t="str">
        <f t="shared" si="189"/>
        <v>A</v>
      </c>
      <c r="ID15" s="343" t="str">
        <f t="shared" si="190"/>
        <v>03949</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128043</v>
      </c>
      <c r="E16" s="317" t="str">
        <f>Input!C16</f>
        <v>Thôn Phương Mỹ, xã Mỹ Đồng, huyện Thủy Nguyên, thành phố Hải Phòng</v>
      </c>
      <c r="F16" s="207" t="str">
        <f>Input!D16</f>
        <v>Hải Phòng</v>
      </c>
      <c r="G16" s="207">
        <f>Input!E16</f>
        <v>106.632459</v>
      </c>
      <c r="H16" s="207">
        <f>Input!F16</f>
        <v>20.938518</v>
      </c>
      <c r="I16" s="207">
        <f>Input!G16</f>
        <v>1</v>
      </c>
      <c r="J16" s="207">
        <f>Input!H16</f>
        <v>2</v>
      </c>
      <c r="K16" s="207" t="str">
        <f t="shared" si="0"/>
        <v>CÔNG TY CỔ PHẦN VIỄN THÔNG DI ĐỘNG VIETNAMOBILE;CÔNG TY CỔ PHẦN VIỄN THÔNG DI ĐỘNG VIETNAMOBILE</v>
      </c>
      <c r="L16" s="207" t="str">
        <f>Input!J16</f>
        <v>128043;128043</v>
      </c>
      <c r="M16" s="207" t="str">
        <f>Input!K16</f>
        <v>ERICSSON RBS 6601;ERICSSON RBS 6601</v>
      </c>
      <c r="N16" s="207" t="str">
        <f>Input!L16</f>
        <v>3;3</v>
      </c>
      <c r="O16" s="207" t="str">
        <f>Input!M16</f>
        <v>1/1/1   ;1/1/1   </v>
      </c>
      <c r="P16" s="207" t="str">
        <f>Input!N16</f>
        <v>80/80/80  ;80/80/80  </v>
      </c>
      <c r="Q16" s="207" t="str">
        <f>Input!O16</f>
        <v>900;2100</v>
      </c>
      <c r="R16" s="207" t="str">
        <f>Input!P16</f>
        <v>34/34/34;33/33/33</v>
      </c>
      <c r="S16" s="364" t="b">
        <f>Input!Q16</f>
        <v>1</v>
      </c>
      <c r="T16" s="207" t="str">
        <f>Input!R16</f>
        <v>A03950101019TG05</v>
      </c>
      <c r="U16" s="207">
        <f>Input!S16</f>
        <v>0</v>
      </c>
      <c r="V16" s="207" t="str">
        <f>Input!T16</f>
        <v>VCC1</v>
      </c>
      <c r="W16" s="207" t="str">
        <f>Input!U16</f>
        <v>1902236/19/TG/TT1</v>
      </c>
      <c r="X16" s="209" t="str">
        <f>TEXT(Input!V16,"dd/mm/yyyy")</f>
        <v>10/10/2019</v>
      </c>
      <c r="Y16" s="207" t="b">
        <f>Input!W16</f>
        <v>1</v>
      </c>
      <c r="Z16" s="364" t="b">
        <f>Input!X16</f>
        <v>0</v>
      </c>
      <c r="AA16" s="207">
        <f t="shared" si="1"/>
        <v>33</v>
      </c>
      <c r="AB16" s="364" t="b">
        <f>Input!Y16</f>
        <v>1</v>
      </c>
      <c r="AC16" s="207">
        <f>VALUE(Input!Z16)</f>
        <v>8</v>
      </c>
      <c r="AD16" s="207" t="b">
        <f>Input!AA16</f>
        <v>0</v>
      </c>
      <c r="AE16" s="207" t="str">
        <f>Input!AB16</f>
        <v>Ứng Văn Nguyện</v>
      </c>
      <c r="AF16" s="207" t="str">
        <f>Input!AC16</f>
        <v>Nguyễn Đức Nam</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Thủy Nguyên</v>
      </c>
      <c r="AR16" s="448" t="str">
        <f t="shared" si="5"/>
        <v>xã Mỹ Đồng</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128043</v>
      </c>
      <c r="BH16" s="208" t="str">
        <f t="shared" si="13"/>
        <v>128043</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900</v>
      </c>
      <c r="FS16" s="208" t="str">
        <f t="shared" si="128"/>
        <v>2100</v>
      </c>
      <c r="FT16" s="208" t="str">
        <f t="shared" si="129"/>
      </c>
      <c r="FU16" s="208" t="str">
        <f t="shared" si="130"/>
      </c>
      <c r="FV16" s="208" t="str">
        <f t="shared" si="131"/>
      </c>
      <c r="FW16" s="208" t="str">
        <f t="shared" si="132"/>
      </c>
      <c r="FX16" s="208" t="str">
        <f t="shared" si="133"/>
        <v>34/34/34</v>
      </c>
      <c r="FY16" s="208">
        <f t="shared" si="134"/>
        <v>34</v>
      </c>
      <c r="FZ16" s="208">
        <f t="shared" si="135"/>
        <v>34</v>
      </c>
      <c r="GA16" s="208">
        <f t="shared" si="136"/>
        <v>34</v>
      </c>
      <c r="GB16" s="208">
        <f t="shared" si="137"/>
        <v>0</v>
      </c>
      <c r="GC16" s="208">
        <f t="shared" si="138"/>
        <v>0</v>
      </c>
      <c r="GD16" s="208">
        <f t="shared" si="139"/>
        <v>0</v>
      </c>
      <c r="GE16" s="208" t="str">
        <f t="shared" si="140"/>
        <v>34m/ 34m/ 34m</v>
      </c>
      <c r="GF16" s="208" t="str">
        <f t="shared" si="141"/>
        <v>33/33/33</v>
      </c>
      <c r="GG16" s="208">
        <f t="shared" si="142"/>
        <v>33</v>
      </c>
      <c r="GH16" s="208">
        <f t="shared" si="143"/>
        <v>33</v>
      </c>
      <c r="GI16" s="208">
        <f t="shared" si="144"/>
        <v>33</v>
      </c>
      <c r="GJ16" s="208">
        <f t="shared" si="145"/>
        <v>0</v>
      </c>
      <c r="GK16" s="208">
        <f t="shared" si="146"/>
        <v>0</v>
      </c>
      <c r="GL16" s="208">
        <f t="shared" si="147"/>
        <v>0</v>
      </c>
      <c r="GM16" s="208" t="str">
        <f t="shared" si="148"/>
        <v>33m/ 33m/ 33m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34</v>
      </c>
      <c r="HV16" s="208">
        <f t="shared" si="182"/>
        <v>33</v>
      </c>
      <c r="HW16" s="208">
        <f t="shared" si="183"/>
        <v>0</v>
      </c>
      <c r="HX16" s="208">
        <f t="shared" si="184"/>
        <v>0</v>
      </c>
      <c r="HY16" s="208">
        <f t="shared" si="185"/>
        <v>0</v>
      </c>
      <c r="HZ16" s="208">
        <f t="shared" si="186"/>
        <v>0</v>
      </c>
      <c r="IA16" s="207">
        <f t="shared" si="187"/>
        <v>33</v>
      </c>
      <c r="IB16" s="207">
        <f t="shared" si="188"/>
        <v>25</v>
      </c>
      <c r="IC16" s="343" t="str">
        <f t="shared" si="189"/>
        <v>A</v>
      </c>
      <c r="ID16" s="343" t="str">
        <f t="shared" si="190"/>
        <v>03950</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128501</v>
      </c>
      <c r="E17" s="317" t="str">
        <f>Input!C17</f>
        <v>Thôn 3, xã Kiền Bái, huyện Thủy Nguyên, thành phố Hải Phòng</v>
      </c>
      <c r="F17" s="207" t="str">
        <f>Input!D17</f>
        <v>Hải Phòng</v>
      </c>
      <c r="G17" s="207">
        <f>Input!E17</f>
        <v>106.629956</v>
      </c>
      <c r="H17" s="207">
        <f>Input!F17</f>
        <v>20.918116</v>
      </c>
      <c r="I17" s="207">
        <f>Input!G17</f>
        <v>1</v>
      </c>
      <c r="J17" s="207">
        <f>Input!H17</f>
        <v>2</v>
      </c>
      <c r="K17" s="207" t="str">
        <f t="shared" si="0"/>
        <v>CÔNG TY CỔ PHẦN VIỄN THÔNG DI ĐỘNG VIETNAMOBILE;CÔNG TY CỔ PHẦN VIỄN THÔNG DI ĐỘNG VIETNAMOBILE</v>
      </c>
      <c r="L17" s="207" t="str">
        <f>Input!J17</f>
        <v>128501;128501</v>
      </c>
      <c r="M17" s="207" t="str">
        <f>Input!K17</f>
        <v>ERICSSON RBS 6601;ERICSSON RBS 6601</v>
      </c>
      <c r="N17" s="207" t="str">
        <f>Input!L17</f>
        <v>3;3</v>
      </c>
      <c r="O17" s="207" t="str">
        <f>Input!M17</f>
        <v>1/1/1   ;1/1/1   </v>
      </c>
      <c r="P17" s="207" t="str">
        <f>Input!N17</f>
        <v>80/80/80  ;80/80/80  </v>
      </c>
      <c r="Q17" s="207" t="str">
        <f>Input!O17</f>
        <v>900;2100</v>
      </c>
      <c r="R17" s="207" t="str">
        <f>Input!P17</f>
        <v>33/33/33;32/32/32</v>
      </c>
      <c r="S17" s="364" t="b">
        <f>Input!Q17</f>
        <v>1</v>
      </c>
      <c r="T17" s="207" t="str">
        <f>Input!R17</f>
        <v>A03951101019TG05</v>
      </c>
      <c r="U17" s="207">
        <f>Input!S17</f>
        <v>0</v>
      </c>
      <c r="V17" s="207" t="str">
        <f>Input!T17</f>
        <v>VCC1</v>
      </c>
      <c r="W17" s="207" t="str">
        <f>Input!U17</f>
        <v>1902274/19/TG/TT1</v>
      </c>
      <c r="X17" s="209" t="str">
        <f>TEXT(Input!V17,"dd/mm/yyyy")</f>
        <v>10/10/2019</v>
      </c>
      <c r="Y17" s="207" t="b">
        <f>Input!W17</f>
        <v>1</v>
      </c>
      <c r="Z17" s="364" t="b">
        <f>Input!X17</f>
        <v>0</v>
      </c>
      <c r="AA17" s="207">
        <f t="shared" si="1"/>
        <v>32</v>
      </c>
      <c r="AB17" s="364" t="b">
        <f>Input!Y17</f>
        <v>1</v>
      </c>
      <c r="AC17" s="207">
        <f>VALUE(Input!Z17)</f>
        <v>10</v>
      </c>
      <c r="AD17" s="207" t="b">
        <f>Input!AA17</f>
        <v>0</v>
      </c>
      <c r="AE17" s="207" t="str">
        <f>Input!AB17</f>
        <v>Ứng Văn Nguyện</v>
      </c>
      <c r="AF17" s="207" t="str">
        <f>Input!AC17</f>
        <v>Nguyễn Đức Nam</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Thủy Nguyên</v>
      </c>
      <c r="AR17" s="448" t="str">
        <f t="shared" si="5"/>
        <v>xã Kiền Bái</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128501</v>
      </c>
      <c r="BH17" s="208" t="str">
        <f t="shared" si="13"/>
        <v>128501</v>
      </c>
      <c r="BI17" s="208" t="str">
        <f t="shared" si="14"/>
      </c>
      <c r="BJ17" s="208" t="str">
        <f t="shared" si="15"/>
      </c>
      <c r="BK17" s="208" t="str">
        <f t="shared" si="16"/>
      </c>
      <c r="BL17" s="208" t="str">
        <f t="shared" si="17"/>
      </c>
      <c r="BM17" s="208" t="str">
        <f t="shared" si="18"/>
        <v>ERICSSON RBS 6601</v>
      </c>
      <c r="BN17" s="208" t="str">
        <f t="shared" si="19"/>
        <v>ERICSSON RBS 6601</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900</v>
      </c>
      <c r="FS17" s="208" t="str">
        <f t="shared" si="128"/>
        <v>2100</v>
      </c>
      <c r="FT17" s="208" t="str">
        <f t="shared" si="129"/>
      </c>
      <c r="FU17" s="208" t="str">
        <f t="shared" si="130"/>
      </c>
      <c r="FV17" s="208" t="str">
        <f t="shared" si="131"/>
      </c>
      <c r="FW17" s="208" t="str">
        <f t="shared" si="132"/>
      </c>
      <c r="FX17" s="208" t="str">
        <f t="shared" si="133"/>
        <v>33/33/33</v>
      </c>
      <c r="FY17" s="208">
        <f t="shared" si="134"/>
        <v>33</v>
      </c>
      <c r="FZ17" s="208">
        <f t="shared" si="135"/>
        <v>33</v>
      </c>
      <c r="GA17" s="208">
        <f t="shared" si="136"/>
        <v>33</v>
      </c>
      <c r="GB17" s="208">
        <f t="shared" si="137"/>
        <v>0</v>
      </c>
      <c r="GC17" s="208">
        <f t="shared" si="138"/>
        <v>0</v>
      </c>
      <c r="GD17" s="208">
        <f t="shared" si="139"/>
        <v>0</v>
      </c>
      <c r="GE17" s="208" t="str">
        <f t="shared" si="140"/>
        <v>33m/ 33m/ 33m</v>
      </c>
      <c r="GF17" s="208" t="str">
        <f t="shared" si="141"/>
        <v>32/32/32</v>
      </c>
      <c r="GG17" s="208">
        <f t="shared" si="142"/>
        <v>32</v>
      </c>
      <c r="GH17" s="208">
        <f t="shared" si="143"/>
        <v>32</v>
      </c>
      <c r="GI17" s="208">
        <f t="shared" si="144"/>
        <v>32</v>
      </c>
      <c r="GJ17" s="208">
        <f t="shared" si="145"/>
        <v>0</v>
      </c>
      <c r="GK17" s="208">
        <f t="shared" si="146"/>
        <v>0</v>
      </c>
      <c r="GL17" s="208">
        <f t="shared" si="147"/>
        <v>0</v>
      </c>
      <c r="GM17" s="208" t="str">
        <f t="shared" si="148"/>
        <v>32m/ 32m/ 32m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33</v>
      </c>
      <c r="HV17" s="208">
        <f t="shared" si="182"/>
        <v>32</v>
      </c>
      <c r="HW17" s="208">
        <f t="shared" si="183"/>
        <v>0</v>
      </c>
      <c r="HX17" s="208">
        <f t="shared" si="184"/>
        <v>0</v>
      </c>
      <c r="HY17" s="208">
        <f t="shared" si="185"/>
        <v>0</v>
      </c>
      <c r="HZ17" s="208">
        <f t="shared" si="186"/>
        <v>0</v>
      </c>
      <c r="IA17" s="207">
        <f t="shared" si="187"/>
        <v>32</v>
      </c>
      <c r="IB17" s="207">
        <f t="shared" si="188"/>
        <v>22</v>
      </c>
      <c r="IC17" s="343" t="str">
        <f t="shared" si="189"/>
        <v>A</v>
      </c>
      <c r="ID17" s="343" t="str">
        <f t="shared" si="190"/>
        <v>03951</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128154</v>
      </c>
      <c r="E18" s="317" t="str">
        <f>Input!C18</f>
        <v>Thôn 1, xã Gia Minh, huyện Thủy Nguyên, thành phố Hải Phòng</v>
      </c>
      <c r="F18" s="207" t="str">
        <f>Input!D18</f>
        <v>Hải Phòng</v>
      </c>
      <c r="G18" s="207">
        <f>Input!E18</f>
        <v>106.70502</v>
      </c>
      <c r="H18" s="207">
        <f>Input!F18</f>
        <v>20.991976</v>
      </c>
      <c r="I18" s="207">
        <f>Input!G18</f>
        <v>1</v>
      </c>
      <c r="J18" s="207">
        <f>Input!H18</f>
        <v>1</v>
      </c>
      <c r="K18" s="207" t="str">
        <f t="shared" si="0"/>
        <v>CÔNG TY CỔ PHẦN VIỄN THÔNG DI ĐỘNG VIETNAMOBILE</v>
      </c>
      <c r="L18" s="207">
        <f>Input!J18</f>
        <v>128154</v>
      </c>
      <c r="M18" s="207" t="str">
        <f>Input!K18</f>
        <v>ERICSSON RBS 6320</v>
      </c>
      <c r="N18" s="207">
        <f>Input!L18</f>
        <v>3</v>
      </c>
      <c r="O18" s="207" t="str">
        <f>Input!M18</f>
        <v>1/1/1   </v>
      </c>
      <c r="P18" s="207" t="str">
        <f>Input!N18</f>
        <v>80/80/80  </v>
      </c>
      <c r="Q18" s="207">
        <f>Input!O18</f>
        <v>2100</v>
      </c>
      <c r="R18" s="207" t="str">
        <f>Input!P18</f>
        <v>34/34/34</v>
      </c>
      <c r="S18" s="364" t="b">
        <f>Input!Q18</f>
        <v>1</v>
      </c>
      <c r="T18" s="207" t="str">
        <f>Input!R18</f>
        <v>A03952101019TG05</v>
      </c>
      <c r="U18" s="207">
        <f>Input!S18</f>
        <v>0</v>
      </c>
      <c r="V18" s="207" t="str">
        <f>Input!T18</f>
        <v>VCC1</v>
      </c>
      <c r="W18" s="207" t="str">
        <f>Input!U18</f>
        <v>1903315/19/TG/TT1</v>
      </c>
      <c r="X18" s="209" t="str">
        <f>TEXT(Input!V18,"dd/mm/yyyy")</f>
        <v>10/10/2019</v>
      </c>
      <c r="Y18" s="207" t="b">
        <f>Input!W18</f>
        <v>1</v>
      </c>
      <c r="Z18" s="364" t="b">
        <f>Input!X18</f>
        <v>0</v>
      </c>
      <c r="AA18" s="207">
        <f t="shared" si="1"/>
        <v>34</v>
      </c>
      <c r="AB18" s="364" t="b">
        <f>Input!Y18</f>
        <v>1</v>
      </c>
      <c r="AC18" s="207">
        <f>VALUE(Input!Z18)</f>
        <v>8</v>
      </c>
      <c r="AD18" s="207" t="b">
        <f>Input!AA18</f>
        <v>0</v>
      </c>
      <c r="AE18" s="207" t="str">
        <f>Input!AB18</f>
        <v>Ứng Văn Nguyện</v>
      </c>
      <c r="AF18" s="207" t="str">
        <f>Input!AC18</f>
        <v>Nguyễn Đức Nam</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3</v>
      </c>
      <c r="AP18" s="287" t="str">
        <f t="shared" si="3"/>
        <v>thành phố Hải Phòng</v>
      </c>
      <c r="AQ18" s="448" t="str">
        <f t="shared" si="4"/>
        <v>huyện Thủy Nguyên</v>
      </c>
      <c r="AR18" s="448" t="str">
        <f t="shared" si="5"/>
        <v>xã Gia Minh</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c>
      <c r="BB18" s="208" t="str">
        <f t="shared" si="8"/>
      </c>
      <c r="BC18" s="208" t="str">
        <f t="shared" si="9"/>
      </c>
      <c r="BD18" s="208" t="str">
        <f t="shared" si="10"/>
      </c>
      <c r="BE18" s="208" t="str">
        <f t="shared" si="11"/>
      </c>
      <c r="BF18" s="208" t="str">
        <f>Input!I18</f>
        <v>VNMOBILE</v>
      </c>
      <c r="BG18" s="208" t="str">
        <f t="shared" si="12"/>
        <v>128154</v>
      </c>
      <c r="BH18" s="208" t="str">
        <f t="shared" si="13"/>
      </c>
      <c r="BI18" s="208" t="str">
        <f t="shared" si="14"/>
      </c>
      <c r="BJ18" s="208" t="str">
        <f t="shared" si="15"/>
      </c>
      <c r="BK18" s="208" t="str">
        <f t="shared" si="16"/>
      </c>
      <c r="BL18" s="208" t="str">
        <f t="shared" si="17"/>
      </c>
      <c r="BM18" s="208" t="str">
        <f t="shared" si="18"/>
        <v>ERICSSON RBS 6320</v>
      </c>
      <c r="BN18" s="208" t="str">
        <f t="shared" si="19"/>
      </c>
      <c r="BO18" s="208" t="str">
        <f t="shared" si="20"/>
      </c>
      <c r="BP18" s="208" t="str">
        <f t="shared" si="21"/>
      </c>
      <c r="BQ18" s="208" t="str">
        <f t="shared" si="22"/>
      </c>
      <c r="BR18" s="208" t="str">
        <f t="shared" si="23"/>
      </c>
      <c r="BS18" s="208">
        <f t="shared" si="24"/>
        <v>3</v>
      </c>
      <c r="BT18" s="208">
        <f t="shared" si="25"/>
        <v>0</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c>
      <c r="CG18" s="208">
        <f t="shared" si="38"/>
        <v>0</v>
      </c>
      <c r="CH18" s="208">
        <f t="shared" si="39"/>
        <v>0</v>
      </c>
      <c r="CI18" s="208">
        <f t="shared" si="40"/>
        <v>0</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c>
      <c r="DY18" s="208">
        <f t="shared" si="82"/>
        <v>0</v>
      </c>
      <c r="DZ18" s="208">
        <f t="shared" si="83"/>
        <v>0</v>
      </c>
      <c r="EA18" s="208">
        <f t="shared" si="84"/>
        <v>0</v>
      </c>
      <c r="EB18" s="208">
        <f t="shared" si="85"/>
        <v>0</v>
      </c>
      <c r="EC18" s="208">
        <f t="shared" si="86"/>
        <v>0</v>
      </c>
      <c r="ED18" s="208">
        <f t="shared" si="87"/>
        <v>0</v>
      </c>
      <c r="EE18" s="208" t="str">
        <f t="shared" si="88"/>
      </c>
      <c r="EF18" s="208">
        <f t="shared" si="89"/>
        <v>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c>
      <c r="FT18" s="208" t="str">
        <f t="shared" si="129"/>
      </c>
      <c r="FU18" s="208" t="str">
        <f t="shared" si="130"/>
      </c>
      <c r="FV18" s="208" t="str">
        <f t="shared" si="131"/>
      </c>
      <c r="FW18" s="208" t="str">
        <f t="shared" si="132"/>
      </c>
      <c r="FX18" s="208" t="str">
        <f t="shared" si="133"/>
        <v>34/34/34</v>
      </c>
      <c r="FY18" s="208">
        <f t="shared" si="134"/>
        <v>34</v>
      </c>
      <c r="FZ18" s="208">
        <f t="shared" si="135"/>
        <v>34</v>
      </c>
      <c r="GA18" s="208">
        <f t="shared" si="136"/>
        <v>34</v>
      </c>
      <c r="GB18" s="208">
        <f t="shared" si="137"/>
        <v>0</v>
      </c>
      <c r="GC18" s="208">
        <f t="shared" si="138"/>
        <v>0</v>
      </c>
      <c r="GD18" s="208">
        <f t="shared" si="139"/>
        <v>0</v>
      </c>
      <c r="GE18" s="208" t="str">
        <f t="shared" si="140"/>
        <v>34m/ 34m/ 34m</v>
      </c>
      <c r="GF18" s="208" t="str">
        <f t="shared" si="141"/>
      </c>
      <c r="GG18" s="208">
        <f t="shared" si="142"/>
        <v>0</v>
      </c>
      <c r="GH18" s="208">
        <f t="shared" si="143"/>
        <v>0</v>
      </c>
      <c r="GI18" s="208">
        <f t="shared" si="144"/>
        <v>0</v>
      </c>
      <c r="GJ18" s="208">
        <f t="shared" si="145"/>
        <v>0</v>
      </c>
      <c r="GK18" s="208">
        <f t="shared" si="146"/>
        <v>0</v>
      </c>
      <c r="GL18" s="208">
        <f t="shared" si="147"/>
        <v>0</v>
      </c>
      <c r="GM18" s="208" t="str">
        <f t="shared" si="148"/>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34</v>
      </c>
      <c r="HV18" s="208">
        <f t="shared" si="182"/>
        <v>0</v>
      </c>
      <c r="HW18" s="208">
        <f t="shared" si="183"/>
        <v>0</v>
      </c>
      <c r="HX18" s="208">
        <f t="shared" si="184"/>
        <v>0</v>
      </c>
      <c r="HY18" s="208">
        <f t="shared" si="185"/>
        <v>0</v>
      </c>
      <c r="HZ18" s="208">
        <f t="shared" si="186"/>
        <v>0</v>
      </c>
      <c r="IA18" s="207">
        <f t="shared" si="187"/>
        <v>34</v>
      </c>
      <c r="IB18" s="207">
        <f t="shared" si="188"/>
        <v>26</v>
      </c>
      <c r="IC18" s="343" t="str">
        <f t="shared" si="189"/>
        <v>A</v>
      </c>
      <c r="ID18" s="343" t="str">
        <f t="shared" si="190"/>
        <v>03952</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128145</v>
      </c>
      <c r="E19" s="317" t="str">
        <f>Input!C19</f>
        <v>Xóm Hầu, xã Lâm Động, huyện Thủy Nguyên, thành phố Hải Phòng</v>
      </c>
      <c r="F19" s="207" t="str">
        <f>Input!D19</f>
        <v>Hải Phòng</v>
      </c>
      <c r="G19" s="207">
        <f>Input!E19</f>
        <v>106.644549</v>
      </c>
      <c r="H19" s="207">
        <f>Input!F19</f>
        <v>20.894669</v>
      </c>
      <c r="I19" s="207">
        <f>Input!G19</f>
        <v>1</v>
      </c>
      <c r="J19" s="207">
        <f>Input!H19</f>
        <v>2</v>
      </c>
      <c r="K19" s="207" t="str">
        <f t="shared" si="0"/>
        <v>CÔNG TY CỔ PHẦN VIỄN THÔNG DI ĐỘNG VIETNAMOBILE;CÔNG TY CỔ PHẦN VIỄN THÔNG DI ĐỘNG VIETNAMOBILE</v>
      </c>
      <c r="L19" s="207" t="str">
        <f>Input!J19</f>
        <v>128145;128145</v>
      </c>
      <c r="M19" s="207" t="str">
        <f>Input!K19</f>
        <v>ERICSSON RBS 6601;ERICSSON RBS 6601</v>
      </c>
      <c r="N19" s="207" t="str">
        <f>Input!L19</f>
        <v>3;3</v>
      </c>
      <c r="O19" s="207" t="str">
        <f>Input!M19</f>
        <v>1/1/1   ;1/1/1   </v>
      </c>
      <c r="P19" s="207" t="str">
        <f>Input!N19</f>
        <v>80/80/80  ;80/80/80  </v>
      </c>
      <c r="Q19" s="207" t="str">
        <f>Input!O19</f>
        <v>900;2100</v>
      </c>
      <c r="R19" s="207" t="str">
        <f>Input!P19</f>
        <v>26/26/26;28/28/28</v>
      </c>
      <c r="S19" s="364" t="b">
        <f>Input!Q19</f>
        <v>1</v>
      </c>
      <c r="T19" s="207" t="str">
        <f>Input!R19</f>
        <v>A03953101019TG05</v>
      </c>
      <c r="U19" s="207">
        <f>Input!S19</f>
        <v>0</v>
      </c>
      <c r="V19" s="207" t="str">
        <f>Input!T19</f>
        <v>VCC1</v>
      </c>
      <c r="W19" s="207" t="str">
        <f>Input!U19</f>
        <v>1902264/19/TG/TT1</v>
      </c>
      <c r="X19" s="209" t="str">
        <f>TEXT(Input!V19,"dd/mm/yyyy")</f>
        <v>10/10/2019</v>
      </c>
      <c r="Y19" s="207" t="b">
        <f>Input!W19</f>
        <v>1</v>
      </c>
      <c r="Z19" s="364" t="b">
        <f>Input!X19</f>
        <v>0</v>
      </c>
      <c r="AA19" s="207">
        <f t="shared" si="1"/>
        <v>26</v>
      </c>
      <c r="AB19" s="364" t="b">
        <f>Input!Y19</f>
        <v>1</v>
      </c>
      <c r="AC19" s="207">
        <f>VALUE(Input!Z19)</f>
        <v>8</v>
      </c>
      <c r="AD19" s="207" t="b">
        <f>Input!AA19</f>
        <v>0</v>
      </c>
      <c r="AE19" s="207" t="str">
        <f>Input!AB19</f>
        <v>Ứng Văn Nguyện</v>
      </c>
      <c r="AF19" s="207" t="str">
        <f>Input!AC19</f>
        <v>Nguyễn Đức Nam</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Thủy Nguyên</v>
      </c>
      <c r="AR19" s="448" t="str">
        <f t="shared" si="5"/>
        <v>xã Lâm Động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128145</v>
      </c>
      <c r="BH19" s="208" t="str">
        <f t="shared" si="13"/>
        <v>128145</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900</v>
      </c>
      <c r="FS19" s="208" t="str">
        <f t="shared" si="128"/>
        <v>2100</v>
      </c>
      <c r="FT19" s="208" t="str">
        <f t="shared" si="129"/>
      </c>
      <c r="FU19" s="208" t="str">
        <f t="shared" si="130"/>
      </c>
      <c r="FV19" s="208" t="str">
        <f t="shared" si="131"/>
      </c>
      <c r="FW19" s="208" t="str">
        <f t="shared" si="132"/>
      </c>
      <c r="FX19" s="208" t="str">
        <f t="shared" si="133"/>
        <v>26/26/26</v>
      </c>
      <c r="FY19" s="208">
        <f t="shared" si="134"/>
        <v>26</v>
      </c>
      <c r="FZ19" s="208">
        <f t="shared" si="135"/>
        <v>26</v>
      </c>
      <c r="GA19" s="208">
        <f t="shared" si="136"/>
        <v>26</v>
      </c>
      <c r="GB19" s="208">
        <f t="shared" si="137"/>
        <v>0</v>
      </c>
      <c r="GC19" s="208">
        <f t="shared" si="138"/>
        <v>0</v>
      </c>
      <c r="GD19" s="208">
        <f t="shared" si="139"/>
        <v>0</v>
      </c>
      <c r="GE19" s="208" t="str">
        <f t="shared" si="140"/>
        <v>26m/ 26m/ 26m</v>
      </c>
      <c r="GF19" s="208" t="str">
        <f t="shared" si="141"/>
        <v>28/28/28</v>
      </c>
      <c r="GG19" s="208">
        <f t="shared" si="142"/>
        <v>28</v>
      </c>
      <c r="GH19" s="208">
        <f t="shared" si="143"/>
        <v>28</v>
      </c>
      <c r="GI19" s="208">
        <f t="shared" si="144"/>
        <v>28</v>
      </c>
      <c r="GJ19" s="208">
        <f t="shared" si="145"/>
        <v>0</v>
      </c>
      <c r="GK19" s="208">
        <f t="shared" si="146"/>
        <v>0</v>
      </c>
      <c r="GL19" s="208">
        <f t="shared" si="147"/>
        <v>0</v>
      </c>
      <c r="GM19" s="208" t="str">
        <f t="shared" si="148"/>
        <v>28m/ 28m/ 28m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26</v>
      </c>
      <c r="HV19" s="208">
        <f t="shared" si="182"/>
        <v>28</v>
      </c>
      <c r="HW19" s="208">
        <f t="shared" si="183"/>
        <v>0</v>
      </c>
      <c r="HX19" s="208">
        <f t="shared" si="184"/>
        <v>0</v>
      </c>
      <c r="HY19" s="208">
        <f t="shared" si="185"/>
        <v>0</v>
      </c>
      <c r="HZ19" s="208">
        <f t="shared" si="186"/>
        <v>0</v>
      </c>
      <c r="IA19" s="207">
        <f t="shared" si="187"/>
        <v>26</v>
      </c>
      <c r="IB19" s="207">
        <f t="shared" si="188"/>
        <v>18</v>
      </c>
      <c r="IC19" s="343" t="str">
        <f t="shared" si="189"/>
        <v>A</v>
      </c>
      <c r="ID19" s="343" t="str">
        <f t="shared" si="190"/>
        <v>03953</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128020</v>
      </c>
      <c r="E20" s="317" t="str">
        <f>Input!C20</f>
        <v>Số 340, đường Nguyễn Văn Linh, phường Dư Hàng Kênh, quận Lê Chân, thành phố Hải Phòng</v>
      </c>
      <c r="F20" s="207" t="str">
        <f>Input!D20</f>
        <v>Hải Phòng</v>
      </c>
      <c r="G20" s="207">
        <f>Input!E20</f>
        <v>106.680372</v>
      </c>
      <c r="H20" s="207">
        <f>Input!F20</f>
        <v>20.834769</v>
      </c>
      <c r="I20" s="207">
        <f>Input!G20</f>
        <v>1</v>
      </c>
      <c r="J20" s="207">
        <f>Input!H20</f>
        <v>2</v>
      </c>
      <c r="K20" s="207" t="str">
        <f t="shared" si="0"/>
        <v>CÔNG TY CỔ PHẦN VIỄN THÔNG DI ĐỘNG VIETNAMOBILE;CÔNG TY CỔ PHẦN VIỄN THÔNG DI ĐỘNG VIETNAMOBILE</v>
      </c>
      <c r="L20" s="207" t="str">
        <f>Input!J20</f>
        <v>128020;128020</v>
      </c>
      <c r="M20" s="207" t="str">
        <f>Input!K20</f>
        <v>ERICSSON RBS 6320;ERICSSON RBS 6320</v>
      </c>
      <c r="N20" s="207" t="str">
        <f>Input!L20</f>
        <v>3;3</v>
      </c>
      <c r="O20" s="207" t="str">
        <f>Input!M20</f>
        <v>1/1/1   ;1/1/1   </v>
      </c>
      <c r="P20" s="207" t="str">
        <f>Input!N20</f>
        <v>80/80/80  ;80/80/80  </v>
      </c>
      <c r="Q20" s="207" t="str">
        <f>Input!O20</f>
        <v>900;2100</v>
      </c>
      <c r="R20" s="207" t="str">
        <f>Input!P20</f>
        <v>23/23/23;23/23/23</v>
      </c>
      <c r="S20" s="364" t="b">
        <f>Input!Q20</f>
        <v>1</v>
      </c>
      <c r="T20" s="207" t="str">
        <f>Input!R20</f>
        <v>A03954101019TG05</v>
      </c>
      <c r="U20" s="207">
        <f>Input!S20</f>
        <v>0</v>
      </c>
      <c r="V20" s="207" t="str">
        <f>Input!T20</f>
        <v>VCC1</v>
      </c>
      <c r="W20" s="207" t="str">
        <f>Input!U20</f>
        <v>1902229/19/TG/TT1</v>
      </c>
      <c r="X20" s="209" t="str">
        <f>TEXT(Input!V20,"dd/mm/yyyy")</f>
        <v>10/10/2019</v>
      </c>
      <c r="Y20" s="207" t="b">
        <f>Input!W20</f>
        <v>0</v>
      </c>
      <c r="Z20" s="364" t="b">
        <f>Input!X20</f>
        <v>0</v>
      </c>
      <c r="AA20" s="207">
        <f t="shared" si="1"/>
        <v>23</v>
      </c>
      <c r="AB20" s="364" t="b">
        <f>Input!Y20</f>
        <v>1</v>
      </c>
      <c r="AC20" s="207">
        <f>VALUE(Input!Z20)</f>
        <v>21</v>
      </c>
      <c r="AD20" s="207" t="b">
        <f>Input!AA20</f>
        <v>0</v>
      </c>
      <c r="AE20" s="207" t="str">
        <f>Input!AB20</f>
        <v>Ứng Văn Nguyện</v>
      </c>
      <c r="AF20" s="207" t="str">
        <f>Input!AC20</f>
        <v>Nguyễn Đức Nam</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4</v>
      </c>
      <c r="AP20" s="287" t="str">
        <f t="shared" si="3"/>
        <v>thành phố Hải Phòng</v>
      </c>
      <c r="AQ20" s="448" t="str">
        <f t="shared" si="4"/>
        <v>quận Lê Chân</v>
      </c>
      <c r="AR20" s="448" t="str">
        <f t="shared" si="5"/>
        <v>phường Dư Hàng Kênh</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128020</v>
      </c>
      <c r="BH20" s="208" t="str">
        <f t="shared" si="13"/>
        <v>128020</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900</v>
      </c>
      <c r="FS20" s="208" t="str">
        <f t="shared" si="128"/>
        <v>2100</v>
      </c>
      <c r="FT20" s="208" t="str">
        <f t="shared" si="129"/>
      </c>
      <c r="FU20" s="208" t="str">
        <f t="shared" si="130"/>
      </c>
      <c r="FV20" s="208" t="str">
        <f t="shared" si="131"/>
      </c>
      <c r="FW20" s="208" t="str">
        <f t="shared" si="132"/>
      </c>
      <c r="FX20" s="208" t="str">
        <f t="shared" si="133"/>
        <v>23/23/23</v>
      </c>
      <c r="FY20" s="208">
        <f t="shared" si="134"/>
        <v>23</v>
      </c>
      <c r="FZ20" s="208">
        <f t="shared" si="135"/>
        <v>23</v>
      </c>
      <c r="GA20" s="208">
        <f t="shared" si="136"/>
        <v>23</v>
      </c>
      <c r="GB20" s="208">
        <f t="shared" si="137"/>
        <v>0</v>
      </c>
      <c r="GC20" s="208">
        <f t="shared" si="138"/>
        <v>0</v>
      </c>
      <c r="GD20" s="208">
        <f t="shared" si="139"/>
        <v>0</v>
      </c>
      <c r="GE20" s="208" t="str">
        <f t="shared" si="140"/>
        <v>23m/ 23m/ 23m</v>
      </c>
      <c r="GF20" s="208" t="str">
        <f t="shared" si="141"/>
        <v>23/23/23</v>
      </c>
      <c r="GG20" s="208">
        <f t="shared" si="142"/>
        <v>23</v>
      </c>
      <c r="GH20" s="208">
        <f t="shared" si="143"/>
        <v>23</v>
      </c>
      <c r="GI20" s="208">
        <f t="shared" si="144"/>
        <v>23</v>
      </c>
      <c r="GJ20" s="208">
        <f t="shared" si="145"/>
        <v>0</v>
      </c>
      <c r="GK20" s="208">
        <f t="shared" si="146"/>
        <v>0</v>
      </c>
      <c r="GL20" s="208">
        <f t="shared" si="147"/>
        <v>0</v>
      </c>
      <c r="GM20" s="208" t="str">
        <f t="shared" si="148"/>
        <v>23m/ 23m/ 23m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23</v>
      </c>
      <c r="HV20" s="208">
        <f t="shared" si="182"/>
        <v>23</v>
      </c>
      <c r="HW20" s="208">
        <f t="shared" si="183"/>
        <v>0</v>
      </c>
      <c r="HX20" s="208">
        <f t="shared" si="184"/>
        <v>0</v>
      </c>
      <c r="HY20" s="208">
        <f t="shared" si="185"/>
        <v>0</v>
      </c>
      <c r="HZ20" s="208">
        <f t="shared" si="186"/>
        <v>0</v>
      </c>
      <c r="IA20" s="207">
        <f t="shared" si="187"/>
        <v>23</v>
      </c>
      <c r="IB20" s="207">
        <f t="shared" si="188"/>
        <v>2</v>
      </c>
      <c r="IC20" s="343" t="str">
        <f t="shared" si="189"/>
        <v>A</v>
      </c>
      <c r="ID20" s="343" t="str">
        <f t="shared" si="190"/>
        <v>03954</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128117</v>
      </c>
      <c r="E21" s="317" t="str">
        <f>Input!C21</f>
        <v>Cụm dân cư Phúc Hải 1, phường Đa Phúc, quận Dương Kinh, thành phố Hải Phòng</v>
      </c>
      <c r="F21" s="207" t="str">
        <f>Input!D21</f>
        <v>Hải Phòng</v>
      </c>
      <c r="G21" s="207">
        <f>Input!E21</f>
        <v>106.657939</v>
      </c>
      <c r="H21" s="207">
        <f>Input!F21</f>
        <v>20.790016</v>
      </c>
      <c r="I21" s="207">
        <f>Input!G21</f>
        <v>1</v>
      </c>
      <c r="J21" s="207">
        <f>Input!H21</f>
        <v>2</v>
      </c>
      <c r="K21" s="207" t="str">
        <f t="shared" si="0"/>
        <v>CÔNG TY CỔ PHẦN VIỄN THÔNG DI ĐỘNG VIETNAMOBILE;CÔNG TY CỔ PHẦN VIỄN THÔNG DI ĐỘNG VIETNAMOBILE</v>
      </c>
      <c r="L21" s="207" t="str">
        <f>Input!J21</f>
        <v>128117;128117</v>
      </c>
      <c r="M21" s="207" t="str">
        <f>Input!K21</f>
        <v>ERICSSON RBS 6601;ERICSSON RBS 6601</v>
      </c>
      <c r="N21" s="207" t="str">
        <f>Input!L21</f>
        <v>3;3</v>
      </c>
      <c r="O21" s="207" t="str">
        <f>Input!M21</f>
        <v>1/1/1   ;1/1/1   </v>
      </c>
      <c r="P21" s="207" t="str">
        <f>Input!N21</f>
        <v>80/80/80  ;80/80/80  </v>
      </c>
      <c r="Q21" s="207" t="str">
        <f>Input!O21</f>
        <v>900;2100</v>
      </c>
      <c r="R21" s="207" t="str">
        <f>Input!P21</f>
        <v>45/45/45;45/45/45</v>
      </c>
      <c r="S21" s="364" t="b">
        <f>Input!Q21</f>
        <v>1</v>
      </c>
      <c r="T21" s="207" t="str">
        <f>Input!R21</f>
        <v>A03955101019TG05</v>
      </c>
      <c r="U21" s="207">
        <f>Input!S21</f>
        <v>0</v>
      </c>
      <c r="V21" s="207" t="str">
        <f>Input!T21</f>
        <v>VCC1</v>
      </c>
      <c r="W21" s="207" t="str">
        <f>Input!U21</f>
        <v>1902257/19/TG/TT1</v>
      </c>
      <c r="X21" s="209" t="str">
        <f>TEXT(Input!V21,"dd/mm/yyyy")</f>
        <v>10/10/2019</v>
      </c>
      <c r="Y21" s="207" t="b">
        <f>Input!W21</f>
        <v>1</v>
      </c>
      <c r="Z21" s="364" t="b">
        <f>Input!X21</f>
        <v>1</v>
      </c>
      <c r="AA21" s="207">
        <f t="shared" si="1"/>
        <v>45</v>
      </c>
      <c r="AB21" s="364" t="b">
        <f>Input!Y21</f>
        <v>1</v>
      </c>
      <c r="AC21" s="207">
        <f>VALUE(Input!Z21)</f>
        <v>8</v>
      </c>
      <c r="AD21" s="207" t="b">
        <f>Input!AA21</f>
        <v>0</v>
      </c>
      <c r="AE21" s="207" t="str">
        <f>Input!AB21</f>
        <v>Ứng Văn Nguyện</v>
      </c>
      <c r="AF21" s="207" t="str">
        <f>Input!AC21</f>
        <v>Nguyễn Đức Nam</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quận Dương Kinh</v>
      </c>
      <c r="AR21" s="448" t="str">
        <f t="shared" si="5"/>
        <v>phường Đa Phúc</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128117</v>
      </c>
      <c r="BH21" s="208" t="str">
        <f t="shared" si="13"/>
        <v>128117</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900</v>
      </c>
      <c r="FS21" s="208" t="str">
        <f t="shared" si="128"/>
        <v>2100</v>
      </c>
      <c r="FT21" s="208" t="str">
        <f t="shared" si="129"/>
      </c>
      <c r="FU21" s="208" t="str">
        <f t="shared" si="130"/>
      </c>
      <c r="FV21" s="208" t="str">
        <f t="shared" si="131"/>
      </c>
      <c r="FW21" s="208" t="str">
        <f t="shared" si="132"/>
      </c>
      <c r="FX21" s="208" t="str">
        <f t="shared" si="133"/>
        <v>45/45/45</v>
      </c>
      <c r="FY21" s="208">
        <f t="shared" si="134"/>
        <v>45</v>
      </c>
      <c r="FZ21" s="208">
        <f t="shared" si="135"/>
        <v>45</v>
      </c>
      <c r="GA21" s="208">
        <f t="shared" si="136"/>
        <v>45</v>
      </c>
      <c r="GB21" s="208">
        <f t="shared" si="137"/>
        <v>0</v>
      </c>
      <c r="GC21" s="208">
        <f t="shared" si="138"/>
        <v>0</v>
      </c>
      <c r="GD21" s="208">
        <f t="shared" si="139"/>
        <v>0</v>
      </c>
      <c r="GE21" s="208" t="str">
        <f t="shared" si="140"/>
        <v>45m/ 45m/ 45m</v>
      </c>
      <c r="GF21" s="208" t="str">
        <f t="shared" si="141"/>
        <v>45/45/45</v>
      </c>
      <c r="GG21" s="208">
        <f t="shared" si="142"/>
        <v>45</v>
      </c>
      <c r="GH21" s="208">
        <f t="shared" si="143"/>
        <v>45</v>
      </c>
      <c r="GI21" s="208">
        <f t="shared" si="144"/>
        <v>45</v>
      </c>
      <c r="GJ21" s="208">
        <f t="shared" si="145"/>
        <v>0</v>
      </c>
      <c r="GK21" s="208">
        <f t="shared" si="146"/>
        <v>0</v>
      </c>
      <c r="GL21" s="208">
        <f t="shared" si="147"/>
        <v>0</v>
      </c>
      <c r="GM21" s="208" t="str">
        <f t="shared" si="148"/>
        <v>45m/ 45m/ 45m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45</v>
      </c>
      <c r="HV21" s="208">
        <f t="shared" si="182"/>
        <v>45</v>
      </c>
      <c r="HW21" s="208">
        <f t="shared" si="183"/>
        <v>0</v>
      </c>
      <c r="HX21" s="208">
        <f t="shared" si="184"/>
        <v>0</v>
      </c>
      <c r="HY21" s="208">
        <f t="shared" si="185"/>
        <v>0</v>
      </c>
      <c r="HZ21" s="208">
        <f t="shared" si="186"/>
        <v>0</v>
      </c>
      <c r="IA21" s="207">
        <f t="shared" si="187"/>
        <v>45</v>
      </c>
      <c r="IB21" s="207">
        <f t="shared" si="188"/>
        <v>37</v>
      </c>
      <c r="IC21" s="343" t="str">
        <f t="shared" si="189"/>
        <v>A</v>
      </c>
      <c r="ID21" s="343" t="str">
        <f t="shared" si="190"/>
        <v>03955</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128077</v>
      </c>
      <c r="E22" s="317" t="str">
        <f>Input!C22</f>
        <v>Km 14, đường 5, xã Lê Thiện, huyện An Dương, thành phố Hải Phòng</v>
      </c>
      <c r="F22" s="207" t="str">
        <f>Input!D22</f>
        <v>Hải Phòng</v>
      </c>
      <c r="G22" s="207">
        <f>Input!E22</f>
        <v>106.57121</v>
      </c>
      <c r="H22" s="207">
        <f>Input!F22</f>
        <v>20.909983</v>
      </c>
      <c r="I22" s="207">
        <f>Input!G22</f>
        <v>1</v>
      </c>
      <c r="J22" s="207">
        <f>Input!H22</f>
        <v>2</v>
      </c>
      <c r="K22" s="207" t="str">
        <f t="shared" si="0"/>
        <v>CÔNG TY CỔ PHẦN VIỄN THÔNG DI ĐỘNG VIETNAMOBILE;CÔNG TY CỔ PHẦN VIỄN THÔNG DI ĐỘNG VIETNAMOBILE</v>
      </c>
      <c r="L22" s="207" t="str">
        <f>Input!J22</f>
        <v>128077;128077</v>
      </c>
      <c r="M22" s="207" t="str">
        <f>Input!K22</f>
        <v>ERICSSON RBS 6601;ERICSSON RBS 6601</v>
      </c>
      <c r="N22" s="207" t="str">
        <f>Input!L22</f>
        <v>3;3</v>
      </c>
      <c r="O22" s="207" t="str">
        <f>Input!M22</f>
        <v>1/1/1   ;1/1/1   </v>
      </c>
      <c r="P22" s="207" t="str">
        <f>Input!N22</f>
        <v>80/80/80  ;80/80/80  </v>
      </c>
      <c r="Q22" s="207" t="str">
        <f>Input!O22</f>
        <v>900;2100</v>
      </c>
      <c r="R22" s="207" t="str">
        <f>Input!P22</f>
        <v>23/23/23;21/21/21</v>
      </c>
      <c r="S22" s="364" t="b">
        <f>Input!Q22</f>
        <v>1</v>
      </c>
      <c r="T22" s="207" t="str">
        <f>Input!R22</f>
        <v>A03956101019TG05</v>
      </c>
      <c r="U22" s="207">
        <f>Input!S22</f>
        <v>0</v>
      </c>
      <c r="V22" s="207" t="str">
        <f>Input!T22</f>
        <v>VCC1</v>
      </c>
      <c r="W22" s="207" t="str">
        <f>Input!U22</f>
        <v>1902249/19/TG/TT1</v>
      </c>
      <c r="X22" s="209" t="str">
        <f>TEXT(Input!V22,"dd/mm/yyyy")</f>
        <v>10/10/2019</v>
      </c>
      <c r="Y22" s="207" t="b">
        <f>Input!W22</f>
        <v>0</v>
      </c>
      <c r="Z22" s="364" t="b">
        <f>Input!X22</f>
        <v>0</v>
      </c>
      <c r="AA22" s="207">
        <f t="shared" si="1"/>
        <v>21</v>
      </c>
      <c r="AB22" s="364" t="b">
        <f>Input!Y22</f>
        <v>1</v>
      </c>
      <c r="AC22" s="207">
        <f>VALUE(Input!Z22)</f>
        <v>10</v>
      </c>
      <c r="AD22" s="207" t="b">
        <f>Input!AA22</f>
        <v>0</v>
      </c>
      <c r="AE22" s="207" t="str">
        <f>Input!AB22</f>
        <v>Ứng Văn Nguyện</v>
      </c>
      <c r="AF22" s="207" t="str">
        <f>Input!AC22</f>
        <v>Nguyễn Đức Nam</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4</v>
      </c>
      <c r="AP22" s="287" t="str">
        <f t="shared" si="3"/>
        <v>thành phố Hải Phòng</v>
      </c>
      <c r="AQ22" s="448" t="str">
        <f t="shared" si="4"/>
        <v>huyện An Dương</v>
      </c>
      <c r="AR22" s="448" t="str">
        <f t="shared" si="5"/>
        <v>xã Lê Thiện</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128077</v>
      </c>
      <c r="BH22" s="208" t="str">
        <f t="shared" si="13"/>
        <v>128077</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900</v>
      </c>
      <c r="FS22" s="208" t="str">
        <f t="shared" si="128"/>
        <v>2100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21/21/21</v>
      </c>
      <c r="GG22" s="208">
        <f t="shared" si="142"/>
        <v>21</v>
      </c>
      <c r="GH22" s="208">
        <f t="shared" si="143"/>
        <v>21</v>
      </c>
      <c r="GI22" s="208">
        <f t="shared" si="144"/>
        <v>21</v>
      </c>
      <c r="GJ22" s="208">
        <f t="shared" si="145"/>
        <v>0</v>
      </c>
      <c r="GK22" s="208">
        <f t="shared" si="146"/>
        <v>0</v>
      </c>
      <c r="GL22" s="208">
        <f t="shared" si="147"/>
        <v>0</v>
      </c>
      <c r="GM22" s="208" t="str">
        <f t="shared" si="148"/>
        <v>21m/ 21m/ 21m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21</v>
      </c>
      <c r="HW22" s="208">
        <f t="shared" si="183"/>
        <v>0</v>
      </c>
      <c r="HX22" s="208">
        <f t="shared" si="184"/>
        <v>0</v>
      </c>
      <c r="HY22" s="208">
        <f t="shared" si="185"/>
        <v>0</v>
      </c>
      <c r="HZ22" s="208">
        <f t="shared" si="186"/>
        <v>0</v>
      </c>
      <c r="IA22" s="207">
        <f t="shared" si="187"/>
        <v>21</v>
      </c>
      <c r="IB22" s="207">
        <f t="shared" si="188"/>
        <v>11</v>
      </c>
      <c r="IC22" s="343" t="str">
        <f t="shared" si="189"/>
        <v>A</v>
      </c>
      <c r="ID22" s="343" t="str">
        <f t="shared" si="190"/>
        <v>03956</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128044</v>
      </c>
      <c r="E23" s="317" t="str">
        <f>Input!C23</f>
        <v>Thôn Phú Xá, xã Lê Thiện, huyện An Dương, thành phố Hải Phòng</v>
      </c>
      <c r="F23" s="207" t="str">
        <f>Input!D23</f>
        <v>Hải Phòng</v>
      </c>
      <c r="G23" s="207">
        <f>Input!E23</f>
        <v>106.55422</v>
      </c>
      <c r="H23" s="207">
        <f>Input!F23</f>
        <v>20.9297</v>
      </c>
      <c r="I23" s="207">
        <f>Input!G23</f>
        <v>1</v>
      </c>
      <c r="J23" s="207">
        <f>Input!H23</f>
        <v>2</v>
      </c>
      <c r="K23" s="207" t="str">
        <f t="shared" si="0"/>
        <v>CÔNG TY CỔ PHẦN VIỄN THÔNG DI ĐỘNG VIETNAMOBILE;CÔNG TY CỔ PHẦN VIỄN THÔNG DI ĐỘNG VIETNAMOBILE</v>
      </c>
      <c r="L23" s="207" t="str">
        <f>Input!J23</f>
        <v>128044;128044</v>
      </c>
      <c r="M23" s="207" t="str">
        <f>Input!K23</f>
        <v>ERICSSON RBS 6601;ERICSSON RBS 6601</v>
      </c>
      <c r="N23" s="207" t="str">
        <f>Input!L23</f>
        <v>3;3</v>
      </c>
      <c r="O23" s="207" t="str">
        <f>Input!M23</f>
        <v>1/1/1   ;1/1/1   </v>
      </c>
      <c r="P23" s="207" t="str">
        <f>Input!N23</f>
        <v>80/80/80  ;80/80/80  </v>
      </c>
      <c r="Q23" s="207" t="str">
        <f>Input!O23</f>
        <v>900;2100</v>
      </c>
      <c r="R23" s="207" t="str">
        <f>Input!P23</f>
        <v>30/30/30;30/30/30</v>
      </c>
      <c r="S23" s="364" t="b">
        <f>Input!Q23</f>
        <v>1</v>
      </c>
      <c r="T23" s="207" t="str">
        <f>Input!R23</f>
        <v>A03957101019TG05</v>
      </c>
      <c r="U23" s="207">
        <f>Input!S23</f>
        <v>0</v>
      </c>
      <c r="V23" s="207" t="str">
        <f>Input!T23</f>
        <v>VCC1</v>
      </c>
      <c r="W23" s="207" t="str">
        <f>Input!U23</f>
        <v>1902237/19/TG/TT1</v>
      </c>
      <c r="X23" s="209" t="str">
        <f>TEXT(Input!V23,"dd/mm/yyyy")</f>
        <v>10/10/2019</v>
      </c>
      <c r="Y23" s="207" t="b">
        <f>Input!W23</f>
        <v>0</v>
      </c>
      <c r="Z23" s="364" t="b">
        <f>Input!X23</f>
        <v>0</v>
      </c>
      <c r="AA23" s="207">
        <f t="shared" si="1"/>
        <v>30</v>
      </c>
      <c r="AB23" s="364" t="b">
        <f>Input!Y23</f>
        <v>1</v>
      </c>
      <c r="AC23" s="207">
        <f>VALUE(Input!Z23)</f>
        <v>14</v>
      </c>
      <c r="AD23" s="207" t="b">
        <f>Input!AA23</f>
        <v>0</v>
      </c>
      <c r="AE23" s="207" t="str">
        <f>Input!AB23</f>
        <v>Ứng Văn Nguyện</v>
      </c>
      <c r="AF23" s="207" t="str">
        <f>Input!AC23</f>
        <v>Nguyễn Đức Nam</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An Dương</v>
      </c>
      <c r="AR23" s="448" t="str">
        <f t="shared" si="5"/>
        <v>xã Lê Thiện</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128044</v>
      </c>
      <c r="BH23" s="208" t="str">
        <f t="shared" si="13"/>
        <v>128044</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900</v>
      </c>
      <c r="FS23" s="208" t="str">
        <f t="shared" si="128"/>
        <v>2100</v>
      </c>
      <c r="FT23" s="208" t="str">
        <f t="shared" si="129"/>
      </c>
      <c r="FU23" s="208" t="str">
        <f t="shared" si="130"/>
      </c>
      <c r="FV23" s="208" t="str">
        <f t="shared" si="131"/>
      </c>
      <c r="FW23" s="208" t="str">
        <f t="shared" si="132"/>
      </c>
      <c r="FX23" s="208" t="str">
        <f t="shared" si="133"/>
        <v>30/30/30</v>
      </c>
      <c r="FY23" s="208">
        <f t="shared" si="134"/>
        <v>30</v>
      </c>
      <c r="FZ23" s="208">
        <f t="shared" si="135"/>
        <v>30</v>
      </c>
      <c r="GA23" s="208">
        <f t="shared" si="136"/>
        <v>30</v>
      </c>
      <c r="GB23" s="208">
        <f t="shared" si="137"/>
        <v>0</v>
      </c>
      <c r="GC23" s="208">
        <f t="shared" si="138"/>
        <v>0</v>
      </c>
      <c r="GD23" s="208">
        <f t="shared" si="139"/>
        <v>0</v>
      </c>
      <c r="GE23" s="208" t="str">
        <f t="shared" si="140"/>
        <v>30m/ 30m/ 30m</v>
      </c>
      <c r="GF23" s="208" t="str">
        <f t="shared" si="141"/>
        <v>30/30/30</v>
      </c>
      <c r="GG23" s="208">
        <f t="shared" si="142"/>
        <v>30</v>
      </c>
      <c r="GH23" s="208">
        <f t="shared" si="143"/>
        <v>30</v>
      </c>
      <c r="GI23" s="208">
        <f t="shared" si="144"/>
        <v>30</v>
      </c>
      <c r="GJ23" s="208">
        <f t="shared" si="145"/>
        <v>0</v>
      </c>
      <c r="GK23" s="208">
        <f t="shared" si="146"/>
        <v>0</v>
      </c>
      <c r="GL23" s="208">
        <f t="shared" si="147"/>
        <v>0</v>
      </c>
      <c r="GM23" s="208" t="str">
        <f t="shared" si="148"/>
        <v>30m/ 30m/ 30m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30</v>
      </c>
      <c r="HV23" s="208">
        <f t="shared" si="182"/>
        <v>30</v>
      </c>
      <c r="HW23" s="208">
        <f t="shared" si="183"/>
        <v>0</v>
      </c>
      <c r="HX23" s="208">
        <f t="shared" si="184"/>
        <v>0</v>
      </c>
      <c r="HY23" s="208">
        <f t="shared" si="185"/>
        <v>0</v>
      </c>
      <c r="HZ23" s="208">
        <f t="shared" si="186"/>
        <v>0</v>
      </c>
      <c r="IA23" s="207">
        <f t="shared" si="187"/>
        <v>30</v>
      </c>
      <c r="IB23" s="207">
        <f t="shared" si="188"/>
        <v>16</v>
      </c>
      <c r="IC23" s="343" t="str">
        <f t="shared" si="189"/>
        <v>A</v>
      </c>
      <c r="ID23" s="343" t="str">
        <f t="shared" si="190"/>
        <v>03957</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128525</v>
      </c>
      <c r="E24" s="317" t="str">
        <f>Input!C24</f>
        <v>Nhà máy VinFast Hải Phòng, xã Nghĩa Lộ, huyện Cát Hải, thành phố Hải Phòng</v>
      </c>
      <c r="F24" s="207" t="str">
        <f>Input!D24</f>
        <v>Hải Phòng</v>
      </c>
      <c r="G24" s="207">
        <f>Input!E24</f>
        <v>106.874202</v>
      </c>
      <c r="H24" s="207">
        <f>Input!F24</f>
        <v>20.805652</v>
      </c>
      <c r="I24" s="207">
        <f>Input!G24</f>
        <v>1</v>
      </c>
      <c r="J24" s="207">
        <f>Input!H24</f>
        <v>2</v>
      </c>
      <c r="K24" s="207" t="str">
        <f t="shared" si="0"/>
        <v>CÔNG TY CỔ PHẦN VIỄN THÔNG DI ĐỘNG VIETNAMOBILE;CÔNG TY CỔ PHẦN VIỄN THÔNG DI ĐỘNG VIETNAMOBILE</v>
      </c>
      <c r="L24" s="207" t="str">
        <f>Input!J24</f>
        <v>128525;128525</v>
      </c>
      <c r="M24" s="207" t="str">
        <f>Input!K24</f>
        <v>ERICSSON RBS 6320;ERICSSON RBS 6320</v>
      </c>
      <c r="N24" s="207" t="str">
        <f>Input!L24</f>
        <v>3;3</v>
      </c>
      <c r="O24" s="207" t="str">
        <f>Input!M24</f>
        <v>1/1/1   ;1/1/1   </v>
      </c>
      <c r="P24" s="207" t="str">
        <f>Input!N24</f>
        <v>80/80/80  ;80/80/80  </v>
      </c>
      <c r="Q24" s="207" t="str">
        <f>Input!O24</f>
        <v>900;2100</v>
      </c>
      <c r="R24" s="207" t="str">
        <f>Input!P24</f>
        <v>28/28/28;28/28/28</v>
      </c>
      <c r="S24" s="364" t="b">
        <f>Input!Q24</f>
        <v>1</v>
      </c>
      <c r="T24" s="207" t="str">
        <f>Input!R24</f>
        <v>A03958101019TG05</v>
      </c>
      <c r="U24" s="207">
        <f>Input!S24</f>
        <v>0</v>
      </c>
      <c r="V24" s="207" t="str">
        <f>Input!T24</f>
        <v>VCC1</v>
      </c>
      <c r="W24" s="207" t="str">
        <f>Input!U24</f>
        <v>1902279/19/TG/TT1</v>
      </c>
      <c r="X24" s="209" t="str">
        <f>TEXT(Input!V24,"dd/mm/yyyy")</f>
        <v>10/10/2019</v>
      </c>
      <c r="Y24" s="207" t="b">
        <f>Input!W24</f>
        <v>1</v>
      </c>
      <c r="Z24" s="364" t="b">
        <f>Input!X24</f>
        <v>1</v>
      </c>
      <c r="AA24" s="207">
        <f t="shared" si="1"/>
        <v>28</v>
      </c>
      <c r="AB24" s="364" t="b">
        <f>Input!Y24</f>
        <v>0</v>
      </c>
      <c r="AC24" s="207">
        <f>VALUE(Input!Z24)</f>
        <v>0</v>
      </c>
      <c r="AD24" s="207" t="b">
        <f>Input!AA24</f>
        <v>0</v>
      </c>
      <c r="AE24" s="207" t="str">
        <f>Input!AB24</f>
        <v>Ứng Văn Nguyện</v>
      </c>
      <c r="AF24" s="207" t="str">
        <f>Input!AC24</f>
        <v>Nguyễn Đức Nam</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Cát Hải</v>
      </c>
      <c r="AR24" s="448" t="str">
        <f t="shared" si="5"/>
        <v>xã Nghĩa Lộ</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128525</v>
      </c>
      <c r="BH24" s="208" t="str">
        <f t="shared" si="13"/>
        <v>128525</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900</v>
      </c>
      <c r="FS24" s="208" t="str">
        <f t="shared" si="128"/>
        <v>2100</v>
      </c>
      <c r="FT24" s="208" t="str">
        <f t="shared" si="129"/>
      </c>
      <c r="FU24" s="208" t="str">
        <f t="shared" si="130"/>
      </c>
      <c r="FV24" s="208" t="str">
        <f t="shared" si="131"/>
      </c>
      <c r="FW24" s="208" t="str">
        <f t="shared" si="132"/>
      </c>
      <c r="FX24" s="208" t="str">
        <f t="shared" si="133"/>
        <v>28/28/28</v>
      </c>
      <c r="FY24" s="208">
        <f t="shared" si="134"/>
        <v>28</v>
      </c>
      <c r="FZ24" s="208">
        <f t="shared" si="135"/>
        <v>28</v>
      </c>
      <c r="GA24" s="208">
        <f t="shared" si="136"/>
        <v>28</v>
      </c>
      <c r="GB24" s="208">
        <f t="shared" si="137"/>
        <v>0</v>
      </c>
      <c r="GC24" s="208">
        <f t="shared" si="138"/>
        <v>0</v>
      </c>
      <c r="GD24" s="208">
        <f t="shared" si="139"/>
        <v>0</v>
      </c>
      <c r="GE24" s="208" t="str">
        <f t="shared" si="140"/>
        <v>28m/ 28m/ 28m</v>
      </c>
      <c r="GF24" s="208" t="str">
        <f t="shared" si="141"/>
        <v>28/28/28</v>
      </c>
      <c r="GG24" s="208">
        <f t="shared" si="142"/>
        <v>28</v>
      </c>
      <c r="GH24" s="208">
        <f t="shared" si="143"/>
        <v>28</v>
      </c>
      <c r="GI24" s="208">
        <f t="shared" si="144"/>
        <v>28</v>
      </c>
      <c r="GJ24" s="208">
        <f t="shared" si="145"/>
        <v>0</v>
      </c>
      <c r="GK24" s="208">
        <f t="shared" si="146"/>
        <v>0</v>
      </c>
      <c r="GL24" s="208">
        <f t="shared" si="147"/>
        <v>0</v>
      </c>
      <c r="GM24" s="208" t="str">
        <f t="shared" si="148"/>
        <v>28m/ 28m/ 28m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28</v>
      </c>
      <c r="HV24" s="208">
        <f t="shared" si="182"/>
        <v>28</v>
      </c>
      <c r="HW24" s="208">
        <f t="shared" si="183"/>
        <v>0</v>
      </c>
      <c r="HX24" s="208">
        <f t="shared" si="184"/>
        <v>0</v>
      </c>
      <c r="HY24" s="208">
        <f t="shared" si="185"/>
        <v>0</v>
      </c>
      <c r="HZ24" s="208">
        <f t="shared" si="186"/>
        <v>0</v>
      </c>
      <c r="IA24" s="207">
        <f t="shared" si="187"/>
        <v>28</v>
      </c>
      <c r="IB24" s="207">
        <f t="shared" si="188"/>
        <v>28</v>
      </c>
      <c r="IC24" s="343" t="str">
        <f t="shared" si="189"/>
        <v>A</v>
      </c>
      <c r="ID24" s="343" t="str">
        <f t="shared" si="190"/>
        <v>03958</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128002</v>
      </c>
      <c r="E25" s="317" t="str">
        <f>Input!C25</f>
        <v>Đồi 45, trạm phát sóng truyền hình Cát Bà, thị trấn Cát Bà, huyện Cát Hải, thành phố Hải Phòng</v>
      </c>
      <c r="F25" s="207" t="str">
        <f>Input!D25</f>
        <v>Hải Phòng</v>
      </c>
      <c r="G25" s="207">
        <f>Input!E25</f>
        <v>107.046844</v>
      </c>
      <c r="H25" s="207">
        <f>Input!F25</f>
        <v>20.729484</v>
      </c>
      <c r="I25" s="207">
        <f>Input!G25</f>
        <v>1</v>
      </c>
      <c r="J25" s="207">
        <f>Input!H25</f>
        <v>2</v>
      </c>
      <c r="K25" s="207" t="str">
        <f t="shared" si="0"/>
        <v>CÔNG TY CỔ PHẦN VIỄN THÔNG DI ĐỘNG VIETNAMOBILE;CÔNG TY CỔ PHẦN VIỄN THÔNG DI ĐỘNG VIETNAMOBILE</v>
      </c>
      <c r="L25" s="207" t="str">
        <f>Input!J25</f>
        <v>128002;128002</v>
      </c>
      <c r="M25" s="207" t="str">
        <f>Input!K25</f>
        <v>ERICSSON RBS 2216;ERICSSON RBS 6601</v>
      </c>
      <c r="N25" s="207" t="str">
        <f>Input!L25</f>
        <v>3;3</v>
      </c>
      <c r="O25" s="207" t="str">
        <f>Input!M25</f>
        <v>2/2/2;1/1/1   </v>
      </c>
      <c r="P25" s="207" t="str">
        <f>Input!N25</f>
        <v>80/80/80  ;80/80/80  </v>
      </c>
      <c r="Q25" s="207" t="str">
        <f>Input!O25</f>
        <v>900;2100</v>
      </c>
      <c r="R25" s="207" t="str">
        <f>Input!P25</f>
        <v>35/35/35;35/35/35</v>
      </c>
      <c r="S25" s="364" t="b">
        <f>Input!Q25</f>
        <v>1</v>
      </c>
      <c r="T25" s="207" t="str">
        <f>Input!R25</f>
        <v>A03959101019TG05</v>
      </c>
      <c r="U25" s="207">
        <f>Input!S25</f>
        <v>0</v>
      </c>
      <c r="V25" s="207" t="str">
        <f>Input!T25</f>
        <v>VCC1</v>
      </c>
      <c r="W25" s="207" t="str">
        <f>Input!U25</f>
        <v>1903343/19/TG/TT1</v>
      </c>
      <c r="X25" s="209" t="str">
        <f>TEXT(Input!V25,"dd/mm/yyyy")</f>
        <v>10/10/2019</v>
      </c>
      <c r="Y25" s="207" t="b">
        <f>Input!W25</f>
        <v>1</v>
      </c>
      <c r="Z25" s="364" t="b">
        <f>Input!X25</f>
        <v>1</v>
      </c>
      <c r="AA25" s="207">
        <f t="shared" si="1"/>
        <v>35</v>
      </c>
      <c r="AB25" s="364" t="b">
        <f>Input!Y25</f>
        <v>0</v>
      </c>
      <c r="AC25" s="207">
        <f>VALUE(Input!Z25)</f>
        <v>0</v>
      </c>
      <c r="AD25" s="207" t="b">
        <f>Input!AA25</f>
        <v>0</v>
      </c>
      <c r="AE25" s="207" t="str">
        <f>Input!AB25</f>
        <v>Ứng Văn Nguyện</v>
      </c>
      <c r="AF25" s="207" t="str">
        <f>Input!AC25</f>
        <v>Nguyễn Đức Nam</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Cát Hải</v>
      </c>
      <c r="AR25" s="448" t="str">
        <f t="shared" si="5"/>
        <v>thị trấn Cát Bà</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128002</v>
      </c>
      <c r="BH25" s="208" t="str">
        <f t="shared" si="13"/>
        <v>128002</v>
      </c>
      <c r="BI25" s="208" t="str">
        <f t="shared" si="14"/>
      </c>
      <c r="BJ25" s="208" t="str">
        <f t="shared" si="15"/>
      </c>
      <c r="BK25" s="208" t="str">
        <f t="shared" si="16"/>
      </c>
      <c r="BL25" s="208" t="str">
        <f t="shared" si="17"/>
      </c>
      <c r="BM25" s="208" t="str">
        <f t="shared" si="18"/>
        <v>ERICSSON RBS 2216</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2/2/2</v>
      </c>
      <c r="BZ25" s="208">
        <f t="shared" si="31"/>
        <v>2</v>
      </c>
      <c r="CA25" s="208">
        <f t="shared" si="32"/>
        <v>2</v>
      </c>
      <c r="CB25" s="208">
        <f t="shared" si="33"/>
        <v>2</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900</v>
      </c>
      <c r="FS25" s="208" t="str">
        <f t="shared" si="128"/>
        <v>2100</v>
      </c>
      <c r="FT25" s="208" t="str">
        <f t="shared" si="129"/>
      </c>
      <c r="FU25" s="208" t="str">
        <f t="shared" si="130"/>
      </c>
      <c r="FV25" s="208" t="str">
        <f t="shared" si="131"/>
      </c>
      <c r="FW25" s="208" t="str">
        <f t="shared" si="132"/>
      </c>
      <c r="FX25" s="208" t="str">
        <f t="shared" si="133"/>
        <v>35/35/35</v>
      </c>
      <c r="FY25" s="208">
        <f t="shared" si="134"/>
        <v>35</v>
      </c>
      <c r="FZ25" s="208">
        <f t="shared" si="135"/>
        <v>35</v>
      </c>
      <c r="GA25" s="208">
        <f t="shared" si="136"/>
        <v>35</v>
      </c>
      <c r="GB25" s="208">
        <f t="shared" si="137"/>
        <v>0</v>
      </c>
      <c r="GC25" s="208">
        <f t="shared" si="138"/>
        <v>0</v>
      </c>
      <c r="GD25" s="208">
        <f t="shared" si="139"/>
        <v>0</v>
      </c>
      <c r="GE25" s="208" t="str">
        <f t="shared" si="140"/>
        <v>35m/ 35m/ 35m</v>
      </c>
      <c r="GF25" s="208" t="str">
        <f t="shared" si="141"/>
        <v>35/35/35</v>
      </c>
      <c r="GG25" s="208">
        <f t="shared" si="142"/>
        <v>35</v>
      </c>
      <c r="GH25" s="208">
        <f t="shared" si="143"/>
        <v>35</v>
      </c>
      <c r="GI25" s="208">
        <f t="shared" si="144"/>
        <v>35</v>
      </c>
      <c r="GJ25" s="208">
        <f t="shared" si="145"/>
        <v>0</v>
      </c>
      <c r="GK25" s="208">
        <f t="shared" si="146"/>
        <v>0</v>
      </c>
      <c r="GL25" s="208">
        <f t="shared" si="147"/>
        <v>0</v>
      </c>
      <c r="GM25" s="208" t="str">
        <f t="shared" si="148"/>
        <v>35m/ 35m/ 35m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35</v>
      </c>
      <c r="HV25" s="208">
        <f t="shared" si="182"/>
        <v>35</v>
      </c>
      <c r="HW25" s="208">
        <f t="shared" si="183"/>
        <v>0</v>
      </c>
      <c r="HX25" s="208">
        <f t="shared" si="184"/>
        <v>0</v>
      </c>
      <c r="HY25" s="208">
        <f t="shared" si="185"/>
        <v>0</v>
      </c>
      <c r="HZ25" s="208">
        <f t="shared" si="186"/>
        <v>0</v>
      </c>
      <c r="IA25" s="207">
        <f t="shared" si="187"/>
        <v>35</v>
      </c>
      <c r="IB25" s="207">
        <f t="shared" si="188"/>
        <v>35</v>
      </c>
      <c r="IC25" s="343" t="str">
        <f t="shared" si="189"/>
        <v>A</v>
      </c>
      <c r="ID25" s="343" t="str">
        <f t="shared" si="190"/>
        <v>03959</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149173</v>
      </c>
      <c r="E26" s="317" t="str">
        <f>Input!C26</f>
        <v>Tổ 2, khu 5, phường Hồng Hà, thành phố Hạ Long, tỉnh Quảng Ninh</v>
      </c>
      <c r="F26" s="207" t="str">
        <f>Input!D26</f>
        <v>Quảng Ninh</v>
      </c>
      <c r="G26" s="207">
        <f>Input!E26</f>
        <v>107.1256</v>
      </c>
      <c r="H26" s="207">
        <f>Input!F26</f>
        <v>20.94673</v>
      </c>
      <c r="I26" s="207">
        <f>Input!G26</f>
        <v>1</v>
      </c>
      <c r="J26" s="207">
        <f>Input!H26</f>
        <v>1</v>
      </c>
      <c r="K26" s="207" t="str">
        <f t="shared" si="0"/>
        <v>CÔNG TY CỔ PHẦN VIỄN THÔNG DI ĐỘNG VIETNAMOBILE</v>
      </c>
      <c r="L26" s="207">
        <f>Input!J26</f>
        <v>149173</v>
      </c>
      <c r="M26" s="207" t="str">
        <f>Input!K26</f>
        <v>ERICSSON RBS 6320</v>
      </c>
      <c r="N26" s="207">
        <f>Input!L26</f>
        <v>3</v>
      </c>
      <c r="O26" s="207" t="str">
        <f>Input!M26</f>
        <v>1/1/1   </v>
      </c>
      <c r="P26" s="207" t="str">
        <f>Input!N26</f>
        <v>80/80/80  </v>
      </c>
      <c r="Q26" s="207">
        <f>Input!O26</f>
        <v>2100</v>
      </c>
      <c r="R26" s="207" t="str">
        <f>Input!P26</f>
        <v>23/23/23</v>
      </c>
      <c r="S26" s="364" t="b">
        <f>Input!Q26</f>
        <v>1</v>
      </c>
      <c r="T26" s="207" t="str">
        <f>Input!R26</f>
        <v>A03960101019TG05</v>
      </c>
      <c r="U26" s="207">
        <f>Input!S26</f>
        <v>0</v>
      </c>
      <c r="V26" s="207" t="str">
        <f>Input!T26</f>
        <v>VCC1</v>
      </c>
      <c r="W26" s="207" t="str">
        <f>Input!U26</f>
        <v>1903304/19/TG/TT1</v>
      </c>
      <c r="X26" s="209" t="str">
        <f>TEXT(Input!V26,"dd/mm/yyyy")</f>
        <v>10/10/2019</v>
      </c>
      <c r="Y26" s="207" t="b">
        <f>Input!W26</f>
        <v>0</v>
      </c>
      <c r="Z26" s="364" t="b">
        <f>Input!X26</f>
        <v>0</v>
      </c>
      <c r="AA26" s="207">
        <f t="shared" si="1"/>
        <v>23</v>
      </c>
      <c r="AB26" s="364" t="b">
        <f>Input!Y26</f>
        <v>1</v>
      </c>
      <c r="AC26" s="207">
        <f>VALUE(Input!Z26)</f>
        <v>10</v>
      </c>
      <c r="AD26" s="207" t="b">
        <f>Input!AA26</f>
        <v>0</v>
      </c>
      <c r="AE26" s="207" t="str">
        <f>Input!AB26</f>
        <v>Ứng Văn Nguyện</v>
      </c>
      <c r="AF26" s="207" t="str">
        <f>Input!AC26</f>
        <v>Nguyễn Đức Nam</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4</v>
      </c>
      <c r="AP26" s="287" t="str">
        <f t="shared" si="3"/>
        <v>tỉnh Quảng Ninh</v>
      </c>
      <c r="AQ26" s="448" t="str">
        <f t="shared" si="4"/>
        <v>thành phố Hạ Long</v>
      </c>
      <c r="AR26" s="448" t="str">
        <f t="shared" si="5"/>
        <v>phường Hồng Hà</v>
      </c>
      <c r="AS26" s="449" t="str">
        <f>INDEX(CityIDList,MATCH(F26,CityNameList,0))</f>
        <v>QNH</v>
      </c>
      <c r="AT26" s="208" t="str">
        <f>IF(J26&gt;=1,INDEX(OperatorNameList,MATCH(AZ26,OperatorIDList,0)),"")</f>
        <v>CÔNG TY CỔ PHẦN VIỄN THÔNG DI ĐỘNG VIETNAMOBILE</v>
      </c>
      <c r="AU26" s="208" t="str">
        <f>IF(J26&gt;=2,INDEX(OperatorNameList,MATCH(BA26,OperatorIDList,0)),"")</f>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c>
      <c r="BB26" s="208" t="str">
        <f t="shared" si="8"/>
      </c>
      <c r="BC26" s="208" t="str">
        <f t="shared" si="9"/>
      </c>
      <c r="BD26" s="208" t="str">
        <f t="shared" si="10"/>
      </c>
      <c r="BE26" s="208" t="str">
        <f t="shared" si="11"/>
      </c>
      <c r="BF26" s="208" t="str">
        <f>Input!I26</f>
        <v>VNMOBILE</v>
      </c>
      <c r="BG26" s="208" t="str">
        <f t="shared" si="12"/>
        <v>149173</v>
      </c>
      <c r="BH26" s="208" t="str">
        <f t="shared" si="13"/>
      </c>
      <c r="BI26" s="208" t="str">
        <f t="shared" si="14"/>
      </c>
      <c r="BJ26" s="208" t="str">
        <f t="shared" si="15"/>
      </c>
      <c r="BK26" s="208" t="str">
        <f t="shared" si="16"/>
      </c>
      <c r="BL26" s="208" t="str">
        <f t="shared" si="17"/>
      </c>
      <c r="BM26" s="208" t="str">
        <f t="shared" si="18"/>
        <v>ERICSSON RBS 6320</v>
      </c>
      <c r="BN26" s="208" t="str">
        <f t="shared" si="19"/>
      </c>
      <c r="BO26" s="208" t="str">
        <f t="shared" si="20"/>
      </c>
      <c r="BP26" s="208" t="str">
        <f t="shared" si="21"/>
      </c>
      <c r="BQ26" s="208" t="str">
        <f t="shared" si="22"/>
      </c>
      <c r="BR26" s="208" t="str">
        <f t="shared" si="23"/>
      </c>
      <c r="BS26" s="208">
        <f t="shared" si="24"/>
        <v>3</v>
      </c>
      <c r="BT26" s="208">
        <f t="shared" si="25"/>
        <v>0</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c>
      <c r="CG26" s="208">
        <f t="shared" si="38"/>
        <v>0</v>
      </c>
      <c r="CH26" s="208">
        <f t="shared" si="39"/>
        <v>0</v>
      </c>
      <c r="CI26" s="208">
        <f t="shared" si="40"/>
        <v>0</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c>
      <c r="DY26" s="208">
        <f t="shared" si="82"/>
        <v>0</v>
      </c>
      <c r="DZ26" s="208">
        <f t="shared" si="83"/>
        <v>0</v>
      </c>
      <c r="EA26" s="208">
        <f t="shared" si="84"/>
        <v>0</v>
      </c>
      <c r="EB26" s="208">
        <f t="shared" si="85"/>
        <v>0</v>
      </c>
      <c r="EC26" s="208">
        <f t="shared" si="86"/>
        <v>0</v>
      </c>
      <c r="ED26" s="208">
        <f t="shared" si="87"/>
        <v>0</v>
      </c>
      <c r="EE26" s="208" t="str">
        <f t="shared" si="88"/>
      </c>
      <c r="EF26" s="208">
        <f t="shared" si="89"/>
        <v>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c>
      <c r="FT26" s="208" t="str">
        <f t="shared" si="129"/>
      </c>
      <c r="FU26" s="208" t="str">
        <f t="shared" si="130"/>
      </c>
      <c r="FV26" s="208" t="str">
        <f t="shared" si="131"/>
      </c>
      <c r="FW26" s="208" t="str">
        <f t="shared" si="132"/>
      </c>
      <c r="FX26" s="208" t="str">
        <f t="shared" si="133"/>
        <v>23/23/23</v>
      </c>
      <c r="FY26" s="208">
        <f t="shared" si="134"/>
        <v>23</v>
      </c>
      <c r="FZ26" s="208">
        <f t="shared" si="135"/>
        <v>23</v>
      </c>
      <c r="GA26" s="208">
        <f t="shared" si="136"/>
        <v>23</v>
      </c>
      <c r="GB26" s="208">
        <f t="shared" si="137"/>
        <v>0</v>
      </c>
      <c r="GC26" s="208">
        <f t="shared" si="138"/>
        <v>0</v>
      </c>
      <c r="GD26" s="208">
        <f t="shared" si="139"/>
        <v>0</v>
      </c>
      <c r="GE26" s="208" t="str">
        <f t="shared" si="140"/>
        <v>23m/ 23m/ 23m</v>
      </c>
      <c r="GF26" s="208" t="str">
        <f t="shared" si="141"/>
      </c>
      <c r="GG26" s="208">
        <f t="shared" si="142"/>
        <v>0</v>
      </c>
      <c r="GH26" s="208">
        <f t="shared" si="143"/>
        <v>0</v>
      </c>
      <c r="GI26" s="208">
        <f t="shared" si="144"/>
        <v>0</v>
      </c>
      <c r="GJ26" s="208">
        <f t="shared" si="145"/>
        <v>0</v>
      </c>
      <c r="GK26" s="208">
        <f t="shared" si="146"/>
        <v>0</v>
      </c>
      <c r="GL26" s="208">
        <f t="shared" si="147"/>
        <v>0</v>
      </c>
      <c r="GM26" s="208" t="str">
        <f t="shared" si="148"/>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23</v>
      </c>
      <c r="HV26" s="208">
        <f t="shared" si="182"/>
        <v>0</v>
      </c>
      <c r="HW26" s="208">
        <f t="shared" si="183"/>
        <v>0</v>
      </c>
      <c r="HX26" s="208">
        <f t="shared" si="184"/>
        <v>0</v>
      </c>
      <c r="HY26" s="208">
        <f t="shared" si="185"/>
        <v>0</v>
      </c>
      <c r="HZ26" s="208">
        <f t="shared" si="186"/>
        <v>0</v>
      </c>
      <c r="IA26" s="207">
        <f t="shared" si="187"/>
        <v>23</v>
      </c>
      <c r="IB26" s="207">
        <f t="shared" si="188"/>
        <v>13</v>
      </c>
      <c r="IC26" s="343" t="str">
        <f t="shared" si="189"/>
        <v>A</v>
      </c>
      <c r="ID26" s="343" t="str">
        <f t="shared" si="190"/>
        <v>03960</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127510</v>
      </c>
      <c r="E27" s="317" t="str">
        <f>Input!C27</f>
        <v>Khu dân cư Phao Sơn, phường Phả Lại, thành phố Chí Linh, tỉnh Hải Dương</v>
      </c>
      <c r="F27" s="207" t="str">
        <f>Input!D27</f>
        <v>Hải Dương</v>
      </c>
      <c r="G27" s="207">
        <f>Input!E27</f>
        <v>106.3224</v>
      </c>
      <c r="H27" s="207">
        <f>Input!F27</f>
        <v>21.11631</v>
      </c>
      <c r="I27" s="207">
        <f>Input!G27</f>
        <v>1</v>
      </c>
      <c r="J27" s="207">
        <f>Input!H27</f>
        <v>1</v>
      </c>
      <c r="K27" s="207" t="str">
        <f t="shared" si="0"/>
        <v>CÔNG TY CỔ PHẦN VIỄN THÔNG DI ĐỘNG VIETNAMOBILE</v>
      </c>
      <c r="L27" s="207">
        <f>Input!J27</f>
        <v>127510</v>
      </c>
      <c r="M27" s="207" t="str">
        <f>Input!K27</f>
        <v>ERICSSON RBS 6320</v>
      </c>
      <c r="N27" s="207">
        <f>Input!L27</f>
        <v>3</v>
      </c>
      <c r="O27" s="207" t="str">
        <f>Input!M27</f>
        <v>1/1/1   </v>
      </c>
      <c r="P27" s="207" t="str">
        <f>Input!N27</f>
        <v>80/80/80  </v>
      </c>
      <c r="Q27" s="207">
        <f>Input!O27</f>
        <v>2100</v>
      </c>
      <c r="R27" s="207" t="str">
        <f>Input!P27</f>
        <v>34/34/34</v>
      </c>
      <c r="S27" s="364" t="b">
        <f>Input!Q27</f>
        <v>1</v>
      </c>
      <c r="T27" s="207" t="str">
        <f>Input!R27</f>
        <v>A03961101019TG05</v>
      </c>
      <c r="U27" s="207">
        <f>Input!S27</f>
        <v>0</v>
      </c>
      <c r="V27" s="207" t="str">
        <f>Input!T27</f>
        <v>VCC1</v>
      </c>
      <c r="W27" s="207" t="str">
        <f>Input!U27</f>
        <v>1903322/19/TG/TT1</v>
      </c>
      <c r="X27" s="209" t="str">
        <f>TEXT(Input!V27,"dd/mm/yyyy")</f>
        <v>10/10/2019</v>
      </c>
      <c r="Y27" s="207" t="b">
        <f>Input!W27</f>
        <v>1</v>
      </c>
      <c r="Z27" s="364" t="b">
        <f>Input!X27</f>
        <v>0</v>
      </c>
      <c r="AA27" s="207">
        <f t="shared" si="1"/>
        <v>34</v>
      </c>
      <c r="AB27" s="364" t="b">
        <f>Input!Y27</f>
        <v>1</v>
      </c>
      <c r="AC27" s="207">
        <f>VALUE(Input!Z27)</f>
        <v>10</v>
      </c>
      <c r="AD27" s="207" t="b">
        <f>Input!AA27</f>
        <v>0</v>
      </c>
      <c r="AE27" s="207" t="str">
        <f>Input!AB27</f>
        <v>Ứng Văn Nguyện</v>
      </c>
      <c r="AF27" s="207" t="str">
        <f>Input!AC27</f>
        <v>Nguyễn Đức Nam</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3</v>
      </c>
      <c r="AP27" s="287" t="str">
        <f t="shared" si="3"/>
        <v>tỉnh Hải Dương</v>
      </c>
      <c r="AQ27" s="448" t="str">
        <f t="shared" si="4"/>
        <v>thành phố Chí Linh</v>
      </c>
      <c r="AR27" s="448" t="str">
        <f t="shared" si="5"/>
        <v>phường Phả Lại</v>
      </c>
      <c r="AS27" s="449" t="str">
        <f>INDEX(CityIDList,MATCH(F27,CityNameList,0))</f>
        <v>HDG</v>
      </c>
      <c r="AT27" s="208" t="str">
        <f>IF(J27&gt;=1,INDEX(OperatorNameList,MATCH(AZ27,OperatorIDList,0)),"")</f>
        <v>CÔNG TY CỔ PHẦN VIỄN THÔNG DI ĐỘNG VIETNAMOBILE</v>
      </c>
      <c r="AU27" s="208" t="str">
        <f>IF(J27&gt;=2,INDEX(OperatorNameList,MATCH(BA27,OperatorIDList,0)),"")</f>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c>
      <c r="BB27" s="208" t="str">
        <f t="shared" si="8"/>
      </c>
      <c r="BC27" s="208" t="str">
        <f t="shared" si="9"/>
      </c>
      <c r="BD27" s="208" t="str">
        <f t="shared" si="10"/>
      </c>
      <c r="BE27" s="208" t="str">
        <f t="shared" si="11"/>
      </c>
      <c r="BF27" s="208" t="str">
        <f>Input!I27</f>
        <v>VNMOBILE</v>
      </c>
      <c r="BG27" s="208" t="str">
        <f t="shared" si="12"/>
        <v>127510</v>
      </c>
      <c r="BH27" s="208" t="str">
        <f t="shared" si="13"/>
      </c>
      <c r="BI27" s="208" t="str">
        <f t="shared" si="14"/>
      </c>
      <c r="BJ27" s="208" t="str">
        <f t="shared" si="15"/>
      </c>
      <c r="BK27" s="208" t="str">
        <f t="shared" si="16"/>
      </c>
      <c r="BL27" s="208" t="str">
        <f t="shared" si="17"/>
      </c>
      <c r="BM27" s="208" t="str">
        <f t="shared" si="18"/>
        <v>ERICSSON RBS 6320</v>
      </c>
      <c r="BN27" s="208" t="str">
        <f t="shared" si="19"/>
      </c>
      <c r="BO27" s="208" t="str">
        <f t="shared" si="20"/>
      </c>
      <c r="BP27" s="208" t="str">
        <f t="shared" si="21"/>
      </c>
      <c r="BQ27" s="208" t="str">
        <f t="shared" si="22"/>
      </c>
      <c r="BR27" s="208" t="str">
        <f t="shared" si="23"/>
      </c>
      <c r="BS27" s="208">
        <f t="shared" si="24"/>
        <v>3</v>
      </c>
      <c r="BT27" s="208">
        <f t="shared" si="25"/>
        <v>0</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c>
      <c r="CG27" s="208">
        <f t="shared" si="38"/>
        <v>0</v>
      </c>
      <c r="CH27" s="208">
        <f t="shared" si="39"/>
        <v>0</v>
      </c>
      <c r="CI27" s="208">
        <f t="shared" si="40"/>
        <v>0</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c>
      <c r="DY27" s="208">
        <f t="shared" si="82"/>
        <v>0</v>
      </c>
      <c r="DZ27" s="208">
        <f t="shared" si="83"/>
        <v>0</v>
      </c>
      <c r="EA27" s="208">
        <f t="shared" si="84"/>
        <v>0</v>
      </c>
      <c r="EB27" s="208">
        <f t="shared" si="85"/>
        <v>0</v>
      </c>
      <c r="EC27" s="208">
        <f t="shared" si="86"/>
        <v>0</v>
      </c>
      <c r="ED27" s="208">
        <f t="shared" si="87"/>
        <v>0</v>
      </c>
      <c r="EE27" s="208" t="str">
        <f t="shared" si="88"/>
      </c>
      <c r="EF27" s="208">
        <f t="shared" si="89"/>
        <v>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c>
      <c r="FT27" s="208" t="str">
        <f t="shared" si="129"/>
      </c>
      <c r="FU27" s="208" t="str">
        <f t="shared" si="130"/>
      </c>
      <c r="FV27" s="208" t="str">
        <f t="shared" si="131"/>
      </c>
      <c r="FW27" s="208" t="str">
        <f t="shared" si="132"/>
      </c>
      <c r="FX27" s="208" t="str">
        <f t="shared" si="133"/>
        <v>34/34/34</v>
      </c>
      <c r="FY27" s="208">
        <f t="shared" si="134"/>
        <v>34</v>
      </c>
      <c r="FZ27" s="208">
        <f t="shared" si="135"/>
        <v>34</v>
      </c>
      <c r="GA27" s="208">
        <f t="shared" si="136"/>
        <v>34</v>
      </c>
      <c r="GB27" s="208">
        <f t="shared" si="137"/>
        <v>0</v>
      </c>
      <c r="GC27" s="208">
        <f t="shared" si="138"/>
        <v>0</v>
      </c>
      <c r="GD27" s="208">
        <f t="shared" si="139"/>
        <v>0</v>
      </c>
      <c r="GE27" s="208" t="str">
        <f t="shared" si="140"/>
        <v>34m/ 34m/ 34m</v>
      </c>
      <c r="GF27" s="208" t="str">
        <f t="shared" si="141"/>
      </c>
      <c r="GG27" s="208">
        <f t="shared" si="142"/>
        <v>0</v>
      </c>
      <c r="GH27" s="208">
        <f t="shared" si="143"/>
        <v>0</v>
      </c>
      <c r="GI27" s="208">
        <f t="shared" si="144"/>
        <v>0</v>
      </c>
      <c r="GJ27" s="208">
        <f t="shared" si="145"/>
        <v>0</v>
      </c>
      <c r="GK27" s="208">
        <f t="shared" si="146"/>
        <v>0</v>
      </c>
      <c r="GL27" s="208">
        <f t="shared" si="147"/>
        <v>0</v>
      </c>
      <c r="GM27" s="208" t="str">
        <f t="shared" si="148"/>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34</v>
      </c>
      <c r="HV27" s="208">
        <f t="shared" si="182"/>
        <v>0</v>
      </c>
      <c r="HW27" s="208">
        <f t="shared" si="183"/>
        <v>0</v>
      </c>
      <c r="HX27" s="208">
        <f t="shared" si="184"/>
        <v>0</v>
      </c>
      <c r="HY27" s="208">
        <f t="shared" si="185"/>
        <v>0</v>
      </c>
      <c r="HZ27" s="208">
        <f t="shared" si="186"/>
        <v>0</v>
      </c>
      <c r="IA27" s="207">
        <f t="shared" si="187"/>
        <v>34</v>
      </c>
      <c r="IB27" s="207">
        <f t="shared" si="188"/>
        <v>24</v>
      </c>
      <c r="IC27" s="343" t="str">
        <f t="shared" si="189"/>
        <v>A</v>
      </c>
      <c r="ID27" s="343" t="str">
        <f t="shared" si="190"/>
        <v>03961</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127143</v>
      </c>
      <c r="E28" s="317" t="str">
        <f>Input!C28</f>
        <v>UBND xã Đức Xương, xã Đức Xương, huyện Gia Lộc, tỉnh Hải Dương</v>
      </c>
      <c r="F28" s="207" t="str">
        <f>Input!D28</f>
        <v>Hải Dương</v>
      </c>
      <c r="G28" s="207">
        <f>Input!E28</f>
        <v>106.27983</v>
      </c>
      <c r="H28" s="207">
        <f>Input!F28</f>
        <v>20.791222</v>
      </c>
      <c r="I28" s="207">
        <f>Input!G28</f>
        <v>1</v>
      </c>
      <c r="J28" s="207">
        <f>Input!H28</f>
        <v>1</v>
      </c>
      <c r="K28" s="207" t="str">
        <f t="shared" si="0"/>
        <v>CÔNG TY CỔ PHẦN VIỄN THÔNG DI ĐỘNG VIETNAMOBILE</v>
      </c>
      <c r="L28" s="207">
        <f>Input!J28</f>
        <v>127143</v>
      </c>
      <c r="M28" s="207" t="str">
        <f>Input!K28</f>
        <v>ERICSSON RBS 6320</v>
      </c>
      <c r="N28" s="207">
        <f>Input!L28</f>
        <v>3</v>
      </c>
      <c r="O28" s="207" t="str">
        <f>Input!M28</f>
        <v>1/1/1   </v>
      </c>
      <c r="P28" s="207" t="str">
        <f>Input!N28</f>
        <v>80/80/80  </v>
      </c>
      <c r="Q28" s="207">
        <f>Input!O28</f>
        <v>2100</v>
      </c>
      <c r="R28" s="207" t="str">
        <f>Input!P28</f>
        <v>34/34/34</v>
      </c>
      <c r="S28" s="364" t="b">
        <f>Input!Q28</f>
        <v>1</v>
      </c>
      <c r="T28" s="207" t="str">
        <f>Input!R28</f>
        <v>A03962101019TG05</v>
      </c>
      <c r="U28" s="207">
        <f>Input!S28</f>
        <v>0</v>
      </c>
      <c r="V28" s="207" t="str">
        <f>Input!T28</f>
        <v>VCC1</v>
      </c>
      <c r="W28" s="207" t="str">
        <f>Input!U28</f>
        <v>1903323/19/TG/TT1</v>
      </c>
      <c r="X28" s="209" t="str">
        <f>TEXT(Input!V28,"dd/mm/yyyy")</f>
        <v>10/10/2019</v>
      </c>
      <c r="Y28" s="207" t="b">
        <f>Input!W28</f>
        <v>1</v>
      </c>
      <c r="Z28" s="364" t="b">
        <f>Input!X28</f>
        <v>1</v>
      </c>
      <c r="AA28" s="207">
        <f t="shared" si="1"/>
        <v>34</v>
      </c>
      <c r="AB28" s="364" t="b">
        <f>Input!Y28</f>
        <v>1</v>
      </c>
      <c r="AC28" s="207">
        <f>VALUE(Input!Z28)</f>
        <v>4</v>
      </c>
      <c r="AD28" s="207" t="b">
        <f>Input!AA28</f>
        <v>0</v>
      </c>
      <c r="AE28" s="207" t="str">
        <f>Input!AB28</f>
        <v>Ứng Văn Nguyện</v>
      </c>
      <c r="AF28" s="207" t="str">
        <f>Input!AC28</f>
        <v>Nguyễn Đức Nam</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3</v>
      </c>
      <c r="AP28" s="287" t="str">
        <f t="shared" si="3"/>
        <v>tỉnh Hải Dương</v>
      </c>
      <c r="AQ28" s="448" t="str">
        <f t="shared" si="4"/>
        <v>huyện Gia Lộc</v>
      </c>
      <c r="AR28" s="448" t="str">
        <f t="shared" si="5"/>
        <v>xã Đức Xương</v>
      </c>
      <c r="AS28" s="449" t="str">
        <f>INDEX(CityIDList,MATCH(F28,CityNameList,0))</f>
        <v>HDG</v>
      </c>
      <c r="AT28" s="208" t="str">
        <f>IF(J28&gt;=1,INDEX(OperatorNameList,MATCH(AZ28,OperatorIDList,0)),"")</f>
        <v>CÔNG TY CỔ PHẦN VIỄN THÔNG DI ĐỘNG VIETNAMOBILE</v>
      </c>
      <c r="AU28" s="208" t="str">
        <f>IF(J28&gt;=2,INDEX(OperatorNameList,MATCH(BA28,OperatorIDList,0)),"")</f>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c>
      <c r="BB28" s="208" t="str">
        <f t="shared" si="8"/>
      </c>
      <c r="BC28" s="208" t="str">
        <f t="shared" si="9"/>
      </c>
      <c r="BD28" s="208" t="str">
        <f t="shared" si="10"/>
      </c>
      <c r="BE28" s="208" t="str">
        <f t="shared" si="11"/>
      </c>
      <c r="BF28" s="208" t="str">
        <f>Input!I28</f>
        <v>VNMOBILE</v>
      </c>
      <c r="BG28" s="208" t="str">
        <f t="shared" si="12"/>
        <v>127143</v>
      </c>
      <c r="BH28" s="208" t="str">
        <f t="shared" si="13"/>
      </c>
      <c r="BI28" s="208" t="str">
        <f t="shared" si="14"/>
      </c>
      <c r="BJ28" s="208" t="str">
        <f t="shared" si="15"/>
      </c>
      <c r="BK28" s="208" t="str">
        <f t="shared" si="16"/>
      </c>
      <c r="BL28" s="208" t="str">
        <f t="shared" si="17"/>
      </c>
      <c r="BM28" s="208" t="str">
        <f t="shared" si="18"/>
        <v>ERICSSON RBS 6320</v>
      </c>
      <c r="BN28" s="208" t="str">
        <f t="shared" si="19"/>
      </c>
      <c r="BO28" s="208" t="str">
        <f t="shared" si="20"/>
      </c>
      <c r="BP28" s="208" t="str">
        <f t="shared" si="21"/>
      </c>
      <c r="BQ28" s="208" t="str">
        <f t="shared" si="22"/>
      </c>
      <c r="BR28" s="208" t="str">
        <f t="shared" si="23"/>
      </c>
      <c r="BS28" s="208">
        <f t="shared" si="24"/>
        <v>3</v>
      </c>
      <c r="BT28" s="208">
        <f t="shared" si="25"/>
        <v>0</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c>
      <c r="CG28" s="208">
        <f t="shared" si="38"/>
        <v>0</v>
      </c>
      <c r="CH28" s="208">
        <f t="shared" si="39"/>
        <v>0</v>
      </c>
      <c r="CI28" s="208">
        <f t="shared" si="40"/>
        <v>0</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c>
      <c r="DY28" s="208">
        <f t="shared" si="82"/>
        <v>0</v>
      </c>
      <c r="DZ28" s="208">
        <f t="shared" si="83"/>
        <v>0</v>
      </c>
      <c r="EA28" s="208">
        <f t="shared" si="84"/>
        <v>0</v>
      </c>
      <c r="EB28" s="208">
        <f t="shared" si="85"/>
        <v>0</v>
      </c>
      <c r="EC28" s="208">
        <f t="shared" si="86"/>
        <v>0</v>
      </c>
      <c r="ED28" s="208">
        <f t="shared" si="87"/>
        <v>0</v>
      </c>
      <c r="EE28" s="208" t="str">
        <f t="shared" si="88"/>
      </c>
      <c r="EF28" s="208">
        <f t="shared" si="89"/>
        <v>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c>
      <c r="FT28" s="208" t="str">
        <f t="shared" si="129"/>
      </c>
      <c r="FU28" s="208" t="str">
        <f t="shared" si="130"/>
      </c>
      <c r="FV28" s="208" t="str">
        <f t="shared" si="131"/>
      </c>
      <c r="FW28" s="208" t="str">
        <f t="shared" si="132"/>
      </c>
      <c r="FX28" s="208" t="str">
        <f t="shared" si="133"/>
        <v>34/34/34</v>
      </c>
      <c r="FY28" s="208">
        <f t="shared" si="134"/>
        <v>34</v>
      </c>
      <c r="FZ28" s="208">
        <f t="shared" si="135"/>
        <v>34</v>
      </c>
      <c r="GA28" s="208">
        <f t="shared" si="136"/>
        <v>34</v>
      </c>
      <c r="GB28" s="208">
        <f t="shared" si="137"/>
        <v>0</v>
      </c>
      <c r="GC28" s="208">
        <f t="shared" si="138"/>
        <v>0</v>
      </c>
      <c r="GD28" s="208">
        <f t="shared" si="139"/>
        <v>0</v>
      </c>
      <c r="GE28" s="208" t="str">
        <f t="shared" si="140"/>
        <v>34m/ 34m/ 34m</v>
      </c>
      <c r="GF28" s="208" t="str">
        <f t="shared" si="141"/>
      </c>
      <c r="GG28" s="208">
        <f t="shared" si="142"/>
        <v>0</v>
      </c>
      <c r="GH28" s="208">
        <f t="shared" si="143"/>
        <v>0</v>
      </c>
      <c r="GI28" s="208">
        <f t="shared" si="144"/>
        <v>0</v>
      </c>
      <c r="GJ28" s="208">
        <f t="shared" si="145"/>
        <v>0</v>
      </c>
      <c r="GK28" s="208">
        <f t="shared" si="146"/>
        <v>0</v>
      </c>
      <c r="GL28" s="208">
        <f t="shared" si="147"/>
        <v>0</v>
      </c>
      <c r="GM28" s="208" t="str">
        <f t="shared" si="148"/>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34</v>
      </c>
      <c r="HV28" s="208">
        <f t="shared" si="182"/>
        <v>0</v>
      </c>
      <c r="HW28" s="208">
        <f t="shared" si="183"/>
        <v>0</v>
      </c>
      <c r="HX28" s="208">
        <f t="shared" si="184"/>
        <v>0</v>
      </c>
      <c r="HY28" s="208">
        <f t="shared" si="185"/>
        <v>0</v>
      </c>
      <c r="HZ28" s="208">
        <f t="shared" si="186"/>
        <v>0</v>
      </c>
      <c r="IA28" s="207">
        <f t="shared" si="187"/>
        <v>34</v>
      </c>
      <c r="IB28" s="207">
        <f t="shared" si="188"/>
        <v>30</v>
      </c>
      <c r="IC28" s="343" t="str">
        <f t="shared" si="189"/>
        <v>A</v>
      </c>
      <c r="ID28" s="343" t="str">
        <f t="shared" si="190"/>
        <v>03962</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131121</v>
      </c>
      <c r="E29" s="317" t="str">
        <f>Input!C29</f>
        <v>Khu công nghiệp Phố Nối A, xã Trưng Trắc, huyện Văn Lâm, tỉnh Hưng Yên</v>
      </c>
      <c r="F29" s="207" t="str">
        <f>Input!D29</f>
        <v>Hưng Yên</v>
      </c>
      <c r="G29" s="207">
        <f>Input!E29</f>
        <v>106.025422</v>
      </c>
      <c r="H29" s="207">
        <f>Input!F29</f>
        <v>20.957053</v>
      </c>
      <c r="I29" s="207">
        <f>Input!G29</f>
        <v>1</v>
      </c>
      <c r="J29" s="207">
        <f>Input!H29</f>
        <v>1</v>
      </c>
      <c r="K29" s="207" t="str">
        <f t="shared" si="0"/>
        <v>CÔNG TY CỔ PHẦN VIỄN THÔNG DI ĐỘNG VIETNAMOBILE</v>
      </c>
      <c r="L29" s="207">
        <f>Input!J29</f>
        <v>131121</v>
      </c>
      <c r="M29" s="207" t="str">
        <f>Input!K29</f>
        <v>ERICSSON RBS 6320</v>
      </c>
      <c r="N29" s="207">
        <f>Input!L29</f>
        <v>3</v>
      </c>
      <c r="O29" s="207" t="str">
        <f>Input!M29</f>
        <v>1/1/1   </v>
      </c>
      <c r="P29" s="207" t="str">
        <f>Input!N29</f>
        <v>80/80/80  </v>
      </c>
      <c r="Q29" s="207">
        <f>Input!O29</f>
        <v>2100</v>
      </c>
      <c r="R29" s="207" t="str">
        <f>Input!P29</f>
        <v>42/42/42</v>
      </c>
      <c r="S29" s="364" t="b">
        <f>Input!Q29</f>
        <v>1</v>
      </c>
      <c r="T29" s="207" t="str">
        <f>Input!R29</f>
        <v>A03963101019TG05</v>
      </c>
      <c r="U29" s="207">
        <f>Input!S29</f>
        <v>0</v>
      </c>
      <c r="V29" s="207" t="str">
        <f>Input!T29</f>
        <v>VCC1</v>
      </c>
      <c r="W29" s="207" t="str">
        <f>Input!U29</f>
        <v>1903331/19/TG/TT1</v>
      </c>
      <c r="X29" s="209" t="str">
        <f>TEXT(Input!V29,"dd/mm/yyyy")</f>
        <v>10/10/2019</v>
      </c>
      <c r="Y29" s="207" t="b">
        <f>Input!W29</f>
        <v>1</v>
      </c>
      <c r="Z29" s="364" t="b">
        <f>Input!X29</f>
        <v>1</v>
      </c>
      <c r="AA29" s="207">
        <f t="shared" si="1"/>
        <v>42</v>
      </c>
      <c r="AB29" s="364" t="b">
        <f>Input!Y29</f>
        <v>1</v>
      </c>
      <c r="AC29" s="207">
        <f>VALUE(Input!Z29)</f>
        <v>10</v>
      </c>
      <c r="AD29" s="207" t="b">
        <f>Input!AA29</f>
        <v>0</v>
      </c>
      <c r="AE29" s="207" t="str">
        <f>Input!AB29</f>
        <v>Ứng Văn Nguyện</v>
      </c>
      <c r="AF29" s="207" t="str">
        <f>Input!AC29</f>
        <v>Nguyễn Đức Nam</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3</v>
      </c>
      <c r="AP29" s="287" t="str">
        <f t="shared" si="3"/>
        <v>tỉnh Hưng Yên</v>
      </c>
      <c r="AQ29" s="448" t="str">
        <f t="shared" si="4"/>
        <v>huyện Văn Lâm</v>
      </c>
      <c r="AR29" s="448" t="str">
        <f t="shared" si="5"/>
        <v>xã Trưng Trắc</v>
      </c>
      <c r="AS29" s="449" t="str">
        <f>INDEX(CityIDList,MATCH(F29,CityNameList,0))</f>
        <v>HYN</v>
      </c>
      <c r="AT29" s="208" t="str">
        <f>IF(J29&gt;=1,INDEX(OperatorNameList,MATCH(AZ29,OperatorIDList,0)),"")</f>
        <v>CÔNG TY CỔ PHẦN VIỄN THÔNG DI ĐỘNG VIETNAMOBILE</v>
      </c>
      <c r="AU29" s="208" t="str">
        <f>IF(J29&gt;=2,INDEX(OperatorNameList,MATCH(BA29,OperatorIDList,0)),"")</f>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c>
      <c r="BB29" s="208" t="str">
        <f t="shared" si="8"/>
      </c>
      <c r="BC29" s="208" t="str">
        <f t="shared" si="9"/>
      </c>
      <c r="BD29" s="208" t="str">
        <f t="shared" si="10"/>
      </c>
      <c r="BE29" s="208" t="str">
        <f t="shared" si="11"/>
      </c>
      <c r="BF29" s="208" t="str">
        <f>Input!I29</f>
        <v>VNMOBILE</v>
      </c>
      <c r="BG29" s="208" t="str">
        <f t="shared" si="12"/>
        <v>131121</v>
      </c>
      <c r="BH29" s="208" t="str">
        <f t="shared" si="13"/>
      </c>
      <c r="BI29" s="208" t="str">
        <f t="shared" si="14"/>
      </c>
      <c r="BJ29" s="208" t="str">
        <f t="shared" si="15"/>
      </c>
      <c r="BK29" s="208" t="str">
        <f t="shared" si="16"/>
      </c>
      <c r="BL29" s="208" t="str">
        <f t="shared" si="17"/>
      </c>
      <c r="BM29" s="208" t="str">
        <f t="shared" si="18"/>
        <v>ERICSSON RBS 6320</v>
      </c>
      <c r="BN29" s="208" t="str">
        <f t="shared" si="19"/>
      </c>
      <c r="BO29" s="208" t="str">
        <f t="shared" si="20"/>
      </c>
      <c r="BP29" s="208" t="str">
        <f t="shared" si="21"/>
      </c>
      <c r="BQ29" s="208" t="str">
        <f t="shared" si="22"/>
      </c>
      <c r="BR29" s="208" t="str">
        <f t="shared" si="23"/>
      </c>
      <c r="BS29" s="208">
        <f t="shared" si="24"/>
        <v>3</v>
      </c>
      <c r="BT29" s="208">
        <f t="shared" si="25"/>
        <v>0</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c>
      <c r="CG29" s="208">
        <f t="shared" si="38"/>
        <v>0</v>
      </c>
      <c r="CH29" s="208">
        <f t="shared" si="39"/>
        <v>0</v>
      </c>
      <c r="CI29" s="208">
        <f t="shared" si="40"/>
        <v>0</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c>
      <c r="DY29" s="208">
        <f t="shared" si="82"/>
        <v>0</v>
      </c>
      <c r="DZ29" s="208">
        <f t="shared" si="83"/>
        <v>0</v>
      </c>
      <c r="EA29" s="208">
        <f t="shared" si="84"/>
        <v>0</v>
      </c>
      <c r="EB29" s="208">
        <f t="shared" si="85"/>
        <v>0</v>
      </c>
      <c r="EC29" s="208">
        <f t="shared" si="86"/>
        <v>0</v>
      </c>
      <c r="ED29" s="208">
        <f t="shared" si="87"/>
        <v>0</v>
      </c>
      <c r="EE29" s="208" t="str">
        <f t="shared" si="88"/>
      </c>
      <c r="EF29" s="208">
        <f t="shared" si="89"/>
        <v>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c>
      <c r="FT29" s="208" t="str">
        <f t="shared" si="129"/>
      </c>
      <c r="FU29" s="208" t="str">
        <f t="shared" si="130"/>
      </c>
      <c r="FV29" s="208" t="str">
        <f t="shared" si="131"/>
      </c>
      <c r="FW29" s="208" t="str">
        <f t="shared" si="132"/>
      </c>
      <c r="FX29" s="208" t="str">
        <f t="shared" si="133"/>
        <v>42/42/42</v>
      </c>
      <c r="FY29" s="208">
        <f t="shared" si="134"/>
        <v>42</v>
      </c>
      <c r="FZ29" s="208">
        <f t="shared" si="135"/>
        <v>42</v>
      </c>
      <c r="GA29" s="208">
        <f t="shared" si="136"/>
        <v>42</v>
      </c>
      <c r="GB29" s="208">
        <f t="shared" si="137"/>
        <v>0</v>
      </c>
      <c r="GC29" s="208">
        <f t="shared" si="138"/>
        <v>0</v>
      </c>
      <c r="GD29" s="208">
        <f t="shared" si="139"/>
        <v>0</v>
      </c>
      <c r="GE29" s="208" t="str">
        <f t="shared" si="140"/>
        <v>42m/ 42m/ 42m</v>
      </c>
      <c r="GF29" s="208" t="str">
        <f t="shared" si="141"/>
      </c>
      <c r="GG29" s="208">
        <f t="shared" si="142"/>
        <v>0</v>
      </c>
      <c r="GH29" s="208">
        <f t="shared" si="143"/>
        <v>0</v>
      </c>
      <c r="GI29" s="208">
        <f t="shared" si="144"/>
        <v>0</v>
      </c>
      <c r="GJ29" s="208">
        <f t="shared" si="145"/>
        <v>0</v>
      </c>
      <c r="GK29" s="208">
        <f t="shared" si="146"/>
        <v>0</v>
      </c>
      <c r="GL29" s="208">
        <f t="shared" si="147"/>
        <v>0</v>
      </c>
      <c r="GM29" s="208" t="str">
        <f t="shared" si="148"/>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42</v>
      </c>
      <c r="HV29" s="208">
        <f t="shared" si="182"/>
        <v>0</v>
      </c>
      <c r="HW29" s="208">
        <f t="shared" si="183"/>
        <v>0</v>
      </c>
      <c r="HX29" s="208">
        <f t="shared" si="184"/>
        <v>0</v>
      </c>
      <c r="HY29" s="208">
        <f t="shared" si="185"/>
        <v>0</v>
      </c>
      <c r="HZ29" s="208">
        <f t="shared" si="186"/>
        <v>0</v>
      </c>
      <c r="IA29" s="207">
        <f t="shared" si="187"/>
        <v>42</v>
      </c>
      <c r="IB29" s="207">
        <f t="shared" si="188"/>
        <v>32</v>
      </c>
      <c r="IC29" s="343" t="str">
        <f t="shared" si="189"/>
        <v>A</v>
      </c>
      <c r="ID29" s="343" t="str">
        <f t="shared" si="190"/>
        <v>03963</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131122</v>
      </c>
      <c r="E30" s="317" t="str">
        <f>Input!C30</f>
        <v>Thôn Ao, xã Minh Hải, huyện Văn Lâm, tỉnh Hưng Yên</v>
      </c>
      <c r="F30" s="207" t="str">
        <f>Input!D30</f>
        <v>Hưng Yên</v>
      </c>
      <c r="G30" s="207">
        <f>Input!E30</f>
        <v>106.04802</v>
      </c>
      <c r="H30" s="207">
        <f>Input!F30</f>
        <v>20.969839</v>
      </c>
      <c r="I30" s="207">
        <f>Input!G30</f>
        <v>1</v>
      </c>
      <c r="J30" s="207">
        <f>Input!H30</f>
        <v>1</v>
      </c>
      <c r="K30" s="207" t="str">
        <f t="shared" si="0"/>
        <v>CÔNG TY CỔ PHẦN VIỄN THÔNG DI ĐỘNG VIETNAMOBILE</v>
      </c>
      <c r="L30" s="207">
        <f>Input!J30</f>
        <v>131122</v>
      </c>
      <c r="M30" s="207" t="str">
        <f>Input!K30</f>
        <v>ERICSSON RBS 6320</v>
      </c>
      <c r="N30" s="207">
        <f>Input!L30</f>
        <v>3</v>
      </c>
      <c r="O30" s="207" t="str">
        <f>Input!M30</f>
        <v>1/1/1   </v>
      </c>
      <c r="P30" s="207" t="str">
        <f>Input!N30</f>
        <v>80/80/80  </v>
      </c>
      <c r="Q30" s="207">
        <f>Input!O30</f>
        <v>2100</v>
      </c>
      <c r="R30" s="207" t="str">
        <f>Input!P30</f>
        <v>37/37/37</v>
      </c>
      <c r="S30" s="364" t="b">
        <f>Input!Q30</f>
        <v>1</v>
      </c>
      <c r="T30" s="207" t="str">
        <f>Input!R30</f>
        <v>A03964101019TG05</v>
      </c>
      <c r="U30" s="207">
        <f>Input!S30</f>
        <v>0</v>
      </c>
      <c r="V30" s="207" t="str">
        <f>Input!T30</f>
        <v>VCC1</v>
      </c>
      <c r="W30" s="207" t="str">
        <f>Input!U30</f>
        <v>1903319/19/TG/TT1</v>
      </c>
      <c r="X30" s="209" t="str">
        <f>TEXT(Input!V30,"dd/mm/yyyy")</f>
        <v>10/10/2019</v>
      </c>
      <c r="Y30" s="207" t="b">
        <f>Input!W30</f>
        <v>1</v>
      </c>
      <c r="Z30" s="364" t="b">
        <f>Input!X30</f>
        <v>0</v>
      </c>
      <c r="AA30" s="207">
        <f t="shared" si="1"/>
        <v>37</v>
      </c>
      <c r="AB30" s="364" t="b">
        <f>Input!Y30</f>
        <v>1</v>
      </c>
      <c r="AC30" s="207">
        <f>VALUE(Input!Z30)</f>
        <v>10</v>
      </c>
      <c r="AD30" s="207" t="b">
        <f>Input!AA30</f>
        <v>0</v>
      </c>
      <c r="AE30" s="207" t="str">
        <f>Input!AB30</f>
        <v>Ứng Văn Nguyện</v>
      </c>
      <c r="AF30" s="207" t="str">
        <f>Input!AC30</f>
        <v>Nguyễn Đức Nam</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tỉnh Hưng Yên</v>
      </c>
      <c r="AQ30" s="448" t="str">
        <f t="shared" si="4"/>
        <v>huyện Văn Lâm</v>
      </c>
      <c r="AR30" s="448" t="str">
        <f t="shared" si="5"/>
        <v>xã Minh Hải</v>
      </c>
      <c r="AS30" s="449" t="str">
        <f>INDEX(CityIDList,MATCH(F30,CityNameList,0))</f>
        <v>HYN</v>
      </c>
      <c r="AT30" s="208" t="str">
        <f>IF(J30&gt;=1,INDEX(OperatorNameList,MATCH(AZ30,OperatorIDList,0)),"")</f>
        <v>CÔNG TY CỔ PHẦN VIỄN THÔNG DI ĐỘNG VIETNAMOBILE</v>
      </c>
      <c r="AU30" s="208" t="str">
        <f>IF(J30&gt;=2,INDEX(OperatorNameList,MATCH(BA30,OperatorIDList,0)),"")</f>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c>
      <c r="BB30" s="208" t="str">
        <f t="shared" si="8"/>
      </c>
      <c r="BC30" s="208" t="str">
        <f t="shared" si="9"/>
      </c>
      <c r="BD30" s="208" t="str">
        <f t="shared" si="10"/>
      </c>
      <c r="BE30" s="208" t="str">
        <f t="shared" si="11"/>
      </c>
      <c r="BF30" s="208" t="str">
        <f>Input!I30</f>
        <v>VNMOBILE</v>
      </c>
      <c r="BG30" s="208" t="str">
        <f t="shared" si="12"/>
        <v>131122</v>
      </c>
      <c r="BH30" s="208" t="str">
        <f t="shared" si="13"/>
      </c>
      <c r="BI30" s="208" t="str">
        <f t="shared" si="14"/>
      </c>
      <c r="BJ30" s="208" t="str">
        <f t="shared" si="15"/>
      </c>
      <c r="BK30" s="208" t="str">
        <f t="shared" si="16"/>
      </c>
      <c r="BL30" s="208" t="str">
        <f t="shared" si="17"/>
      </c>
      <c r="BM30" s="208" t="str">
        <f t="shared" si="18"/>
        <v>ERICSSON RBS 6320</v>
      </c>
      <c r="BN30" s="208" t="str">
        <f t="shared" si="19"/>
      </c>
      <c r="BO30" s="208" t="str">
        <f t="shared" si="20"/>
      </c>
      <c r="BP30" s="208" t="str">
        <f t="shared" si="21"/>
      </c>
      <c r="BQ30" s="208" t="str">
        <f t="shared" si="22"/>
      </c>
      <c r="BR30" s="208" t="str">
        <f t="shared" si="23"/>
      </c>
      <c r="BS30" s="208">
        <f t="shared" si="24"/>
        <v>3</v>
      </c>
      <c r="BT30" s="208">
        <f t="shared" si="25"/>
        <v>0</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c>
      <c r="CG30" s="208">
        <f t="shared" si="38"/>
        <v>0</v>
      </c>
      <c r="CH30" s="208">
        <f t="shared" si="39"/>
        <v>0</v>
      </c>
      <c r="CI30" s="208">
        <f t="shared" si="40"/>
        <v>0</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c>
      <c r="DY30" s="208">
        <f t="shared" si="82"/>
        <v>0</v>
      </c>
      <c r="DZ30" s="208">
        <f t="shared" si="83"/>
        <v>0</v>
      </c>
      <c r="EA30" s="208">
        <f t="shared" si="84"/>
        <v>0</v>
      </c>
      <c r="EB30" s="208">
        <f t="shared" si="85"/>
        <v>0</v>
      </c>
      <c r="EC30" s="208">
        <f t="shared" si="86"/>
        <v>0</v>
      </c>
      <c r="ED30" s="208">
        <f t="shared" si="87"/>
        <v>0</v>
      </c>
      <c r="EE30" s="208" t="str">
        <f t="shared" si="88"/>
      </c>
      <c r="EF30" s="208">
        <f t="shared" si="89"/>
        <v>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c>
      <c r="FT30" s="208" t="str">
        <f t="shared" si="129"/>
      </c>
      <c r="FU30" s="208" t="str">
        <f t="shared" si="130"/>
      </c>
      <c r="FV30" s="208" t="str">
        <f t="shared" si="131"/>
      </c>
      <c r="FW30" s="208" t="str">
        <f t="shared" si="132"/>
      </c>
      <c r="FX30" s="208" t="str">
        <f t="shared" si="133"/>
        <v>37/37/37</v>
      </c>
      <c r="FY30" s="208">
        <f t="shared" si="134"/>
        <v>37</v>
      </c>
      <c r="FZ30" s="208">
        <f t="shared" si="135"/>
        <v>37</v>
      </c>
      <c r="GA30" s="208">
        <f t="shared" si="136"/>
        <v>37</v>
      </c>
      <c r="GB30" s="208">
        <f t="shared" si="137"/>
        <v>0</v>
      </c>
      <c r="GC30" s="208">
        <f t="shared" si="138"/>
        <v>0</v>
      </c>
      <c r="GD30" s="208">
        <f t="shared" si="139"/>
        <v>0</v>
      </c>
      <c r="GE30" s="208" t="str">
        <f t="shared" si="140"/>
        <v>37m/ 37m/ 37m</v>
      </c>
      <c r="GF30" s="208" t="str">
        <f t="shared" si="141"/>
      </c>
      <c r="GG30" s="208">
        <f t="shared" si="142"/>
        <v>0</v>
      </c>
      <c r="GH30" s="208">
        <f t="shared" si="143"/>
        <v>0</v>
      </c>
      <c r="GI30" s="208">
        <f t="shared" si="144"/>
        <v>0</v>
      </c>
      <c r="GJ30" s="208">
        <f t="shared" si="145"/>
        <v>0</v>
      </c>
      <c r="GK30" s="208">
        <f t="shared" si="146"/>
        <v>0</v>
      </c>
      <c r="GL30" s="208">
        <f t="shared" si="147"/>
        <v>0</v>
      </c>
      <c r="GM30" s="208" t="str">
        <f t="shared" si="148"/>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37</v>
      </c>
      <c r="HV30" s="208">
        <f t="shared" si="182"/>
        <v>0</v>
      </c>
      <c r="HW30" s="208">
        <f t="shared" si="183"/>
        <v>0</v>
      </c>
      <c r="HX30" s="208">
        <f t="shared" si="184"/>
        <v>0</v>
      </c>
      <c r="HY30" s="208">
        <f t="shared" si="185"/>
        <v>0</v>
      </c>
      <c r="HZ30" s="208">
        <f t="shared" si="186"/>
        <v>0</v>
      </c>
      <c r="IA30" s="207">
        <f t="shared" si="187"/>
        <v>37</v>
      </c>
      <c r="IB30" s="207">
        <f t="shared" si="188"/>
        <v>27</v>
      </c>
      <c r="IC30" s="343" t="str">
        <f t="shared" si="189"/>
        <v>A</v>
      </c>
      <c r="ID30" s="343" t="str">
        <f t="shared" si="190"/>
        <v>03964</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106534</v>
      </c>
      <c r="E31" s="317" t="str">
        <f>Input!C31</f>
        <v>Thôn Đồng Ngư, xã Ngũ Thái, huyện Thuận Thành, tỉnh Bắc Ninh</v>
      </c>
      <c r="F31" s="207" t="str">
        <f>Input!D31</f>
        <v>Bắc Ninh</v>
      </c>
      <c r="G31" s="207">
        <f>Input!E31</f>
        <v>106.030854</v>
      </c>
      <c r="H31" s="207">
        <f>Input!F31</f>
        <v>21.016435</v>
      </c>
      <c r="I31" s="207">
        <f>Input!G31</f>
        <v>1</v>
      </c>
      <c r="J31" s="207">
        <f>Input!H31</f>
        <v>1</v>
      </c>
      <c r="K31" s="207" t="str">
        <f t="shared" si="0"/>
        <v>CÔNG TY CỔ PHẦN VIỄN THÔNG DI ĐỘNG VIETNAMOBILE</v>
      </c>
      <c r="L31" s="207">
        <f>Input!J31</f>
        <v>106534</v>
      </c>
      <c r="M31" s="207" t="str">
        <f>Input!K31</f>
        <v>ERICSSON RBS 6320</v>
      </c>
      <c r="N31" s="207">
        <f>Input!L31</f>
        <v>3</v>
      </c>
      <c r="O31" s="207" t="str">
        <f>Input!M31</f>
        <v>1/1/1   </v>
      </c>
      <c r="P31" s="207" t="str">
        <f>Input!N31</f>
        <v>80/80/80  </v>
      </c>
      <c r="Q31" s="207">
        <f>Input!O31</f>
        <v>2100</v>
      </c>
      <c r="R31" s="207" t="str">
        <f>Input!P31</f>
        <v>34/34/34</v>
      </c>
      <c r="S31" s="364" t="b">
        <f>Input!Q31</f>
        <v>1</v>
      </c>
      <c r="T31" s="207" t="str">
        <f>Input!R31</f>
        <v>A03965101019TG05</v>
      </c>
      <c r="U31" s="207">
        <f>Input!S31</f>
        <v>0</v>
      </c>
      <c r="V31" s="207" t="str">
        <f>Input!T31</f>
        <v>VCC1</v>
      </c>
      <c r="W31" s="207" t="str">
        <f>Input!U31</f>
        <v>1903339/19/TG/TT1</v>
      </c>
      <c r="X31" s="209" t="str">
        <f>TEXT(Input!V31,"dd/mm/yyyy")</f>
        <v>10/10/2019</v>
      </c>
      <c r="Y31" s="207" t="b">
        <f>Input!W31</f>
        <v>1</v>
      </c>
      <c r="Z31" s="364" t="b">
        <f>Input!X31</f>
        <v>1</v>
      </c>
      <c r="AA31" s="207">
        <f t="shared" si="1"/>
        <v>34</v>
      </c>
      <c r="AB31" s="364" t="b">
        <f>Input!Y31</f>
        <v>0</v>
      </c>
      <c r="AC31" s="207">
        <f>VALUE(Input!Z31)</f>
        <v>0</v>
      </c>
      <c r="AD31" s="207" t="b">
        <f>Input!AA31</f>
        <v>0</v>
      </c>
      <c r="AE31" s="207" t="str">
        <f>Input!AB31</f>
        <v>Ứng Văn Nguyện</v>
      </c>
      <c r="AF31" s="207" t="str">
        <f>Input!AC31</f>
        <v>Nguyễn Đức Nam</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tỉnh Bắc Ninh</v>
      </c>
      <c r="AQ31" s="448" t="str">
        <f t="shared" si="4"/>
        <v>huyện Thuận Thành</v>
      </c>
      <c r="AR31" s="448" t="str">
        <f t="shared" si="5"/>
        <v>xã Ngũ Thái</v>
      </c>
      <c r="AS31" s="449" t="str">
        <f>INDEX(CityIDList,MATCH(F31,CityNameList,0))</f>
        <v>BNH</v>
      </c>
      <c r="AT31" s="208" t="str">
        <f>IF(J31&gt;=1,INDEX(OperatorNameList,MATCH(AZ31,OperatorIDList,0)),"")</f>
        <v>CÔNG TY CỔ PHẦN VIỄN THÔNG DI ĐỘNG VIETNAMOBILE</v>
      </c>
      <c r="AU31" s="208" t="str">
        <f>IF(J31&gt;=2,INDEX(OperatorNameList,MATCH(BA31,OperatorIDList,0)),"")</f>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c>
      <c r="BB31" s="208" t="str">
        <f t="shared" si="8"/>
      </c>
      <c r="BC31" s="208" t="str">
        <f t="shared" si="9"/>
      </c>
      <c r="BD31" s="208" t="str">
        <f t="shared" si="10"/>
      </c>
      <c r="BE31" s="208" t="str">
        <f t="shared" si="11"/>
      </c>
      <c r="BF31" s="208" t="str">
        <f>Input!I31</f>
        <v>VNMOBILE</v>
      </c>
      <c r="BG31" s="208" t="str">
        <f t="shared" si="12"/>
        <v>106534</v>
      </c>
      <c r="BH31" s="208" t="str">
        <f t="shared" si="13"/>
      </c>
      <c r="BI31" s="208" t="str">
        <f t="shared" si="14"/>
      </c>
      <c r="BJ31" s="208" t="str">
        <f t="shared" si="15"/>
      </c>
      <c r="BK31" s="208" t="str">
        <f t="shared" si="16"/>
      </c>
      <c r="BL31" s="208" t="str">
        <f t="shared" si="17"/>
      </c>
      <c r="BM31" s="208" t="str">
        <f t="shared" si="18"/>
        <v>ERICSSON RBS 6320</v>
      </c>
      <c r="BN31" s="208" t="str">
        <f t="shared" si="19"/>
      </c>
      <c r="BO31" s="208" t="str">
        <f t="shared" si="20"/>
      </c>
      <c r="BP31" s="208" t="str">
        <f t="shared" si="21"/>
      </c>
      <c r="BQ31" s="208" t="str">
        <f t="shared" si="22"/>
      </c>
      <c r="BR31" s="208" t="str">
        <f t="shared" si="23"/>
      </c>
      <c r="BS31" s="208">
        <f t="shared" si="24"/>
        <v>3</v>
      </c>
      <c r="BT31" s="208">
        <f t="shared" si="25"/>
        <v>0</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c>
      <c r="CG31" s="208">
        <f t="shared" si="38"/>
        <v>0</v>
      </c>
      <c r="CH31" s="208">
        <f t="shared" si="39"/>
        <v>0</v>
      </c>
      <c r="CI31" s="208">
        <f t="shared" si="40"/>
        <v>0</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c>
      <c r="DY31" s="208">
        <f t="shared" si="82"/>
        <v>0</v>
      </c>
      <c r="DZ31" s="208">
        <f t="shared" si="83"/>
        <v>0</v>
      </c>
      <c r="EA31" s="208">
        <f t="shared" si="84"/>
        <v>0</v>
      </c>
      <c r="EB31" s="208">
        <f t="shared" si="85"/>
        <v>0</v>
      </c>
      <c r="EC31" s="208">
        <f t="shared" si="86"/>
        <v>0</v>
      </c>
      <c r="ED31" s="208">
        <f t="shared" si="87"/>
        <v>0</v>
      </c>
      <c r="EE31" s="208" t="str">
        <f t="shared" si="88"/>
      </c>
      <c r="EF31" s="208">
        <f t="shared" si="89"/>
        <v>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c>
      <c r="FT31" s="208" t="str">
        <f t="shared" si="129"/>
      </c>
      <c r="FU31" s="208" t="str">
        <f t="shared" si="130"/>
      </c>
      <c r="FV31" s="208" t="str">
        <f t="shared" si="131"/>
      </c>
      <c r="FW31" s="208" t="str">
        <f t="shared" si="132"/>
      </c>
      <c r="FX31" s="208" t="str">
        <f t="shared" si="133"/>
        <v>34/34/34</v>
      </c>
      <c r="FY31" s="208">
        <f t="shared" si="134"/>
        <v>34</v>
      </c>
      <c r="FZ31" s="208">
        <f t="shared" si="135"/>
        <v>34</v>
      </c>
      <c r="GA31" s="208">
        <f t="shared" si="136"/>
        <v>34</v>
      </c>
      <c r="GB31" s="208">
        <f t="shared" si="137"/>
        <v>0</v>
      </c>
      <c r="GC31" s="208">
        <f t="shared" si="138"/>
        <v>0</v>
      </c>
      <c r="GD31" s="208">
        <f t="shared" si="139"/>
        <v>0</v>
      </c>
      <c r="GE31" s="208" t="str">
        <f t="shared" si="140"/>
        <v>34m/ 34m/ 34m</v>
      </c>
      <c r="GF31" s="208" t="str">
        <f t="shared" si="141"/>
      </c>
      <c r="GG31" s="208">
        <f t="shared" si="142"/>
        <v>0</v>
      </c>
      <c r="GH31" s="208">
        <f t="shared" si="143"/>
        <v>0</v>
      </c>
      <c r="GI31" s="208">
        <f t="shared" si="144"/>
        <v>0</v>
      </c>
      <c r="GJ31" s="208">
        <f t="shared" si="145"/>
        <v>0</v>
      </c>
      <c r="GK31" s="208">
        <f t="shared" si="146"/>
        <v>0</v>
      </c>
      <c r="GL31" s="208">
        <f t="shared" si="147"/>
        <v>0</v>
      </c>
      <c r="GM31" s="208" t="str">
        <f t="shared" si="148"/>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34</v>
      </c>
      <c r="HV31" s="208">
        <f t="shared" si="182"/>
        <v>0</v>
      </c>
      <c r="HW31" s="208">
        <f t="shared" si="183"/>
        <v>0</v>
      </c>
      <c r="HX31" s="208">
        <f t="shared" si="184"/>
        <v>0</v>
      </c>
      <c r="HY31" s="208">
        <f t="shared" si="185"/>
        <v>0</v>
      </c>
      <c r="HZ31" s="208">
        <f t="shared" si="186"/>
        <v>0</v>
      </c>
      <c r="IA31" s="207">
        <f t="shared" si="187"/>
        <v>34</v>
      </c>
      <c r="IB31" s="207">
        <f t="shared" si="188"/>
        <v>34</v>
      </c>
      <c r="IC31" s="343" t="str">
        <f t="shared" si="189"/>
        <v>A</v>
      </c>
      <c r="ID31" s="343" t="str">
        <f t="shared" si="190"/>
        <v>03965</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105103</v>
      </c>
      <c r="E32" s="317" t="str">
        <f>Input!C32</f>
        <v>Xóm 5, thôn My Điền, xã Hoàng Ninh, huyện Việt Yên, tỉnh Bắc Giang</v>
      </c>
      <c r="F32" s="207" t="str">
        <f>Input!D32</f>
        <v>Bắc Giang</v>
      </c>
      <c r="G32" s="207">
        <f>Input!E32</f>
        <v>106.134164</v>
      </c>
      <c r="H32" s="207">
        <f>Input!F32</f>
        <v>21.252007</v>
      </c>
      <c r="I32" s="207">
        <f>Input!G32</f>
        <v>1</v>
      </c>
      <c r="J32" s="207">
        <f>Input!H32</f>
        <v>2</v>
      </c>
      <c r="K32" s="207" t="str">
        <f t="shared" si="0"/>
        <v>CÔNG TY CỔ PHẦN VIỄN THÔNG DI ĐỘNG VIETNAMOBILE;CÔNG TY CỔ PHẦN VIỄN THÔNG DI ĐỘNG VIETNAMOBILE</v>
      </c>
      <c r="L32" s="207" t="str">
        <f>Input!J32</f>
        <v>105103;105103</v>
      </c>
      <c r="M32" s="207" t="str">
        <f>Input!K32</f>
        <v>ERICSSON RBS 6320;ERICSSON RBS 6320</v>
      </c>
      <c r="N32" s="207" t="str">
        <f>Input!L32</f>
        <v>3;3</v>
      </c>
      <c r="O32" s="207" t="str">
        <f>Input!M32</f>
        <v>1/1/1   ;1/1/1   </v>
      </c>
      <c r="P32" s="207" t="str">
        <f>Input!N32</f>
        <v>80/80/80  ;80/80/80  </v>
      </c>
      <c r="Q32" s="207" t="str">
        <f>Input!O32</f>
        <v>900;2100</v>
      </c>
      <c r="R32" s="207" t="str">
        <f>Input!P32</f>
        <v>22,5/22,5/22,5;22,5/22,5/22,5</v>
      </c>
      <c r="S32" s="364" t="b">
        <f>Input!Q32</f>
        <v>1</v>
      </c>
      <c r="T32" s="207" t="str">
        <f>Input!R32</f>
        <v>A03966101019TG05</v>
      </c>
      <c r="U32" s="207">
        <f>Input!S32</f>
        <v>0</v>
      </c>
      <c r="V32" s="207" t="str">
        <f>Input!T32</f>
        <v>VCC1</v>
      </c>
      <c r="W32" s="207" t="str">
        <f>Input!U32</f>
        <v>1903341/19/TG/TT1</v>
      </c>
      <c r="X32" s="209" t="str">
        <f>TEXT(Input!V32,"dd/mm/yyyy")</f>
        <v>10/10/2019</v>
      </c>
      <c r="Y32" s="207" t="b">
        <f>Input!W32</f>
        <v>0</v>
      </c>
      <c r="Z32" s="364" t="b">
        <f>Input!X32</f>
        <v>0</v>
      </c>
      <c r="AA32" s="207">
        <f t="shared" si="1"/>
        <v>22.5</v>
      </c>
      <c r="AB32" s="364" t="b">
        <f>Input!Y32</f>
        <v>1</v>
      </c>
      <c r="AC32" s="207">
        <f>VALUE(Input!Z32)</f>
        <v>21</v>
      </c>
      <c r="AD32" s="207" t="b">
        <f>Input!AA32</f>
        <v>0</v>
      </c>
      <c r="AE32" s="207" t="str">
        <f>Input!AB32</f>
        <v>Ứng Văn Nguyện</v>
      </c>
      <c r="AF32" s="207" t="str">
        <f>Input!AC32</f>
        <v>Nguyễn Đức Nam</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4</v>
      </c>
      <c r="AP32" s="287" t="str">
        <f t="shared" si="3"/>
        <v>tỉnh Bắc Giang</v>
      </c>
      <c r="AQ32" s="448" t="str">
        <f t="shared" si="4"/>
        <v>huyện Việt Yên</v>
      </c>
      <c r="AR32" s="448" t="str">
        <f t="shared" si="5"/>
        <v>xã Hoàng Ninh</v>
      </c>
      <c r="AS32" s="449" t="str">
        <f>INDEX(CityIDList,MATCH(F32,CityNameList,0))</f>
        <v>BGG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105103</v>
      </c>
      <c r="BH32" s="208" t="str">
        <f t="shared" si="13"/>
        <v>105103</v>
      </c>
      <c r="BI32" s="208" t="str">
        <f t="shared" si="14"/>
      </c>
      <c r="BJ32" s="208" t="str">
        <f t="shared" si="15"/>
      </c>
      <c r="BK32" s="208" t="str">
        <f t="shared" si="16"/>
      </c>
      <c r="BL32" s="208" t="str">
        <f t="shared" si="17"/>
      </c>
      <c r="BM32" s="208" t="str">
        <f t="shared" si="18"/>
        <v>ERICSSON RBS 6320</v>
      </c>
      <c r="BN32" s="208" t="str">
        <f t="shared" si="19"/>
        <v>ERICSSON RBS 6320</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900</v>
      </c>
      <c r="FS32" s="208" t="str">
        <f t="shared" si="128"/>
        <v>2100</v>
      </c>
      <c r="FT32" s="208" t="str">
        <f t="shared" si="129"/>
      </c>
      <c r="FU32" s="208" t="str">
        <f t="shared" si="130"/>
      </c>
      <c r="FV32" s="208" t="str">
        <f t="shared" si="131"/>
      </c>
      <c r="FW32" s="208" t="str">
        <f t="shared" si="132"/>
      </c>
      <c r="FX32" s="208" t="str">
        <f t="shared" si="133"/>
        <v>22,5/22,5/22,5</v>
      </c>
      <c r="FY32" s="208">
        <f t="shared" si="134"/>
        <v>22.5</v>
      </c>
      <c r="FZ32" s="208">
        <f t="shared" si="135"/>
        <v>22.5</v>
      </c>
      <c r="GA32" s="208">
        <f t="shared" si="136"/>
        <v>22.5</v>
      </c>
      <c r="GB32" s="208">
        <f t="shared" si="137"/>
        <v>0</v>
      </c>
      <c r="GC32" s="208">
        <f t="shared" si="138"/>
        <v>0</v>
      </c>
      <c r="GD32" s="208">
        <f t="shared" si="139"/>
        <v>0</v>
      </c>
      <c r="GE32" s="208" t="str">
        <f t="shared" si="140"/>
        <v>22,5m/ 22,5m/ 22,5m</v>
      </c>
      <c r="GF32" s="208" t="str">
        <f t="shared" si="141"/>
        <v>22,5/22,5/22,5</v>
      </c>
      <c r="GG32" s="208">
        <f t="shared" si="142"/>
        <v>22.5</v>
      </c>
      <c r="GH32" s="208">
        <f t="shared" si="143"/>
        <v>22.5</v>
      </c>
      <c r="GI32" s="208">
        <f t="shared" si="144"/>
        <v>22.5</v>
      </c>
      <c r="GJ32" s="208">
        <f t="shared" si="145"/>
        <v>0</v>
      </c>
      <c r="GK32" s="208">
        <f t="shared" si="146"/>
        <v>0</v>
      </c>
      <c r="GL32" s="208">
        <f t="shared" si="147"/>
        <v>0</v>
      </c>
      <c r="GM32" s="208" t="str">
        <f t="shared" si="148"/>
        <v>22,5m/ 22,5m/ 22,5m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22.5</v>
      </c>
      <c r="HV32" s="208">
        <f t="shared" si="182"/>
        <v>22.5</v>
      </c>
      <c r="HW32" s="208">
        <f t="shared" si="183"/>
        <v>0</v>
      </c>
      <c r="HX32" s="208">
        <f t="shared" si="184"/>
        <v>0</v>
      </c>
      <c r="HY32" s="208">
        <f t="shared" si="185"/>
        <v>0</v>
      </c>
      <c r="HZ32" s="208">
        <f t="shared" si="186"/>
        <v>0</v>
      </c>
      <c r="IA32" s="207">
        <f t="shared" si="187"/>
        <v>22.5</v>
      </c>
      <c r="IB32" s="207">
        <f t="shared" si="188"/>
        <v>1.5</v>
      </c>
      <c r="IC32" s="343" t="str">
        <f t="shared" si="189"/>
        <v>A</v>
      </c>
      <c r="ID32" s="343" t="str">
        <f t="shared" si="190"/>
        <v>03966</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105100</v>
      </c>
      <c r="E33" s="317" t="str">
        <f>Input!C33</f>
        <v>Số 33, đường Mỹ Độ, phường Mỹ Độ, thành phố Bắc Giang, tỉnh Bắc Giang</v>
      </c>
      <c r="F33" s="207" t="str">
        <f>Input!D33</f>
        <v>Bắc Giang</v>
      </c>
      <c r="G33" s="207">
        <f>Input!E33</f>
        <v>106.184445</v>
      </c>
      <c r="H33" s="207">
        <f>Input!F33</f>
        <v>21.275372</v>
      </c>
      <c r="I33" s="207">
        <f>Input!G33</f>
        <v>1</v>
      </c>
      <c r="J33" s="207">
        <f>Input!H33</f>
        <v>1</v>
      </c>
      <c r="K33" s="207" t="str">
        <f t="shared" si="0"/>
        <v>CÔNG TY CỔ PHẦN VIỄN THÔNG DI ĐỘNG VIETNAMOBILE</v>
      </c>
      <c r="L33" s="207">
        <f>Input!J33</f>
        <v>105100</v>
      </c>
      <c r="M33" s="207" t="str">
        <f>Input!K33</f>
        <v>ERICSSON RBS 6320</v>
      </c>
      <c r="N33" s="207">
        <f>Input!L33</f>
        <v>3</v>
      </c>
      <c r="O33" s="207" t="str">
        <f>Input!M33</f>
        <v>1/1/1   </v>
      </c>
      <c r="P33" s="207" t="str">
        <f>Input!N33</f>
        <v>80/80/80  </v>
      </c>
      <c r="Q33" s="207">
        <f>Input!O33</f>
        <v>2100</v>
      </c>
      <c r="R33" s="207" t="str">
        <f>Input!P33</f>
        <v>28/28/28</v>
      </c>
      <c r="S33" s="364" t="b">
        <f>Input!Q33</f>
        <v>1</v>
      </c>
      <c r="T33" s="207" t="str">
        <f>Input!R33</f>
        <v>A03967101019TG05</v>
      </c>
      <c r="U33" s="207">
        <f>Input!S33</f>
        <v>0</v>
      </c>
      <c r="V33" s="207" t="str">
        <f>Input!T33</f>
        <v>VCC1</v>
      </c>
      <c r="W33" s="207" t="str">
        <f>Input!U33</f>
        <v>1903310/19/TG/TT1</v>
      </c>
      <c r="X33" s="209" t="str">
        <f>TEXT(Input!V33,"dd/mm/yyyy")</f>
        <v>10/10/2019</v>
      </c>
      <c r="Y33" s="207" t="b">
        <f>Input!W33</f>
        <v>1</v>
      </c>
      <c r="Z33" s="364" t="b">
        <f>Input!X33</f>
        <v>0</v>
      </c>
      <c r="AA33" s="207">
        <f t="shared" si="1"/>
        <v>28</v>
      </c>
      <c r="AB33" s="364" t="b">
        <f>Input!Y33</f>
        <v>1</v>
      </c>
      <c r="AC33" s="207">
        <f>VALUE(Input!Z33)</f>
        <v>8</v>
      </c>
      <c r="AD33" s="207" t="b">
        <f>Input!AA33</f>
        <v>0</v>
      </c>
      <c r="AE33" s="207" t="str">
        <f>Input!AB33</f>
        <v>Ứng Văn Nguyện</v>
      </c>
      <c r="AF33" s="207" t="str">
        <f>Input!AC33</f>
        <v>Nguyễn Đức Nam</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tỉnh Bắc Giang</v>
      </c>
      <c r="AQ33" s="448" t="str">
        <f t="shared" si="4"/>
        <v>thành phố Bắc Giang</v>
      </c>
      <c r="AR33" s="448" t="str">
        <f t="shared" si="5"/>
        <v>phường Mỹ Độ</v>
      </c>
      <c r="AS33" s="449" t="str">
        <f>INDEX(CityIDList,MATCH(F33,CityNameList,0))</f>
        <v>BGG</v>
      </c>
      <c r="AT33" s="208" t="str">
        <f>IF(J33&gt;=1,INDEX(OperatorNameList,MATCH(AZ33,OperatorIDList,0)),"")</f>
        <v>CÔNG TY CỔ PHẦN VIỄN THÔNG DI ĐỘNG VIETNAMOBILE</v>
      </c>
      <c r="AU33" s="208" t="str">
        <f>IF(J33&gt;=2,INDEX(OperatorNameList,MATCH(BA33,OperatorIDList,0)),"")</f>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c>
      <c r="BB33" s="208" t="str">
        <f t="shared" si="8"/>
      </c>
      <c r="BC33" s="208" t="str">
        <f t="shared" si="9"/>
      </c>
      <c r="BD33" s="208" t="str">
        <f t="shared" si="10"/>
      </c>
      <c r="BE33" s="208" t="str">
        <f t="shared" si="11"/>
      </c>
      <c r="BF33" s="208" t="str">
        <f>Input!I33</f>
        <v>VNMOBILE</v>
      </c>
      <c r="BG33" s="208" t="str">
        <f t="shared" si="12"/>
        <v>105100</v>
      </c>
      <c r="BH33" s="208" t="str">
        <f t="shared" si="13"/>
      </c>
      <c r="BI33" s="208" t="str">
        <f t="shared" si="14"/>
      </c>
      <c r="BJ33" s="208" t="str">
        <f t="shared" si="15"/>
      </c>
      <c r="BK33" s="208" t="str">
        <f t="shared" si="16"/>
      </c>
      <c r="BL33" s="208" t="str">
        <f t="shared" si="17"/>
      </c>
      <c r="BM33" s="208" t="str">
        <f t="shared" si="18"/>
        <v>ERICSSON RBS 6320</v>
      </c>
      <c r="BN33" s="208" t="str">
        <f t="shared" si="19"/>
      </c>
      <c r="BO33" s="208" t="str">
        <f t="shared" si="20"/>
      </c>
      <c r="BP33" s="208" t="str">
        <f t="shared" si="21"/>
      </c>
      <c r="BQ33" s="208" t="str">
        <f t="shared" si="22"/>
      </c>
      <c r="BR33" s="208" t="str">
        <f t="shared" si="23"/>
      </c>
      <c r="BS33" s="208">
        <f t="shared" si="24"/>
        <v>3</v>
      </c>
      <c r="BT33" s="208">
        <f t="shared" si="25"/>
        <v>0</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c>
      <c r="CG33" s="208">
        <f t="shared" si="38"/>
        <v>0</v>
      </c>
      <c r="CH33" s="208">
        <f t="shared" si="39"/>
        <v>0</v>
      </c>
      <c r="CI33" s="208">
        <f t="shared" si="40"/>
        <v>0</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c>
      <c r="DY33" s="208">
        <f t="shared" si="82"/>
        <v>0</v>
      </c>
      <c r="DZ33" s="208">
        <f t="shared" si="83"/>
        <v>0</v>
      </c>
      <c r="EA33" s="208">
        <f t="shared" si="84"/>
        <v>0</v>
      </c>
      <c r="EB33" s="208">
        <f t="shared" si="85"/>
        <v>0</v>
      </c>
      <c r="EC33" s="208">
        <f t="shared" si="86"/>
        <v>0</v>
      </c>
      <c r="ED33" s="208">
        <f t="shared" si="87"/>
        <v>0</v>
      </c>
      <c r="EE33" s="208" t="str">
        <f t="shared" si="88"/>
      </c>
      <c r="EF33" s="208">
        <f t="shared" si="89"/>
        <v>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c>
      <c r="FT33" s="208" t="str">
        <f t="shared" si="129"/>
      </c>
      <c r="FU33" s="208" t="str">
        <f t="shared" si="130"/>
      </c>
      <c r="FV33" s="208" t="str">
        <f t="shared" si="131"/>
      </c>
      <c r="FW33" s="208" t="str">
        <f t="shared" si="132"/>
      </c>
      <c r="FX33" s="208" t="str">
        <f t="shared" si="133"/>
        <v>28/28/28</v>
      </c>
      <c r="FY33" s="208">
        <f t="shared" si="134"/>
        <v>28</v>
      </c>
      <c r="FZ33" s="208">
        <f t="shared" si="135"/>
        <v>28</v>
      </c>
      <c r="GA33" s="208">
        <f t="shared" si="136"/>
        <v>28</v>
      </c>
      <c r="GB33" s="208">
        <f t="shared" si="137"/>
        <v>0</v>
      </c>
      <c r="GC33" s="208">
        <f t="shared" si="138"/>
        <v>0</v>
      </c>
      <c r="GD33" s="208">
        <f t="shared" si="139"/>
        <v>0</v>
      </c>
      <c r="GE33" s="208" t="str">
        <f t="shared" si="140"/>
        <v>28m/ 28m/ 28m</v>
      </c>
      <c r="GF33" s="208" t="str">
        <f t="shared" si="141"/>
      </c>
      <c r="GG33" s="208">
        <f t="shared" si="142"/>
        <v>0</v>
      </c>
      <c r="GH33" s="208">
        <f t="shared" si="143"/>
        <v>0</v>
      </c>
      <c r="GI33" s="208">
        <f t="shared" si="144"/>
        <v>0</v>
      </c>
      <c r="GJ33" s="208">
        <f t="shared" si="145"/>
        <v>0</v>
      </c>
      <c r="GK33" s="208">
        <f t="shared" si="146"/>
        <v>0</v>
      </c>
      <c r="GL33" s="208">
        <f t="shared" si="147"/>
        <v>0</v>
      </c>
      <c r="GM33" s="208" t="str">
        <f t="shared" si="148"/>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28</v>
      </c>
      <c r="HV33" s="208">
        <f t="shared" si="182"/>
        <v>0</v>
      </c>
      <c r="HW33" s="208">
        <f t="shared" si="183"/>
        <v>0</v>
      </c>
      <c r="HX33" s="208">
        <f t="shared" si="184"/>
        <v>0</v>
      </c>
      <c r="HY33" s="208">
        <f t="shared" si="185"/>
        <v>0</v>
      </c>
      <c r="HZ33" s="208">
        <f t="shared" si="186"/>
        <v>0</v>
      </c>
      <c r="IA33" s="207">
        <f t="shared" si="187"/>
        <v>28</v>
      </c>
      <c r="IB33" s="207">
        <f t="shared" si="188"/>
        <v>20</v>
      </c>
      <c r="IC33" s="343" t="str">
        <f t="shared" si="189"/>
        <v>A</v>
      </c>
      <c r="ID33" s="343" t="str">
        <f t="shared" si="190"/>
        <v>03967</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105145</v>
      </c>
      <c r="E34" s="317" t="str">
        <f>Input!C34</f>
        <v>Số 22, đường Yết Kiêu, phường Ngô Quyền, thành phố Bắc Giang, tỉnh Bắc Giang</v>
      </c>
      <c r="F34" s="207" t="str">
        <f>Input!D34</f>
        <v>Bắc Giang</v>
      </c>
      <c r="G34" s="207">
        <f>Input!E34</f>
        <v>106.19995</v>
      </c>
      <c r="H34" s="207">
        <f>Input!F34</f>
        <v>21.282727</v>
      </c>
      <c r="I34" s="207">
        <f>Input!G34</f>
        <v>1</v>
      </c>
      <c r="J34" s="207">
        <f>Input!H34</f>
        <v>1</v>
      </c>
      <c r="K34" s="207" t="str">
        <f t="shared" si="0"/>
        <v>CÔNG TY CỔ PHẦN VIỄN THÔNG DI ĐỘNG VIETNAMOBILE</v>
      </c>
      <c r="L34" s="207">
        <f>Input!J34</f>
        <v>105145</v>
      </c>
      <c r="M34" s="207" t="str">
        <f>Input!K34</f>
        <v>ERICSSON RBS 6320</v>
      </c>
      <c r="N34" s="207">
        <f>Input!L34</f>
        <v>3</v>
      </c>
      <c r="O34" s="207" t="str">
        <f>Input!M34</f>
        <v>1/1/1   </v>
      </c>
      <c r="P34" s="207" t="str">
        <f>Input!N34</f>
        <v>80/80/80  </v>
      </c>
      <c r="Q34" s="207">
        <f>Input!O34</f>
        <v>2100</v>
      </c>
      <c r="R34" s="207" t="str">
        <f>Input!P34</f>
        <v>28/28/28</v>
      </c>
      <c r="S34" s="364" t="b">
        <f>Input!Q34</f>
        <v>1</v>
      </c>
      <c r="T34" s="207" t="str">
        <f>Input!R34</f>
        <v>A03968101019TG05</v>
      </c>
      <c r="U34" s="207">
        <f>Input!S34</f>
        <v>0</v>
      </c>
      <c r="V34" s="207" t="str">
        <f>Input!T34</f>
        <v>VCC1</v>
      </c>
      <c r="W34" s="207" t="str">
        <f>Input!U34</f>
        <v>1903317/19/TG/TT1</v>
      </c>
      <c r="X34" s="209" t="str">
        <f>TEXT(Input!V34,"dd/mm/yyyy")</f>
        <v>10/10/2019</v>
      </c>
      <c r="Y34" s="207" t="b">
        <f>Input!W34</f>
        <v>1</v>
      </c>
      <c r="Z34" s="364" t="b">
        <f>Input!X34</f>
        <v>0</v>
      </c>
      <c r="AA34" s="207">
        <f t="shared" si="1"/>
        <v>28</v>
      </c>
      <c r="AB34" s="364" t="b">
        <f>Input!Y34</f>
        <v>1</v>
      </c>
      <c r="AC34" s="207">
        <f>VALUE(Input!Z34)</f>
        <v>24</v>
      </c>
      <c r="AD34" s="207" t="b">
        <f>Input!AA34</f>
        <v>0</v>
      </c>
      <c r="AE34" s="207" t="str">
        <f>Input!AB34</f>
        <v>Ứng Văn Nguyện</v>
      </c>
      <c r="AF34" s="207" t="str">
        <f>Input!AC34</f>
        <v>Nguyễn Đức Nam</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4</v>
      </c>
      <c r="AP34" s="287" t="str">
        <f t="shared" si="3"/>
        <v>tỉnh Bắc Giang</v>
      </c>
      <c r="AQ34" s="448" t="str">
        <f t="shared" si="4"/>
        <v>thành phố Bắc Giang</v>
      </c>
      <c r="AR34" s="448" t="str">
        <f t="shared" si="5"/>
        <v>phường Ngô Quyền</v>
      </c>
      <c r="AS34" s="449" t="str">
        <f>INDEX(CityIDList,MATCH(F34,CityNameList,0))</f>
        <v>BGG</v>
      </c>
      <c r="AT34" s="208" t="str">
        <f>IF(J34&gt;=1,INDEX(OperatorNameList,MATCH(AZ34,OperatorIDList,0)),"")</f>
        <v>CÔNG TY CỔ PHẦN VIỄN THÔNG DI ĐỘNG VIETNAMOBILE</v>
      </c>
      <c r="AU34" s="208" t="str">
        <f>IF(J34&gt;=2,INDEX(OperatorNameList,MATCH(BA34,OperatorIDList,0)),"")</f>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c>
      <c r="BB34" s="208" t="str">
        <f t="shared" si="8"/>
      </c>
      <c r="BC34" s="208" t="str">
        <f t="shared" si="9"/>
      </c>
      <c r="BD34" s="208" t="str">
        <f t="shared" si="10"/>
      </c>
      <c r="BE34" s="208" t="str">
        <f t="shared" si="11"/>
      </c>
      <c r="BF34" s="208" t="str">
        <f>Input!I34</f>
        <v>VNMOBILE</v>
      </c>
      <c r="BG34" s="208" t="str">
        <f t="shared" si="12"/>
        <v>105145</v>
      </c>
      <c r="BH34" s="208" t="str">
        <f t="shared" si="13"/>
      </c>
      <c r="BI34" s="208" t="str">
        <f t="shared" si="14"/>
      </c>
      <c r="BJ34" s="208" t="str">
        <f t="shared" si="15"/>
      </c>
      <c r="BK34" s="208" t="str">
        <f t="shared" si="16"/>
      </c>
      <c r="BL34" s="208" t="str">
        <f t="shared" si="17"/>
      </c>
      <c r="BM34" s="208" t="str">
        <f t="shared" si="18"/>
        <v>ERICSSON RBS 6320</v>
      </c>
      <c r="BN34" s="208" t="str">
        <f t="shared" si="19"/>
      </c>
      <c r="BO34" s="208" t="str">
        <f t="shared" si="20"/>
      </c>
      <c r="BP34" s="208" t="str">
        <f t="shared" si="21"/>
      </c>
      <c r="BQ34" s="208" t="str">
        <f t="shared" si="22"/>
      </c>
      <c r="BR34" s="208" t="str">
        <f t="shared" si="23"/>
      </c>
      <c r="BS34" s="208">
        <f t="shared" si="24"/>
        <v>3</v>
      </c>
      <c r="BT34" s="208">
        <f t="shared" si="25"/>
        <v>0</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c>
      <c r="CG34" s="208">
        <f t="shared" si="38"/>
        <v>0</v>
      </c>
      <c r="CH34" s="208">
        <f t="shared" si="39"/>
        <v>0</v>
      </c>
      <c r="CI34" s="208">
        <f t="shared" si="40"/>
        <v>0</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c>
      <c r="DY34" s="208">
        <f t="shared" si="82"/>
        <v>0</v>
      </c>
      <c r="DZ34" s="208">
        <f t="shared" si="83"/>
        <v>0</v>
      </c>
      <c r="EA34" s="208">
        <f t="shared" si="84"/>
        <v>0</v>
      </c>
      <c r="EB34" s="208">
        <f t="shared" si="85"/>
        <v>0</v>
      </c>
      <c r="EC34" s="208">
        <f t="shared" si="86"/>
        <v>0</v>
      </c>
      <c r="ED34" s="208">
        <f t="shared" si="87"/>
        <v>0</v>
      </c>
      <c r="EE34" s="208" t="str">
        <f t="shared" si="88"/>
      </c>
      <c r="EF34" s="208">
        <f t="shared" si="89"/>
        <v>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c>
      <c r="FT34" s="208" t="str">
        <f t="shared" si="129"/>
      </c>
      <c r="FU34" s="208" t="str">
        <f t="shared" si="130"/>
      </c>
      <c r="FV34" s="208" t="str">
        <f t="shared" si="131"/>
      </c>
      <c r="FW34" s="208" t="str">
        <f t="shared" si="132"/>
      </c>
      <c r="FX34" s="208" t="str">
        <f t="shared" si="133"/>
        <v>28/28/28</v>
      </c>
      <c r="FY34" s="208">
        <f t="shared" si="134"/>
        <v>28</v>
      </c>
      <c r="FZ34" s="208">
        <f t="shared" si="135"/>
        <v>28</v>
      </c>
      <c r="GA34" s="208">
        <f t="shared" si="136"/>
        <v>28</v>
      </c>
      <c r="GB34" s="208">
        <f t="shared" si="137"/>
        <v>0</v>
      </c>
      <c r="GC34" s="208">
        <f t="shared" si="138"/>
        <v>0</v>
      </c>
      <c r="GD34" s="208">
        <f t="shared" si="139"/>
        <v>0</v>
      </c>
      <c r="GE34" s="208" t="str">
        <f t="shared" si="140"/>
        <v>28m/ 28m/ 28m</v>
      </c>
      <c r="GF34" s="208" t="str">
        <f t="shared" si="141"/>
      </c>
      <c r="GG34" s="208">
        <f t="shared" si="142"/>
        <v>0</v>
      </c>
      <c r="GH34" s="208">
        <f t="shared" si="143"/>
        <v>0</v>
      </c>
      <c r="GI34" s="208">
        <f t="shared" si="144"/>
        <v>0</v>
      </c>
      <c r="GJ34" s="208">
        <f t="shared" si="145"/>
        <v>0</v>
      </c>
      <c r="GK34" s="208">
        <f t="shared" si="146"/>
        <v>0</v>
      </c>
      <c r="GL34" s="208">
        <f t="shared" si="147"/>
        <v>0</v>
      </c>
      <c r="GM34" s="208" t="str">
        <f t="shared" si="148"/>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28</v>
      </c>
      <c r="HV34" s="208">
        <f t="shared" si="182"/>
        <v>0</v>
      </c>
      <c r="HW34" s="208">
        <f t="shared" si="183"/>
        <v>0</v>
      </c>
      <c r="HX34" s="208">
        <f t="shared" si="184"/>
        <v>0</v>
      </c>
      <c r="HY34" s="208">
        <f t="shared" si="185"/>
        <v>0</v>
      </c>
      <c r="HZ34" s="208">
        <f t="shared" si="186"/>
        <v>0</v>
      </c>
      <c r="IA34" s="207">
        <f t="shared" si="187"/>
        <v>28</v>
      </c>
      <c r="IB34" s="207">
        <f t="shared" si="188"/>
        <v>4</v>
      </c>
      <c r="IC34" s="343" t="str">
        <f t="shared" si="189"/>
        <v>A</v>
      </c>
      <c r="ID34" s="343" t="str">
        <f t="shared" si="190"/>
        <v>03968</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105144</v>
      </c>
      <c r="E35" s="317" t="str">
        <f>Input!C35</f>
        <v>Thôn Đội Mạ, xã Ngọc Thiện, huyện Tân Yên, tỉnh Bắc Giang</v>
      </c>
      <c r="F35" s="207" t="str">
        <f>Input!D35</f>
        <v>Bắc Giang</v>
      </c>
      <c r="G35" s="207">
        <f>Input!E35</f>
        <v>106.084983</v>
      </c>
      <c r="H35" s="207">
        <f>Input!F35</f>
        <v>21.354485</v>
      </c>
      <c r="I35" s="207">
        <f>Input!G35</f>
        <v>1</v>
      </c>
      <c r="J35" s="207">
        <f>Input!H35</f>
        <v>1</v>
      </c>
      <c r="K35" s="207" t="str">
        <f t="shared" si="0"/>
        <v>CÔNG TY CỔ PHẦN VIỄN THÔNG DI ĐỘNG VIETNAMOBILE</v>
      </c>
      <c r="L35" s="207">
        <f>Input!J35</f>
        <v>105144</v>
      </c>
      <c r="M35" s="207" t="str">
        <f>Input!K35</f>
        <v>ERICSSON RBS 6320</v>
      </c>
      <c r="N35" s="207">
        <f>Input!L35</f>
        <v>3</v>
      </c>
      <c r="O35" s="207" t="str">
        <f>Input!M35</f>
        <v>1/1/1   </v>
      </c>
      <c r="P35" s="207" t="str">
        <f>Input!N35</f>
        <v>80/80/80  </v>
      </c>
      <c r="Q35" s="207">
        <f>Input!O35</f>
        <v>2100</v>
      </c>
      <c r="R35" s="207" t="str">
        <f>Input!P35</f>
        <v>37/37/37</v>
      </c>
      <c r="S35" s="364" t="b">
        <f>Input!Q35</f>
        <v>1</v>
      </c>
      <c r="T35" s="207" t="str">
        <f>Input!R35</f>
        <v>A03969101019TG05</v>
      </c>
      <c r="U35" s="207">
        <f>Input!S35</f>
        <v>0</v>
      </c>
      <c r="V35" s="207" t="str">
        <f>Input!T35</f>
        <v>VCC1</v>
      </c>
      <c r="W35" s="207" t="str">
        <f>Input!U35</f>
        <v>1903316/19/TG/TT1</v>
      </c>
      <c r="X35" s="209" t="str">
        <f>TEXT(Input!V35,"dd/mm/yyyy")</f>
        <v>10/10/2019</v>
      </c>
      <c r="Y35" s="207" t="b">
        <f>Input!W35</f>
        <v>1</v>
      </c>
      <c r="Z35" s="364" t="b">
        <f>Input!X35</f>
        <v>0</v>
      </c>
      <c r="AA35" s="207">
        <f t="shared" si="1"/>
        <v>37</v>
      </c>
      <c r="AB35" s="364" t="b">
        <f>Input!Y35</f>
        <v>1</v>
      </c>
      <c r="AC35" s="207">
        <f>VALUE(Input!Z35)</f>
        <v>14</v>
      </c>
      <c r="AD35" s="207" t="b">
        <f>Input!AA35</f>
        <v>0</v>
      </c>
      <c r="AE35" s="207" t="str">
        <f>Input!AB35</f>
        <v>Ứng Văn Nguyện</v>
      </c>
      <c r="AF35" s="207" t="str">
        <f>Input!AC35</f>
        <v>Nguyễn Đức Nam</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tỉnh Bắc Giang</v>
      </c>
      <c r="AQ35" s="448" t="str">
        <f t="shared" si="4"/>
        <v>huyện Tân Yên</v>
      </c>
      <c r="AR35" s="448" t="str">
        <f t="shared" si="5"/>
        <v>xã Ngọc Thiện</v>
      </c>
      <c r="AS35" s="449" t="str">
        <f>INDEX(CityIDList,MATCH(F35,CityNameList,0))</f>
        <v>BGG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105144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37/37/37</v>
      </c>
      <c r="FY35" s="208">
        <f t="shared" si="134"/>
        <v>37</v>
      </c>
      <c r="FZ35" s="208">
        <f t="shared" si="135"/>
        <v>37</v>
      </c>
      <c r="GA35" s="208">
        <f t="shared" si="136"/>
        <v>37</v>
      </c>
      <c r="GB35" s="208">
        <f t="shared" si="137"/>
        <v>0</v>
      </c>
      <c r="GC35" s="208">
        <f t="shared" si="138"/>
        <v>0</v>
      </c>
      <c r="GD35" s="208">
        <f t="shared" si="139"/>
        <v>0</v>
      </c>
      <c r="GE35" s="208" t="str">
        <f t="shared" si="140"/>
        <v>37m/ 37m/ 37m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37</v>
      </c>
      <c r="HV35" s="208">
        <f t="shared" si="182"/>
        <v>0</v>
      </c>
      <c r="HW35" s="208">
        <f t="shared" si="183"/>
        <v>0</v>
      </c>
      <c r="HX35" s="208">
        <f t="shared" si="184"/>
        <v>0</v>
      </c>
      <c r="HY35" s="208">
        <f t="shared" si="185"/>
        <v>0</v>
      </c>
      <c r="HZ35" s="208">
        <f t="shared" si="186"/>
        <v>0</v>
      </c>
      <c r="IA35" s="207">
        <f t="shared" si="187"/>
        <v>37</v>
      </c>
      <c r="IB35" s="207">
        <f t="shared" si="188"/>
        <v>23</v>
      </c>
      <c r="IC35" s="343" t="str">
        <f t="shared" si="189"/>
        <v>A</v>
      </c>
      <c r="ID35" s="343" t="str">
        <f t="shared" si="190"/>
        <v>03969</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124827</v>
      </c>
      <c r="E36" s="317" t="str">
        <f>Input!C36</f>
        <v>Thôn Bảo Lộc, xã Võng Xuyên, huyện Phúc Thọ, thành phố Hà Nội</v>
      </c>
      <c r="F36" s="207" t="str">
        <f>Input!D36</f>
        <v>Hà Nội</v>
      </c>
      <c r="G36" s="207">
        <f>Input!E36</f>
        <v>105.5688</v>
      </c>
      <c r="H36" s="207">
        <f>Input!F36</f>
        <v>21.133463</v>
      </c>
      <c r="I36" s="207">
        <f>Input!G36</f>
        <v>1</v>
      </c>
      <c r="J36" s="207">
        <f>Input!H36</f>
        <v>1</v>
      </c>
      <c r="K36" s="207" t="str">
        <f t="shared" si="0"/>
        <v>CÔNG TY CỔ PHẦN VIỄN THÔNG DI ĐỘNG VIETNAMOBILE</v>
      </c>
      <c r="L36" s="207">
        <f>Input!J36</f>
        <v>124827</v>
      </c>
      <c r="M36" s="207" t="str">
        <f>Input!K36</f>
        <v>ERICSSON RBS 6320</v>
      </c>
      <c r="N36" s="207">
        <f>Input!L36</f>
        <v>3</v>
      </c>
      <c r="O36" s="207" t="str">
        <f>Input!M36</f>
        <v>1/1/1   </v>
      </c>
      <c r="P36" s="207" t="str">
        <f>Input!N36</f>
        <v>80/80/80  </v>
      </c>
      <c r="Q36" s="207">
        <f>Input!O36</f>
        <v>2100</v>
      </c>
      <c r="R36" s="207" t="str">
        <f>Input!P36</f>
        <v>33/33/33</v>
      </c>
      <c r="S36" s="364" t="b">
        <f>Input!Q36</f>
        <v>1</v>
      </c>
      <c r="T36" s="207" t="str">
        <f>Input!R36</f>
        <v>A03970101019TG05</v>
      </c>
      <c r="U36" s="207">
        <f>Input!S36</f>
        <v>0</v>
      </c>
      <c r="V36" s="207" t="str">
        <f>Input!T36</f>
        <v>VCC1</v>
      </c>
      <c r="W36" s="207" t="str">
        <f>Input!U36</f>
        <v>1903330/19/TG/TT1</v>
      </c>
      <c r="X36" s="209" t="str">
        <f>TEXT(Input!V36,"dd/mm/yyyy")</f>
        <v>10/10/2019</v>
      </c>
      <c r="Y36" s="207" t="b">
        <f>Input!W36</f>
        <v>1</v>
      </c>
      <c r="Z36" s="364" t="b">
        <f>Input!X36</f>
        <v>0</v>
      </c>
      <c r="AA36" s="207">
        <f t="shared" si="1"/>
        <v>33</v>
      </c>
      <c r="AB36" s="364" t="b">
        <f>Input!Y36</f>
        <v>1</v>
      </c>
      <c r="AC36" s="207">
        <f>VALUE(Input!Z36)</f>
        <v>10</v>
      </c>
      <c r="AD36" s="207" t="b">
        <f>Input!AA36</f>
        <v>0</v>
      </c>
      <c r="AE36" s="207" t="str">
        <f>Input!AB36</f>
        <v>Ứng Văn Nguyện</v>
      </c>
      <c r="AF36" s="207" t="str">
        <f>Input!AC36</f>
        <v>Nguyễn Đức Nam</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3</v>
      </c>
      <c r="AP36" s="287" t="str">
        <f t="shared" si="3"/>
        <v>thành phố Hà Nội</v>
      </c>
      <c r="AQ36" s="448" t="str">
        <f t="shared" si="4"/>
        <v>huyện Phúc Thọ</v>
      </c>
      <c r="AR36" s="448" t="str">
        <f t="shared" si="5"/>
        <v>xã Võng Xuyên</v>
      </c>
      <c r="AS36" s="449" t="str">
        <f>INDEX(CityIDList,MATCH(F36,CityNameList,0))</f>
        <v>HNI</v>
      </c>
      <c r="AT36" s="208" t="str">
        <f>IF(J36&gt;=1,INDEX(OperatorNameList,MATCH(AZ36,OperatorIDList,0)),"")</f>
        <v>CÔNG TY CỔ PHẦN VIỄN THÔNG DI ĐỘNG VIETNAMOBILE</v>
      </c>
      <c r="AU36" s="208" t="str">
        <f>IF(J36&gt;=2,INDEX(OperatorNameList,MATCH(BA36,OperatorIDList,0)),"")</f>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c>
      <c r="BB36" s="208" t="str">
        <f t="shared" si="8"/>
      </c>
      <c r="BC36" s="208" t="str">
        <f t="shared" si="9"/>
      </c>
      <c r="BD36" s="208" t="str">
        <f t="shared" si="10"/>
      </c>
      <c r="BE36" s="208" t="str">
        <f t="shared" si="11"/>
      </c>
      <c r="BF36" s="208" t="str">
        <f>Input!I36</f>
        <v>VNMOBILE</v>
      </c>
      <c r="BG36" s="208" t="str">
        <f t="shared" si="12"/>
        <v>124827</v>
      </c>
      <c r="BH36" s="208" t="str">
        <f t="shared" si="13"/>
      </c>
      <c r="BI36" s="208" t="str">
        <f t="shared" si="14"/>
      </c>
      <c r="BJ36" s="208" t="str">
        <f t="shared" si="15"/>
      </c>
      <c r="BK36" s="208" t="str">
        <f t="shared" si="16"/>
      </c>
      <c r="BL36" s="208" t="str">
        <f t="shared" si="17"/>
      </c>
      <c r="BM36" s="208" t="str">
        <f t="shared" si="18"/>
        <v>ERICSSON RBS 6320</v>
      </c>
      <c r="BN36" s="208" t="str">
        <f t="shared" si="19"/>
      </c>
      <c r="BO36" s="208" t="str">
        <f t="shared" si="20"/>
      </c>
      <c r="BP36" s="208" t="str">
        <f t="shared" si="21"/>
      </c>
      <c r="BQ36" s="208" t="str">
        <f t="shared" si="22"/>
      </c>
      <c r="BR36" s="208" t="str">
        <f t="shared" si="23"/>
      </c>
      <c r="BS36" s="208">
        <f t="shared" si="24"/>
        <v>3</v>
      </c>
      <c r="BT36" s="208">
        <f t="shared" si="25"/>
        <v>0</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c>
      <c r="CG36" s="208">
        <f t="shared" si="38"/>
        <v>0</v>
      </c>
      <c r="CH36" s="208">
        <f t="shared" si="39"/>
        <v>0</v>
      </c>
      <c r="CI36" s="208">
        <f t="shared" si="40"/>
        <v>0</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c>
      <c r="DY36" s="208">
        <f t="shared" si="82"/>
        <v>0</v>
      </c>
      <c r="DZ36" s="208">
        <f t="shared" si="83"/>
        <v>0</v>
      </c>
      <c r="EA36" s="208">
        <f t="shared" si="84"/>
        <v>0</v>
      </c>
      <c r="EB36" s="208">
        <f t="shared" si="85"/>
        <v>0</v>
      </c>
      <c r="EC36" s="208">
        <f t="shared" si="86"/>
        <v>0</v>
      </c>
      <c r="ED36" s="208">
        <f t="shared" si="87"/>
        <v>0</v>
      </c>
      <c r="EE36" s="208" t="str">
        <f t="shared" si="88"/>
      </c>
      <c r="EF36" s="208">
        <f t="shared" si="89"/>
        <v>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c>
      <c r="GG36" s="208">
        <f t="shared" si="142"/>
        <v>0</v>
      </c>
      <c r="GH36" s="208">
        <f t="shared" si="143"/>
        <v>0</v>
      </c>
      <c r="GI36" s="208">
        <f t="shared" si="144"/>
        <v>0</v>
      </c>
      <c r="GJ36" s="208">
        <f t="shared" si="145"/>
        <v>0</v>
      </c>
      <c r="GK36" s="208">
        <f t="shared" si="146"/>
        <v>0</v>
      </c>
      <c r="GL36" s="208">
        <f t="shared" si="147"/>
        <v>0</v>
      </c>
      <c r="GM36" s="208" t="str">
        <f t="shared" si="148"/>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0</v>
      </c>
      <c r="HW36" s="208">
        <f t="shared" si="183"/>
        <v>0</v>
      </c>
      <c r="HX36" s="208">
        <f t="shared" si="184"/>
        <v>0</v>
      </c>
      <c r="HY36" s="208">
        <f t="shared" si="185"/>
        <v>0</v>
      </c>
      <c r="HZ36" s="208">
        <f t="shared" si="186"/>
        <v>0</v>
      </c>
      <c r="IA36" s="207">
        <f t="shared" si="187"/>
        <v>33</v>
      </c>
      <c r="IB36" s="207">
        <f t="shared" si="188"/>
        <v>23</v>
      </c>
      <c r="IC36" s="343" t="str">
        <f t="shared" si="189"/>
        <v>A</v>
      </c>
      <c r="ID36" s="343" t="str">
        <f t="shared" si="190"/>
        <v>03970</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124970</v>
      </c>
      <c r="E37" s="317" t="str">
        <f>Input!C37</f>
        <v>UBND xã Tiên Phương, xã Tiên Phương, huyện Chương Mỹ, thành phố Hà Nội</v>
      </c>
      <c r="F37" s="207" t="str">
        <f>Input!D37</f>
        <v>Hà Nội</v>
      </c>
      <c r="G37" s="207">
        <f>Input!E37</f>
        <v>105.683996</v>
      </c>
      <c r="H37" s="207">
        <f>Input!F37</f>
        <v>20.941844</v>
      </c>
      <c r="I37" s="207">
        <f>Input!G37</f>
        <v>1</v>
      </c>
      <c r="J37" s="207">
        <f>Input!H37</f>
        <v>1</v>
      </c>
      <c r="K37" s="207" t="str">
        <f t="shared" si="0"/>
        <v>CÔNG TY CỔ PHẦN VIỄN THÔNG DI ĐỘNG VIETNAMOBILE</v>
      </c>
      <c r="L37" s="207">
        <f>Input!J37</f>
        <v>124970</v>
      </c>
      <c r="M37" s="207" t="str">
        <f>Input!K37</f>
        <v>ERICSSON RBS 6320</v>
      </c>
      <c r="N37" s="207">
        <f>Input!L37</f>
        <v>3</v>
      </c>
      <c r="O37" s="207" t="str">
        <f>Input!M37</f>
        <v>1/1/1   </v>
      </c>
      <c r="P37" s="207" t="str">
        <f>Input!N37</f>
        <v>80/80/80  </v>
      </c>
      <c r="Q37" s="207">
        <f>Input!O37</f>
        <v>2100</v>
      </c>
      <c r="R37" s="207" t="str">
        <f>Input!P37</f>
        <v>33/33/33</v>
      </c>
      <c r="S37" s="364" t="b">
        <f>Input!Q37</f>
        <v>1</v>
      </c>
      <c r="T37" s="207" t="str">
        <f>Input!R37</f>
        <v>A03971101019TG05</v>
      </c>
      <c r="U37" s="207">
        <f>Input!S37</f>
        <v>0</v>
      </c>
      <c r="V37" s="207" t="str">
        <f>Input!T37</f>
        <v>VCC1</v>
      </c>
      <c r="W37" s="207" t="str">
        <f>Input!U37</f>
        <v>1903313/19/TG/TT1</v>
      </c>
      <c r="X37" s="209" t="str">
        <f>TEXT(Input!V37,"dd/mm/yyyy")</f>
        <v>10/10/2019</v>
      </c>
      <c r="Y37" s="207" t="b">
        <f>Input!W37</f>
        <v>1</v>
      </c>
      <c r="Z37" s="364" t="b">
        <f>Input!X37</f>
        <v>0</v>
      </c>
      <c r="AA37" s="207">
        <f t="shared" si="1"/>
        <v>33</v>
      </c>
      <c r="AB37" s="364" t="b">
        <f>Input!Y37</f>
        <v>1</v>
      </c>
      <c r="AC37" s="207">
        <f>VALUE(Input!Z37)</f>
        <v>8</v>
      </c>
      <c r="AD37" s="207" t="b">
        <f>Input!AA37</f>
        <v>0</v>
      </c>
      <c r="AE37" s="207" t="str">
        <f>Input!AB37</f>
        <v>Ứng Văn Nguyện</v>
      </c>
      <c r="AF37" s="207" t="str">
        <f>Input!AC37</f>
        <v>Nguyễn Đức Nam</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3</v>
      </c>
      <c r="AP37" s="287" t="str">
        <f t="shared" si="3"/>
        <v>thành phố Hà Nội</v>
      </c>
      <c r="AQ37" s="448" t="str">
        <f t="shared" si="4"/>
        <v>huyện Chương Mỹ</v>
      </c>
      <c r="AR37" s="448" t="str">
        <f t="shared" si="5"/>
        <v>xã Tiên Phương</v>
      </c>
      <c r="AS37" s="449" t="str">
        <f>INDEX(CityIDList,MATCH(F37,CityNameList,0))</f>
        <v>HNI</v>
      </c>
      <c r="AT37" s="208" t="str">
        <f>IF(J37&gt;=1,INDEX(OperatorNameList,MATCH(AZ37,OperatorIDList,0)),"")</f>
        <v>CÔNG TY CỔ PHẦN VIỄN THÔNG DI ĐỘNG VIETNAMOBILE</v>
      </c>
      <c r="AU37" s="208" t="str">
        <f>IF(J37&gt;=2,INDEX(OperatorNameList,MATCH(BA37,OperatorIDList,0)),"")</f>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c>
      <c r="BB37" s="208" t="str">
        <f t="shared" si="8"/>
      </c>
      <c r="BC37" s="208" t="str">
        <f t="shared" si="9"/>
      </c>
      <c r="BD37" s="208" t="str">
        <f t="shared" si="10"/>
      </c>
      <c r="BE37" s="208" t="str">
        <f t="shared" si="11"/>
      </c>
      <c r="BF37" s="208" t="str">
        <f>Input!I37</f>
        <v>VNMOBILE</v>
      </c>
      <c r="BG37" s="208" t="str">
        <f t="shared" si="12"/>
        <v>124970</v>
      </c>
      <c r="BH37" s="208" t="str">
        <f t="shared" si="13"/>
      </c>
      <c r="BI37" s="208" t="str">
        <f t="shared" si="14"/>
      </c>
      <c r="BJ37" s="208" t="str">
        <f t="shared" si="15"/>
      </c>
      <c r="BK37" s="208" t="str">
        <f t="shared" si="16"/>
      </c>
      <c r="BL37" s="208" t="str">
        <f t="shared" si="17"/>
      </c>
      <c r="BM37" s="208" t="str">
        <f t="shared" si="18"/>
        <v>ERICSSON RBS 6320</v>
      </c>
      <c r="BN37" s="208" t="str">
        <f t="shared" si="19"/>
      </c>
      <c r="BO37" s="208" t="str">
        <f t="shared" si="20"/>
      </c>
      <c r="BP37" s="208" t="str">
        <f t="shared" si="21"/>
      </c>
      <c r="BQ37" s="208" t="str">
        <f t="shared" si="22"/>
      </c>
      <c r="BR37" s="208" t="str">
        <f t="shared" si="23"/>
      </c>
      <c r="BS37" s="208">
        <f t="shared" si="24"/>
        <v>3</v>
      </c>
      <c r="BT37" s="208">
        <f t="shared" si="25"/>
        <v>0</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c>
      <c r="CG37" s="208">
        <f t="shared" si="38"/>
        <v>0</v>
      </c>
      <c r="CH37" s="208">
        <f t="shared" si="39"/>
        <v>0</v>
      </c>
      <c r="CI37" s="208">
        <f t="shared" si="40"/>
        <v>0</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c>
      <c r="DY37" s="208">
        <f t="shared" si="82"/>
        <v>0</v>
      </c>
      <c r="DZ37" s="208">
        <f t="shared" si="83"/>
        <v>0</v>
      </c>
      <c r="EA37" s="208">
        <f t="shared" si="84"/>
        <v>0</v>
      </c>
      <c r="EB37" s="208">
        <f t="shared" si="85"/>
        <v>0</v>
      </c>
      <c r="EC37" s="208">
        <f t="shared" si="86"/>
        <v>0</v>
      </c>
      <c r="ED37" s="208">
        <f t="shared" si="87"/>
        <v>0</v>
      </c>
      <c r="EE37" s="208" t="str">
        <f t="shared" si="88"/>
      </c>
      <c r="EF37" s="208">
        <f t="shared" si="89"/>
        <v>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c>
      <c r="FT37" s="208" t="str">
        <f t="shared" si="129"/>
      </c>
      <c r="FU37" s="208" t="str">
        <f t="shared" si="130"/>
      </c>
      <c r="FV37" s="208" t="str">
        <f t="shared" si="131"/>
      </c>
      <c r="FW37" s="208" t="str">
        <f t="shared" si="132"/>
      </c>
      <c r="FX37" s="208" t="str">
        <f t="shared" si="133"/>
        <v>33/33/33</v>
      </c>
      <c r="FY37" s="208">
        <f t="shared" si="134"/>
        <v>33</v>
      </c>
      <c r="FZ37" s="208">
        <f t="shared" si="135"/>
        <v>33</v>
      </c>
      <c r="GA37" s="208">
        <f t="shared" si="136"/>
        <v>33</v>
      </c>
      <c r="GB37" s="208">
        <f t="shared" si="137"/>
        <v>0</v>
      </c>
      <c r="GC37" s="208">
        <f t="shared" si="138"/>
        <v>0</v>
      </c>
      <c r="GD37" s="208">
        <f t="shared" si="139"/>
        <v>0</v>
      </c>
      <c r="GE37" s="208" t="str">
        <f t="shared" si="140"/>
        <v>33m/ 33m/ 33m</v>
      </c>
      <c r="GF37" s="208" t="str">
        <f t="shared" si="141"/>
      </c>
      <c r="GG37" s="208">
        <f t="shared" si="142"/>
        <v>0</v>
      </c>
      <c r="GH37" s="208">
        <f t="shared" si="143"/>
        <v>0</v>
      </c>
      <c r="GI37" s="208">
        <f t="shared" si="144"/>
        <v>0</v>
      </c>
      <c r="GJ37" s="208">
        <f t="shared" si="145"/>
        <v>0</v>
      </c>
      <c r="GK37" s="208">
        <f t="shared" si="146"/>
        <v>0</v>
      </c>
      <c r="GL37" s="208">
        <f t="shared" si="147"/>
        <v>0</v>
      </c>
      <c r="GM37" s="208" t="str">
        <f t="shared" si="148"/>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33</v>
      </c>
      <c r="HV37" s="208">
        <f t="shared" si="182"/>
        <v>0</v>
      </c>
      <c r="HW37" s="208">
        <f t="shared" si="183"/>
        <v>0</v>
      </c>
      <c r="HX37" s="208">
        <f t="shared" si="184"/>
        <v>0</v>
      </c>
      <c r="HY37" s="208">
        <f t="shared" si="185"/>
        <v>0</v>
      </c>
      <c r="HZ37" s="208">
        <f t="shared" si="186"/>
        <v>0</v>
      </c>
      <c r="IA37" s="207">
        <f t="shared" si="187"/>
        <v>33</v>
      </c>
      <c r="IB37" s="207">
        <f t="shared" si="188"/>
        <v>25</v>
      </c>
      <c r="IC37" s="343" t="str">
        <f t="shared" si="189"/>
        <v>A</v>
      </c>
      <c r="ID37" s="343" t="str">
        <f t="shared" si="190"/>
        <v>03971</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124791</v>
      </c>
      <c r="E38" s="317" t="str">
        <f>Input!C38</f>
        <v>Lô 16.D1-NV1, khu D, đường Lê Trọng Tấn, phường Dương Nội, quận Hà Đông, thành phố Hà Nội</v>
      </c>
      <c r="F38" s="207" t="str">
        <f>Input!D38</f>
        <v>Hà Nội</v>
      </c>
      <c r="G38" s="207">
        <f>Input!E38</f>
        <v>105.738588</v>
      </c>
      <c r="H38" s="207">
        <f>Input!F38</f>
        <v>20.986976</v>
      </c>
      <c r="I38" s="207">
        <f>Input!G38</f>
        <v>1</v>
      </c>
      <c r="J38" s="207">
        <f>Input!H38</f>
        <v>1</v>
      </c>
      <c r="K38" s="207" t="str">
        <f t="shared" si="0"/>
        <v>CÔNG TY CỔ PHẦN VIỄN THÔNG DI ĐỘNG VIETNAMOBILE</v>
      </c>
      <c r="L38" s="207">
        <f>Input!J38</f>
        <v>124791</v>
      </c>
      <c r="M38" s="207" t="str">
        <f>Input!K38</f>
        <v>ERICSSON RBS 6320</v>
      </c>
      <c r="N38" s="207">
        <f>Input!L38</f>
        <v>3</v>
      </c>
      <c r="O38" s="207" t="str">
        <f>Input!M38</f>
        <v>1/1/1   </v>
      </c>
      <c r="P38" s="207" t="str">
        <f>Input!N38</f>
        <v>80/80/80  </v>
      </c>
      <c r="Q38" s="207">
        <f>Input!O38</f>
        <v>2100</v>
      </c>
      <c r="R38" s="207" t="str">
        <f>Input!P38</f>
        <v>25/25/25</v>
      </c>
      <c r="S38" s="364" t="b">
        <f>Input!Q38</f>
        <v>1</v>
      </c>
      <c r="T38" s="207" t="str">
        <f>Input!R38</f>
        <v>A03972101019TG05</v>
      </c>
      <c r="U38" s="207">
        <f>Input!S38</f>
        <v>0</v>
      </c>
      <c r="V38" s="207" t="str">
        <f>Input!T38</f>
        <v>VCC1</v>
      </c>
      <c r="W38" s="207" t="str">
        <f>Input!U38</f>
        <v>1903324/19/TG/TT1</v>
      </c>
      <c r="X38" s="209" t="str">
        <f>TEXT(Input!V38,"dd/mm/yyyy")</f>
        <v>10/10/2019</v>
      </c>
      <c r="Y38" s="207" t="b">
        <f>Input!W38</f>
        <v>0</v>
      </c>
      <c r="Z38" s="364" t="b">
        <f>Input!X38</f>
        <v>0</v>
      </c>
      <c r="AA38" s="207">
        <f t="shared" si="1"/>
        <v>25</v>
      </c>
      <c r="AB38" s="364" t="b">
        <f>Input!Y38</f>
        <v>1</v>
      </c>
      <c r="AC38" s="207">
        <f>VALUE(Input!Z38)</f>
        <v>21</v>
      </c>
      <c r="AD38" s="207" t="b">
        <f>Input!AA38</f>
        <v>0</v>
      </c>
      <c r="AE38" s="207" t="str">
        <f>Input!AB38</f>
        <v>Ứng Văn Nguyện</v>
      </c>
      <c r="AF38" s="207" t="str">
        <f>Input!AC38</f>
        <v>Nguyễn Đức Nam</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5</v>
      </c>
      <c r="AP38" s="287" t="str">
        <f t="shared" si="3"/>
        <v>thành phố Hà Nội</v>
      </c>
      <c r="AQ38" s="448" t="str">
        <f t="shared" si="4"/>
        <v>quận Hà Đông</v>
      </c>
      <c r="AR38" s="448" t="str">
        <f t="shared" si="5"/>
        <v>phường Dương Nội</v>
      </c>
      <c r="AS38" s="449" t="str">
        <f>INDEX(CityIDList,MATCH(F38,CityNameList,0))</f>
        <v>HNI</v>
      </c>
      <c r="AT38" s="208" t="str">
        <f>IF(J38&gt;=1,INDEX(OperatorNameList,MATCH(AZ38,OperatorIDList,0)),"")</f>
        <v>CÔNG TY CỔ PHẦN VIỄN THÔNG DI ĐỘNG VIETNAMOBILE</v>
      </c>
      <c r="AU38" s="208" t="str">
        <f>IF(J38&gt;=2,INDEX(OperatorNameList,MATCH(BA38,OperatorIDList,0)),"")</f>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c>
      <c r="BB38" s="208" t="str">
        <f t="shared" si="8"/>
      </c>
      <c r="BC38" s="208" t="str">
        <f t="shared" si="9"/>
      </c>
      <c r="BD38" s="208" t="str">
        <f t="shared" si="10"/>
      </c>
      <c r="BE38" s="208" t="str">
        <f t="shared" si="11"/>
      </c>
      <c r="BF38" s="208" t="str">
        <f>Input!I38</f>
        <v>VNMOBILE</v>
      </c>
      <c r="BG38" s="208" t="str">
        <f t="shared" si="12"/>
        <v>124791</v>
      </c>
      <c r="BH38" s="208" t="str">
        <f t="shared" si="13"/>
      </c>
      <c r="BI38" s="208" t="str">
        <f t="shared" si="14"/>
      </c>
      <c r="BJ38" s="208" t="str">
        <f t="shared" si="15"/>
      </c>
      <c r="BK38" s="208" t="str">
        <f t="shared" si="16"/>
      </c>
      <c r="BL38" s="208" t="str">
        <f t="shared" si="17"/>
      </c>
      <c r="BM38" s="208" t="str">
        <f t="shared" si="18"/>
        <v>ERICSSON RBS 6320</v>
      </c>
      <c r="BN38" s="208" t="str">
        <f t="shared" si="19"/>
      </c>
      <c r="BO38" s="208" t="str">
        <f t="shared" si="20"/>
      </c>
      <c r="BP38" s="208" t="str">
        <f t="shared" si="21"/>
      </c>
      <c r="BQ38" s="208" t="str">
        <f t="shared" si="22"/>
      </c>
      <c r="BR38" s="208" t="str">
        <f t="shared" si="23"/>
      </c>
      <c r="BS38" s="208">
        <f t="shared" si="24"/>
        <v>3</v>
      </c>
      <c r="BT38" s="208">
        <f t="shared" si="25"/>
        <v>0</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c>
      <c r="CG38" s="208">
        <f t="shared" si="38"/>
        <v>0</v>
      </c>
      <c r="CH38" s="208">
        <f t="shared" si="39"/>
        <v>0</v>
      </c>
      <c r="CI38" s="208">
        <f t="shared" si="40"/>
        <v>0</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c>
      <c r="DY38" s="208">
        <f t="shared" si="82"/>
        <v>0</v>
      </c>
      <c r="DZ38" s="208">
        <f t="shared" si="83"/>
        <v>0</v>
      </c>
      <c r="EA38" s="208">
        <f t="shared" si="84"/>
        <v>0</v>
      </c>
      <c r="EB38" s="208">
        <f t="shared" si="85"/>
        <v>0</v>
      </c>
      <c r="EC38" s="208">
        <f t="shared" si="86"/>
        <v>0</v>
      </c>
      <c r="ED38" s="208">
        <f t="shared" si="87"/>
        <v>0</v>
      </c>
      <c r="EE38" s="208" t="str">
        <f t="shared" si="88"/>
      </c>
      <c r="EF38" s="208">
        <f t="shared" si="89"/>
        <v>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c>
      <c r="FT38" s="208" t="str">
        <f t="shared" si="129"/>
      </c>
      <c r="FU38" s="208" t="str">
        <f t="shared" si="130"/>
      </c>
      <c r="FV38" s="208" t="str">
        <f t="shared" si="131"/>
      </c>
      <c r="FW38" s="208" t="str">
        <f t="shared" si="132"/>
      </c>
      <c r="FX38" s="208" t="str">
        <f t="shared" si="133"/>
        <v>25/25/25</v>
      </c>
      <c r="FY38" s="208">
        <f t="shared" si="134"/>
        <v>25</v>
      </c>
      <c r="FZ38" s="208">
        <f t="shared" si="135"/>
        <v>25</v>
      </c>
      <c r="GA38" s="208">
        <f t="shared" si="136"/>
        <v>25</v>
      </c>
      <c r="GB38" s="208">
        <f t="shared" si="137"/>
        <v>0</v>
      </c>
      <c r="GC38" s="208">
        <f t="shared" si="138"/>
        <v>0</v>
      </c>
      <c r="GD38" s="208">
        <f t="shared" si="139"/>
        <v>0</v>
      </c>
      <c r="GE38" s="208" t="str">
        <f t="shared" si="140"/>
        <v>25m/ 25m/ 25m</v>
      </c>
      <c r="GF38" s="208" t="str">
        <f t="shared" si="141"/>
      </c>
      <c r="GG38" s="208">
        <f t="shared" si="142"/>
        <v>0</v>
      </c>
      <c r="GH38" s="208">
        <f t="shared" si="143"/>
        <v>0</v>
      </c>
      <c r="GI38" s="208">
        <f t="shared" si="144"/>
        <v>0</v>
      </c>
      <c r="GJ38" s="208">
        <f t="shared" si="145"/>
        <v>0</v>
      </c>
      <c r="GK38" s="208">
        <f t="shared" si="146"/>
        <v>0</v>
      </c>
      <c r="GL38" s="208">
        <f t="shared" si="147"/>
        <v>0</v>
      </c>
      <c r="GM38" s="208" t="str">
        <f t="shared" si="148"/>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25</v>
      </c>
      <c r="HV38" s="208">
        <f t="shared" si="182"/>
        <v>0</v>
      </c>
      <c r="HW38" s="208">
        <f t="shared" si="183"/>
        <v>0</v>
      </c>
      <c r="HX38" s="208">
        <f t="shared" si="184"/>
        <v>0</v>
      </c>
      <c r="HY38" s="208">
        <f t="shared" si="185"/>
        <v>0</v>
      </c>
      <c r="HZ38" s="208">
        <f t="shared" si="186"/>
        <v>0</v>
      </c>
      <c r="IA38" s="207">
        <f t="shared" si="187"/>
        <v>25</v>
      </c>
      <c r="IB38" s="207">
        <f t="shared" si="188"/>
        <v>4</v>
      </c>
      <c r="IC38" s="343" t="str">
        <f t="shared" si="189"/>
        <v>A</v>
      </c>
      <c r="ID38" s="343" t="str">
        <f t="shared" si="190"/>
        <v>03972</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124800</v>
      </c>
      <c r="E39" s="317" t="str">
        <f>Input!C39</f>
        <v>Số 126, phố Xốm, phường Phú Lãm, quận Hà Đông, thành phố Hà Nội</v>
      </c>
      <c r="F39" s="207" t="str">
        <f>Input!D39</f>
        <v>Hà Nội</v>
      </c>
      <c r="G39" s="207">
        <f>Input!E39</f>
        <v>105.75563</v>
      </c>
      <c r="H39" s="207">
        <f>Input!F39</f>
        <v>20.942788</v>
      </c>
      <c r="I39" s="207">
        <f>Input!G39</f>
        <v>1</v>
      </c>
      <c r="J39" s="207">
        <f>Input!H39</f>
        <v>1</v>
      </c>
      <c r="K39" s="207" t="str">
        <f t="shared" si="0"/>
        <v>CÔNG TY CỔ PHẦN VIỄN THÔNG DI ĐỘNG VIETNAMOBILE</v>
      </c>
      <c r="L39" s="207">
        <f>Input!J39</f>
        <v>124800</v>
      </c>
      <c r="M39" s="207" t="str">
        <f>Input!K39</f>
        <v>ERICSSON RBS 6320</v>
      </c>
      <c r="N39" s="207">
        <f>Input!L39</f>
        <v>3</v>
      </c>
      <c r="O39" s="207" t="str">
        <f>Input!M39</f>
        <v>1/1/1   </v>
      </c>
      <c r="P39" s="207" t="str">
        <f>Input!N39</f>
        <v>80/80/80  </v>
      </c>
      <c r="Q39" s="207">
        <f>Input!O39</f>
        <v>2100</v>
      </c>
      <c r="R39" s="207" t="str">
        <f>Input!P39</f>
        <v>33/33/33</v>
      </c>
      <c r="S39" s="364" t="b">
        <f>Input!Q39</f>
        <v>1</v>
      </c>
      <c r="T39" s="207" t="str">
        <f>Input!R39</f>
        <v>A03973101019TG05</v>
      </c>
      <c r="U39" s="207">
        <f>Input!S39</f>
        <v>0</v>
      </c>
      <c r="V39" s="207" t="str">
        <f>Input!T39</f>
        <v>VCC1</v>
      </c>
      <c r="W39" s="207" t="str">
        <f>Input!U39</f>
        <v>1903308/19/TG/TT1</v>
      </c>
      <c r="X39" s="209" t="str">
        <f>TEXT(Input!V39,"dd/mm/yyyy")</f>
        <v>10/10/2019</v>
      </c>
      <c r="Y39" s="207" t="b">
        <f>Input!W39</f>
        <v>0</v>
      </c>
      <c r="Z39" s="364" t="b">
        <f>Input!X39</f>
        <v>0</v>
      </c>
      <c r="AA39" s="207">
        <f t="shared" si="1"/>
        <v>33</v>
      </c>
      <c r="AB39" s="364" t="b">
        <f>Input!Y39</f>
        <v>1</v>
      </c>
      <c r="AC39" s="207">
        <f>VALUE(Input!Z39)</f>
        <v>18</v>
      </c>
      <c r="AD39" s="207" t="b">
        <f>Input!AA39</f>
        <v>0</v>
      </c>
      <c r="AE39" s="207" t="str">
        <f>Input!AB39</f>
        <v>Ứng Văn Nguyện</v>
      </c>
      <c r="AF39" s="207" t="str">
        <f>Input!AC39</f>
        <v>Nguyễn Đức Nam</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4</v>
      </c>
      <c r="AP39" s="287" t="str">
        <f t="shared" si="3"/>
        <v>thành phố Hà Nội</v>
      </c>
      <c r="AQ39" s="448" t="str">
        <f t="shared" si="4"/>
        <v>quận Hà Đông</v>
      </c>
      <c r="AR39" s="448" t="str">
        <f t="shared" si="5"/>
        <v>phường Phú Lãm</v>
      </c>
      <c r="AS39" s="449" t="str">
        <f>INDEX(CityIDList,MATCH(F39,CityNameList,0))</f>
        <v>HNI</v>
      </c>
      <c r="AT39" s="208" t="str">
        <f>IF(J39&gt;=1,INDEX(OperatorNameList,MATCH(AZ39,OperatorIDList,0)),"")</f>
        <v>CÔNG TY CỔ PHẦN VIỄN THÔNG DI ĐỘNG VIETNAMOBILE</v>
      </c>
      <c r="AU39" s="208" t="str">
        <f>IF(J39&gt;=2,INDEX(OperatorNameList,MATCH(BA39,OperatorIDList,0)),"")</f>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c>
      <c r="BB39" s="208" t="str">
        <f t="shared" si="8"/>
      </c>
      <c r="BC39" s="208" t="str">
        <f t="shared" si="9"/>
      </c>
      <c r="BD39" s="208" t="str">
        <f t="shared" si="10"/>
      </c>
      <c r="BE39" s="208" t="str">
        <f t="shared" si="11"/>
      </c>
      <c r="BF39" s="208" t="str">
        <f>Input!I39</f>
        <v>VNMOBILE</v>
      </c>
      <c r="BG39" s="208" t="str">
        <f t="shared" si="12"/>
        <v>124800</v>
      </c>
      <c r="BH39" s="208" t="str">
        <f t="shared" si="13"/>
      </c>
      <c r="BI39" s="208" t="str">
        <f t="shared" si="14"/>
      </c>
      <c r="BJ39" s="208" t="str">
        <f t="shared" si="15"/>
      </c>
      <c r="BK39" s="208" t="str">
        <f t="shared" si="16"/>
      </c>
      <c r="BL39" s="208" t="str">
        <f t="shared" si="17"/>
      </c>
      <c r="BM39" s="208" t="str">
        <f t="shared" si="18"/>
        <v>ERICSSON RBS 6320</v>
      </c>
      <c r="BN39" s="208" t="str">
        <f t="shared" si="19"/>
      </c>
      <c r="BO39" s="208" t="str">
        <f t="shared" si="20"/>
      </c>
      <c r="BP39" s="208" t="str">
        <f t="shared" si="21"/>
      </c>
      <c r="BQ39" s="208" t="str">
        <f t="shared" si="22"/>
      </c>
      <c r="BR39" s="208" t="str">
        <f t="shared" si="23"/>
      </c>
      <c r="BS39" s="208">
        <f t="shared" si="24"/>
        <v>3</v>
      </c>
      <c r="BT39" s="208">
        <f t="shared" si="25"/>
        <v>0</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c>
      <c r="CG39" s="208">
        <f t="shared" si="38"/>
        <v>0</v>
      </c>
      <c r="CH39" s="208">
        <f t="shared" si="39"/>
        <v>0</v>
      </c>
      <c r="CI39" s="208">
        <f t="shared" si="40"/>
        <v>0</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c>
      <c r="DY39" s="208">
        <f t="shared" si="82"/>
        <v>0</v>
      </c>
      <c r="DZ39" s="208">
        <f t="shared" si="83"/>
        <v>0</v>
      </c>
      <c r="EA39" s="208">
        <f t="shared" si="84"/>
        <v>0</v>
      </c>
      <c r="EB39" s="208">
        <f t="shared" si="85"/>
        <v>0</v>
      </c>
      <c r="EC39" s="208">
        <f t="shared" si="86"/>
        <v>0</v>
      </c>
      <c r="ED39" s="208">
        <f t="shared" si="87"/>
        <v>0</v>
      </c>
      <c r="EE39" s="208" t="str">
        <f t="shared" si="88"/>
      </c>
      <c r="EF39" s="208">
        <f t="shared" si="89"/>
        <v>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c>
      <c r="FT39" s="208" t="str">
        <f t="shared" si="129"/>
      </c>
      <c r="FU39" s="208" t="str">
        <f t="shared" si="130"/>
      </c>
      <c r="FV39" s="208" t="str">
        <f t="shared" si="131"/>
      </c>
      <c r="FW39" s="208" t="str">
        <f t="shared" si="132"/>
      </c>
      <c r="FX39" s="208" t="str">
        <f t="shared" si="133"/>
        <v>33/33/33</v>
      </c>
      <c r="FY39" s="208">
        <f t="shared" si="134"/>
        <v>33</v>
      </c>
      <c r="FZ39" s="208">
        <f t="shared" si="135"/>
        <v>33</v>
      </c>
      <c r="GA39" s="208">
        <f t="shared" si="136"/>
        <v>33</v>
      </c>
      <c r="GB39" s="208">
        <f t="shared" si="137"/>
        <v>0</v>
      </c>
      <c r="GC39" s="208">
        <f t="shared" si="138"/>
        <v>0</v>
      </c>
      <c r="GD39" s="208">
        <f t="shared" si="139"/>
        <v>0</v>
      </c>
      <c r="GE39" s="208" t="str">
        <f t="shared" si="140"/>
        <v>33m/ 33m/ 33m</v>
      </c>
      <c r="GF39" s="208" t="str">
        <f t="shared" si="141"/>
      </c>
      <c r="GG39" s="208">
        <f t="shared" si="142"/>
        <v>0</v>
      </c>
      <c r="GH39" s="208">
        <f t="shared" si="143"/>
        <v>0</v>
      </c>
      <c r="GI39" s="208">
        <f t="shared" si="144"/>
        <v>0</v>
      </c>
      <c r="GJ39" s="208">
        <f t="shared" si="145"/>
        <v>0</v>
      </c>
      <c r="GK39" s="208">
        <f t="shared" si="146"/>
        <v>0</v>
      </c>
      <c r="GL39" s="208">
        <f t="shared" si="147"/>
        <v>0</v>
      </c>
      <c r="GM39" s="208" t="str">
        <f t="shared" si="148"/>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33</v>
      </c>
      <c r="HV39" s="208">
        <f t="shared" si="182"/>
        <v>0</v>
      </c>
      <c r="HW39" s="208">
        <f t="shared" si="183"/>
        <v>0</v>
      </c>
      <c r="HX39" s="208">
        <f t="shared" si="184"/>
        <v>0</v>
      </c>
      <c r="HY39" s="208">
        <f t="shared" si="185"/>
        <v>0</v>
      </c>
      <c r="HZ39" s="208">
        <f t="shared" si="186"/>
        <v>0</v>
      </c>
      <c r="IA39" s="207">
        <f t="shared" si="187"/>
        <v>33</v>
      </c>
      <c r="IB39" s="207">
        <f t="shared" si="188"/>
        <v>15</v>
      </c>
      <c r="IC39" s="343" t="str">
        <f t="shared" si="189"/>
        <v>A</v>
      </c>
      <c r="ID39" s="343" t="str">
        <f t="shared" si="190"/>
        <v>03973</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124777</v>
      </c>
      <c r="E40" s="317" t="str">
        <f>Input!C40</f>
        <v>Thôn Hoàng Văn Thụ, xã Dân Hòa, huyện Thanh Oai, thành phố Hà Nội</v>
      </c>
      <c r="F40" s="207" t="str">
        <f>Input!D40</f>
        <v>Hà Nội</v>
      </c>
      <c r="G40" s="207">
        <f>Input!E40</f>
        <v>105.782002</v>
      </c>
      <c r="H40" s="207">
        <f>Input!F40</f>
        <v>20.805605</v>
      </c>
      <c r="I40" s="207">
        <f>Input!G40</f>
        <v>1</v>
      </c>
      <c r="J40" s="207">
        <f>Input!H40</f>
        <v>1</v>
      </c>
      <c r="K40" s="207" t="str">
        <f t="shared" si="0"/>
        <v>CÔNG TY CỔ PHẦN VIỄN THÔNG DI ĐỘNG VIETNAMOBILE</v>
      </c>
      <c r="L40" s="207">
        <f>Input!J40</f>
        <v>124777</v>
      </c>
      <c r="M40" s="207" t="str">
        <f>Input!K40</f>
        <v>ERICSSON RBS 6320</v>
      </c>
      <c r="N40" s="207">
        <f>Input!L40</f>
        <v>3</v>
      </c>
      <c r="O40" s="207" t="str">
        <f>Input!M40</f>
        <v>1/1/1   </v>
      </c>
      <c r="P40" s="207" t="str">
        <f>Input!N40</f>
        <v>80/80/80  </v>
      </c>
      <c r="Q40" s="207">
        <f>Input!O40</f>
        <v>2100</v>
      </c>
      <c r="R40" s="207" t="str">
        <f>Input!P40</f>
        <v>34/34/34</v>
      </c>
      <c r="S40" s="364" t="b">
        <f>Input!Q40</f>
        <v>1</v>
      </c>
      <c r="T40" s="207" t="str">
        <f>Input!R40</f>
        <v>A03974101019TG05</v>
      </c>
      <c r="U40" s="207">
        <f>Input!S40</f>
        <v>0</v>
      </c>
      <c r="V40" s="207" t="str">
        <f>Input!T40</f>
        <v>VCC1</v>
      </c>
      <c r="W40" s="207" t="str">
        <f>Input!U40</f>
        <v>1903306/19/TG/TT1</v>
      </c>
      <c r="X40" s="209" t="str">
        <f>TEXT(Input!V40,"dd/mm/yyyy")</f>
        <v>10/10/2019</v>
      </c>
      <c r="Y40" s="207" t="b">
        <f>Input!W40</f>
        <v>1</v>
      </c>
      <c r="Z40" s="364" t="b">
        <f>Input!X40</f>
        <v>0</v>
      </c>
      <c r="AA40" s="207">
        <f t="shared" si="1"/>
        <v>34</v>
      </c>
      <c r="AB40" s="364" t="b">
        <f>Input!Y40</f>
        <v>1</v>
      </c>
      <c r="AC40" s="207">
        <f>VALUE(Input!Z40)</f>
        <v>8</v>
      </c>
      <c r="AD40" s="207" t="b">
        <f>Input!AA40</f>
        <v>0</v>
      </c>
      <c r="AE40" s="207" t="str">
        <f>Input!AB40</f>
        <v>Ứng Văn Nguyện</v>
      </c>
      <c r="AF40" s="207" t="str">
        <f>Input!AC40</f>
        <v>Nguyễn Đức Nam</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Hà Nội</v>
      </c>
      <c r="AQ40" s="448" t="str">
        <f t="shared" si="4"/>
        <v>huyện Thanh Oai</v>
      </c>
      <c r="AR40" s="448" t="str">
        <f t="shared" si="5"/>
        <v>xã Dân Hòa</v>
      </c>
      <c r="AS40" s="449" t="str">
        <f>INDEX(CityIDList,MATCH(F40,CityNameList,0))</f>
        <v>HNI</v>
      </c>
      <c r="AT40" s="208" t="str">
        <f>IF(J40&gt;=1,INDEX(OperatorNameList,MATCH(AZ40,OperatorIDList,0)),"")</f>
        <v>CÔNG TY CỔ PHẦN VIỄN THÔNG DI ĐỘNG VIETNAMOBILE</v>
      </c>
      <c r="AU40" s="208" t="str">
        <f>IF(J40&gt;=2,INDEX(OperatorNameList,MATCH(BA40,OperatorIDList,0)),"")</f>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c>
      <c r="BB40" s="208" t="str">
        <f t="shared" si="8"/>
      </c>
      <c r="BC40" s="208" t="str">
        <f t="shared" si="9"/>
      </c>
      <c r="BD40" s="208" t="str">
        <f t="shared" si="10"/>
      </c>
      <c r="BE40" s="208" t="str">
        <f t="shared" si="11"/>
      </c>
      <c r="BF40" s="208" t="str">
        <f>Input!I40</f>
        <v>VNMOBILE</v>
      </c>
      <c r="BG40" s="208" t="str">
        <f t="shared" si="12"/>
        <v>124777</v>
      </c>
      <c r="BH40" s="208" t="str">
        <f t="shared" si="13"/>
      </c>
      <c r="BI40" s="208" t="str">
        <f t="shared" si="14"/>
      </c>
      <c r="BJ40" s="208" t="str">
        <f t="shared" si="15"/>
      </c>
      <c r="BK40" s="208" t="str">
        <f t="shared" si="16"/>
      </c>
      <c r="BL40" s="208" t="str">
        <f t="shared" si="17"/>
      </c>
      <c r="BM40" s="208" t="str">
        <f t="shared" si="18"/>
        <v>ERICSSON RBS 6320</v>
      </c>
      <c r="BN40" s="208" t="str">
        <f t="shared" si="19"/>
      </c>
      <c r="BO40" s="208" t="str">
        <f t="shared" si="20"/>
      </c>
      <c r="BP40" s="208" t="str">
        <f t="shared" si="21"/>
      </c>
      <c r="BQ40" s="208" t="str">
        <f t="shared" si="22"/>
      </c>
      <c r="BR40" s="208" t="str">
        <f t="shared" si="23"/>
      </c>
      <c r="BS40" s="208">
        <f t="shared" si="24"/>
        <v>3</v>
      </c>
      <c r="BT40" s="208">
        <f t="shared" si="25"/>
        <v>0</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c>
      <c r="CG40" s="208">
        <f t="shared" si="38"/>
        <v>0</v>
      </c>
      <c r="CH40" s="208">
        <f t="shared" si="39"/>
        <v>0</v>
      </c>
      <c r="CI40" s="208">
        <f t="shared" si="40"/>
        <v>0</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c>
      <c r="DY40" s="208">
        <f t="shared" si="82"/>
        <v>0</v>
      </c>
      <c r="DZ40" s="208">
        <f t="shared" si="83"/>
        <v>0</v>
      </c>
      <c r="EA40" s="208">
        <f t="shared" si="84"/>
        <v>0</v>
      </c>
      <c r="EB40" s="208">
        <f t="shared" si="85"/>
        <v>0</v>
      </c>
      <c r="EC40" s="208">
        <f t="shared" si="86"/>
        <v>0</v>
      </c>
      <c r="ED40" s="208">
        <f t="shared" si="87"/>
        <v>0</v>
      </c>
      <c r="EE40" s="208" t="str">
        <f t="shared" si="88"/>
      </c>
      <c r="EF40" s="208">
        <f t="shared" si="89"/>
        <v>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c>
      <c r="FT40" s="208" t="str">
        <f t="shared" si="129"/>
      </c>
      <c r="FU40" s="208" t="str">
        <f t="shared" si="130"/>
      </c>
      <c r="FV40" s="208" t="str">
        <f t="shared" si="131"/>
      </c>
      <c r="FW40" s="208" t="str">
        <f t="shared" si="132"/>
      </c>
      <c r="FX40" s="208" t="str">
        <f t="shared" si="133"/>
        <v>34/34/34</v>
      </c>
      <c r="FY40" s="208">
        <f t="shared" si="134"/>
        <v>34</v>
      </c>
      <c r="FZ40" s="208">
        <f t="shared" si="135"/>
        <v>34</v>
      </c>
      <c r="GA40" s="208">
        <f t="shared" si="136"/>
        <v>34</v>
      </c>
      <c r="GB40" s="208">
        <f t="shared" si="137"/>
        <v>0</v>
      </c>
      <c r="GC40" s="208">
        <f t="shared" si="138"/>
        <v>0</v>
      </c>
      <c r="GD40" s="208">
        <f t="shared" si="139"/>
        <v>0</v>
      </c>
      <c r="GE40" s="208" t="str">
        <f t="shared" si="140"/>
        <v>34m/ 34m/ 34m</v>
      </c>
      <c r="GF40" s="208" t="str">
        <f t="shared" si="141"/>
      </c>
      <c r="GG40" s="208">
        <f t="shared" si="142"/>
        <v>0</v>
      </c>
      <c r="GH40" s="208">
        <f t="shared" si="143"/>
        <v>0</v>
      </c>
      <c r="GI40" s="208">
        <f t="shared" si="144"/>
        <v>0</v>
      </c>
      <c r="GJ40" s="208">
        <f t="shared" si="145"/>
        <v>0</v>
      </c>
      <c r="GK40" s="208">
        <f t="shared" si="146"/>
        <v>0</v>
      </c>
      <c r="GL40" s="208">
        <f t="shared" si="147"/>
        <v>0</v>
      </c>
      <c r="GM40" s="208" t="str">
        <f t="shared" si="148"/>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34</v>
      </c>
      <c r="HV40" s="208">
        <f t="shared" si="182"/>
        <v>0</v>
      </c>
      <c r="HW40" s="208">
        <f t="shared" si="183"/>
        <v>0</v>
      </c>
      <c r="HX40" s="208">
        <f t="shared" si="184"/>
        <v>0</v>
      </c>
      <c r="HY40" s="208">
        <f t="shared" si="185"/>
        <v>0</v>
      </c>
      <c r="HZ40" s="208">
        <f t="shared" si="186"/>
        <v>0</v>
      </c>
      <c r="IA40" s="207">
        <f t="shared" si="187"/>
        <v>34</v>
      </c>
      <c r="IB40" s="207">
        <f t="shared" si="188"/>
        <v>26</v>
      </c>
      <c r="IC40" s="343" t="str">
        <f t="shared" si="189"/>
        <v>A</v>
      </c>
      <c r="ID40" s="343" t="str">
        <f t="shared" si="190"/>
        <v>03974</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124730</v>
      </c>
      <c r="E41" s="317" t="str">
        <f>Input!C41</f>
        <v>Số 16D, khu tập thể A71, ngõ 207, phố Bùi Xương Trạch, phường Khương Đình, quận Thanh Xuân, thành phố Hà Nội</v>
      </c>
      <c r="F41" s="207" t="str">
        <f>Input!D41</f>
        <v>Hà Nội</v>
      </c>
      <c r="G41" s="207">
        <f>Input!E41</f>
        <v>105.822011</v>
      </c>
      <c r="H41" s="207">
        <f>Input!F41</f>
        <v>20.990358</v>
      </c>
      <c r="I41" s="207">
        <f>Input!G41</f>
        <v>1</v>
      </c>
      <c r="J41" s="207">
        <f>Input!H41</f>
        <v>1</v>
      </c>
      <c r="K41" s="207" t="str">
        <f t="shared" si="0"/>
        <v>CÔNG TY CỔ PHẦN VIỄN THÔNG DI ĐỘNG VIETNAMOBILE</v>
      </c>
      <c r="L41" s="207">
        <f>Input!J41</f>
        <v>124730</v>
      </c>
      <c r="M41" s="207" t="str">
        <f>Input!K41</f>
        <v>ERICSSON RBS 6320</v>
      </c>
      <c r="N41" s="207">
        <f>Input!L41</f>
        <v>3</v>
      </c>
      <c r="O41" s="207" t="str">
        <f>Input!M41</f>
        <v>1/1/1   </v>
      </c>
      <c r="P41" s="207" t="str">
        <f>Input!N41</f>
        <v>80/80/80  </v>
      </c>
      <c r="Q41" s="207">
        <f>Input!O41</f>
        <v>2100</v>
      </c>
      <c r="R41" s="207" t="str">
        <f>Input!P41</f>
        <v>25/25/25</v>
      </c>
      <c r="S41" s="364" t="b">
        <f>Input!Q41</f>
        <v>1</v>
      </c>
      <c r="T41" s="207" t="str">
        <f>Input!R41</f>
        <v>A03975101019TG05</v>
      </c>
      <c r="U41" s="207">
        <f>Input!S41</f>
        <v>0</v>
      </c>
      <c r="V41" s="207" t="str">
        <f>Input!T41</f>
        <v>VCC1</v>
      </c>
      <c r="W41" s="207" t="str">
        <f>Input!U41</f>
        <v>1903334/19/TG/TT1</v>
      </c>
      <c r="X41" s="209" t="str">
        <f>TEXT(Input!V41,"dd/mm/yyyy")</f>
        <v>10/10/2019</v>
      </c>
      <c r="Y41" s="207" t="b">
        <f>Input!W41</f>
        <v>0</v>
      </c>
      <c r="Z41" s="364" t="b">
        <f>Input!X41</f>
        <v>0</v>
      </c>
      <c r="AA41" s="207">
        <f t="shared" si="1"/>
        <v>25</v>
      </c>
      <c r="AB41" s="364" t="b">
        <f>Input!Y41</f>
        <v>1</v>
      </c>
      <c r="AC41" s="207">
        <f>VALUE(Input!Z41)</f>
        <v>21</v>
      </c>
      <c r="AD41" s="207" t="b">
        <f>Input!AA41</f>
        <v>0</v>
      </c>
      <c r="AE41" s="207" t="str">
        <f>Input!AB41</f>
        <v>Ứng Văn Nguyện</v>
      </c>
      <c r="AF41" s="207" t="str">
        <f>Input!AC41</f>
        <v>Nguyễn Đức Nam</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6</v>
      </c>
      <c r="AP41" s="287" t="str">
        <f t="shared" si="3"/>
        <v>thành phố Hà Nội</v>
      </c>
      <c r="AQ41" s="448" t="str">
        <f t="shared" si="4"/>
        <v>quận Thanh Xuân</v>
      </c>
      <c r="AR41" s="448" t="str">
        <f t="shared" si="5"/>
        <v>phường Khương Đình</v>
      </c>
      <c r="AS41" s="449" t="str">
        <f>INDEX(CityIDList,MATCH(F41,CityNameList,0))</f>
        <v>HNI</v>
      </c>
      <c r="AT41" s="208" t="str">
        <f>IF(J41&gt;=1,INDEX(OperatorNameList,MATCH(AZ41,OperatorIDList,0)),"")</f>
        <v>CÔNG TY CỔ PHẦN VIỄN THÔNG DI ĐỘNG VIETNAMOBILE</v>
      </c>
      <c r="AU41" s="208" t="str">
        <f>IF(J41&gt;=2,INDEX(OperatorNameList,MATCH(BA41,OperatorIDList,0)),"")</f>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c>
      <c r="BB41" s="208" t="str">
        <f t="shared" si="8"/>
      </c>
      <c r="BC41" s="208" t="str">
        <f t="shared" si="9"/>
      </c>
      <c r="BD41" s="208" t="str">
        <f t="shared" si="10"/>
      </c>
      <c r="BE41" s="208" t="str">
        <f t="shared" si="11"/>
      </c>
      <c r="BF41" s="208" t="str">
        <f>Input!I41</f>
        <v>VNMOBILE</v>
      </c>
      <c r="BG41" s="208" t="str">
        <f t="shared" si="12"/>
        <v>124730</v>
      </c>
      <c r="BH41" s="208" t="str">
        <f t="shared" si="13"/>
      </c>
      <c r="BI41" s="208" t="str">
        <f t="shared" si="14"/>
      </c>
      <c r="BJ41" s="208" t="str">
        <f t="shared" si="15"/>
      </c>
      <c r="BK41" s="208" t="str">
        <f t="shared" si="16"/>
      </c>
      <c r="BL41" s="208" t="str">
        <f t="shared" si="17"/>
      </c>
      <c r="BM41" s="208" t="str">
        <f t="shared" si="18"/>
        <v>ERICSSON RBS 6320</v>
      </c>
      <c r="BN41" s="208" t="str">
        <f t="shared" si="19"/>
      </c>
      <c r="BO41" s="208" t="str">
        <f t="shared" si="20"/>
      </c>
      <c r="BP41" s="208" t="str">
        <f t="shared" si="21"/>
      </c>
      <c r="BQ41" s="208" t="str">
        <f t="shared" si="22"/>
      </c>
      <c r="BR41" s="208" t="str">
        <f t="shared" si="23"/>
      </c>
      <c r="BS41" s="208">
        <f t="shared" si="24"/>
        <v>3</v>
      </c>
      <c r="BT41" s="208">
        <f t="shared" si="25"/>
        <v>0</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c>
      <c r="CG41" s="208">
        <f t="shared" si="38"/>
        <v>0</v>
      </c>
      <c r="CH41" s="208">
        <f t="shared" si="39"/>
        <v>0</v>
      </c>
      <c r="CI41" s="208">
        <f t="shared" si="40"/>
        <v>0</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c>
      <c r="DY41" s="208">
        <f t="shared" si="82"/>
        <v>0</v>
      </c>
      <c r="DZ41" s="208">
        <f t="shared" si="83"/>
        <v>0</v>
      </c>
      <c r="EA41" s="208">
        <f t="shared" si="84"/>
        <v>0</v>
      </c>
      <c r="EB41" s="208">
        <f t="shared" si="85"/>
        <v>0</v>
      </c>
      <c r="EC41" s="208">
        <f t="shared" si="86"/>
        <v>0</v>
      </c>
      <c r="ED41" s="208">
        <f t="shared" si="87"/>
        <v>0</v>
      </c>
      <c r="EE41" s="208" t="str">
        <f t="shared" si="88"/>
      </c>
      <c r="EF41" s="208">
        <f t="shared" si="89"/>
        <v>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c>
      <c r="FT41" s="208" t="str">
        <f t="shared" si="129"/>
      </c>
      <c r="FU41" s="208" t="str">
        <f t="shared" si="130"/>
      </c>
      <c r="FV41" s="208" t="str">
        <f t="shared" si="131"/>
      </c>
      <c r="FW41" s="208" t="str">
        <f t="shared" si="132"/>
      </c>
      <c r="FX41" s="208" t="str">
        <f t="shared" si="133"/>
        <v>25/25/25</v>
      </c>
      <c r="FY41" s="208">
        <f t="shared" si="134"/>
        <v>25</v>
      </c>
      <c r="FZ41" s="208">
        <f t="shared" si="135"/>
        <v>25</v>
      </c>
      <c r="GA41" s="208">
        <f t="shared" si="136"/>
        <v>25</v>
      </c>
      <c r="GB41" s="208">
        <f t="shared" si="137"/>
        <v>0</v>
      </c>
      <c r="GC41" s="208">
        <f t="shared" si="138"/>
        <v>0</v>
      </c>
      <c r="GD41" s="208">
        <f t="shared" si="139"/>
        <v>0</v>
      </c>
      <c r="GE41" s="208" t="str">
        <f t="shared" si="140"/>
        <v>25m/ 25m/ 25m</v>
      </c>
      <c r="GF41" s="208" t="str">
        <f t="shared" si="141"/>
      </c>
      <c r="GG41" s="208">
        <f t="shared" si="142"/>
        <v>0</v>
      </c>
      <c r="GH41" s="208">
        <f t="shared" si="143"/>
        <v>0</v>
      </c>
      <c r="GI41" s="208">
        <f t="shared" si="144"/>
        <v>0</v>
      </c>
      <c r="GJ41" s="208">
        <f t="shared" si="145"/>
        <v>0</v>
      </c>
      <c r="GK41" s="208">
        <f t="shared" si="146"/>
        <v>0</v>
      </c>
      <c r="GL41" s="208">
        <f t="shared" si="147"/>
        <v>0</v>
      </c>
      <c r="GM41" s="208" t="str">
        <f t="shared" si="148"/>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25</v>
      </c>
      <c r="HV41" s="208">
        <f t="shared" si="182"/>
        <v>0</v>
      </c>
      <c r="HW41" s="208">
        <f t="shared" si="183"/>
        <v>0</v>
      </c>
      <c r="HX41" s="208">
        <f t="shared" si="184"/>
        <v>0</v>
      </c>
      <c r="HY41" s="208">
        <f t="shared" si="185"/>
        <v>0</v>
      </c>
      <c r="HZ41" s="208">
        <f t="shared" si="186"/>
        <v>0</v>
      </c>
      <c r="IA41" s="207">
        <f t="shared" si="187"/>
        <v>25</v>
      </c>
      <c r="IB41" s="207">
        <f t="shared" si="188"/>
        <v>4</v>
      </c>
      <c r="IC41" s="343" t="str">
        <f t="shared" si="189"/>
        <v>A</v>
      </c>
      <c r="ID41" s="343" t="str">
        <f t="shared" si="190"/>
        <v>03975</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124807</v>
      </c>
      <c r="E42" s="317" t="str">
        <f>Input!C42</f>
        <v>Số 396, phố Bùi Xương Trạch, phường Định Công, quận Hoàng Mai, thành phố Hà Nội</v>
      </c>
      <c r="F42" s="207" t="str">
        <f>Input!D42</f>
        <v>Hà Nội</v>
      </c>
      <c r="G42" s="207">
        <f>Input!E42</f>
        <v>105.820882</v>
      </c>
      <c r="H42" s="207">
        <f>Input!F42</f>
        <v>20.983029</v>
      </c>
      <c r="I42" s="207">
        <f>Input!G42</f>
        <v>1</v>
      </c>
      <c r="J42" s="207">
        <f>Input!H42</f>
        <v>1</v>
      </c>
      <c r="K42" s="207" t="str">
        <f t="shared" si="0"/>
        <v>CÔNG TY CỔ PHẦN VIỄN THÔNG DI ĐỘNG VIETNAMOBILE</v>
      </c>
      <c r="L42" s="207">
        <f>Input!J42</f>
        <v>124807</v>
      </c>
      <c r="M42" s="207" t="str">
        <f>Input!K42</f>
        <v>ERICSSON RBS 6320</v>
      </c>
      <c r="N42" s="207">
        <f>Input!L42</f>
        <v>3</v>
      </c>
      <c r="O42" s="207" t="str">
        <f>Input!M42</f>
        <v>1/1/1   </v>
      </c>
      <c r="P42" s="207" t="str">
        <f>Input!N42</f>
        <v>80/80/80  </v>
      </c>
      <c r="Q42" s="207">
        <f>Input!O42</f>
        <v>2100</v>
      </c>
      <c r="R42" s="207" t="str">
        <f>Input!P42</f>
        <v>27/27/27</v>
      </c>
      <c r="S42" s="364" t="b">
        <f>Input!Q42</f>
        <v>1</v>
      </c>
      <c r="T42" s="207" t="str">
        <f>Input!R42</f>
        <v>A03976101019TG05</v>
      </c>
      <c r="U42" s="207">
        <f>Input!S42</f>
        <v>0</v>
      </c>
      <c r="V42" s="207" t="str">
        <f>Input!T42</f>
        <v>VCC1</v>
      </c>
      <c r="W42" s="207" t="str">
        <f>Input!U42</f>
        <v>1903307/19/TG/TT1</v>
      </c>
      <c r="X42" s="209" t="str">
        <f>TEXT(Input!V42,"dd/mm/yyyy")</f>
        <v>10/10/2019</v>
      </c>
      <c r="Y42" s="207" t="b">
        <f>Input!W42</f>
        <v>0</v>
      </c>
      <c r="Z42" s="364" t="b">
        <f>Input!X42</f>
        <v>0</v>
      </c>
      <c r="AA42" s="207">
        <f t="shared" si="1"/>
        <v>27</v>
      </c>
      <c r="AB42" s="364" t="b">
        <f>Input!Y42</f>
        <v>1</v>
      </c>
      <c r="AC42" s="207">
        <f>VALUE(Input!Z42)</f>
        <v>18</v>
      </c>
      <c r="AD42" s="207" t="b">
        <f>Input!AA42</f>
        <v>0</v>
      </c>
      <c r="AE42" s="207" t="str">
        <f>Input!AB42</f>
        <v>Ứng Văn Nguyện</v>
      </c>
      <c r="AF42" s="207" t="str">
        <f>Input!AC42</f>
        <v>Nguyễn Đức Nam</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4</v>
      </c>
      <c r="AP42" s="287" t="str">
        <f t="shared" si="3"/>
        <v>thành phố Hà Nội</v>
      </c>
      <c r="AQ42" s="448" t="str">
        <f t="shared" si="4"/>
        <v>quận Hoàng Mai</v>
      </c>
      <c r="AR42" s="448" t="str">
        <f t="shared" si="5"/>
        <v>phường Định Công</v>
      </c>
      <c r="AS42" s="449" t="str">
        <f>INDEX(CityIDList,MATCH(F42,CityNameList,0))</f>
        <v>HNI</v>
      </c>
      <c r="AT42" s="208" t="str">
        <f>IF(J42&gt;=1,INDEX(OperatorNameList,MATCH(AZ42,OperatorIDList,0)),"")</f>
        <v>CÔNG TY CỔ PHẦN VIỄN THÔNG DI ĐỘNG VIETNAMOBILE</v>
      </c>
      <c r="AU42" s="208" t="str">
        <f>IF(J42&gt;=2,INDEX(OperatorNameList,MATCH(BA42,OperatorIDList,0)),"")</f>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c>
      <c r="BB42" s="208" t="str">
        <f t="shared" si="8"/>
      </c>
      <c r="BC42" s="208" t="str">
        <f t="shared" si="9"/>
      </c>
      <c r="BD42" s="208" t="str">
        <f t="shared" si="10"/>
      </c>
      <c r="BE42" s="208" t="str">
        <f t="shared" si="11"/>
      </c>
      <c r="BF42" s="208" t="str">
        <f>Input!I42</f>
        <v>VNMOBILE</v>
      </c>
      <c r="BG42" s="208" t="str">
        <f t="shared" si="12"/>
        <v>124807</v>
      </c>
      <c r="BH42" s="208" t="str">
        <f t="shared" si="13"/>
      </c>
      <c r="BI42" s="208" t="str">
        <f t="shared" si="14"/>
      </c>
      <c r="BJ42" s="208" t="str">
        <f t="shared" si="15"/>
      </c>
      <c r="BK42" s="208" t="str">
        <f t="shared" si="16"/>
      </c>
      <c r="BL42" s="208" t="str">
        <f t="shared" si="17"/>
      </c>
      <c r="BM42" s="208" t="str">
        <f t="shared" si="18"/>
        <v>ERICSSON RBS 6320</v>
      </c>
      <c r="BN42" s="208" t="str">
        <f t="shared" si="19"/>
      </c>
      <c r="BO42" s="208" t="str">
        <f t="shared" si="20"/>
      </c>
      <c r="BP42" s="208" t="str">
        <f t="shared" si="21"/>
      </c>
      <c r="BQ42" s="208" t="str">
        <f t="shared" si="22"/>
      </c>
      <c r="BR42" s="208" t="str">
        <f t="shared" si="23"/>
      </c>
      <c r="BS42" s="208">
        <f t="shared" si="24"/>
        <v>3</v>
      </c>
      <c r="BT42" s="208">
        <f t="shared" si="25"/>
        <v>0</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c>
      <c r="CG42" s="208">
        <f t="shared" si="38"/>
        <v>0</v>
      </c>
      <c r="CH42" s="208">
        <f t="shared" si="39"/>
        <v>0</v>
      </c>
      <c r="CI42" s="208">
        <f t="shared" si="40"/>
        <v>0</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c>
      <c r="DY42" s="208">
        <f t="shared" si="82"/>
        <v>0</v>
      </c>
      <c r="DZ42" s="208">
        <f t="shared" si="83"/>
        <v>0</v>
      </c>
      <c r="EA42" s="208">
        <f t="shared" si="84"/>
        <v>0</v>
      </c>
      <c r="EB42" s="208">
        <f t="shared" si="85"/>
        <v>0</v>
      </c>
      <c r="EC42" s="208">
        <f t="shared" si="86"/>
        <v>0</v>
      </c>
      <c r="ED42" s="208">
        <f t="shared" si="87"/>
        <v>0</v>
      </c>
      <c r="EE42" s="208" t="str">
        <f t="shared" si="88"/>
      </c>
      <c r="EF42" s="208">
        <f t="shared" si="89"/>
        <v>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c>
      <c r="GG42" s="208">
        <f t="shared" si="142"/>
        <v>0</v>
      </c>
      <c r="GH42" s="208">
        <f t="shared" si="143"/>
        <v>0</v>
      </c>
      <c r="GI42" s="208">
        <f t="shared" si="144"/>
        <v>0</v>
      </c>
      <c r="GJ42" s="208">
        <f t="shared" si="145"/>
        <v>0</v>
      </c>
      <c r="GK42" s="208">
        <f t="shared" si="146"/>
        <v>0</v>
      </c>
      <c r="GL42" s="208">
        <f t="shared" si="147"/>
        <v>0</v>
      </c>
      <c r="GM42" s="208" t="str">
        <f t="shared" si="148"/>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0</v>
      </c>
      <c r="HW42" s="208">
        <f t="shared" si="183"/>
        <v>0</v>
      </c>
      <c r="HX42" s="208">
        <f t="shared" si="184"/>
        <v>0</v>
      </c>
      <c r="HY42" s="208">
        <f t="shared" si="185"/>
        <v>0</v>
      </c>
      <c r="HZ42" s="208">
        <f t="shared" si="186"/>
        <v>0</v>
      </c>
      <c r="IA42" s="207">
        <f t="shared" si="187"/>
        <v>27</v>
      </c>
      <c r="IB42" s="207">
        <f t="shared" si="188"/>
        <v>9</v>
      </c>
      <c r="IC42" s="343" t="str">
        <f t="shared" si="189"/>
        <v>A</v>
      </c>
      <c r="ID42" s="343" t="str">
        <f t="shared" si="190"/>
        <v>03976</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124941</v>
      </c>
      <c r="E43" s="317" t="str">
        <f>Input!C43</f>
        <v>Số 151, ngõ 254, đường Minh Khai, phường Mai Động, quận Hoàng Mai, thành phố Hà Nội</v>
      </c>
      <c r="F43" s="207" t="str">
        <f>Input!D43</f>
        <v>Hà Nội</v>
      </c>
      <c r="G43" s="207">
        <f>Input!E43</f>
        <v>105.859908</v>
      </c>
      <c r="H43" s="207">
        <f>Input!F43</f>
        <v>20.990874</v>
      </c>
      <c r="I43" s="207">
        <f>Input!G43</f>
        <v>1</v>
      </c>
      <c r="J43" s="207">
        <f>Input!H43</f>
        <v>1</v>
      </c>
      <c r="K43" s="207" t="str">
        <f t="shared" si="0"/>
        <v>CÔNG TY CỔ PHẦN VIỄN THÔNG DI ĐỘNG VIETNAMOBILE</v>
      </c>
      <c r="L43" s="207">
        <f>Input!J43</f>
        <v>124941</v>
      </c>
      <c r="M43" s="207" t="str">
        <f>Input!K43</f>
        <v>ERICSSON RBS 6320</v>
      </c>
      <c r="N43" s="207">
        <f>Input!L43</f>
        <v>3</v>
      </c>
      <c r="O43" s="207" t="str">
        <f>Input!M43</f>
        <v>1/1/1   </v>
      </c>
      <c r="P43" s="207" t="str">
        <f>Input!N43</f>
        <v>80/80/80  </v>
      </c>
      <c r="Q43" s="207">
        <f>Input!O43</f>
        <v>2100</v>
      </c>
      <c r="R43" s="207" t="str">
        <f>Input!P43</f>
        <v>25/25/25</v>
      </c>
      <c r="S43" s="364" t="b">
        <f>Input!Q43</f>
        <v>1</v>
      </c>
      <c r="T43" s="207" t="str">
        <f>Input!R43</f>
        <v>A03977101019TG05</v>
      </c>
      <c r="U43" s="207">
        <f>Input!S43</f>
        <v>0</v>
      </c>
      <c r="V43" s="207" t="str">
        <f>Input!T43</f>
        <v>VCC1</v>
      </c>
      <c r="W43" s="207" t="str">
        <f>Input!U43</f>
        <v>1903318/19/TG/TT1</v>
      </c>
      <c r="X43" s="209" t="str">
        <f>TEXT(Input!V43,"dd/mm/yyyy")</f>
        <v>10/10/2019</v>
      </c>
      <c r="Y43" s="207" t="b">
        <f>Input!W43</f>
        <v>0</v>
      </c>
      <c r="Z43" s="364" t="b">
        <f>Input!X43</f>
        <v>0</v>
      </c>
      <c r="AA43" s="207">
        <f t="shared" si="1"/>
        <v>25</v>
      </c>
      <c r="AB43" s="364" t="b">
        <f>Input!Y43</f>
        <v>1</v>
      </c>
      <c r="AC43" s="207">
        <f>VALUE(Input!Z43)</f>
        <v>18</v>
      </c>
      <c r="AD43" s="207" t="b">
        <f>Input!AA43</f>
        <v>0</v>
      </c>
      <c r="AE43" s="207" t="str">
        <f>Input!AB43</f>
        <v>Ứng Văn Nguyện</v>
      </c>
      <c r="AF43" s="207" t="str">
        <f>Input!AC43</f>
        <v>Nguyễn Đức Nam</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5</v>
      </c>
      <c r="AP43" s="287" t="str">
        <f t="shared" si="3"/>
        <v>thành phố Hà Nội</v>
      </c>
      <c r="AQ43" s="448" t="str">
        <f t="shared" si="4"/>
        <v>quận Hoàng Mai</v>
      </c>
      <c r="AR43" s="448" t="str">
        <f t="shared" si="5"/>
        <v>phường Mai Động</v>
      </c>
      <c r="AS43" s="449" t="str">
        <f>INDEX(CityIDList,MATCH(F43,CityNameList,0))</f>
        <v>HNI</v>
      </c>
      <c r="AT43" s="208" t="str">
        <f>IF(J43&gt;=1,INDEX(OperatorNameList,MATCH(AZ43,OperatorIDList,0)),"")</f>
        <v>CÔNG TY CỔ PHẦN VIỄN THÔNG DI ĐỘNG VIETNAMOBILE</v>
      </c>
      <c r="AU43" s="208" t="str">
        <f>IF(J43&gt;=2,INDEX(OperatorNameList,MATCH(BA43,OperatorIDList,0)),"")</f>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c>
      <c r="BB43" s="208" t="str">
        <f t="shared" si="8"/>
      </c>
      <c r="BC43" s="208" t="str">
        <f t="shared" si="9"/>
      </c>
      <c r="BD43" s="208" t="str">
        <f t="shared" si="10"/>
      </c>
      <c r="BE43" s="208" t="str">
        <f t="shared" si="11"/>
      </c>
      <c r="BF43" s="208" t="str">
        <f>Input!I43</f>
        <v>VNMOBILE</v>
      </c>
      <c r="BG43" s="208" t="str">
        <f t="shared" si="12"/>
        <v>124941</v>
      </c>
      <c r="BH43" s="208" t="str">
        <f t="shared" si="13"/>
      </c>
      <c r="BI43" s="208" t="str">
        <f t="shared" si="14"/>
      </c>
      <c r="BJ43" s="208" t="str">
        <f t="shared" si="15"/>
      </c>
      <c r="BK43" s="208" t="str">
        <f t="shared" si="16"/>
      </c>
      <c r="BL43" s="208" t="str">
        <f t="shared" si="17"/>
      </c>
      <c r="BM43" s="208" t="str">
        <f t="shared" si="18"/>
        <v>ERICSSON RBS 6320</v>
      </c>
      <c r="BN43" s="208" t="str">
        <f t="shared" si="19"/>
      </c>
      <c r="BO43" s="208" t="str">
        <f t="shared" si="20"/>
      </c>
      <c r="BP43" s="208" t="str">
        <f t="shared" si="21"/>
      </c>
      <c r="BQ43" s="208" t="str">
        <f t="shared" si="22"/>
      </c>
      <c r="BR43" s="208" t="str">
        <f t="shared" si="23"/>
      </c>
      <c r="BS43" s="208">
        <f t="shared" si="24"/>
        <v>3</v>
      </c>
      <c r="BT43" s="208">
        <f t="shared" si="25"/>
        <v>0</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c>
      <c r="CG43" s="208">
        <f t="shared" si="38"/>
        <v>0</v>
      </c>
      <c r="CH43" s="208">
        <f t="shared" si="39"/>
        <v>0</v>
      </c>
      <c r="CI43" s="208">
        <f t="shared" si="40"/>
        <v>0</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c>
      <c r="DY43" s="208">
        <f t="shared" si="82"/>
        <v>0</v>
      </c>
      <c r="DZ43" s="208">
        <f t="shared" si="83"/>
        <v>0</v>
      </c>
      <c r="EA43" s="208">
        <f t="shared" si="84"/>
        <v>0</v>
      </c>
      <c r="EB43" s="208">
        <f t="shared" si="85"/>
        <v>0</v>
      </c>
      <c r="EC43" s="208">
        <f t="shared" si="86"/>
        <v>0</v>
      </c>
      <c r="ED43" s="208">
        <f t="shared" si="87"/>
        <v>0</v>
      </c>
      <c r="EE43" s="208" t="str">
        <f t="shared" si="88"/>
      </c>
      <c r="EF43" s="208">
        <f t="shared" si="89"/>
        <v>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c>
      <c r="FT43" s="208" t="str">
        <f t="shared" si="129"/>
      </c>
      <c r="FU43" s="208" t="str">
        <f t="shared" si="130"/>
      </c>
      <c r="FV43" s="208" t="str">
        <f t="shared" si="131"/>
      </c>
      <c r="FW43" s="208" t="str">
        <f t="shared" si="132"/>
      </c>
      <c r="FX43" s="208" t="str">
        <f t="shared" si="133"/>
        <v>25/25/25</v>
      </c>
      <c r="FY43" s="208">
        <f t="shared" si="134"/>
        <v>25</v>
      </c>
      <c r="FZ43" s="208">
        <f t="shared" si="135"/>
        <v>25</v>
      </c>
      <c r="GA43" s="208">
        <f t="shared" si="136"/>
        <v>25</v>
      </c>
      <c r="GB43" s="208">
        <f t="shared" si="137"/>
        <v>0</v>
      </c>
      <c r="GC43" s="208">
        <f t="shared" si="138"/>
        <v>0</v>
      </c>
      <c r="GD43" s="208">
        <f t="shared" si="139"/>
        <v>0</v>
      </c>
      <c r="GE43" s="208" t="str">
        <f t="shared" si="140"/>
        <v>25m/ 25m/ 25m</v>
      </c>
      <c r="GF43" s="208" t="str">
        <f t="shared" si="141"/>
      </c>
      <c r="GG43" s="208">
        <f t="shared" si="142"/>
        <v>0</v>
      </c>
      <c r="GH43" s="208">
        <f t="shared" si="143"/>
        <v>0</v>
      </c>
      <c r="GI43" s="208">
        <f t="shared" si="144"/>
        <v>0</v>
      </c>
      <c r="GJ43" s="208">
        <f t="shared" si="145"/>
        <v>0</v>
      </c>
      <c r="GK43" s="208">
        <f t="shared" si="146"/>
        <v>0</v>
      </c>
      <c r="GL43" s="208">
        <f t="shared" si="147"/>
        <v>0</v>
      </c>
      <c r="GM43" s="208" t="str">
        <f t="shared" si="148"/>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25</v>
      </c>
      <c r="HV43" s="208">
        <f t="shared" si="182"/>
        <v>0</v>
      </c>
      <c r="HW43" s="208">
        <f t="shared" si="183"/>
        <v>0</v>
      </c>
      <c r="HX43" s="208">
        <f t="shared" si="184"/>
        <v>0</v>
      </c>
      <c r="HY43" s="208">
        <f t="shared" si="185"/>
        <v>0</v>
      </c>
      <c r="HZ43" s="208">
        <f t="shared" si="186"/>
        <v>0</v>
      </c>
      <c r="IA43" s="207">
        <f t="shared" si="187"/>
        <v>25</v>
      </c>
      <c r="IB43" s="207">
        <f t="shared" si="188"/>
        <v>7</v>
      </c>
      <c r="IC43" s="343" t="str">
        <f t="shared" si="189"/>
        <v>A</v>
      </c>
      <c r="ID43" s="343" t="str">
        <f t="shared" si="190"/>
        <v>03977</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124107</v>
      </c>
      <c r="E44" s="317" t="str">
        <f>Input!C44</f>
        <v>Số 8, ngõ 27B, phố Đặng Dung, phường Quán Thánh, quận Ba Đình, thành phố Hà Nội</v>
      </c>
      <c r="F44" s="207" t="str">
        <f>Input!D44</f>
        <v>Hà Nội</v>
      </c>
      <c r="G44" s="207">
        <f>Input!E44</f>
        <v>105.841328</v>
      </c>
      <c r="H44" s="207">
        <f>Input!F44</f>
        <v>21.041262</v>
      </c>
      <c r="I44" s="207">
        <f>Input!G44</f>
        <v>1</v>
      </c>
      <c r="J44" s="207">
        <f>Input!H44</f>
        <v>1</v>
      </c>
      <c r="K44" s="207" t="str">
        <f t="shared" si="0"/>
        <v>CÔNG TY CỔ PHẦN VIỄN THÔNG DI ĐỘNG VIETNAMOBILE</v>
      </c>
      <c r="L44" s="207">
        <f>Input!J44</f>
        <v>124107</v>
      </c>
      <c r="M44" s="207" t="str">
        <f>Input!K44</f>
        <v>ERICSSON RBS 6320</v>
      </c>
      <c r="N44" s="207">
        <f>Input!L44</f>
        <v>3</v>
      </c>
      <c r="O44" s="207" t="str">
        <f>Input!M44</f>
        <v>1/1/1   </v>
      </c>
      <c r="P44" s="207" t="str">
        <f>Input!N44</f>
        <v>80/80/80  </v>
      </c>
      <c r="Q44" s="207">
        <f>Input!O44</f>
        <v>2100</v>
      </c>
      <c r="R44" s="207" t="str">
        <f>Input!P44</f>
        <v>32/32/32</v>
      </c>
      <c r="S44" s="364" t="b">
        <f>Input!Q44</f>
        <v>1</v>
      </c>
      <c r="T44" s="207" t="str">
        <f>Input!R44</f>
        <v>A03978101019TG05</v>
      </c>
      <c r="U44" s="207">
        <f>Input!S44</f>
        <v>0</v>
      </c>
      <c r="V44" s="207" t="str">
        <f>Input!T44</f>
        <v>VCC1</v>
      </c>
      <c r="W44" s="207" t="str">
        <f>Input!U44</f>
        <v>1903305/19/TG/TT1</v>
      </c>
      <c r="X44" s="209" t="str">
        <f>TEXT(Input!V44,"dd/mm/yyyy")</f>
        <v>10/10/2019</v>
      </c>
      <c r="Y44" s="207" t="b">
        <f>Input!W44</f>
        <v>0</v>
      </c>
      <c r="Z44" s="364" t="b">
        <f>Input!X44</f>
        <v>0</v>
      </c>
      <c r="AA44" s="207">
        <f t="shared" si="1"/>
        <v>32</v>
      </c>
      <c r="AB44" s="364" t="b">
        <f>Input!Y44</f>
        <v>1</v>
      </c>
      <c r="AC44" s="207">
        <f>VALUE(Input!Z44)</f>
        <v>28</v>
      </c>
      <c r="AD44" s="207" t="b">
        <f>Input!AA44</f>
        <v>0</v>
      </c>
      <c r="AE44" s="207" t="str">
        <f>Input!AB44</f>
        <v>Ứng Văn Nguyện</v>
      </c>
      <c r="AF44" s="207" t="str">
        <f>Input!AC44</f>
        <v>Nguyễn Đức Nam</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5</v>
      </c>
      <c r="AP44" s="287" t="str">
        <f t="shared" si="3"/>
        <v>thành phố Hà Nội</v>
      </c>
      <c r="AQ44" s="448" t="str">
        <f t="shared" si="4"/>
        <v>quận Ba Đình</v>
      </c>
      <c r="AR44" s="448" t="str">
        <f t="shared" si="5"/>
        <v>phường Quán Thánh</v>
      </c>
      <c r="AS44" s="449" t="str">
        <f>INDEX(CityIDList,MATCH(F44,CityNameList,0))</f>
        <v>HNI</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124107</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32/32/32</v>
      </c>
      <c r="FY44" s="208">
        <f t="shared" si="134"/>
        <v>32</v>
      </c>
      <c r="FZ44" s="208">
        <f t="shared" si="135"/>
        <v>32</v>
      </c>
      <c r="GA44" s="208">
        <f t="shared" si="136"/>
        <v>32</v>
      </c>
      <c r="GB44" s="208">
        <f t="shared" si="137"/>
        <v>0</v>
      </c>
      <c r="GC44" s="208">
        <f t="shared" si="138"/>
        <v>0</v>
      </c>
      <c r="GD44" s="208">
        <f t="shared" si="139"/>
        <v>0</v>
      </c>
      <c r="GE44" s="208" t="str">
        <f t="shared" si="140"/>
        <v>32m/ 32m/ 32m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32</v>
      </c>
      <c r="HV44" s="208">
        <f t="shared" si="182"/>
        <v>0</v>
      </c>
      <c r="HW44" s="208">
        <f t="shared" si="183"/>
        <v>0</v>
      </c>
      <c r="HX44" s="208">
        <f t="shared" si="184"/>
        <v>0</v>
      </c>
      <c r="HY44" s="208">
        <f t="shared" si="185"/>
        <v>0</v>
      </c>
      <c r="HZ44" s="208">
        <f t="shared" si="186"/>
        <v>0</v>
      </c>
      <c r="IA44" s="207">
        <f t="shared" si="187"/>
        <v>32</v>
      </c>
      <c r="IB44" s="207">
        <f t="shared" si="188"/>
        <v>4</v>
      </c>
      <c r="IC44" s="343" t="str">
        <f t="shared" si="189"/>
        <v>A</v>
      </c>
      <c r="ID44" s="343" t="str">
        <f t="shared" si="190"/>
        <v>03978</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124703</v>
      </c>
      <c r="E45" s="317" t="str">
        <f>Input!C45</f>
        <v>Số 475, đường Ngọc Lâm, phường Ngọc Lâm, quận Long Biên, thành phố Hà Nội</v>
      </c>
      <c r="F45" s="207" t="str">
        <f>Input!D45</f>
        <v>Hà Nội</v>
      </c>
      <c r="G45" s="207">
        <f>Input!E45</f>
        <v>105.87647</v>
      </c>
      <c r="H45" s="207">
        <f>Input!F45</f>
        <v>21.04955</v>
      </c>
      <c r="I45" s="207">
        <f>Input!G45</f>
        <v>1</v>
      </c>
      <c r="J45" s="207">
        <f>Input!H45</f>
        <v>1</v>
      </c>
      <c r="K45" s="207" t="str">
        <f t="shared" si="0"/>
        <v>CÔNG TY CỔ PHẦN VIỄN THÔNG DI ĐỘNG VIETNAMOBILE</v>
      </c>
      <c r="L45" s="207">
        <f>Input!J45</f>
        <v>124703</v>
      </c>
      <c r="M45" s="207" t="str">
        <f>Input!K45</f>
        <v>ERICSSON RBS 6320</v>
      </c>
      <c r="N45" s="207">
        <f>Input!L45</f>
        <v>3</v>
      </c>
      <c r="O45" s="207" t="str">
        <f>Input!M45</f>
        <v>1/1/1   </v>
      </c>
      <c r="P45" s="207" t="str">
        <f>Input!N45</f>
        <v>80/80/80  </v>
      </c>
      <c r="Q45" s="207">
        <f>Input!O45</f>
        <v>2100</v>
      </c>
      <c r="R45" s="207" t="str">
        <f>Input!P45</f>
        <v>25/25/25</v>
      </c>
      <c r="S45" s="364" t="b">
        <f>Input!Q45</f>
        <v>1</v>
      </c>
      <c r="T45" s="207" t="str">
        <f>Input!R45</f>
        <v>A03979101019TG05</v>
      </c>
      <c r="U45" s="207">
        <f>Input!S45</f>
        <v>0</v>
      </c>
      <c r="V45" s="207" t="str">
        <f>Input!T45</f>
        <v>VCC1</v>
      </c>
      <c r="W45" s="207" t="str">
        <f>Input!U45</f>
        <v>1903309/19/TG/TT1</v>
      </c>
      <c r="X45" s="209" t="str">
        <f>TEXT(Input!V45,"dd/mm/yyyy")</f>
        <v>10/10/2019</v>
      </c>
      <c r="Y45" s="207" t="b">
        <f>Input!W45</f>
        <v>0</v>
      </c>
      <c r="Z45" s="364" t="b">
        <f>Input!X45</f>
        <v>0</v>
      </c>
      <c r="AA45" s="207">
        <f t="shared" si="1"/>
        <v>25</v>
      </c>
      <c r="AB45" s="364" t="b">
        <f>Input!Y45</f>
        <v>1</v>
      </c>
      <c r="AC45" s="207">
        <f>VALUE(Input!Z45)</f>
        <v>18</v>
      </c>
      <c r="AD45" s="207" t="b">
        <f>Input!AA45</f>
        <v>0</v>
      </c>
      <c r="AE45" s="207" t="str">
        <f>Input!AB45</f>
        <v>Ứng Văn Nguyện</v>
      </c>
      <c r="AF45" s="207" t="str">
        <f>Input!AC45</f>
        <v>Nguyễn Đức Nam</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4</v>
      </c>
      <c r="AP45" s="287" t="str">
        <f t="shared" si="3"/>
        <v>thành phố Hà Nội</v>
      </c>
      <c r="AQ45" s="448" t="str">
        <f t="shared" si="4"/>
        <v>quận Long Biên</v>
      </c>
      <c r="AR45" s="448" t="str">
        <f t="shared" si="5"/>
        <v>phường Ngọc Lâm</v>
      </c>
      <c r="AS45" s="449" t="str">
        <f>INDEX(CityIDList,MATCH(F45,CityNameList,0))</f>
        <v>HNI</v>
      </c>
      <c r="AT45" s="208" t="str">
        <f>IF(J45&gt;=1,INDEX(OperatorNameList,MATCH(AZ45,OperatorIDList,0)),"")</f>
        <v>CÔNG TY CỔ PHẦN VIỄN THÔNG DI ĐỘNG VIETNAMOBILE</v>
      </c>
      <c r="AU45" s="208" t="str">
        <f>IF(J45&gt;=2,INDEX(OperatorNameList,MATCH(BA45,OperatorIDList,0)),"")</f>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c>
      <c r="BB45" s="208" t="str">
        <f t="shared" si="8"/>
      </c>
      <c r="BC45" s="208" t="str">
        <f t="shared" si="9"/>
      </c>
      <c r="BD45" s="208" t="str">
        <f t="shared" si="10"/>
      </c>
      <c r="BE45" s="208" t="str">
        <f t="shared" si="11"/>
      </c>
      <c r="BF45" s="208" t="str">
        <f>Input!I45</f>
        <v>VNMOBILE</v>
      </c>
      <c r="BG45" s="208" t="str">
        <f t="shared" si="12"/>
        <v>124703</v>
      </c>
      <c r="BH45" s="208" t="str">
        <f t="shared" si="13"/>
      </c>
      <c r="BI45" s="208" t="str">
        <f t="shared" si="14"/>
      </c>
      <c r="BJ45" s="208" t="str">
        <f t="shared" si="15"/>
      </c>
      <c r="BK45" s="208" t="str">
        <f t="shared" si="16"/>
      </c>
      <c r="BL45" s="208" t="str">
        <f t="shared" si="17"/>
      </c>
      <c r="BM45" s="208" t="str">
        <f t="shared" si="18"/>
        <v>ERICSSON RBS 6320</v>
      </c>
      <c r="BN45" s="208" t="str">
        <f t="shared" si="19"/>
      </c>
      <c r="BO45" s="208" t="str">
        <f t="shared" si="20"/>
      </c>
      <c r="BP45" s="208" t="str">
        <f t="shared" si="21"/>
      </c>
      <c r="BQ45" s="208" t="str">
        <f t="shared" si="22"/>
      </c>
      <c r="BR45" s="208" t="str">
        <f t="shared" si="23"/>
      </c>
      <c r="BS45" s="208">
        <f t="shared" si="24"/>
        <v>3</v>
      </c>
      <c r="BT45" s="208">
        <f t="shared" si="25"/>
        <v>0</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c>
      <c r="CG45" s="208">
        <f t="shared" si="38"/>
        <v>0</v>
      </c>
      <c r="CH45" s="208">
        <f t="shared" si="39"/>
        <v>0</v>
      </c>
      <c r="CI45" s="208">
        <f t="shared" si="40"/>
        <v>0</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c>
      <c r="DY45" s="208">
        <f t="shared" si="82"/>
        <v>0</v>
      </c>
      <c r="DZ45" s="208">
        <f t="shared" si="83"/>
        <v>0</v>
      </c>
      <c r="EA45" s="208">
        <f t="shared" si="84"/>
        <v>0</v>
      </c>
      <c r="EB45" s="208">
        <f t="shared" si="85"/>
        <v>0</v>
      </c>
      <c r="EC45" s="208">
        <f t="shared" si="86"/>
        <v>0</v>
      </c>
      <c r="ED45" s="208">
        <f t="shared" si="87"/>
        <v>0</v>
      </c>
      <c r="EE45" s="208" t="str">
        <f t="shared" si="88"/>
      </c>
      <c r="EF45" s="208">
        <f t="shared" si="89"/>
        <v>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c>
      <c r="FT45" s="208" t="str">
        <f t="shared" si="129"/>
      </c>
      <c r="FU45" s="208" t="str">
        <f t="shared" si="130"/>
      </c>
      <c r="FV45" s="208" t="str">
        <f t="shared" si="131"/>
      </c>
      <c r="FW45" s="208" t="str">
        <f t="shared" si="132"/>
      </c>
      <c r="FX45" s="208" t="str">
        <f t="shared" si="133"/>
        <v>25/25/25</v>
      </c>
      <c r="FY45" s="208">
        <f t="shared" si="134"/>
        <v>25</v>
      </c>
      <c r="FZ45" s="208">
        <f t="shared" si="135"/>
        <v>25</v>
      </c>
      <c r="GA45" s="208">
        <f t="shared" si="136"/>
        <v>25</v>
      </c>
      <c r="GB45" s="208">
        <f t="shared" si="137"/>
        <v>0</v>
      </c>
      <c r="GC45" s="208">
        <f t="shared" si="138"/>
        <v>0</v>
      </c>
      <c r="GD45" s="208">
        <f t="shared" si="139"/>
        <v>0</v>
      </c>
      <c r="GE45" s="208" t="str">
        <f t="shared" si="140"/>
        <v>25m/ 25m/ 25m</v>
      </c>
      <c r="GF45" s="208" t="str">
        <f t="shared" si="141"/>
      </c>
      <c r="GG45" s="208">
        <f t="shared" si="142"/>
        <v>0</v>
      </c>
      <c r="GH45" s="208">
        <f t="shared" si="143"/>
        <v>0</v>
      </c>
      <c r="GI45" s="208">
        <f t="shared" si="144"/>
        <v>0</v>
      </c>
      <c r="GJ45" s="208">
        <f t="shared" si="145"/>
        <v>0</v>
      </c>
      <c r="GK45" s="208">
        <f t="shared" si="146"/>
        <v>0</v>
      </c>
      <c r="GL45" s="208">
        <f t="shared" si="147"/>
        <v>0</v>
      </c>
      <c r="GM45" s="208" t="str">
        <f t="shared" si="148"/>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25</v>
      </c>
      <c r="HV45" s="208">
        <f t="shared" si="182"/>
        <v>0</v>
      </c>
      <c r="HW45" s="208">
        <f t="shared" si="183"/>
        <v>0</v>
      </c>
      <c r="HX45" s="208">
        <f t="shared" si="184"/>
        <v>0</v>
      </c>
      <c r="HY45" s="208">
        <f t="shared" si="185"/>
        <v>0</v>
      </c>
      <c r="HZ45" s="208">
        <f t="shared" si="186"/>
        <v>0</v>
      </c>
      <c r="IA45" s="207">
        <f t="shared" si="187"/>
        <v>25</v>
      </c>
      <c r="IB45" s="207">
        <f t="shared" si="188"/>
        <v>7</v>
      </c>
      <c r="IC45" s="343" t="str">
        <f t="shared" si="189"/>
        <v>A</v>
      </c>
      <c r="ID45" s="343" t="str">
        <f t="shared" si="190"/>
        <v>03979</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124677</v>
      </c>
      <c r="E46" s="317" t="str">
        <f>Input!C46</f>
        <v>Trung tâm thương mại chợ Sủi, xã Phú Thị, huyện Gia Lâm, thành phố Hà Nội</v>
      </c>
      <c r="F46" s="207" t="str">
        <f>Input!D46</f>
        <v>Hà Nội</v>
      </c>
      <c r="G46" s="207">
        <f>Input!E46</f>
        <v>105.964745</v>
      </c>
      <c r="H46" s="207">
        <f>Input!F46</f>
        <v>21.016525</v>
      </c>
      <c r="I46" s="207">
        <f>Input!G46</f>
        <v>1</v>
      </c>
      <c r="J46" s="207">
        <f>Input!H46</f>
        <v>1</v>
      </c>
      <c r="K46" s="207" t="str">
        <f t="shared" si="0"/>
        <v>CÔNG TY CỔ PHẦN VIỄN THÔNG DI ĐỘNG VIETNAMOBILE</v>
      </c>
      <c r="L46" s="207">
        <f>Input!J46</f>
        <v>124677</v>
      </c>
      <c r="M46" s="207" t="str">
        <f>Input!K46</f>
        <v>ERICSSON RBS 6320</v>
      </c>
      <c r="N46" s="207">
        <f>Input!L46</f>
        <v>3</v>
      </c>
      <c r="O46" s="207" t="str">
        <f>Input!M46</f>
        <v>1/1/1   </v>
      </c>
      <c r="P46" s="207" t="str">
        <f>Input!N46</f>
        <v>80/80/80  </v>
      </c>
      <c r="Q46" s="207">
        <f>Input!O46</f>
        <v>2100</v>
      </c>
      <c r="R46" s="207" t="str">
        <f>Input!P46</f>
        <v>23/23/23</v>
      </c>
      <c r="S46" s="364" t="b">
        <f>Input!Q46</f>
        <v>1</v>
      </c>
      <c r="T46" s="207" t="str">
        <f>Input!R46</f>
        <v>A03980101019TG05</v>
      </c>
      <c r="U46" s="207">
        <f>Input!S46</f>
        <v>0</v>
      </c>
      <c r="V46" s="207" t="str">
        <f>Input!T46</f>
        <v>VCC1</v>
      </c>
      <c r="W46" s="207" t="str">
        <f>Input!U46</f>
        <v>1903332/19/TG/TT1</v>
      </c>
      <c r="X46" s="209" t="str">
        <f>TEXT(Input!V46,"dd/mm/yyyy")</f>
        <v>10/10/2019</v>
      </c>
      <c r="Y46" s="207" t="b">
        <f>Input!W46</f>
        <v>0</v>
      </c>
      <c r="Z46" s="364" t="b">
        <f>Input!X46</f>
        <v>0</v>
      </c>
      <c r="AA46" s="207">
        <f t="shared" si="1"/>
        <v>23</v>
      </c>
      <c r="AB46" s="364" t="b">
        <f>Input!Y46</f>
        <v>1</v>
      </c>
      <c r="AC46" s="207">
        <f>VALUE(Input!Z46)</f>
        <v>21</v>
      </c>
      <c r="AD46" s="207" t="b">
        <f>Input!AA46</f>
        <v>0</v>
      </c>
      <c r="AE46" s="207" t="str">
        <f>Input!AB46</f>
        <v>Ứng Văn Nguyện</v>
      </c>
      <c r="AF46" s="207" t="str">
        <f>Input!AC46</f>
        <v>Nguyễn Đức Nam</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Hà Nội</v>
      </c>
      <c r="AQ46" s="448" t="str">
        <f t="shared" si="4"/>
        <v>huyện Gia Lâm</v>
      </c>
      <c r="AR46" s="448" t="str">
        <f t="shared" si="5"/>
        <v>xã Phú Thị</v>
      </c>
      <c r="AS46" s="449" t="str">
        <f>INDEX(CityIDList,MATCH(F46,CityNameList,0))</f>
        <v>HNI</v>
      </c>
      <c r="AT46" s="208" t="str">
        <f>IF(J46&gt;=1,INDEX(OperatorNameList,MATCH(AZ46,OperatorIDList,0)),"")</f>
        <v>CÔNG TY CỔ PHẦN VIỄN THÔNG DI ĐỘNG VIETNAMOBILE</v>
      </c>
      <c r="AU46" s="208" t="str">
        <f>IF(J46&gt;=2,INDEX(OperatorNameList,MATCH(BA46,OperatorIDList,0)),"")</f>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c>
      <c r="BB46" s="208" t="str">
        <f t="shared" si="8"/>
      </c>
      <c r="BC46" s="208" t="str">
        <f t="shared" si="9"/>
      </c>
      <c r="BD46" s="208" t="str">
        <f t="shared" si="10"/>
      </c>
      <c r="BE46" s="208" t="str">
        <f t="shared" si="11"/>
      </c>
      <c r="BF46" s="208" t="str">
        <f>Input!I46</f>
        <v>VNMOBILE</v>
      </c>
      <c r="BG46" s="208" t="str">
        <f t="shared" si="12"/>
        <v>124677</v>
      </c>
      <c r="BH46" s="208" t="str">
        <f t="shared" si="13"/>
      </c>
      <c r="BI46" s="208" t="str">
        <f t="shared" si="14"/>
      </c>
      <c r="BJ46" s="208" t="str">
        <f t="shared" si="15"/>
      </c>
      <c r="BK46" s="208" t="str">
        <f t="shared" si="16"/>
      </c>
      <c r="BL46" s="208" t="str">
        <f t="shared" si="17"/>
      </c>
      <c r="BM46" s="208" t="str">
        <f t="shared" si="18"/>
        <v>ERICSSON RBS 6320</v>
      </c>
      <c r="BN46" s="208" t="str">
        <f t="shared" si="19"/>
      </c>
      <c r="BO46" s="208" t="str">
        <f t="shared" si="20"/>
      </c>
      <c r="BP46" s="208" t="str">
        <f t="shared" si="21"/>
      </c>
      <c r="BQ46" s="208" t="str">
        <f t="shared" si="22"/>
      </c>
      <c r="BR46" s="208" t="str">
        <f t="shared" si="23"/>
      </c>
      <c r="BS46" s="208">
        <f t="shared" si="24"/>
        <v>3</v>
      </c>
      <c r="BT46" s="208">
        <f t="shared" si="25"/>
        <v>0</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c>
      <c r="CG46" s="208">
        <f t="shared" si="38"/>
        <v>0</v>
      </c>
      <c r="CH46" s="208">
        <f t="shared" si="39"/>
        <v>0</v>
      </c>
      <c r="CI46" s="208">
        <f t="shared" si="40"/>
        <v>0</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c>
      <c r="DY46" s="208">
        <f t="shared" si="82"/>
        <v>0</v>
      </c>
      <c r="DZ46" s="208">
        <f t="shared" si="83"/>
        <v>0</v>
      </c>
      <c r="EA46" s="208">
        <f t="shared" si="84"/>
        <v>0</v>
      </c>
      <c r="EB46" s="208">
        <f t="shared" si="85"/>
        <v>0</v>
      </c>
      <c r="EC46" s="208">
        <f t="shared" si="86"/>
        <v>0</v>
      </c>
      <c r="ED46" s="208">
        <f t="shared" si="87"/>
        <v>0</v>
      </c>
      <c r="EE46" s="208" t="str">
        <f t="shared" si="88"/>
      </c>
      <c r="EF46" s="208">
        <f t="shared" si="89"/>
        <v>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c>
      <c r="FT46" s="208" t="str">
        <f t="shared" si="129"/>
      </c>
      <c r="FU46" s="208" t="str">
        <f t="shared" si="130"/>
      </c>
      <c r="FV46" s="208" t="str">
        <f t="shared" si="131"/>
      </c>
      <c r="FW46" s="208" t="str">
        <f t="shared" si="132"/>
      </c>
      <c r="FX46" s="208" t="str">
        <f t="shared" si="133"/>
        <v>23/23/23</v>
      </c>
      <c r="FY46" s="208">
        <f t="shared" si="134"/>
        <v>23</v>
      </c>
      <c r="FZ46" s="208">
        <f t="shared" si="135"/>
        <v>23</v>
      </c>
      <c r="GA46" s="208">
        <f t="shared" si="136"/>
        <v>23</v>
      </c>
      <c r="GB46" s="208">
        <f t="shared" si="137"/>
        <v>0</v>
      </c>
      <c r="GC46" s="208">
        <f t="shared" si="138"/>
        <v>0</v>
      </c>
      <c r="GD46" s="208">
        <f t="shared" si="139"/>
        <v>0</v>
      </c>
      <c r="GE46" s="208" t="str">
        <f t="shared" si="140"/>
        <v>23m/ 23m/ 23m</v>
      </c>
      <c r="GF46" s="208" t="str">
        <f t="shared" si="141"/>
      </c>
      <c r="GG46" s="208">
        <f t="shared" si="142"/>
        <v>0</v>
      </c>
      <c r="GH46" s="208">
        <f t="shared" si="143"/>
        <v>0</v>
      </c>
      <c r="GI46" s="208">
        <f t="shared" si="144"/>
        <v>0</v>
      </c>
      <c r="GJ46" s="208">
        <f t="shared" si="145"/>
        <v>0</v>
      </c>
      <c r="GK46" s="208">
        <f t="shared" si="146"/>
        <v>0</v>
      </c>
      <c r="GL46" s="208">
        <f t="shared" si="147"/>
        <v>0</v>
      </c>
      <c r="GM46" s="208" t="str">
        <f t="shared" si="148"/>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23</v>
      </c>
      <c r="HV46" s="208">
        <f t="shared" si="182"/>
        <v>0</v>
      </c>
      <c r="HW46" s="208">
        <f t="shared" si="183"/>
        <v>0</v>
      </c>
      <c r="HX46" s="208">
        <f t="shared" si="184"/>
        <v>0</v>
      </c>
      <c r="HY46" s="208">
        <f t="shared" si="185"/>
        <v>0</v>
      </c>
      <c r="HZ46" s="208">
        <f t="shared" si="186"/>
        <v>0</v>
      </c>
      <c r="IA46" s="207">
        <f t="shared" si="187"/>
        <v>23</v>
      </c>
      <c r="IB46" s="207">
        <f t="shared" si="188"/>
        <v>2</v>
      </c>
      <c r="IC46" s="343" t="str">
        <f t="shared" si="189"/>
        <v>A</v>
      </c>
      <c r="ID46" s="343" t="str">
        <f t="shared" si="190"/>
        <v>03980</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124763</v>
      </c>
      <c r="E47" s="317" t="str">
        <f>Input!C47</f>
        <v>Khu Bãi Cát, thôn Phương Trạch, xã Vĩnh Ngọc, huyện Đông Anh, thành phố Hà Nội</v>
      </c>
      <c r="F47" s="207" t="str">
        <f>Input!D47</f>
        <v>Hà Nội</v>
      </c>
      <c r="G47" s="207">
        <f>Input!E47</f>
        <v>105.82129</v>
      </c>
      <c r="H47" s="207">
        <f>Input!F47</f>
        <v>21.101444</v>
      </c>
      <c r="I47" s="207">
        <f>Input!G47</f>
        <v>1</v>
      </c>
      <c r="J47" s="207">
        <f>Input!H47</f>
        <v>1</v>
      </c>
      <c r="K47" s="207" t="str">
        <f t="shared" si="0"/>
        <v>CÔNG TY CỔ PHẦN VIỄN THÔNG DI ĐỘNG VIETNAMOBILE</v>
      </c>
      <c r="L47" s="207">
        <f>Input!J47</f>
        <v>124763</v>
      </c>
      <c r="M47" s="207" t="str">
        <f>Input!K47</f>
        <v>ERICSSON RBS 6320</v>
      </c>
      <c r="N47" s="207">
        <f>Input!L47</f>
        <v>3</v>
      </c>
      <c r="O47" s="207" t="str">
        <f>Input!M47</f>
        <v>1/1/1   </v>
      </c>
      <c r="P47" s="207" t="str">
        <f>Input!N47</f>
        <v>80/80/80  </v>
      </c>
      <c r="Q47" s="207">
        <f>Input!O47</f>
        <v>2100</v>
      </c>
      <c r="R47" s="207" t="str">
        <f>Input!P47</f>
        <v>40/40/40</v>
      </c>
      <c r="S47" s="364" t="b">
        <f>Input!Q47</f>
        <v>1</v>
      </c>
      <c r="T47" s="207" t="str">
        <f>Input!R47</f>
        <v>A03981101019TG05</v>
      </c>
      <c r="U47" s="207">
        <f>Input!S47</f>
        <v>0</v>
      </c>
      <c r="V47" s="207" t="str">
        <f>Input!T47</f>
        <v>VCC1</v>
      </c>
      <c r="W47" s="207" t="str">
        <f>Input!U47</f>
        <v>1903333/19/TG/TT1</v>
      </c>
      <c r="X47" s="209" t="str">
        <f>TEXT(Input!V47,"dd/mm/yyyy")</f>
        <v>10/10/2019</v>
      </c>
      <c r="Y47" s="207" t="b">
        <f>Input!W47</f>
        <v>1</v>
      </c>
      <c r="Z47" s="364" t="b">
        <f>Input!X47</f>
        <v>1</v>
      </c>
      <c r="AA47" s="207">
        <f t="shared" si="1"/>
        <v>40</v>
      </c>
      <c r="AB47" s="364" t="b">
        <f>Input!Y47</f>
        <v>1</v>
      </c>
      <c r="AC47" s="207">
        <f>VALUE(Input!Z47)</f>
        <v>4</v>
      </c>
      <c r="AD47" s="207" t="b">
        <f>Input!AA47</f>
        <v>0</v>
      </c>
      <c r="AE47" s="207" t="str">
        <f>Input!AB47</f>
        <v>Ứng Văn Nguyện</v>
      </c>
      <c r="AF47" s="207" t="str">
        <f>Input!AC47</f>
        <v>Nguyễn Đức Nam</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Hà Nội</v>
      </c>
      <c r="AQ47" s="448" t="str">
        <f t="shared" si="4"/>
        <v>huyện Đông Anh</v>
      </c>
      <c r="AR47" s="448" t="str">
        <f t="shared" si="5"/>
        <v>xã Vĩnh Ngọc</v>
      </c>
      <c r="AS47" s="449" t="str">
        <f>INDEX(CityIDList,MATCH(F47,CityNameList,0))</f>
        <v>HNI</v>
      </c>
      <c r="AT47" s="208" t="str">
        <f>IF(J47&gt;=1,INDEX(OperatorNameList,MATCH(AZ47,OperatorIDList,0)),"")</f>
        <v>CÔNG TY CỔ PHẦN VIỄN THÔNG DI ĐỘNG VIETNAMOBILE</v>
      </c>
      <c r="AU47" s="208" t="str">
        <f>IF(J47&gt;=2,INDEX(OperatorNameList,MATCH(BA47,OperatorIDList,0)),"")</f>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c>
      <c r="BB47" s="208" t="str">
        <f t="shared" si="8"/>
      </c>
      <c r="BC47" s="208" t="str">
        <f t="shared" si="9"/>
      </c>
      <c r="BD47" s="208" t="str">
        <f t="shared" si="10"/>
      </c>
      <c r="BE47" s="208" t="str">
        <f t="shared" si="11"/>
      </c>
      <c r="BF47" s="208" t="str">
        <f>Input!I47</f>
        <v>VNMOBILE</v>
      </c>
      <c r="BG47" s="208" t="str">
        <f t="shared" si="12"/>
        <v>124763</v>
      </c>
      <c r="BH47" s="208" t="str">
        <f t="shared" si="13"/>
      </c>
      <c r="BI47" s="208" t="str">
        <f t="shared" si="14"/>
      </c>
      <c r="BJ47" s="208" t="str">
        <f t="shared" si="15"/>
      </c>
      <c r="BK47" s="208" t="str">
        <f t="shared" si="16"/>
      </c>
      <c r="BL47" s="208" t="str">
        <f t="shared" si="17"/>
      </c>
      <c r="BM47" s="208" t="str">
        <f t="shared" si="18"/>
        <v>ERICSSON RBS 6320</v>
      </c>
      <c r="BN47" s="208" t="str">
        <f t="shared" si="19"/>
      </c>
      <c r="BO47" s="208" t="str">
        <f t="shared" si="20"/>
      </c>
      <c r="BP47" s="208" t="str">
        <f t="shared" si="21"/>
      </c>
      <c r="BQ47" s="208" t="str">
        <f t="shared" si="22"/>
      </c>
      <c r="BR47" s="208" t="str">
        <f t="shared" si="23"/>
      </c>
      <c r="BS47" s="208">
        <f t="shared" si="24"/>
        <v>3</v>
      </c>
      <c r="BT47" s="208">
        <f t="shared" si="25"/>
        <v>0</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c>
      <c r="CG47" s="208">
        <f t="shared" si="38"/>
        <v>0</v>
      </c>
      <c r="CH47" s="208">
        <f t="shared" si="39"/>
        <v>0</v>
      </c>
      <c r="CI47" s="208">
        <f t="shared" si="40"/>
        <v>0</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c>
      <c r="DY47" s="208">
        <f t="shared" si="82"/>
        <v>0</v>
      </c>
      <c r="DZ47" s="208">
        <f t="shared" si="83"/>
        <v>0</v>
      </c>
      <c r="EA47" s="208">
        <f t="shared" si="84"/>
        <v>0</v>
      </c>
      <c r="EB47" s="208">
        <f t="shared" si="85"/>
        <v>0</v>
      </c>
      <c r="EC47" s="208">
        <f t="shared" si="86"/>
        <v>0</v>
      </c>
      <c r="ED47" s="208">
        <f t="shared" si="87"/>
        <v>0</v>
      </c>
      <c r="EE47" s="208" t="str">
        <f t="shared" si="88"/>
      </c>
      <c r="EF47" s="208">
        <f t="shared" si="89"/>
        <v>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c>
      <c r="FT47" s="208" t="str">
        <f t="shared" si="129"/>
      </c>
      <c r="FU47" s="208" t="str">
        <f t="shared" si="130"/>
      </c>
      <c r="FV47" s="208" t="str">
        <f t="shared" si="131"/>
      </c>
      <c r="FW47" s="208" t="str">
        <f t="shared" si="132"/>
      </c>
      <c r="FX47" s="208" t="str">
        <f t="shared" si="133"/>
        <v>40/40/40</v>
      </c>
      <c r="FY47" s="208">
        <f t="shared" si="134"/>
        <v>40</v>
      </c>
      <c r="FZ47" s="208">
        <f t="shared" si="135"/>
        <v>40</v>
      </c>
      <c r="GA47" s="208">
        <f t="shared" si="136"/>
        <v>40</v>
      </c>
      <c r="GB47" s="208">
        <f t="shared" si="137"/>
        <v>0</v>
      </c>
      <c r="GC47" s="208">
        <f t="shared" si="138"/>
        <v>0</v>
      </c>
      <c r="GD47" s="208">
        <f t="shared" si="139"/>
        <v>0</v>
      </c>
      <c r="GE47" s="208" t="str">
        <f t="shared" si="140"/>
        <v>40m/ 40m/ 40m</v>
      </c>
      <c r="GF47" s="208" t="str">
        <f t="shared" si="141"/>
      </c>
      <c r="GG47" s="208">
        <f t="shared" si="142"/>
        <v>0</v>
      </c>
      <c r="GH47" s="208">
        <f t="shared" si="143"/>
        <v>0</v>
      </c>
      <c r="GI47" s="208">
        <f t="shared" si="144"/>
        <v>0</v>
      </c>
      <c r="GJ47" s="208">
        <f t="shared" si="145"/>
        <v>0</v>
      </c>
      <c r="GK47" s="208">
        <f t="shared" si="146"/>
        <v>0</v>
      </c>
      <c r="GL47" s="208">
        <f t="shared" si="147"/>
        <v>0</v>
      </c>
      <c r="GM47" s="208" t="str">
        <f t="shared" si="148"/>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40</v>
      </c>
      <c r="HV47" s="208">
        <f t="shared" si="182"/>
        <v>0</v>
      </c>
      <c r="HW47" s="208">
        <f t="shared" si="183"/>
        <v>0</v>
      </c>
      <c r="HX47" s="208">
        <f t="shared" si="184"/>
        <v>0</v>
      </c>
      <c r="HY47" s="208">
        <f t="shared" si="185"/>
        <v>0</v>
      </c>
      <c r="HZ47" s="208">
        <f t="shared" si="186"/>
        <v>0</v>
      </c>
      <c r="IA47" s="207">
        <f t="shared" si="187"/>
        <v>40</v>
      </c>
      <c r="IB47" s="207">
        <f t="shared" si="188"/>
        <v>36</v>
      </c>
      <c r="IC47" s="343" t="str">
        <f t="shared" si="189"/>
        <v>A</v>
      </c>
      <c r="ID47" s="343" t="str">
        <f t="shared" si="190"/>
        <v>03981</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124450</v>
      </c>
      <c r="E48" s="317" t="str">
        <f>Input!C48</f>
        <v>Tòa nhà B2, đường Hàm Nghi, phường Cầu Diễn, quận Nam Từ Liêm, thành phố Hà Nội</v>
      </c>
      <c r="F48" s="207" t="str">
        <f>Input!D48</f>
        <v>Hà Nội</v>
      </c>
      <c r="G48" s="207">
        <f>Input!E48</f>
        <v>105.763641</v>
      </c>
      <c r="H48" s="207">
        <f>Input!F48</f>
        <v>21.035005</v>
      </c>
      <c r="I48" s="207">
        <f>Input!G48</f>
        <v>1</v>
      </c>
      <c r="J48" s="207">
        <f>Input!H48</f>
        <v>2</v>
      </c>
      <c r="K48" s="207" t="str">
        <f t="shared" si="0"/>
        <v>CÔNG TY CỔ PHẦN VIỄN THÔNG DI ĐỘNG VIETNAMOBILE;CÔNG TY CỔ PHẦN VIỄN THÔNG DI ĐỘNG VIETNAMOBILE</v>
      </c>
      <c r="L48" s="207" t="str">
        <f>Input!J48</f>
        <v>124450;124450</v>
      </c>
      <c r="M48" s="207" t="str">
        <f>Input!K48</f>
        <v>ERICSSON RBS 2216;ERICSSON RBS 6601</v>
      </c>
      <c r="N48" s="207" t="str">
        <f>Input!L48</f>
        <v>3;3</v>
      </c>
      <c r="O48" s="207" t="str">
        <f>Input!M48</f>
        <v>2/2/2;1/1/1   </v>
      </c>
      <c r="P48" s="207" t="str">
        <f>Input!N48</f>
        <v>80/80/80  ;80/80/80  </v>
      </c>
      <c r="Q48" s="207" t="str">
        <f>Input!O48</f>
        <v>900;2100</v>
      </c>
      <c r="R48" s="207" t="str">
        <f>Input!P48</f>
        <v>41,5/41,5/41,5;42/42/42</v>
      </c>
      <c r="S48" s="364" t="b">
        <f>Input!Q48</f>
        <v>1</v>
      </c>
      <c r="T48" s="207" t="str">
        <f>Input!R48</f>
        <v>A03982101019TG05</v>
      </c>
      <c r="U48" s="207">
        <f>Input!S48</f>
        <v>0</v>
      </c>
      <c r="V48" s="207" t="str">
        <f>Input!T48</f>
        <v>VCC1</v>
      </c>
      <c r="W48" s="207" t="str">
        <f>Input!U48</f>
        <v>1903344/19/TG/TT1</v>
      </c>
      <c r="X48" s="209" t="str">
        <f>TEXT(Input!V48,"dd/mm/yyyy")</f>
        <v>10/10/2019</v>
      </c>
      <c r="Y48" s="207" t="b">
        <f>Input!W48</f>
        <v>0</v>
      </c>
      <c r="Z48" s="364" t="b">
        <f>Input!X48</f>
        <v>0</v>
      </c>
      <c r="AA48" s="207">
        <f t="shared" si="1"/>
        <v>41.5</v>
      </c>
      <c r="AB48" s="364" t="b">
        <f>Input!Y48</f>
        <v>1</v>
      </c>
      <c r="AC48" s="207">
        <f>VALUE(Input!Z48)</f>
        <v>73</v>
      </c>
      <c r="AD48" s="207" t="b">
        <f>Input!AA48</f>
        <v>0</v>
      </c>
      <c r="AE48" s="207" t="str">
        <f>Input!AB48</f>
        <v>Ứng Văn Nguyện</v>
      </c>
      <c r="AF48" s="207" t="str">
        <f>Input!AC48</f>
        <v>Nguyễn Đức Nam</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4</v>
      </c>
      <c r="AP48" s="287" t="str">
        <f t="shared" si="3"/>
        <v>thành phố Hà Nội</v>
      </c>
      <c r="AQ48" s="448" t="str">
        <f t="shared" si="4"/>
        <v>quận Nam Từ Liêm</v>
      </c>
      <c r="AR48" s="448" t="str">
        <f t="shared" si="5"/>
        <v>phường Cầu Diễn</v>
      </c>
      <c r="AS48" s="449" t="str">
        <f>INDEX(CityIDList,MATCH(F48,CityNameList,0))</f>
        <v>HNI</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124450</v>
      </c>
      <c r="BH48" s="208" t="str">
        <f t="shared" si="13"/>
        <v>124450</v>
      </c>
      <c r="BI48" s="208" t="str">
        <f t="shared" si="14"/>
      </c>
      <c r="BJ48" s="208" t="str">
        <f t="shared" si="15"/>
      </c>
      <c r="BK48" s="208" t="str">
        <f t="shared" si="16"/>
      </c>
      <c r="BL48" s="208" t="str">
        <f t="shared" si="17"/>
      </c>
      <c r="BM48" s="208" t="str">
        <f t="shared" si="18"/>
        <v>ERICSSON RBS 2216</v>
      </c>
      <c r="BN48" s="208" t="str">
        <f t="shared" si="19"/>
        <v>ERICSSON RBS 6601</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2/2/2</v>
      </c>
      <c r="BZ48" s="208">
        <f t="shared" si="31"/>
        <v>2</v>
      </c>
      <c r="CA48" s="208">
        <f t="shared" si="32"/>
        <v>2</v>
      </c>
      <c r="CB48" s="208">
        <f t="shared" si="33"/>
        <v>2</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900</v>
      </c>
      <c r="FS48" s="208" t="str">
        <f t="shared" si="128"/>
        <v>2100</v>
      </c>
      <c r="FT48" s="208" t="str">
        <f t="shared" si="129"/>
      </c>
      <c r="FU48" s="208" t="str">
        <f t="shared" si="130"/>
      </c>
      <c r="FV48" s="208" t="str">
        <f t="shared" si="131"/>
      </c>
      <c r="FW48" s="208" t="str">
        <f t="shared" si="132"/>
      </c>
      <c r="FX48" s="208" t="str">
        <f t="shared" si="133"/>
        <v>41,5/41,5/41,5</v>
      </c>
      <c r="FY48" s="208">
        <f t="shared" si="134"/>
        <v>41.5</v>
      </c>
      <c r="FZ48" s="208">
        <f t="shared" si="135"/>
        <v>41.5</v>
      </c>
      <c r="GA48" s="208">
        <f t="shared" si="136"/>
        <v>41.5</v>
      </c>
      <c r="GB48" s="208">
        <f t="shared" si="137"/>
        <v>0</v>
      </c>
      <c r="GC48" s="208">
        <f t="shared" si="138"/>
        <v>0</v>
      </c>
      <c r="GD48" s="208">
        <f t="shared" si="139"/>
        <v>0</v>
      </c>
      <c r="GE48" s="208" t="str">
        <f t="shared" si="140"/>
        <v>41,5m/ 41,5m/ 41,5m</v>
      </c>
      <c r="GF48" s="208" t="str">
        <f t="shared" si="141"/>
        <v>42/42/42</v>
      </c>
      <c r="GG48" s="208">
        <f t="shared" si="142"/>
        <v>42</v>
      </c>
      <c r="GH48" s="208">
        <f t="shared" si="143"/>
        <v>42</v>
      </c>
      <c r="GI48" s="208">
        <f t="shared" si="144"/>
        <v>42</v>
      </c>
      <c r="GJ48" s="208">
        <f t="shared" si="145"/>
        <v>0</v>
      </c>
      <c r="GK48" s="208">
        <f t="shared" si="146"/>
        <v>0</v>
      </c>
      <c r="GL48" s="208">
        <f t="shared" si="147"/>
        <v>0</v>
      </c>
      <c r="GM48" s="208" t="str">
        <f t="shared" si="148"/>
        <v>42m/ 42m/ 42m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41.5</v>
      </c>
      <c r="HV48" s="208">
        <f t="shared" si="182"/>
        <v>42</v>
      </c>
      <c r="HW48" s="208">
        <f t="shared" si="183"/>
        <v>0</v>
      </c>
      <c r="HX48" s="208">
        <f t="shared" si="184"/>
        <v>0</v>
      </c>
      <c r="HY48" s="208">
        <f t="shared" si="185"/>
        <v>0</v>
      </c>
      <c r="HZ48" s="208">
        <f t="shared" si="186"/>
        <v>0</v>
      </c>
      <c r="IA48" s="207">
        <f t="shared" si="187"/>
        <v>41.5</v>
      </c>
      <c r="IB48" s="207">
        <f t="shared" si="188"/>
        <v>-31.5</v>
      </c>
      <c r="IC48" s="343" t="str">
        <f t="shared" si="189"/>
        <v>A</v>
      </c>
      <c r="ID48" s="343" t="str">
        <f t="shared" si="190"/>
        <v>03982</v>
      </c>
      <c r="IE48" s="343" t="str">
        <f t="shared" si="191"/>
        <v>101019</v>
      </c>
      <c r="IF48" s="343" t="str">
        <f t="shared" si="192"/>
        <v>TG05</v>
      </c>
      <c r="IG48" s="383">
        <f t="shared" si="193"/>
        <v>43748</v>
      </c>
      <c r="IH48" s="383">
        <f t="shared" si="194"/>
        <v>45575</v>
      </c>
      <c r="II48" s="208">
        <v>46</v>
      </c>
    </row>
  </sheetData>
  <sheetProtection sheet="1" objects="1" scenarios="1" formatCells="0" formatColumns="0" formatRows="0" sort="0" autoFilter="0" pivotTables="0"/>
  <autoFilter ref="A1:II2"/>
  <conditionalFormatting sqref="F3">
    <cfRule type="expression" dxfId="72" priority="14191">
      <formula>F3&lt;&gt;RIGHT(SUBSTITUTE(TRIM(E3),".",""),LEN(F3))</formula>
    </cfRule>
  </conditionalFormatting>
  <conditionalFormatting sqref="BS3">
    <cfRule type="expression" dxfId="72" priority="14017">
      <formula>AND(J3&gt;=1,BS3&lt;1)</formula>
    </cfRule>
  </conditionalFormatting>
  <conditionalFormatting sqref="BT3">
    <cfRule type="expression" dxfId="72" priority="10374">
      <formula>AND(J3&gt;=2,BT3&lt;1)</formula>
    </cfRule>
  </conditionalFormatting>
  <conditionalFormatting sqref="BU3">
    <cfRule type="expression" dxfId="72" priority="10372">
      <formula>AND(J3&gt;=3,BU3&lt;1)</formula>
    </cfRule>
  </conditionalFormatting>
  <conditionalFormatting sqref="BV3">
    <cfRule type="expression" dxfId="72" priority="10371">
      <formula>AND(J3&gt;=4,BV3&lt;1)</formula>
    </cfRule>
  </conditionalFormatting>
  <conditionalFormatting sqref="BW3">
    <cfRule type="expression" dxfId="72" priority="10373">
      <formula>AND(J3&gt;=5,BW3&lt;1)</formula>
    </cfRule>
  </conditionalFormatting>
  <conditionalFormatting sqref="BX3">
    <cfRule type="expression" dxfId="72" priority="10369">
      <formula>AND(J3&gt;=6,BX3&lt;1)</formula>
    </cfRule>
  </conditionalFormatting>
  <conditionalFormatting sqref="IC3">
    <cfRule type="expression" dxfId="72" priority="14584">
      <formula>AND($S3 = TRUE, $IC3&lt;&gt;OptionsUnitCode)</formula>
    </cfRule>
  </conditionalFormatting>
  <conditionalFormatting sqref="A3:II3">
    <cfRule type="containsErrors" dxfId="72" priority="4700">
      <formula>ISERROR(A3)</formula>
    </cfRule>
  </conditionalFormatting>
  <conditionalFormatting sqref="DP3">
    <cfRule type="expression" dxfId="1" priority="14501">
      <formula>AND(BS3&gt;=1,DP3&lt;&gt;0, GetEquPower(AZ3,BM3, BZ3, FR3)=0)</formula>
    </cfRule>
    <cfRule type="expression" dxfId="0" priority="14502">
      <formula>AND(BS3&gt;=1,DP3&lt;&gt;GetEquPower(AZ3,BM3, BZ3, FR3))</formula>
    </cfRule>
  </conditionalFormatting>
  <conditionalFormatting sqref="DQ3">
    <cfRule type="expression" dxfId="1" priority="14503">
      <formula>AND(BS3&gt;=2,DQ3&lt;&gt;0, GetEquPower(AZ3,BM3, CA3, FR3)=0)</formula>
    </cfRule>
    <cfRule type="expression" dxfId="0" priority="14504">
      <formula>AND(BS3&gt;=2,DQ3&lt;&gt;GetEquPower(AZ3,BM3, CA3, FR3))</formula>
    </cfRule>
  </conditionalFormatting>
  <conditionalFormatting sqref="DR3">
    <cfRule type="expression" dxfId="1" priority="14505">
      <formula>AND(BS3&gt;=3,DR3&lt;&gt;0, GetEquPower(AZ3,BM3, CB3, FR3)=0)</formula>
    </cfRule>
    <cfRule type="expression" dxfId="0" priority="14506">
      <formula>AND(BS3&gt;=3,DR3&lt;&gt;GetEquPower(AZ3,BM3, CB3, FR3))</formula>
    </cfRule>
  </conditionalFormatting>
  <conditionalFormatting sqref="DS3">
    <cfRule type="expression" dxfId="1" priority="14537">
      <formula>AND(BS3&gt;=4,DS3&lt;&gt;0, GetEquPower(AZ3,BM3, CC3, FR3)=0)</formula>
    </cfRule>
    <cfRule type="expression" dxfId="0" priority="14538">
      <formula>AND(BS3&gt;=4, DS3&lt;&gt;GetEquPower(AZ3,BM3, CC3, FR3))</formula>
    </cfRule>
  </conditionalFormatting>
  <conditionalFormatting sqref="DT3">
    <cfRule type="expression" dxfId="1" priority="14549">
      <formula>AND(BS3&gt;=5,DT3&lt;&gt;0, GetEquPower(AZ3,BM3, CD3, FR3)=0)</formula>
    </cfRule>
    <cfRule type="expression" dxfId="0" priority="14550">
      <formula>AND(BS3&gt;=5, DT3&lt;&gt;GetEquPower(AZ3,BM3, CD3, FR3))</formula>
    </cfRule>
  </conditionalFormatting>
  <conditionalFormatting sqref="DU3">
    <cfRule type="expression" dxfId="1" priority="14551">
      <formula>AND(BS3&gt;=6,DU3&lt;&gt;0, GetEquPower(AZ3,BM3, CE3, FR3)=0)</formula>
    </cfRule>
    <cfRule type="expression" dxfId="0" priority="14552">
      <formula>AND(BS3&gt;=6, DU3&lt;&gt;GetEquPower(AZ3,BM3, CE3, FR3))</formula>
    </cfRule>
  </conditionalFormatting>
  <conditionalFormatting sqref="DY3">
    <cfRule type="expression" dxfId="1" priority="14507">
      <formula>AND(BT3&gt;=1,DY3&lt;&gt;0, GetEquPower(BA3,BN3, CG3, FS3)=0)</formula>
    </cfRule>
    <cfRule type="expression" dxfId="0" priority="14508">
      <formula>AND(BT3&gt;=1,DY3&lt;&gt;GetEquPower(BA3,BN3, CG3, FS3))</formula>
    </cfRule>
  </conditionalFormatting>
  <conditionalFormatting sqref="DZ3">
    <cfRule type="expression" dxfId="1" priority="14509">
      <formula>AND(BT3&gt;=2,DZ3&lt;&gt;0, GetEquPower(BA3,BN3, CH3, FS3)=0)</formula>
    </cfRule>
    <cfRule type="expression" dxfId="0" priority="14510">
      <formula>AND(BT3&gt;=2,DZ3&lt;&gt;GetEquPower(BA3,BN3, CH3, FS3))</formula>
    </cfRule>
  </conditionalFormatting>
  <conditionalFormatting sqref="EA3">
    <cfRule type="expression" dxfId="1" priority="14511">
      <formula>AND(BT3&gt;=3,EA3&lt;&gt;0, GetEquPower(BA3,BN3, CI3, FS3)=0)</formula>
    </cfRule>
    <cfRule type="expression" dxfId="0" priority="14512">
      <formula>AND(BT3&gt;=3,EA3&lt;&gt;GetEquPower(BA3,BN3, CI3, FS3))</formula>
    </cfRule>
  </conditionalFormatting>
  <conditionalFormatting sqref="EB3">
    <cfRule type="expression" dxfId="1" priority="14539">
      <formula>AND(BT3&gt;=4,EB3&lt;&gt;0, GetEquPower(BA3,BN3, CJ3, FS3)=0)</formula>
    </cfRule>
    <cfRule type="expression" dxfId="0" priority="14540">
      <formula>AND(BT3&gt;=4,EB3&lt;&gt;GetEquPower(BA3,BN3, CJ3, FS3))</formula>
    </cfRule>
  </conditionalFormatting>
  <conditionalFormatting sqref="EC3">
    <cfRule type="expression" dxfId="1" priority="14553">
      <formula>AND(BT3&gt;=5,EC3&lt;&gt;0, GetEquPower(BA3,BN3, CK3, FS3)=0)</formula>
    </cfRule>
    <cfRule type="expression" dxfId="0" priority="14554">
      <formula>AND(BT3&gt;=5,EC3&lt;&gt;GetEquPower(BA3,BN3, CK3, FS3))</formula>
    </cfRule>
  </conditionalFormatting>
  <conditionalFormatting sqref="ED3">
    <cfRule type="expression" dxfId="1" priority="14555">
      <formula>AND(BT3&gt;=6,ED3&lt;&gt;0, GetEquPower(BA3,BN3, CL3, FS3)=0)</formula>
    </cfRule>
    <cfRule type="expression" dxfId="0" priority="14556">
      <formula>AND(BT3&gt;=6,ED3&lt;&gt;GetEquPower(BA3,BN3, CL3, FS3))</formula>
    </cfRule>
  </conditionalFormatting>
  <conditionalFormatting sqref="EH3">
    <cfRule type="expression" dxfId="1" priority="14513">
      <formula>AND(BU3&gt;=1,EH3&lt;&gt;0, GetEquPower(BB3,BO3, CN3, FT3)=0)</formula>
    </cfRule>
    <cfRule type="expression" dxfId="0" priority="14514">
      <formula>AND(BU3&gt;=1,EH3&lt;&gt;GetEquPower(BB3,BO3, CN3, FT3))</formula>
    </cfRule>
  </conditionalFormatting>
  <conditionalFormatting sqref="EI3">
    <cfRule type="expression" dxfId="1" priority="14515">
      <formula>AND(BU3&gt;=2,EI3&lt;&gt;0, GetEquPower(BB3,BO3, CO3, FT3)=0)</formula>
    </cfRule>
    <cfRule type="expression" dxfId="0" priority="14516">
      <formula xml:space="preserve"> AND(BU3&gt;=2,EI3&lt;&gt;GetEquPower(BB3,BO3, CO3, FT3))</formula>
    </cfRule>
  </conditionalFormatting>
  <conditionalFormatting sqref="EJ3">
    <cfRule type="expression" dxfId="1" priority="14517">
      <formula>AND(BU3&gt;=3,EJ3&lt;&gt;0, GetEquPower(BB3,BO3, CP3, FT3)=0)</formula>
    </cfRule>
    <cfRule type="expression" dxfId="0" priority="14518">
      <formula xml:space="preserve"> AND(BU3&gt;=3,EJ3&lt;&gt;GetEquPower(BB3,BO3, CP3, FT3))</formula>
    </cfRule>
  </conditionalFormatting>
  <conditionalFormatting sqref="EK3">
    <cfRule type="expression" dxfId="1" priority="14541">
      <formula>AND(BU3&gt;=4,EK3&lt;&gt;0, GetEquPower(BB3,BO3, CQ3, FT3)=0)</formula>
    </cfRule>
    <cfRule type="expression" dxfId="0" priority="14542">
      <formula xml:space="preserve"> AND(BU3&gt;=4,EK3&lt;&gt;GetEquPower(BB3,BO3, CQ3, FT3))</formula>
    </cfRule>
  </conditionalFormatting>
  <conditionalFormatting sqref="EL3">
    <cfRule type="expression" dxfId="1" priority="14557">
      <formula>AND(BU3&gt;=5,EL3&lt;&gt;0, GetEquPower(BB3,BO3, CR3, FT3)=0)</formula>
    </cfRule>
    <cfRule type="expression" dxfId="0" priority="14558">
      <formula xml:space="preserve"> AND(BU3&gt;=5,EL3&lt;&gt;GetEquPower(BB3,BO3, CR3, FT3))</formula>
    </cfRule>
  </conditionalFormatting>
  <conditionalFormatting sqref="EM3">
    <cfRule type="expression" dxfId="1" priority="14559">
      <formula>AND(BU3&gt;=6,EM3&lt;&gt;0, GetEquPower(BB3,BO3, CS3, FT3)=0)</formula>
    </cfRule>
    <cfRule type="expression" dxfId="0" priority="14560">
      <formula xml:space="preserve"> AND(BU3&gt;=6,EM3&lt;&gt;GetEquPower(BB3,BO3, CS3, FT3))</formula>
    </cfRule>
  </conditionalFormatting>
  <conditionalFormatting sqref="EQ3">
    <cfRule type="expression" dxfId="1" priority="14519">
      <formula>AND(BV3&gt;=1,EQ3&lt;&gt;0, GetEquPower(BC3,BP3, CU3, FU3)=0)</formula>
    </cfRule>
    <cfRule type="expression" dxfId="0" priority="14520">
      <formula>AND(BV3&gt;=1,EQ3&lt;&gt;GetEquPower(BC3,BP3, CU3, FU3))</formula>
    </cfRule>
  </conditionalFormatting>
  <conditionalFormatting sqref="ER3">
    <cfRule type="expression" dxfId="1" priority="14521">
      <formula>AND(BV3&gt;=2,ER3&lt;&gt;0, GetEquPower(BC3,BP3, CV3, FU3)=0)</formula>
    </cfRule>
    <cfRule type="expression" dxfId="0" priority="14522">
      <formula>AND(BV3&gt;=2,ER3&lt;&gt;GetEquPower(BC3,BP3, CV3, FU3))</formula>
    </cfRule>
  </conditionalFormatting>
  <conditionalFormatting sqref="ES3">
    <cfRule type="expression" dxfId="1" priority="14523">
      <formula>AND(BV3&gt;=3,ES3&lt;&gt;0, GetEquPower(BC3,BP3, CW3, FU3)=0)</formula>
    </cfRule>
    <cfRule type="expression" dxfId="0" priority="14524">
      <formula>AND(BV3&gt;=3,ES3&lt;&gt;GetEquPower(BC3,BP3, CW3, FU3))</formula>
    </cfRule>
  </conditionalFormatting>
  <conditionalFormatting sqref="ET3">
    <cfRule type="expression" dxfId="1" priority="14543">
      <formula>AND(BV3&gt;=4,ET3&lt;&gt;0, GetEquPower(BC3,BP3, CX3, FU3)=0)</formula>
    </cfRule>
    <cfRule type="expression" dxfId="0" priority="14544">
      <formula>AND(BV3&gt;=4,ET3&lt;&gt;GetEquPower(BC3,BP3, CX3, FU3))</formula>
    </cfRule>
  </conditionalFormatting>
  <conditionalFormatting sqref="EU3">
    <cfRule type="expression" dxfId="1" priority="14561">
      <formula>AND(BV3&gt;=5,EU3&lt;&gt;0, GetEquPower(BC3,BP3, CY3, FU3)=0)</formula>
    </cfRule>
    <cfRule type="expression" dxfId="0" priority="14562">
      <formula>AND(BV3&gt;=5,EU3&lt;&gt;GetEquPower(BC3,BP3, CY3, FU3))</formula>
    </cfRule>
  </conditionalFormatting>
  <conditionalFormatting sqref="EV3">
    <cfRule type="expression" dxfId="1" priority="14563">
      <formula>AND(BV3&gt;=6,EV3&lt;&gt;0, GetEquPower(BC3,BP3, CZ3, FU3)=0)</formula>
    </cfRule>
    <cfRule type="expression" dxfId="0" priority="14564">
      <formula>AND(BV3&gt;=6,EV3&lt;&gt;GetEquPower(BC3,BP3, CZ3, FU3))</formula>
    </cfRule>
  </conditionalFormatting>
  <conditionalFormatting sqref="EZ3">
    <cfRule type="expression" dxfId="1" priority="14525">
      <formula>AND(BW3&gt;=1,EZ3&lt;&gt;0, GetEquPower(BD3,BQ3, DB3, FV3)=0)</formula>
    </cfRule>
    <cfRule type="expression" dxfId="0" priority="14526">
      <formula>AND(BW3&gt;=1,EZ3&lt;&gt;GetEquPower(BD3,BQ3, DB3, FV3))</formula>
    </cfRule>
  </conditionalFormatting>
  <conditionalFormatting sqref="FA3">
    <cfRule type="expression" dxfId="1" priority="14527">
      <formula>AND(BW3&gt;=2,FA3&lt;&gt;0, GetEquPower(BD3,BQ3, DC3, FV3)=0)</formula>
    </cfRule>
    <cfRule type="expression" dxfId="0" priority="14528">
      <formula>AND(BW3&gt;=2,FA3&lt;&gt;GetEquPower(BD3,BQ3, DC3, FV3))</formula>
    </cfRule>
  </conditionalFormatting>
  <conditionalFormatting sqref="FB3">
    <cfRule type="expression" dxfId="1" priority="14529">
      <formula>AND(BW3&gt;=3,FB3&lt;&gt;0, GetEquPower(BD3,BQ3, DD3, FV3)=0)</formula>
    </cfRule>
    <cfRule type="expression" dxfId="0" priority="14530">
      <formula>AND(BW3&gt;=3,FB3&lt;&gt;GetEquPower(BD3,BQ3, DD3, FV3))</formula>
    </cfRule>
  </conditionalFormatting>
  <conditionalFormatting sqref="FC3">
    <cfRule type="expression" dxfId="1" priority="14545">
      <formula>AND(BW3&gt;=4,FC3&lt;&gt;0, GetEquPower(BD3,BQ3, DE3, FV3)=0)</formula>
    </cfRule>
    <cfRule type="expression" dxfId="0" priority="14546">
      <formula>AND(BW3&gt;=4,FC3&lt;&gt;GetEquPower(BD3,BQ3, DE3, FV3))</formula>
    </cfRule>
  </conditionalFormatting>
  <conditionalFormatting sqref="FD3">
    <cfRule type="expression" dxfId="1" priority="14565">
      <formula>AND(BW3&gt;=5,FD3&lt;&gt;0, GetEquPower(BD3,BQ3, DF3, FV3)=0)</formula>
    </cfRule>
    <cfRule type="expression" dxfId="0" priority="14566">
      <formula>AND(BW3&gt;=5,FD3&lt;&gt;GetEquPower(BD3,BQ3, DF3, FV3))</formula>
    </cfRule>
  </conditionalFormatting>
  <conditionalFormatting sqref="FE3">
    <cfRule type="expression" dxfId="1" priority="14567">
      <formula>AND(BW3&gt;=6,FE3&lt;&gt;0, GetEquPower(BD3,BQ3, DG3, FV3)=0)</formula>
    </cfRule>
    <cfRule type="expression" dxfId="0" priority="14568">
      <formula>AND(BW3&gt;=6,FE3&lt;&gt;GetEquPower(BD3,BQ3, DG3, FV3))</formula>
    </cfRule>
  </conditionalFormatting>
  <conditionalFormatting sqref="FI3">
    <cfRule type="expression" dxfId="1" priority="14531">
      <formula>AND(BX3&gt;=1,FI3&lt;&gt;0, GetEquPower(BE3,BR3, DI3, FW3)=0)</formula>
    </cfRule>
    <cfRule type="expression" dxfId="0" priority="14532">
      <formula>AND(BX3&gt;=1,FI3&lt;&gt;GetEquPower(BE3,BR3, DI3, FW3))</formula>
    </cfRule>
  </conditionalFormatting>
  <conditionalFormatting sqref="FJ3">
    <cfRule type="expression" dxfId="1" priority="14533">
      <formula>AND(BX3&gt;=2,FJ3&lt;&gt;0, GetEquPower(BE3,BR3, DJ3, FW3)=0)</formula>
    </cfRule>
    <cfRule type="expression" dxfId="0" priority="14534">
      <formula>AND(BX3&gt;=2,FJ3&lt;&gt;GetEquPower(BE3,BR3, DJ3, FW3))</formula>
    </cfRule>
  </conditionalFormatting>
  <conditionalFormatting sqref="FK3">
    <cfRule type="expression" dxfId="1" priority="14535">
      <formula>AND(BX3&gt;=3,FK3&lt;&gt;0, GetEquPower(BE3,BR3, DK3, FW3)=0)</formula>
    </cfRule>
    <cfRule type="expression" dxfId="0" priority="14536">
      <formula>AND(BX3&gt;=3,FK3&lt;&gt;GetEquPower(BE3,BR3, DK3, FW3))</formula>
    </cfRule>
  </conditionalFormatting>
  <conditionalFormatting sqref="FL3">
    <cfRule type="expression" dxfId="1" priority="14547">
      <formula>AND(BX3&gt;=4,FL3&lt;&gt;0, GetEquPower(BE3,BR3, DL3, FW3)=0)</formula>
    </cfRule>
    <cfRule type="expression" dxfId="0" priority="14548">
      <formula>AND(BX3&gt;=4,FL3&lt;&gt;GetEquPower(BE3,BR3, DL3, FW3))</formula>
    </cfRule>
  </conditionalFormatting>
  <conditionalFormatting sqref="FM3">
    <cfRule type="expression" dxfId="1" priority="14569">
      <formula>AND(BX3&gt;=5,FM3&lt;&gt;0, GetEquPower(BE3,BR3, DM3, FW3)=0)</formula>
    </cfRule>
    <cfRule type="expression" dxfId="0" priority="14570">
      <formula>AND(BX3&gt;=5,FM3&lt;&gt;GetEquPower(BE3,BR3, DM3, FW3))</formula>
    </cfRule>
  </conditionalFormatting>
  <conditionalFormatting sqref="FN3">
    <cfRule type="expression" dxfId="1" priority="14571">
      <formula>AND(BX3&gt;=6,FN3&lt;&gt;0, GetEquPower(BE3,BR3, DN3, FW3)=0)</formula>
    </cfRule>
    <cfRule type="expression" dxfId="0" priority="14572">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21282</v>
      </c>
      <c r="C1" s="344" t="s">
        <v>21283</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21284</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21286</v>
      </c>
    </row>
    <row r="2" ht="102">
      <c r="A2" s="207">
        <v>1</v>
      </c>
      <c r="B2" s="343" t="s">
        <v>21287</v>
      </c>
      <c r="C2" s="343" t="s">
        <v>21288</v>
      </c>
      <c r="D2" s="600">
        <v>128521</v>
      </c>
      <c r="E2" s="317" t="s">
        <v>21097</v>
      </c>
      <c r="F2" s="207" t="s">
        <v>20859</v>
      </c>
      <c r="G2" s="600">
        <v>106.649429</v>
      </c>
      <c r="H2" s="600">
        <v>20.875002</v>
      </c>
      <c r="I2" s="207">
        <v>1</v>
      </c>
      <c r="J2" s="207">
        <v>2</v>
      </c>
      <c r="K2" s="207" t="s">
        <v>21289</v>
      </c>
      <c r="L2" s="207" t="s">
        <v>21290</v>
      </c>
      <c r="M2" s="207" t="s">
        <v>21291</v>
      </c>
      <c r="N2" s="207" t="s">
        <v>21292</v>
      </c>
      <c r="O2" s="207" t="s">
        <v>21293</v>
      </c>
      <c r="P2" s="207" t="s">
        <v>21294</v>
      </c>
      <c r="Q2" s="207" t="s">
        <v>21295</v>
      </c>
      <c r="R2" s="207" t="s">
        <v>21296</v>
      </c>
      <c r="S2" s="364" t="b">
        <v>1</v>
      </c>
      <c r="T2" s="207" t="s">
        <v>21098</v>
      </c>
      <c r="U2" s="207">
        <v>0</v>
      </c>
      <c r="V2" s="207" t="s">
        <v>21297</v>
      </c>
      <c r="W2" s="207" t="s">
        <v>21099</v>
      </c>
      <c r="X2" s="209" t="s">
        <v>21298</v>
      </c>
      <c r="Y2" s="207" t="b">
        <v>0</v>
      </c>
      <c r="Z2" s="364" t="b">
        <v>0</v>
      </c>
      <c r="AA2" s="600">
        <v>26</v>
      </c>
      <c r="AB2" s="364" t="b">
        <v>1</v>
      </c>
      <c r="AC2" s="600">
        <v>18</v>
      </c>
      <c r="AD2" s="207" t="b">
        <v>0</v>
      </c>
      <c r="AE2" s="207" t="s">
        <v>21299</v>
      </c>
      <c r="AF2" s="207" t="s">
        <v>21300</v>
      </c>
      <c r="AG2" s="343" t="s">
        <v>21301</v>
      </c>
      <c r="AH2" s="343" t="s">
        <v>21302</v>
      </c>
      <c r="AI2" s="343" t="s">
        <v>21054</v>
      </c>
      <c r="AJ2" s="343" t="s">
        <v>21303</v>
      </c>
      <c r="AK2" s="343" t="s">
        <v>21304</v>
      </c>
      <c r="AL2" s="208"/>
      <c r="AM2" s="208" t="s">
        <v>21305</v>
      </c>
      <c r="AN2" s="208" t="s">
        <v>21306</v>
      </c>
      <c r="AO2" s="207">
        <v>4</v>
      </c>
      <c r="AP2" s="287" t="s">
        <v>21307</v>
      </c>
      <c r="AQ2" s="448" t="s">
        <v>21308</v>
      </c>
      <c r="AR2" s="448" t="s">
        <v>21309</v>
      </c>
      <c r="AS2" s="449" t="s">
        <v>7600</v>
      </c>
      <c r="AT2" s="208" t="s">
        <v>21306</v>
      </c>
      <c r="AU2" s="208" t="s">
        <v>21306</v>
      </c>
      <c r="AV2" s="208" t="s">
        <v>21303</v>
      </c>
      <c r="AW2" s="208" t="s">
        <v>21303</v>
      </c>
      <c r="AX2" s="208" t="s">
        <v>21303</v>
      </c>
      <c r="AY2" s="208" t="s">
        <v>21303</v>
      </c>
      <c r="AZ2" s="208" t="s">
        <v>21288</v>
      </c>
      <c r="BA2" s="208" t="s">
        <v>21288</v>
      </c>
      <c r="BB2" s="208" t="s">
        <v>21303</v>
      </c>
      <c r="BC2" s="208" t="s">
        <v>21303</v>
      </c>
      <c r="BD2" s="208" t="s">
        <v>21303</v>
      </c>
      <c r="BE2" s="208" t="s">
        <v>21303</v>
      </c>
      <c r="BF2" s="208" t="s">
        <v>21310</v>
      </c>
      <c r="BG2" s="208" t="s">
        <v>21311</v>
      </c>
      <c r="BH2" s="208" t="s">
        <v>21311</v>
      </c>
      <c r="BI2" s="208" t="s">
        <v>21303</v>
      </c>
      <c r="BJ2" s="208" t="s">
        <v>21303</v>
      </c>
      <c r="BK2" s="208" t="s">
        <v>21303</v>
      </c>
      <c r="BL2" s="208" t="s">
        <v>21303</v>
      </c>
      <c r="BM2" s="208" t="s">
        <v>21312</v>
      </c>
      <c r="BN2" s="208" t="s">
        <v>21312</v>
      </c>
      <c r="BO2" s="208" t="s">
        <v>21303</v>
      </c>
      <c r="BP2" s="208" t="s">
        <v>21303</v>
      </c>
      <c r="BQ2" s="208" t="s">
        <v>21303</v>
      </c>
      <c r="BR2" s="208" t="s">
        <v>21303</v>
      </c>
      <c r="BS2" s="208">
        <v>3</v>
      </c>
      <c r="BT2" s="208">
        <v>3</v>
      </c>
      <c r="BU2" s="208">
        <v>0</v>
      </c>
      <c r="BV2" s="208">
        <v>0</v>
      </c>
      <c r="BW2" s="208">
        <v>0</v>
      </c>
      <c r="BX2" s="208">
        <v>0</v>
      </c>
      <c r="BY2" s="208" t="s">
        <v>21313</v>
      </c>
      <c r="BZ2" s="208">
        <v>1</v>
      </c>
      <c r="CA2" s="208">
        <v>1</v>
      </c>
      <c r="CB2" s="208">
        <v>1</v>
      </c>
      <c r="CC2" s="208">
        <v>0</v>
      </c>
      <c r="CD2" s="208">
        <v>0</v>
      </c>
      <c r="CE2" s="208">
        <v>0</v>
      </c>
      <c r="CF2" s="208" t="s">
        <v>21313</v>
      </c>
      <c r="CG2" s="208">
        <v>1</v>
      </c>
      <c r="CH2" s="208">
        <v>1</v>
      </c>
      <c r="CI2" s="208">
        <v>1</v>
      </c>
      <c r="CJ2" s="208">
        <v>0</v>
      </c>
      <c r="CK2" s="208">
        <v>0</v>
      </c>
      <c r="CL2" s="208">
        <v>0</v>
      </c>
      <c r="CM2" s="208" t="s">
        <v>21303</v>
      </c>
      <c r="CN2" s="208">
        <v>0</v>
      </c>
      <c r="CO2" s="208">
        <v>0</v>
      </c>
      <c r="CP2" s="208">
        <v>0</v>
      </c>
      <c r="CQ2" s="208">
        <v>0</v>
      </c>
      <c r="CR2" s="208">
        <v>0</v>
      </c>
      <c r="CS2" s="208">
        <v>0</v>
      </c>
      <c r="CT2" s="208" t="s">
        <v>21303</v>
      </c>
      <c r="CU2" s="208">
        <v>0</v>
      </c>
      <c r="CV2" s="208">
        <v>0</v>
      </c>
      <c r="CW2" s="208">
        <v>0</v>
      </c>
      <c r="CX2" s="208">
        <v>0</v>
      </c>
      <c r="CY2" s="208">
        <v>0</v>
      </c>
      <c r="CZ2" s="208">
        <v>0</v>
      </c>
      <c r="DA2" s="208" t="s">
        <v>21303</v>
      </c>
      <c r="DB2" s="208">
        <v>0</v>
      </c>
      <c r="DC2" s="208">
        <v>0</v>
      </c>
      <c r="DD2" s="208">
        <v>0</v>
      </c>
      <c r="DE2" s="208">
        <v>0</v>
      </c>
      <c r="DF2" s="208">
        <v>0</v>
      </c>
      <c r="DG2" s="208">
        <v>0</v>
      </c>
      <c r="DH2" s="208" t="s">
        <v>21303</v>
      </c>
      <c r="DI2" s="208">
        <v>0</v>
      </c>
      <c r="DJ2" s="208">
        <v>0</v>
      </c>
      <c r="DK2" s="208">
        <v>0</v>
      </c>
      <c r="DL2" s="208">
        <v>0</v>
      </c>
      <c r="DM2" s="208">
        <v>0</v>
      </c>
      <c r="DN2" s="208">
        <v>0</v>
      </c>
      <c r="DO2" s="208" t="s">
        <v>21314</v>
      </c>
      <c r="DP2" s="208">
        <v>80</v>
      </c>
      <c r="DQ2" s="208">
        <v>80</v>
      </c>
      <c r="DR2" s="208">
        <v>80</v>
      </c>
      <c r="DS2" s="208">
        <v>0</v>
      </c>
      <c r="DT2" s="208">
        <v>0</v>
      </c>
      <c r="DU2" s="208">
        <v>0</v>
      </c>
      <c r="DV2" s="208" t="s">
        <v>21315</v>
      </c>
      <c r="DW2" s="208">
        <v>80</v>
      </c>
      <c r="DX2" s="208" t="s">
        <v>21314</v>
      </c>
      <c r="DY2" s="208">
        <v>80</v>
      </c>
      <c r="DZ2" s="208">
        <v>80</v>
      </c>
      <c r="EA2" s="208">
        <v>80</v>
      </c>
      <c r="EB2" s="208">
        <v>0</v>
      </c>
      <c r="EC2" s="208">
        <v>0</v>
      </c>
      <c r="ED2" s="208">
        <v>0</v>
      </c>
      <c r="EE2" s="208" t="s">
        <v>21315</v>
      </c>
      <c r="EF2" s="208">
        <v>80</v>
      </c>
      <c r="EG2" s="208" t="s">
        <v>21303</v>
      </c>
      <c r="EH2" s="208">
        <v>0</v>
      </c>
      <c r="EI2" s="208">
        <v>0</v>
      </c>
      <c r="EJ2" s="208">
        <v>0</v>
      </c>
      <c r="EK2" s="208">
        <v>0</v>
      </c>
      <c r="EL2" s="208">
        <v>0</v>
      </c>
      <c r="EM2" s="208">
        <v>0</v>
      </c>
      <c r="EN2" s="208" t="s">
        <v>21303</v>
      </c>
      <c r="EO2" s="208">
        <v>0</v>
      </c>
      <c r="EP2" s="208" t="s">
        <v>21303</v>
      </c>
      <c r="EQ2" s="208">
        <v>0</v>
      </c>
      <c r="ER2" s="208">
        <v>0</v>
      </c>
      <c r="ES2" s="208">
        <v>0</v>
      </c>
      <c r="ET2" s="208">
        <v>0</v>
      </c>
      <c r="EU2" s="208">
        <v>0</v>
      </c>
      <c r="EV2" s="208">
        <v>0</v>
      </c>
      <c r="EW2" s="208" t="s">
        <v>21303</v>
      </c>
      <c r="EX2" s="208">
        <v>0</v>
      </c>
      <c r="EY2" s="208" t="s">
        <v>21303</v>
      </c>
      <c r="EZ2" s="208">
        <v>0</v>
      </c>
      <c r="FA2" s="208">
        <v>0</v>
      </c>
      <c r="FB2" s="208">
        <v>0</v>
      </c>
      <c r="FC2" s="208">
        <v>0</v>
      </c>
      <c r="FD2" s="208">
        <v>0</v>
      </c>
      <c r="FE2" s="208">
        <v>0</v>
      </c>
      <c r="FF2" s="208" t="s">
        <v>21303</v>
      </c>
      <c r="FG2" s="208">
        <v>0</v>
      </c>
      <c r="FH2" s="208" t="s">
        <v>21303</v>
      </c>
      <c r="FI2" s="208">
        <v>0</v>
      </c>
      <c r="FJ2" s="208">
        <v>0</v>
      </c>
      <c r="FK2" s="208">
        <v>0</v>
      </c>
      <c r="FL2" s="208">
        <v>0</v>
      </c>
      <c r="FM2" s="208">
        <v>0</v>
      </c>
      <c r="FN2" s="208">
        <v>0</v>
      </c>
      <c r="FO2" s="208" t="s">
        <v>21303</v>
      </c>
      <c r="FP2" s="208">
        <v>0</v>
      </c>
      <c r="FQ2" s="208">
        <v>80</v>
      </c>
      <c r="FR2" s="208" t="s">
        <v>19816</v>
      </c>
      <c r="FS2" s="208" t="s">
        <v>21316</v>
      </c>
      <c r="FT2" s="208" t="s">
        <v>21303</v>
      </c>
      <c r="FU2" s="208" t="s">
        <v>21303</v>
      </c>
      <c r="FV2" s="208" t="s">
        <v>21303</v>
      </c>
      <c r="FW2" s="208" t="s">
        <v>21303</v>
      </c>
      <c r="FX2" s="208" t="s">
        <v>21317</v>
      </c>
      <c r="FY2" s="208">
        <v>26</v>
      </c>
      <c r="FZ2" s="208">
        <v>26</v>
      </c>
      <c r="GA2" s="208">
        <v>26</v>
      </c>
      <c r="GB2" s="208">
        <v>0</v>
      </c>
      <c r="GC2" s="208">
        <v>0</v>
      </c>
      <c r="GD2" s="208">
        <v>0</v>
      </c>
      <c r="GE2" s="208" t="s">
        <v>21318</v>
      </c>
      <c r="GF2" s="208" t="s">
        <v>21317</v>
      </c>
      <c r="GG2" s="208">
        <v>26</v>
      </c>
      <c r="GH2" s="208">
        <v>26</v>
      </c>
      <c r="GI2" s="208">
        <v>26</v>
      </c>
      <c r="GJ2" s="208">
        <v>0</v>
      </c>
      <c r="GK2" s="208">
        <v>0</v>
      </c>
      <c r="GL2" s="208">
        <v>0</v>
      </c>
      <c r="GM2" s="208" t="s">
        <v>21318</v>
      </c>
      <c r="GN2" s="208" t="s">
        <v>21303</v>
      </c>
      <c r="GO2" s="208">
        <v>0</v>
      </c>
      <c r="GP2" s="208">
        <v>0</v>
      </c>
      <c r="GQ2" s="208">
        <v>0</v>
      </c>
      <c r="GR2" s="208">
        <v>0</v>
      </c>
      <c r="GS2" s="208">
        <v>0</v>
      </c>
      <c r="GT2" s="208">
        <v>0</v>
      </c>
      <c r="GU2" s="208" t="s">
        <v>21303</v>
      </c>
      <c r="GV2" s="208" t="s">
        <v>21303</v>
      </c>
      <c r="GW2" s="208">
        <v>0</v>
      </c>
      <c r="GX2" s="208">
        <v>0</v>
      </c>
      <c r="GY2" s="208">
        <v>0</v>
      </c>
      <c r="GZ2" s="208">
        <v>0</v>
      </c>
      <c r="HA2" s="208">
        <v>0</v>
      </c>
      <c r="HB2" s="208">
        <v>0</v>
      </c>
      <c r="HC2" s="208" t="s">
        <v>21303</v>
      </c>
      <c r="HD2" s="208" t="s">
        <v>21303</v>
      </c>
      <c r="HE2" s="208">
        <v>0</v>
      </c>
      <c r="HF2" s="208">
        <v>0</v>
      </c>
      <c r="HG2" s="208">
        <v>0</v>
      </c>
      <c r="HH2" s="208">
        <v>0</v>
      </c>
      <c r="HI2" s="208">
        <v>0</v>
      </c>
      <c r="HJ2" s="208">
        <v>0</v>
      </c>
      <c r="HK2" s="208" t="s">
        <v>21303</v>
      </c>
      <c r="HL2" s="208" t="s">
        <v>21303</v>
      </c>
      <c r="HM2" s="208">
        <v>0</v>
      </c>
      <c r="HN2" s="208">
        <v>0</v>
      </c>
      <c r="HO2" s="208">
        <v>0</v>
      </c>
      <c r="HP2" s="208">
        <v>0</v>
      </c>
      <c r="HQ2" s="208">
        <v>0</v>
      </c>
      <c r="HR2" s="208">
        <v>0</v>
      </c>
      <c r="HS2" s="208" t="s">
        <v>21303</v>
      </c>
      <c r="HT2" s="208" t="s">
        <v>21319</v>
      </c>
      <c r="HU2" s="208">
        <v>26</v>
      </c>
      <c r="HV2" s="208">
        <v>26</v>
      </c>
      <c r="HW2" s="208">
        <v>0</v>
      </c>
      <c r="HX2" s="208">
        <v>0</v>
      </c>
      <c r="HY2" s="208">
        <v>0</v>
      </c>
      <c r="HZ2" s="208">
        <v>0</v>
      </c>
      <c r="IA2" s="600">
        <v>26</v>
      </c>
      <c r="IB2" s="600">
        <v>8</v>
      </c>
      <c r="IC2" s="343" t="s">
        <v>21035</v>
      </c>
      <c r="ID2" s="343" t="s">
        <v>3599</v>
      </c>
      <c r="IE2" s="343" t="s">
        <v>21320</v>
      </c>
      <c r="IF2" s="343" t="s">
        <v>21321</v>
      </c>
      <c r="IG2" s="383">
        <v>43748</v>
      </c>
      <c r="IH2" s="383">
        <v>45575</v>
      </c>
      <c r="II2" s="208">
        <v>46</v>
      </c>
      <c r="IJ2" s="283">
        <v>46</v>
      </c>
    </row>
    <row r="3" ht="102">
      <c r="A3" s="207">
        <v>2</v>
      </c>
      <c r="B3" s="343" t="s">
        <v>21287</v>
      </c>
      <c r="C3" s="343" t="s">
        <v>21288</v>
      </c>
      <c r="D3" s="600">
        <v>128173</v>
      </c>
      <c r="E3" s="317" t="s">
        <v>21100</v>
      </c>
      <c r="F3" s="207" t="s">
        <v>20859</v>
      </c>
      <c r="G3" s="600">
        <v>106.678771</v>
      </c>
      <c r="H3" s="600">
        <v>20.85682</v>
      </c>
      <c r="I3" s="207">
        <v>1</v>
      </c>
      <c r="J3" s="207">
        <v>2</v>
      </c>
      <c r="K3" s="207" t="s">
        <v>21289</v>
      </c>
      <c r="L3" s="207" t="s">
        <v>21322</v>
      </c>
      <c r="M3" s="207" t="s">
        <v>21323</v>
      </c>
      <c r="N3" s="207" t="s">
        <v>21292</v>
      </c>
      <c r="O3" s="207" t="s">
        <v>21293</v>
      </c>
      <c r="P3" s="207" t="s">
        <v>21294</v>
      </c>
      <c r="Q3" s="207" t="s">
        <v>21295</v>
      </c>
      <c r="R3" s="207" t="s">
        <v>21296</v>
      </c>
      <c r="S3" s="364" t="b">
        <v>1</v>
      </c>
      <c r="T3" s="207" t="s">
        <v>21101</v>
      </c>
      <c r="U3" s="207">
        <v>0</v>
      </c>
      <c r="V3" s="207" t="s">
        <v>21297</v>
      </c>
      <c r="W3" s="207" t="s">
        <v>21102</v>
      </c>
      <c r="X3" s="209" t="s">
        <v>21298</v>
      </c>
      <c r="Y3" s="207" t="b">
        <v>0</v>
      </c>
      <c r="Z3" s="364" t="b">
        <v>0</v>
      </c>
      <c r="AA3" s="600">
        <v>26</v>
      </c>
      <c r="AB3" s="364" t="b">
        <v>1</v>
      </c>
      <c r="AC3" s="600">
        <v>21</v>
      </c>
      <c r="AD3" s="207" t="b">
        <v>0</v>
      </c>
      <c r="AE3" s="207" t="s">
        <v>21299</v>
      </c>
      <c r="AF3" s="207" t="s">
        <v>21300</v>
      </c>
      <c r="AG3" s="343" t="s">
        <v>21301</v>
      </c>
      <c r="AH3" s="343" t="s">
        <v>21302</v>
      </c>
      <c r="AI3" s="343" t="s">
        <v>21054</v>
      </c>
      <c r="AJ3" s="343" t="s">
        <v>21303</v>
      </c>
      <c r="AK3" s="343" t="s">
        <v>21304</v>
      </c>
      <c r="AL3" s="208"/>
      <c r="AM3" s="208" t="s">
        <v>21305</v>
      </c>
      <c r="AN3" s="208" t="s">
        <v>21306</v>
      </c>
      <c r="AO3" s="207">
        <v>4</v>
      </c>
      <c r="AP3" s="287" t="s">
        <v>21307</v>
      </c>
      <c r="AQ3" s="448" t="s">
        <v>21308</v>
      </c>
      <c r="AR3" s="448" t="s">
        <v>21324</v>
      </c>
      <c r="AS3" s="449" t="s">
        <v>7600</v>
      </c>
      <c r="AT3" s="208" t="s">
        <v>21306</v>
      </c>
      <c r="AU3" s="208" t="s">
        <v>21306</v>
      </c>
      <c r="AV3" s="208" t="s">
        <v>21303</v>
      </c>
      <c r="AW3" s="208" t="s">
        <v>21303</v>
      </c>
      <c r="AX3" s="208" t="s">
        <v>21303</v>
      </c>
      <c r="AY3" s="208" t="s">
        <v>21303</v>
      </c>
      <c r="AZ3" s="208" t="s">
        <v>21288</v>
      </c>
      <c r="BA3" s="208" t="s">
        <v>21288</v>
      </c>
      <c r="BB3" s="208" t="s">
        <v>21303</v>
      </c>
      <c r="BC3" s="208" t="s">
        <v>21303</v>
      </c>
      <c r="BD3" s="208" t="s">
        <v>21303</v>
      </c>
      <c r="BE3" s="208" t="s">
        <v>21303</v>
      </c>
      <c r="BF3" s="208" t="s">
        <v>21310</v>
      </c>
      <c r="BG3" s="208" t="s">
        <v>21325</v>
      </c>
      <c r="BH3" s="208" t="s">
        <v>21325</v>
      </c>
      <c r="BI3" s="208" t="s">
        <v>21303</v>
      </c>
      <c r="BJ3" s="208" t="s">
        <v>21303</v>
      </c>
      <c r="BK3" s="208" t="s">
        <v>21303</v>
      </c>
      <c r="BL3" s="208" t="s">
        <v>21303</v>
      </c>
      <c r="BM3" s="208" t="s">
        <v>21326</v>
      </c>
      <c r="BN3" s="208" t="s">
        <v>21326</v>
      </c>
      <c r="BO3" s="208" t="s">
        <v>21303</v>
      </c>
      <c r="BP3" s="208" t="s">
        <v>21303</v>
      </c>
      <c r="BQ3" s="208" t="s">
        <v>21303</v>
      </c>
      <c r="BR3" s="208" t="s">
        <v>21303</v>
      </c>
      <c r="BS3" s="208">
        <v>3</v>
      </c>
      <c r="BT3" s="208">
        <v>3</v>
      </c>
      <c r="BU3" s="208">
        <v>0</v>
      </c>
      <c r="BV3" s="208">
        <v>0</v>
      </c>
      <c r="BW3" s="208">
        <v>0</v>
      </c>
      <c r="BX3" s="208">
        <v>0</v>
      </c>
      <c r="BY3" s="208" t="s">
        <v>21313</v>
      </c>
      <c r="BZ3" s="208">
        <v>1</v>
      </c>
      <c r="CA3" s="208">
        <v>1</v>
      </c>
      <c r="CB3" s="208">
        <v>1</v>
      </c>
      <c r="CC3" s="208">
        <v>0</v>
      </c>
      <c r="CD3" s="208">
        <v>0</v>
      </c>
      <c r="CE3" s="208">
        <v>0</v>
      </c>
      <c r="CF3" s="208" t="s">
        <v>21313</v>
      </c>
      <c r="CG3" s="208">
        <v>1</v>
      </c>
      <c r="CH3" s="208">
        <v>1</v>
      </c>
      <c r="CI3" s="208">
        <v>1</v>
      </c>
      <c r="CJ3" s="208">
        <v>0</v>
      </c>
      <c r="CK3" s="208">
        <v>0</v>
      </c>
      <c r="CL3" s="208">
        <v>0</v>
      </c>
      <c r="CM3" s="208" t="s">
        <v>21303</v>
      </c>
      <c r="CN3" s="208">
        <v>0</v>
      </c>
      <c r="CO3" s="208">
        <v>0</v>
      </c>
      <c r="CP3" s="208">
        <v>0</v>
      </c>
      <c r="CQ3" s="208">
        <v>0</v>
      </c>
      <c r="CR3" s="208">
        <v>0</v>
      </c>
      <c r="CS3" s="208">
        <v>0</v>
      </c>
      <c r="CT3" s="208" t="s">
        <v>21303</v>
      </c>
      <c r="CU3" s="208">
        <v>0</v>
      </c>
      <c r="CV3" s="208">
        <v>0</v>
      </c>
      <c r="CW3" s="208">
        <v>0</v>
      </c>
      <c r="CX3" s="208">
        <v>0</v>
      </c>
      <c r="CY3" s="208">
        <v>0</v>
      </c>
      <c r="CZ3" s="208">
        <v>0</v>
      </c>
      <c r="DA3" s="208" t="s">
        <v>21303</v>
      </c>
      <c r="DB3" s="208">
        <v>0</v>
      </c>
      <c r="DC3" s="208">
        <v>0</v>
      </c>
      <c r="DD3" s="208">
        <v>0</v>
      </c>
      <c r="DE3" s="208">
        <v>0</v>
      </c>
      <c r="DF3" s="208">
        <v>0</v>
      </c>
      <c r="DG3" s="208">
        <v>0</v>
      </c>
      <c r="DH3" s="208" t="s">
        <v>21303</v>
      </c>
      <c r="DI3" s="208">
        <v>0</v>
      </c>
      <c r="DJ3" s="208">
        <v>0</v>
      </c>
      <c r="DK3" s="208">
        <v>0</v>
      </c>
      <c r="DL3" s="208">
        <v>0</v>
      </c>
      <c r="DM3" s="208">
        <v>0</v>
      </c>
      <c r="DN3" s="208">
        <v>0</v>
      </c>
      <c r="DO3" s="208" t="s">
        <v>21314</v>
      </c>
      <c r="DP3" s="208">
        <v>80</v>
      </c>
      <c r="DQ3" s="208">
        <v>80</v>
      </c>
      <c r="DR3" s="208">
        <v>80</v>
      </c>
      <c r="DS3" s="208">
        <v>0</v>
      </c>
      <c r="DT3" s="208">
        <v>0</v>
      </c>
      <c r="DU3" s="208">
        <v>0</v>
      </c>
      <c r="DV3" s="208" t="s">
        <v>21315</v>
      </c>
      <c r="DW3" s="208">
        <v>80</v>
      </c>
      <c r="DX3" s="208" t="s">
        <v>21314</v>
      </c>
      <c r="DY3" s="208">
        <v>80</v>
      </c>
      <c r="DZ3" s="208">
        <v>80</v>
      </c>
      <c r="EA3" s="208">
        <v>80</v>
      </c>
      <c r="EB3" s="208">
        <v>0</v>
      </c>
      <c r="EC3" s="208">
        <v>0</v>
      </c>
      <c r="ED3" s="208">
        <v>0</v>
      </c>
      <c r="EE3" s="208" t="s">
        <v>21315</v>
      </c>
      <c r="EF3" s="208">
        <v>80</v>
      </c>
      <c r="EG3" s="208" t="s">
        <v>21303</v>
      </c>
      <c r="EH3" s="208">
        <v>0</v>
      </c>
      <c r="EI3" s="208">
        <v>0</v>
      </c>
      <c r="EJ3" s="208">
        <v>0</v>
      </c>
      <c r="EK3" s="208">
        <v>0</v>
      </c>
      <c r="EL3" s="208">
        <v>0</v>
      </c>
      <c r="EM3" s="208">
        <v>0</v>
      </c>
      <c r="EN3" s="208" t="s">
        <v>21303</v>
      </c>
      <c r="EO3" s="208">
        <v>0</v>
      </c>
      <c r="EP3" s="208" t="s">
        <v>21303</v>
      </c>
      <c r="EQ3" s="208">
        <v>0</v>
      </c>
      <c r="ER3" s="208">
        <v>0</v>
      </c>
      <c r="ES3" s="208">
        <v>0</v>
      </c>
      <c r="ET3" s="208">
        <v>0</v>
      </c>
      <c r="EU3" s="208">
        <v>0</v>
      </c>
      <c r="EV3" s="208">
        <v>0</v>
      </c>
      <c r="EW3" s="208" t="s">
        <v>21303</v>
      </c>
      <c r="EX3" s="208">
        <v>0</v>
      </c>
      <c r="EY3" s="208" t="s">
        <v>21303</v>
      </c>
      <c r="EZ3" s="208">
        <v>0</v>
      </c>
      <c r="FA3" s="208">
        <v>0</v>
      </c>
      <c r="FB3" s="208">
        <v>0</v>
      </c>
      <c r="FC3" s="208">
        <v>0</v>
      </c>
      <c r="FD3" s="208">
        <v>0</v>
      </c>
      <c r="FE3" s="208">
        <v>0</v>
      </c>
      <c r="FF3" s="208" t="s">
        <v>21303</v>
      </c>
      <c r="FG3" s="208">
        <v>0</v>
      </c>
      <c r="FH3" s="208" t="s">
        <v>21303</v>
      </c>
      <c r="FI3" s="208">
        <v>0</v>
      </c>
      <c r="FJ3" s="208">
        <v>0</v>
      </c>
      <c r="FK3" s="208">
        <v>0</v>
      </c>
      <c r="FL3" s="208">
        <v>0</v>
      </c>
      <c r="FM3" s="208">
        <v>0</v>
      </c>
      <c r="FN3" s="208">
        <v>0</v>
      </c>
      <c r="FO3" s="208" t="s">
        <v>21303</v>
      </c>
      <c r="FP3" s="208">
        <v>0</v>
      </c>
      <c r="FQ3" s="208">
        <v>80</v>
      </c>
      <c r="FR3" s="208" t="s">
        <v>19816</v>
      </c>
      <c r="FS3" s="208" t="s">
        <v>21316</v>
      </c>
      <c r="FT3" s="208" t="s">
        <v>21303</v>
      </c>
      <c r="FU3" s="208" t="s">
        <v>21303</v>
      </c>
      <c r="FV3" s="208" t="s">
        <v>21303</v>
      </c>
      <c r="FW3" s="208" t="s">
        <v>21303</v>
      </c>
      <c r="FX3" s="208" t="s">
        <v>21317</v>
      </c>
      <c r="FY3" s="208">
        <v>26</v>
      </c>
      <c r="FZ3" s="208">
        <v>26</v>
      </c>
      <c r="GA3" s="208">
        <v>26</v>
      </c>
      <c r="GB3" s="208">
        <v>0</v>
      </c>
      <c r="GC3" s="208">
        <v>0</v>
      </c>
      <c r="GD3" s="208">
        <v>0</v>
      </c>
      <c r="GE3" s="208" t="s">
        <v>21318</v>
      </c>
      <c r="GF3" s="208" t="s">
        <v>21317</v>
      </c>
      <c r="GG3" s="208">
        <v>26</v>
      </c>
      <c r="GH3" s="208">
        <v>26</v>
      </c>
      <c r="GI3" s="208">
        <v>26</v>
      </c>
      <c r="GJ3" s="208">
        <v>0</v>
      </c>
      <c r="GK3" s="208">
        <v>0</v>
      </c>
      <c r="GL3" s="208">
        <v>0</v>
      </c>
      <c r="GM3" s="208" t="s">
        <v>21318</v>
      </c>
      <c r="GN3" s="208" t="s">
        <v>21303</v>
      </c>
      <c r="GO3" s="208">
        <v>0</v>
      </c>
      <c r="GP3" s="208">
        <v>0</v>
      </c>
      <c r="GQ3" s="208">
        <v>0</v>
      </c>
      <c r="GR3" s="208">
        <v>0</v>
      </c>
      <c r="GS3" s="208">
        <v>0</v>
      </c>
      <c r="GT3" s="208">
        <v>0</v>
      </c>
      <c r="GU3" s="208" t="s">
        <v>21303</v>
      </c>
      <c r="GV3" s="208" t="s">
        <v>21303</v>
      </c>
      <c r="GW3" s="208">
        <v>0</v>
      </c>
      <c r="GX3" s="208">
        <v>0</v>
      </c>
      <c r="GY3" s="208">
        <v>0</v>
      </c>
      <c r="GZ3" s="208">
        <v>0</v>
      </c>
      <c r="HA3" s="208">
        <v>0</v>
      </c>
      <c r="HB3" s="208">
        <v>0</v>
      </c>
      <c r="HC3" s="208" t="s">
        <v>21303</v>
      </c>
      <c r="HD3" s="208" t="s">
        <v>21303</v>
      </c>
      <c r="HE3" s="208">
        <v>0</v>
      </c>
      <c r="HF3" s="208">
        <v>0</v>
      </c>
      <c r="HG3" s="208">
        <v>0</v>
      </c>
      <c r="HH3" s="208">
        <v>0</v>
      </c>
      <c r="HI3" s="208">
        <v>0</v>
      </c>
      <c r="HJ3" s="208">
        <v>0</v>
      </c>
      <c r="HK3" s="208" t="s">
        <v>21303</v>
      </c>
      <c r="HL3" s="208" t="s">
        <v>21303</v>
      </c>
      <c r="HM3" s="208">
        <v>0</v>
      </c>
      <c r="HN3" s="208">
        <v>0</v>
      </c>
      <c r="HO3" s="208">
        <v>0</v>
      </c>
      <c r="HP3" s="208">
        <v>0</v>
      </c>
      <c r="HQ3" s="208">
        <v>0</v>
      </c>
      <c r="HR3" s="208">
        <v>0</v>
      </c>
      <c r="HS3" s="208" t="s">
        <v>21303</v>
      </c>
      <c r="HT3" s="208" t="s">
        <v>21319</v>
      </c>
      <c r="HU3" s="208">
        <v>26</v>
      </c>
      <c r="HV3" s="208">
        <v>26</v>
      </c>
      <c r="HW3" s="208">
        <v>0</v>
      </c>
      <c r="HX3" s="208">
        <v>0</v>
      </c>
      <c r="HY3" s="208">
        <v>0</v>
      </c>
      <c r="HZ3" s="208">
        <v>0</v>
      </c>
      <c r="IA3" s="600">
        <v>26</v>
      </c>
      <c r="IB3" s="600">
        <v>5</v>
      </c>
      <c r="IC3" s="343" t="s">
        <v>21035</v>
      </c>
      <c r="ID3" s="343" t="s">
        <v>21327</v>
      </c>
      <c r="IE3" s="343" t="s">
        <v>21320</v>
      </c>
      <c r="IF3" s="343" t="s">
        <v>21321</v>
      </c>
      <c r="IG3" s="383">
        <v>43748</v>
      </c>
      <c r="IH3" s="383">
        <v>45575</v>
      </c>
      <c r="II3" s="208">
        <v>46</v>
      </c>
    </row>
    <row r="4" ht="102">
      <c r="A4" s="207">
        <v>3</v>
      </c>
      <c r="B4" s="343" t="s">
        <v>21287</v>
      </c>
      <c r="C4" s="343" t="s">
        <v>21288</v>
      </c>
      <c r="D4" s="600">
        <v>128167</v>
      </c>
      <c r="E4" s="317" t="s">
        <v>21103</v>
      </c>
      <c r="F4" s="207" t="s">
        <v>20859</v>
      </c>
      <c r="G4" s="600">
        <v>106.69343</v>
      </c>
      <c r="H4" s="600">
        <v>20.857695</v>
      </c>
      <c r="I4" s="207">
        <v>1</v>
      </c>
      <c r="J4" s="207">
        <v>2</v>
      </c>
      <c r="K4" s="207" t="s">
        <v>21289</v>
      </c>
      <c r="L4" s="207" t="s">
        <v>21328</v>
      </c>
      <c r="M4" s="207" t="s">
        <v>21291</v>
      </c>
      <c r="N4" s="207" t="s">
        <v>21292</v>
      </c>
      <c r="O4" s="207" t="s">
        <v>21293</v>
      </c>
      <c r="P4" s="207" t="s">
        <v>21294</v>
      </c>
      <c r="Q4" s="207" t="s">
        <v>21295</v>
      </c>
      <c r="R4" s="207" t="s">
        <v>21329</v>
      </c>
      <c r="S4" s="364" t="b">
        <v>1</v>
      </c>
      <c r="T4" s="207" t="s">
        <v>21104</v>
      </c>
      <c r="U4" s="207">
        <v>0</v>
      </c>
      <c r="V4" s="207" t="s">
        <v>21297</v>
      </c>
      <c r="W4" s="207" t="s">
        <v>21105</v>
      </c>
      <c r="X4" s="209" t="s">
        <v>21298</v>
      </c>
      <c r="Y4" s="207" t="b">
        <v>0</v>
      </c>
      <c r="Z4" s="364" t="b">
        <v>0</v>
      </c>
      <c r="AA4" s="600">
        <v>21</v>
      </c>
      <c r="AB4" s="364" t="b">
        <v>1</v>
      </c>
      <c r="AC4" s="600">
        <v>14</v>
      </c>
      <c r="AD4" s="207" t="b">
        <v>0</v>
      </c>
      <c r="AE4" s="207" t="s">
        <v>21299</v>
      </c>
      <c r="AF4" s="207" t="s">
        <v>21300</v>
      </c>
      <c r="AG4" s="343" t="s">
        <v>21301</v>
      </c>
      <c r="AH4" s="343" t="s">
        <v>21302</v>
      </c>
      <c r="AI4" s="343" t="s">
        <v>21054</v>
      </c>
      <c r="AJ4" s="343" t="s">
        <v>21303</v>
      </c>
      <c r="AK4" s="343" t="s">
        <v>21304</v>
      </c>
      <c r="AL4" s="208"/>
      <c r="AM4" s="208" t="s">
        <v>21305</v>
      </c>
      <c r="AN4" s="208" t="s">
        <v>21306</v>
      </c>
      <c r="AO4" s="207">
        <v>5</v>
      </c>
      <c r="AP4" s="287" t="s">
        <v>21307</v>
      </c>
      <c r="AQ4" s="448" t="s">
        <v>21330</v>
      </c>
      <c r="AR4" s="448" t="s">
        <v>21331</v>
      </c>
      <c r="AS4" s="449" t="s">
        <v>7600</v>
      </c>
      <c r="AT4" s="208" t="s">
        <v>21306</v>
      </c>
      <c r="AU4" s="208" t="s">
        <v>21306</v>
      </c>
      <c r="AV4" s="208" t="s">
        <v>21303</v>
      </c>
      <c r="AW4" s="208" t="s">
        <v>21303</v>
      </c>
      <c r="AX4" s="208" t="s">
        <v>21303</v>
      </c>
      <c r="AY4" s="208" t="s">
        <v>21303</v>
      </c>
      <c r="AZ4" s="208" t="s">
        <v>21288</v>
      </c>
      <c r="BA4" s="208" t="s">
        <v>21288</v>
      </c>
      <c r="BB4" s="208" t="s">
        <v>21303</v>
      </c>
      <c r="BC4" s="208" t="s">
        <v>21303</v>
      </c>
      <c r="BD4" s="208" t="s">
        <v>21303</v>
      </c>
      <c r="BE4" s="208" t="s">
        <v>21303</v>
      </c>
      <c r="BF4" s="208" t="s">
        <v>21310</v>
      </c>
      <c r="BG4" s="208" t="s">
        <v>21332</v>
      </c>
      <c r="BH4" s="208" t="s">
        <v>21332</v>
      </c>
      <c r="BI4" s="208" t="s">
        <v>21303</v>
      </c>
      <c r="BJ4" s="208" t="s">
        <v>21303</v>
      </c>
      <c r="BK4" s="208" t="s">
        <v>21303</v>
      </c>
      <c r="BL4" s="208" t="s">
        <v>21303</v>
      </c>
      <c r="BM4" s="208" t="s">
        <v>21312</v>
      </c>
      <c r="BN4" s="208" t="s">
        <v>21312</v>
      </c>
      <c r="BO4" s="208" t="s">
        <v>21303</v>
      </c>
      <c r="BP4" s="208" t="s">
        <v>21303</v>
      </c>
      <c r="BQ4" s="208" t="s">
        <v>21303</v>
      </c>
      <c r="BR4" s="208" t="s">
        <v>21303</v>
      </c>
      <c r="BS4" s="208">
        <v>3</v>
      </c>
      <c r="BT4" s="208">
        <v>3</v>
      </c>
      <c r="BU4" s="208">
        <v>0</v>
      </c>
      <c r="BV4" s="208">
        <v>0</v>
      </c>
      <c r="BW4" s="208">
        <v>0</v>
      </c>
      <c r="BX4" s="208">
        <v>0</v>
      </c>
      <c r="BY4" s="208" t="s">
        <v>21313</v>
      </c>
      <c r="BZ4" s="208">
        <v>1</v>
      </c>
      <c r="CA4" s="208">
        <v>1</v>
      </c>
      <c r="CB4" s="208">
        <v>1</v>
      </c>
      <c r="CC4" s="208">
        <v>0</v>
      </c>
      <c r="CD4" s="208">
        <v>0</v>
      </c>
      <c r="CE4" s="208">
        <v>0</v>
      </c>
      <c r="CF4" s="208" t="s">
        <v>21313</v>
      </c>
      <c r="CG4" s="208">
        <v>1</v>
      </c>
      <c r="CH4" s="208">
        <v>1</v>
      </c>
      <c r="CI4" s="208">
        <v>1</v>
      </c>
      <c r="CJ4" s="208">
        <v>0</v>
      </c>
      <c r="CK4" s="208">
        <v>0</v>
      </c>
      <c r="CL4" s="208">
        <v>0</v>
      </c>
      <c r="CM4" s="208" t="s">
        <v>21303</v>
      </c>
      <c r="CN4" s="208">
        <v>0</v>
      </c>
      <c r="CO4" s="208">
        <v>0</v>
      </c>
      <c r="CP4" s="208">
        <v>0</v>
      </c>
      <c r="CQ4" s="208">
        <v>0</v>
      </c>
      <c r="CR4" s="208">
        <v>0</v>
      </c>
      <c r="CS4" s="208">
        <v>0</v>
      </c>
      <c r="CT4" s="208" t="s">
        <v>21303</v>
      </c>
      <c r="CU4" s="208">
        <v>0</v>
      </c>
      <c r="CV4" s="208">
        <v>0</v>
      </c>
      <c r="CW4" s="208">
        <v>0</v>
      </c>
      <c r="CX4" s="208">
        <v>0</v>
      </c>
      <c r="CY4" s="208">
        <v>0</v>
      </c>
      <c r="CZ4" s="208">
        <v>0</v>
      </c>
      <c r="DA4" s="208" t="s">
        <v>21303</v>
      </c>
      <c r="DB4" s="208">
        <v>0</v>
      </c>
      <c r="DC4" s="208">
        <v>0</v>
      </c>
      <c r="DD4" s="208">
        <v>0</v>
      </c>
      <c r="DE4" s="208">
        <v>0</v>
      </c>
      <c r="DF4" s="208">
        <v>0</v>
      </c>
      <c r="DG4" s="208">
        <v>0</v>
      </c>
      <c r="DH4" s="208" t="s">
        <v>21303</v>
      </c>
      <c r="DI4" s="208">
        <v>0</v>
      </c>
      <c r="DJ4" s="208">
        <v>0</v>
      </c>
      <c r="DK4" s="208">
        <v>0</v>
      </c>
      <c r="DL4" s="208">
        <v>0</v>
      </c>
      <c r="DM4" s="208">
        <v>0</v>
      </c>
      <c r="DN4" s="208">
        <v>0</v>
      </c>
      <c r="DO4" s="208" t="s">
        <v>21314</v>
      </c>
      <c r="DP4" s="208">
        <v>80</v>
      </c>
      <c r="DQ4" s="208">
        <v>80</v>
      </c>
      <c r="DR4" s="208">
        <v>80</v>
      </c>
      <c r="DS4" s="208">
        <v>0</v>
      </c>
      <c r="DT4" s="208">
        <v>0</v>
      </c>
      <c r="DU4" s="208">
        <v>0</v>
      </c>
      <c r="DV4" s="208" t="s">
        <v>21315</v>
      </c>
      <c r="DW4" s="208">
        <v>80</v>
      </c>
      <c r="DX4" s="208" t="s">
        <v>21314</v>
      </c>
      <c r="DY4" s="208">
        <v>80</v>
      </c>
      <c r="DZ4" s="208">
        <v>80</v>
      </c>
      <c r="EA4" s="208">
        <v>80</v>
      </c>
      <c r="EB4" s="208">
        <v>0</v>
      </c>
      <c r="EC4" s="208">
        <v>0</v>
      </c>
      <c r="ED4" s="208">
        <v>0</v>
      </c>
      <c r="EE4" s="208" t="s">
        <v>21315</v>
      </c>
      <c r="EF4" s="208">
        <v>80</v>
      </c>
      <c r="EG4" s="208" t="s">
        <v>21303</v>
      </c>
      <c r="EH4" s="208">
        <v>0</v>
      </c>
      <c r="EI4" s="208">
        <v>0</v>
      </c>
      <c r="EJ4" s="208">
        <v>0</v>
      </c>
      <c r="EK4" s="208">
        <v>0</v>
      </c>
      <c r="EL4" s="208">
        <v>0</v>
      </c>
      <c r="EM4" s="208">
        <v>0</v>
      </c>
      <c r="EN4" s="208" t="s">
        <v>21303</v>
      </c>
      <c r="EO4" s="208">
        <v>0</v>
      </c>
      <c r="EP4" s="208" t="s">
        <v>21303</v>
      </c>
      <c r="EQ4" s="208">
        <v>0</v>
      </c>
      <c r="ER4" s="208">
        <v>0</v>
      </c>
      <c r="ES4" s="208">
        <v>0</v>
      </c>
      <c r="ET4" s="208">
        <v>0</v>
      </c>
      <c r="EU4" s="208">
        <v>0</v>
      </c>
      <c r="EV4" s="208">
        <v>0</v>
      </c>
      <c r="EW4" s="208" t="s">
        <v>21303</v>
      </c>
      <c r="EX4" s="208">
        <v>0</v>
      </c>
      <c r="EY4" s="208" t="s">
        <v>21303</v>
      </c>
      <c r="EZ4" s="208">
        <v>0</v>
      </c>
      <c r="FA4" s="208">
        <v>0</v>
      </c>
      <c r="FB4" s="208">
        <v>0</v>
      </c>
      <c r="FC4" s="208">
        <v>0</v>
      </c>
      <c r="FD4" s="208">
        <v>0</v>
      </c>
      <c r="FE4" s="208">
        <v>0</v>
      </c>
      <c r="FF4" s="208" t="s">
        <v>21303</v>
      </c>
      <c r="FG4" s="208">
        <v>0</v>
      </c>
      <c r="FH4" s="208" t="s">
        <v>21303</v>
      </c>
      <c r="FI4" s="208">
        <v>0</v>
      </c>
      <c r="FJ4" s="208">
        <v>0</v>
      </c>
      <c r="FK4" s="208">
        <v>0</v>
      </c>
      <c r="FL4" s="208">
        <v>0</v>
      </c>
      <c r="FM4" s="208">
        <v>0</v>
      </c>
      <c r="FN4" s="208">
        <v>0</v>
      </c>
      <c r="FO4" s="208" t="s">
        <v>21303</v>
      </c>
      <c r="FP4" s="208">
        <v>0</v>
      </c>
      <c r="FQ4" s="208">
        <v>80</v>
      </c>
      <c r="FR4" s="208" t="s">
        <v>19816</v>
      </c>
      <c r="FS4" s="208" t="s">
        <v>21316</v>
      </c>
      <c r="FT4" s="208" t="s">
        <v>21303</v>
      </c>
      <c r="FU4" s="208" t="s">
        <v>21303</v>
      </c>
      <c r="FV4" s="208" t="s">
        <v>21303</v>
      </c>
      <c r="FW4" s="208" t="s">
        <v>21303</v>
      </c>
      <c r="FX4" s="208" t="s">
        <v>21333</v>
      </c>
      <c r="FY4" s="208">
        <v>21</v>
      </c>
      <c r="FZ4" s="208">
        <v>21</v>
      </c>
      <c r="GA4" s="208">
        <v>21</v>
      </c>
      <c r="GB4" s="208">
        <v>0</v>
      </c>
      <c r="GC4" s="208">
        <v>0</v>
      </c>
      <c r="GD4" s="208">
        <v>0</v>
      </c>
      <c r="GE4" s="208" t="s">
        <v>21334</v>
      </c>
      <c r="GF4" s="208" t="s">
        <v>21335</v>
      </c>
      <c r="GG4" s="208">
        <v>22</v>
      </c>
      <c r="GH4" s="208">
        <v>22</v>
      </c>
      <c r="GI4" s="208">
        <v>22</v>
      </c>
      <c r="GJ4" s="208">
        <v>0</v>
      </c>
      <c r="GK4" s="208">
        <v>0</v>
      </c>
      <c r="GL4" s="208">
        <v>0</v>
      </c>
      <c r="GM4" s="208" t="s">
        <v>21336</v>
      </c>
      <c r="GN4" s="208" t="s">
        <v>21303</v>
      </c>
      <c r="GO4" s="208">
        <v>0</v>
      </c>
      <c r="GP4" s="208">
        <v>0</v>
      </c>
      <c r="GQ4" s="208">
        <v>0</v>
      </c>
      <c r="GR4" s="208">
        <v>0</v>
      </c>
      <c r="GS4" s="208">
        <v>0</v>
      </c>
      <c r="GT4" s="208">
        <v>0</v>
      </c>
      <c r="GU4" s="208" t="s">
        <v>21303</v>
      </c>
      <c r="GV4" s="208" t="s">
        <v>21303</v>
      </c>
      <c r="GW4" s="208">
        <v>0</v>
      </c>
      <c r="GX4" s="208">
        <v>0</v>
      </c>
      <c r="GY4" s="208">
        <v>0</v>
      </c>
      <c r="GZ4" s="208">
        <v>0</v>
      </c>
      <c r="HA4" s="208">
        <v>0</v>
      </c>
      <c r="HB4" s="208">
        <v>0</v>
      </c>
      <c r="HC4" s="208" t="s">
        <v>21303</v>
      </c>
      <c r="HD4" s="208" t="s">
        <v>21303</v>
      </c>
      <c r="HE4" s="208">
        <v>0</v>
      </c>
      <c r="HF4" s="208">
        <v>0</v>
      </c>
      <c r="HG4" s="208">
        <v>0</v>
      </c>
      <c r="HH4" s="208">
        <v>0</v>
      </c>
      <c r="HI4" s="208">
        <v>0</v>
      </c>
      <c r="HJ4" s="208">
        <v>0</v>
      </c>
      <c r="HK4" s="208" t="s">
        <v>21303</v>
      </c>
      <c r="HL4" s="208" t="s">
        <v>21303</v>
      </c>
      <c r="HM4" s="208">
        <v>0</v>
      </c>
      <c r="HN4" s="208">
        <v>0</v>
      </c>
      <c r="HO4" s="208">
        <v>0</v>
      </c>
      <c r="HP4" s="208">
        <v>0</v>
      </c>
      <c r="HQ4" s="208">
        <v>0</v>
      </c>
      <c r="HR4" s="208">
        <v>0</v>
      </c>
      <c r="HS4" s="208" t="s">
        <v>21303</v>
      </c>
      <c r="HT4" s="208" t="s">
        <v>21319</v>
      </c>
      <c r="HU4" s="208">
        <v>21</v>
      </c>
      <c r="HV4" s="208">
        <v>22</v>
      </c>
      <c r="HW4" s="208">
        <v>0</v>
      </c>
      <c r="HX4" s="208">
        <v>0</v>
      </c>
      <c r="HY4" s="208">
        <v>0</v>
      </c>
      <c r="HZ4" s="208">
        <v>0</v>
      </c>
      <c r="IA4" s="600">
        <v>21</v>
      </c>
      <c r="IB4" s="600">
        <v>7</v>
      </c>
      <c r="IC4" s="343" t="s">
        <v>21035</v>
      </c>
      <c r="ID4" s="343" t="s">
        <v>21337</v>
      </c>
      <c r="IE4" s="343" t="s">
        <v>21320</v>
      </c>
      <c r="IF4" s="343" t="s">
        <v>21321</v>
      </c>
      <c r="IG4" s="383">
        <v>43748</v>
      </c>
      <c r="IH4" s="383">
        <v>45575</v>
      </c>
      <c r="II4" s="208">
        <v>46</v>
      </c>
    </row>
    <row r="5" ht="102">
      <c r="A5" s="207">
        <v>4</v>
      </c>
      <c r="B5" s="343" t="s">
        <v>21287</v>
      </c>
      <c r="C5" s="343" t="s">
        <v>21288</v>
      </c>
      <c r="D5" s="600">
        <v>128512</v>
      </c>
      <c r="E5" s="317" t="s">
        <v>21106</v>
      </c>
      <c r="F5" s="207" t="s">
        <v>20859</v>
      </c>
      <c r="G5" s="600">
        <v>106.674985</v>
      </c>
      <c r="H5" s="600">
        <v>20.826901</v>
      </c>
      <c r="I5" s="207">
        <v>1</v>
      </c>
      <c r="J5" s="207">
        <v>2</v>
      </c>
      <c r="K5" s="207" t="s">
        <v>21289</v>
      </c>
      <c r="L5" s="207" t="s">
        <v>21338</v>
      </c>
      <c r="M5" s="207" t="s">
        <v>21291</v>
      </c>
      <c r="N5" s="207" t="s">
        <v>21292</v>
      </c>
      <c r="O5" s="207" t="s">
        <v>21293</v>
      </c>
      <c r="P5" s="207" t="s">
        <v>21294</v>
      </c>
      <c r="Q5" s="207" t="s">
        <v>21295</v>
      </c>
      <c r="R5" s="207" t="s">
        <v>21339</v>
      </c>
      <c r="S5" s="364" t="b">
        <v>1</v>
      </c>
      <c r="T5" s="207" t="s">
        <v>21107</v>
      </c>
      <c r="U5" s="207">
        <v>0</v>
      </c>
      <c r="V5" s="207" t="s">
        <v>21297</v>
      </c>
      <c r="W5" s="207" t="s">
        <v>21099</v>
      </c>
      <c r="X5" s="209" t="s">
        <v>21298</v>
      </c>
      <c r="Y5" s="207" t="b">
        <v>1</v>
      </c>
      <c r="Z5" s="364" t="b">
        <v>0</v>
      </c>
      <c r="AA5" s="600">
        <v>33</v>
      </c>
      <c r="AB5" s="364" t="b">
        <v>1</v>
      </c>
      <c r="AC5" s="600">
        <v>10</v>
      </c>
      <c r="AD5" s="207" t="b">
        <v>0</v>
      </c>
      <c r="AE5" s="207" t="s">
        <v>21299</v>
      </c>
      <c r="AF5" s="207" t="s">
        <v>21300</v>
      </c>
      <c r="AG5" s="343" t="s">
        <v>21301</v>
      </c>
      <c r="AH5" s="343" t="s">
        <v>21302</v>
      </c>
      <c r="AI5" s="343" t="s">
        <v>21054</v>
      </c>
      <c r="AJ5" s="343" t="s">
        <v>21303</v>
      </c>
      <c r="AK5" s="343" t="s">
        <v>21304</v>
      </c>
      <c r="AL5" s="208"/>
      <c r="AM5" s="208" t="s">
        <v>21305</v>
      </c>
      <c r="AN5" s="208" t="s">
        <v>21306</v>
      </c>
      <c r="AO5" s="207">
        <v>4</v>
      </c>
      <c r="AP5" s="287" t="s">
        <v>21307</v>
      </c>
      <c r="AQ5" s="448" t="s">
        <v>21340</v>
      </c>
      <c r="AR5" s="448" t="s">
        <v>21341</v>
      </c>
      <c r="AS5" s="449" t="s">
        <v>7600</v>
      </c>
      <c r="AT5" s="208" t="s">
        <v>21306</v>
      </c>
      <c r="AU5" s="208" t="s">
        <v>21306</v>
      </c>
      <c r="AV5" s="208" t="s">
        <v>21303</v>
      </c>
      <c r="AW5" s="208" t="s">
        <v>21303</v>
      </c>
      <c r="AX5" s="208" t="s">
        <v>21303</v>
      </c>
      <c r="AY5" s="208" t="s">
        <v>21303</v>
      </c>
      <c r="AZ5" s="208" t="s">
        <v>21288</v>
      </c>
      <c r="BA5" s="208" t="s">
        <v>21288</v>
      </c>
      <c r="BB5" s="208" t="s">
        <v>21303</v>
      </c>
      <c r="BC5" s="208" t="s">
        <v>21303</v>
      </c>
      <c r="BD5" s="208" t="s">
        <v>21303</v>
      </c>
      <c r="BE5" s="208" t="s">
        <v>21303</v>
      </c>
      <c r="BF5" s="208" t="s">
        <v>21310</v>
      </c>
      <c r="BG5" s="208" t="s">
        <v>21342</v>
      </c>
      <c r="BH5" s="208" t="s">
        <v>21342</v>
      </c>
      <c r="BI5" s="208" t="s">
        <v>21303</v>
      </c>
      <c r="BJ5" s="208" t="s">
        <v>21303</v>
      </c>
      <c r="BK5" s="208" t="s">
        <v>21303</v>
      </c>
      <c r="BL5" s="208" t="s">
        <v>21303</v>
      </c>
      <c r="BM5" s="208" t="s">
        <v>21312</v>
      </c>
      <c r="BN5" s="208" t="s">
        <v>21312</v>
      </c>
      <c r="BO5" s="208" t="s">
        <v>21303</v>
      </c>
      <c r="BP5" s="208" t="s">
        <v>21303</v>
      </c>
      <c r="BQ5" s="208" t="s">
        <v>21303</v>
      </c>
      <c r="BR5" s="208" t="s">
        <v>21303</v>
      </c>
      <c r="BS5" s="208">
        <v>3</v>
      </c>
      <c r="BT5" s="208">
        <v>3</v>
      </c>
      <c r="BU5" s="208">
        <v>0</v>
      </c>
      <c r="BV5" s="208">
        <v>0</v>
      </c>
      <c r="BW5" s="208">
        <v>0</v>
      </c>
      <c r="BX5" s="208">
        <v>0</v>
      </c>
      <c r="BY5" s="208" t="s">
        <v>21313</v>
      </c>
      <c r="BZ5" s="208">
        <v>1</v>
      </c>
      <c r="CA5" s="208">
        <v>1</v>
      </c>
      <c r="CB5" s="208">
        <v>1</v>
      </c>
      <c r="CC5" s="208">
        <v>0</v>
      </c>
      <c r="CD5" s="208">
        <v>0</v>
      </c>
      <c r="CE5" s="208">
        <v>0</v>
      </c>
      <c r="CF5" s="208" t="s">
        <v>21313</v>
      </c>
      <c r="CG5" s="208">
        <v>1</v>
      </c>
      <c r="CH5" s="208">
        <v>1</v>
      </c>
      <c r="CI5" s="208">
        <v>1</v>
      </c>
      <c r="CJ5" s="208">
        <v>0</v>
      </c>
      <c r="CK5" s="208">
        <v>0</v>
      </c>
      <c r="CL5" s="208">
        <v>0</v>
      </c>
      <c r="CM5" s="208" t="s">
        <v>21303</v>
      </c>
      <c r="CN5" s="208">
        <v>0</v>
      </c>
      <c r="CO5" s="208">
        <v>0</v>
      </c>
      <c r="CP5" s="208">
        <v>0</v>
      </c>
      <c r="CQ5" s="208">
        <v>0</v>
      </c>
      <c r="CR5" s="208">
        <v>0</v>
      </c>
      <c r="CS5" s="208">
        <v>0</v>
      </c>
      <c r="CT5" s="208" t="s">
        <v>21303</v>
      </c>
      <c r="CU5" s="208">
        <v>0</v>
      </c>
      <c r="CV5" s="208">
        <v>0</v>
      </c>
      <c r="CW5" s="208">
        <v>0</v>
      </c>
      <c r="CX5" s="208">
        <v>0</v>
      </c>
      <c r="CY5" s="208">
        <v>0</v>
      </c>
      <c r="CZ5" s="208">
        <v>0</v>
      </c>
      <c r="DA5" s="208" t="s">
        <v>21303</v>
      </c>
      <c r="DB5" s="208">
        <v>0</v>
      </c>
      <c r="DC5" s="208">
        <v>0</v>
      </c>
      <c r="DD5" s="208">
        <v>0</v>
      </c>
      <c r="DE5" s="208">
        <v>0</v>
      </c>
      <c r="DF5" s="208">
        <v>0</v>
      </c>
      <c r="DG5" s="208">
        <v>0</v>
      </c>
      <c r="DH5" s="208" t="s">
        <v>21303</v>
      </c>
      <c r="DI5" s="208">
        <v>0</v>
      </c>
      <c r="DJ5" s="208">
        <v>0</v>
      </c>
      <c r="DK5" s="208">
        <v>0</v>
      </c>
      <c r="DL5" s="208">
        <v>0</v>
      </c>
      <c r="DM5" s="208">
        <v>0</v>
      </c>
      <c r="DN5" s="208">
        <v>0</v>
      </c>
      <c r="DO5" s="208" t="s">
        <v>21314</v>
      </c>
      <c r="DP5" s="208">
        <v>80</v>
      </c>
      <c r="DQ5" s="208">
        <v>80</v>
      </c>
      <c r="DR5" s="208">
        <v>80</v>
      </c>
      <c r="DS5" s="208">
        <v>0</v>
      </c>
      <c r="DT5" s="208">
        <v>0</v>
      </c>
      <c r="DU5" s="208">
        <v>0</v>
      </c>
      <c r="DV5" s="208" t="s">
        <v>21315</v>
      </c>
      <c r="DW5" s="208">
        <v>80</v>
      </c>
      <c r="DX5" s="208" t="s">
        <v>21314</v>
      </c>
      <c r="DY5" s="208">
        <v>80</v>
      </c>
      <c r="DZ5" s="208">
        <v>80</v>
      </c>
      <c r="EA5" s="208">
        <v>80</v>
      </c>
      <c r="EB5" s="208">
        <v>0</v>
      </c>
      <c r="EC5" s="208">
        <v>0</v>
      </c>
      <c r="ED5" s="208">
        <v>0</v>
      </c>
      <c r="EE5" s="208" t="s">
        <v>21315</v>
      </c>
      <c r="EF5" s="208">
        <v>80</v>
      </c>
      <c r="EG5" s="208" t="s">
        <v>21303</v>
      </c>
      <c r="EH5" s="208">
        <v>0</v>
      </c>
      <c r="EI5" s="208">
        <v>0</v>
      </c>
      <c r="EJ5" s="208">
        <v>0</v>
      </c>
      <c r="EK5" s="208">
        <v>0</v>
      </c>
      <c r="EL5" s="208">
        <v>0</v>
      </c>
      <c r="EM5" s="208">
        <v>0</v>
      </c>
      <c r="EN5" s="208" t="s">
        <v>21303</v>
      </c>
      <c r="EO5" s="208">
        <v>0</v>
      </c>
      <c r="EP5" s="208" t="s">
        <v>21303</v>
      </c>
      <c r="EQ5" s="208">
        <v>0</v>
      </c>
      <c r="ER5" s="208">
        <v>0</v>
      </c>
      <c r="ES5" s="208">
        <v>0</v>
      </c>
      <c r="ET5" s="208">
        <v>0</v>
      </c>
      <c r="EU5" s="208">
        <v>0</v>
      </c>
      <c r="EV5" s="208">
        <v>0</v>
      </c>
      <c r="EW5" s="208" t="s">
        <v>21303</v>
      </c>
      <c r="EX5" s="208">
        <v>0</v>
      </c>
      <c r="EY5" s="208" t="s">
        <v>21303</v>
      </c>
      <c r="EZ5" s="208">
        <v>0</v>
      </c>
      <c r="FA5" s="208">
        <v>0</v>
      </c>
      <c r="FB5" s="208">
        <v>0</v>
      </c>
      <c r="FC5" s="208">
        <v>0</v>
      </c>
      <c r="FD5" s="208">
        <v>0</v>
      </c>
      <c r="FE5" s="208">
        <v>0</v>
      </c>
      <c r="FF5" s="208" t="s">
        <v>21303</v>
      </c>
      <c r="FG5" s="208">
        <v>0</v>
      </c>
      <c r="FH5" s="208" t="s">
        <v>21303</v>
      </c>
      <c r="FI5" s="208">
        <v>0</v>
      </c>
      <c r="FJ5" s="208">
        <v>0</v>
      </c>
      <c r="FK5" s="208">
        <v>0</v>
      </c>
      <c r="FL5" s="208">
        <v>0</v>
      </c>
      <c r="FM5" s="208">
        <v>0</v>
      </c>
      <c r="FN5" s="208">
        <v>0</v>
      </c>
      <c r="FO5" s="208" t="s">
        <v>21303</v>
      </c>
      <c r="FP5" s="208">
        <v>0</v>
      </c>
      <c r="FQ5" s="208">
        <v>80</v>
      </c>
      <c r="FR5" s="208" t="s">
        <v>19816</v>
      </c>
      <c r="FS5" s="208" t="s">
        <v>21316</v>
      </c>
      <c r="FT5" s="208" t="s">
        <v>21303</v>
      </c>
      <c r="FU5" s="208" t="s">
        <v>21303</v>
      </c>
      <c r="FV5" s="208" t="s">
        <v>21303</v>
      </c>
      <c r="FW5" s="208" t="s">
        <v>21303</v>
      </c>
      <c r="FX5" s="208" t="s">
        <v>21343</v>
      </c>
      <c r="FY5" s="208">
        <v>33</v>
      </c>
      <c r="FZ5" s="208">
        <v>33</v>
      </c>
      <c r="GA5" s="208">
        <v>33</v>
      </c>
      <c r="GB5" s="208">
        <v>0</v>
      </c>
      <c r="GC5" s="208">
        <v>0</v>
      </c>
      <c r="GD5" s="208">
        <v>0</v>
      </c>
      <c r="GE5" s="208" t="s">
        <v>21344</v>
      </c>
      <c r="GF5" s="208" t="s">
        <v>21343</v>
      </c>
      <c r="GG5" s="208">
        <v>33</v>
      </c>
      <c r="GH5" s="208">
        <v>33</v>
      </c>
      <c r="GI5" s="208">
        <v>33</v>
      </c>
      <c r="GJ5" s="208">
        <v>0</v>
      </c>
      <c r="GK5" s="208">
        <v>0</v>
      </c>
      <c r="GL5" s="208">
        <v>0</v>
      </c>
      <c r="GM5" s="208" t="s">
        <v>21344</v>
      </c>
      <c r="GN5" s="208" t="s">
        <v>21303</v>
      </c>
      <c r="GO5" s="208">
        <v>0</v>
      </c>
      <c r="GP5" s="208">
        <v>0</v>
      </c>
      <c r="GQ5" s="208">
        <v>0</v>
      </c>
      <c r="GR5" s="208">
        <v>0</v>
      </c>
      <c r="GS5" s="208">
        <v>0</v>
      </c>
      <c r="GT5" s="208">
        <v>0</v>
      </c>
      <c r="GU5" s="208" t="s">
        <v>21303</v>
      </c>
      <c r="GV5" s="208" t="s">
        <v>21303</v>
      </c>
      <c r="GW5" s="208">
        <v>0</v>
      </c>
      <c r="GX5" s="208">
        <v>0</v>
      </c>
      <c r="GY5" s="208">
        <v>0</v>
      </c>
      <c r="GZ5" s="208">
        <v>0</v>
      </c>
      <c r="HA5" s="208">
        <v>0</v>
      </c>
      <c r="HB5" s="208">
        <v>0</v>
      </c>
      <c r="HC5" s="208" t="s">
        <v>21303</v>
      </c>
      <c r="HD5" s="208" t="s">
        <v>21303</v>
      </c>
      <c r="HE5" s="208">
        <v>0</v>
      </c>
      <c r="HF5" s="208">
        <v>0</v>
      </c>
      <c r="HG5" s="208">
        <v>0</v>
      </c>
      <c r="HH5" s="208">
        <v>0</v>
      </c>
      <c r="HI5" s="208">
        <v>0</v>
      </c>
      <c r="HJ5" s="208">
        <v>0</v>
      </c>
      <c r="HK5" s="208" t="s">
        <v>21303</v>
      </c>
      <c r="HL5" s="208" t="s">
        <v>21303</v>
      </c>
      <c r="HM5" s="208">
        <v>0</v>
      </c>
      <c r="HN5" s="208">
        <v>0</v>
      </c>
      <c r="HO5" s="208">
        <v>0</v>
      </c>
      <c r="HP5" s="208">
        <v>0</v>
      </c>
      <c r="HQ5" s="208">
        <v>0</v>
      </c>
      <c r="HR5" s="208">
        <v>0</v>
      </c>
      <c r="HS5" s="208" t="s">
        <v>21303</v>
      </c>
      <c r="HT5" s="208" t="s">
        <v>21319</v>
      </c>
      <c r="HU5" s="208">
        <v>33</v>
      </c>
      <c r="HV5" s="208">
        <v>33</v>
      </c>
      <c r="HW5" s="208">
        <v>0</v>
      </c>
      <c r="HX5" s="208">
        <v>0</v>
      </c>
      <c r="HY5" s="208">
        <v>0</v>
      </c>
      <c r="HZ5" s="208">
        <v>0</v>
      </c>
      <c r="IA5" s="600">
        <v>33</v>
      </c>
      <c r="IB5" s="600">
        <v>23</v>
      </c>
      <c r="IC5" s="343" t="s">
        <v>21035</v>
      </c>
      <c r="ID5" s="343" t="s">
        <v>3601</v>
      </c>
      <c r="IE5" s="343" t="s">
        <v>21320</v>
      </c>
      <c r="IF5" s="343" t="s">
        <v>21321</v>
      </c>
      <c r="IG5" s="383">
        <v>43748</v>
      </c>
      <c r="IH5" s="383">
        <v>45575</v>
      </c>
      <c r="II5" s="208">
        <v>46</v>
      </c>
    </row>
    <row r="6" ht="102">
      <c r="A6" s="207">
        <v>5</v>
      </c>
      <c r="B6" s="343" t="s">
        <v>21287</v>
      </c>
      <c r="C6" s="343" t="s">
        <v>21288</v>
      </c>
      <c r="D6" s="600">
        <v>128041</v>
      </c>
      <c r="E6" s="317" t="s">
        <v>21108</v>
      </c>
      <c r="F6" s="207" t="s">
        <v>20859</v>
      </c>
      <c r="G6" s="600">
        <v>106.613022</v>
      </c>
      <c r="H6" s="600">
        <v>20.864554</v>
      </c>
      <c r="I6" s="207">
        <v>1</v>
      </c>
      <c r="J6" s="207">
        <v>2</v>
      </c>
      <c r="K6" s="207" t="s">
        <v>21289</v>
      </c>
      <c r="L6" s="207" t="s">
        <v>21345</v>
      </c>
      <c r="M6" s="207" t="s">
        <v>21323</v>
      </c>
      <c r="N6" s="207" t="s">
        <v>21292</v>
      </c>
      <c r="O6" s="207" t="s">
        <v>21293</v>
      </c>
      <c r="P6" s="207" t="s">
        <v>21294</v>
      </c>
      <c r="Q6" s="207" t="s">
        <v>21295</v>
      </c>
      <c r="R6" s="207" t="s">
        <v>21296</v>
      </c>
      <c r="S6" s="364" t="b">
        <v>1</v>
      </c>
      <c r="T6" s="207" t="s">
        <v>21109</v>
      </c>
      <c r="U6" s="207">
        <v>0</v>
      </c>
      <c r="V6" s="207" t="s">
        <v>21297</v>
      </c>
      <c r="W6" s="207" t="s">
        <v>21110</v>
      </c>
      <c r="X6" s="209" t="s">
        <v>21298</v>
      </c>
      <c r="Y6" s="207" t="b">
        <v>1</v>
      </c>
      <c r="Z6" s="364" t="b">
        <v>0</v>
      </c>
      <c r="AA6" s="600">
        <v>26</v>
      </c>
      <c r="AB6" s="364" t="b">
        <v>1</v>
      </c>
      <c r="AC6" s="600">
        <v>21</v>
      </c>
      <c r="AD6" s="207" t="b">
        <v>0</v>
      </c>
      <c r="AE6" s="207" t="s">
        <v>21299</v>
      </c>
      <c r="AF6" s="207" t="s">
        <v>21300</v>
      </c>
      <c r="AG6" s="343" t="s">
        <v>21301</v>
      </c>
      <c r="AH6" s="343" t="s">
        <v>21302</v>
      </c>
      <c r="AI6" s="343" t="s">
        <v>21054</v>
      </c>
      <c r="AJ6" s="343" t="s">
        <v>21303</v>
      </c>
      <c r="AK6" s="343" t="s">
        <v>21304</v>
      </c>
      <c r="AL6" s="208"/>
      <c r="AM6" s="208" t="s">
        <v>21305</v>
      </c>
      <c r="AN6" s="208" t="s">
        <v>21306</v>
      </c>
      <c r="AO6" s="207">
        <v>3</v>
      </c>
      <c r="AP6" s="287" t="s">
        <v>21307</v>
      </c>
      <c r="AQ6" s="448" t="s">
        <v>21346</v>
      </c>
      <c r="AR6" s="448" t="s">
        <v>21347</v>
      </c>
      <c r="AS6" s="449" t="s">
        <v>7600</v>
      </c>
      <c r="AT6" s="208" t="s">
        <v>21306</v>
      </c>
      <c r="AU6" s="208" t="s">
        <v>21306</v>
      </c>
      <c r="AV6" s="208" t="s">
        <v>21303</v>
      </c>
      <c r="AW6" s="208" t="s">
        <v>21303</v>
      </c>
      <c r="AX6" s="208" t="s">
        <v>21303</v>
      </c>
      <c r="AY6" s="208" t="s">
        <v>21303</v>
      </c>
      <c r="AZ6" s="208" t="s">
        <v>21288</v>
      </c>
      <c r="BA6" s="208" t="s">
        <v>21288</v>
      </c>
      <c r="BB6" s="208" t="s">
        <v>21303</v>
      </c>
      <c r="BC6" s="208" t="s">
        <v>21303</v>
      </c>
      <c r="BD6" s="208" t="s">
        <v>21303</v>
      </c>
      <c r="BE6" s="208" t="s">
        <v>21303</v>
      </c>
      <c r="BF6" s="208" t="s">
        <v>21310</v>
      </c>
      <c r="BG6" s="208" t="s">
        <v>21348</v>
      </c>
      <c r="BH6" s="208" t="s">
        <v>21348</v>
      </c>
      <c r="BI6" s="208" t="s">
        <v>21303</v>
      </c>
      <c r="BJ6" s="208" t="s">
        <v>21303</v>
      </c>
      <c r="BK6" s="208" t="s">
        <v>21303</v>
      </c>
      <c r="BL6" s="208" t="s">
        <v>21303</v>
      </c>
      <c r="BM6" s="208" t="s">
        <v>21326</v>
      </c>
      <c r="BN6" s="208" t="s">
        <v>21326</v>
      </c>
      <c r="BO6" s="208" t="s">
        <v>21303</v>
      </c>
      <c r="BP6" s="208" t="s">
        <v>21303</v>
      </c>
      <c r="BQ6" s="208" t="s">
        <v>21303</v>
      </c>
      <c r="BR6" s="208" t="s">
        <v>21303</v>
      </c>
      <c r="BS6" s="208">
        <v>3</v>
      </c>
      <c r="BT6" s="208">
        <v>3</v>
      </c>
      <c r="BU6" s="208">
        <v>0</v>
      </c>
      <c r="BV6" s="208">
        <v>0</v>
      </c>
      <c r="BW6" s="208">
        <v>0</v>
      </c>
      <c r="BX6" s="208">
        <v>0</v>
      </c>
      <c r="BY6" s="208" t="s">
        <v>21313</v>
      </c>
      <c r="BZ6" s="208">
        <v>1</v>
      </c>
      <c r="CA6" s="208">
        <v>1</v>
      </c>
      <c r="CB6" s="208">
        <v>1</v>
      </c>
      <c r="CC6" s="208">
        <v>0</v>
      </c>
      <c r="CD6" s="208">
        <v>0</v>
      </c>
      <c r="CE6" s="208">
        <v>0</v>
      </c>
      <c r="CF6" s="208" t="s">
        <v>21313</v>
      </c>
      <c r="CG6" s="208">
        <v>1</v>
      </c>
      <c r="CH6" s="208">
        <v>1</v>
      </c>
      <c r="CI6" s="208">
        <v>1</v>
      </c>
      <c r="CJ6" s="208">
        <v>0</v>
      </c>
      <c r="CK6" s="208">
        <v>0</v>
      </c>
      <c r="CL6" s="208">
        <v>0</v>
      </c>
      <c r="CM6" s="208" t="s">
        <v>21303</v>
      </c>
      <c r="CN6" s="208">
        <v>0</v>
      </c>
      <c r="CO6" s="208">
        <v>0</v>
      </c>
      <c r="CP6" s="208">
        <v>0</v>
      </c>
      <c r="CQ6" s="208">
        <v>0</v>
      </c>
      <c r="CR6" s="208">
        <v>0</v>
      </c>
      <c r="CS6" s="208">
        <v>0</v>
      </c>
      <c r="CT6" s="208" t="s">
        <v>21303</v>
      </c>
      <c r="CU6" s="208">
        <v>0</v>
      </c>
      <c r="CV6" s="208">
        <v>0</v>
      </c>
      <c r="CW6" s="208">
        <v>0</v>
      </c>
      <c r="CX6" s="208">
        <v>0</v>
      </c>
      <c r="CY6" s="208">
        <v>0</v>
      </c>
      <c r="CZ6" s="208">
        <v>0</v>
      </c>
      <c r="DA6" s="208" t="s">
        <v>21303</v>
      </c>
      <c r="DB6" s="208">
        <v>0</v>
      </c>
      <c r="DC6" s="208">
        <v>0</v>
      </c>
      <c r="DD6" s="208">
        <v>0</v>
      </c>
      <c r="DE6" s="208">
        <v>0</v>
      </c>
      <c r="DF6" s="208">
        <v>0</v>
      </c>
      <c r="DG6" s="208">
        <v>0</v>
      </c>
      <c r="DH6" s="208" t="s">
        <v>21303</v>
      </c>
      <c r="DI6" s="208">
        <v>0</v>
      </c>
      <c r="DJ6" s="208">
        <v>0</v>
      </c>
      <c r="DK6" s="208">
        <v>0</v>
      </c>
      <c r="DL6" s="208">
        <v>0</v>
      </c>
      <c r="DM6" s="208">
        <v>0</v>
      </c>
      <c r="DN6" s="208">
        <v>0</v>
      </c>
      <c r="DO6" s="208" t="s">
        <v>21314</v>
      </c>
      <c r="DP6" s="208">
        <v>80</v>
      </c>
      <c r="DQ6" s="208">
        <v>80</v>
      </c>
      <c r="DR6" s="208">
        <v>80</v>
      </c>
      <c r="DS6" s="208">
        <v>0</v>
      </c>
      <c r="DT6" s="208">
        <v>0</v>
      </c>
      <c r="DU6" s="208">
        <v>0</v>
      </c>
      <c r="DV6" s="208" t="s">
        <v>21315</v>
      </c>
      <c r="DW6" s="208">
        <v>80</v>
      </c>
      <c r="DX6" s="208" t="s">
        <v>21314</v>
      </c>
      <c r="DY6" s="208">
        <v>80</v>
      </c>
      <c r="DZ6" s="208">
        <v>80</v>
      </c>
      <c r="EA6" s="208">
        <v>80</v>
      </c>
      <c r="EB6" s="208">
        <v>0</v>
      </c>
      <c r="EC6" s="208">
        <v>0</v>
      </c>
      <c r="ED6" s="208">
        <v>0</v>
      </c>
      <c r="EE6" s="208" t="s">
        <v>21315</v>
      </c>
      <c r="EF6" s="208">
        <v>80</v>
      </c>
      <c r="EG6" s="208" t="s">
        <v>21303</v>
      </c>
      <c r="EH6" s="208">
        <v>0</v>
      </c>
      <c r="EI6" s="208">
        <v>0</v>
      </c>
      <c r="EJ6" s="208">
        <v>0</v>
      </c>
      <c r="EK6" s="208">
        <v>0</v>
      </c>
      <c r="EL6" s="208">
        <v>0</v>
      </c>
      <c r="EM6" s="208">
        <v>0</v>
      </c>
      <c r="EN6" s="208" t="s">
        <v>21303</v>
      </c>
      <c r="EO6" s="208">
        <v>0</v>
      </c>
      <c r="EP6" s="208" t="s">
        <v>21303</v>
      </c>
      <c r="EQ6" s="208">
        <v>0</v>
      </c>
      <c r="ER6" s="208">
        <v>0</v>
      </c>
      <c r="ES6" s="208">
        <v>0</v>
      </c>
      <c r="ET6" s="208">
        <v>0</v>
      </c>
      <c r="EU6" s="208">
        <v>0</v>
      </c>
      <c r="EV6" s="208">
        <v>0</v>
      </c>
      <c r="EW6" s="208" t="s">
        <v>21303</v>
      </c>
      <c r="EX6" s="208">
        <v>0</v>
      </c>
      <c r="EY6" s="208" t="s">
        <v>21303</v>
      </c>
      <c r="EZ6" s="208">
        <v>0</v>
      </c>
      <c r="FA6" s="208">
        <v>0</v>
      </c>
      <c r="FB6" s="208">
        <v>0</v>
      </c>
      <c r="FC6" s="208">
        <v>0</v>
      </c>
      <c r="FD6" s="208">
        <v>0</v>
      </c>
      <c r="FE6" s="208">
        <v>0</v>
      </c>
      <c r="FF6" s="208" t="s">
        <v>21303</v>
      </c>
      <c r="FG6" s="208">
        <v>0</v>
      </c>
      <c r="FH6" s="208" t="s">
        <v>21303</v>
      </c>
      <c r="FI6" s="208">
        <v>0</v>
      </c>
      <c r="FJ6" s="208">
        <v>0</v>
      </c>
      <c r="FK6" s="208">
        <v>0</v>
      </c>
      <c r="FL6" s="208">
        <v>0</v>
      </c>
      <c r="FM6" s="208">
        <v>0</v>
      </c>
      <c r="FN6" s="208">
        <v>0</v>
      </c>
      <c r="FO6" s="208" t="s">
        <v>21303</v>
      </c>
      <c r="FP6" s="208">
        <v>0</v>
      </c>
      <c r="FQ6" s="208">
        <v>80</v>
      </c>
      <c r="FR6" s="208" t="s">
        <v>19816</v>
      </c>
      <c r="FS6" s="208" t="s">
        <v>21316</v>
      </c>
      <c r="FT6" s="208" t="s">
        <v>21303</v>
      </c>
      <c r="FU6" s="208" t="s">
        <v>21303</v>
      </c>
      <c r="FV6" s="208" t="s">
        <v>21303</v>
      </c>
      <c r="FW6" s="208" t="s">
        <v>21303</v>
      </c>
      <c r="FX6" s="208" t="s">
        <v>21317</v>
      </c>
      <c r="FY6" s="208">
        <v>26</v>
      </c>
      <c r="FZ6" s="208">
        <v>26</v>
      </c>
      <c r="GA6" s="208">
        <v>26</v>
      </c>
      <c r="GB6" s="208">
        <v>0</v>
      </c>
      <c r="GC6" s="208">
        <v>0</v>
      </c>
      <c r="GD6" s="208">
        <v>0</v>
      </c>
      <c r="GE6" s="208" t="s">
        <v>21318</v>
      </c>
      <c r="GF6" s="208" t="s">
        <v>21317</v>
      </c>
      <c r="GG6" s="208">
        <v>26</v>
      </c>
      <c r="GH6" s="208">
        <v>26</v>
      </c>
      <c r="GI6" s="208">
        <v>26</v>
      </c>
      <c r="GJ6" s="208">
        <v>0</v>
      </c>
      <c r="GK6" s="208">
        <v>0</v>
      </c>
      <c r="GL6" s="208">
        <v>0</v>
      </c>
      <c r="GM6" s="208" t="s">
        <v>21318</v>
      </c>
      <c r="GN6" s="208" t="s">
        <v>21303</v>
      </c>
      <c r="GO6" s="208">
        <v>0</v>
      </c>
      <c r="GP6" s="208">
        <v>0</v>
      </c>
      <c r="GQ6" s="208">
        <v>0</v>
      </c>
      <c r="GR6" s="208">
        <v>0</v>
      </c>
      <c r="GS6" s="208">
        <v>0</v>
      </c>
      <c r="GT6" s="208">
        <v>0</v>
      </c>
      <c r="GU6" s="208" t="s">
        <v>21303</v>
      </c>
      <c r="GV6" s="208" t="s">
        <v>21303</v>
      </c>
      <c r="GW6" s="208">
        <v>0</v>
      </c>
      <c r="GX6" s="208">
        <v>0</v>
      </c>
      <c r="GY6" s="208">
        <v>0</v>
      </c>
      <c r="GZ6" s="208">
        <v>0</v>
      </c>
      <c r="HA6" s="208">
        <v>0</v>
      </c>
      <c r="HB6" s="208">
        <v>0</v>
      </c>
      <c r="HC6" s="208" t="s">
        <v>21303</v>
      </c>
      <c r="HD6" s="208" t="s">
        <v>21303</v>
      </c>
      <c r="HE6" s="208">
        <v>0</v>
      </c>
      <c r="HF6" s="208">
        <v>0</v>
      </c>
      <c r="HG6" s="208">
        <v>0</v>
      </c>
      <c r="HH6" s="208">
        <v>0</v>
      </c>
      <c r="HI6" s="208">
        <v>0</v>
      </c>
      <c r="HJ6" s="208">
        <v>0</v>
      </c>
      <c r="HK6" s="208" t="s">
        <v>21303</v>
      </c>
      <c r="HL6" s="208" t="s">
        <v>21303</v>
      </c>
      <c r="HM6" s="208">
        <v>0</v>
      </c>
      <c r="HN6" s="208">
        <v>0</v>
      </c>
      <c r="HO6" s="208">
        <v>0</v>
      </c>
      <c r="HP6" s="208">
        <v>0</v>
      </c>
      <c r="HQ6" s="208">
        <v>0</v>
      </c>
      <c r="HR6" s="208">
        <v>0</v>
      </c>
      <c r="HS6" s="208" t="s">
        <v>21303</v>
      </c>
      <c r="HT6" s="208" t="s">
        <v>21319</v>
      </c>
      <c r="HU6" s="208">
        <v>26</v>
      </c>
      <c r="HV6" s="208">
        <v>26</v>
      </c>
      <c r="HW6" s="208">
        <v>0</v>
      </c>
      <c r="HX6" s="208">
        <v>0</v>
      </c>
      <c r="HY6" s="208">
        <v>0</v>
      </c>
      <c r="HZ6" s="208">
        <v>0</v>
      </c>
      <c r="IA6" s="600">
        <v>26</v>
      </c>
      <c r="IB6" s="600">
        <v>5</v>
      </c>
      <c r="IC6" s="343" t="s">
        <v>21035</v>
      </c>
      <c r="ID6" s="343" t="s">
        <v>21349</v>
      </c>
      <c r="IE6" s="343" t="s">
        <v>21320</v>
      </c>
      <c r="IF6" s="343" t="s">
        <v>21321</v>
      </c>
      <c r="IG6" s="383">
        <v>43748</v>
      </c>
      <c r="IH6" s="383">
        <v>45575</v>
      </c>
      <c r="II6" s="208">
        <v>46</v>
      </c>
    </row>
    <row r="7" ht="102">
      <c r="A7" s="207">
        <v>6</v>
      </c>
      <c r="B7" s="343" t="s">
        <v>21287</v>
      </c>
      <c r="C7" s="343" t="s">
        <v>21288</v>
      </c>
      <c r="D7" s="600">
        <v>128031</v>
      </c>
      <c r="E7" s="317" t="s">
        <v>21111</v>
      </c>
      <c r="F7" s="207" t="s">
        <v>20859</v>
      </c>
      <c r="G7" s="600">
        <v>106.67062</v>
      </c>
      <c r="H7" s="600">
        <v>20.890691</v>
      </c>
      <c r="I7" s="207">
        <v>1</v>
      </c>
      <c r="J7" s="207">
        <v>2</v>
      </c>
      <c r="K7" s="207" t="s">
        <v>21289</v>
      </c>
      <c r="L7" s="207" t="s">
        <v>21350</v>
      </c>
      <c r="M7" s="207" t="s">
        <v>21323</v>
      </c>
      <c r="N7" s="207" t="s">
        <v>21292</v>
      </c>
      <c r="O7" s="207" t="s">
        <v>21293</v>
      </c>
      <c r="P7" s="207" t="s">
        <v>21294</v>
      </c>
      <c r="Q7" s="207" t="s">
        <v>21295</v>
      </c>
      <c r="R7" s="207" t="s">
        <v>21351</v>
      </c>
      <c r="S7" s="364" t="b">
        <v>1</v>
      </c>
      <c r="T7" s="207" t="s">
        <v>21112</v>
      </c>
      <c r="U7" s="207">
        <v>0</v>
      </c>
      <c r="V7" s="207" t="s">
        <v>21297</v>
      </c>
      <c r="W7" s="207" t="s">
        <v>21113</v>
      </c>
      <c r="X7" s="209" t="s">
        <v>21298</v>
      </c>
      <c r="Y7" s="207" t="b">
        <v>1</v>
      </c>
      <c r="Z7" s="364" t="b">
        <v>1</v>
      </c>
      <c r="AA7" s="600">
        <v>45</v>
      </c>
      <c r="AB7" s="364" t="b">
        <v>1</v>
      </c>
      <c r="AC7" s="600">
        <v>10</v>
      </c>
      <c r="AD7" s="207" t="b">
        <v>0</v>
      </c>
      <c r="AE7" s="207" t="s">
        <v>21299</v>
      </c>
      <c r="AF7" s="207" t="s">
        <v>21300</v>
      </c>
      <c r="AG7" s="343" t="s">
        <v>21301</v>
      </c>
      <c r="AH7" s="343" t="s">
        <v>21302</v>
      </c>
      <c r="AI7" s="343" t="s">
        <v>21054</v>
      </c>
      <c r="AJ7" s="343" t="s">
        <v>21303</v>
      </c>
      <c r="AK7" s="343" t="s">
        <v>21304</v>
      </c>
      <c r="AL7" s="208"/>
      <c r="AM7" s="208" t="s">
        <v>21305</v>
      </c>
      <c r="AN7" s="208" t="s">
        <v>21306</v>
      </c>
      <c r="AO7" s="207">
        <v>4</v>
      </c>
      <c r="AP7" s="287" t="s">
        <v>21307</v>
      </c>
      <c r="AQ7" s="448" t="s">
        <v>21352</v>
      </c>
      <c r="AR7" s="448" t="s">
        <v>21353</v>
      </c>
      <c r="AS7" s="449" t="s">
        <v>7600</v>
      </c>
      <c r="AT7" s="208" t="s">
        <v>21306</v>
      </c>
      <c r="AU7" s="208" t="s">
        <v>21306</v>
      </c>
      <c r="AV7" s="208" t="s">
        <v>21303</v>
      </c>
      <c r="AW7" s="208" t="s">
        <v>21303</v>
      </c>
      <c r="AX7" s="208" t="s">
        <v>21303</v>
      </c>
      <c r="AY7" s="208" t="s">
        <v>21303</v>
      </c>
      <c r="AZ7" s="208" t="s">
        <v>21288</v>
      </c>
      <c r="BA7" s="208" t="s">
        <v>21288</v>
      </c>
      <c r="BB7" s="208" t="s">
        <v>21303</v>
      </c>
      <c r="BC7" s="208" t="s">
        <v>21303</v>
      </c>
      <c r="BD7" s="208" t="s">
        <v>21303</v>
      </c>
      <c r="BE7" s="208" t="s">
        <v>21303</v>
      </c>
      <c r="BF7" s="208" t="s">
        <v>21310</v>
      </c>
      <c r="BG7" s="208" t="s">
        <v>21354</v>
      </c>
      <c r="BH7" s="208" t="s">
        <v>21354</v>
      </c>
      <c r="BI7" s="208" t="s">
        <v>21303</v>
      </c>
      <c r="BJ7" s="208" t="s">
        <v>21303</v>
      </c>
      <c r="BK7" s="208" t="s">
        <v>21303</v>
      </c>
      <c r="BL7" s="208" t="s">
        <v>21303</v>
      </c>
      <c r="BM7" s="208" t="s">
        <v>21326</v>
      </c>
      <c r="BN7" s="208" t="s">
        <v>21326</v>
      </c>
      <c r="BO7" s="208" t="s">
        <v>21303</v>
      </c>
      <c r="BP7" s="208" t="s">
        <v>21303</v>
      </c>
      <c r="BQ7" s="208" t="s">
        <v>21303</v>
      </c>
      <c r="BR7" s="208" t="s">
        <v>21303</v>
      </c>
      <c r="BS7" s="208">
        <v>3</v>
      </c>
      <c r="BT7" s="208">
        <v>3</v>
      </c>
      <c r="BU7" s="208">
        <v>0</v>
      </c>
      <c r="BV7" s="208">
        <v>0</v>
      </c>
      <c r="BW7" s="208">
        <v>0</v>
      </c>
      <c r="BX7" s="208">
        <v>0</v>
      </c>
      <c r="BY7" s="208" t="s">
        <v>21313</v>
      </c>
      <c r="BZ7" s="208">
        <v>1</v>
      </c>
      <c r="CA7" s="208">
        <v>1</v>
      </c>
      <c r="CB7" s="208">
        <v>1</v>
      </c>
      <c r="CC7" s="208">
        <v>0</v>
      </c>
      <c r="CD7" s="208">
        <v>0</v>
      </c>
      <c r="CE7" s="208">
        <v>0</v>
      </c>
      <c r="CF7" s="208" t="s">
        <v>21313</v>
      </c>
      <c r="CG7" s="208">
        <v>1</v>
      </c>
      <c r="CH7" s="208">
        <v>1</v>
      </c>
      <c r="CI7" s="208">
        <v>1</v>
      </c>
      <c r="CJ7" s="208">
        <v>0</v>
      </c>
      <c r="CK7" s="208">
        <v>0</v>
      </c>
      <c r="CL7" s="208">
        <v>0</v>
      </c>
      <c r="CM7" s="208" t="s">
        <v>21303</v>
      </c>
      <c r="CN7" s="208">
        <v>0</v>
      </c>
      <c r="CO7" s="208">
        <v>0</v>
      </c>
      <c r="CP7" s="208">
        <v>0</v>
      </c>
      <c r="CQ7" s="208">
        <v>0</v>
      </c>
      <c r="CR7" s="208">
        <v>0</v>
      </c>
      <c r="CS7" s="208">
        <v>0</v>
      </c>
      <c r="CT7" s="208" t="s">
        <v>21303</v>
      </c>
      <c r="CU7" s="208">
        <v>0</v>
      </c>
      <c r="CV7" s="208">
        <v>0</v>
      </c>
      <c r="CW7" s="208">
        <v>0</v>
      </c>
      <c r="CX7" s="208">
        <v>0</v>
      </c>
      <c r="CY7" s="208">
        <v>0</v>
      </c>
      <c r="CZ7" s="208">
        <v>0</v>
      </c>
      <c r="DA7" s="208" t="s">
        <v>21303</v>
      </c>
      <c r="DB7" s="208">
        <v>0</v>
      </c>
      <c r="DC7" s="208">
        <v>0</v>
      </c>
      <c r="DD7" s="208">
        <v>0</v>
      </c>
      <c r="DE7" s="208">
        <v>0</v>
      </c>
      <c r="DF7" s="208">
        <v>0</v>
      </c>
      <c r="DG7" s="208">
        <v>0</v>
      </c>
      <c r="DH7" s="208" t="s">
        <v>21303</v>
      </c>
      <c r="DI7" s="208">
        <v>0</v>
      </c>
      <c r="DJ7" s="208">
        <v>0</v>
      </c>
      <c r="DK7" s="208">
        <v>0</v>
      </c>
      <c r="DL7" s="208">
        <v>0</v>
      </c>
      <c r="DM7" s="208">
        <v>0</v>
      </c>
      <c r="DN7" s="208">
        <v>0</v>
      </c>
      <c r="DO7" s="208" t="s">
        <v>21314</v>
      </c>
      <c r="DP7" s="208">
        <v>80</v>
      </c>
      <c r="DQ7" s="208">
        <v>80</v>
      </c>
      <c r="DR7" s="208">
        <v>80</v>
      </c>
      <c r="DS7" s="208">
        <v>0</v>
      </c>
      <c r="DT7" s="208">
        <v>0</v>
      </c>
      <c r="DU7" s="208">
        <v>0</v>
      </c>
      <c r="DV7" s="208" t="s">
        <v>21315</v>
      </c>
      <c r="DW7" s="208">
        <v>80</v>
      </c>
      <c r="DX7" s="208" t="s">
        <v>21314</v>
      </c>
      <c r="DY7" s="208">
        <v>80</v>
      </c>
      <c r="DZ7" s="208">
        <v>80</v>
      </c>
      <c r="EA7" s="208">
        <v>80</v>
      </c>
      <c r="EB7" s="208">
        <v>0</v>
      </c>
      <c r="EC7" s="208">
        <v>0</v>
      </c>
      <c r="ED7" s="208">
        <v>0</v>
      </c>
      <c r="EE7" s="208" t="s">
        <v>21315</v>
      </c>
      <c r="EF7" s="208">
        <v>80</v>
      </c>
      <c r="EG7" s="208" t="s">
        <v>21303</v>
      </c>
      <c r="EH7" s="208">
        <v>0</v>
      </c>
      <c r="EI7" s="208">
        <v>0</v>
      </c>
      <c r="EJ7" s="208">
        <v>0</v>
      </c>
      <c r="EK7" s="208">
        <v>0</v>
      </c>
      <c r="EL7" s="208">
        <v>0</v>
      </c>
      <c r="EM7" s="208">
        <v>0</v>
      </c>
      <c r="EN7" s="208" t="s">
        <v>21303</v>
      </c>
      <c r="EO7" s="208">
        <v>0</v>
      </c>
      <c r="EP7" s="208" t="s">
        <v>21303</v>
      </c>
      <c r="EQ7" s="208">
        <v>0</v>
      </c>
      <c r="ER7" s="208">
        <v>0</v>
      </c>
      <c r="ES7" s="208">
        <v>0</v>
      </c>
      <c r="ET7" s="208">
        <v>0</v>
      </c>
      <c r="EU7" s="208">
        <v>0</v>
      </c>
      <c r="EV7" s="208">
        <v>0</v>
      </c>
      <c r="EW7" s="208" t="s">
        <v>21303</v>
      </c>
      <c r="EX7" s="208">
        <v>0</v>
      </c>
      <c r="EY7" s="208" t="s">
        <v>21303</v>
      </c>
      <c r="EZ7" s="208">
        <v>0</v>
      </c>
      <c r="FA7" s="208">
        <v>0</v>
      </c>
      <c r="FB7" s="208">
        <v>0</v>
      </c>
      <c r="FC7" s="208">
        <v>0</v>
      </c>
      <c r="FD7" s="208">
        <v>0</v>
      </c>
      <c r="FE7" s="208">
        <v>0</v>
      </c>
      <c r="FF7" s="208" t="s">
        <v>21303</v>
      </c>
      <c r="FG7" s="208">
        <v>0</v>
      </c>
      <c r="FH7" s="208" t="s">
        <v>21303</v>
      </c>
      <c r="FI7" s="208">
        <v>0</v>
      </c>
      <c r="FJ7" s="208">
        <v>0</v>
      </c>
      <c r="FK7" s="208">
        <v>0</v>
      </c>
      <c r="FL7" s="208">
        <v>0</v>
      </c>
      <c r="FM7" s="208">
        <v>0</v>
      </c>
      <c r="FN7" s="208">
        <v>0</v>
      </c>
      <c r="FO7" s="208" t="s">
        <v>21303</v>
      </c>
      <c r="FP7" s="208">
        <v>0</v>
      </c>
      <c r="FQ7" s="208">
        <v>80</v>
      </c>
      <c r="FR7" s="208" t="s">
        <v>19816</v>
      </c>
      <c r="FS7" s="208" t="s">
        <v>21316</v>
      </c>
      <c r="FT7" s="208" t="s">
        <v>21303</v>
      </c>
      <c r="FU7" s="208" t="s">
        <v>21303</v>
      </c>
      <c r="FV7" s="208" t="s">
        <v>21303</v>
      </c>
      <c r="FW7" s="208" t="s">
        <v>21303</v>
      </c>
      <c r="FX7" s="208" t="s">
        <v>21355</v>
      </c>
      <c r="FY7" s="208">
        <v>45</v>
      </c>
      <c r="FZ7" s="208">
        <v>45</v>
      </c>
      <c r="GA7" s="208">
        <v>45</v>
      </c>
      <c r="GB7" s="208">
        <v>0</v>
      </c>
      <c r="GC7" s="208">
        <v>0</v>
      </c>
      <c r="GD7" s="208">
        <v>0</v>
      </c>
      <c r="GE7" s="208" t="s">
        <v>21356</v>
      </c>
      <c r="GF7" s="208" t="s">
        <v>21355</v>
      </c>
      <c r="GG7" s="208">
        <v>45</v>
      </c>
      <c r="GH7" s="208">
        <v>45</v>
      </c>
      <c r="GI7" s="208">
        <v>45</v>
      </c>
      <c r="GJ7" s="208">
        <v>0</v>
      </c>
      <c r="GK7" s="208">
        <v>0</v>
      </c>
      <c r="GL7" s="208">
        <v>0</v>
      </c>
      <c r="GM7" s="208" t="s">
        <v>21356</v>
      </c>
      <c r="GN7" s="208" t="s">
        <v>21303</v>
      </c>
      <c r="GO7" s="208">
        <v>0</v>
      </c>
      <c r="GP7" s="208">
        <v>0</v>
      </c>
      <c r="GQ7" s="208">
        <v>0</v>
      </c>
      <c r="GR7" s="208">
        <v>0</v>
      </c>
      <c r="GS7" s="208">
        <v>0</v>
      </c>
      <c r="GT7" s="208">
        <v>0</v>
      </c>
      <c r="GU7" s="208" t="s">
        <v>21303</v>
      </c>
      <c r="GV7" s="208" t="s">
        <v>21303</v>
      </c>
      <c r="GW7" s="208">
        <v>0</v>
      </c>
      <c r="GX7" s="208">
        <v>0</v>
      </c>
      <c r="GY7" s="208">
        <v>0</v>
      </c>
      <c r="GZ7" s="208">
        <v>0</v>
      </c>
      <c r="HA7" s="208">
        <v>0</v>
      </c>
      <c r="HB7" s="208">
        <v>0</v>
      </c>
      <c r="HC7" s="208" t="s">
        <v>21303</v>
      </c>
      <c r="HD7" s="208" t="s">
        <v>21303</v>
      </c>
      <c r="HE7" s="208">
        <v>0</v>
      </c>
      <c r="HF7" s="208">
        <v>0</v>
      </c>
      <c r="HG7" s="208">
        <v>0</v>
      </c>
      <c r="HH7" s="208">
        <v>0</v>
      </c>
      <c r="HI7" s="208">
        <v>0</v>
      </c>
      <c r="HJ7" s="208">
        <v>0</v>
      </c>
      <c r="HK7" s="208" t="s">
        <v>21303</v>
      </c>
      <c r="HL7" s="208" t="s">
        <v>21303</v>
      </c>
      <c r="HM7" s="208">
        <v>0</v>
      </c>
      <c r="HN7" s="208">
        <v>0</v>
      </c>
      <c r="HO7" s="208">
        <v>0</v>
      </c>
      <c r="HP7" s="208">
        <v>0</v>
      </c>
      <c r="HQ7" s="208">
        <v>0</v>
      </c>
      <c r="HR7" s="208">
        <v>0</v>
      </c>
      <c r="HS7" s="208" t="s">
        <v>21303</v>
      </c>
      <c r="HT7" s="208" t="s">
        <v>21319</v>
      </c>
      <c r="HU7" s="208">
        <v>45</v>
      </c>
      <c r="HV7" s="208">
        <v>45</v>
      </c>
      <c r="HW7" s="208">
        <v>0</v>
      </c>
      <c r="HX7" s="208">
        <v>0</v>
      </c>
      <c r="HY7" s="208">
        <v>0</v>
      </c>
      <c r="HZ7" s="208">
        <v>0</v>
      </c>
      <c r="IA7" s="600">
        <v>45</v>
      </c>
      <c r="IB7" s="600">
        <v>35</v>
      </c>
      <c r="IC7" s="343" t="s">
        <v>21035</v>
      </c>
      <c r="ID7" s="343" t="s">
        <v>21357</v>
      </c>
      <c r="IE7" s="343" t="s">
        <v>21320</v>
      </c>
      <c r="IF7" s="343" t="s">
        <v>21321</v>
      </c>
      <c r="IG7" s="383">
        <v>43748</v>
      </c>
      <c r="IH7" s="383">
        <v>45575</v>
      </c>
      <c r="II7" s="208">
        <v>46</v>
      </c>
    </row>
    <row r="8" ht="102">
      <c r="A8" s="207">
        <v>7</v>
      </c>
      <c r="B8" s="343" t="s">
        <v>21287</v>
      </c>
      <c r="C8" s="343" t="s">
        <v>21288</v>
      </c>
      <c r="D8" s="600">
        <v>128142</v>
      </c>
      <c r="E8" s="317" t="s">
        <v>21114</v>
      </c>
      <c r="F8" s="207" t="s">
        <v>20859</v>
      </c>
      <c r="G8" s="600">
        <v>106.693493</v>
      </c>
      <c r="H8" s="600">
        <v>20.900186</v>
      </c>
      <c r="I8" s="207">
        <v>1</v>
      </c>
      <c r="J8" s="207">
        <v>2</v>
      </c>
      <c r="K8" s="207" t="s">
        <v>21289</v>
      </c>
      <c r="L8" s="207" t="s">
        <v>21358</v>
      </c>
      <c r="M8" s="207" t="s">
        <v>21291</v>
      </c>
      <c r="N8" s="207" t="s">
        <v>21292</v>
      </c>
      <c r="O8" s="207" t="s">
        <v>21293</v>
      </c>
      <c r="P8" s="207" t="s">
        <v>21294</v>
      </c>
      <c r="Q8" s="207" t="s">
        <v>21295</v>
      </c>
      <c r="R8" s="207" t="s">
        <v>21359</v>
      </c>
      <c r="S8" s="364" t="b">
        <v>1</v>
      </c>
      <c r="T8" s="207" t="s">
        <v>21115</v>
      </c>
      <c r="U8" s="207">
        <v>0</v>
      </c>
      <c r="V8" s="207" t="s">
        <v>21297</v>
      </c>
      <c r="W8" s="207" t="s">
        <v>21116</v>
      </c>
      <c r="X8" s="209" t="s">
        <v>21298</v>
      </c>
      <c r="Y8" s="207" t="b">
        <v>1</v>
      </c>
      <c r="Z8" s="364" t="b">
        <v>1</v>
      </c>
      <c r="AA8" s="600">
        <v>36</v>
      </c>
      <c r="AB8" s="364" t="b">
        <v>0</v>
      </c>
      <c r="AC8" s="600">
        <v>0</v>
      </c>
      <c r="AD8" s="207" t="b">
        <v>0</v>
      </c>
      <c r="AE8" s="207" t="s">
        <v>21299</v>
      </c>
      <c r="AF8" s="207" t="s">
        <v>21300</v>
      </c>
      <c r="AG8" s="343" t="s">
        <v>21301</v>
      </c>
      <c r="AH8" s="343" t="s">
        <v>21302</v>
      </c>
      <c r="AI8" s="343" t="s">
        <v>21054</v>
      </c>
      <c r="AJ8" s="343" t="s">
        <v>21303</v>
      </c>
      <c r="AK8" s="343" t="s">
        <v>21304</v>
      </c>
      <c r="AL8" s="208"/>
      <c r="AM8" s="208" t="s">
        <v>21305</v>
      </c>
      <c r="AN8" s="208" t="s">
        <v>21306</v>
      </c>
      <c r="AO8" s="207">
        <v>3</v>
      </c>
      <c r="AP8" s="287" t="s">
        <v>21307</v>
      </c>
      <c r="AQ8" s="448" t="s">
        <v>21352</v>
      </c>
      <c r="AR8" s="448" t="s">
        <v>21360</v>
      </c>
      <c r="AS8" s="449" t="s">
        <v>7600</v>
      </c>
      <c r="AT8" s="208" t="s">
        <v>21306</v>
      </c>
      <c r="AU8" s="208" t="s">
        <v>21306</v>
      </c>
      <c r="AV8" s="208" t="s">
        <v>21303</v>
      </c>
      <c r="AW8" s="208" t="s">
        <v>21303</v>
      </c>
      <c r="AX8" s="208" t="s">
        <v>21303</v>
      </c>
      <c r="AY8" s="208" t="s">
        <v>21303</v>
      </c>
      <c r="AZ8" s="208" t="s">
        <v>21288</v>
      </c>
      <c r="BA8" s="208" t="s">
        <v>21288</v>
      </c>
      <c r="BB8" s="208" t="s">
        <v>21303</v>
      </c>
      <c r="BC8" s="208" t="s">
        <v>21303</v>
      </c>
      <c r="BD8" s="208" t="s">
        <v>21303</v>
      </c>
      <c r="BE8" s="208" t="s">
        <v>21303</v>
      </c>
      <c r="BF8" s="208" t="s">
        <v>21310</v>
      </c>
      <c r="BG8" s="208" t="s">
        <v>21361</v>
      </c>
      <c r="BH8" s="208" t="s">
        <v>21361</v>
      </c>
      <c r="BI8" s="208" t="s">
        <v>21303</v>
      </c>
      <c r="BJ8" s="208" t="s">
        <v>21303</v>
      </c>
      <c r="BK8" s="208" t="s">
        <v>21303</v>
      </c>
      <c r="BL8" s="208" t="s">
        <v>21303</v>
      </c>
      <c r="BM8" s="208" t="s">
        <v>21312</v>
      </c>
      <c r="BN8" s="208" t="s">
        <v>21312</v>
      </c>
      <c r="BO8" s="208" t="s">
        <v>21303</v>
      </c>
      <c r="BP8" s="208" t="s">
        <v>21303</v>
      </c>
      <c r="BQ8" s="208" t="s">
        <v>21303</v>
      </c>
      <c r="BR8" s="208" t="s">
        <v>21303</v>
      </c>
      <c r="BS8" s="208">
        <v>3</v>
      </c>
      <c r="BT8" s="208">
        <v>3</v>
      </c>
      <c r="BU8" s="208">
        <v>0</v>
      </c>
      <c r="BV8" s="208">
        <v>0</v>
      </c>
      <c r="BW8" s="208">
        <v>0</v>
      </c>
      <c r="BX8" s="208">
        <v>0</v>
      </c>
      <c r="BY8" s="208" t="s">
        <v>21313</v>
      </c>
      <c r="BZ8" s="208">
        <v>1</v>
      </c>
      <c r="CA8" s="208">
        <v>1</v>
      </c>
      <c r="CB8" s="208">
        <v>1</v>
      </c>
      <c r="CC8" s="208">
        <v>0</v>
      </c>
      <c r="CD8" s="208">
        <v>0</v>
      </c>
      <c r="CE8" s="208">
        <v>0</v>
      </c>
      <c r="CF8" s="208" t="s">
        <v>21313</v>
      </c>
      <c r="CG8" s="208">
        <v>1</v>
      </c>
      <c r="CH8" s="208">
        <v>1</v>
      </c>
      <c r="CI8" s="208">
        <v>1</v>
      </c>
      <c r="CJ8" s="208">
        <v>0</v>
      </c>
      <c r="CK8" s="208">
        <v>0</v>
      </c>
      <c r="CL8" s="208">
        <v>0</v>
      </c>
      <c r="CM8" s="208" t="s">
        <v>21303</v>
      </c>
      <c r="CN8" s="208">
        <v>0</v>
      </c>
      <c r="CO8" s="208">
        <v>0</v>
      </c>
      <c r="CP8" s="208">
        <v>0</v>
      </c>
      <c r="CQ8" s="208">
        <v>0</v>
      </c>
      <c r="CR8" s="208">
        <v>0</v>
      </c>
      <c r="CS8" s="208">
        <v>0</v>
      </c>
      <c r="CT8" s="208" t="s">
        <v>21303</v>
      </c>
      <c r="CU8" s="208">
        <v>0</v>
      </c>
      <c r="CV8" s="208">
        <v>0</v>
      </c>
      <c r="CW8" s="208">
        <v>0</v>
      </c>
      <c r="CX8" s="208">
        <v>0</v>
      </c>
      <c r="CY8" s="208">
        <v>0</v>
      </c>
      <c r="CZ8" s="208">
        <v>0</v>
      </c>
      <c r="DA8" s="208" t="s">
        <v>21303</v>
      </c>
      <c r="DB8" s="208">
        <v>0</v>
      </c>
      <c r="DC8" s="208">
        <v>0</v>
      </c>
      <c r="DD8" s="208">
        <v>0</v>
      </c>
      <c r="DE8" s="208">
        <v>0</v>
      </c>
      <c r="DF8" s="208">
        <v>0</v>
      </c>
      <c r="DG8" s="208">
        <v>0</v>
      </c>
      <c r="DH8" s="208" t="s">
        <v>21303</v>
      </c>
      <c r="DI8" s="208">
        <v>0</v>
      </c>
      <c r="DJ8" s="208">
        <v>0</v>
      </c>
      <c r="DK8" s="208">
        <v>0</v>
      </c>
      <c r="DL8" s="208">
        <v>0</v>
      </c>
      <c r="DM8" s="208">
        <v>0</v>
      </c>
      <c r="DN8" s="208">
        <v>0</v>
      </c>
      <c r="DO8" s="208" t="s">
        <v>21314</v>
      </c>
      <c r="DP8" s="208">
        <v>80</v>
      </c>
      <c r="DQ8" s="208">
        <v>80</v>
      </c>
      <c r="DR8" s="208">
        <v>80</v>
      </c>
      <c r="DS8" s="208">
        <v>0</v>
      </c>
      <c r="DT8" s="208">
        <v>0</v>
      </c>
      <c r="DU8" s="208">
        <v>0</v>
      </c>
      <c r="DV8" s="208" t="s">
        <v>21315</v>
      </c>
      <c r="DW8" s="208">
        <v>80</v>
      </c>
      <c r="DX8" s="208" t="s">
        <v>21314</v>
      </c>
      <c r="DY8" s="208">
        <v>80</v>
      </c>
      <c r="DZ8" s="208">
        <v>80</v>
      </c>
      <c r="EA8" s="208">
        <v>80</v>
      </c>
      <c r="EB8" s="208">
        <v>0</v>
      </c>
      <c r="EC8" s="208">
        <v>0</v>
      </c>
      <c r="ED8" s="208">
        <v>0</v>
      </c>
      <c r="EE8" s="208" t="s">
        <v>21315</v>
      </c>
      <c r="EF8" s="208">
        <v>80</v>
      </c>
      <c r="EG8" s="208" t="s">
        <v>21303</v>
      </c>
      <c r="EH8" s="208">
        <v>0</v>
      </c>
      <c r="EI8" s="208">
        <v>0</v>
      </c>
      <c r="EJ8" s="208">
        <v>0</v>
      </c>
      <c r="EK8" s="208">
        <v>0</v>
      </c>
      <c r="EL8" s="208">
        <v>0</v>
      </c>
      <c r="EM8" s="208">
        <v>0</v>
      </c>
      <c r="EN8" s="208" t="s">
        <v>21303</v>
      </c>
      <c r="EO8" s="208">
        <v>0</v>
      </c>
      <c r="EP8" s="208" t="s">
        <v>21303</v>
      </c>
      <c r="EQ8" s="208">
        <v>0</v>
      </c>
      <c r="ER8" s="208">
        <v>0</v>
      </c>
      <c r="ES8" s="208">
        <v>0</v>
      </c>
      <c r="ET8" s="208">
        <v>0</v>
      </c>
      <c r="EU8" s="208">
        <v>0</v>
      </c>
      <c r="EV8" s="208">
        <v>0</v>
      </c>
      <c r="EW8" s="208" t="s">
        <v>21303</v>
      </c>
      <c r="EX8" s="208">
        <v>0</v>
      </c>
      <c r="EY8" s="208" t="s">
        <v>21303</v>
      </c>
      <c r="EZ8" s="208">
        <v>0</v>
      </c>
      <c r="FA8" s="208">
        <v>0</v>
      </c>
      <c r="FB8" s="208">
        <v>0</v>
      </c>
      <c r="FC8" s="208">
        <v>0</v>
      </c>
      <c r="FD8" s="208">
        <v>0</v>
      </c>
      <c r="FE8" s="208">
        <v>0</v>
      </c>
      <c r="FF8" s="208" t="s">
        <v>21303</v>
      </c>
      <c r="FG8" s="208">
        <v>0</v>
      </c>
      <c r="FH8" s="208" t="s">
        <v>21303</v>
      </c>
      <c r="FI8" s="208">
        <v>0</v>
      </c>
      <c r="FJ8" s="208">
        <v>0</v>
      </c>
      <c r="FK8" s="208">
        <v>0</v>
      </c>
      <c r="FL8" s="208">
        <v>0</v>
      </c>
      <c r="FM8" s="208">
        <v>0</v>
      </c>
      <c r="FN8" s="208">
        <v>0</v>
      </c>
      <c r="FO8" s="208" t="s">
        <v>21303</v>
      </c>
      <c r="FP8" s="208">
        <v>0</v>
      </c>
      <c r="FQ8" s="208">
        <v>80</v>
      </c>
      <c r="FR8" s="208" t="s">
        <v>19816</v>
      </c>
      <c r="FS8" s="208" t="s">
        <v>21316</v>
      </c>
      <c r="FT8" s="208" t="s">
        <v>21303</v>
      </c>
      <c r="FU8" s="208" t="s">
        <v>21303</v>
      </c>
      <c r="FV8" s="208" t="s">
        <v>21303</v>
      </c>
      <c r="FW8" s="208" t="s">
        <v>21303</v>
      </c>
      <c r="FX8" s="208" t="s">
        <v>21362</v>
      </c>
      <c r="FY8" s="208">
        <v>36</v>
      </c>
      <c r="FZ8" s="208">
        <v>36</v>
      </c>
      <c r="GA8" s="208">
        <v>36</v>
      </c>
      <c r="GB8" s="208">
        <v>0</v>
      </c>
      <c r="GC8" s="208">
        <v>0</v>
      </c>
      <c r="GD8" s="208">
        <v>0</v>
      </c>
      <c r="GE8" s="208" t="s">
        <v>21363</v>
      </c>
      <c r="GF8" s="208" t="s">
        <v>21362</v>
      </c>
      <c r="GG8" s="208">
        <v>36</v>
      </c>
      <c r="GH8" s="208">
        <v>36</v>
      </c>
      <c r="GI8" s="208">
        <v>36</v>
      </c>
      <c r="GJ8" s="208">
        <v>0</v>
      </c>
      <c r="GK8" s="208">
        <v>0</v>
      </c>
      <c r="GL8" s="208">
        <v>0</v>
      </c>
      <c r="GM8" s="208" t="s">
        <v>21363</v>
      </c>
      <c r="GN8" s="208" t="s">
        <v>21303</v>
      </c>
      <c r="GO8" s="208">
        <v>0</v>
      </c>
      <c r="GP8" s="208">
        <v>0</v>
      </c>
      <c r="GQ8" s="208">
        <v>0</v>
      </c>
      <c r="GR8" s="208">
        <v>0</v>
      </c>
      <c r="GS8" s="208">
        <v>0</v>
      </c>
      <c r="GT8" s="208">
        <v>0</v>
      </c>
      <c r="GU8" s="208" t="s">
        <v>21303</v>
      </c>
      <c r="GV8" s="208" t="s">
        <v>21303</v>
      </c>
      <c r="GW8" s="208">
        <v>0</v>
      </c>
      <c r="GX8" s="208">
        <v>0</v>
      </c>
      <c r="GY8" s="208">
        <v>0</v>
      </c>
      <c r="GZ8" s="208">
        <v>0</v>
      </c>
      <c r="HA8" s="208">
        <v>0</v>
      </c>
      <c r="HB8" s="208">
        <v>0</v>
      </c>
      <c r="HC8" s="208" t="s">
        <v>21303</v>
      </c>
      <c r="HD8" s="208" t="s">
        <v>21303</v>
      </c>
      <c r="HE8" s="208">
        <v>0</v>
      </c>
      <c r="HF8" s="208">
        <v>0</v>
      </c>
      <c r="HG8" s="208">
        <v>0</v>
      </c>
      <c r="HH8" s="208">
        <v>0</v>
      </c>
      <c r="HI8" s="208">
        <v>0</v>
      </c>
      <c r="HJ8" s="208">
        <v>0</v>
      </c>
      <c r="HK8" s="208" t="s">
        <v>21303</v>
      </c>
      <c r="HL8" s="208" t="s">
        <v>21303</v>
      </c>
      <c r="HM8" s="208">
        <v>0</v>
      </c>
      <c r="HN8" s="208">
        <v>0</v>
      </c>
      <c r="HO8" s="208">
        <v>0</v>
      </c>
      <c r="HP8" s="208">
        <v>0</v>
      </c>
      <c r="HQ8" s="208">
        <v>0</v>
      </c>
      <c r="HR8" s="208">
        <v>0</v>
      </c>
      <c r="HS8" s="208" t="s">
        <v>21303</v>
      </c>
      <c r="HT8" s="208" t="s">
        <v>21319</v>
      </c>
      <c r="HU8" s="208">
        <v>36</v>
      </c>
      <c r="HV8" s="208">
        <v>36</v>
      </c>
      <c r="HW8" s="208">
        <v>0</v>
      </c>
      <c r="HX8" s="208">
        <v>0</v>
      </c>
      <c r="HY8" s="208">
        <v>0</v>
      </c>
      <c r="HZ8" s="208">
        <v>0</v>
      </c>
      <c r="IA8" s="600">
        <v>36</v>
      </c>
      <c r="IB8" s="600">
        <v>36</v>
      </c>
      <c r="IC8" s="343" t="s">
        <v>21035</v>
      </c>
      <c r="ID8" s="343" t="s">
        <v>3603</v>
      </c>
      <c r="IE8" s="343" t="s">
        <v>21320</v>
      </c>
      <c r="IF8" s="343" t="s">
        <v>21321</v>
      </c>
      <c r="IG8" s="383">
        <v>43748</v>
      </c>
      <c r="IH8" s="383">
        <v>45575</v>
      </c>
      <c r="II8" s="208">
        <v>46</v>
      </c>
    </row>
    <row r="9" ht="102">
      <c r="A9" s="207">
        <v>8</v>
      </c>
      <c r="B9" s="343" t="s">
        <v>21287</v>
      </c>
      <c r="C9" s="343" t="s">
        <v>21288</v>
      </c>
      <c r="D9" s="600">
        <v>128146</v>
      </c>
      <c r="E9" s="317" t="s">
        <v>21117</v>
      </c>
      <c r="F9" s="207" t="s">
        <v>20859</v>
      </c>
      <c r="G9" s="600">
        <v>106.691803</v>
      </c>
      <c r="H9" s="600">
        <v>20.92746</v>
      </c>
      <c r="I9" s="207">
        <v>1</v>
      </c>
      <c r="J9" s="207">
        <v>2</v>
      </c>
      <c r="K9" s="207" t="s">
        <v>21289</v>
      </c>
      <c r="L9" s="207" t="s">
        <v>21364</v>
      </c>
      <c r="M9" s="207" t="s">
        <v>21291</v>
      </c>
      <c r="N9" s="207" t="s">
        <v>21292</v>
      </c>
      <c r="O9" s="207" t="s">
        <v>21293</v>
      </c>
      <c r="P9" s="207" t="s">
        <v>21294</v>
      </c>
      <c r="Q9" s="207" t="s">
        <v>21295</v>
      </c>
      <c r="R9" s="207" t="s">
        <v>21365</v>
      </c>
      <c r="S9" s="364" t="b">
        <v>1</v>
      </c>
      <c r="T9" s="207" t="s">
        <v>21118</v>
      </c>
      <c r="U9" s="207">
        <v>0</v>
      </c>
      <c r="V9" s="207" t="s">
        <v>21297</v>
      </c>
      <c r="W9" s="207" t="s">
        <v>21119</v>
      </c>
      <c r="X9" s="209" t="s">
        <v>21298</v>
      </c>
      <c r="Y9" s="207" t="b">
        <v>0</v>
      </c>
      <c r="Z9" s="364" t="b">
        <v>0</v>
      </c>
      <c r="AA9" s="600">
        <v>28</v>
      </c>
      <c r="AB9" s="364" t="b">
        <v>1</v>
      </c>
      <c r="AC9" s="600">
        <v>14</v>
      </c>
      <c r="AD9" s="207" t="b">
        <v>0</v>
      </c>
      <c r="AE9" s="207" t="s">
        <v>21299</v>
      </c>
      <c r="AF9" s="207" t="s">
        <v>21300</v>
      </c>
      <c r="AG9" s="343" t="s">
        <v>21301</v>
      </c>
      <c r="AH9" s="343" t="s">
        <v>21302</v>
      </c>
      <c r="AI9" s="343" t="s">
        <v>21054</v>
      </c>
      <c r="AJ9" s="343" t="s">
        <v>21303</v>
      </c>
      <c r="AK9" s="343" t="s">
        <v>21304</v>
      </c>
      <c r="AL9" s="208"/>
      <c r="AM9" s="208" t="s">
        <v>21305</v>
      </c>
      <c r="AN9" s="208" t="s">
        <v>21306</v>
      </c>
      <c r="AO9" s="207">
        <v>3</v>
      </c>
      <c r="AP9" s="287" t="s">
        <v>21307</v>
      </c>
      <c r="AQ9" s="448" t="s">
        <v>21352</v>
      </c>
      <c r="AR9" s="448" t="s">
        <v>21366</v>
      </c>
      <c r="AS9" s="449" t="s">
        <v>7600</v>
      </c>
      <c r="AT9" s="208" t="s">
        <v>21306</v>
      </c>
      <c r="AU9" s="208" t="s">
        <v>21306</v>
      </c>
      <c r="AV9" s="208" t="s">
        <v>21303</v>
      </c>
      <c r="AW9" s="208" t="s">
        <v>21303</v>
      </c>
      <c r="AX9" s="208" t="s">
        <v>21303</v>
      </c>
      <c r="AY9" s="208" t="s">
        <v>21303</v>
      </c>
      <c r="AZ9" s="208" t="s">
        <v>21288</v>
      </c>
      <c r="BA9" s="208" t="s">
        <v>21288</v>
      </c>
      <c r="BB9" s="208" t="s">
        <v>21303</v>
      </c>
      <c r="BC9" s="208" t="s">
        <v>21303</v>
      </c>
      <c r="BD9" s="208" t="s">
        <v>21303</v>
      </c>
      <c r="BE9" s="208" t="s">
        <v>21303</v>
      </c>
      <c r="BF9" s="208" t="s">
        <v>21310</v>
      </c>
      <c r="BG9" s="208" t="s">
        <v>21367</v>
      </c>
      <c r="BH9" s="208" t="s">
        <v>21367</v>
      </c>
      <c r="BI9" s="208" t="s">
        <v>21303</v>
      </c>
      <c r="BJ9" s="208" t="s">
        <v>21303</v>
      </c>
      <c r="BK9" s="208" t="s">
        <v>21303</v>
      </c>
      <c r="BL9" s="208" t="s">
        <v>21303</v>
      </c>
      <c r="BM9" s="208" t="s">
        <v>21312</v>
      </c>
      <c r="BN9" s="208" t="s">
        <v>21312</v>
      </c>
      <c r="BO9" s="208" t="s">
        <v>21303</v>
      </c>
      <c r="BP9" s="208" t="s">
        <v>21303</v>
      </c>
      <c r="BQ9" s="208" t="s">
        <v>21303</v>
      </c>
      <c r="BR9" s="208" t="s">
        <v>21303</v>
      </c>
      <c r="BS9" s="208">
        <v>3</v>
      </c>
      <c r="BT9" s="208">
        <v>3</v>
      </c>
      <c r="BU9" s="208">
        <v>0</v>
      </c>
      <c r="BV9" s="208">
        <v>0</v>
      </c>
      <c r="BW9" s="208">
        <v>0</v>
      </c>
      <c r="BX9" s="208">
        <v>0</v>
      </c>
      <c r="BY9" s="208" t="s">
        <v>21313</v>
      </c>
      <c r="BZ9" s="208">
        <v>1</v>
      </c>
      <c r="CA9" s="208">
        <v>1</v>
      </c>
      <c r="CB9" s="208">
        <v>1</v>
      </c>
      <c r="CC9" s="208">
        <v>0</v>
      </c>
      <c r="CD9" s="208">
        <v>0</v>
      </c>
      <c r="CE9" s="208">
        <v>0</v>
      </c>
      <c r="CF9" s="208" t="s">
        <v>21313</v>
      </c>
      <c r="CG9" s="208">
        <v>1</v>
      </c>
      <c r="CH9" s="208">
        <v>1</v>
      </c>
      <c r="CI9" s="208">
        <v>1</v>
      </c>
      <c r="CJ9" s="208">
        <v>0</v>
      </c>
      <c r="CK9" s="208">
        <v>0</v>
      </c>
      <c r="CL9" s="208">
        <v>0</v>
      </c>
      <c r="CM9" s="208" t="s">
        <v>21303</v>
      </c>
      <c r="CN9" s="208">
        <v>0</v>
      </c>
      <c r="CO9" s="208">
        <v>0</v>
      </c>
      <c r="CP9" s="208">
        <v>0</v>
      </c>
      <c r="CQ9" s="208">
        <v>0</v>
      </c>
      <c r="CR9" s="208">
        <v>0</v>
      </c>
      <c r="CS9" s="208">
        <v>0</v>
      </c>
      <c r="CT9" s="208" t="s">
        <v>21303</v>
      </c>
      <c r="CU9" s="208">
        <v>0</v>
      </c>
      <c r="CV9" s="208">
        <v>0</v>
      </c>
      <c r="CW9" s="208">
        <v>0</v>
      </c>
      <c r="CX9" s="208">
        <v>0</v>
      </c>
      <c r="CY9" s="208">
        <v>0</v>
      </c>
      <c r="CZ9" s="208">
        <v>0</v>
      </c>
      <c r="DA9" s="208" t="s">
        <v>21303</v>
      </c>
      <c r="DB9" s="208">
        <v>0</v>
      </c>
      <c r="DC9" s="208">
        <v>0</v>
      </c>
      <c r="DD9" s="208">
        <v>0</v>
      </c>
      <c r="DE9" s="208">
        <v>0</v>
      </c>
      <c r="DF9" s="208">
        <v>0</v>
      </c>
      <c r="DG9" s="208">
        <v>0</v>
      </c>
      <c r="DH9" s="208" t="s">
        <v>21303</v>
      </c>
      <c r="DI9" s="208">
        <v>0</v>
      </c>
      <c r="DJ9" s="208">
        <v>0</v>
      </c>
      <c r="DK9" s="208">
        <v>0</v>
      </c>
      <c r="DL9" s="208">
        <v>0</v>
      </c>
      <c r="DM9" s="208">
        <v>0</v>
      </c>
      <c r="DN9" s="208">
        <v>0</v>
      </c>
      <c r="DO9" s="208" t="s">
        <v>21314</v>
      </c>
      <c r="DP9" s="208">
        <v>80</v>
      </c>
      <c r="DQ9" s="208">
        <v>80</v>
      </c>
      <c r="DR9" s="208">
        <v>80</v>
      </c>
      <c r="DS9" s="208">
        <v>0</v>
      </c>
      <c r="DT9" s="208">
        <v>0</v>
      </c>
      <c r="DU9" s="208">
        <v>0</v>
      </c>
      <c r="DV9" s="208" t="s">
        <v>21315</v>
      </c>
      <c r="DW9" s="208">
        <v>80</v>
      </c>
      <c r="DX9" s="208" t="s">
        <v>21314</v>
      </c>
      <c r="DY9" s="208">
        <v>80</v>
      </c>
      <c r="DZ9" s="208">
        <v>80</v>
      </c>
      <c r="EA9" s="208">
        <v>80</v>
      </c>
      <c r="EB9" s="208">
        <v>0</v>
      </c>
      <c r="EC9" s="208">
        <v>0</v>
      </c>
      <c r="ED9" s="208">
        <v>0</v>
      </c>
      <c r="EE9" s="208" t="s">
        <v>21315</v>
      </c>
      <c r="EF9" s="208">
        <v>80</v>
      </c>
      <c r="EG9" s="208" t="s">
        <v>21303</v>
      </c>
      <c r="EH9" s="208">
        <v>0</v>
      </c>
      <c r="EI9" s="208">
        <v>0</v>
      </c>
      <c r="EJ9" s="208">
        <v>0</v>
      </c>
      <c r="EK9" s="208">
        <v>0</v>
      </c>
      <c r="EL9" s="208">
        <v>0</v>
      </c>
      <c r="EM9" s="208">
        <v>0</v>
      </c>
      <c r="EN9" s="208" t="s">
        <v>21303</v>
      </c>
      <c r="EO9" s="208">
        <v>0</v>
      </c>
      <c r="EP9" s="208" t="s">
        <v>21303</v>
      </c>
      <c r="EQ9" s="208">
        <v>0</v>
      </c>
      <c r="ER9" s="208">
        <v>0</v>
      </c>
      <c r="ES9" s="208">
        <v>0</v>
      </c>
      <c r="ET9" s="208">
        <v>0</v>
      </c>
      <c r="EU9" s="208">
        <v>0</v>
      </c>
      <c r="EV9" s="208">
        <v>0</v>
      </c>
      <c r="EW9" s="208" t="s">
        <v>21303</v>
      </c>
      <c r="EX9" s="208">
        <v>0</v>
      </c>
      <c r="EY9" s="208" t="s">
        <v>21303</v>
      </c>
      <c r="EZ9" s="208">
        <v>0</v>
      </c>
      <c r="FA9" s="208">
        <v>0</v>
      </c>
      <c r="FB9" s="208">
        <v>0</v>
      </c>
      <c r="FC9" s="208">
        <v>0</v>
      </c>
      <c r="FD9" s="208">
        <v>0</v>
      </c>
      <c r="FE9" s="208">
        <v>0</v>
      </c>
      <c r="FF9" s="208" t="s">
        <v>21303</v>
      </c>
      <c r="FG9" s="208">
        <v>0</v>
      </c>
      <c r="FH9" s="208" t="s">
        <v>21303</v>
      </c>
      <c r="FI9" s="208">
        <v>0</v>
      </c>
      <c r="FJ9" s="208">
        <v>0</v>
      </c>
      <c r="FK9" s="208">
        <v>0</v>
      </c>
      <c r="FL9" s="208">
        <v>0</v>
      </c>
      <c r="FM9" s="208">
        <v>0</v>
      </c>
      <c r="FN9" s="208">
        <v>0</v>
      </c>
      <c r="FO9" s="208" t="s">
        <v>21303</v>
      </c>
      <c r="FP9" s="208">
        <v>0</v>
      </c>
      <c r="FQ9" s="208">
        <v>80</v>
      </c>
      <c r="FR9" s="208" t="s">
        <v>19816</v>
      </c>
      <c r="FS9" s="208" t="s">
        <v>21316</v>
      </c>
      <c r="FT9" s="208" t="s">
        <v>21303</v>
      </c>
      <c r="FU9" s="208" t="s">
        <v>21303</v>
      </c>
      <c r="FV9" s="208" t="s">
        <v>21303</v>
      </c>
      <c r="FW9" s="208" t="s">
        <v>21303</v>
      </c>
      <c r="FX9" s="208" t="s">
        <v>21368</v>
      </c>
      <c r="FY9" s="208">
        <v>28</v>
      </c>
      <c r="FZ9" s="208">
        <v>28</v>
      </c>
      <c r="GA9" s="208">
        <v>28</v>
      </c>
      <c r="GB9" s="208">
        <v>0</v>
      </c>
      <c r="GC9" s="208">
        <v>0</v>
      </c>
      <c r="GD9" s="208">
        <v>0</v>
      </c>
      <c r="GE9" s="208" t="s">
        <v>21369</v>
      </c>
      <c r="GF9" s="208" t="s">
        <v>21370</v>
      </c>
      <c r="GG9" s="208">
        <v>29</v>
      </c>
      <c r="GH9" s="208">
        <v>29</v>
      </c>
      <c r="GI9" s="208">
        <v>29</v>
      </c>
      <c r="GJ9" s="208">
        <v>0</v>
      </c>
      <c r="GK9" s="208">
        <v>0</v>
      </c>
      <c r="GL9" s="208">
        <v>0</v>
      </c>
      <c r="GM9" s="208" t="s">
        <v>21371</v>
      </c>
      <c r="GN9" s="208" t="s">
        <v>21303</v>
      </c>
      <c r="GO9" s="208">
        <v>0</v>
      </c>
      <c r="GP9" s="208">
        <v>0</v>
      </c>
      <c r="GQ9" s="208">
        <v>0</v>
      </c>
      <c r="GR9" s="208">
        <v>0</v>
      </c>
      <c r="GS9" s="208">
        <v>0</v>
      </c>
      <c r="GT9" s="208">
        <v>0</v>
      </c>
      <c r="GU9" s="208" t="s">
        <v>21303</v>
      </c>
      <c r="GV9" s="208" t="s">
        <v>21303</v>
      </c>
      <c r="GW9" s="208">
        <v>0</v>
      </c>
      <c r="GX9" s="208">
        <v>0</v>
      </c>
      <c r="GY9" s="208">
        <v>0</v>
      </c>
      <c r="GZ9" s="208">
        <v>0</v>
      </c>
      <c r="HA9" s="208">
        <v>0</v>
      </c>
      <c r="HB9" s="208">
        <v>0</v>
      </c>
      <c r="HC9" s="208" t="s">
        <v>21303</v>
      </c>
      <c r="HD9" s="208" t="s">
        <v>21303</v>
      </c>
      <c r="HE9" s="208">
        <v>0</v>
      </c>
      <c r="HF9" s="208">
        <v>0</v>
      </c>
      <c r="HG9" s="208">
        <v>0</v>
      </c>
      <c r="HH9" s="208">
        <v>0</v>
      </c>
      <c r="HI9" s="208">
        <v>0</v>
      </c>
      <c r="HJ9" s="208">
        <v>0</v>
      </c>
      <c r="HK9" s="208" t="s">
        <v>21303</v>
      </c>
      <c r="HL9" s="208" t="s">
        <v>21303</v>
      </c>
      <c r="HM9" s="208">
        <v>0</v>
      </c>
      <c r="HN9" s="208">
        <v>0</v>
      </c>
      <c r="HO9" s="208">
        <v>0</v>
      </c>
      <c r="HP9" s="208">
        <v>0</v>
      </c>
      <c r="HQ9" s="208">
        <v>0</v>
      </c>
      <c r="HR9" s="208">
        <v>0</v>
      </c>
      <c r="HS9" s="208" t="s">
        <v>21303</v>
      </c>
      <c r="HT9" s="208" t="s">
        <v>21319</v>
      </c>
      <c r="HU9" s="208">
        <v>28</v>
      </c>
      <c r="HV9" s="208">
        <v>29</v>
      </c>
      <c r="HW9" s="208">
        <v>0</v>
      </c>
      <c r="HX9" s="208">
        <v>0</v>
      </c>
      <c r="HY9" s="208">
        <v>0</v>
      </c>
      <c r="HZ9" s="208">
        <v>0</v>
      </c>
      <c r="IA9" s="600">
        <v>28</v>
      </c>
      <c r="IB9" s="600">
        <v>14</v>
      </c>
      <c r="IC9" s="343" t="s">
        <v>21035</v>
      </c>
      <c r="ID9" s="343" t="s">
        <v>21372</v>
      </c>
      <c r="IE9" s="343" t="s">
        <v>21320</v>
      </c>
      <c r="IF9" s="343" t="s">
        <v>21321</v>
      </c>
      <c r="IG9" s="383">
        <v>43748</v>
      </c>
      <c r="IH9" s="383">
        <v>45575</v>
      </c>
      <c r="II9" s="208">
        <v>46</v>
      </c>
    </row>
    <row r="10" ht="102">
      <c r="A10" s="207">
        <v>9</v>
      </c>
      <c r="B10" s="343" t="s">
        <v>21287</v>
      </c>
      <c r="C10" s="343" t="s">
        <v>21288</v>
      </c>
      <c r="D10" s="600">
        <v>128068</v>
      </c>
      <c r="E10" s="317" t="s">
        <v>21120</v>
      </c>
      <c r="F10" s="207" t="s">
        <v>20859</v>
      </c>
      <c r="G10" s="600">
        <v>106.70757</v>
      </c>
      <c r="H10" s="600">
        <v>20.92783</v>
      </c>
      <c r="I10" s="207">
        <v>1</v>
      </c>
      <c r="J10" s="207">
        <v>2</v>
      </c>
      <c r="K10" s="207" t="s">
        <v>21289</v>
      </c>
      <c r="L10" s="207" t="s">
        <v>21373</v>
      </c>
      <c r="M10" s="207" t="s">
        <v>21291</v>
      </c>
      <c r="N10" s="207" t="s">
        <v>21292</v>
      </c>
      <c r="O10" s="207" t="s">
        <v>21293</v>
      </c>
      <c r="P10" s="207" t="s">
        <v>21294</v>
      </c>
      <c r="Q10" s="207" t="s">
        <v>21295</v>
      </c>
      <c r="R10" s="207" t="s">
        <v>21374</v>
      </c>
      <c r="S10" s="364" t="b">
        <v>1</v>
      </c>
      <c r="T10" s="207" t="s">
        <v>21121</v>
      </c>
      <c r="U10" s="207">
        <v>0</v>
      </c>
      <c r="V10" s="207" t="s">
        <v>21297</v>
      </c>
      <c r="W10" s="207" t="s">
        <v>21122</v>
      </c>
      <c r="X10" s="209" t="s">
        <v>21298</v>
      </c>
      <c r="Y10" s="207" t="b">
        <v>1</v>
      </c>
      <c r="Z10" s="364" t="b">
        <v>1</v>
      </c>
      <c r="AA10" s="600">
        <v>36</v>
      </c>
      <c r="AB10" s="364" t="b">
        <v>1</v>
      </c>
      <c r="AC10" s="600">
        <v>8</v>
      </c>
      <c r="AD10" s="207" t="b">
        <v>0</v>
      </c>
      <c r="AE10" s="207" t="s">
        <v>21299</v>
      </c>
      <c r="AF10" s="207" t="s">
        <v>21300</v>
      </c>
      <c r="AG10" s="343" t="s">
        <v>21301</v>
      </c>
      <c r="AH10" s="343" t="s">
        <v>21302</v>
      </c>
      <c r="AI10" s="343" t="s">
        <v>21054</v>
      </c>
      <c r="AJ10" s="343" t="s">
        <v>21303</v>
      </c>
      <c r="AK10" s="343" t="s">
        <v>21304</v>
      </c>
      <c r="AL10" s="208"/>
      <c r="AM10" s="208" t="s">
        <v>21305</v>
      </c>
      <c r="AN10" s="208" t="s">
        <v>21306</v>
      </c>
      <c r="AO10" s="207">
        <v>4</v>
      </c>
      <c r="AP10" s="287" t="s">
        <v>21307</v>
      </c>
      <c r="AQ10" s="448" t="s">
        <v>21352</v>
      </c>
      <c r="AR10" s="448" t="s">
        <v>21375</v>
      </c>
      <c r="AS10" s="449" t="s">
        <v>7600</v>
      </c>
      <c r="AT10" s="208" t="s">
        <v>21306</v>
      </c>
      <c r="AU10" s="208" t="s">
        <v>21306</v>
      </c>
      <c r="AV10" s="208" t="s">
        <v>21303</v>
      </c>
      <c r="AW10" s="208" t="s">
        <v>21303</v>
      </c>
      <c r="AX10" s="208" t="s">
        <v>21303</v>
      </c>
      <c r="AY10" s="208" t="s">
        <v>21303</v>
      </c>
      <c r="AZ10" s="208" t="s">
        <v>21288</v>
      </c>
      <c r="BA10" s="208" t="s">
        <v>21288</v>
      </c>
      <c r="BB10" s="208" t="s">
        <v>21303</v>
      </c>
      <c r="BC10" s="208" t="s">
        <v>21303</v>
      </c>
      <c r="BD10" s="208" t="s">
        <v>21303</v>
      </c>
      <c r="BE10" s="208" t="s">
        <v>21303</v>
      </c>
      <c r="BF10" s="208" t="s">
        <v>21310</v>
      </c>
      <c r="BG10" s="208" t="s">
        <v>21376</v>
      </c>
      <c r="BH10" s="208" t="s">
        <v>21376</v>
      </c>
      <c r="BI10" s="208" t="s">
        <v>21303</v>
      </c>
      <c r="BJ10" s="208" t="s">
        <v>21303</v>
      </c>
      <c r="BK10" s="208" t="s">
        <v>21303</v>
      </c>
      <c r="BL10" s="208" t="s">
        <v>21303</v>
      </c>
      <c r="BM10" s="208" t="s">
        <v>21312</v>
      </c>
      <c r="BN10" s="208" t="s">
        <v>21312</v>
      </c>
      <c r="BO10" s="208" t="s">
        <v>21303</v>
      </c>
      <c r="BP10" s="208" t="s">
        <v>21303</v>
      </c>
      <c r="BQ10" s="208" t="s">
        <v>21303</v>
      </c>
      <c r="BR10" s="208" t="s">
        <v>21303</v>
      </c>
      <c r="BS10" s="208">
        <v>3</v>
      </c>
      <c r="BT10" s="208">
        <v>3</v>
      </c>
      <c r="BU10" s="208">
        <v>0</v>
      </c>
      <c r="BV10" s="208">
        <v>0</v>
      </c>
      <c r="BW10" s="208">
        <v>0</v>
      </c>
      <c r="BX10" s="208">
        <v>0</v>
      </c>
      <c r="BY10" s="208" t="s">
        <v>21313</v>
      </c>
      <c r="BZ10" s="208">
        <v>1</v>
      </c>
      <c r="CA10" s="208">
        <v>1</v>
      </c>
      <c r="CB10" s="208">
        <v>1</v>
      </c>
      <c r="CC10" s="208">
        <v>0</v>
      </c>
      <c r="CD10" s="208">
        <v>0</v>
      </c>
      <c r="CE10" s="208">
        <v>0</v>
      </c>
      <c r="CF10" s="208" t="s">
        <v>21313</v>
      </c>
      <c r="CG10" s="208">
        <v>1</v>
      </c>
      <c r="CH10" s="208">
        <v>1</v>
      </c>
      <c r="CI10" s="208">
        <v>1</v>
      </c>
      <c r="CJ10" s="208">
        <v>0</v>
      </c>
      <c r="CK10" s="208">
        <v>0</v>
      </c>
      <c r="CL10" s="208">
        <v>0</v>
      </c>
      <c r="CM10" s="208" t="s">
        <v>21303</v>
      </c>
      <c r="CN10" s="208">
        <v>0</v>
      </c>
      <c r="CO10" s="208">
        <v>0</v>
      </c>
      <c r="CP10" s="208">
        <v>0</v>
      </c>
      <c r="CQ10" s="208">
        <v>0</v>
      </c>
      <c r="CR10" s="208">
        <v>0</v>
      </c>
      <c r="CS10" s="208">
        <v>0</v>
      </c>
      <c r="CT10" s="208" t="s">
        <v>21303</v>
      </c>
      <c r="CU10" s="208">
        <v>0</v>
      </c>
      <c r="CV10" s="208">
        <v>0</v>
      </c>
      <c r="CW10" s="208">
        <v>0</v>
      </c>
      <c r="CX10" s="208">
        <v>0</v>
      </c>
      <c r="CY10" s="208">
        <v>0</v>
      </c>
      <c r="CZ10" s="208">
        <v>0</v>
      </c>
      <c r="DA10" s="208" t="s">
        <v>21303</v>
      </c>
      <c r="DB10" s="208">
        <v>0</v>
      </c>
      <c r="DC10" s="208">
        <v>0</v>
      </c>
      <c r="DD10" s="208">
        <v>0</v>
      </c>
      <c r="DE10" s="208">
        <v>0</v>
      </c>
      <c r="DF10" s="208">
        <v>0</v>
      </c>
      <c r="DG10" s="208">
        <v>0</v>
      </c>
      <c r="DH10" s="208" t="s">
        <v>21303</v>
      </c>
      <c r="DI10" s="208">
        <v>0</v>
      </c>
      <c r="DJ10" s="208">
        <v>0</v>
      </c>
      <c r="DK10" s="208">
        <v>0</v>
      </c>
      <c r="DL10" s="208">
        <v>0</v>
      </c>
      <c r="DM10" s="208">
        <v>0</v>
      </c>
      <c r="DN10" s="208">
        <v>0</v>
      </c>
      <c r="DO10" s="208" t="s">
        <v>21314</v>
      </c>
      <c r="DP10" s="208">
        <v>80</v>
      </c>
      <c r="DQ10" s="208">
        <v>80</v>
      </c>
      <c r="DR10" s="208">
        <v>80</v>
      </c>
      <c r="DS10" s="208">
        <v>0</v>
      </c>
      <c r="DT10" s="208">
        <v>0</v>
      </c>
      <c r="DU10" s="208">
        <v>0</v>
      </c>
      <c r="DV10" s="208" t="s">
        <v>21315</v>
      </c>
      <c r="DW10" s="208">
        <v>80</v>
      </c>
      <c r="DX10" s="208" t="s">
        <v>21314</v>
      </c>
      <c r="DY10" s="208">
        <v>80</v>
      </c>
      <c r="DZ10" s="208">
        <v>80</v>
      </c>
      <c r="EA10" s="208">
        <v>80</v>
      </c>
      <c r="EB10" s="208">
        <v>0</v>
      </c>
      <c r="EC10" s="208">
        <v>0</v>
      </c>
      <c r="ED10" s="208">
        <v>0</v>
      </c>
      <c r="EE10" s="208" t="s">
        <v>21315</v>
      </c>
      <c r="EF10" s="208">
        <v>80</v>
      </c>
      <c r="EG10" s="208" t="s">
        <v>21303</v>
      </c>
      <c r="EH10" s="208">
        <v>0</v>
      </c>
      <c r="EI10" s="208">
        <v>0</v>
      </c>
      <c r="EJ10" s="208">
        <v>0</v>
      </c>
      <c r="EK10" s="208">
        <v>0</v>
      </c>
      <c r="EL10" s="208">
        <v>0</v>
      </c>
      <c r="EM10" s="208">
        <v>0</v>
      </c>
      <c r="EN10" s="208" t="s">
        <v>21303</v>
      </c>
      <c r="EO10" s="208">
        <v>0</v>
      </c>
      <c r="EP10" s="208" t="s">
        <v>21303</v>
      </c>
      <c r="EQ10" s="208">
        <v>0</v>
      </c>
      <c r="ER10" s="208">
        <v>0</v>
      </c>
      <c r="ES10" s="208">
        <v>0</v>
      </c>
      <c r="ET10" s="208">
        <v>0</v>
      </c>
      <c r="EU10" s="208">
        <v>0</v>
      </c>
      <c r="EV10" s="208">
        <v>0</v>
      </c>
      <c r="EW10" s="208" t="s">
        <v>21303</v>
      </c>
      <c r="EX10" s="208">
        <v>0</v>
      </c>
      <c r="EY10" s="208" t="s">
        <v>21303</v>
      </c>
      <c r="EZ10" s="208">
        <v>0</v>
      </c>
      <c r="FA10" s="208">
        <v>0</v>
      </c>
      <c r="FB10" s="208">
        <v>0</v>
      </c>
      <c r="FC10" s="208">
        <v>0</v>
      </c>
      <c r="FD10" s="208">
        <v>0</v>
      </c>
      <c r="FE10" s="208">
        <v>0</v>
      </c>
      <c r="FF10" s="208" t="s">
        <v>21303</v>
      </c>
      <c r="FG10" s="208">
        <v>0</v>
      </c>
      <c r="FH10" s="208" t="s">
        <v>21303</v>
      </c>
      <c r="FI10" s="208">
        <v>0</v>
      </c>
      <c r="FJ10" s="208">
        <v>0</v>
      </c>
      <c r="FK10" s="208">
        <v>0</v>
      </c>
      <c r="FL10" s="208">
        <v>0</v>
      </c>
      <c r="FM10" s="208">
        <v>0</v>
      </c>
      <c r="FN10" s="208">
        <v>0</v>
      </c>
      <c r="FO10" s="208" t="s">
        <v>21303</v>
      </c>
      <c r="FP10" s="208">
        <v>0</v>
      </c>
      <c r="FQ10" s="208">
        <v>80</v>
      </c>
      <c r="FR10" s="208" t="s">
        <v>19816</v>
      </c>
      <c r="FS10" s="208" t="s">
        <v>21316</v>
      </c>
      <c r="FT10" s="208" t="s">
        <v>21303</v>
      </c>
      <c r="FU10" s="208" t="s">
        <v>21303</v>
      </c>
      <c r="FV10" s="208" t="s">
        <v>21303</v>
      </c>
      <c r="FW10" s="208" t="s">
        <v>21303</v>
      </c>
      <c r="FX10" s="208" t="s">
        <v>21377</v>
      </c>
      <c r="FY10" s="208">
        <v>40</v>
      </c>
      <c r="FZ10" s="208">
        <v>40</v>
      </c>
      <c r="GA10" s="208">
        <v>40</v>
      </c>
      <c r="GB10" s="208">
        <v>0</v>
      </c>
      <c r="GC10" s="208">
        <v>0</v>
      </c>
      <c r="GD10" s="208">
        <v>0</v>
      </c>
      <c r="GE10" s="208" t="s">
        <v>21378</v>
      </c>
      <c r="GF10" s="208" t="s">
        <v>21362</v>
      </c>
      <c r="GG10" s="208">
        <v>36</v>
      </c>
      <c r="GH10" s="208">
        <v>36</v>
      </c>
      <c r="GI10" s="208">
        <v>36</v>
      </c>
      <c r="GJ10" s="208">
        <v>0</v>
      </c>
      <c r="GK10" s="208">
        <v>0</v>
      </c>
      <c r="GL10" s="208">
        <v>0</v>
      </c>
      <c r="GM10" s="208" t="s">
        <v>21363</v>
      </c>
      <c r="GN10" s="208" t="s">
        <v>21303</v>
      </c>
      <c r="GO10" s="208">
        <v>0</v>
      </c>
      <c r="GP10" s="208">
        <v>0</v>
      </c>
      <c r="GQ10" s="208">
        <v>0</v>
      </c>
      <c r="GR10" s="208">
        <v>0</v>
      </c>
      <c r="GS10" s="208">
        <v>0</v>
      </c>
      <c r="GT10" s="208">
        <v>0</v>
      </c>
      <c r="GU10" s="208" t="s">
        <v>21303</v>
      </c>
      <c r="GV10" s="208" t="s">
        <v>21303</v>
      </c>
      <c r="GW10" s="208">
        <v>0</v>
      </c>
      <c r="GX10" s="208">
        <v>0</v>
      </c>
      <c r="GY10" s="208">
        <v>0</v>
      </c>
      <c r="GZ10" s="208">
        <v>0</v>
      </c>
      <c r="HA10" s="208">
        <v>0</v>
      </c>
      <c r="HB10" s="208">
        <v>0</v>
      </c>
      <c r="HC10" s="208" t="s">
        <v>21303</v>
      </c>
      <c r="HD10" s="208" t="s">
        <v>21303</v>
      </c>
      <c r="HE10" s="208">
        <v>0</v>
      </c>
      <c r="HF10" s="208">
        <v>0</v>
      </c>
      <c r="HG10" s="208">
        <v>0</v>
      </c>
      <c r="HH10" s="208">
        <v>0</v>
      </c>
      <c r="HI10" s="208">
        <v>0</v>
      </c>
      <c r="HJ10" s="208">
        <v>0</v>
      </c>
      <c r="HK10" s="208" t="s">
        <v>21303</v>
      </c>
      <c r="HL10" s="208" t="s">
        <v>21303</v>
      </c>
      <c r="HM10" s="208">
        <v>0</v>
      </c>
      <c r="HN10" s="208">
        <v>0</v>
      </c>
      <c r="HO10" s="208">
        <v>0</v>
      </c>
      <c r="HP10" s="208">
        <v>0</v>
      </c>
      <c r="HQ10" s="208">
        <v>0</v>
      </c>
      <c r="HR10" s="208">
        <v>0</v>
      </c>
      <c r="HS10" s="208" t="s">
        <v>21303</v>
      </c>
      <c r="HT10" s="208" t="s">
        <v>21319</v>
      </c>
      <c r="HU10" s="208">
        <v>40</v>
      </c>
      <c r="HV10" s="208">
        <v>36</v>
      </c>
      <c r="HW10" s="208">
        <v>0</v>
      </c>
      <c r="HX10" s="208">
        <v>0</v>
      </c>
      <c r="HY10" s="208">
        <v>0</v>
      </c>
      <c r="HZ10" s="208">
        <v>0</v>
      </c>
      <c r="IA10" s="600">
        <v>36</v>
      </c>
      <c r="IB10" s="600">
        <v>28</v>
      </c>
      <c r="IC10" s="343" t="s">
        <v>21035</v>
      </c>
      <c r="ID10" s="343" t="s">
        <v>21379</v>
      </c>
      <c r="IE10" s="343" t="s">
        <v>21320</v>
      </c>
      <c r="IF10" s="343" t="s">
        <v>21321</v>
      </c>
      <c r="IG10" s="383">
        <v>43748</v>
      </c>
      <c r="IH10" s="383">
        <v>45575</v>
      </c>
      <c r="II10" s="208">
        <v>46</v>
      </c>
    </row>
    <row r="11" ht="102">
      <c r="A11" s="207">
        <v>10</v>
      </c>
      <c r="B11" s="343" t="s">
        <v>21287</v>
      </c>
      <c r="C11" s="343" t="s">
        <v>21288</v>
      </c>
      <c r="D11" s="600">
        <v>128045</v>
      </c>
      <c r="E11" s="317" t="s">
        <v>21123</v>
      </c>
      <c r="F11" s="207" t="s">
        <v>20859</v>
      </c>
      <c r="G11" s="600">
        <v>106.742752</v>
      </c>
      <c r="H11" s="600">
        <v>20.923122</v>
      </c>
      <c r="I11" s="207">
        <v>1</v>
      </c>
      <c r="J11" s="207">
        <v>2</v>
      </c>
      <c r="K11" s="207" t="s">
        <v>21289</v>
      </c>
      <c r="L11" s="207" t="s">
        <v>21380</v>
      </c>
      <c r="M11" s="207" t="s">
        <v>21323</v>
      </c>
      <c r="N11" s="207" t="s">
        <v>21292</v>
      </c>
      <c r="O11" s="207" t="s">
        <v>21293</v>
      </c>
      <c r="P11" s="207" t="s">
        <v>21294</v>
      </c>
      <c r="Q11" s="207" t="s">
        <v>21295</v>
      </c>
      <c r="R11" s="207" t="s">
        <v>21381</v>
      </c>
      <c r="S11" s="364" t="b">
        <v>1</v>
      </c>
      <c r="T11" s="207" t="s">
        <v>21124</v>
      </c>
      <c r="U11" s="207">
        <v>0</v>
      </c>
      <c r="V11" s="207" t="s">
        <v>21297</v>
      </c>
      <c r="W11" s="207" t="s">
        <v>21125</v>
      </c>
      <c r="X11" s="209" t="s">
        <v>21298</v>
      </c>
      <c r="Y11" s="207" t="b">
        <v>0</v>
      </c>
      <c r="Z11" s="364" t="b">
        <v>0</v>
      </c>
      <c r="AA11" s="600">
        <v>20</v>
      </c>
      <c r="AB11" s="364" t="b">
        <v>1</v>
      </c>
      <c r="AC11" s="600">
        <v>10</v>
      </c>
      <c r="AD11" s="207" t="b">
        <v>0</v>
      </c>
      <c r="AE11" s="207" t="s">
        <v>21299</v>
      </c>
      <c r="AF11" s="207" t="s">
        <v>21300</v>
      </c>
      <c r="AG11" s="343" t="s">
        <v>21301</v>
      </c>
      <c r="AH11" s="343" t="s">
        <v>21302</v>
      </c>
      <c r="AI11" s="343" t="s">
        <v>21054</v>
      </c>
      <c r="AJ11" s="343" t="s">
        <v>21303</v>
      </c>
      <c r="AK11" s="343" t="s">
        <v>21304</v>
      </c>
      <c r="AL11" s="208"/>
      <c r="AM11" s="208" t="s">
        <v>21305</v>
      </c>
      <c r="AN11" s="208" t="s">
        <v>21306</v>
      </c>
      <c r="AO11" s="207">
        <v>3</v>
      </c>
      <c r="AP11" s="287" t="s">
        <v>21307</v>
      </c>
      <c r="AQ11" s="448" t="s">
        <v>21352</v>
      </c>
      <c r="AR11" s="448" t="s">
        <v>21382</v>
      </c>
      <c r="AS11" s="449" t="s">
        <v>7600</v>
      </c>
      <c r="AT11" s="208" t="s">
        <v>21306</v>
      </c>
      <c r="AU11" s="208" t="s">
        <v>21306</v>
      </c>
      <c r="AV11" s="208" t="s">
        <v>21303</v>
      </c>
      <c r="AW11" s="208" t="s">
        <v>21303</v>
      </c>
      <c r="AX11" s="208" t="s">
        <v>21303</v>
      </c>
      <c r="AY11" s="208" t="s">
        <v>21303</v>
      </c>
      <c r="AZ11" s="208" t="s">
        <v>21288</v>
      </c>
      <c r="BA11" s="208" t="s">
        <v>21288</v>
      </c>
      <c r="BB11" s="208" t="s">
        <v>21303</v>
      </c>
      <c r="BC11" s="208" t="s">
        <v>21303</v>
      </c>
      <c r="BD11" s="208" t="s">
        <v>21303</v>
      </c>
      <c r="BE11" s="208" t="s">
        <v>21303</v>
      </c>
      <c r="BF11" s="208" t="s">
        <v>21310</v>
      </c>
      <c r="BG11" s="208" t="s">
        <v>21383</v>
      </c>
      <c r="BH11" s="208" t="s">
        <v>21383</v>
      </c>
      <c r="BI11" s="208" t="s">
        <v>21303</v>
      </c>
      <c r="BJ11" s="208" t="s">
        <v>21303</v>
      </c>
      <c r="BK11" s="208" t="s">
        <v>21303</v>
      </c>
      <c r="BL11" s="208" t="s">
        <v>21303</v>
      </c>
      <c r="BM11" s="208" t="s">
        <v>21326</v>
      </c>
      <c r="BN11" s="208" t="s">
        <v>21326</v>
      </c>
      <c r="BO11" s="208" t="s">
        <v>21303</v>
      </c>
      <c r="BP11" s="208" t="s">
        <v>21303</v>
      </c>
      <c r="BQ11" s="208" t="s">
        <v>21303</v>
      </c>
      <c r="BR11" s="208" t="s">
        <v>21303</v>
      </c>
      <c r="BS11" s="208">
        <v>3</v>
      </c>
      <c r="BT11" s="208">
        <v>3</v>
      </c>
      <c r="BU11" s="208">
        <v>0</v>
      </c>
      <c r="BV11" s="208">
        <v>0</v>
      </c>
      <c r="BW11" s="208">
        <v>0</v>
      </c>
      <c r="BX11" s="208">
        <v>0</v>
      </c>
      <c r="BY11" s="208" t="s">
        <v>21313</v>
      </c>
      <c r="BZ11" s="208">
        <v>1</v>
      </c>
      <c r="CA11" s="208">
        <v>1</v>
      </c>
      <c r="CB11" s="208">
        <v>1</v>
      </c>
      <c r="CC11" s="208">
        <v>0</v>
      </c>
      <c r="CD11" s="208">
        <v>0</v>
      </c>
      <c r="CE11" s="208">
        <v>0</v>
      </c>
      <c r="CF11" s="208" t="s">
        <v>21313</v>
      </c>
      <c r="CG11" s="208">
        <v>1</v>
      </c>
      <c r="CH11" s="208">
        <v>1</v>
      </c>
      <c r="CI11" s="208">
        <v>1</v>
      </c>
      <c r="CJ11" s="208">
        <v>0</v>
      </c>
      <c r="CK11" s="208">
        <v>0</v>
      </c>
      <c r="CL11" s="208">
        <v>0</v>
      </c>
      <c r="CM11" s="208" t="s">
        <v>21303</v>
      </c>
      <c r="CN11" s="208">
        <v>0</v>
      </c>
      <c r="CO11" s="208">
        <v>0</v>
      </c>
      <c r="CP11" s="208">
        <v>0</v>
      </c>
      <c r="CQ11" s="208">
        <v>0</v>
      </c>
      <c r="CR11" s="208">
        <v>0</v>
      </c>
      <c r="CS11" s="208">
        <v>0</v>
      </c>
      <c r="CT11" s="208" t="s">
        <v>21303</v>
      </c>
      <c r="CU11" s="208">
        <v>0</v>
      </c>
      <c r="CV11" s="208">
        <v>0</v>
      </c>
      <c r="CW11" s="208">
        <v>0</v>
      </c>
      <c r="CX11" s="208">
        <v>0</v>
      </c>
      <c r="CY11" s="208">
        <v>0</v>
      </c>
      <c r="CZ11" s="208">
        <v>0</v>
      </c>
      <c r="DA11" s="208" t="s">
        <v>21303</v>
      </c>
      <c r="DB11" s="208">
        <v>0</v>
      </c>
      <c r="DC11" s="208">
        <v>0</v>
      </c>
      <c r="DD11" s="208">
        <v>0</v>
      </c>
      <c r="DE11" s="208">
        <v>0</v>
      </c>
      <c r="DF11" s="208">
        <v>0</v>
      </c>
      <c r="DG11" s="208">
        <v>0</v>
      </c>
      <c r="DH11" s="208" t="s">
        <v>21303</v>
      </c>
      <c r="DI11" s="208">
        <v>0</v>
      </c>
      <c r="DJ11" s="208">
        <v>0</v>
      </c>
      <c r="DK11" s="208">
        <v>0</v>
      </c>
      <c r="DL11" s="208">
        <v>0</v>
      </c>
      <c r="DM11" s="208">
        <v>0</v>
      </c>
      <c r="DN11" s="208">
        <v>0</v>
      </c>
      <c r="DO11" s="208" t="s">
        <v>21314</v>
      </c>
      <c r="DP11" s="208">
        <v>80</v>
      </c>
      <c r="DQ11" s="208">
        <v>80</v>
      </c>
      <c r="DR11" s="208">
        <v>80</v>
      </c>
      <c r="DS11" s="208">
        <v>0</v>
      </c>
      <c r="DT11" s="208">
        <v>0</v>
      </c>
      <c r="DU11" s="208">
        <v>0</v>
      </c>
      <c r="DV11" s="208" t="s">
        <v>21315</v>
      </c>
      <c r="DW11" s="208">
        <v>80</v>
      </c>
      <c r="DX11" s="208" t="s">
        <v>21314</v>
      </c>
      <c r="DY11" s="208">
        <v>80</v>
      </c>
      <c r="DZ11" s="208">
        <v>80</v>
      </c>
      <c r="EA11" s="208">
        <v>80</v>
      </c>
      <c r="EB11" s="208">
        <v>0</v>
      </c>
      <c r="EC11" s="208">
        <v>0</v>
      </c>
      <c r="ED11" s="208">
        <v>0</v>
      </c>
      <c r="EE11" s="208" t="s">
        <v>21315</v>
      </c>
      <c r="EF11" s="208">
        <v>80</v>
      </c>
      <c r="EG11" s="208" t="s">
        <v>21303</v>
      </c>
      <c r="EH11" s="208">
        <v>0</v>
      </c>
      <c r="EI11" s="208">
        <v>0</v>
      </c>
      <c r="EJ11" s="208">
        <v>0</v>
      </c>
      <c r="EK11" s="208">
        <v>0</v>
      </c>
      <c r="EL11" s="208">
        <v>0</v>
      </c>
      <c r="EM11" s="208">
        <v>0</v>
      </c>
      <c r="EN11" s="208" t="s">
        <v>21303</v>
      </c>
      <c r="EO11" s="208">
        <v>0</v>
      </c>
      <c r="EP11" s="208" t="s">
        <v>21303</v>
      </c>
      <c r="EQ11" s="208">
        <v>0</v>
      </c>
      <c r="ER11" s="208">
        <v>0</v>
      </c>
      <c r="ES11" s="208">
        <v>0</v>
      </c>
      <c r="ET11" s="208">
        <v>0</v>
      </c>
      <c r="EU11" s="208">
        <v>0</v>
      </c>
      <c r="EV11" s="208">
        <v>0</v>
      </c>
      <c r="EW11" s="208" t="s">
        <v>21303</v>
      </c>
      <c r="EX11" s="208">
        <v>0</v>
      </c>
      <c r="EY11" s="208" t="s">
        <v>21303</v>
      </c>
      <c r="EZ11" s="208">
        <v>0</v>
      </c>
      <c r="FA11" s="208">
        <v>0</v>
      </c>
      <c r="FB11" s="208">
        <v>0</v>
      </c>
      <c r="FC11" s="208">
        <v>0</v>
      </c>
      <c r="FD11" s="208">
        <v>0</v>
      </c>
      <c r="FE11" s="208">
        <v>0</v>
      </c>
      <c r="FF11" s="208" t="s">
        <v>21303</v>
      </c>
      <c r="FG11" s="208">
        <v>0</v>
      </c>
      <c r="FH11" s="208" t="s">
        <v>21303</v>
      </c>
      <c r="FI11" s="208">
        <v>0</v>
      </c>
      <c r="FJ11" s="208">
        <v>0</v>
      </c>
      <c r="FK11" s="208">
        <v>0</v>
      </c>
      <c r="FL11" s="208">
        <v>0</v>
      </c>
      <c r="FM11" s="208">
        <v>0</v>
      </c>
      <c r="FN11" s="208">
        <v>0</v>
      </c>
      <c r="FO11" s="208" t="s">
        <v>21303</v>
      </c>
      <c r="FP11" s="208">
        <v>0</v>
      </c>
      <c r="FQ11" s="208">
        <v>80</v>
      </c>
      <c r="FR11" s="208" t="s">
        <v>19816</v>
      </c>
      <c r="FS11" s="208" t="s">
        <v>21316</v>
      </c>
      <c r="FT11" s="208" t="s">
        <v>21303</v>
      </c>
      <c r="FU11" s="208" t="s">
        <v>21303</v>
      </c>
      <c r="FV11" s="208" t="s">
        <v>21303</v>
      </c>
      <c r="FW11" s="208" t="s">
        <v>21303</v>
      </c>
      <c r="FX11" s="208" t="s">
        <v>21384</v>
      </c>
      <c r="FY11" s="208">
        <v>20</v>
      </c>
      <c r="FZ11" s="208">
        <v>20</v>
      </c>
      <c r="GA11" s="208">
        <v>20</v>
      </c>
      <c r="GB11" s="208">
        <v>0</v>
      </c>
      <c r="GC11" s="208">
        <v>0</v>
      </c>
      <c r="GD11" s="208">
        <v>0</v>
      </c>
      <c r="GE11" s="208" t="s">
        <v>21385</v>
      </c>
      <c r="GF11" s="208" t="s">
        <v>21386</v>
      </c>
      <c r="GG11" s="208">
        <v>23</v>
      </c>
      <c r="GH11" s="208">
        <v>23</v>
      </c>
      <c r="GI11" s="208">
        <v>23</v>
      </c>
      <c r="GJ11" s="208">
        <v>0</v>
      </c>
      <c r="GK11" s="208">
        <v>0</v>
      </c>
      <c r="GL11" s="208">
        <v>0</v>
      </c>
      <c r="GM11" s="208" t="s">
        <v>21387</v>
      </c>
      <c r="GN11" s="208" t="s">
        <v>21303</v>
      </c>
      <c r="GO11" s="208">
        <v>0</v>
      </c>
      <c r="GP11" s="208">
        <v>0</v>
      </c>
      <c r="GQ11" s="208">
        <v>0</v>
      </c>
      <c r="GR11" s="208">
        <v>0</v>
      </c>
      <c r="GS11" s="208">
        <v>0</v>
      </c>
      <c r="GT11" s="208">
        <v>0</v>
      </c>
      <c r="GU11" s="208" t="s">
        <v>21303</v>
      </c>
      <c r="GV11" s="208" t="s">
        <v>21303</v>
      </c>
      <c r="GW11" s="208">
        <v>0</v>
      </c>
      <c r="GX11" s="208">
        <v>0</v>
      </c>
      <c r="GY11" s="208">
        <v>0</v>
      </c>
      <c r="GZ11" s="208">
        <v>0</v>
      </c>
      <c r="HA11" s="208">
        <v>0</v>
      </c>
      <c r="HB11" s="208">
        <v>0</v>
      </c>
      <c r="HC11" s="208" t="s">
        <v>21303</v>
      </c>
      <c r="HD11" s="208" t="s">
        <v>21303</v>
      </c>
      <c r="HE11" s="208">
        <v>0</v>
      </c>
      <c r="HF11" s="208">
        <v>0</v>
      </c>
      <c r="HG11" s="208">
        <v>0</v>
      </c>
      <c r="HH11" s="208">
        <v>0</v>
      </c>
      <c r="HI11" s="208">
        <v>0</v>
      </c>
      <c r="HJ11" s="208">
        <v>0</v>
      </c>
      <c r="HK11" s="208" t="s">
        <v>21303</v>
      </c>
      <c r="HL11" s="208" t="s">
        <v>21303</v>
      </c>
      <c r="HM11" s="208">
        <v>0</v>
      </c>
      <c r="HN11" s="208">
        <v>0</v>
      </c>
      <c r="HO11" s="208">
        <v>0</v>
      </c>
      <c r="HP11" s="208">
        <v>0</v>
      </c>
      <c r="HQ11" s="208">
        <v>0</v>
      </c>
      <c r="HR11" s="208">
        <v>0</v>
      </c>
      <c r="HS11" s="208" t="s">
        <v>21303</v>
      </c>
      <c r="HT11" s="208" t="s">
        <v>21319</v>
      </c>
      <c r="HU11" s="208">
        <v>20</v>
      </c>
      <c r="HV11" s="208">
        <v>23</v>
      </c>
      <c r="HW11" s="208">
        <v>0</v>
      </c>
      <c r="HX11" s="208">
        <v>0</v>
      </c>
      <c r="HY11" s="208">
        <v>0</v>
      </c>
      <c r="HZ11" s="208">
        <v>0</v>
      </c>
      <c r="IA11" s="600">
        <v>20</v>
      </c>
      <c r="IB11" s="600">
        <v>10</v>
      </c>
      <c r="IC11" s="343" t="s">
        <v>21035</v>
      </c>
      <c r="ID11" s="343" t="s">
        <v>3605</v>
      </c>
      <c r="IE11" s="343" t="s">
        <v>21320</v>
      </c>
      <c r="IF11" s="343" t="s">
        <v>21321</v>
      </c>
      <c r="IG11" s="383">
        <v>43748</v>
      </c>
      <c r="IH11" s="383">
        <v>45575</v>
      </c>
      <c r="II11" s="208">
        <v>46</v>
      </c>
    </row>
    <row r="12" ht="102">
      <c r="A12" s="207">
        <v>11</v>
      </c>
      <c r="B12" s="343" t="s">
        <v>21287</v>
      </c>
      <c r="C12" s="343" t="s">
        <v>21288</v>
      </c>
      <c r="D12" s="600">
        <v>128156</v>
      </c>
      <c r="E12" s="317" t="s">
        <v>21126</v>
      </c>
      <c r="F12" s="207" t="s">
        <v>20859</v>
      </c>
      <c r="G12" s="600">
        <v>106.731641</v>
      </c>
      <c r="H12" s="600">
        <v>20.943714</v>
      </c>
      <c r="I12" s="207">
        <v>1</v>
      </c>
      <c r="J12" s="207">
        <v>2</v>
      </c>
      <c r="K12" s="207" t="s">
        <v>21289</v>
      </c>
      <c r="L12" s="207" t="s">
        <v>21388</v>
      </c>
      <c r="M12" s="207" t="s">
        <v>21291</v>
      </c>
      <c r="N12" s="207" t="s">
        <v>21292</v>
      </c>
      <c r="O12" s="207" t="s">
        <v>21293</v>
      </c>
      <c r="P12" s="207" t="s">
        <v>21294</v>
      </c>
      <c r="Q12" s="207" t="s">
        <v>21295</v>
      </c>
      <c r="R12" s="207" t="s">
        <v>21389</v>
      </c>
      <c r="S12" s="364" t="b">
        <v>1</v>
      </c>
      <c r="T12" s="207" t="s">
        <v>21127</v>
      </c>
      <c r="U12" s="207">
        <v>0</v>
      </c>
      <c r="V12" s="207" t="s">
        <v>21297</v>
      </c>
      <c r="W12" s="207" t="s">
        <v>21128</v>
      </c>
      <c r="X12" s="209" t="s">
        <v>21298</v>
      </c>
      <c r="Y12" s="207" t="b">
        <v>1</v>
      </c>
      <c r="Z12" s="364" t="b">
        <v>0</v>
      </c>
      <c r="AA12" s="600">
        <v>36</v>
      </c>
      <c r="AB12" s="364" t="b">
        <v>1</v>
      </c>
      <c r="AC12" s="600">
        <v>10</v>
      </c>
      <c r="AD12" s="207" t="b">
        <v>0</v>
      </c>
      <c r="AE12" s="207" t="s">
        <v>21299</v>
      </c>
      <c r="AF12" s="207" t="s">
        <v>21300</v>
      </c>
      <c r="AG12" s="343" t="s">
        <v>21301</v>
      </c>
      <c r="AH12" s="343" t="s">
        <v>21302</v>
      </c>
      <c r="AI12" s="343" t="s">
        <v>21054</v>
      </c>
      <c r="AJ12" s="343" t="s">
        <v>21303</v>
      </c>
      <c r="AK12" s="343" t="s">
        <v>21304</v>
      </c>
      <c r="AL12" s="208"/>
      <c r="AM12" s="208" t="s">
        <v>21305</v>
      </c>
      <c r="AN12" s="208" t="s">
        <v>21306</v>
      </c>
      <c r="AO12" s="207">
        <v>3</v>
      </c>
      <c r="AP12" s="287" t="s">
        <v>21307</v>
      </c>
      <c r="AQ12" s="448" t="s">
        <v>21352</v>
      </c>
      <c r="AR12" s="448" t="s">
        <v>21390</v>
      </c>
      <c r="AS12" s="449" t="s">
        <v>7600</v>
      </c>
      <c r="AT12" s="208" t="s">
        <v>21306</v>
      </c>
      <c r="AU12" s="208" t="s">
        <v>21306</v>
      </c>
      <c r="AV12" s="208" t="s">
        <v>21303</v>
      </c>
      <c r="AW12" s="208" t="s">
        <v>21303</v>
      </c>
      <c r="AX12" s="208" t="s">
        <v>21303</v>
      </c>
      <c r="AY12" s="208" t="s">
        <v>21303</v>
      </c>
      <c r="AZ12" s="208" t="s">
        <v>21288</v>
      </c>
      <c r="BA12" s="208" t="s">
        <v>21288</v>
      </c>
      <c r="BB12" s="208" t="s">
        <v>21303</v>
      </c>
      <c r="BC12" s="208" t="s">
        <v>21303</v>
      </c>
      <c r="BD12" s="208" t="s">
        <v>21303</v>
      </c>
      <c r="BE12" s="208" t="s">
        <v>21303</v>
      </c>
      <c r="BF12" s="208" t="s">
        <v>21310</v>
      </c>
      <c r="BG12" s="208" t="s">
        <v>21391</v>
      </c>
      <c r="BH12" s="208" t="s">
        <v>21391</v>
      </c>
      <c r="BI12" s="208" t="s">
        <v>21303</v>
      </c>
      <c r="BJ12" s="208" t="s">
        <v>21303</v>
      </c>
      <c r="BK12" s="208" t="s">
        <v>21303</v>
      </c>
      <c r="BL12" s="208" t="s">
        <v>21303</v>
      </c>
      <c r="BM12" s="208" t="s">
        <v>21312</v>
      </c>
      <c r="BN12" s="208" t="s">
        <v>21312</v>
      </c>
      <c r="BO12" s="208" t="s">
        <v>21303</v>
      </c>
      <c r="BP12" s="208" t="s">
        <v>21303</v>
      </c>
      <c r="BQ12" s="208" t="s">
        <v>21303</v>
      </c>
      <c r="BR12" s="208" t="s">
        <v>21303</v>
      </c>
      <c r="BS12" s="208">
        <v>3</v>
      </c>
      <c r="BT12" s="208">
        <v>3</v>
      </c>
      <c r="BU12" s="208">
        <v>0</v>
      </c>
      <c r="BV12" s="208">
        <v>0</v>
      </c>
      <c r="BW12" s="208">
        <v>0</v>
      </c>
      <c r="BX12" s="208">
        <v>0</v>
      </c>
      <c r="BY12" s="208" t="s">
        <v>21313</v>
      </c>
      <c r="BZ12" s="208">
        <v>1</v>
      </c>
      <c r="CA12" s="208">
        <v>1</v>
      </c>
      <c r="CB12" s="208">
        <v>1</v>
      </c>
      <c r="CC12" s="208">
        <v>0</v>
      </c>
      <c r="CD12" s="208">
        <v>0</v>
      </c>
      <c r="CE12" s="208">
        <v>0</v>
      </c>
      <c r="CF12" s="208" t="s">
        <v>21313</v>
      </c>
      <c r="CG12" s="208">
        <v>1</v>
      </c>
      <c r="CH12" s="208">
        <v>1</v>
      </c>
      <c r="CI12" s="208">
        <v>1</v>
      </c>
      <c r="CJ12" s="208">
        <v>0</v>
      </c>
      <c r="CK12" s="208">
        <v>0</v>
      </c>
      <c r="CL12" s="208">
        <v>0</v>
      </c>
      <c r="CM12" s="208" t="s">
        <v>21303</v>
      </c>
      <c r="CN12" s="208">
        <v>0</v>
      </c>
      <c r="CO12" s="208">
        <v>0</v>
      </c>
      <c r="CP12" s="208">
        <v>0</v>
      </c>
      <c r="CQ12" s="208">
        <v>0</v>
      </c>
      <c r="CR12" s="208">
        <v>0</v>
      </c>
      <c r="CS12" s="208">
        <v>0</v>
      </c>
      <c r="CT12" s="208" t="s">
        <v>21303</v>
      </c>
      <c r="CU12" s="208">
        <v>0</v>
      </c>
      <c r="CV12" s="208">
        <v>0</v>
      </c>
      <c r="CW12" s="208">
        <v>0</v>
      </c>
      <c r="CX12" s="208">
        <v>0</v>
      </c>
      <c r="CY12" s="208">
        <v>0</v>
      </c>
      <c r="CZ12" s="208">
        <v>0</v>
      </c>
      <c r="DA12" s="208" t="s">
        <v>21303</v>
      </c>
      <c r="DB12" s="208">
        <v>0</v>
      </c>
      <c r="DC12" s="208">
        <v>0</v>
      </c>
      <c r="DD12" s="208">
        <v>0</v>
      </c>
      <c r="DE12" s="208">
        <v>0</v>
      </c>
      <c r="DF12" s="208">
        <v>0</v>
      </c>
      <c r="DG12" s="208">
        <v>0</v>
      </c>
      <c r="DH12" s="208" t="s">
        <v>21303</v>
      </c>
      <c r="DI12" s="208">
        <v>0</v>
      </c>
      <c r="DJ12" s="208">
        <v>0</v>
      </c>
      <c r="DK12" s="208">
        <v>0</v>
      </c>
      <c r="DL12" s="208">
        <v>0</v>
      </c>
      <c r="DM12" s="208">
        <v>0</v>
      </c>
      <c r="DN12" s="208">
        <v>0</v>
      </c>
      <c r="DO12" s="208" t="s">
        <v>21314</v>
      </c>
      <c r="DP12" s="208">
        <v>80</v>
      </c>
      <c r="DQ12" s="208">
        <v>80</v>
      </c>
      <c r="DR12" s="208">
        <v>80</v>
      </c>
      <c r="DS12" s="208">
        <v>0</v>
      </c>
      <c r="DT12" s="208">
        <v>0</v>
      </c>
      <c r="DU12" s="208">
        <v>0</v>
      </c>
      <c r="DV12" s="208" t="s">
        <v>21315</v>
      </c>
      <c r="DW12" s="208">
        <v>80</v>
      </c>
      <c r="DX12" s="208" t="s">
        <v>21314</v>
      </c>
      <c r="DY12" s="208">
        <v>80</v>
      </c>
      <c r="DZ12" s="208">
        <v>80</v>
      </c>
      <c r="EA12" s="208">
        <v>80</v>
      </c>
      <c r="EB12" s="208">
        <v>0</v>
      </c>
      <c r="EC12" s="208">
        <v>0</v>
      </c>
      <c r="ED12" s="208">
        <v>0</v>
      </c>
      <c r="EE12" s="208" t="s">
        <v>21315</v>
      </c>
      <c r="EF12" s="208">
        <v>80</v>
      </c>
      <c r="EG12" s="208" t="s">
        <v>21303</v>
      </c>
      <c r="EH12" s="208">
        <v>0</v>
      </c>
      <c r="EI12" s="208">
        <v>0</v>
      </c>
      <c r="EJ12" s="208">
        <v>0</v>
      </c>
      <c r="EK12" s="208">
        <v>0</v>
      </c>
      <c r="EL12" s="208">
        <v>0</v>
      </c>
      <c r="EM12" s="208">
        <v>0</v>
      </c>
      <c r="EN12" s="208" t="s">
        <v>21303</v>
      </c>
      <c r="EO12" s="208">
        <v>0</v>
      </c>
      <c r="EP12" s="208" t="s">
        <v>21303</v>
      </c>
      <c r="EQ12" s="208">
        <v>0</v>
      </c>
      <c r="ER12" s="208">
        <v>0</v>
      </c>
      <c r="ES12" s="208">
        <v>0</v>
      </c>
      <c r="ET12" s="208">
        <v>0</v>
      </c>
      <c r="EU12" s="208">
        <v>0</v>
      </c>
      <c r="EV12" s="208">
        <v>0</v>
      </c>
      <c r="EW12" s="208" t="s">
        <v>21303</v>
      </c>
      <c r="EX12" s="208">
        <v>0</v>
      </c>
      <c r="EY12" s="208" t="s">
        <v>21303</v>
      </c>
      <c r="EZ12" s="208">
        <v>0</v>
      </c>
      <c r="FA12" s="208">
        <v>0</v>
      </c>
      <c r="FB12" s="208">
        <v>0</v>
      </c>
      <c r="FC12" s="208">
        <v>0</v>
      </c>
      <c r="FD12" s="208">
        <v>0</v>
      </c>
      <c r="FE12" s="208">
        <v>0</v>
      </c>
      <c r="FF12" s="208" t="s">
        <v>21303</v>
      </c>
      <c r="FG12" s="208">
        <v>0</v>
      </c>
      <c r="FH12" s="208" t="s">
        <v>21303</v>
      </c>
      <c r="FI12" s="208">
        <v>0</v>
      </c>
      <c r="FJ12" s="208">
        <v>0</v>
      </c>
      <c r="FK12" s="208">
        <v>0</v>
      </c>
      <c r="FL12" s="208">
        <v>0</v>
      </c>
      <c r="FM12" s="208">
        <v>0</v>
      </c>
      <c r="FN12" s="208">
        <v>0</v>
      </c>
      <c r="FO12" s="208" t="s">
        <v>21303</v>
      </c>
      <c r="FP12" s="208">
        <v>0</v>
      </c>
      <c r="FQ12" s="208">
        <v>80</v>
      </c>
      <c r="FR12" s="208" t="s">
        <v>19816</v>
      </c>
      <c r="FS12" s="208" t="s">
        <v>21316</v>
      </c>
      <c r="FT12" s="208" t="s">
        <v>21303</v>
      </c>
      <c r="FU12" s="208" t="s">
        <v>21303</v>
      </c>
      <c r="FV12" s="208" t="s">
        <v>21303</v>
      </c>
      <c r="FW12" s="208" t="s">
        <v>21303</v>
      </c>
      <c r="FX12" s="208" t="s">
        <v>21362</v>
      </c>
      <c r="FY12" s="208">
        <v>36</v>
      </c>
      <c r="FZ12" s="208">
        <v>36</v>
      </c>
      <c r="GA12" s="208">
        <v>36</v>
      </c>
      <c r="GB12" s="208">
        <v>0</v>
      </c>
      <c r="GC12" s="208">
        <v>0</v>
      </c>
      <c r="GD12" s="208">
        <v>0</v>
      </c>
      <c r="GE12" s="208" t="s">
        <v>21363</v>
      </c>
      <c r="GF12" s="208" t="s">
        <v>21392</v>
      </c>
      <c r="GG12" s="208">
        <v>36.5</v>
      </c>
      <c r="GH12" s="208">
        <v>36.5</v>
      </c>
      <c r="GI12" s="208">
        <v>36.5</v>
      </c>
      <c r="GJ12" s="208">
        <v>0</v>
      </c>
      <c r="GK12" s="208">
        <v>0</v>
      </c>
      <c r="GL12" s="208">
        <v>0</v>
      </c>
      <c r="GM12" s="208" t="s">
        <v>21393</v>
      </c>
      <c r="GN12" s="208" t="s">
        <v>21303</v>
      </c>
      <c r="GO12" s="208">
        <v>0</v>
      </c>
      <c r="GP12" s="208">
        <v>0</v>
      </c>
      <c r="GQ12" s="208">
        <v>0</v>
      </c>
      <c r="GR12" s="208">
        <v>0</v>
      </c>
      <c r="GS12" s="208">
        <v>0</v>
      </c>
      <c r="GT12" s="208">
        <v>0</v>
      </c>
      <c r="GU12" s="208" t="s">
        <v>21303</v>
      </c>
      <c r="GV12" s="208" t="s">
        <v>21303</v>
      </c>
      <c r="GW12" s="208">
        <v>0</v>
      </c>
      <c r="GX12" s="208">
        <v>0</v>
      </c>
      <c r="GY12" s="208">
        <v>0</v>
      </c>
      <c r="GZ12" s="208">
        <v>0</v>
      </c>
      <c r="HA12" s="208">
        <v>0</v>
      </c>
      <c r="HB12" s="208">
        <v>0</v>
      </c>
      <c r="HC12" s="208" t="s">
        <v>21303</v>
      </c>
      <c r="HD12" s="208" t="s">
        <v>21303</v>
      </c>
      <c r="HE12" s="208">
        <v>0</v>
      </c>
      <c r="HF12" s="208">
        <v>0</v>
      </c>
      <c r="HG12" s="208">
        <v>0</v>
      </c>
      <c r="HH12" s="208">
        <v>0</v>
      </c>
      <c r="HI12" s="208">
        <v>0</v>
      </c>
      <c r="HJ12" s="208">
        <v>0</v>
      </c>
      <c r="HK12" s="208" t="s">
        <v>21303</v>
      </c>
      <c r="HL12" s="208" t="s">
        <v>21303</v>
      </c>
      <c r="HM12" s="208">
        <v>0</v>
      </c>
      <c r="HN12" s="208">
        <v>0</v>
      </c>
      <c r="HO12" s="208">
        <v>0</v>
      </c>
      <c r="HP12" s="208">
        <v>0</v>
      </c>
      <c r="HQ12" s="208">
        <v>0</v>
      </c>
      <c r="HR12" s="208">
        <v>0</v>
      </c>
      <c r="HS12" s="208" t="s">
        <v>21303</v>
      </c>
      <c r="HT12" s="208" t="s">
        <v>21319</v>
      </c>
      <c r="HU12" s="208">
        <v>36</v>
      </c>
      <c r="HV12" s="208">
        <v>36.5</v>
      </c>
      <c r="HW12" s="208">
        <v>0</v>
      </c>
      <c r="HX12" s="208">
        <v>0</v>
      </c>
      <c r="HY12" s="208">
        <v>0</v>
      </c>
      <c r="HZ12" s="208">
        <v>0</v>
      </c>
      <c r="IA12" s="600">
        <v>36</v>
      </c>
      <c r="IB12" s="600">
        <v>26</v>
      </c>
      <c r="IC12" s="343" t="s">
        <v>21035</v>
      </c>
      <c r="ID12" s="343" t="s">
        <v>21394</v>
      </c>
      <c r="IE12" s="343" t="s">
        <v>21320</v>
      </c>
      <c r="IF12" s="343" t="s">
        <v>21321</v>
      </c>
      <c r="IG12" s="383">
        <v>43748</v>
      </c>
      <c r="IH12" s="383">
        <v>45575</v>
      </c>
      <c r="II12" s="208">
        <v>46</v>
      </c>
    </row>
    <row r="13" ht="102">
      <c r="A13" s="207">
        <v>12</v>
      </c>
      <c r="B13" s="343" t="s">
        <v>21287</v>
      </c>
      <c r="C13" s="343" t="s">
        <v>21288</v>
      </c>
      <c r="D13" s="600">
        <v>128120</v>
      </c>
      <c r="E13" s="317" t="s">
        <v>21129</v>
      </c>
      <c r="F13" s="207" t="s">
        <v>20859</v>
      </c>
      <c r="G13" s="600">
        <v>106.67469</v>
      </c>
      <c r="H13" s="600">
        <v>20.94173</v>
      </c>
      <c r="I13" s="207">
        <v>1</v>
      </c>
      <c r="J13" s="207">
        <v>2</v>
      </c>
      <c r="K13" s="207" t="s">
        <v>21289</v>
      </c>
      <c r="L13" s="207" t="s">
        <v>21395</v>
      </c>
      <c r="M13" s="207" t="s">
        <v>21323</v>
      </c>
      <c r="N13" s="207" t="s">
        <v>21292</v>
      </c>
      <c r="O13" s="207" t="s">
        <v>21293</v>
      </c>
      <c r="P13" s="207" t="s">
        <v>21294</v>
      </c>
      <c r="Q13" s="207" t="s">
        <v>21295</v>
      </c>
      <c r="R13" s="207" t="s">
        <v>21396</v>
      </c>
      <c r="S13" s="364" t="b">
        <v>1</v>
      </c>
      <c r="T13" s="207" t="s">
        <v>21130</v>
      </c>
      <c r="U13" s="207">
        <v>0</v>
      </c>
      <c r="V13" s="207" t="s">
        <v>21297</v>
      </c>
      <c r="W13" s="207" t="s">
        <v>21131</v>
      </c>
      <c r="X13" s="209" t="s">
        <v>21298</v>
      </c>
      <c r="Y13" s="207" t="b">
        <v>0</v>
      </c>
      <c r="Z13" s="364" t="b">
        <v>0</v>
      </c>
      <c r="AA13" s="600">
        <v>25</v>
      </c>
      <c r="AB13" s="364" t="b">
        <v>1</v>
      </c>
      <c r="AC13" s="600">
        <v>10</v>
      </c>
      <c r="AD13" s="207" t="b">
        <v>0</v>
      </c>
      <c r="AE13" s="207" t="s">
        <v>21299</v>
      </c>
      <c r="AF13" s="207" t="s">
        <v>21300</v>
      </c>
      <c r="AG13" s="343" t="s">
        <v>21301</v>
      </c>
      <c r="AH13" s="343" t="s">
        <v>21302</v>
      </c>
      <c r="AI13" s="343" t="s">
        <v>21054</v>
      </c>
      <c r="AJ13" s="343" t="s">
        <v>21303</v>
      </c>
      <c r="AK13" s="343" t="s">
        <v>21304</v>
      </c>
      <c r="AL13" s="208"/>
      <c r="AM13" s="208" t="s">
        <v>21305</v>
      </c>
      <c r="AN13" s="208" t="s">
        <v>21306</v>
      </c>
      <c r="AO13" s="207">
        <v>3</v>
      </c>
      <c r="AP13" s="287" t="s">
        <v>21307</v>
      </c>
      <c r="AQ13" s="448" t="s">
        <v>21352</v>
      </c>
      <c r="AR13" s="448" t="s">
        <v>21397</v>
      </c>
      <c r="AS13" s="449" t="s">
        <v>7600</v>
      </c>
      <c r="AT13" s="208" t="s">
        <v>21306</v>
      </c>
      <c r="AU13" s="208" t="s">
        <v>21306</v>
      </c>
      <c r="AV13" s="208" t="s">
        <v>21303</v>
      </c>
      <c r="AW13" s="208" t="s">
        <v>21303</v>
      </c>
      <c r="AX13" s="208" t="s">
        <v>21303</v>
      </c>
      <c r="AY13" s="208" t="s">
        <v>21303</v>
      </c>
      <c r="AZ13" s="208" t="s">
        <v>21288</v>
      </c>
      <c r="BA13" s="208" t="s">
        <v>21288</v>
      </c>
      <c r="BB13" s="208" t="s">
        <v>21303</v>
      </c>
      <c r="BC13" s="208" t="s">
        <v>21303</v>
      </c>
      <c r="BD13" s="208" t="s">
        <v>21303</v>
      </c>
      <c r="BE13" s="208" t="s">
        <v>21303</v>
      </c>
      <c r="BF13" s="208" t="s">
        <v>21310</v>
      </c>
      <c r="BG13" s="208" t="s">
        <v>21398</v>
      </c>
      <c r="BH13" s="208" t="s">
        <v>21398</v>
      </c>
      <c r="BI13" s="208" t="s">
        <v>21303</v>
      </c>
      <c r="BJ13" s="208" t="s">
        <v>21303</v>
      </c>
      <c r="BK13" s="208" t="s">
        <v>21303</v>
      </c>
      <c r="BL13" s="208" t="s">
        <v>21303</v>
      </c>
      <c r="BM13" s="208" t="s">
        <v>21326</v>
      </c>
      <c r="BN13" s="208" t="s">
        <v>21326</v>
      </c>
      <c r="BO13" s="208" t="s">
        <v>21303</v>
      </c>
      <c r="BP13" s="208" t="s">
        <v>21303</v>
      </c>
      <c r="BQ13" s="208" t="s">
        <v>21303</v>
      </c>
      <c r="BR13" s="208" t="s">
        <v>21303</v>
      </c>
      <c r="BS13" s="208">
        <v>3</v>
      </c>
      <c r="BT13" s="208">
        <v>3</v>
      </c>
      <c r="BU13" s="208">
        <v>0</v>
      </c>
      <c r="BV13" s="208">
        <v>0</v>
      </c>
      <c r="BW13" s="208">
        <v>0</v>
      </c>
      <c r="BX13" s="208">
        <v>0</v>
      </c>
      <c r="BY13" s="208" t="s">
        <v>21313</v>
      </c>
      <c r="BZ13" s="208">
        <v>1</v>
      </c>
      <c r="CA13" s="208">
        <v>1</v>
      </c>
      <c r="CB13" s="208">
        <v>1</v>
      </c>
      <c r="CC13" s="208">
        <v>0</v>
      </c>
      <c r="CD13" s="208">
        <v>0</v>
      </c>
      <c r="CE13" s="208">
        <v>0</v>
      </c>
      <c r="CF13" s="208" t="s">
        <v>21313</v>
      </c>
      <c r="CG13" s="208">
        <v>1</v>
      </c>
      <c r="CH13" s="208">
        <v>1</v>
      </c>
      <c r="CI13" s="208">
        <v>1</v>
      </c>
      <c r="CJ13" s="208">
        <v>0</v>
      </c>
      <c r="CK13" s="208">
        <v>0</v>
      </c>
      <c r="CL13" s="208">
        <v>0</v>
      </c>
      <c r="CM13" s="208" t="s">
        <v>21303</v>
      </c>
      <c r="CN13" s="208">
        <v>0</v>
      </c>
      <c r="CO13" s="208">
        <v>0</v>
      </c>
      <c r="CP13" s="208">
        <v>0</v>
      </c>
      <c r="CQ13" s="208">
        <v>0</v>
      </c>
      <c r="CR13" s="208">
        <v>0</v>
      </c>
      <c r="CS13" s="208">
        <v>0</v>
      </c>
      <c r="CT13" s="208" t="s">
        <v>21303</v>
      </c>
      <c r="CU13" s="208">
        <v>0</v>
      </c>
      <c r="CV13" s="208">
        <v>0</v>
      </c>
      <c r="CW13" s="208">
        <v>0</v>
      </c>
      <c r="CX13" s="208">
        <v>0</v>
      </c>
      <c r="CY13" s="208">
        <v>0</v>
      </c>
      <c r="CZ13" s="208">
        <v>0</v>
      </c>
      <c r="DA13" s="208" t="s">
        <v>21303</v>
      </c>
      <c r="DB13" s="208">
        <v>0</v>
      </c>
      <c r="DC13" s="208">
        <v>0</v>
      </c>
      <c r="DD13" s="208">
        <v>0</v>
      </c>
      <c r="DE13" s="208">
        <v>0</v>
      </c>
      <c r="DF13" s="208">
        <v>0</v>
      </c>
      <c r="DG13" s="208">
        <v>0</v>
      </c>
      <c r="DH13" s="208" t="s">
        <v>21303</v>
      </c>
      <c r="DI13" s="208">
        <v>0</v>
      </c>
      <c r="DJ13" s="208">
        <v>0</v>
      </c>
      <c r="DK13" s="208">
        <v>0</v>
      </c>
      <c r="DL13" s="208">
        <v>0</v>
      </c>
      <c r="DM13" s="208">
        <v>0</v>
      </c>
      <c r="DN13" s="208">
        <v>0</v>
      </c>
      <c r="DO13" s="208" t="s">
        <v>21314</v>
      </c>
      <c r="DP13" s="208">
        <v>80</v>
      </c>
      <c r="DQ13" s="208">
        <v>80</v>
      </c>
      <c r="DR13" s="208">
        <v>80</v>
      </c>
      <c r="DS13" s="208">
        <v>0</v>
      </c>
      <c r="DT13" s="208">
        <v>0</v>
      </c>
      <c r="DU13" s="208">
        <v>0</v>
      </c>
      <c r="DV13" s="208" t="s">
        <v>21315</v>
      </c>
      <c r="DW13" s="208">
        <v>80</v>
      </c>
      <c r="DX13" s="208" t="s">
        <v>21314</v>
      </c>
      <c r="DY13" s="208">
        <v>80</v>
      </c>
      <c r="DZ13" s="208">
        <v>80</v>
      </c>
      <c r="EA13" s="208">
        <v>80</v>
      </c>
      <c r="EB13" s="208">
        <v>0</v>
      </c>
      <c r="EC13" s="208">
        <v>0</v>
      </c>
      <c r="ED13" s="208">
        <v>0</v>
      </c>
      <c r="EE13" s="208" t="s">
        <v>21315</v>
      </c>
      <c r="EF13" s="208">
        <v>80</v>
      </c>
      <c r="EG13" s="208" t="s">
        <v>21303</v>
      </c>
      <c r="EH13" s="208">
        <v>0</v>
      </c>
      <c r="EI13" s="208">
        <v>0</v>
      </c>
      <c r="EJ13" s="208">
        <v>0</v>
      </c>
      <c r="EK13" s="208">
        <v>0</v>
      </c>
      <c r="EL13" s="208">
        <v>0</v>
      </c>
      <c r="EM13" s="208">
        <v>0</v>
      </c>
      <c r="EN13" s="208" t="s">
        <v>21303</v>
      </c>
      <c r="EO13" s="208">
        <v>0</v>
      </c>
      <c r="EP13" s="208" t="s">
        <v>21303</v>
      </c>
      <c r="EQ13" s="208">
        <v>0</v>
      </c>
      <c r="ER13" s="208">
        <v>0</v>
      </c>
      <c r="ES13" s="208">
        <v>0</v>
      </c>
      <c r="ET13" s="208">
        <v>0</v>
      </c>
      <c r="EU13" s="208">
        <v>0</v>
      </c>
      <c r="EV13" s="208">
        <v>0</v>
      </c>
      <c r="EW13" s="208" t="s">
        <v>21303</v>
      </c>
      <c r="EX13" s="208">
        <v>0</v>
      </c>
      <c r="EY13" s="208" t="s">
        <v>21303</v>
      </c>
      <c r="EZ13" s="208">
        <v>0</v>
      </c>
      <c r="FA13" s="208">
        <v>0</v>
      </c>
      <c r="FB13" s="208">
        <v>0</v>
      </c>
      <c r="FC13" s="208">
        <v>0</v>
      </c>
      <c r="FD13" s="208">
        <v>0</v>
      </c>
      <c r="FE13" s="208">
        <v>0</v>
      </c>
      <c r="FF13" s="208" t="s">
        <v>21303</v>
      </c>
      <c r="FG13" s="208">
        <v>0</v>
      </c>
      <c r="FH13" s="208" t="s">
        <v>21303</v>
      </c>
      <c r="FI13" s="208">
        <v>0</v>
      </c>
      <c r="FJ13" s="208">
        <v>0</v>
      </c>
      <c r="FK13" s="208">
        <v>0</v>
      </c>
      <c r="FL13" s="208">
        <v>0</v>
      </c>
      <c r="FM13" s="208">
        <v>0</v>
      </c>
      <c r="FN13" s="208">
        <v>0</v>
      </c>
      <c r="FO13" s="208" t="s">
        <v>21303</v>
      </c>
      <c r="FP13" s="208">
        <v>0</v>
      </c>
      <c r="FQ13" s="208">
        <v>80</v>
      </c>
      <c r="FR13" s="208" t="s">
        <v>19816</v>
      </c>
      <c r="FS13" s="208" t="s">
        <v>21316</v>
      </c>
      <c r="FT13" s="208" t="s">
        <v>21303</v>
      </c>
      <c r="FU13" s="208" t="s">
        <v>21303</v>
      </c>
      <c r="FV13" s="208" t="s">
        <v>21303</v>
      </c>
      <c r="FW13" s="208" t="s">
        <v>21303</v>
      </c>
      <c r="FX13" s="208" t="s">
        <v>21399</v>
      </c>
      <c r="FY13" s="208">
        <v>25</v>
      </c>
      <c r="FZ13" s="208">
        <v>25</v>
      </c>
      <c r="GA13" s="208">
        <v>25</v>
      </c>
      <c r="GB13" s="208">
        <v>0</v>
      </c>
      <c r="GC13" s="208">
        <v>0</v>
      </c>
      <c r="GD13" s="208">
        <v>0</v>
      </c>
      <c r="GE13" s="208" t="s">
        <v>21400</v>
      </c>
      <c r="GF13" s="208" t="s">
        <v>21399</v>
      </c>
      <c r="GG13" s="208">
        <v>25</v>
      </c>
      <c r="GH13" s="208">
        <v>25</v>
      </c>
      <c r="GI13" s="208">
        <v>25</v>
      </c>
      <c r="GJ13" s="208">
        <v>0</v>
      </c>
      <c r="GK13" s="208">
        <v>0</v>
      </c>
      <c r="GL13" s="208">
        <v>0</v>
      </c>
      <c r="GM13" s="208" t="s">
        <v>21400</v>
      </c>
      <c r="GN13" s="208" t="s">
        <v>21303</v>
      </c>
      <c r="GO13" s="208">
        <v>0</v>
      </c>
      <c r="GP13" s="208">
        <v>0</v>
      </c>
      <c r="GQ13" s="208">
        <v>0</v>
      </c>
      <c r="GR13" s="208">
        <v>0</v>
      </c>
      <c r="GS13" s="208">
        <v>0</v>
      </c>
      <c r="GT13" s="208">
        <v>0</v>
      </c>
      <c r="GU13" s="208" t="s">
        <v>21303</v>
      </c>
      <c r="GV13" s="208" t="s">
        <v>21303</v>
      </c>
      <c r="GW13" s="208">
        <v>0</v>
      </c>
      <c r="GX13" s="208">
        <v>0</v>
      </c>
      <c r="GY13" s="208">
        <v>0</v>
      </c>
      <c r="GZ13" s="208">
        <v>0</v>
      </c>
      <c r="HA13" s="208">
        <v>0</v>
      </c>
      <c r="HB13" s="208">
        <v>0</v>
      </c>
      <c r="HC13" s="208" t="s">
        <v>21303</v>
      </c>
      <c r="HD13" s="208" t="s">
        <v>21303</v>
      </c>
      <c r="HE13" s="208">
        <v>0</v>
      </c>
      <c r="HF13" s="208">
        <v>0</v>
      </c>
      <c r="HG13" s="208">
        <v>0</v>
      </c>
      <c r="HH13" s="208">
        <v>0</v>
      </c>
      <c r="HI13" s="208">
        <v>0</v>
      </c>
      <c r="HJ13" s="208">
        <v>0</v>
      </c>
      <c r="HK13" s="208" t="s">
        <v>21303</v>
      </c>
      <c r="HL13" s="208" t="s">
        <v>21303</v>
      </c>
      <c r="HM13" s="208">
        <v>0</v>
      </c>
      <c r="HN13" s="208">
        <v>0</v>
      </c>
      <c r="HO13" s="208">
        <v>0</v>
      </c>
      <c r="HP13" s="208">
        <v>0</v>
      </c>
      <c r="HQ13" s="208">
        <v>0</v>
      </c>
      <c r="HR13" s="208">
        <v>0</v>
      </c>
      <c r="HS13" s="208" t="s">
        <v>21303</v>
      </c>
      <c r="HT13" s="208" t="s">
        <v>21319</v>
      </c>
      <c r="HU13" s="208">
        <v>25</v>
      </c>
      <c r="HV13" s="208">
        <v>25</v>
      </c>
      <c r="HW13" s="208">
        <v>0</v>
      </c>
      <c r="HX13" s="208">
        <v>0</v>
      </c>
      <c r="HY13" s="208">
        <v>0</v>
      </c>
      <c r="HZ13" s="208">
        <v>0</v>
      </c>
      <c r="IA13" s="600">
        <v>25</v>
      </c>
      <c r="IB13" s="600">
        <v>15</v>
      </c>
      <c r="IC13" s="343" t="s">
        <v>21035</v>
      </c>
      <c r="ID13" s="343" t="s">
        <v>21401</v>
      </c>
      <c r="IE13" s="343" t="s">
        <v>21320</v>
      </c>
      <c r="IF13" s="343" t="s">
        <v>21321</v>
      </c>
      <c r="IG13" s="383">
        <v>43748</v>
      </c>
      <c r="IH13" s="383">
        <v>45575</v>
      </c>
      <c r="II13" s="208">
        <v>46</v>
      </c>
    </row>
    <row r="14" ht="102">
      <c r="A14" s="207">
        <v>13</v>
      </c>
      <c r="B14" s="343" t="s">
        <v>21287</v>
      </c>
      <c r="C14" s="343" t="s">
        <v>21288</v>
      </c>
      <c r="D14" s="600">
        <v>128165</v>
      </c>
      <c r="E14" s="317" t="s">
        <v>21132</v>
      </c>
      <c r="F14" s="207" t="s">
        <v>20859</v>
      </c>
      <c r="G14" s="600">
        <v>106.654525</v>
      </c>
      <c r="H14" s="600">
        <v>20.925022</v>
      </c>
      <c r="I14" s="207">
        <v>1</v>
      </c>
      <c r="J14" s="207">
        <v>2</v>
      </c>
      <c r="K14" s="207" t="s">
        <v>21289</v>
      </c>
      <c r="L14" s="207" t="s">
        <v>21402</v>
      </c>
      <c r="M14" s="207" t="s">
        <v>21291</v>
      </c>
      <c r="N14" s="207" t="s">
        <v>21292</v>
      </c>
      <c r="O14" s="207" t="s">
        <v>21293</v>
      </c>
      <c r="P14" s="207" t="s">
        <v>21294</v>
      </c>
      <c r="Q14" s="207" t="s">
        <v>21295</v>
      </c>
      <c r="R14" s="207" t="s">
        <v>21403</v>
      </c>
      <c r="S14" s="364" t="b">
        <v>1</v>
      </c>
      <c r="T14" s="207" t="s">
        <v>21133</v>
      </c>
      <c r="U14" s="207">
        <v>0</v>
      </c>
      <c r="V14" s="207" t="s">
        <v>21297</v>
      </c>
      <c r="W14" s="207" t="s">
        <v>21134</v>
      </c>
      <c r="X14" s="209" t="s">
        <v>21298</v>
      </c>
      <c r="Y14" s="207" t="b">
        <v>0</v>
      </c>
      <c r="Z14" s="364" t="b">
        <v>0</v>
      </c>
      <c r="AA14" s="600">
        <v>22</v>
      </c>
      <c r="AB14" s="364" t="b">
        <v>1</v>
      </c>
      <c r="AC14" s="600">
        <v>10</v>
      </c>
      <c r="AD14" s="207" t="b">
        <v>0</v>
      </c>
      <c r="AE14" s="207" t="s">
        <v>21299</v>
      </c>
      <c r="AF14" s="207" t="s">
        <v>21300</v>
      </c>
      <c r="AG14" s="343" t="s">
        <v>21301</v>
      </c>
      <c r="AH14" s="343" t="s">
        <v>21302</v>
      </c>
      <c r="AI14" s="343" t="s">
        <v>21054</v>
      </c>
      <c r="AJ14" s="343" t="s">
        <v>21303</v>
      </c>
      <c r="AK14" s="343" t="s">
        <v>21304</v>
      </c>
      <c r="AL14" s="208"/>
      <c r="AM14" s="208" t="s">
        <v>21305</v>
      </c>
      <c r="AN14" s="208" t="s">
        <v>21306</v>
      </c>
      <c r="AO14" s="207">
        <v>4</v>
      </c>
      <c r="AP14" s="287" t="s">
        <v>21307</v>
      </c>
      <c r="AQ14" s="448" t="s">
        <v>21352</v>
      </c>
      <c r="AR14" s="448" t="s">
        <v>21404</v>
      </c>
      <c r="AS14" s="449" t="s">
        <v>7600</v>
      </c>
      <c r="AT14" s="208" t="s">
        <v>21306</v>
      </c>
      <c r="AU14" s="208" t="s">
        <v>21306</v>
      </c>
      <c r="AV14" s="208" t="s">
        <v>21303</v>
      </c>
      <c r="AW14" s="208" t="s">
        <v>21303</v>
      </c>
      <c r="AX14" s="208" t="s">
        <v>21303</v>
      </c>
      <c r="AY14" s="208" t="s">
        <v>21303</v>
      </c>
      <c r="AZ14" s="208" t="s">
        <v>21288</v>
      </c>
      <c r="BA14" s="208" t="s">
        <v>21288</v>
      </c>
      <c r="BB14" s="208" t="s">
        <v>21303</v>
      </c>
      <c r="BC14" s="208" t="s">
        <v>21303</v>
      </c>
      <c r="BD14" s="208" t="s">
        <v>21303</v>
      </c>
      <c r="BE14" s="208" t="s">
        <v>21303</v>
      </c>
      <c r="BF14" s="208" t="s">
        <v>21310</v>
      </c>
      <c r="BG14" s="208" t="s">
        <v>21405</v>
      </c>
      <c r="BH14" s="208" t="s">
        <v>21405</v>
      </c>
      <c r="BI14" s="208" t="s">
        <v>21303</v>
      </c>
      <c r="BJ14" s="208" t="s">
        <v>21303</v>
      </c>
      <c r="BK14" s="208" t="s">
        <v>21303</v>
      </c>
      <c r="BL14" s="208" t="s">
        <v>21303</v>
      </c>
      <c r="BM14" s="208" t="s">
        <v>21312</v>
      </c>
      <c r="BN14" s="208" t="s">
        <v>21312</v>
      </c>
      <c r="BO14" s="208" t="s">
        <v>21303</v>
      </c>
      <c r="BP14" s="208" t="s">
        <v>21303</v>
      </c>
      <c r="BQ14" s="208" t="s">
        <v>21303</v>
      </c>
      <c r="BR14" s="208" t="s">
        <v>21303</v>
      </c>
      <c r="BS14" s="208">
        <v>3</v>
      </c>
      <c r="BT14" s="208">
        <v>3</v>
      </c>
      <c r="BU14" s="208">
        <v>0</v>
      </c>
      <c r="BV14" s="208">
        <v>0</v>
      </c>
      <c r="BW14" s="208">
        <v>0</v>
      </c>
      <c r="BX14" s="208">
        <v>0</v>
      </c>
      <c r="BY14" s="208" t="s">
        <v>21313</v>
      </c>
      <c r="BZ14" s="208">
        <v>1</v>
      </c>
      <c r="CA14" s="208">
        <v>1</v>
      </c>
      <c r="CB14" s="208">
        <v>1</v>
      </c>
      <c r="CC14" s="208">
        <v>0</v>
      </c>
      <c r="CD14" s="208">
        <v>0</v>
      </c>
      <c r="CE14" s="208">
        <v>0</v>
      </c>
      <c r="CF14" s="208" t="s">
        <v>21313</v>
      </c>
      <c r="CG14" s="208">
        <v>1</v>
      </c>
      <c r="CH14" s="208">
        <v>1</v>
      </c>
      <c r="CI14" s="208">
        <v>1</v>
      </c>
      <c r="CJ14" s="208">
        <v>0</v>
      </c>
      <c r="CK14" s="208">
        <v>0</v>
      </c>
      <c r="CL14" s="208">
        <v>0</v>
      </c>
      <c r="CM14" s="208" t="s">
        <v>21303</v>
      </c>
      <c r="CN14" s="208">
        <v>0</v>
      </c>
      <c r="CO14" s="208">
        <v>0</v>
      </c>
      <c r="CP14" s="208">
        <v>0</v>
      </c>
      <c r="CQ14" s="208">
        <v>0</v>
      </c>
      <c r="CR14" s="208">
        <v>0</v>
      </c>
      <c r="CS14" s="208">
        <v>0</v>
      </c>
      <c r="CT14" s="208" t="s">
        <v>21303</v>
      </c>
      <c r="CU14" s="208">
        <v>0</v>
      </c>
      <c r="CV14" s="208">
        <v>0</v>
      </c>
      <c r="CW14" s="208">
        <v>0</v>
      </c>
      <c r="CX14" s="208">
        <v>0</v>
      </c>
      <c r="CY14" s="208">
        <v>0</v>
      </c>
      <c r="CZ14" s="208">
        <v>0</v>
      </c>
      <c r="DA14" s="208" t="s">
        <v>21303</v>
      </c>
      <c r="DB14" s="208">
        <v>0</v>
      </c>
      <c r="DC14" s="208">
        <v>0</v>
      </c>
      <c r="DD14" s="208">
        <v>0</v>
      </c>
      <c r="DE14" s="208">
        <v>0</v>
      </c>
      <c r="DF14" s="208">
        <v>0</v>
      </c>
      <c r="DG14" s="208">
        <v>0</v>
      </c>
      <c r="DH14" s="208" t="s">
        <v>21303</v>
      </c>
      <c r="DI14" s="208">
        <v>0</v>
      </c>
      <c r="DJ14" s="208">
        <v>0</v>
      </c>
      <c r="DK14" s="208">
        <v>0</v>
      </c>
      <c r="DL14" s="208">
        <v>0</v>
      </c>
      <c r="DM14" s="208">
        <v>0</v>
      </c>
      <c r="DN14" s="208">
        <v>0</v>
      </c>
      <c r="DO14" s="208" t="s">
        <v>21314</v>
      </c>
      <c r="DP14" s="208">
        <v>80</v>
      </c>
      <c r="DQ14" s="208">
        <v>80</v>
      </c>
      <c r="DR14" s="208">
        <v>80</v>
      </c>
      <c r="DS14" s="208">
        <v>0</v>
      </c>
      <c r="DT14" s="208">
        <v>0</v>
      </c>
      <c r="DU14" s="208">
        <v>0</v>
      </c>
      <c r="DV14" s="208" t="s">
        <v>21315</v>
      </c>
      <c r="DW14" s="208">
        <v>80</v>
      </c>
      <c r="DX14" s="208" t="s">
        <v>21314</v>
      </c>
      <c r="DY14" s="208">
        <v>80</v>
      </c>
      <c r="DZ14" s="208">
        <v>80</v>
      </c>
      <c r="EA14" s="208">
        <v>80</v>
      </c>
      <c r="EB14" s="208">
        <v>0</v>
      </c>
      <c r="EC14" s="208">
        <v>0</v>
      </c>
      <c r="ED14" s="208">
        <v>0</v>
      </c>
      <c r="EE14" s="208" t="s">
        <v>21315</v>
      </c>
      <c r="EF14" s="208">
        <v>80</v>
      </c>
      <c r="EG14" s="208" t="s">
        <v>21303</v>
      </c>
      <c r="EH14" s="208">
        <v>0</v>
      </c>
      <c r="EI14" s="208">
        <v>0</v>
      </c>
      <c r="EJ14" s="208">
        <v>0</v>
      </c>
      <c r="EK14" s="208">
        <v>0</v>
      </c>
      <c r="EL14" s="208">
        <v>0</v>
      </c>
      <c r="EM14" s="208">
        <v>0</v>
      </c>
      <c r="EN14" s="208" t="s">
        <v>21303</v>
      </c>
      <c r="EO14" s="208">
        <v>0</v>
      </c>
      <c r="EP14" s="208" t="s">
        <v>21303</v>
      </c>
      <c r="EQ14" s="208">
        <v>0</v>
      </c>
      <c r="ER14" s="208">
        <v>0</v>
      </c>
      <c r="ES14" s="208">
        <v>0</v>
      </c>
      <c r="ET14" s="208">
        <v>0</v>
      </c>
      <c r="EU14" s="208">
        <v>0</v>
      </c>
      <c r="EV14" s="208">
        <v>0</v>
      </c>
      <c r="EW14" s="208" t="s">
        <v>21303</v>
      </c>
      <c r="EX14" s="208">
        <v>0</v>
      </c>
      <c r="EY14" s="208" t="s">
        <v>21303</v>
      </c>
      <c r="EZ14" s="208">
        <v>0</v>
      </c>
      <c r="FA14" s="208">
        <v>0</v>
      </c>
      <c r="FB14" s="208">
        <v>0</v>
      </c>
      <c r="FC14" s="208">
        <v>0</v>
      </c>
      <c r="FD14" s="208">
        <v>0</v>
      </c>
      <c r="FE14" s="208">
        <v>0</v>
      </c>
      <c r="FF14" s="208" t="s">
        <v>21303</v>
      </c>
      <c r="FG14" s="208">
        <v>0</v>
      </c>
      <c r="FH14" s="208" t="s">
        <v>21303</v>
      </c>
      <c r="FI14" s="208">
        <v>0</v>
      </c>
      <c r="FJ14" s="208">
        <v>0</v>
      </c>
      <c r="FK14" s="208">
        <v>0</v>
      </c>
      <c r="FL14" s="208">
        <v>0</v>
      </c>
      <c r="FM14" s="208">
        <v>0</v>
      </c>
      <c r="FN14" s="208">
        <v>0</v>
      </c>
      <c r="FO14" s="208" t="s">
        <v>21303</v>
      </c>
      <c r="FP14" s="208">
        <v>0</v>
      </c>
      <c r="FQ14" s="208">
        <v>80</v>
      </c>
      <c r="FR14" s="208" t="s">
        <v>19816</v>
      </c>
      <c r="FS14" s="208" t="s">
        <v>21316</v>
      </c>
      <c r="FT14" s="208" t="s">
        <v>21303</v>
      </c>
      <c r="FU14" s="208" t="s">
        <v>21303</v>
      </c>
      <c r="FV14" s="208" t="s">
        <v>21303</v>
      </c>
      <c r="FW14" s="208" t="s">
        <v>21303</v>
      </c>
      <c r="FX14" s="208" t="s">
        <v>21335</v>
      </c>
      <c r="FY14" s="208">
        <v>22</v>
      </c>
      <c r="FZ14" s="208">
        <v>22</v>
      </c>
      <c r="GA14" s="208">
        <v>22</v>
      </c>
      <c r="GB14" s="208">
        <v>0</v>
      </c>
      <c r="GC14" s="208">
        <v>0</v>
      </c>
      <c r="GD14" s="208">
        <v>0</v>
      </c>
      <c r="GE14" s="208" t="s">
        <v>21336</v>
      </c>
      <c r="GF14" s="208" t="s">
        <v>21386</v>
      </c>
      <c r="GG14" s="208">
        <v>23</v>
      </c>
      <c r="GH14" s="208">
        <v>23</v>
      </c>
      <c r="GI14" s="208">
        <v>23</v>
      </c>
      <c r="GJ14" s="208">
        <v>0</v>
      </c>
      <c r="GK14" s="208">
        <v>0</v>
      </c>
      <c r="GL14" s="208">
        <v>0</v>
      </c>
      <c r="GM14" s="208" t="s">
        <v>21387</v>
      </c>
      <c r="GN14" s="208" t="s">
        <v>21303</v>
      </c>
      <c r="GO14" s="208">
        <v>0</v>
      </c>
      <c r="GP14" s="208">
        <v>0</v>
      </c>
      <c r="GQ14" s="208">
        <v>0</v>
      </c>
      <c r="GR14" s="208">
        <v>0</v>
      </c>
      <c r="GS14" s="208">
        <v>0</v>
      </c>
      <c r="GT14" s="208">
        <v>0</v>
      </c>
      <c r="GU14" s="208" t="s">
        <v>21303</v>
      </c>
      <c r="GV14" s="208" t="s">
        <v>21303</v>
      </c>
      <c r="GW14" s="208">
        <v>0</v>
      </c>
      <c r="GX14" s="208">
        <v>0</v>
      </c>
      <c r="GY14" s="208">
        <v>0</v>
      </c>
      <c r="GZ14" s="208">
        <v>0</v>
      </c>
      <c r="HA14" s="208">
        <v>0</v>
      </c>
      <c r="HB14" s="208">
        <v>0</v>
      </c>
      <c r="HC14" s="208" t="s">
        <v>21303</v>
      </c>
      <c r="HD14" s="208" t="s">
        <v>21303</v>
      </c>
      <c r="HE14" s="208">
        <v>0</v>
      </c>
      <c r="HF14" s="208">
        <v>0</v>
      </c>
      <c r="HG14" s="208">
        <v>0</v>
      </c>
      <c r="HH14" s="208">
        <v>0</v>
      </c>
      <c r="HI14" s="208">
        <v>0</v>
      </c>
      <c r="HJ14" s="208">
        <v>0</v>
      </c>
      <c r="HK14" s="208" t="s">
        <v>21303</v>
      </c>
      <c r="HL14" s="208" t="s">
        <v>21303</v>
      </c>
      <c r="HM14" s="208">
        <v>0</v>
      </c>
      <c r="HN14" s="208">
        <v>0</v>
      </c>
      <c r="HO14" s="208">
        <v>0</v>
      </c>
      <c r="HP14" s="208">
        <v>0</v>
      </c>
      <c r="HQ14" s="208">
        <v>0</v>
      </c>
      <c r="HR14" s="208">
        <v>0</v>
      </c>
      <c r="HS14" s="208" t="s">
        <v>21303</v>
      </c>
      <c r="HT14" s="208" t="s">
        <v>21319</v>
      </c>
      <c r="HU14" s="208">
        <v>22</v>
      </c>
      <c r="HV14" s="208">
        <v>23</v>
      </c>
      <c r="HW14" s="208">
        <v>0</v>
      </c>
      <c r="HX14" s="208">
        <v>0</v>
      </c>
      <c r="HY14" s="208">
        <v>0</v>
      </c>
      <c r="HZ14" s="208">
        <v>0</v>
      </c>
      <c r="IA14" s="600">
        <v>22</v>
      </c>
      <c r="IB14" s="600">
        <v>12</v>
      </c>
      <c r="IC14" s="343" t="s">
        <v>21035</v>
      </c>
      <c r="ID14" s="343" t="s">
        <v>3607</v>
      </c>
      <c r="IE14" s="343" t="s">
        <v>21320</v>
      </c>
      <c r="IF14" s="343" t="s">
        <v>21321</v>
      </c>
      <c r="IG14" s="383">
        <v>43748</v>
      </c>
      <c r="IH14" s="383">
        <v>45575</v>
      </c>
      <c r="II14" s="208">
        <v>46</v>
      </c>
    </row>
    <row r="15" ht="102">
      <c r="A15" s="207">
        <v>14</v>
      </c>
      <c r="B15" s="343" t="s">
        <v>21287</v>
      </c>
      <c r="C15" s="343" t="s">
        <v>21288</v>
      </c>
      <c r="D15" s="600">
        <v>128043</v>
      </c>
      <c r="E15" s="317" t="s">
        <v>21135</v>
      </c>
      <c r="F15" s="207" t="s">
        <v>20859</v>
      </c>
      <c r="G15" s="600">
        <v>106.632459</v>
      </c>
      <c r="H15" s="600">
        <v>20.938518</v>
      </c>
      <c r="I15" s="207">
        <v>1</v>
      </c>
      <c r="J15" s="207">
        <v>2</v>
      </c>
      <c r="K15" s="207" t="s">
        <v>21289</v>
      </c>
      <c r="L15" s="207" t="s">
        <v>21406</v>
      </c>
      <c r="M15" s="207" t="s">
        <v>21323</v>
      </c>
      <c r="N15" s="207" t="s">
        <v>21292</v>
      </c>
      <c r="O15" s="207" t="s">
        <v>21293</v>
      </c>
      <c r="P15" s="207" t="s">
        <v>21294</v>
      </c>
      <c r="Q15" s="207" t="s">
        <v>21295</v>
      </c>
      <c r="R15" s="207" t="s">
        <v>21407</v>
      </c>
      <c r="S15" s="364" t="b">
        <v>1</v>
      </c>
      <c r="T15" s="207" t="s">
        <v>21136</v>
      </c>
      <c r="U15" s="207">
        <v>0</v>
      </c>
      <c r="V15" s="207" t="s">
        <v>21297</v>
      </c>
      <c r="W15" s="207" t="s">
        <v>21137</v>
      </c>
      <c r="X15" s="209" t="s">
        <v>21298</v>
      </c>
      <c r="Y15" s="207" t="b">
        <v>1</v>
      </c>
      <c r="Z15" s="364" t="b">
        <v>0</v>
      </c>
      <c r="AA15" s="600">
        <v>33</v>
      </c>
      <c r="AB15" s="364" t="b">
        <v>1</v>
      </c>
      <c r="AC15" s="600">
        <v>8</v>
      </c>
      <c r="AD15" s="207" t="b">
        <v>0</v>
      </c>
      <c r="AE15" s="207" t="s">
        <v>21299</v>
      </c>
      <c r="AF15" s="207" t="s">
        <v>21300</v>
      </c>
      <c r="AG15" s="343" t="s">
        <v>21301</v>
      </c>
      <c r="AH15" s="343" t="s">
        <v>21302</v>
      </c>
      <c r="AI15" s="343" t="s">
        <v>21054</v>
      </c>
      <c r="AJ15" s="343" t="s">
        <v>21303</v>
      </c>
      <c r="AK15" s="343" t="s">
        <v>21304</v>
      </c>
      <c r="AL15" s="208"/>
      <c r="AM15" s="208" t="s">
        <v>21305</v>
      </c>
      <c r="AN15" s="208" t="s">
        <v>21306</v>
      </c>
      <c r="AO15" s="207">
        <v>3</v>
      </c>
      <c r="AP15" s="287" t="s">
        <v>21307</v>
      </c>
      <c r="AQ15" s="448" t="s">
        <v>21352</v>
      </c>
      <c r="AR15" s="448" t="s">
        <v>21408</v>
      </c>
      <c r="AS15" s="449" t="s">
        <v>7600</v>
      </c>
      <c r="AT15" s="208" t="s">
        <v>21306</v>
      </c>
      <c r="AU15" s="208" t="s">
        <v>21306</v>
      </c>
      <c r="AV15" s="208" t="s">
        <v>21303</v>
      </c>
      <c r="AW15" s="208" t="s">
        <v>21303</v>
      </c>
      <c r="AX15" s="208" t="s">
        <v>21303</v>
      </c>
      <c r="AY15" s="208" t="s">
        <v>21303</v>
      </c>
      <c r="AZ15" s="208" t="s">
        <v>21288</v>
      </c>
      <c r="BA15" s="208" t="s">
        <v>21288</v>
      </c>
      <c r="BB15" s="208" t="s">
        <v>21303</v>
      </c>
      <c r="BC15" s="208" t="s">
        <v>21303</v>
      </c>
      <c r="BD15" s="208" t="s">
        <v>21303</v>
      </c>
      <c r="BE15" s="208" t="s">
        <v>21303</v>
      </c>
      <c r="BF15" s="208" t="s">
        <v>21310</v>
      </c>
      <c r="BG15" s="208" t="s">
        <v>21409</v>
      </c>
      <c r="BH15" s="208" t="s">
        <v>21409</v>
      </c>
      <c r="BI15" s="208" t="s">
        <v>21303</v>
      </c>
      <c r="BJ15" s="208" t="s">
        <v>21303</v>
      </c>
      <c r="BK15" s="208" t="s">
        <v>21303</v>
      </c>
      <c r="BL15" s="208" t="s">
        <v>21303</v>
      </c>
      <c r="BM15" s="208" t="s">
        <v>21326</v>
      </c>
      <c r="BN15" s="208" t="s">
        <v>21326</v>
      </c>
      <c r="BO15" s="208" t="s">
        <v>21303</v>
      </c>
      <c r="BP15" s="208" t="s">
        <v>21303</v>
      </c>
      <c r="BQ15" s="208" t="s">
        <v>21303</v>
      </c>
      <c r="BR15" s="208" t="s">
        <v>21303</v>
      </c>
      <c r="BS15" s="208">
        <v>3</v>
      </c>
      <c r="BT15" s="208">
        <v>3</v>
      </c>
      <c r="BU15" s="208">
        <v>0</v>
      </c>
      <c r="BV15" s="208">
        <v>0</v>
      </c>
      <c r="BW15" s="208">
        <v>0</v>
      </c>
      <c r="BX15" s="208">
        <v>0</v>
      </c>
      <c r="BY15" s="208" t="s">
        <v>21313</v>
      </c>
      <c r="BZ15" s="208">
        <v>1</v>
      </c>
      <c r="CA15" s="208">
        <v>1</v>
      </c>
      <c r="CB15" s="208">
        <v>1</v>
      </c>
      <c r="CC15" s="208">
        <v>0</v>
      </c>
      <c r="CD15" s="208">
        <v>0</v>
      </c>
      <c r="CE15" s="208">
        <v>0</v>
      </c>
      <c r="CF15" s="208" t="s">
        <v>21313</v>
      </c>
      <c r="CG15" s="208">
        <v>1</v>
      </c>
      <c r="CH15" s="208">
        <v>1</v>
      </c>
      <c r="CI15" s="208">
        <v>1</v>
      </c>
      <c r="CJ15" s="208">
        <v>0</v>
      </c>
      <c r="CK15" s="208">
        <v>0</v>
      </c>
      <c r="CL15" s="208">
        <v>0</v>
      </c>
      <c r="CM15" s="208" t="s">
        <v>21303</v>
      </c>
      <c r="CN15" s="208">
        <v>0</v>
      </c>
      <c r="CO15" s="208">
        <v>0</v>
      </c>
      <c r="CP15" s="208">
        <v>0</v>
      </c>
      <c r="CQ15" s="208">
        <v>0</v>
      </c>
      <c r="CR15" s="208">
        <v>0</v>
      </c>
      <c r="CS15" s="208">
        <v>0</v>
      </c>
      <c r="CT15" s="208" t="s">
        <v>21303</v>
      </c>
      <c r="CU15" s="208">
        <v>0</v>
      </c>
      <c r="CV15" s="208">
        <v>0</v>
      </c>
      <c r="CW15" s="208">
        <v>0</v>
      </c>
      <c r="CX15" s="208">
        <v>0</v>
      </c>
      <c r="CY15" s="208">
        <v>0</v>
      </c>
      <c r="CZ15" s="208">
        <v>0</v>
      </c>
      <c r="DA15" s="208" t="s">
        <v>21303</v>
      </c>
      <c r="DB15" s="208">
        <v>0</v>
      </c>
      <c r="DC15" s="208">
        <v>0</v>
      </c>
      <c r="DD15" s="208">
        <v>0</v>
      </c>
      <c r="DE15" s="208">
        <v>0</v>
      </c>
      <c r="DF15" s="208">
        <v>0</v>
      </c>
      <c r="DG15" s="208">
        <v>0</v>
      </c>
      <c r="DH15" s="208" t="s">
        <v>21303</v>
      </c>
      <c r="DI15" s="208">
        <v>0</v>
      </c>
      <c r="DJ15" s="208">
        <v>0</v>
      </c>
      <c r="DK15" s="208">
        <v>0</v>
      </c>
      <c r="DL15" s="208">
        <v>0</v>
      </c>
      <c r="DM15" s="208">
        <v>0</v>
      </c>
      <c r="DN15" s="208">
        <v>0</v>
      </c>
      <c r="DO15" s="208" t="s">
        <v>21314</v>
      </c>
      <c r="DP15" s="208">
        <v>80</v>
      </c>
      <c r="DQ15" s="208">
        <v>80</v>
      </c>
      <c r="DR15" s="208">
        <v>80</v>
      </c>
      <c r="DS15" s="208">
        <v>0</v>
      </c>
      <c r="DT15" s="208">
        <v>0</v>
      </c>
      <c r="DU15" s="208">
        <v>0</v>
      </c>
      <c r="DV15" s="208" t="s">
        <v>21315</v>
      </c>
      <c r="DW15" s="208">
        <v>80</v>
      </c>
      <c r="DX15" s="208" t="s">
        <v>21314</v>
      </c>
      <c r="DY15" s="208">
        <v>80</v>
      </c>
      <c r="DZ15" s="208">
        <v>80</v>
      </c>
      <c r="EA15" s="208">
        <v>80</v>
      </c>
      <c r="EB15" s="208">
        <v>0</v>
      </c>
      <c r="EC15" s="208">
        <v>0</v>
      </c>
      <c r="ED15" s="208">
        <v>0</v>
      </c>
      <c r="EE15" s="208" t="s">
        <v>21315</v>
      </c>
      <c r="EF15" s="208">
        <v>80</v>
      </c>
      <c r="EG15" s="208" t="s">
        <v>21303</v>
      </c>
      <c r="EH15" s="208">
        <v>0</v>
      </c>
      <c r="EI15" s="208">
        <v>0</v>
      </c>
      <c r="EJ15" s="208">
        <v>0</v>
      </c>
      <c r="EK15" s="208">
        <v>0</v>
      </c>
      <c r="EL15" s="208">
        <v>0</v>
      </c>
      <c r="EM15" s="208">
        <v>0</v>
      </c>
      <c r="EN15" s="208" t="s">
        <v>21303</v>
      </c>
      <c r="EO15" s="208">
        <v>0</v>
      </c>
      <c r="EP15" s="208" t="s">
        <v>21303</v>
      </c>
      <c r="EQ15" s="208">
        <v>0</v>
      </c>
      <c r="ER15" s="208">
        <v>0</v>
      </c>
      <c r="ES15" s="208">
        <v>0</v>
      </c>
      <c r="ET15" s="208">
        <v>0</v>
      </c>
      <c r="EU15" s="208">
        <v>0</v>
      </c>
      <c r="EV15" s="208">
        <v>0</v>
      </c>
      <c r="EW15" s="208" t="s">
        <v>21303</v>
      </c>
      <c r="EX15" s="208">
        <v>0</v>
      </c>
      <c r="EY15" s="208" t="s">
        <v>21303</v>
      </c>
      <c r="EZ15" s="208">
        <v>0</v>
      </c>
      <c r="FA15" s="208">
        <v>0</v>
      </c>
      <c r="FB15" s="208">
        <v>0</v>
      </c>
      <c r="FC15" s="208">
        <v>0</v>
      </c>
      <c r="FD15" s="208">
        <v>0</v>
      </c>
      <c r="FE15" s="208">
        <v>0</v>
      </c>
      <c r="FF15" s="208" t="s">
        <v>21303</v>
      </c>
      <c r="FG15" s="208">
        <v>0</v>
      </c>
      <c r="FH15" s="208" t="s">
        <v>21303</v>
      </c>
      <c r="FI15" s="208">
        <v>0</v>
      </c>
      <c r="FJ15" s="208">
        <v>0</v>
      </c>
      <c r="FK15" s="208">
        <v>0</v>
      </c>
      <c r="FL15" s="208">
        <v>0</v>
      </c>
      <c r="FM15" s="208">
        <v>0</v>
      </c>
      <c r="FN15" s="208">
        <v>0</v>
      </c>
      <c r="FO15" s="208" t="s">
        <v>21303</v>
      </c>
      <c r="FP15" s="208">
        <v>0</v>
      </c>
      <c r="FQ15" s="208">
        <v>80</v>
      </c>
      <c r="FR15" s="208" t="s">
        <v>19816</v>
      </c>
      <c r="FS15" s="208" t="s">
        <v>21316</v>
      </c>
      <c r="FT15" s="208" t="s">
        <v>21303</v>
      </c>
      <c r="FU15" s="208" t="s">
        <v>21303</v>
      </c>
      <c r="FV15" s="208" t="s">
        <v>21303</v>
      </c>
      <c r="FW15" s="208" t="s">
        <v>21303</v>
      </c>
      <c r="FX15" s="208" t="s">
        <v>21410</v>
      </c>
      <c r="FY15" s="208">
        <v>34</v>
      </c>
      <c r="FZ15" s="208">
        <v>34</v>
      </c>
      <c r="GA15" s="208">
        <v>34</v>
      </c>
      <c r="GB15" s="208">
        <v>0</v>
      </c>
      <c r="GC15" s="208">
        <v>0</v>
      </c>
      <c r="GD15" s="208">
        <v>0</v>
      </c>
      <c r="GE15" s="208" t="s">
        <v>21411</v>
      </c>
      <c r="GF15" s="208" t="s">
        <v>21343</v>
      </c>
      <c r="GG15" s="208">
        <v>33</v>
      </c>
      <c r="GH15" s="208">
        <v>33</v>
      </c>
      <c r="GI15" s="208">
        <v>33</v>
      </c>
      <c r="GJ15" s="208">
        <v>0</v>
      </c>
      <c r="GK15" s="208">
        <v>0</v>
      </c>
      <c r="GL15" s="208">
        <v>0</v>
      </c>
      <c r="GM15" s="208" t="s">
        <v>21344</v>
      </c>
      <c r="GN15" s="208" t="s">
        <v>21303</v>
      </c>
      <c r="GO15" s="208">
        <v>0</v>
      </c>
      <c r="GP15" s="208">
        <v>0</v>
      </c>
      <c r="GQ15" s="208">
        <v>0</v>
      </c>
      <c r="GR15" s="208">
        <v>0</v>
      </c>
      <c r="GS15" s="208">
        <v>0</v>
      </c>
      <c r="GT15" s="208">
        <v>0</v>
      </c>
      <c r="GU15" s="208" t="s">
        <v>21303</v>
      </c>
      <c r="GV15" s="208" t="s">
        <v>21303</v>
      </c>
      <c r="GW15" s="208">
        <v>0</v>
      </c>
      <c r="GX15" s="208">
        <v>0</v>
      </c>
      <c r="GY15" s="208">
        <v>0</v>
      </c>
      <c r="GZ15" s="208">
        <v>0</v>
      </c>
      <c r="HA15" s="208">
        <v>0</v>
      </c>
      <c r="HB15" s="208">
        <v>0</v>
      </c>
      <c r="HC15" s="208" t="s">
        <v>21303</v>
      </c>
      <c r="HD15" s="208" t="s">
        <v>21303</v>
      </c>
      <c r="HE15" s="208">
        <v>0</v>
      </c>
      <c r="HF15" s="208">
        <v>0</v>
      </c>
      <c r="HG15" s="208">
        <v>0</v>
      </c>
      <c r="HH15" s="208">
        <v>0</v>
      </c>
      <c r="HI15" s="208">
        <v>0</v>
      </c>
      <c r="HJ15" s="208">
        <v>0</v>
      </c>
      <c r="HK15" s="208" t="s">
        <v>21303</v>
      </c>
      <c r="HL15" s="208" t="s">
        <v>21303</v>
      </c>
      <c r="HM15" s="208">
        <v>0</v>
      </c>
      <c r="HN15" s="208">
        <v>0</v>
      </c>
      <c r="HO15" s="208">
        <v>0</v>
      </c>
      <c r="HP15" s="208">
        <v>0</v>
      </c>
      <c r="HQ15" s="208">
        <v>0</v>
      </c>
      <c r="HR15" s="208">
        <v>0</v>
      </c>
      <c r="HS15" s="208" t="s">
        <v>21303</v>
      </c>
      <c r="HT15" s="208" t="s">
        <v>21319</v>
      </c>
      <c r="HU15" s="208">
        <v>34</v>
      </c>
      <c r="HV15" s="208">
        <v>33</v>
      </c>
      <c r="HW15" s="208">
        <v>0</v>
      </c>
      <c r="HX15" s="208">
        <v>0</v>
      </c>
      <c r="HY15" s="208">
        <v>0</v>
      </c>
      <c r="HZ15" s="208">
        <v>0</v>
      </c>
      <c r="IA15" s="600">
        <v>33</v>
      </c>
      <c r="IB15" s="600">
        <v>25</v>
      </c>
      <c r="IC15" s="343" t="s">
        <v>21035</v>
      </c>
      <c r="ID15" s="343" t="s">
        <v>21412</v>
      </c>
      <c r="IE15" s="343" t="s">
        <v>21320</v>
      </c>
      <c r="IF15" s="343" t="s">
        <v>21321</v>
      </c>
      <c r="IG15" s="383">
        <v>43748</v>
      </c>
      <c r="IH15" s="383">
        <v>45575</v>
      </c>
      <c r="II15" s="208">
        <v>46</v>
      </c>
    </row>
    <row r="16" ht="102">
      <c r="A16" s="207">
        <v>15</v>
      </c>
      <c r="B16" s="343" t="s">
        <v>21287</v>
      </c>
      <c r="C16" s="343" t="s">
        <v>21288</v>
      </c>
      <c r="D16" s="600">
        <v>128501</v>
      </c>
      <c r="E16" s="317" t="s">
        <v>21138</v>
      </c>
      <c r="F16" s="207" t="s">
        <v>20859</v>
      </c>
      <c r="G16" s="600">
        <v>106.629956</v>
      </c>
      <c r="H16" s="600">
        <v>20.918116</v>
      </c>
      <c r="I16" s="207">
        <v>1</v>
      </c>
      <c r="J16" s="207">
        <v>2</v>
      </c>
      <c r="K16" s="207" t="s">
        <v>21289</v>
      </c>
      <c r="L16" s="207" t="s">
        <v>21413</v>
      </c>
      <c r="M16" s="207" t="s">
        <v>21323</v>
      </c>
      <c r="N16" s="207" t="s">
        <v>21292</v>
      </c>
      <c r="O16" s="207" t="s">
        <v>21293</v>
      </c>
      <c r="P16" s="207" t="s">
        <v>21294</v>
      </c>
      <c r="Q16" s="207" t="s">
        <v>21295</v>
      </c>
      <c r="R16" s="207" t="s">
        <v>21414</v>
      </c>
      <c r="S16" s="364" t="b">
        <v>1</v>
      </c>
      <c r="T16" s="207" t="s">
        <v>21139</v>
      </c>
      <c r="U16" s="207">
        <v>0</v>
      </c>
      <c r="V16" s="207" t="s">
        <v>21297</v>
      </c>
      <c r="W16" s="207" t="s">
        <v>21140</v>
      </c>
      <c r="X16" s="209" t="s">
        <v>21298</v>
      </c>
      <c r="Y16" s="207" t="b">
        <v>1</v>
      </c>
      <c r="Z16" s="364" t="b">
        <v>0</v>
      </c>
      <c r="AA16" s="600">
        <v>32</v>
      </c>
      <c r="AB16" s="364" t="b">
        <v>1</v>
      </c>
      <c r="AC16" s="600">
        <v>10</v>
      </c>
      <c r="AD16" s="207" t="b">
        <v>0</v>
      </c>
      <c r="AE16" s="207" t="s">
        <v>21299</v>
      </c>
      <c r="AF16" s="207" t="s">
        <v>21300</v>
      </c>
      <c r="AG16" s="343" t="s">
        <v>21301</v>
      </c>
      <c r="AH16" s="343" t="s">
        <v>21302</v>
      </c>
      <c r="AI16" s="343" t="s">
        <v>21054</v>
      </c>
      <c r="AJ16" s="343" t="s">
        <v>21303</v>
      </c>
      <c r="AK16" s="343" t="s">
        <v>21304</v>
      </c>
      <c r="AL16" s="208"/>
      <c r="AM16" s="208" t="s">
        <v>21305</v>
      </c>
      <c r="AN16" s="208" t="s">
        <v>21306</v>
      </c>
      <c r="AO16" s="207">
        <v>3</v>
      </c>
      <c r="AP16" s="287" t="s">
        <v>21307</v>
      </c>
      <c r="AQ16" s="448" t="s">
        <v>21352</v>
      </c>
      <c r="AR16" s="448" t="s">
        <v>21415</v>
      </c>
      <c r="AS16" s="449" t="s">
        <v>7600</v>
      </c>
      <c r="AT16" s="208" t="s">
        <v>21306</v>
      </c>
      <c r="AU16" s="208" t="s">
        <v>21306</v>
      </c>
      <c r="AV16" s="208" t="s">
        <v>21303</v>
      </c>
      <c r="AW16" s="208" t="s">
        <v>21303</v>
      </c>
      <c r="AX16" s="208" t="s">
        <v>21303</v>
      </c>
      <c r="AY16" s="208" t="s">
        <v>21303</v>
      </c>
      <c r="AZ16" s="208" t="s">
        <v>21288</v>
      </c>
      <c r="BA16" s="208" t="s">
        <v>21288</v>
      </c>
      <c r="BB16" s="208" t="s">
        <v>21303</v>
      </c>
      <c r="BC16" s="208" t="s">
        <v>21303</v>
      </c>
      <c r="BD16" s="208" t="s">
        <v>21303</v>
      </c>
      <c r="BE16" s="208" t="s">
        <v>21303</v>
      </c>
      <c r="BF16" s="208" t="s">
        <v>21310</v>
      </c>
      <c r="BG16" s="208" t="s">
        <v>21416</v>
      </c>
      <c r="BH16" s="208" t="s">
        <v>21416</v>
      </c>
      <c r="BI16" s="208" t="s">
        <v>21303</v>
      </c>
      <c r="BJ16" s="208" t="s">
        <v>21303</v>
      </c>
      <c r="BK16" s="208" t="s">
        <v>21303</v>
      </c>
      <c r="BL16" s="208" t="s">
        <v>21303</v>
      </c>
      <c r="BM16" s="208" t="s">
        <v>21326</v>
      </c>
      <c r="BN16" s="208" t="s">
        <v>21326</v>
      </c>
      <c r="BO16" s="208" t="s">
        <v>21303</v>
      </c>
      <c r="BP16" s="208" t="s">
        <v>21303</v>
      </c>
      <c r="BQ16" s="208" t="s">
        <v>21303</v>
      </c>
      <c r="BR16" s="208" t="s">
        <v>21303</v>
      </c>
      <c r="BS16" s="208">
        <v>3</v>
      </c>
      <c r="BT16" s="208">
        <v>3</v>
      </c>
      <c r="BU16" s="208">
        <v>0</v>
      </c>
      <c r="BV16" s="208">
        <v>0</v>
      </c>
      <c r="BW16" s="208">
        <v>0</v>
      </c>
      <c r="BX16" s="208">
        <v>0</v>
      </c>
      <c r="BY16" s="208" t="s">
        <v>21313</v>
      </c>
      <c r="BZ16" s="208">
        <v>1</v>
      </c>
      <c r="CA16" s="208">
        <v>1</v>
      </c>
      <c r="CB16" s="208">
        <v>1</v>
      </c>
      <c r="CC16" s="208">
        <v>0</v>
      </c>
      <c r="CD16" s="208">
        <v>0</v>
      </c>
      <c r="CE16" s="208">
        <v>0</v>
      </c>
      <c r="CF16" s="208" t="s">
        <v>21313</v>
      </c>
      <c r="CG16" s="208">
        <v>1</v>
      </c>
      <c r="CH16" s="208">
        <v>1</v>
      </c>
      <c r="CI16" s="208">
        <v>1</v>
      </c>
      <c r="CJ16" s="208">
        <v>0</v>
      </c>
      <c r="CK16" s="208">
        <v>0</v>
      </c>
      <c r="CL16" s="208">
        <v>0</v>
      </c>
      <c r="CM16" s="208" t="s">
        <v>21303</v>
      </c>
      <c r="CN16" s="208">
        <v>0</v>
      </c>
      <c r="CO16" s="208">
        <v>0</v>
      </c>
      <c r="CP16" s="208">
        <v>0</v>
      </c>
      <c r="CQ16" s="208">
        <v>0</v>
      </c>
      <c r="CR16" s="208">
        <v>0</v>
      </c>
      <c r="CS16" s="208">
        <v>0</v>
      </c>
      <c r="CT16" s="208" t="s">
        <v>21303</v>
      </c>
      <c r="CU16" s="208">
        <v>0</v>
      </c>
      <c r="CV16" s="208">
        <v>0</v>
      </c>
      <c r="CW16" s="208">
        <v>0</v>
      </c>
      <c r="CX16" s="208">
        <v>0</v>
      </c>
      <c r="CY16" s="208">
        <v>0</v>
      </c>
      <c r="CZ16" s="208">
        <v>0</v>
      </c>
      <c r="DA16" s="208" t="s">
        <v>21303</v>
      </c>
      <c r="DB16" s="208">
        <v>0</v>
      </c>
      <c r="DC16" s="208">
        <v>0</v>
      </c>
      <c r="DD16" s="208">
        <v>0</v>
      </c>
      <c r="DE16" s="208">
        <v>0</v>
      </c>
      <c r="DF16" s="208">
        <v>0</v>
      </c>
      <c r="DG16" s="208">
        <v>0</v>
      </c>
      <c r="DH16" s="208" t="s">
        <v>21303</v>
      </c>
      <c r="DI16" s="208">
        <v>0</v>
      </c>
      <c r="DJ16" s="208">
        <v>0</v>
      </c>
      <c r="DK16" s="208">
        <v>0</v>
      </c>
      <c r="DL16" s="208">
        <v>0</v>
      </c>
      <c r="DM16" s="208">
        <v>0</v>
      </c>
      <c r="DN16" s="208">
        <v>0</v>
      </c>
      <c r="DO16" s="208" t="s">
        <v>21314</v>
      </c>
      <c r="DP16" s="208">
        <v>80</v>
      </c>
      <c r="DQ16" s="208">
        <v>80</v>
      </c>
      <c r="DR16" s="208">
        <v>80</v>
      </c>
      <c r="DS16" s="208">
        <v>0</v>
      </c>
      <c r="DT16" s="208">
        <v>0</v>
      </c>
      <c r="DU16" s="208">
        <v>0</v>
      </c>
      <c r="DV16" s="208" t="s">
        <v>21315</v>
      </c>
      <c r="DW16" s="208">
        <v>80</v>
      </c>
      <c r="DX16" s="208" t="s">
        <v>21314</v>
      </c>
      <c r="DY16" s="208">
        <v>80</v>
      </c>
      <c r="DZ16" s="208">
        <v>80</v>
      </c>
      <c r="EA16" s="208">
        <v>80</v>
      </c>
      <c r="EB16" s="208">
        <v>0</v>
      </c>
      <c r="EC16" s="208">
        <v>0</v>
      </c>
      <c r="ED16" s="208">
        <v>0</v>
      </c>
      <c r="EE16" s="208" t="s">
        <v>21315</v>
      </c>
      <c r="EF16" s="208">
        <v>80</v>
      </c>
      <c r="EG16" s="208" t="s">
        <v>21303</v>
      </c>
      <c r="EH16" s="208">
        <v>0</v>
      </c>
      <c r="EI16" s="208">
        <v>0</v>
      </c>
      <c r="EJ16" s="208">
        <v>0</v>
      </c>
      <c r="EK16" s="208">
        <v>0</v>
      </c>
      <c r="EL16" s="208">
        <v>0</v>
      </c>
      <c r="EM16" s="208">
        <v>0</v>
      </c>
      <c r="EN16" s="208" t="s">
        <v>21303</v>
      </c>
      <c r="EO16" s="208">
        <v>0</v>
      </c>
      <c r="EP16" s="208" t="s">
        <v>21303</v>
      </c>
      <c r="EQ16" s="208">
        <v>0</v>
      </c>
      <c r="ER16" s="208">
        <v>0</v>
      </c>
      <c r="ES16" s="208">
        <v>0</v>
      </c>
      <c r="ET16" s="208">
        <v>0</v>
      </c>
      <c r="EU16" s="208">
        <v>0</v>
      </c>
      <c r="EV16" s="208">
        <v>0</v>
      </c>
      <c r="EW16" s="208" t="s">
        <v>21303</v>
      </c>
      <c r="EX16" s="208">
        <v>0</v>
      </c>
      <c r="EY16" s="208" t="s">
        <v>21303</v>
      </c>
      <c r="EZ16" s="208">
        <v>0</v>
      </c>
      <c r="FA16" s="208">
        <v>0</v>
      </c>
      <c r="FB16" s="208">
        <v>0</v>
      </c>
      <c r="FC16" s="208">
        <v>0</v>
      </c>
      <c r="FD16" s="208">
        <v>0</v>
      </c>
      <c r="FE16" s="208">
        <v>0</v>
      </c>
      <c r="FF16" s="208" t="s">
        <v>21303</v>
      </c>
      <c r="FG16" s="208">
        <v>0</v>
      </c>
      <c r="FH16" s="208" t="s">
        <v>21303</v>
      </c>
      <c r="FI16" s="208">
        <v>0</v>
      </c>
      <c r="FJ16" s="208">
        <v>0</v>
      </c>
      <c r="FK16" s="208">
        <v>0</v>
      </c>
      <c r="FL16" s="208">
        <v>0</v>
      </c>
      <c r="FM16" s="208">
        <v>0</v>
      </c>
      <c r="FN16" s="208">
        <v>0</v>
      </c>
      <c r="FO16" s="208" t="s">
        <v>21303</v>
      </c>
      <c r="FP16" s="208">
        <v>0</v>
      </c>
      <c r="FQ16" s="208">
        <v>80</v>
      </c>
      <c r="FR16" s="208" t="s">
        <v>19816</v>
      </c>
      <c r="FS16" s="208" t="s">
        <v>21316</v>
      </c>
      <c r="FT16" s="208" t="s">
        <v>21303</v>
      </c>
      <c r="FU16" s="208" t="s">
        <v>21303</v>
      </c>
      <c r="FV16" s="208" t="s">
        <v>21303</v>
      </c>
      <c r="FW16" s="208" t="s">
        <v>21303</v>
      </c>
      <c r="FX16" s="208" t="s">
        <v>21343</v>
      </c>
      <c r="FY16" s="208">
        <v>33</v>
      </c>
      <c r="FZ16" s="208">
        <v>33</v>
      </c>
      <c r="GA16" s="208">
        <v>33</v>
      </c>
      <c r="GB16" s="208">
        <v>0</v>
      </c>
      <c r="GC16" s="208">
        <v>0</v>
      </c>
      <c r="GD16" s="208">
        <v>0</v>
      </c>
      <c r="GE16" s="208" t="s">
        <v>21344</v>
      </c>
      <c r="GF16" s="208" t="s">
        <v>21417</v>
      </c>
      <c r="GG16" s="208">
        <v>32</v>
      </c>
      <c r="GH16" s="208">
        <v>32</v>
      </c>
      <c r="GI16" s="208">
        <v>32</v>
      </c>
      <c r="GJ16" s="208">
        <v>0</v>
      </c>
      <c r="GK16" s="208">
        <v>0</v>
      </c>
      <c r="GL16" s="208">
        <v>0</v>
      </c>
      <c r="GM16" s="208" t="s">
        <v>21418</v>
      </c>
      <c r="GN16" s="208" t="s">
        <v>21303</v>
      </c>
      <c r="GO16" s="208">
        <v>0</v>
      </c>
      <c r="GP16" s="208">
        <v>0</v>
      </c>
      <c r="GQ16" s="208">
        <v>0</v>
      </c>
      <c r="GR16" s="208">
        <v>0</v>
      </c>
      <c r="GS16" s="208">
        <v>0</v>
      </c>
      <c r="GT16" s="208">
        <v>0</v>
      </c>
      <c r="GU16" s="208" t="s">
        <v>21303</v>
      </c>
      <c r="GV16" s="208" t="s">
        <v>21303</v>
      </c>
      <c r="GW16" s="208">
        <v>0</v>
      </c>
      <c r="GX16" s="208">
        <v>0</v>
      </c>
      <c r="GY16" s="208">
        <v>0</v>
      </c>
      <c r="GZ16" s="208">
        <v>0</v>
      </c>
      <c r="HA16" s="208">
        <v>0</v>
      </c>
      <c r="HB16" s="208">
        <v>0</v>
      </c>
      <c r="HC16" s="208" t="s">
        <v>21303</v>
      </c>
      <c r="HD16" s="208" t="s">
        <v>21303</v>
      </c>
      <c r="HE16" s="208">
        <v>0</v>
      </c>
      <c r="HF16" s="208">
        <v>0</v>
      </c>
      <c r="HG16" s="208">
        <v>0</v>
      </c>
      <c r="HH16" s="208">
        <v>0</v>
      </c>
      <c r="HI16" s="208">
        <v>0</v>
      </c>
      <c r="HJ16" s="208">
        <v>0</v>
      </c>
      <c r="HK16" s="208" t="s">
        <v>21303</v>
      </c>
      <c r="HL16" s="208" t="s">
        <v>21303</v>
      </c>
      <c r="HM16" s="208">
        <v>0</v>
      </c>
      <c r="HN16" s="208">
        <v>0</v>
      </c>
      <c r="HO16" s="208">
        <v>0</v>
      </c>
      <c r="HP16" s="208">
        <v>0</v>
      </c>
      <c r="HQ16" s="208">
        <v>0</v>
      </c>
      <c r="HR16" s="208">
        <v>0</v>
      </c>
      <c r="HS16" s="208" t="s">
        <v>21303</v>
      </c>
      <c r="HT16" s="208" t="s">
        <v>21319</v>
      </c>
      <c r="HU16" s="208">
        <v>33</v>
      </c>
      <c r="HV16" s="208">
        <v>32</v>
      </c>
      <c r="HW16" s="208">
        <v>0</v>
      </c>
      <c r="HX16" s="208">
        <v>0</v>
      </c>
      <c r="HY16" s="208">
        <v>0</v>
      </c>
      <c r="HZ16" s="208">
        <v>0</v>
      </c>
      <c r="IA16" s="600">
        <v>32</v>
      </c>
      <c r="IB16" s="600">
        <v>22</v>
      </c>
      <c r="IC16" s="343" t="s">
        <v>21035</v>
      </c>
      <c r="ID16" s="343" t="s">
        <v>21419</v>
      </c>
      <c r="IE16" s="343" t="s">
        <v>21320</v>
      </c>
      <c r="IF16" s="343" t="s">
        <v>21321</v>
      </c>
      <c r="IG16" s="383">
        <v>43748</v>
      </c>
      <c r="IH16" s="383">
        <v>45575</v>
      </c>
      <c r="II16" s="208">
        <v>46</v>
      </c>
    </row>
    <row r="17" ht="102">
      <c r="A17" s="207">
        <v>16</v>
      </c>
      <c r="B17" s="343" t="s">
        <v>21287</v>
      </c>
      <c r="C17" s="343" t="s">
        <v>21288</v>
      </c>
      <c r="D17" s="600">
        <v>128154</v>
      </c>
      <c r="E17" s="317" t="s">
        <v>21141</v>
      </c>
      <c r="F17" s="207" t="s">
        <v>20859</v>
      </c>
      <c r="G17" s="600">
        <v>106.70502</v>
      </c>
      <c r="H17" s="600">
        <v>20.991976</v>
      </c>
      <c r="I17" s="207">
        <v>1</v>
      </c>
      <c r="J17" s="207">
        <v>1</v>
      </c>
      <c r="K17" s="207" t="s">
        <v>21306</v>
      </c>
      <c r="L17" s="207">
        <v>128154</v>
      </c>
      <c r="M17" s="207" t="s">
        <v>21312</v>
      </c>
      <c r="N17" s="207">
        <v>3</v>
      </c>
      <c r="O17" s="207" t="s">
        <v>21313</v>
      </c>
      <c r="P17" s="207" t="s">
        <v>21314</v>
      </c>
      <c r="Q17" s="207">
        <v>2100</v>
      </c>
      <c r="R17" s="207" t="s">
        <v>21410</v>
      </c>
      <c r="S17" s="364" t="b">
        <v>1</v>
      </c>
      <c r="T17" s="207" t="s">
        <v>21142</v>
      </c>
      <c r="U17" s="207">
        <v>0</v>
      </c>
      <c r="V17" s="207" t="s">
        <v>21297</v>
      </c>
      <c r="W17" s="207" t="s">
        <v>21143</v>
      </c>
      <c r="X17" s="209" t="s">
        <v>21298</v>
      </c>
      <c r="Y17" s="207" t="b">
        <v>1</v>
      </c>
      <c r="Z17" s="364" t="b">
        <v>0</v>
      </c>
      <c r="AA17" s="600">
        <v>34</v>
      </c>
      <c r="AB17" s="364" t="b">
        <v>1</v>
      </c>
      <c r="AC17" s="600">
        <v>8</v>
      </c>
      <c r="AD17" s="207" t="b">
        <v>0</v>
      </c>
      <c r="AE17" s="207" t="s">
        <v>21299</v>
      </c>
      <c r="AF17" s="207" t="s">
        <v>21300</v>
      </c>
      <c r="AG17" s="343" t="s">
        <v>21301</v>
      </c>
      <c r="AH17" s="343" t="s">
        <v>21302</v>
      </c>
      <c r="AI17" s="343" t="s">
        <v>21054</v>
      </c>
      <c r="AJ17" s="343" t="s">
        <v>21303</v>
      </c>
      <c r="AK17" s="343" t="s">
        <v>21304</v>
      </c>
      <c r="AL17" s="208"/>
      <c r="AM17" s="208" t="s">
        <v>21305</v>
      </c>
      <c r="AN17" s="208" t="s">
        <v>21306</v>
      </c>
      <c r="AO17" s="207">
        <v>3</v>
      </c>
      <c r="AP17" s="287" t="s">
        <v>21307</v>
      </c>
      <c r="AQ17" s="448" t="s">
        <v>21352</v>
      </c>
      <c r="AR17" s="448" t="s">
        <v>21420</v>
      </c>
      <c r="AS17" s="449" t="s">
        <v>7600</v>
      </c>
      <c r="AT17" s="208" t="s">
        <v>21306</v>
      </c>
      <c r="AU17" s="208" t="s">
        <v>21303</v>
      </c>
      <c r="AV17" s="208" t="s">
        <v>21303</v>
      </c>
      <c r="AW17" s="208" t="s">
        <v>21303</v>
      </c>
      <c r="AX17" s="208" t="s">
        <v>21303</v>
      </c>
      <c r="AY17" s="208" t="s">
        <v>21303</v>
      </c>
      <c r="AZ17" s="208" t="s">
        <v>21288</v>
      </c>
      <c r="BA17" s="208" t="s">
        <v>21303</v>
      </c>
      <c r="BB17" s="208" t="s">
        <v>21303</v>
      </c>
      <c r="BC17" s="208" t="s">
        <v>21303</v>
      </c>
      <c r="BD17" s="208" t="s">
        <v>21303</v>
      </c>
      <c r="BE17" s="208" t="s">
        <v>21303</v>
      </c>
      <c r="BF17" s="208" t="s">
        <v>21288</v>
      </c>
      <c r="BG17" s="208" t="s">
        <v>21421</v>
      </c>
      <c r="BH17" s="208" t="s">
        <v>21303</v>
      </c>
      <c r="BI17" s="208" t="s">
        <v>21303</v>
      </c>
      <c r="BJ17" s="208" t="s">
        <v>21303</v>
      </c>
      <c r="BK17" s="208" t="s">
        <v>21303</v>
      </c>
      <c r="BL17" s="208" t="s">
        <v>21303</v>
      </c>
      <c r="BM17" s="208" t="s">
        <v>21312</v>
      </c>
      <c r="BN17" s="208" t="s">
        <v>21303</v>
      </c>
      <c r="BO17" s="208" t="s">
        <v>21303</v>
      </c>
      <c r="BP17" s="208" t="s">
        <v>21303</v>
      </c>
      <c r="BQ17" s="208" t="s">
        <v>21303</v>
      </c>
      <c r="BR17" s="208" t="s">
        <v>21303</v>
      </c>
      <c r="BS17" s="208">
        <v>3</v>
      </c>
      <c r="BT17" s="208">
        <v>0</v>
      </c>
      <c r="BU17" s="208">
        <v>0</v>
      </c>
      <c r="BV17" s="208">
        <v>0</v>
      </c>
      <c r="BW17" s="208">
        <v>0</v>
      </c>
      <c r="BX17" s="208">
        <v>0</v>
      </c>
      <c r="BY17" s="208" t="s">
        <v>21313</v>
      </c>
      <c r="BZ17" s="208">
        <v>1</v>
      </c>
      <c r="CA17" s="208">
        <v>1</v>
      </c>
      <c r="CB17" s="208">
        <v>1</v>
      </c>
      <c r="CC17" s="208">
        <v>0</v>
      </c>
      <c r="CD17" s="208">
        <v>0</v>
      </c>
      <c r="CE17" s="208">
        <v>0</v>
      </c>
      <c r="CF17" s="208" t="s">
        <v>21303</v>
      </c>
      <c r="CG17" s="208">
        <v>0</v>
      </c>
      <c r="CH17" s="208">
        <v>0</v>
      </c>
      <c r="CI17" s="208">
        <v>0</v>
      </c>
      <c r="CJ17" s="208">
        <v>0</v>
      </c>
      <c r="CK17" s="208">
        <v>0</v>
      </c>
      <c r="CL17" s="208">
        <v>0</v>
      </c>
      <c r="CM17" s="208" t="s">
        <v>21303</v>
      </c>
      <c r="CN17" s="208">
        <v>0</v>
      </c>
      <c r="CO17" s="208">
        <v>0</v>
      </c>
      <c r="CP17" s="208">
        <v>0</v>
      </c>
      <c r="CQ17" s="208">
        <v>0</v>
      </c>
      <c r="CR17" s="208">
        <v>0</v>
      </c>
      <c r="CS17" s="208">
        <v>0</v>
      </c>
      <c r="CT17" s="208" t="s">
        <v>21303</v>
      </c>
      <c r="CU17" s="208">
        <v>0</v>
      </c>
      <c r="CV17" s="208">
        <v>0</v>
      </c>
      <c r="CW17" s="208">
        <v>0</v>
      </c>
      <c r="CX17" s="208">
        <v>0</v>
      </c>
      <c r="CY17" s="208">
        <v>0</v>
      </c>
      <c r="CZ17" s="208">
        <v>0</v>
      </c>
      <c r="DA17" s="208" t="s">
        <v>21303</v>
      </c>
      <c r="DB17" s="208">
        <v>0</v>
      </c>
      <c r="DC17" s="208">
        <v>0</v>
      </c>
      <c r="DD17" s="208">
        <v>0</v>
      </c>
      <c r="DE17" s="208">
        <v>0</v>
      </c>
      <c r="DF17" s="208">
        <v>0</v>
      </c>
      <c r="DG17" s="208">
        <v>0</v>
      </c>
      <c r="DH17" s="208" t="s">
        <v>21303</v>
      </c>
      <c r="DI17" s="208">
        <v>0</v>
      </c>
      <c r="DJ17" s="208">
        <v>0</v>
      </c>
      <c r="DK17" s="208">
        <v>0</v>
      </c>
      <c r="DL17" s="208">
        <v>0</v>
      </c>
      <c r="DM17" s="208">
        <v>0</v>
      </c>
      <c r="DN17" s="208">
        <v>0</v>
      </c>
      <c r="DO17" s="208" t="s">
        <v>21314</v>
      </c>
      <c r="DP17" s="208">
        <v>80</v>
      </c>
      <c r="DQ17" s="208">
        <v>80</v>
      </c>
      <c r="DR17" s="208">
        <v>80</v>
      </c>
      <c r="DS17" s="208">
        <v>0</v>
      </c>
      <c r="DT17" s="208">
        <v>0</v>
      </c>
      <c r="DU17" s="208">
        <v>0</v>
      </c>
      <c r="DV17" s="208" t="s">
        <v>21315</v>
      </c>
      <c r="DW17" s="208">
        <v>80</v>
      </c>
      <c r="DX17" s="208" t="s">
        <v>21303</v>
      </c>
      <c r="DY17" s="208">
        <v>0</v>
      </c>
      <c r="DZ17" s="208">
        <v>0</v>
      </c>
      <c r="EA17" s="208">
        <v>0</v>
      </c>
      <c r="EB17" s="208">
        <v>0</v>
      </c>
      <c r="EC17" s="208">
        <v>0</v>
      </c>
      <c r="ED17" s="208">
        <v>0</v>
      </c>
      <c r="EE17" s="208" t="s">
        <v>21303</v>
      </c>
      <c r="EF17" s="208">
        <v>0</v>
      </c>
      <c r="EG17" s="208" t="s">
        <v>21303</v>
      </c>
      <c r="EH17" s="208">
        <v>0</v>
      </c>
      <c r="EI17" s="208">
        <v>0</v>
      </c>
      <c r="EJ17" s="208">
        <v>0</v>
      </c>
      <c r="EK17" s="208">
        <v>0</v>
      </c>
      <c r="EL17" s="208">
        <v>0</v>
      </c>
      <c r="EM17" s="208">
        <v>0</v>
      </c>
      <c r="EN17" s="208" t="s">
        <v>21303</v>
      </c>
      <c r="EO17" s="208">
        <v>0</v>
      </c>
      <c r="EP17" s="208" t="s">
        <v>21303</v>
      </c>
      <c r="EQ17" s="208">
        <v>0</v>
      </c>
      <c r="ER17" s="208">
        <v>0</v>
      </c>
      <c r="ES17" s="208">
        <v>0</v>
      </c>
      <c r="ET17" s="208">
        <v>0</v>
      </c>
      <c r="EU17" s="208">
        <v>0</v>
      </c>
      <c r="EV17" s="208">
        <v>0</v>
      </c>
      <c r="EW17" s="208" t="s">
        <v>21303</v>
      </c>
      <c r="EX17" s="208">
        <v>0</v>
      </c>
      <c r="EY17" s="208" t="s">
        <v>21303</v>
      </c>
      <c r="EZ17" s="208">
        <v>0</v>
      </c>
      <c r="FA17" s="208">
        <v>0</v>
      </c>
      <c r="FB17" s="208">
        <v>0</v>
      </c>
      <c r="FC17" s="208">
        <v>0</v>
      </c>
      <c r="FD17" s="208">
        <v>0</v>
      </c>
      <c r="FE17" s="208">
        <v>0</v>
      </c>
      <c r="FF17" s="208" t="s">
        <v>21303</v>
      </c>
      <c r="FG17" s="208">
        <v>0</v>
      </c>
      <c r="FH17" s="208" t="s">
        <v>21303</v>
      </c>
      <c r="FI17" s="208">
        <v>0</v>
      </c>
      <c r="FJ17" s="208">
        <v>0</v>
      </c>
      <c r="FK17" s="208">
        <v>0</v>
      </c>
      <c r="FL17" s="208">
        <v>0</v>
      </c>
      <c r="FM17" s="208">
        <v>0</v>
      </c>
      <c r="FN17" s="208">
        <v>0</v>
      </c>
      <c r="FO17" s="208" t="s">
        <v>21303</v>
      </c>
      <c r="FP17" s="208">
        <v>0</v>
      </c>
      <c r="FQ17" s="208">
        <v>80</v>
      </c>
      <c r="FR17" s="208" t="s">
        <v>21316</v>
      </c>
      <c r="FS17" s="208" t="s">
        <v>21303</v>
      </c>
      <c r="FT17" s="208" t="s">
        <v>21303</v>
      </c>
      <c r="FU17" s="208" t="s">
        <v>21303</v>
      </c>
      <c r="FV17" s="208" t="s">
        <v>21303</v>
      </c>
      <c r="FW17" s="208" t="s">
        <v>21303</v>
      </c>
      <c r="FX17" s="208" t="s">
        <v>21410</v>
      </c>
      <c r="FY17" s="208">
        <v>34</v>
      </c>
      <c r="FZ17" s="208">
        <v>34</v>
      </c>
      <c r="GA17" s="208">
        <v>34</v>
      </c>
      <c r="GB17" s="208">
        <v>0</v>
      </c>
      <c r="GC17" s="208">
        <v>0</v>
      </c>
      <c r="GD17" s="208">
        <v>0</v>
      </c>
      <c r="GE17" s="208" t="s">
        <v>21411</v>
      </c>
      <c r="GF17" s="208" t="s">
        <v>21303</v>
      </c>
      <c r="GG17" s="208">
        <v>0</v>
      </c>
      <c r="GH17" s="208">
        <v>0</v>
      </c>
      <c r="GI17" s="208">
        <v>0</v>
      </c>
      <c r="GJ17" s="208">
        <v>0</v>
      </c>
      <c r="GK17" s="208">
        <v>0</v>
      </c>
      <c r="GL17" s="208">
        <v>0</v>
      </c>
      <c r="GM17" s="208" t="s">
        <v>21303</v>
      </c>
      <c r="GN17" s="208" t="s">
        <v>21303</v>
      </c>
      <c r="GO17" s="208">
        <v>0</v>
      </c>
      <c r="GP17" s="208">
        <v>0</v>
      </c>
      <c r="GQ17" s="208">
        <v>0</v>
      </c>
      <c r="GR17" s="208">
        <v>0</v>
      </c>
      <c r="GS17" s="208">
        <v>0</v>
      </c>
      <c r="GT17" s="208">
        <v>0</v>
      </c>
      <c r="GU17" s="208" t="s">
        <v>21303</v>
      </c>
      <c r="GV17" s="208" t="s">
        <v>21303</v>
      </c>
      <c r="GW17" s="208">
        <v>0</v>
      </c>
      <c r="GX17" s="208">
        <v>0</v>
      </c>
      <c r="GY17" s="208">
        <v>0</v>
      </c>
      <c r="GZ17" s="208">
        <v>0</v>
      </c>
      <c r="HA17" s="208">
        <v>0</v>
      </c>
      <c r="HB17" s="208">
        <v>0</v>
      </c>
      <c r="HC17" s="208" t="s">
        <v>21303</v>
      </c>
      <c r="HD17" s="208" t="s">
        <v>21303</v>
      </c>
      <c r="HE17" s="208">
        <v>0</v>
      </c>
      <c r="HF17" s="208">
        <v>0</v>
      </c>
      <c r="HG17" s="208">
        <v>0</v>
      </c>
      <c r="HH17" s="208">
        <v>0</v>
      </c>
      <c r="HI17" s="208">
        <v>0</v>
      </c>
      <c r="HJ17" s="208">
        <v>0</v>
      </c>
      <c r="HK17" s="208" t="s">
        <v>21303</v>
      </c>
      <c r="HL17" s="208" t="s">
        <v>21303</v>
      </c>
      <c r="HM17" s="208">
        <v>0</v>
      </c>
      <c r="HN17" s="208">
        <v>0</v>
      </c>
      <c r="HO17" s="208">
        <v>0</v>
      </c>
      <c r="HP17" s="208">
        <v>0</v>
      </c>
      <c r="HQ17" s="208">
        <v>0</v>
      </c>
      <c r="HR17" s="208">
        <v>0</v>
      </c>
      <c r="HS17" s="208" t="s">
        <v>21303</v>
      </c>
      <c r="HT17" s="208" t="s">
        <v>21319</v>
      </c>
      <c r="HU17" s="208">
        <v>34</v>
      </c>
      <c r="HV17" s="208">
        <v>0</v>
      </c>
      <c r="HW17" s="208">
        <v>0</v>
      </c>
      <c r="HX17" s="208">
        <v>0</v>
      </c>
      <c r="HY17" s="208">
        <v>0</v>
      </c>
      <c r="HZ17" s="208">
        <v>0</v>
      </c>
      <c r="IA17" s="600">
        <v>34</v>
      </c>
      <c r="IB17" s="600">
        <v>26</v>
      </c>
      <c r="IC17" s="343" t="s">
        <v>21035</v>
      </c>
      <c r="ID17" s="343" t="s">
        <v>3609</v>
      </c>
      <c r="IE17" s="343" t="s">
        <v>21320</v>
      </c>
      <c r="IF17" s="343" t="s">
        <v>21321</v>
      </c>
      <c r="IG17" s="383">
        <v>43748</v>
      </c>
      <c r="IH17" s="383">
        <v>45575</v>
      </c>
      <c r="II17" s="208">
        <v>46</v>
      </c>
    </row>
    <row r="18" ht="102">
      <c r="A18" s="207">
        <v>17</v>
      </c>
      <c r="B18" s="343" t="s">
        <v>21287</v>
      </c>
      <c r="C18" s="343" t="s">
        <v>21288</v>
      </c>
      <c r="D18" s="600">
        <v>128145</v>
      </c>
      <c r="E18" s="317" t="s">
        <v>21144</v>
      </c>
      <c r="F18" s="207" t="s">
        <v>20859</v>
      </c>
      <c r="G18" s="600">
        <v>106.644549</v>
      </c>
      <c r="H18" s="600">
        <v>20.894669</v>
      </c>
      <c r="I18" s="207">
        <v>1</v>
      </c>
      <c r="J18" s="207">
        <v>2</v>
      </c>
      <c r="K18" s="207" t="s">
        <v>21289</v>
      </c>
      <c r="L18" s="207" t="s">
        <v>21422</v>
      </c>
      <c r="M18" s="207" t="s">
        <v>21323</v>
      </c>
      <c r="N18" s="207" t="s">
        <v>21292</v>
      </c>
      <c r="O18" s="207" t="s">
        <v>21293</v>
      </c>
      <c r="P18" s="207" t="s">
        <v>21294</v>
      </c>
      <c r="Q18" s="207" t="s">
        <v>21295</v>
      </c>
      <c r="R18" s="207" t="s">
        <v>21423</v>
      </c>
      <c r="S18" s="364" t="b">
        <v>1</v>
      </c>
      <c r="T18" s="207" t="s">
        <v>21145</v>
      </c>
      <c r="U18" s="207">
        <v>0</v>
      </c>
      <c r="V18" s="207" t="s">
        <v>21297</v>
      </c>
      <c r="W18" s="207" t="s">
        <v>21146</v>
      </c>
      <c r="X18" s="209" t="s">
        <v>21298</v>
      </c>
      <c r="Y18" s="207" t="b">
        <v>1</v>
      </c>
      <c r="Z18" s="364" t="b">
        <v>0</v>
      </c>
      <c r="AA18" s="600">
        <v>26</v>
      </c>
      <c r="AB18" s="364" t="b">
        <v>1</v>
      </c>
      <c r="AC18" s="600">
        <v>8</v>
      </c>
      <c r="AD18" s="207" t="b">
        <v>0</v>
      </c>
      <c r="AE18" s="207" t="s">
        <v>21299</v>
      </c>
      <c r="AF18" s="207" t="s">
        <v>21300</v>
      </c>
      <c r="AG18" s="343" t="s">
        <v>21301</v>
      </c>
      <c r="AH18" s="343" t="s">
        <v>21302</v>
      </c>
      <c r="AI18" s="343" t="s">
        <v>21054</v>
      </c>
      <c r="AJ18" s="343" t="s">
        <v>21303</v>
      </c>
      <c r="AK18" s="343" t="s">
        <v>21304</v>
      </c>
      <c r="AL18" s="208"/>
      <c r="AM18" s="208" t="s">
        <v>21305</v>
      </c>
      <c r="AN18" s="208" t="s">
        <v>21306</v>
      </c>
      <c r="AO18" s="207">
        <v>3</v>
      </c>
      <c r="AP18" s="287" t="s">
        <v>21307</v>
      </c>
      <c r="AQ18" s="448" t="s">
        <v>21352</v>
      </c>
      <c r="AR18" s="448" t="s">
        <v>21424</v>
      </c>
      <c r="AS18" s="449" t="s">
        <v>7600</v>
      </c>
      <c r="AT18" s="208" t="s">
        <v>21306</v>
      </c>
      <c r="AU18" s="208" t="s">
        <v>21306</v>
      </c>
      <c r="AV18" s="208" t="s">
        <v>21303</v>
      </c>
      <c r="AW18" s="208" t="s">
        <v>21303</v>
      </c>
      <c r="AX18" s="208" t="s">
        <v>21303</v>
      </c>
      <c r="AY18" s="208" t="s">
        <v>21303</v>
      </c>
      <c r="AZ18" s="208" t="s">
        <v>21288</v>
      </c>
      <c r="BA18" s="208" t="s">
        <v>21288</v>
      </c>
      <c r="BB18" s="208" t="s">
        <v>21303</v>
      </c>
      <c r="BC18" s="208" t="s">
        <v>21303</v>
      </c>
      <c r="BD18" s="208" t="s">
        <v>21303</v>
      </c>
      <c r="BE18" s="208" t="s">
        <v>21303</v>
      </c>
      <c r="BF18" s="208" t="s">
        <v>21310</v>
      </c>
      <c r="BG18" s="208" t="s">
        <v>21425</v>
      </c>
      <c r="BH18" s="208" t="s">
        <v>21425</v>
      </c>
      <c r="BI18" s="208" t="s">
        <v>21303</v>
      </c>
      <c r="BJ18" s="208" t="s">
        <v>21303</v>
      </c>
      <c r="BK18" s="208" t="s">
        <v>21303</v>
      </c>
      <c r="BL18" s="208" t="s">
        <v>21303</v>
      </c>
      <c r="BM18" s="208" t="s">
        <v>21326</v>
      </c>
      <c r="BN18" s="208" t="s">
        <v>21326</v>
      </c>
      <c r="BO18" s="208" t="s">
        <v>21303</v>
      </c>
      <c r="BP18" s="208" t="s">
        <v>21303</v>
      </c>
      <c r="BQ18" s="208" t="s">
        <v>21303</v>
      </c>
      <c r="BR18" s="208" t="s">
        <v>21303</v>
      </c>
      <c r="BS18" s="208">
        <v>3</v>
      </c>
      <c r="BT18" s="208">
        <v>3</v>
      </c>
      <c r="BU18" s="208">
        <v>0</v>
      </c>
      <c r="BV18" s="208">
        <v>0</v>
      </c>
      <c r="BW18" s="208">
        <v>0</v>
      </c>
      <c r="BX18" s="208">
        <v>0</v>
      </c>
      <c r="BY18" s="208" t="s">
        <v>21313</v>
      </c>
      <c r="BZ18" s="208">
        <v>1</v>
      </c>
      <c r="CA18" s="208">
        <v>1</v>
      </c>
      <c r="CB18" s="208">
        <v>1</v>
      </c>
      <c r="CC18" s="208">
        <v>0</v>
      </c>
      <c r="CD18" s="208">
        <v>0</v>
      </c>
      <c r="CE18" s="208">
        <v>0</v>
      </c>
      <c r="CF18" s="208" t="s">
        <v>21313</v>
      </c>
      <c r="CG18" s="208">
        <v>1</v>
      </c>
      <c r="CH18" s="208">
        <v>1</v>
      </c>
      <c r="CI18" s="208">
        <v>1</v>
      </c>
      <c r="CJ18" s="208">
        <v>0</v>
      </c>
      <c r="CK18" s="208">
        <v>0</v>
      </c>
      <c r="CL18" s="208">
        <v>0</v>
      </c>
      <c r="CM18" s="208" t="s">
        <v>21303</v>
      </c>
      <c r="CN18" s="208">
        <v>0</v>
      </c>
      <c r="CO18" s="208">
        <v>0</v>
      </c>
      <c r="CP18" s="208">
        <v>0</v>
      </c>
      <c r="CQ18" s="208">
        <v>0</v>
      </c>
      <c r="CR18" s="208">
        <v>0</v>
      </c>
      <c r="CS18" s="208">
        <v>0</v>
      </c>
      <c r="CT18" s="208" t="s">
        <v>21303</v>
      </c>
      <c r="CU18" s="208">
        <v>0</v>
      </c>
      <c r="CV18" s="208">
        <v>0</v>
      </c>
      <c r="CW18" s="208">
        <v>0</v>
      </c>
      <c r="CX18" s="208">
        <v>0</v>
      </c>
      <c r="CY18" s="208">
        <v>0</v>
      </c>
      <c r="CZ18" s="208">
        <v>0</v>
      </c>
      <c r="DA18" s="208" t="s">
        <v>21303</v>
      </c>
      <c r="DB18" s="208">
        <v>0</v>
      </c>
      <c r="DC18" s="208">
        <v>0</v>
      </c>
      <c r="DD18" s="208">
        <v>0</v>
      </c>
      <c r="DE18" s="208">
        <v>0</v>
      </c>
      <c r="DF18" s="208">
        <v>0</v>
      </c>
      <c r="DG18" s="208">
        <v>0</v>
      </c>
      <c r="DH18" s="208" t="s">
        <v>21303</v>
      </c>
      <c r="DI18" s="208">
        <v>0</v>
      </c>
      <c r="DJ18" s="208">
        <v>0</v>
      </c>
      <c r="DK18" s="208">
        <v>0</v>
      </c>
      <c r="DL18" s="208">
        <v>0</v>
      </c>
      <c r="DM18" s="208">
        <v>0</v>
      </c>
      <c r="DN18" s="208">
        <v>0</v>
      </c>
      <c r="DO18" s="208" t="s">
        <v>21314</v>
      </c>
      <c r="DP18" s="208">
        <v>80</v>
      </c>
      <c r="DQ18" s="208">
        <v>80</v>
      </c>
      <c r="DR18" s="208">
        <v>80</v>
      </c>
      <c r="DS18" s="208">
        <v>0</v>
      </c>
      <c r="DT18" s="208">
        <v>0</v>
      </c>
      <c r="DU18" s="208">
        <v>0</v>
      </c>
      <c r="DV18" s="208" t="s">
        <v>21315</v>
      </c>
      <c r="DW18" s="208">
        <v>80</v>
      </c>
      <c r="DX18" s="208" t="s">
        <v>21314</v>
      </c>
      <c r="DY18" s="208">
        <v>80</v>
      </c>
      <c r="DZ18" s="208">
        <v>80</v>
      </c>
      <c r="EA18" s="208">
        <v>80</v>
      </c>
      <c r="EB18" s="208">
        <v>0</v>
      </c>
      <c r="EC18" s="208">
        <v>0</v>
      </c>
      <c r="ED18" s="208">
        <v>0</v>
      </c>
      <c r="EE18" s="208" t="s">
        <v>21315</v>
      </c>
      <c r="EF18" s="208">
        <v>80</v>
      </c>
      <c r="EG18" s="208" t="s">
        <v>21303</v>
      </c>
      <c r="EH18" s="208">
        <v>0</v>
      </c>
      <c r="EI18" s="208">
        <v>0</v>
      </c>
      <c r="EJ18" s="208">
        <v>0</v>
      </c>
      <c r="EK18" s="208">
        <v>0</v>
      </c>
      <c r="EL18" s="208">
        <v>0</v>
      </c>
      <c r="EM18" s="208">
        <v>0</v>
      </c>
      <c r="EN18" s="208" t="s">
        <v>21303</v>
      </c>
      <c r="EO18" s="208">
        <v>0</v>
      </c>
      <c r="EP18" s="208" t="s">
        <v>21303</v>
      </c>
      <c r="EQ18" s="208">
        <v>0</v>
      </c>
      <c r="ER18" s="208">
        <v>0</v>
      </c>
      <c r="ES18" s="208">
        <v>0</v>
      </c>
      <c r="ET18" s="208">
        <v>0</v>
      </c>
      <c r="EU18" s="208">
        <v>0</v>
      </c>
      <c r="EV18" s="208">
        <v>0</v>
      </c>
      <c r="EW18" s="208" t="s">
        <v>21303</v>
      </c>
      <c r="EX18" s="208">
        <v>0</v>
      </c>
      <c r="EY18" s="208" t="s">
        <v>21303</v>
      </c>
      <c r="EZ18" s="208">
        <v>0</v>
      </c>
      <c r="FA18" s="208">
        <v>0</v>
      </c>
      <c r="FB18" s="208">
        <v>0</v>
      </c>
      <c r="FC18" s="208">
        <v>0</v>
      </c>
      <c r="FD18" s="208">
        <v>0</v>
      </c>
      <c r="FE18" s="208">
        <v>0</v>
      </c>
      <c r="FF18" s="208" t="s">
        <v>21303</v>
      </c>
      <c r="FG18" s="208">
        <v>0</v>
      </c>
      <c r="FH18" s="208" t="s">
        <v>21303</v>
      </c>
      <c r="FI18" s="208">
        <v>0</v>
      </c>
      <c r="FJ18" s="208">
        <v>0</v>
      </c>
      <c r="FK18" s="208">
        <v>0</v>
      </c>
      <c r="FL18" s="208">
        <v>0</v>
      </c>
      <c r="FM18" s="208">
        <v>0</v>
      </c>
      <c r="FN18" s="208">
        <v>0</v>
      </c>
      <c r="FO18" s="208" t="s">
        <v>21303</v>
      </c>
      <c r="FP18" s="208">
        <v>0</v>
      </c>
      <c r="FQ18" s="208">
        <v>80</v>
      </c>
      <c r="FR18" s="208" t="s">
        <v>19816</v>
      </c>
      <c r="FS18" s="208" t="s">
        <v>21316</v>
      </c>
      <c r="FT18" s="208" t="s">
        <v>21303</v>
      </c>
      <c r="FU18" s="208" t="s">
        <v>21303</v>
      </c>
      <c r="FV18" s="208" t="s">
        <v>21303</v>
      </c>
      <c r="FW18" s="208" t="s">
        <v>21303</v>
      </c>
      <c r="FX18" s="208" t="s">
        <v>21317</v>
      </c>
      <c r="FY18" s="208">
        <v>26</v>
      </c>
      <c r="FZ18" s="208">
        <v>26</v>
      </c>
      <c r="GA18" s="208">
        <v>26</v>
      </c>
      <c r="GB18" s="208">
        <v>0</v>
      </c>
      <c r="GC18" s="208">
        <v>0</v>
      </c>
      <c r="GD18" s="208">
        <v>0</v>
      </c>
      <c r="GE18" s="208" t="s">
        <v>21318</v>
      </c>
      <c r="GF18" s="208" t="s">
        <v>21368</v>
      </c>
      <c r="GG18" s="208">
        <v>28</v>
      </c>
      <c r="GH18" s="208">
        <v>28</v>
      </c>
      <c r="GI18" s="208">
        <v>28</v>
      </c>
      <c r="GJ18" s="208">
        <v>0</v>
      </c>
      <c r="GK18" s="208">
        <v>0</v>
      </c>
      <c r="GL18" s="208">
        <v>0</v>
      </c>
      <c r="GM18" s="208" t="s">
        <v>21369</v>
      </c>
      <c r="GN18" s="208" t="s">
        <v>21303</v>
      </c>
      <c r="GO18" s="208">
        <v>0</v>
      </c>
      <c r="GP18" s="208">
        <v>0</v>
      </c>
      <c r="GQ18" s="208">
        <v>0</v>
      </c>
      <c r="GR18" s="208">
        <v>0</v>
      </c>
      <c r="GS18" s="208">
        <v>0</v>
      </c>
      <c r="GT18" s="208">
        <v>0</v>
      </c>
      <c r="GU18" s="208" t="s">
        <v>21303</v>
      </c>
      <c r="GV18" s="208" t="s">
        <v>21303</v>
      </c>
      <c r="GW18" s="208">
        <v>0</v>
      </c>
      <c r="GX18" s="208">
        <v>0</v>
      </c>
      <c r="GY18" s="208">
        <v>0</v>
      </c>
      <c r="GZ18" s="208">
        <v>0</v>
      </c>
      <c r="HA18" s="208">
        <v>0</v>
      </c>
      <c r="HB18" s="208">
        <v>0</v>
      </c>
      <c r="HC18" s="208" t="s">
        <v>21303</v>
      </c>
      <c r="HD18" s="208" t="s">
        <v>21303</v>
      </c>
      <c r="HE18" s="208">
        <v>0</v>
      </c>
      <c r="HF18" s="208">
        <v>0</v>
      </c>
      <c r="HG18" s="208">
        <v>0</v>
      </c>
      <c r="HH18" s="208">
        <v>0</v>
      </c>
      <c r="HI18" s="208">
        <v>0</v>
      </c>
      <c r="HJ18" s="208">
        <v>0</v>
      </c>
      <c r="HK18" s="208" t="s">
        <v>21303</v>
      </c>
      <c r="HL18" s="208" t="s">
        <v>21303</v>
      </c>
      <c r="HM18" s="208">
        <v>0</v>
      </c>
      <c r="HN18" s="208">
        <v>0</v>
      </c>
      <c r="HO18" s="208">
        <v>0</v>
      </c>
      <c r="HP18" s="208">
        <v>0</v>
      </c>
      <c r="HQ18" s="208">
        <v>0</v>
      </c>
      <c r="HR18" s="208">
        <v>0</v>
      </c>
      <c r="HS18" s="208" t="s">
        <v>21303</v>
      </c>
      <c r="HT18" s="208" t="s">
        <v>21319</v>
      </c>
      <c r="HU18" s="208">
        <v>26</v>
      </c>
      <c r="HV18" s="208">
        <v>28</v>
      </c>
      <c r="HW18" s="208">
        <v>0</v>
      </c>
      <c r="HX18" s="208">
        <v>0</v>
      </c>
      <c r="HY18" s="208">
        <v>0</v>
      </c>
      <c r="HZ18" s="208">
        <v>0</v>
      </c>
      <c r="IA18" s="600">
        <v>26</v>
      </c>
      <c r="IB18" s="600">
        <v>18</v>
      </c>
      <c r="IC18" s="343" t="s">
        <v>21035</v>
      </c>
      <c r="ID18" s="343" t="s">
        <v>21426</v>
      </c>
      <c r="IE18" s="343" t="s">
        <v>21320</v>
      </c>
      <c r="IF18" s="343" t="s">
        <v>21321</v>
      </c>
      <c r="IG18" s="383">
        <v>43748</v>
      </c>
      <c r="IH18" s="383">
        <v>45575</v>
      </c>
      <c r="II18" s="208">
        <v>46</v>
      </c>
    </row>
    <row r="19" ht="102">
      <c r="A19" s="207">
        <v>18</v>
      </c>
      <c r="B19" s="343" t="s">
        <v>21287</v>
      </c>
      <c r="C19" s="343" t="s">
        <v>21288</v>
      </c>
      <c r="D19" s="600">
        <v>128020</v>
      </c>
      <c r="E19" s="317" t="s">
        <v>21147</v>
      </c>
      <c r="F19" s="207" t="s">
        <v>20859</v>
      </c>
      <c r="G19" s="600">
        <v>106.680372</v>
      </c>
      <c r="H19" s="600">
        <v>20.834769</v>
      </c>
      <c r="I19" s="207">
        <v>1</v>
      </c>
      <c r="J19" s="207">
        <v>2</v>
      </c>
      <c r="K19" s="207" t="s">
        <v>21289</v>
      </c>
      <c r="L19" s="207" t="s">
        <v>21427</v>
      </c>
      <c r="M19" s="207" t="s">
        <v>21291</v>
      </c>
      <c r="N19" s="207" t="s">
        <v>21292</v>
      </c>
      <c r="O19" s="207" t="s">
        <v>21293</v>
      </c>
      <c r="P19" s="207" t="s">
        <v>21294</v>
      </c>
      <c r="Q19" s="207" t="s">
        <v>21295</v>
      </c>
      <c r="R19" s="207" t="s">
        <v>21428</v>
      </c>
      <c r="S19" s="364" t="b">
        <v>1</v>
      </c>
      <c r="T19" s="207" t="s">
        <v>21148</v>
      </c>
      <c r="U19" s="207">
        <v>0</v>
      </c>
      <c r="V19" s="207" t="s">
        <v>21297</v>
      </c>
      <c r="W19" s="207" t="s">
        <v>21149</v>
      </c>
      <c r="X19" s="209" t="s">
        <v>21298</v>
      </c>
      <c r="Y19" s="207" t="b">
        <v>0</v>
      </c>
      <c r="Z19" s="364" t="b">
        <v>0</v>
      </c>
      <c r="AA19" s="600">
        <v>23</v>
      </c>
      <c r="AB19" s="364" t="b">
        <v>1</v>
      </c>
      <c r="AC19" s="600">
        <v>21</v>
      </c>
      <c r="AD19" s="207" t="b">
        <v>0</v>
      </c>
      <c r="AE19" s="207" t="s">
        <v>21299</v>
      </c>
      <c r="AF19" s="207" t="s">
        <v>21300</v>
      </c>
      <c r="AG19" s="343" t="s">
        <v>21301</v>
      </c>
      <c r="AH19" s="343" t="s">
        <v>21302</v>
      </c>
      <c r="AI19" s="343" t="s">
        <v>21054</v>
      </c>
      <c r="AJ19" s="343" t="s">
        <v>21303</v>
      </c>
      <c r="AK19" s="343" t="s">
        <v>21304</v>
      </c>
      <c r="AL19" s="208"/>
      <c r="AM19" s="208" t="s">
        <v>21305</v>
      </c>
      <c r="AN19" s="208" t="s">
        <v>21306</v>
      </c>
      <c r="AO19" s="207">
        <v>4</v>
      </c>
      <c r="AP19" s="287" t="s">
        <v>21307</v>
      </c>
      <c r="AQ19" s="448" t="s">
        <v>21340</v>
      </c>
      <c r="AR19" s="448" t="s">
        <v>21429</v>
      </c>
      <c r="AS19" s="449" t="s">
        <v>7600</v>
      </c>
      <c r="AT19" s="208" t="s">
        <v>21306</v>
      </c>
      <c r="AU19" s="208" t="s">
        <v>21306</v>
      </c>
      <c r="AV19" s="208" t="s">
        <v>21303</v>
      </c>
      <c r="AW19" s="208" t="s">
        <v>21303</v>
      </c>
      <c r="AX19" s="208" t="s">
        <v>21303</v>
      </c>
      <c r="AY19" s="208" t="s">
        <v>21303</v>
      </c>
      <c r="AZ19" s="208" t="s">
        <v>21288</v>
      </c>
      <c r="BA19" s="208" t="s">
        <v>21288</v>
      </c>
      <c r="BB19" s="208" t="s">
        <v>21303</v>
      </c>
      <c r="BC19" s="208" t="s">
        <v>21303</v>
      </c>
      <c r="BD19" s="208" t="s">
        <v>21303</v>
      </c>
      <c r="BE19" s="208" t="s">
        <v>21303</v>
      </c>
      <c r="BF19" s="208" t="s">
        <v>21310</v>
      </c>
      <c r="BG19" s="208" t="s">
        <v>21430</v>
      </c>
      <c r="BH19" s="208" t="s">
        <v>21430</v>
      </c>
      <c r="BI19" s="208" t="s">
        <v>21303</v>
      </c>
      <c r="BJ19" s="208" t="s">
        <v>21303</v>
      </c>
      <c r="BK19" s="208" t="s">
        <v>21303</v>
      </c>
      <c r="BL19" s="208" t="s">
        <v>21303</v>
      </c>
      <c r="BM19" s="208" t="s">
        <v>21312</v>
      </c>
      <c r="BN19" s="208" t="s">
        <v>21312</v>
      </c>
      <c r="BO19" s="208" t="s">
        <v>21303</v>
      </c>
      <c r="BP19" s="208" t="s">
        <v>21303</v>
      </c>
      <c r="BQ19" s="208" t="s">
        <v>21303</v>
      </c>
      <c r="BR19" s="208" t="s">
        <v>21303</v>
      </c>
      <c r="BS19" s="208">
        <v>3</v>
      </c>
      <c r="BT19" s="208">
        <v>3</v>
      </c>
      <c r="BU19" s="208">
        <v>0</v>
      </c>
      <c r="BV19" s="208">
        <v>0</v>
      </c>
      <c r="BW19" s="208">
        <v>0</v>
      </c>
      <c r="BX19" s="208">
        <v>0</v>
      </c>
      <c r="BY19" s="208" t="s">
        <v>21313</v>
      </c>
      <c r="BZ19" s="208">
        <v>1</v>
      </c>
      <c r="CA19" s="208">
        <v>1</v>
      </c>
      <c r="CB19" s="208">
        <v>1</v>
      </c>
      <c r="CC19" s="208">
        <v>0</v>
      </c>
      <c r="CD19" s="208">
        <v>0</v>
      </c>
      <c r="CE19" s="208">
        <v>0</v>
      </c>
      <c r="CF19" s="208" t="s">
        <v>21313</v>
      </c>
      <c r="CG19" s="208">
        <v>1</v>
      </c>
      <c r="CH19" s="208">
        <v>1</v>
      </c>
      <c r="CI19" s="208">
        <v>1</v>
      </c>
      <c r="CJ19" s="208">
        <v>0</v>
      </c>
      <c r="CK19" s="208">
        <v>0</v>
      </c>
      <c r="CL19" s="208">
        <v>0</v>
      </c>
      <c r="CM19" s="208" t="s">
        <v>21303</v>
      </c>
      <c r="CN19" s="208">
        <v>0</v>
      </c>
      <c r="CO19" s="208">
        <v>0</v>
      </c>
      <c r="CP19" s="208">
        <v>0</v>
      </c>
      <c r="CQ19" s="208">
        <v>0</v>
      </c>
      <c r="CR19" s="208">
        <v>0</v>
      </c>
      <c r="CS19" s="208">
        <v>0</v>
      </c>
      <c r="CT19" s="208" t="s">
        <v>21303</v>
      </c>
      <c r="CU19" s="208">
        <v>0</v>
      </c>
      <c r="CV19" s="208">
        <v>0</v>
      </c>
      <c r="CW19" s="208">
        <v>0</v>
      </c>
      <c r="CX19" s="208">
        <v>0</v>
      </c>
      <c r="CY19" s="208">
        <v>0</v>
      </c>
      <c r="CZ19" s="208">
        <v>0</v>
      </c>
      <c r="DA19" s="208" t="s">
        <v>21303</v>
      </c>
      <c r="DB19" s="208">
        <v>0</v>
      </c>
      <c r="DC19" s="208">
        <v>0</v>
      </c>
      <c r="DD19" s="208">
        <v>0</v>
      </c>
      <c r="DE19" s="208">
        <v>0</v>
      </c>
      <c r="DF19" s="208">
        <v>0</v>
      </c>
      <c r="DG19" s="208">
        <v>0</v>
      </c>
      <c r="DH19" s="208" t="s">
        <v>21303</v>
      </c>
      <c r="DI19" s="208">
        <v>0</v>
      </c>
      <c r="DJ19" s="208">
        <v>0</v>
      </c>
      <c r="DK19" s="208">
        <v>0</v>
      </c>
      <c r="DL19" s="208">
        <v>0</v>
      </c>
      <c r="DM19" s="208">
        <v>0</v>
      </c>
      <c r="DN19" s="208">
        <v>0</v>
      </c>
      <c r="DO19" s="208" t="s">
        <v>21314</v>
      </c>
      <c r="DP19" s="208">
        <v>80</v>
      </c>
      <c r="DQ19" s="208">
        <v>80</v>
      </c>
      <c r="DR19" s="208">
        <v>80</v>
      </c>
      <c r="DS19" s="208">
        <v>0</v>
      </c>
      <c r="DT19" s="208">
        <v>0</v>
      </c>
      <c r="DU19" s="208">
        <v>0</v>
      </c>
      <c r="DV19" s="208" t="s">
        <v>21315</v>
      </c>
      <c r="DW19" s="208">
        <v>80</v>
      </c>
      <c r="DX19" s="208" t="s">
        <v>21314</v>
      </c>
      <c r="DY19" s="208">
        <v>80</v>
      </c>
      <c r="DZ19" s="208">
        <v>80</v>
      </c>
      <c r="EA19" s="208">
        <v>80</v>
      </c>
      <c r="EB19" s="208">
        <v>0</v>
      </c>
      <c r="EC19" s="208">
        <v>0</v>
      </c>
      <c r="ED19" s="208">
        <v>0</v>
      </c>
      <c r="EE19" s="208" t="s">
        <v>21315</v>
      </c>
      <c r="EF19" s="208">
        <v>80</v>
      </c>
      <c r="EG19" s="208" t="s">
        <v>21303</v>
      </c>
      <c r="EH19" s="208">
        <v>0</v>
      </c>
      <c r="EI19" s="208">
        <v>0</v>
      </c>
      <c r="EJ19" s="208">
        <v>0</v>
      </c>
      <c r="EK19" s="208">
        <v>0</v>
      </c>
      <c r="EL19" s="208">
        <v>0</v>
      </c>
      <c r="EM19" s="208">
        <v>0</v>
      </c>
      <c r="EN19" s="208" t="s">
        <v>21303</v>
      </c>
      <c r="EO19" s="208">
        <v>0</v>
      </c>
      <c r="EP19" s="208" t="s">
        <v>21303</v>
      </c>
      <c r="EQ19" s="208">
        <v>0</v>
      </c>
      <c r="ER19" s="208">
        <v>0</v>
      </c>
      <c r="ES19" s="208">
        <v>0</v>
      </c>
      <c r="ET19" s="208">
        <v>0</v>
      </c>
      <c r="EU19" s="208">
        <v>0</v>
      </c>
      <c r="EV19" s="208">
        <v>0</v>
      </c>
      <c r="EW19" s="208" t="s">
        <v>21303</v>
      </c>
      <c r="EX19" s="208">
        <v>0</v>
      </c>
      <c r="EY19" s="208" t="s">
        <v>21303</v>
      </c>
      <c r="EZ19" s="208">
        <v>0</v>
      </c>
      <c r="FA19" s="208">
        <v>0</v>
      </c>
      <c r="FB19" s="208">
        <v>0</v>
      </c>
      <c r="FC19" s="208">
        <v>0</v>
      </c>
      <c r="FD19" s="208">
        <v>0</v>
      </c>
      <c r="FE19" s="208">
        <v>0</v>
      </c>
      <c r="FF19" s="208" t="s">
        <v>21303</v>
      </c>
      <c r="FG19" s="208">
        <v>0</v>
      </c>
      <c r="FH19" s="208" t="s">
        <v>21303</v>
      </c>
      <c r="FI19" s="208">
        <v>0</v>
      </c>
      <c r="FJ19" s="208">
        <v>0</v>
      </c>
      <c r="FK19" s="208">
        <v>0</v>
      </c>
      <c r="FL19" s="208">
        <v>0</v>
      </c>
      <c r="FM19" s="208">
        <v>0</v>
      </c>
      <c r="FN19" s="208">
        <v>0</v>
      </c>
      <c r="FO19" s="208" t="s">
        <v>21303</v>
      </c>
      <c r="FP19" s="208">
        <v>0</v>
      </c>
      <c r="FQ19" s="208">
        <v>80</v>
      </c>
      <c r="FR19" s="208" t="s">
        <v>19816</v>
      </c>
      <c r="FS19" s="208" t="s">
        <v>21316</v>
      </c>
      <c r="FT19" s="208" t="s">
        <v>21303</v>
      </c>
      <c r="FU19" s="208" t="s">
        <v>21303</v>
      </c>
      <c r="FV19" s="208" t="s">
        <v>21303</v>
      </c>
      <c r="FW19" s="208" t="s">
        <v>21303</v>
      </c>
      <c r="FX19" s="208" t="s">
        <v>21386</v>
      </c>
      <c r="FY19" s="208">
        <v>23</v>
      </c>
      <c r="FZ19" s="208">
        <v>23</v>
      </c>
      <c r="GA19" s="208">
        <v>23</v>
      </c>
      <c r="GB19" s="208">
        <v>0</v>
      </c>
      <c r="GC19" s="208">
        <v>0</v>
      </c>
      <c r="GD19" s="208">
        <v>0</v>
      </c>
      <c r="GE19" s="208" t="s">
        <v>21387</v>
      </c>
      <c r="GF19" s="208" t="s">
        <v>21386</v>
      </c>
      <c r="GG19" s="208">
        <v>23</v>
      </c>
      <c r="GH19" s="208">
        <v>23</v>
      </c>
      <c r="GI19" s="208">
        <v>23</v>
      </c>
      <c r="GJ19" s="208">
        <v>0</v>
      </c>
      <c r="GK19" s="208">
        <v>0</v>
      </c>
      <c r="GL19" s="208">
        <v>0</v>
      </c>
      <c r="GM19" s="208" t="s">
        <v>21387</v>
      </c>
      <c r="GN19" s="208" t="s">
        <v>21303</v>
      </c>
      <c r="GO19" s="208">
        <v>0</v>
      </c>
      <c r="GP19" s="208">
        <v>0</v>
      </c>
      <c r="GQ19" s="208">
        <v>0</v>
      </c>
      <c r="GR19" s="208">
        <v>0</v>
      </c>
      <c r="GS19" s="208">
        <v>0</v>
      </c>
      <c r="GT19" s="208">
        <v>0</v>
      </c>
      <c r="GU19" s="208" t="s">
        <v>21303</v>
      </c>
      <c r="GV19" s="208" t="s">
        <v>21303</v>
      </c>
      <c r="GW19" s="208">
        <v>0</v>
      </c>
      <c r="GX19" s="208">
        <v>0</v>
      </c>
      <c r="GY19" s="208">
        <v>0</v>
      </c>
      <c r="GZ19" s="208">
        <v>0</v>
      </c>
      <c r="HA19" s="208">
        <v>0</v>
      </c>
      <c r="HB19" s="208">
        <v>0</v>
      </c>
      <c r="HC19" s="208" t="s">
        <v>21303</v>
      </c>
      <c r="HD19" s="208" t="s">
        <v>21303</v>
      </c>
      <c r="HE19" s="208">
        <v>0</v>
      </c>
      <c r="HF19" s="208">
        <v>0</v>
      </c>
      <c r="HG19" s="208">
        <v>0</v>
      </c>
      <c r="HH19" s="208">
        <v>0</v>
      </c>
      <c r="HI19" s="208">
        <v>0</v>
      </c>
      <c r="HJ19" s="208">
        <v>0</v>
      </c>
      <c r="HK19" s="208" t="s">
        <v>21303</v>
      </c>
      <c r="HL19" s="208" t="s">
        <v>21303</v>
      </c>
      <c r="HM19" s="208">
        <v>0</v>
      </c>
      <c r="HN19" s="208">
        <v>0</v>
      </c>
      <c r="HO19" s="208">
        <v>0</v>
      </c>
      <c r="HP19" s="208">
        <v>0</v>
      </c>
      <c r="HQ19" s="208">
        <v>0</v>
      </c>
      <c r="HR19" s="208">
        <v>0</v>
      </c>
      <c r="HS19" s="208" t="s">
        <v>21303</v>
      </c>
      <c r="HT19" s="208" t="s">
        <v>21319</v>
      </c>
      <c r="HU19" s="208">
        <v>23</v>
      </c>
      <c r="HV19" s="208">
        <v>23</v>
      </c>
      <c r="HW19" s="208">
        <v>0</v>
      </c>
      <c r="HX19" s="208">
        <v>0</v>
      </c>
      <c r="HY19" s="208">
        <v>0</v>
      </c>
      <c r="HZ19" s="208">
        <v>0</v>
      </c>
      <c r="IA19" s="600">
        <v>23</v>
      </c>
      <c r="IB19" s="600">
        <v>2</v>
      </c>
      <c r="IC19" s="343" t="s">
        <v>21035</v>
      </c>
      <c r="ID19" s="343" t="s">
        <v>21431</v>
      </c>
      <c r="IE19" s="343" t="s">
        <v>21320</v>
      </c>
      <c r="IF19" s="343" t="s">
        <v>21321</v>
      </c>
      <c r="IG19" s="383">
        <v>43748</v>
      </c>
      <c r="IH19" s="383">
        <v>45575</v>
      </c>
      <c r="II19" s="208">
        <v>46</v>
      </c>
    </row>
    <row r="20" ht="102">
      <c r="A20" s="207">
        <v>19</v>
      </c>
      <c r="B20" s="343" t="s">
        <v>21287</v>
      </c>
      <c r="C20" s="343" t="s">
        <v>21288</v>
      </c>
      <c r="D20" s="600">
        <v>128117</v>
      </c>
      <c r="E20" s="317" t="s">
        <v>21150</v>
      </c>
      <c r="F20" s="207" t="s">
        <v>20859</v>
      </c>
      <c r="G20" s="600">
        <v>106.657939</v>
      </c>
      <c r="H20" s="600">
        <v>20.790016</v>
      </c>
      <c r="I20" s="207">
        <v>1</v>
      </c>
      <c r="J20" s="207">
        <v>2</v>
      </c>
      <c r="K20" s="207" t="s">
        <v>21289</v>
      </c>
      <c r="L20" s="207" t="s">
        <v>21432</v>
      </c>
      <c r="M20" s="207" t="s">
        <v>21323</v>
      </c>
      <c r="N20" s="207" t="s">
        <v>21292</v>
      </c>
      <c r="O20" s="207" t="s">
        <v>21293</v>
      </c>
      <c r="P20" s="207" t="s">
        <v>21294</v>
      </c>
      <c r="Q20" s="207" t="s">
        <v>21295</v>
      </c>
      <c r="R20" s="207" t="s">
        <v>21351</v>
      </c>
      <c r="S20" s="364" t="b">
        <v>1</v>
      </c>
      <c r="T20" s="207" t="s">
        <v>21151</v>
      </c>
      <c r="U20" s="207">
        <v>0</v>
      </c>
      <c r="V20" s="207" t="s">
        <v>21297</v>
      </c>
      <c r="W20" s="207" t="s">
        <v>21152</v>
      </c>
      <c r="X20" s="209" t="s">
        <v>21298</v>
      </c>
      <c r="Y20" s="207" t="b">
        <v>1</v>
      </c>
      <c r="Z20" s="364" t="b">
        <v>1</v>
      </c>
      <c r="AA20" s="600">
        <v>45</v>
      </c>
      <c r="AB20" s="364" t="b">
        <v>1</v>
      </c>
      <c r="AC20" s="600">
        <v>8</v>
      </c>
      <c r="AD20" s="207" t="b">
        <v>0</v>
      </c>
      <c r="AE20" s="207" t="s">
        <v>21299</v>
      </c>
      <c r="AF20" s="207" t="s">
        <v>21300</v>
      </c>
      <c r="AG20" s="343" t="s">
        <v>21301</v>
      </c>
      <c r="AH20" s="343" t="s">
        <v>21302</v>
      </c>
      <c r="AI20" s="343" t="s">
        <v>21054</v>
      </c>
      <c r="AJ20" s="343" t="s">
        <v>21303</v>
      </c>
      <c r="AK20" s="343" t="s">
        <v>21304</v>
      </c>
      <c r="AL20" s="208"/>
      <c r="AM20" s="208" t="s">
        <v>21305</v>
      </c>
      <c r="AN20" s="208" t="s">
        <v>21306</v>
      </c>
      <c r="AO20" s="207">
        <v>3</v>
      </c>
      <c r="AP20" s="287" t="s">
        <v>21307</v>
      </c>
      <c r="AQ20" s="448" t="s">
        <v>21433</v>
      </c>
      <c r="AR20" s="448" t="s">
        <v>21434</v>
      </c>
      <c r="AS20" s="449" t="s">
        <v>7600</v>
      </c>
      <c r="AT20" s="208" t="s">
        <v>21306</v>
      </c>
      <c r="AU20" s="208" t="s">
        <v>21306</v>
      </c>
      <c r="AV20" s="208" t="s">
        <v>21303</v>
      </c>
      <c r="AW20" s="208" t="s">
        <v>21303</v>
      </c>
      <c r="AX20" s="208" t="s">
        <v>21303</v>
      </c>
      <c r="AY20" s="208" t="s">
        <v>21303</v>
      </c>
      <c r="AZ20" s="208" t="s">
        <v>21288</v>
      </c>
      <c r="BA20" s="208" t="s">
        <v>21288</v>
      </c>
      <c r="BB20" s="208" t="s">
        <v>21303</v>
      </c>
      <c r="BC20" s="208" t="s">
        <v>21303</v>
      </c>
      <c r="BD20" s="208" t="s">
        <v>21303</v>
      </c>
      <c r="BE20" s="208" t="s">
        <v>21303</v>
      </c>
      <c r="BF20" s="208" t="s">
        <v>21310</v>
      </c>
      <c r="BG20" s="208" t="s">
        <v>21435</v>
      </c>
      <c r="BH20" s="208" t="s">
        <v>21435</v>
      </c>
      <c r="BI20" s="208" t="s">
        <v>21303</v>
      </c>
      <c r="BJ20" s="208" t="s">
        <v>21303</v>
      </c>
      <c r="BK20" s="208" t="s">
        <v>21303</v>
      </c>
      <c r="BL20" s="208" t="s">
        <v>21303</v>
      </c>
      <c r="BM20" s="208" t="s">
        <v>21326</v>
      </c>
      <c r="BN20" s="208" t="s">
        <v>21326</v>
      </c>
      <c r="BO20" s="208" t="s">
        <v>21303</v>
      </c>
      <c r="BP20" s="208" t="s">
        <v>21303</v>
      </c>
      <c r="BQ20" s="208" t="s">
        <v>21303</v>
      </c>
      <c r="BR20" s="208" t="s">
        <v>21303</v>
      </c>
      <c r="BS20" s="208">
        <v>3</v>
      </c>
      <c r="BT20" s="208">
        <v>3</v>
      </c>
      <c r="BU20" s="208">
        <v>0</v>
      </c>
      <c r="BV20" s="208">
        <v>0</v>
      </c>
      <c r="BW20" s="208">
        <v>0</v>
      </c>
      <c r="BX20" s="208">
        <v>0</v>
      </c>
      <c r="BY20" s="208" t="s">
        <v>21313</v>
      </c>
      <c r="BZ20" s="208">
        <v>1</v>
      </c>
      <c r="CA20" s="208">
        <v>1</v>
      </c>
      <c r="CB20" s="208">
        <v>1</v>
      </c>
      <c r="CC20" s="208">
        <v>0</v>
      </c>
      <c r="CD20" s="208">
        <v>0</v>
      </c>
      <c r="CE20" s="208">
        <v>0</v>
      </c>
      <c r="CF20" s="208" t="s">
        <v>21313</v>
      </c>
      <c r="CG20" s="208">
        <v>1</v>
      </c>
      <c r="CH20" s="208">
        <v>1</v>
      </c>
      <c r="CI20" s="208">
        <v>1</v>
      </c>
      <c r="CJ20" s="208">
        <v>0</v>
      </c>
      <c r="CK20" s="208">
        <v>0</v>
      </c>
      <c r="CL20" s="208">
        <v>0</v>
      </c>
      <c r="CM20" s="208" t="s">
        <v>21303</v>
      </c>
      <c r="CN20" s="208">
        <v>0</v>
      </c>
      <c r="CO20" s="208">
        <v>0</v>
      </c>
      <c r="CP20" s="208">
        <v>0</v>
      </c>
      <c r="CQ20" s="208">
        <v>0</v>
      </c>
      <c r="CR20" s="208">
        <v>0</v>
      </c>
      <c r="CS20" s="208">
        <v>0</v>
      </c>
      <c r="CT20" s="208" t="s">
        <v>21303</v>
      </c>
      <c r="CU20" s="208">
        <v>0</v>
      </c>
      <c r="CV20" s="208">
        <v>0</v>
      </c>
      <c r="CW20" s="208">
        <v>0</v>
      </c>
      <c r="CX20" s="208">
        <v>0</v>
      </c>
      <c r="CY20" s="208">
        <v>0</v>
      </c>
      <c r="CZ20" s="208">
        <v>0</v>
      </c>
      <c r="DA20" s="208" t="s">
        <v>21303</v>
      </c>
      <c r="DB20" s="208">
        <v>0</v>
      </c>
      <c r="DC20" s="208">
        <v>0</v>
      </c>
      <c r="DD20" s="208">
        <v>0</v>
      </c>
      <c r="DE20" s="208">
        <v>0</v>
      </c>
      <c r="DF20" s="208">
        <v>0</v>
      </c>
      <c r="DG20" s="208">
        <v>0</v>
      </c>
      <c r="DH20" s="208" t="s">
        <v>21303</v>
      </c>
      <c r="DI20" s="208">
        <v>0</v>
      </c>
      <c r="DJ20" s="208">
        <v>0</v>
      </c>
      <c r="DK20" s="208">
        <v>0</v>
      </c>
      <c r="DL20" s="208">
        <v>0</v>
      </c>
      <c r="DM20" s="208">
        <v>0</v>
      </c>
      <c r="DN20" s="208">
        <v>0</v>
      </c>
      <c r="DO20" s="208" t="s">
        <v>21314</v>
      </c>
      <c r="DP20" s="208">
        <v>80</v>
      </c>
      <c r="DQ20" s="208">
        <v>80</v>
      </c>
      <c r="DR20" s="208">
        <v>80</v>
      </c>
      <c r="DS20" s="208">
        <v>0</v>
      </c>
      <c r="DT20" s="208">
        <v>0</v>
      </c>
      <c r="DU20" s="208">
        <v>0</v>
      </c>
      <c r="DV20" s="208" t="s">
        <v>21315</v>
      </c>
      <c r="DW20" s="208">
        <v>80</v>
      </c>
      <c r="DX20" s="208" t="s">
        <v>21314</v>
      </c>
      <c r="DY20" s="208">
        <v>80</v>
      </c>
      <c r="DZ20" s="208">
        <v>80</v>
      </c>
      <c r="EA20" s="208">
        <v>80</v>
      </c>
      <c r="EB20" s="208">
        <v>0</v>
      </c>
      <c r="EC20" s="208">
        <v>0</v>
      </c>
      <c r="ED20" s="208">
        <v>0</v>
      </c>
      <c r="EE20" s="208" t="s">
        <v>21315</v>
      </c>
      <c r="EF20" s="208">
        <v>80</v>
      </c>
      <c r="EG20" s="208" t="s">
        <v>21303</v>
      </c>
      <c r="EH20" s="208">
        <v>0</v>
      </c>
      <c r="EI20" s="208">
        <v>0</v>
      </c>
      <c r="EJ20" s="208">
        <v>0</v>
      </c>
      <c r="EK20" s="208">
        <v>0</v>
      </c>
      <c r="EL20" s="208">
        <v>0</v>
      </c>
      <c r="EM20" s="208">
        <v>0</v>
      </c>
      <c r="EN20" s="208" t="s">
        <v>21303</v>
      </c>
      <c r="EO20" s="208">
        <v>0</v>
      </c>
      <c r="EP20" s="208" t="s">
        <v>21303</v>
      </c>
      <c r="EQ20" s="208">
        <v>0</v>
      </c>
      <c r="ER20" s="208">
        <v>0</v>
      </c>
      <c r="ES20" s="208">
        <v>0</v>
      </c>
      <c r="ET20" s="208">
        <v>0</v>
      </c>
      <c r="EU20" s="208">
        <v>0</v>
      </c>
      <c r="EV20" s="208">
        <v>0</v>
      </c>
      <c r="EW20" s="208" t="s">
        <v>21303</v>
      </c>
      <c r="EX20" s="208">
        <v>0</v>
      </c>
      <c r="EY20" s="208" t="s">
        <v>21303</v>
      </c>
      <c r="EZ20" s="208">
        <v>0</v>
      </c>
      <c r="FA20" s="208">
        <v>0</v>
      </c>
      <c r="FB20" s="208">
        <v>0</v>
      </c>
      <c r="FC20" s="208">
        <v>0</v>
      </c>
      <c r="FD20" s="208">
        <v>0</v>
      </c>
      <c r="FE20" s="208">
        <v>0</v>
      </c>
      <c r="FF20" s="208" t="s">
        <v>21303</v>
      </c>
      <c r="FG20" s="208">
        <v>0</v>
      </c>
      <c r="FH20" s="208" t="s">
        <v>21303</v>
      </c>
      <c r="FI20" s="208">
        <v>0</v>
      </c>
      <c r="FJ20" s="208">
        <v>0</v>
      </c>
      <c r="FK20" s="208">
        <v>0</v>
      </c>
      <c r="FL20" s="208">
        <v>0</v>
      </c>
      <c r="FM20" s="208">
        <v>0</v>
      </c>
      <c r="FN20" s="208">
        <v>0</v>
      </c>
      <c r="FO20" s="208" t="s">
        <v>21303</v>
      </c>
      <c r="FP20" s="208">
        <v>0</v>
      </c>
      <c r="FQ20" s="208">
        <v>80</v>
      </c>
      <c r="FR20" s="208" t="s">
        <v>19816</v>
      </c>
      <c r="FS20" s="208" t="s">
        <v>21316</v>
      </c>
      <c r="FT20" s="208" t="s">
        <v>21303</v>
      </c>
      <c r="FU20" s="208" t="s">
        <v>21303</v>
      </c>
      <c r="FV20" s="208" t="s">
        <v>21303</v>
      </c>
      <c r="FW20" s="208" t="s">
        <v>21303</v>
      </c>
      <c r="FX20" s="208" t="s">
        <v>21355</v>
      </c>
      <c r="FY20" s="208">
        <v>45</v>
      </c>
      <c r="FZ20" s="208">
        <v>45</v>
      </c>
      <c r="GA20" s="208">
        <v>45</v>
      </c>
      <c r="GB20" s="208">
        <v>0</v>
      </c>
      <c r="GC20" s="208">
        <v>0</v>
      </c>
      <c r="GD20" s="208">
        <v>0</v>
      </c>
      <c r="GE20" s="208" t="s">
        <v>21356</v>
      </c>
      <c r="GF20" s="208" t="s">
        <v>21355</v>
      </c>
      <c r="GG20" s="208">
        <v>45</v>
      </c>
      <c r="GH20" s="208">
        <v>45</v>
      </c>
      <c r="GI20" s="208">
        <v>45</v>
      </c>
      <c r="GJ20" s="208">
        <v>0</v>
      </c>
      <c r="GK20" s="208">
        <v>0</v>
      </c>
      <c r="GL20" s="208">
        <v>0</v>
      </c>
      <c r="GM20" s="208" t="s">
        <v>21356</v>
      </c>
      <c r="GN20" s="208" t="s">
        <v>21303</v>
      </c>
      <c r="GO20" s="208">
        <v>0</v>
      </c>
      <c r="GP20" s="208">
        <v>0</v>
      </c>
      <c r="GQ20" s="208">
        <v>0</v>
      </c>
      <c r="GR20" s="208">
        <v>0</v>
      </c>
      <c r="GS20" s="208">
        <v>0</v>
      </c>
      <c r="GT20" s="208">
        <v>0</v>
      </c>
      <c r="GU20" s="208" t="s">
        <v>21303</v>
      </c>
      <c r="GV20" s="208" t="s">
        <v>21303</v>
      </c>
      <c r="GW20" s="208">
        <v>0</v>
      </c>
      <c r="GX20" s="208">
        <v>0</v>
      </c>
      <c r="GY20" s="208">
        <v>0</v>
      </c>
      <c r="GZ20" s="208">
        <v>0</v>
      </c>
      <c r="HA20" s="208">
        <v>0</v>
      </c>
      <c r="HB20" s="208">
        <v>0</v>
      </c>
      <c r="HC20" s="208" t="s">
        <v>21303</v>
      </c>
      <c r="HD20" s="208" t="s">
        <v>21303</v>
      </c>
      <c r="HE20" s="208">
        <v>0</v>
      </c>
      <c r="HF20" s="208">
        <v>0</v>
      </c>
      <c r="HG20" s="208">
        <v>0</v>
      </c>
      <c r="HH20" s="208">
        <v>0</v>
      </c>
      <c r="HI20" s="208">
        <v>0</v>
      </c>
      <c r="HJ20" s="208">
        <v>0</v>
      </c>
      <c r="HK20" s="208" t="s">
        <v>21303</v>
      </c>
      <c r="HL20" s="208" t="s">
        <v>21303</v>
      </c>
      <c r="HM20" s="208">
        <v>0</v>
      </c>
      <c r="HN20" s="208">
        <v>0</v>
      </c>
      <c r="HO20" s="208">
        <v>0</v>
      </c>
      <c r="HP20" s="208">
        <v>0</v>
      </c>
      <c r="HQ20" s="208">
        <v>0</v>
      </c>
      <c r="HR20" s="208">
        <v>0</v>
      </c>
      <c r="HS20" s="208" t="s">
        <v>21303</v>
      </c>
      <c r="HT20" s="208" t="s">
        <v>21319</v>
      </c>
      <c r="HU20" s="208">
        <v>45</v>
      </c>
      <c r="HV20" s="208">
        <v>45</v>
      </c>
      <c r="HW20" s="208">
        <v>0</v>
      </c>
      <c r="HX20" s="208">
        <v>0</v>
      </c>
      <c r="HY20" s="208">
        <v>0</v>
      </c>
      <c r="HZ20" s="208">
        <v>0</v>
      </c>
      <c r="IA20" s="600">
        <v>45</v>
      </c>
      <c r="IB20" s="600">
        <v>37</v>
      </c>
      <c r="IC20" s="343" t="s">
        <v>21035</v>
      </c>
      <c r="ID20" s="343" t="s">
        <v>3611</v>
      </c>
      <c r="IE20" s="343" t="s">
        <v>21320</v>
      </c>
      <c r="IF20" s="343" t="s">
        <v>21321</v>
      </c>
      <c r="IG20" s="383">
        <v>43748</v>
      </c>
      <c r="IH20" s="383">
        <v>45575</v>
      </c>
      <c r="II20" s="208">
        <v>46</v>
      </c>
    </row>
    <row r="21" ht="102">
      <c r="A21" s="207">
        <v>20</v>
      </c>
      <c r="B21" s="343" t="s">
        <v>21287</v>
      </c>
      <c r="C21" s="343" t="s">
        <v>21288</v>
      </c>
      <c r="D21" s="600">
        <v>128077</v>
      </c>
      <c r="E21" s="317" t="s">
        <v>21153</v>
      </c>
      <c r="F21" s="207" t="s">
        <v>20859</v>
      </c>
      <c r="G21" s="600">
        <v>106.57121</v>
      </c>
      <c r="H21" s="600">
        <v>20.909983</v>
      </c>
      <c r="I21" s="207">
        <v>1</v>
      </c>
      <c r="J21" s="207">
        <v>2</v>
      </c>
      <c r="K21" s="207" t="s">
        <v>21289</v>
      </c>
      <c r="L21" s="207" t="s">
        <v>21436</v>
      </c>
      <c r="M21" s="207" t="s">
        <v>21323</v>
      </c>
      <c r="N21" s="207" t="s">
        <v>21292</v>
      </c>
      <c r="O21" s="207" t="s">
        <v>21293</v>
      </c>
      <c r="P21" s="207" t="s">
        <v>21294</v>
      </c>
      <c r="Q21" s="207" t="s">
        <v>21295</v>
      </c>
      <c r="R21" s="207" t="s">
        <v>21437</v>
      </c>
      <c r="S21" s="364" t="b">
        <v>1</v>
      </c>
      <c r="T21" s="207" t="s">
        <v>21154</v>
      </c>
      <c r="U21" s="207">
        <v>0</v>
      </c>
      <c r="V21" s="207" t="s">
        <v>21297</v>
      </c>
      <c r="W21" s="207" t="s">
        <v>21155</v>
      </c>
      <c r="X21" s="209" t="s">
        <v>21298</v>
      </c>
      <c r="Y21" s="207" t="b">
        <v>0</v>
      </c>
      <c r="Z21" s="364" t="b">
        <v>0</v>
      </c>
      <c r="AA21" s="600">
        <v>21</v>
      </c>
      <c r="AB21" s="364" t="b">
        <v>1</v>
      </c>
      <c r="AC21" s="600">
        <v>10</v>
      </c>
      <c r="AD21" s="207" t="b">
        <v>0</v>
      </c>
      <c r="AE21" s="207" t="s">
        <v>21299</v>
      </c>
      <c r="AF21" s="207" t="s">
        <v>21300</v>
      </c>
      <c r="AG21" s="343" t="s">
        <v>21301</v>
      </c>
      <c r="AH21" s="343" t="s">
        <v>21302</v>
      </c>
      <c r="AI21" s="343" t="s">
        <v>21054</v>
      </c>
      <c r="AJ21" s="343" t="s">
        <v>21303</v>
      </c>
      <c r="AK21" s="343" t="s">
        <v>21304</v>
      </c>
      <c r="AL21" s="208"/>
      <c r="AM21" s="208" t="s">
        <v>21305</v>
      </c>
      <c r="AN21" s="208" t="s">
        <v>21306</v>
      </c>
      <c r="AO21" s="207">
        <v>4</v>
      </c>
      <c r="AP21" s="287" t="s">
        <v>21307</v>
      </c>
      <c r="AQ21" s="448" t="s">
        <v>21346</v>
      </c>
      <c r="AR21" s="448" t="s">
        <v>21438</v>
      </c>
      <c r="AS21" s="449" t="s">
        <v>7600</v>
      </c>
      <c r="AT21" s="208" t="s">
        <v>21306</v>
      </c>
      <c r="AU21" s="208" t="s">
        <v>21306</v>
      </c>
      <c r="AV21" s="208" t="s">
        <v>21303</v>
      </c>
      <c r="AW21" s="208" t="s">
        <v>21303</v>
      </c>
      <c r="AX21" s="208" t="s">
        <v>21303</v>
      </c>
      <c r="AY21" s="208" t="s">
        <v>21303</v>
      </c>
      <c r="AZ21" s="208" t="s">
        <v>21288</v>
      </c>
      <c r="BA21" s="208" t="s">
        <v>21288</v>
      </c>
      <c r="BB21" s="208" t="s">
        <v>21303</v>
      </c>
      <c r="BC21" s="208" t="s">
        <v>21303</v>
      </c>
      <c r="BD21" s="208" t="s">
        <v>21303</v>
      </c>
      <c r="BE21" s="208" t="s">
        <v>21303</v>
      </c>
      <c r="BF21" s="208" t="s">
        <v>21310</v>
      </c>
      <c r="BG21" s="208" t="s">
        <v>21439</v>
      </c>
      <c r="BH21" s="208" t="s">
        <v>21439</v>
      </c>
      <c r="BI21" s="208" t="s">
        <v>21303</v>
      </c>
      <c r="BJ21" s="208" t="s">
        <v>21303</v>
      </c>
      <c r="BK21" s="208" t="s">
        <v>21303</v>
      </c>
      <c r="BL21" s="208" t="s">
        <v>21303</v>
      </c>
      <c r="BM21" s="208" t="s">
        <v>21326</v>
      </c>
      <c r="BN21" s="208" t="s">
        <v>21326</v>
      </c>
      <c r="BO21" s="208" t="s">
        <v>21303</v>
      </c>
      <c r="BP21" s="208" t="s">
        <v>21303</v>
      </c>
      <c r="BQ21" s="208" t="s">
        <v>21303</v>
      </c>
      <c r="BR21" s="208" t="s">
        <v>21303</v>
      </c>
      <c r="BS21" s="208">
        <v>3</v>
      </c>
      <c r="BT21" s="208">
        <v>3</v>
      </c>
      <c r="BU21" s="208">
        <v>0</v>
      </c>
      <c r="BV21" s="208">
        <v>0</v>
      </c>
      <c r="BW21" s="208">
        <v>0</v>
      </c>
      <c r="BX21" s="208">
        <v>0</v>
      </c>
      <c r="BY21" s="208" t="s">
        <v>21313</v>
      </c>
      <c r="BZ21" s="208">
        <v>1</v>
      </c>
      <c r="CA21" s="208">
        <v>1</v>
      </c>
      <c r="CB21" s="208">
        <v>1</v>
      </c>
      <c r="CC21" s="208">
        <v>0</v>
      </c>
      <c r="CD21" s="208">
        <v>0</v>
      </c>
      <c r="CE21" s="208">
        <v>0</v>
      </c>
      <c r="CF21" s="208" t="s">
        <v>21313</v>
      </c>
      <c r="CG21" s="208">
        <v>1</v>
      </c>
      <c r="CH21" s="208">
        <v>1</v>
      </c>
      <c r="CI21" s="208">
        <v>1</v>
      </c>
      <c r="CJ21" s="208">
        <v>0</v>
      </c>
      <c r="CK21" s="208">
        <v>0</v>
      </c>
      <c r="CL21" s="208">
        <v>0</v>
      </c>
      <c r="CM21" s="208" t="s">
        <v>21303</v>
      </c>
      <c r="CN21" s="208">
        <v>0</v>
      </c>
      <c r="CO21" s="208">
        <v>0</v>
      </c>
      <c r="CP21" s="208">
        <v>0</v>
      </c>
      <c r="CQ21" s="208">
        <v>0</v>
      </c>
      <c r="CR21" s="208">
        <v>0</v>
      </c>
      <c r="CS21" s="208">
        <v>0</v>
      </c>
      <c r="CT21" s="208" t="s">
        <v>21303</v>
      </c>
      <c r="CU21" s="208">
        <v>0</v>
      </c>
      <c r="CV21" s="208">
        <v>0</v>
      </c>
      <c r="CW21" s="208">
        <v>0</v>
      </c>
      <c r="CX21" s="208">
        <v>0</v>
      </c>
      <c r="CY21" s="208">
        <v>0</v>
      </c>
      <c r="CZ21" s="208">
        <v>0</v>
      </c>
      <c r="DA21" s="208" t="s">
        <v>21303</v>
      </c>
      <c r="DB21" s="208">
        <v>0</v>
      </c>
      <c r="DC21" s="208">
        <v>0</v>
      </c>
      <c r="DD21" s="208">
        <v>0</v>
      </c>
      <c r="DE21" s="208">
        <v>0</v>
      </c>
      <c r="DF21" s="208">
        <v>0</v>
      </c>
      <c r="DG21" s="208">
        <v>0</v>
      </c>
      <c r="DH21" s="208" t="s">
        <v>21303</v>
      </c>
      <c r="DI21" s="208">
        <v>0</v>
      </c>
      <c r="DJ21" s="208">
        <v>0</v>
      </c>
      <c r="DK21" s="208">
        <v>0</v>
      </c>
      <c r="DL21" s="208">
        <v>0</v>
      </c>
      <c r="DM21" s="208">
        <v>0</v>
      </c>
      <c r="DN21" s="208">
        <v>0</v>
      </c>
      <c r="DO21" s="208" t="s">
        <v>21314</v>
      </c>
      <c r="DP21" s="208">
        <v>80</v>
      </c>
      <c r="DQ21" s="208">
        <v>80</v>
      </c>
      <c r="DR21" s="208">
        <v>80</v>
      </c>
      <c r="DS21" s="208">
        <v>0</v>
      </c>
      <c r="DT21" s="208">
        <v>0</v>
      </c>
      <c r="DU21" s="208">
        <v>0</v>
      </c>
      <c r="DV21" s="208" t="s">
        <v>21315</v>
      </c>
      <c r="DW21" s="208">
        <v>80</v>
      </c>
      <c r="DX21" s="208" t="s">
        <v>21314</v>
      </c>
      <c r="DY21" s="208">
        <v>80</v>
      </c>
      <c r="DZ21" s="208">
        <v>80</v>
      </c>
      <c r="EA21" s="208">
        <v>80</v>
      </c>
      <c r="EB21" s="208">
        <v>0</v>
      </c>
      <c r="EC21" s="208">
        <v>0</v>
      </c>
      <c r="ED21" s="208">
        <v>0</v>
      </c>
      <c r="EE21" s="208" t="s">
        <v>21315</v>
      </c>
      <c r="EF21" s="208">
        <v>80</v>
      </c>
      <c r="EG21" s="208" t="s">
        <v>21303</v>
      </c>
      <c r="EH21" s="208">
        <v>0</v>
      </c>
      <c r="EI21" s="208">
        <v>0</v>
      </c>
      <c r="EJ21" s="208">
        <v>0</v>
      </c>
      <c r="EK21" s="208">
        <v>0</v>
      </c>
      <c r="EL21" s="208">
        <v>0</v>
      </c>
      <c r="EM21" s="208">
        <v>0</v>
      </c>
      <c r="EN21" s="208" t="s">
        <v>21303</v>
      </c>
      <c r="EO21" s="208">
        <v>0</v>
      </c>
      <c r="EP21" s="208" t="s">
        <v>21303</v>
      </c>
      <c r="EQ21" s="208">
        <v>0</v>
      </c>
      <c r="ER21" s="208">
        <v>0</v>
      </c>
      <c r="ES21" s="208">
        <v>0</v>
      </c>
      <c r="ET21" s="208">
        <v>0</v>
      </c>
      <c r="EU21" s="208">
        <v>0</v>
      </c>
      <c r="EV21" s="208">
        <v>0</v>
      </c>
      <c r="EW21" s="208" t="s">
        <v>21303</v>
      </c>
      <c r="EX21" s="208">
        <v>0</v>
      </c>
      <c r="EY21" s="208" t="s">
        <v>21303</v>
      </c>
      <c r="EZ21" s="208">
        <v>0</v>
      </c>
      <c r="FA21" s="208">
        <v>0</v>
      </c>
      <c r="FB21" s="208">
        <v>0</v>
      </c>
      <c r="FC21" s="208">
        <v>0</v>
      </c>
      <c r="FD21" s="208">
        <v>0</v>
      </c>
      <c r="FE21" s="208">
        <v>0</v>
      </c>
      <c r="FF21" s="208" t="s">
        <v>21303</v>
      </c>
      <c r="FG21" s="208">
        <v>0</v>
      </c>
      <c r="FH21" s="208" t="s">
        <v>21303</v>
      </c>
      <c r="FI21" s="208">
        <v>0</v>
      </c>
      <c r="FJ21" s="208">
        <v>0</v>
      </c>
      <c r="FK21" s="208">
        <v>0</v>
      </c>
      <c r="FL21" s="208">
        <v>0</v>
      </c>
      <c r="FM21" s="208">
        <v>0</v>
      </c>
      <c r="FN21" s="208">
        <v>0</v>
      </c>
      <c r="FO21" s="208" t="s">
        <v>21303</v>
      </c>
      <c r="FP21" s="208">
        <v>0</v>
      </c>
      <c r="FQ21" s="208">
        <v>80</v>
      </c>
      <c r="FR21" s="208" t="s">
        <v>19816</v>
      </c>
      <c r="FS21" s="208" t="s">
        <v>21316</v>
      </c>
      <c r="FT21" s="208" t="s">
        <v>21303</v>
      </c>
      <c r="FU21" s="208" t="s">
        <v>21303</v>
      </c>
      <c r="FV21" s="208" t="s">
        <v>21303</v>
      </c>
      <c r="FW21" s="208" t="s">
        <v>21303</v>
      </c>
      <c r="FX21" s="208" t="s">
        <v>21386</v>
      </c>
      <c r="FY21" s="208">
        <v>23</v>
      </c>
      <c r="FZ21" s="208">
        <v>23</v>
      </c>
      <c r="GA21" s="208">
        <v>23</v>
      </c>
      <c r="GB21" s="208">
        <v>0</v>
      </c>
      <c r="GC21" s="208">
        <v>0</v>
      </c>
      <c r="GD21" s="208">
        <v>0</v>
      </c>
      <c r="GE21" s="208" t="s">
        <v>21387</v>
      </c>
      <c r="GF21" s="208" t="s">
        <v>21333</v>
      </c>
      <c r="GG21" s="208">
        <v>21</v>
      </c>
      <c r="GH21" s="208">
        <v>21</v>
      </c>
      <c r="GI21" s="208">
        <v>21</v>
      </c>
      <c r="GJ21" s="208">
        <v>0</v>
      </c>
      <c r="GK21" s="208">
        <v>0</v>
      </c>
      <c r="GL21" s="208">
        <v>0</v>
      </c>
      <c r="GM21" s="208" t="s">
        <v>21334</v>
      </c>
      <c r="GN21" s="208" t="s">
        <v>21303</v>
      </c>
      <c r="GO21" s="208">
        <v>0</v>
      </c>
      <c r="GP21" s="208">
        <v>0</v>
      </c>
      <c r="GQ21" s="208">
        <v>0</v>
      </c>
      <c r="GR21" s="208">
        <v>0</v>
      </c>
      <c r="GS21" s="208">
        <v>0</v>
      </c>
      <c r="GT21" s="208">
        <v>0</v>
      </c>
      <c r="GU21" s="208" t="s">
        <v>21303</v>
      </c>
      <c r="GV21" s="208" t="s">
        <v>21303</v>
      </c>
      <c r="GW21" s="208">
        <v>0</v>
      </c>
      <c r="GX21" s="208">
        <v>0</v>
      </c>
      <c r="GY21" s="208">
        <v>0</v>
      </c>
      <c r="GZ21" s="208">
        <v>0</v>
      </c>
      <c r="HA21" s="208">
        <v>0</v>
      </c>
      <c r="HB21" s="208">
        <v>0</v>
      </c>
      <c r="HC21" s="208" t="s">
        <v>21303</v>
      </c>
      <c r="HD21" s="208" t="s">
        <v>21303</v>
      </c>
      <c r="HE21" s="208">
        <v>0</v>
      </c>
      <c r="HF21" s="208">
        <v>0</v>
      </c>
      <c r="HG21" s="208">
        <v>0</v>
      </c>
      <c r="HH21" s="208">
        <v>0</v>
      </c>
      <c r="HI21" s="208">
        <v>0</v>
      </c>
      <c r="HJ21" s="208">
        <v>0</v>
      </c>
      <c r="HK21" s="208" t="s">
        <v>21303</v>
      </c>
      <c r="HL21" s="208" t="s">
        <v>21303</v>
      </c>
      <c r="HM21" s="208">
        <v>0</v>
      </c>
      <c r="HN21" s="208">
        <v>0</v>
      </c>
      <c r="HO21" s="208">
        <v>0</v>
      </c>
      <c r="HP21" s="208">
        <v>0</v>
      </c>
      <c r="HQ21" s="208">
        <v>0</v>
      </c>
      <c r="HR21" s="208">
        <v>0</v>
      </c>
      <c r="HS21" s="208" t="s">
        <v>21303</v>
      </c>
      <c r="HT21" s="208" t="s">
        <v>21319</v>
      </c>
      <c r="HU21" s="208">
        <v>23</v>
      </c>
      <c r="HV21" s="208">
        <v>21</v>
      </c>
      <c r="HW21" s="208">
        <v>0</v>
      </c>
      <c r="HX21" s="208">
        <v>0</v>
      </c>
      <c r="HY21" s="208">
        <v>0</v>
      </c>
      <c r="HZ21" s="208">
        <v>0</v>
      </c>
      <c r="IA21" s="600">
        <v>21</v>
      </c>
      <c r="IB21" s="600">
        <v>11</v>
      </c>
      <c r="IC21" s="343" t="s">
        <v>21035</v>
      </c>
      <c r="ID21" s="343" t="s">
        <v>21440</v>
      </c>
      <c r="IE21" s="343" t="s">
        <v>21320</v>
      </c>
      <c r="IF21" s="343" t="s">
        <v>21321</v>
      </c>
      <c r="IG21" s="383">
        <v>43748</v>
      </c>
      <c r="IH21" s="383">
        <v>45575</v>
      </c>
      <c r="II21" s="208">
        <v>46</v>
      </c>
    </row>
    <row r="22" ht="102">
      <c r="A22" s="207">
        <v>21</v>
      </c>
      <c r="B22" s="343" t="s">
        <v>21287</v>
      </c>
      <c r="C22" s="343" t="s">
        <v>21288</v>
      </c>
      <c r="D22" s="600">
        <v>128044</v>
      </c>
      <c r="E22" s="317" t="s">
        <v>21156</v>
      </c>
      <c r="F22" s="207" t="s">
        <v>20859</v>
      </c>
      <c r="G22" s="600">
        <v>106.55422</v>
      </c>
      <c r="H22" s="600">
        <v>20.9297</v>
      </c>
      <c r="I22" s="207">
        <v>1</v>
      </c>
      <c r="J22" s="207">
        <v>2</v>
      </c>
      <c r="K22" s="207" t="s">
        <v>21289</v>
      </c>
      <c r="L22" s="207" t="s">
        <v>21441</v>
      </c>
      <c r="M22" s="207" t="s">
        <v>21323</v>
      </c>
      <c r="N22" s="207" t="s">
        <v>21292</v>
      </c>
      <c r="O22" s="207" t="s">
        <v>21293</v>
      </c>
      <c r="P22" s="207" t="s">
        <v>21294</v>
      </c>
      <c r="Q22" s="207" t="s">
        <v>21295</v>
      </c>
      <c r="R22" s="207" t="s">
        <v>21442</v>
      </c>
      <c r="S22" s="364" t="b">
        <v>1</v>
      </c>
      <c r="T22" s="207" t="s">
        <v>21157</v>
      </c>
      <c r="U22" s="207">
        <v>0</v>
      </c>
      <c r="V22" s="207" t="s">
        <v>21297</v>
      </c>
      <c r="W22" s="207" t="s">
        <v>21158</v>
      </c>
      <c r="X22" s="209" t="s">
        <v>21298</v>
      </c>
      <c r="Y22" s="207" t="b">
        <v>0</v>
      </c>
      <c r="Z22" s="364" t="b">
        <v>0</v>
      </c>
      <c r="AA22" s="600">
        <v>30</v>
      </c>
      <c r="AB22" s="364" t="b">
        <v>1</v>
      </c>
      <c r="AC22" s="600">
        <v>14</v>
      </c>
      <c r="AD22" s="207" t="b">
        <v>0</v>
      </c>
      <c r="AE22" s="207" t="s">
        <v>21299</v>
      </c>
      <c r="AF22" s="207" t="s">
        <v>21300</v>
      </c>
      <c r="AG22" s="343" t="s">
        <v>21301</v>
      </c>
      <c r="AH22" s="343" t="s">
        <v>21302</v>
      </c>
      <c r="AI22" s="343" t="s">
        <v>21054</v>
      </c>
      <c r="AJ22" s="343" t="s">
        <v>21303</v>
      </c>
      <c r="AK22" s="343" t="s">
        <v>21304</v>
      </c>
      <c r="AL22" s="208"/>
      <c r="AM22" s="208" t="s">
        <v>21305</v>
      </c>
      <c r="AN22" s="208" t="s">
        <v>21306</v>
      </c>
      <c r="AO22" s="207">
        <v>3</v>
      </c>
      <c r="AP22" s="287" t="s">
        <v>21307</v>
      </c>
      <c r="AQ22" s="448" t="s">
        <v>21346</v>
      </c>
      <c r="AR22" s="448" t="s">
        <v>21438</v>
      </c>
      <c r="AS22" s="449" t="s">
        <v>7600</v>
      </c>
      <c r="AT22" s="208" t="s">
        <v>21306</v>
      </c>
      <c r="AU22" s="208" t="s">
        <v>21306</v>
      </c>
      <c r="AV22" s="208" t="s">
        <v>21303</v>
      </c>
      <c r="AW22" s="208" t="s">
        <v>21303</v>
      </c>
      <c r="AX22" s="208" t="s">
        <v>21303</v>
      </c>
      <c r="AY22" s="208" t="s">
        <v>21303</v>
      </c>
      <c r="AZ22" s="208" t="s">
        <v>21288</v>
      </c>
      <c r="BA22" s="208" t="s">
        <v>21288</v>
      </c>
      <c r="BB22" s="208" t="s">
        <v>21303</v>
      </c>
      <c r="BC22" s="208" t="s">
        <v>21303</v>
      </c>
      <c r="BD22" s="208" t="s">
        <v>21303</v>
      </c>
      <c r="BE22" s="208" t="s">
        <v>21303</v>
      </c>
      <c r="BF22" s="208" t="s">
        <v>21310</v>
      </c>
      <c r="BG22" s="208" t="s">
        <v>21443</v>
      </c>
      <c r="BH22" s="208" t="s">
        <v>21443</v>
      </c>
      <c r="BI22" s="208" t="s">
        <v>21303</v>
      </c>
      <c r="BJ22" s="208" t="s">
        <v>21303</v>
      </c>
      <c r="BK22" s="208" t="s">
        <v>21303</v>
      </c>
      <c r="BL22" s="208" t="s">
        <v>21303</v>
      </c>
      <c r="BM22" s="208" t="s">
        <v>21326</v>
      </c>
      <c r="BN22" s="208" t="s">
        <v>21326</v>
      </c>
      <c r="BO22" s="208" t="s">
        <v>21303</v>
      </c>
      <c r="BP22" s="208" t="s">
        <v>21303</v>
      </c>
      <c r="BQ22" s="208" t="s">
        <v>21303</v>
      </c>
      <c r="BR22" s="208" t="s">
        <v>21303</v>
      </c>
      <c r="BS22" s="208">
        <v>3</v>
      </c>
      <c r="BT22" s="208">
        <v>3</v>
      </c>
      <c r="BU22" s="208">
        <v>0</v>
      </c>
      <c r="BV22" s="208">
        <v>0</v>
      </c>
      <c r="BW22" s="208">
        <v>0</v>
      </c>
      <c r="BX22" s="208">
        <v>0</v>
      </c>
      <c r="BY22" s="208" t="s">
        <v>21313</v>
      </c>
      <c r="BZ22" s="208">
        <v>1</v>
      </c>
      <c r="CA22" s="208">
        <v>1</v>
      </c>
      <c r="CB22" s="208">
        <v>1</v>
      </c>
      <c r="CC22" s="208">
        <v>0</v>
      </c>
      <c r="CD22" s="208">
        <v>0</v>
      </c>
      <c r="CE22" s="208">
        <v>0</v>
      </c>
      <c r="CF22" s="208" t="s">
        <v>21313</v>
      </c>
      <c r="CG22" s="208">
        <v>1</v>
      </c>
      <c r="CH22" s="208">
        <v>1</v>
      </c>
      <c r="CI22" s="208">
        <v>1</v>
      </c>
      <c r="CJ22" s="208">
        <v>0</v>
      </c>
      <c r="CK22" s="208">
        <v>0</v>
      </c>
      <c r="CL22" s="208">
        <v>0</v>
      </c>
      <c r="CM22" s="208" t="s">
        <v>21303</v>
      </c>
      <c r="CN22" s="208">
        <v>0</v>
      </c>
      <c r="CO22" s="208">
        <v>0</v>
      </c>
      <c r="CP22" s="208">
        <v>0</v>
      </c>
      <c r="CQ22" s="208">
        <v>0</v>
      </c>
      <c r="CR22" s="208">
        <v>0</v>
      </c>
      <c r="CS22" s="208">
        <v>0</v>
      </c>
      <c r="CT22" s="208" t="s">
        <v>21303</v>
      </c>
      <c r="CU22" s="208">
        <v>0</v>
      </c>
      <c r="CV22" s="208">
        <v>0</v>
      </c>
      <c r="CW22" s="208">
        <v>0</v>
      </c>
      <c r="CX22" s="208">
        <v>0</v>
      </c>
      <c r="CY22" s="208">
        <v>0</v>
      </c>
      <c r="CZ22" s="208">
        <v>0</v>
      </c>
      <c r="DA22" s="208" t="s">
        <v>21303</v>
      </c>
      <c r="DB22" s="208">
        <v>0</v>
      </c>
      <c r="DC22" s="208">
        <v>0</v>
      </c>
      <c r="DD22" s="208">
        <v>0</v>
      </c>
      <c r="DE22" s="208">
        <v>0</v>
      </c>
      <c r="DF22" s="208">
        <v>0</v>
      </c>
      <c r="DG22" s="208">
        <v>0</v>
      </c>
      <c r="DH22" s="208" t="s">
        <v>21303</v>
      </c>
      <c r="DI22" s="208">
        <v>0</v>
      </c>
      <c r="DJ22" s="208">
        <v>0</v>
      </c>
      <c r="DK22" s="208">
        <v>0</v>
      </c>
      <c r="DL22" s="208">
        <v>0</v>
      </c>
      <c r="DM22" s="208">
        <v>0</v>
      </c>
      <c r="DN22" s="208">
        <v>0</v>
      </c>
      <c r="DO22" s="208" t="s">
        <v>21314</v>
      </c>
      <c r="DP22" s="208">
        <v>80</v>
      </c>
      <c r="DQ22" s="208">
        <v>80</v>
      </c>
      <c r="DR22" s="208">
        <v>80</v>
      </c>
      <c r="DS22" s="208">
        <v>0</v>
      </c>
      <c r="DT22" s="208">
        <v>0</v>
      </c>
      <c r="DU22" s="208">
        <v>0</v>
      </c>
      <c r="DV22" s="208" t="s">
        <v>21315</v>
      </c>
      <c r="DW22" s="208">
        <v>80</v>
      </c>
      <c r="DX22" s="208" t="s">
        <v>21314</v>
      </c>
      <c r="DY22" s="208">
        <v>80</v>
      </c>
      <c r="DZ22" s="208">
        <v>80</v>
      </c>
      <c r="EA22" s="208">
        <v>80</v>
      </c>
      <c r="EB22" s="208">
        <v>0</v>
      </c>
      <c r="EC22" s="208">
        <v>0</v>
      </c>
      <c r="ED22" s="208">
        <v>0</v>
      </c>
      <c r="EE22" s="208" t="s">
        <v>21315</v>
      </c>
      <c r="EF22" s="208">
        <v>80</v>
      </c>
      <c r="EG22" s="208" t="s">
        <v>21303</v>
      </c>
      <c r="EH22" s="208">
        <v>0</v>
      </c>
      <c r="EI22" s="208">
        <v>0</v>
      </c>
      <c r="EJ22" s="208">
        <v>0</v>
      </c>
      <c r="EK22" s="208">
        <v>0</v>
      </c>
      <c r="EL22" s="208">
        <v>0</v>
      </c>
      <c r="EM22" s="208">
        <v>0</v>
      </c>
      <c r="EN22" s="208" t="s">
        <v>21303</v>
      </c>
      <c r="EO22" s="208">
        <v>0</v>
      </c>
      <c r="EP22" s="208" t="s">
        <v>21303</v>
      </c>
      <c r="EQ22" s="208">
        <v>0</v>
      </c>
      <c r="ER22" s="208">
        <v>0</v>
      </c>
      <c r="ES22" s="208">
        <v>0</v>
      </c>
      <c r="ET22" s="208">
        <v>0</v>
      </c>
      <c r="EU22" s="208">
        <v>0</v>
      </c>
      <c r="EV22" s="208">
        <v>0</v>
      </c>
      <c r="EW22" s="208" t="s">
        <v>21303</v>
      </c>
      <c r="EX22" s="208">
        <v>0</v>
      </c>
      <c r="EY22" s="208" t="s">
        <v>21303</v>
      </c>
      <c r="EZ22" s="208">
        <v>0</v>
      </c>
      <c r="FA22" s="208">
        <v>0</v>
      </c>
      <c r="FB22" s="208">
        <v>0</v>
      </c>
      <c r="FC22" s="208">
        <v>0</v>
      </c>
      <c r="FD22" s="208">
        <v>0</v>
      </c>
      <c r="FE22" s="208">
        <v>0</v>
      </c>
      <c r="FF22" s="208" t="s">
        <v>21303</v>
      </c>
      <c r="FG22" s="208">
        <v>0</v>
      </c>
      <c r="FH22" s="208" t="s">
        <v>21303</v>
      </c>
      <c r="FI22" s="208">
        <v>0</v>
      </c>
      <c r="FJ22" s="208">
        <v>0</v>
      </c>
      <c r="FK22" s="208">
        <v>0</v>
      </c>
      <c r="FL22" s="208">
        <v>0</v>
      </c>
      <c r="FM22" s="208">
        <v>0</v>
      </c>
      <c r="FN22" s="208">
        <v>0</v>
      </c>
      <c r="FO22" s="208" t="s">
        <v>21303</v>
      </c>
      <c r="FP22" s="208">
        <v>0</v>
      </c>
      <c r="FQ22" s="208">
        <v>80</v>
      </c>
      <c r="FR22" s="208" t="s">
        <v>19816</v>
      </c>
      <c r="FS22" s="208" t="s">
        <v>21316</v>
      </c>
      <c r="FT22" s="208" t="s">
        <v>21303</v>
      </c>
      <c r="FU22" s="208" t="s">
        <v>21303</v>
      </c>
      <c r="FV22" s="208" t="s">
        <v>21303</v>
      </c>
      <c r="FW22" s="208" t="s">
        <v>21303</v>
      </c>
      <c r="FX22" s="208" t="s">
        <v>21444</v>
      </c>
      <c r="FY22" s="208">
        <v>30</v>
      </c>
      <c r="FZ22" s="208">
        <v>30</v>
      </c>
      <c r="GA22" s="208">
        <v>30</v>
      </c>
      <c r="GB22" s="208">
        <v>0</v>
      </c>
      <c r="GC22" s="208">
        <v>0</v>
      </c>
      <c r="GD22" s="208">
        <v>0</v>
      </c>
      <c r="GE22" s="208" t="s">
        <v>21445</v>
      </c>
      <c r="GF22" s="208" t="s">
        <v>21444</v>
      </c>
      <c r="GG22" s="208">
        <v>30</v>
      </c>
      <c r="GH22" s="208">
        <v>30</v>
      </c>
      <c r="GI22" s="208">
        <v>30</v>
      </c>
      <c r="GJ22" s="208">
        <v>0</v>
      </c>
      <c r="GK22" s="208">
        <v>0</v>
      </c>
      <c r="GL22" s="208">
        <v>0</v>
      </c>
      <c r="GM22" s="208" t="s">
        <v>21445</v>
      </c>
      <c r="GN22" s="208" t="s">
        <v>21303</v>
      </c>
      <c r="GO22" s="208">
        <v>0</v>
      </c>
      <c r="GP22" s="208">
        <v>0</v>
      </c>
      <c r="GQ22" s="208">
        <v>0</v>
      </c>
      <c r="GR22" s="208">
        <v>0</v>
      </c>
      <c r="GS22" s="208">
        <v>0</v>
      </c>
      <c r="GT22" s="208">
        <v>0</v>
      </c>
      <c r="GU22" s="208" t="s">
        <v>21303</v>
      </c>
      <c r="GV22" s="208" t="s">
        <v>21303</v>
      </c>
      <c r="GW22" s="208">
        <v>0</v>
      </c>
      <c r="GX22" s="208">
        <v>0</v>
      </c>
      <c r="GY22" s="208">
        <v>0</v>
      </c>
      <c r="GZ22" s="208">
        <v>0</v>
      </c>
      <c r="HA22" s="208">
        <v>0</v>
      </c>
      <c r="HB22" s="208">
        <v>0</v>
      </c>
      <c r="HC22" s="208" t="s">
        <v>21303</v>
      </c>
      <c r="HD22" s="208" t="s">
        <v>21303</v>
      </c>
      <c r="HE22" s="208">
        <v>0</v>
      </c>
      <c r="HF22" s="208">
        <v>0</v>
      </c>
      <c r="HG22" s="208">
        <v>0</v>
      </c>
      <c r="HH22" s="208">
        <v>0</v>
      </c>
      <c r="HI22" s="208">
        <v>0</v>
      </c>
      <c r="HJ22" s="208">
        <v>0</v>
      </c>
      <c r="HK22" s="208" t="s">
        <v>21303</v>
      </c>
      <c r="HL22" s="208" t="s">
        <v>21303</v>
      </c>
      <c r="HM22" s="208">
        <v>0</v>
      </c>
      <c r="HN22" s="208">
        <v>0</v>
      </c>
      <c r="HO22" s="208">
        <v>0</v>
      </c>
      <c r="HP22" s="208">
        <v>0</v>
      </c>
      <c r="HQ22" s="208">
        <v>0</v>
      </c>
      <c r="HR22" s="208">
        <v>0</v>
      </c>
      <c r="HS22" s="208" t="s">
        <v>21303</v>
      </c>
      <c r="HT22" s="208" t="s">
        <v>21319</v>
      </c>
      <c r="HU22" s="208">
        <v>30</v>
      </c>
      <c r="HV22" s="208">
        <v>30</v>
      </c>
      <c r="HW22" s="208">
        <v>0</v>
      </c>
      <c r="HX22" s="208">
        <v>0</v>
      </c>
      <c r="HY22" s="208">
        <v>0</v>
      </c>
      <c r="HZ22" s="208">
        <v>0</v>
      </c>
      <c r="IA22" s="600">
        <v>30</v>
      </c>
      <c r="IB22" s="600">
        <v>16</v>
      </c>
      <c r="IC22" s="343" t="s">
        <v>21035</v>
      </c>
      <c r="ID22" s="343" t="s">
        <v>21446</v>
      </c>
      <c r="IE22" s="343" t="s">
        <v>21320</v>
      </c>
      <c r="IF22" s="343" t="s">
        <v>21321</v>
      </c>
      <c r="IG22" s="383">
        <v>43748</v>
      </c>
      <c r="IH22" s="383">
        <v>45575</v>
      </c>
      <c r="II22" s="208">
        <v>46</v>
      </c>
    </row>
    <row r="23" ht="102">
      <c r="A23" s="207">
        <v>22</v>
      </c>
      <c r="B23" s="343" t="s">
        <v>21287</v>
      </c>
      <c r="C23" s="343" t="s">
        <v>21288</v>
      </c>
      <c r="D23" s="600">
        <v>128525</v>
      </c>
      <c r="E23" s="317" t="s">
        <v>21159</v>
      </c>
      <c r="F23" s="207" t="s">
        <v>20859</v>
      </c>
      <c r="G23" s="600">
        <v>106.874202</v>
      </c>
      <c r="H23" s="600">
        <v>20.805652</v>
      </c>
      <c r="I23" s="207">
        <v>1</v>
      </c>
      <c r="J23" s="207">
        <v>2</v>
      </c>
      <c r="K23" s="207" t="s">
        <v>21289</v>
      </c>
      <c r="L23" s="207" t="s">
        <v>21447</v>
      </c>
      <c r="M23" s="207" t="s">
        <v>21291</v>
      </c>
      <c r="N23" s="207" t="s">
        <v>21292</v>
      </c>
      <c r="O23" s="207" t="s">
        <v>21293</v>
      </c>
      <c r="P23" s="207" t="s">
        <v>21294</v>
      </c>
      <c r="Q23" s="207" t="s">
        <v>21295</v>
      </c>
      <c r="R23" s="207" t="s">
        <v>21448</v>
      </c>
      <c r="S23" s="364" t="b">
        <v>1</v>
      </c>
      <c r="T23" s="207" t="s">
        <v>21160</v>
      </c>
      <c r="U23" s="207">
        <v>0</v>
      </c>
      <c r="V23" s="207" t="s">
        <v>21297</v>
      </c>
      <c r="W23" s="207" t="s">
        <v>21161</v>
      </c>
      <c r="X23" s="209" t="s">
        <v>21298</v>
      </c>
      <c r="Y23" s="207" t="b">
        <v>1</v>
      </c>
      <c r="Z23" s="364" t="b">
        <v>1</v>
      </c>
      <c r="AA23" s="600">
        <v>28</v>
      </c>
      <c r="AB23" s="364" t="b">
        <v>0</v>
      </c>
      <c r="AC23" s="600">
        <v>0</v>
      </c>
      <c r="AD23" s="207" t="b">
        <v>0</v>
      </c>
      <c r="AE23" s="207" t="s">
        <v>21299</v>
      </c>
      <c r="AF23" s="207" t="s">
        <v>21300</v>
      </c>
      <c r="AG23" s="343" t="s">
        <v>21301</v>
      </c>
      <c r="AH23" s="343" t="s">
        <v>21302</v>
      </c>
      <c r="AI23" s="343" t="s">
        <v>21054</v>
      </c>
      <c r="AJ23" s="343" t="s">
        <v>21303</v>
      </c>
      <c r="AK23" s="343" t="s">
        <v>21304</v>
      </c>
      <c r="AL23" s="208"/>
      <c r="AM23" s="208" t="s">
        <v>21305</v>
      </c>
      <c r="AN23" s="208" t="s">
        <v>21306</v>
      </c>
      <c r="AO23" s="207">
        <v>3</v>
      </c>
      <c r="AP23" s="287" t="s">
        <v>21307</v>
      </c>
      <c r="AQ23" s="448" t="s">
        <v>21449</v>
      </c>
      <c r="AR23" s="448" t="s">
        <v>21450</v>
      </c>
      <c r="AS23" s="449" t="s">
        <v>7600</v>
      </c>
      <c r="AT23" s="208" t="s">
        <v>21306</v>
      </c>
      <c r="AU23" s="208" t="s">
        <v>21306</v>
      </c>
      <c r="AV23" s="208" t="s">
        <v>21303</v>
      </c>
      <c r="AW23" s="208" t="s">
        <v>21303</v>
      </c>
      <c r="AX23" s="208" t="s">
        <v>21303</v>
      </c>
      <c r="AY23" s="208" t="s">
        <v>21303</v>
      </c>
      <c r="AZ23" s="208" t="s">
        <v>21288</v>
      </c>
      <c r="BA23" s="208" t="s">
        <v>21288</v>
      </c>
      <c r="BB23" s="208" t="s">
        <v>21303</v>
      </c>
      <c r="BC23" s="208" t="s">
        <v>21303</v>
      </c>
      <c r="BD23" s="208" t="s">
        <v>21303</v>
      </c>
      <c r="BE23" s="208" t="s">
        <v>21303</v>
      </c>
      <c r="BF23" s="208" t="s">
        <v>21310</v>
      </c>
      <c r="BG23" s="208" t="s">
        <v>21451</v>
      </c>
      <c r="BH23" s="208" t="s">
        <v>21451</v>
      </c>
      <c r="BI23" s="208" t="s">
        <v>21303</v>
      </c>
      <c r="BJ23" s="208" t="s">
        <v>21303</v>
      </c>
      <c r="BK23" s="208" t="s">
        <v>21303</v>
      </c>
      <c r="BL23" s="208" t="s">
        <v>21303</v>
      </c>
      <c r="BM23" s="208" t="s">
        <v>21312</v>
      </c>
      <c r="BN23" s="208" t="s">
        <v>21312</v>
      </c>
      <c r="BO23" s="208" t="s">
        <v>21303</v>
      </c>
      <c r="BP23" s="208" t="s">
        <v>21303</v>
      </c>
      <c r="BQ23" s="208" t="s">
        <v>21303</v>
      </c>
      <c r="BR23" s="208" t="s">
        <v>21303</v>
      </c>
      <c r="BS23" s="208">
        <v>3</v>
      </c>
      <c r="BT23" s="208">
        <v>3</v>
      </c>
      <c r="BU23" s="208">
        <v>0</v>
      </c>
      <c r="BV23" s="208">
        <v>0</v>
      </c>
      <c r="BW23" s="208">
        <v>0</v>
      </c>
      <c r="BX23" s="208">
        <v>0</v>
      </c>
      <c r="BY23" s="208" t="s">
        <v>21313</v>
      </c>
      <c r="BZ23" s="208">
        <v>1</v>
      </c>
      <c r="CA23" s="208">
        <v>1</v>
      </c>
      <c r="CB23" s="208">
        <v>1</v>
      </c>
      <c r="CC23" s="208">
        <v>0</v>
      </c>
      <c r="CD23" s="208">
        <v>0</v>
      </c>
      <c r="CE23" s="208">
        <v>0</v>
      </c>
      <c r="CF23" s="208" t="s">
        <v>21313</v>
      </c>
      <c r="CG23" s="208">
        <v>1</v>
      </c>
      <c r="CH23" s="208">
        <v>1</v>
      </c>
      <c r="CI23" s="208">
        <v>1</v>
      </c>
      <c r="CJ23" s="208">
        <v>0</v>
      </c>
      <c r="CK23" s="208">
        <v>0</v>
      </c>
      <c r="CL23" s="208">
        <v>0</v>
      </c>
      <c r="CM23" s="208" t="s">
        <v>21303</v>
      </c>
      <c r="CN23" s="208">
        <v>0</v>
      </c>
      <c r="CO23" s="208">
        <v>0</v>
      </c>
      <c r="CP23" s="208">
        <v>0</v>
      </c>
      <c r="CQ23" s="208">
        <v>0</v>
      </c>
      <c r="CR23" s="208">
        <v>0</v>
      </c>
      <c r="CS23" s="208">
        <v>0</v>
      </c>
      <c r="CT23" s="208" t="s">
        <v>21303</v>
      </c>
      <c r="CU23" s="208">
        <v>0</v>
      </c>
      <c r="CV23" s="208">
        <v>0</v>
      </c>
      <c r="CW23" s="208">
        <v>0</v>
      </c>
      <c r="CX23" s="208">
        <v>0</v>
      </c>
      <c r="CY23" s="208">
        <v>0</v>
      </c>
      <c r="CZ23" s="208">
        <v>0</v>
      </c>
      <c r="DA23" s="208" t="s">
        <v>21303</v>
      </c>
      <c r="DB23" s="208">
        <v>0</v>
      </c>
      <c r="DC23" s="208">
        <v>0</v>
      </c>
      <c r="DD23" s="208">
        <v>0</v>
      </c>
      <c r="DE23" s="208">
        <v>0</v>
      </c>
      <c r="DF23" s="208">
        <v>0</v>
      </c>
      <c r="DG23" s="208">
        <v>0</v>
      </c>
      <c r="DH23" s="208" t="s">
        <v>21303</v>
      </c>
      <c r="DI23" s="208">
        <v>0</v>
      </c>
      <c r="DJ23" s="208">
        <v>0</v>
      </c>
      <c r="DK23" s="208">
        <v>0</v>
      </c>
      <c r="DL23" s="208">
        <v>0</v>
      </c>
      <c r="DM23" s="208">
        <v>0</v>
      </c>
      <c r="DN23" s="208">
        <v>0</v>
      </c>
      <c r="DO23" s="208" t="s">
        <v>21314</v>
      </c>
      <c r="DP23" s="208">
        <v>80</v>
      </c>
      <c r="DQ23" s="208">
        <v>80</v>
      </c>
      <c r="DR23" s="208">
        <v>80</v>
      </c>
      <c r="DS23" s="208">
        <v>0</v>
      </c>
      <c r="DT23" s="208">
        <v>0</v>
      </c>
      <c r="DU23" s="208">
        <v>0</v>
      </c>
      <c r="DV23" s="208" t="s">
        <v>21315</v>
      </c>
      <c r="DW23" s="208">
        <v>80</v>
      </c>
      <c r="DX23" s="208" t="s">
        <v>21314</v>
      </c>
      <c r="DY23" s="208">
        <v>80</v>
      </c>
      <c r="DZ23" s="208">
        <v>80</v>
      </c>
      <c r="EA23" s="208">
        <v>80</v>
      </c>
      <c r="EB23" s="208">
        <v>0</v>
      </c>
      <c r="EC23" s="208">
        <v>0</v>
      </c>
      <c r="ED23" s="208">
        <v>0</v>
      </c>
      <c r="EE23" s="208" t="s">
        <v>21315</v>
      </c>
      <c r="EF23" s="208">
        <v>80</v>
      </c>
      <c r="EG23" s="208" t="s">
        <v>21303</v>
      </c>
      <c r="EH23" s="208">
        <v>0</v>
      </c>
      <c r="EI23" s="208">
        <v>0</v>
      </c>
      <c r="EJ23" s="208">
        <v>0</v>
      </c>
      <c r="EK23" s="208">
        <v>0</v>
      </c>
      <c r="EL23" s="208">
        <v>0</v>
      </c>
      <c r="EM23" s="208">
        <v>0</v>
      </c>
      <c r="EN23" s="208" t="s">
        <v>21303</v>
      </c>
      <c r="EO23" s="208">
        <v>0</v>
      </c>
      <c r="EP23" s="208" t="s">
        <v>21303</v>
      </c>
      <c r="EQ23" s="208">
        <v>0</v>
      </c>
      <c r="ER23" s="208">
        <v>0</v>
      </c>
      <c r="ES23" s="208">
        <v>0</v>
      </c>
      <c r="ET23" s="208">
        <v>0</v>
      </c>
      <c r="EU23" s="208">
        <v>0</v>
      </c>
      <c r="EV23" s="208">
        <v>0</v>
      </c>
      <c r="EW23" s="208" t="s">
        <v>21303</v>
      </c>
      <c r="EX23" s="208">
        <v>0</v>
      </c>
      <c r="EY23" s="208" t="s">
        <v>21303</v>
      </c>
      <c r="EZ23" s="208">
        <v>0</v>
      </c>
      <c r="FA23" s="208">
        <v>0</v>
      </c>
      <c r="FB23" s="208">
        <v>0</v>
      </c>
      <c r="FC23" s="208">
        <v>0</v>
      </c>
      <c r="FD23" s="208">
        <v>0</v>
      </c>
      <c r="FE23" s="208">
        <v>0</v>
      </c>
      <c r="FF23" s="208" t="s">
        <v>21303</v>
      </c>
      <c r="FG23" s="208">
        <v>0</v>
      </c>
      <c r="FH23" s="208" t="s">
        <v>21303</v>
      </c>
      <c r="FI23" s="208">
        <v>0</v>
      </c>
      <c r="FJ23" s="208">
        <v>0</v>
      </c>
      <c r="FK23" s="208">
        <v>0</v>
      </c>
      <c r="FL23" s="208">
        <v>0</v>
      </c>
      <c r="FM23" s="208">
        <v>0</v>
      </c>
      <c r="FN23" s="208">
        <v>0</v>
      </c>
      <c r="FO23" s="208" t="s">
        <v>21303</v>
      </c>
      <c r="FP23" s="208">
        <v>0</v>
      </c>
      <c r="FQ23" s="208">
        <v>80</v>
      </c>
      <c r="FR23" s="208" t="s">
        <v>19816</v>
      </c>
      <c r="FS23" s="208" t="s">
        <v>21316</v>
      </c>
      <c r="FT23" s="208" t="s">
        <v>21303</v>
      </c>
      <c r="FU23" s="208" t="s">
        <v>21303</v>
      </c>
      <c r="FV23" s="208" t="s">
        <v>21303</v>
      </c>
      <c r="FW23" s="208" t="s">
        <v>21303</v>
      </c>
      <c r="FX23" s="208" t="s">
        <v>21368</v>
      </c>
      <c r="FY23" s="208">
        <v>28</v>
      </c>
      <c r="FZ23" s="208">
        <v>28</v>
      </c>
      <c r="GA23" s="208">
        <v>28</v>
      </c>
      <c r="GB23" s="208">
        <v>0</v>
      </c>
      <c r="GC23" s="208">
        <v>0</v>
      </c>
      <c r="GD23" s="208">
        <v>0</v>
      </c>
      <c r="GE23" s="208" t="s">
        <v>21369</v>
      </c>
      <c r="GF23" s="208" t="s">
        <v>21368</v>
      </c>
      <c r="GG23" s="208">
        <v>28</v>
      </c>
      <c r="GH23" s="208">
        <v>28</v>
      </c>
      <c r="GI23" s="208">
        <v>28</v>
      </c>
      <c r="GJ23" s="208">
        <v>0</v>
      </c>
      <c r="GK23" s="208">
        <v>0</v>
      </c>
      <c r="GL23" s="208">
        <v>0</v>
      </c>
      <c r="GM23" s="208" t="s">
        <v>21369</v>
      </c>
      <c r="GN23" s="208" t="s">
        <v>21303</v>
      </c>
      <c r="GO23" s="208">
        <v>0</v>
      </c>
      <c r="GP23" s="208">
        <v>0</v>
      </c>
      <c r="GQ23" s="208">
        <v>0</v>
      </c>
      <c r="GR23" s="208">
        <v>0</v>
      </c>
      <c r="GS23" s="208">
        <v>0</v>
      </c>
      <c r="GT23" s="208">
        <v>0</v>
      </c>
      <c r="GU23" s="208" t="s">
        <v>21303</v>
      </c>
      <c r="GV23" s="208" t="s">
        <v>21303</v>
      </c>
      <c r="GW23" s="208">
        <v>0</v>
      </c>
      <c r="GX23" s="208">
        <v>0</v>
      </c>
      <c r="GY23" s="208">
        <v>0</v>
      </c>
      <c r="GZ23" s="208">
        <v>0</v>
      </c>
      <c r="HA23" s="208">
        <v>0</v>
      </c>
      <c r="HB23" s="208">
        <v>0</v>
      </c>
      <c r="HC23" s="208" t="s">
        <v>21303</v>
      </c>
      <c r="HD23" s="208" t="s">
        <v>21303</v>
      </c>
      <c r="HE23" s="208">
        <v>0</v>
      </c>
      <c r="HF23" s="208">
        <v>0</v>
      </c>
      <c r="HG23" s="208">
        <v>0</v>
      </c>
      <c r="HH23" s="208">
        <v>0</v>
      </c>
      <c r="HI23" s="208">
        <v>0</v>
      </c>
      <c r="HJ23" s="208">
        <v>0</v>
      </c>
      <c r="HK23" s="208" t="s">
        <v>21303</v>
      </c>
      <c r="HL23" s="208" t="s">
        <v>21303</v>
      </c>
      <c r="HM23" s="208">
        <v>0</v>
      </c>
      <c r="HN23" s="208">
        <v>0</v>
      </c>
      <c r="HO23" s="208">
        <v>0</v>
      </c>
      <c r="HP23" s="208">
        <v>0</v>
      </c>
      <c r="HQ23" s="208">
        <v>0</v>
      </c>
      <c r="HR23" s="208">
        <v>0</v>
      </c>
      <c r="HS23" s="208" t="s">
        <v>21303</v>
      </c>
      <c r="HT23" s="208" t="s">
        <v>21319</v>
      </c>
      <c r="HU23" s="208">
        <v>28</v>
      </c>
      <c r="HV23" s="208">
        <v>28</v>
      </c>
      <c r="HW23" s="208">
        <v>0</v>
      </c>
      <c r="HX23" s="208">
        <v>0</v>
      </c>
      <c r="HY23" s="208">
        <v>0</v>
      </c>
      <c r="HZ23" s="208">
        <v>0</v>
      </c>
      <c r="IA23" s="600">
        <v>28</v>
      </c>
      <c r="IB23" s="600">
        <v>28</v>
      </c>
      <c r="IC23" s="343" t="s">
        <v>21035</v>
      </c>
      <c r="ID23" s="343" t="s">
        <v>3613</v>
      </c>
      <c r="IE23" s="343" t="s">
        <v>21320</v>
      </c>
      <c r="IF23" s="343" t="s">
        <v>21321</v>
      </c>
      <c r="IG23" s="383">
        <v>43748</v>
      </c>
      <c r="IH23" s="383">
        <v>45575</v>
      </c>
      <c r="II23" s="208">
        <v>46</v>
      </c>
    </row>
    <row r="24" ht="102">
      <c r="A24" s="207">
        <v>23</v>
      </c>
      <c r="B24" s="343" t="s">
        <v>21287</v>
      </c>
      <c r="C24" s="343" t="s">
        <v>21288</v>
      </c>
      <c r="D24" s="600">
        <v>128002</v>
      </c>
      <c r="E24" s="317" t="s">
        <v>21162</v>
      </c>
      <c r="F24" s="207" t="s">
        <v>20859</v>
      </c>
      <c r="G24" s="600">
        <v>107.046844</v>
      </c>
      <c r="H24" s="600">
        <v>20.729484</v>
      </c>
      <c r="I24" s="207">
        <v>1</v>
      </c>
      <c r="J24" s="207">
        <v>2</v>
      </c>
      <c r="K24" s="207" t="s">
        <v>21289</v>
      </c>
      <c r="L24" s="207" t="s">
        <v>21452</v>
      </c>
      <c r="M24" s="207" t="s">
        <v>21453</v>
      </c>
      <c r="N24" s="207" t="s">
        <v>21292</v>
      </c>
      <c r="O24" s="207" t="s">
        <v>21454</v>
      </c>
      <c r="P24" s="207" t="s">
        <v>21294</v>
      </c>
      <c r="Q24" s="207" t="s">
        <v>21295</v>
      </c>
      <c r="R24" s="207" t="s">
        <v>21455</v>
      </c>
      <c r="S24" s="364" t="b">
        <v>1</v>
      </c>
      <c r="T24" s="207" t="s">
        <v>21163</v>
      </c>
      <c r="U24" s="207">
        <v>0</v>
      </c>
      <c r="V24" s="207" t="s">
        <v>21297</v>
      </c>
      <c r="W24" s="207" t="s">
        <v>21164</v>
      </c>
      <c r="X24" s="209" t="s">
        <v>21298</v>
      </c>
      <c r="Y24" s="207" t="b">
        <v>1</v>
      </c>
      <c r="Z24" s="364" t="b">
        <v>1</v>
      </c>
      <c r="AA24" s="600">
        <v>35</v>
      </c>
      <c r="AB24" s="364" t="b">
        <v>0</v>
      </c>
      <c r="AC24" s="600">
        <v>0</v>
      </c>
      <c r="AD24" s="207" t="b">
        <v>0</v>
      </c>
      <c r="AE24" s="207" t="s">
        <v>21299</v>
      </c>
      <c r="AF24" s="207" t="s">
        <v>21300</v>
      </c>
      <c r="AG24" s="343" t="s">
        <v>21301</v>
      </c>
      <c r="AH24" s="343" t="s">
        <v>21302</v>
      </c>
      <c r="AI24" s="343" t="s">
        <v>21054</v>
      </c>
      <c r="AJ24" s="343" t="s">
        <v>21303</v>
      </c>
      <c r="AK24" s="343" t="s">
        <v>21304</v>
      </c>
      <c r="AL24" s="208"/>
      <c r="AM24" s="208" t="s">
        <v>21305</v>
      </c>
      <c r="AN24" s="208" t="s">
        <v>21306</v>
      </c>
      <c r="AO24" s="207">
        <v>4</v>
      </c>
      <c r="AP24" s="287" t="s">
        <v>21307</v>
      </c>
      <c r="AQ24" s="448" t="s">
        <v>21449</v>
      </c>
      <c r="AR24" s="448" t="s">
        <v>21456</v>
      </c>
      <c r="AS24" s="449" t="s">
        <v>7600</v>
      </c>
      <c r="AT24" s="208" t="s">
        <v>21306</v>
      </c>
      <c r="AU24" s="208" t="s">
        <v>21306</v>
      </c>
      <c r="AV24" s="208" t="s">
        <v>21303</v>
      </c>
      <c r="AW24" s="208" t="s">
        <v>21303</v>
      </c>
      <c r="AX24" s="208" t="s">
        <v>21303</v>
      </c>
      <c r="AY24" s="208" t="s">
        <v>21303</v>
      </c>
      <c r="AZ24" s="208" t="s">
        <v>21288</v>
      </c>
      <c r="BA24" s="208" t="s">
        <v>21288</v>
      </c>
      <c r="BB24" s="208" t="s">
        <v>21303</v>
      </c>
      <c r="BC24" s="208" t="s">
        <v>21303</v>
      </c>
      <c r="BD24" s="208" t="s">
        <v>21303</v>
      </c>
      <c r="BE24" s="208" t="s">
        <v>21303</v>
      </c>
      <c r="BF24" s="208" t="s">
        <v>21310</v>
      </c>
      <c r="BG24" s="208" t="s">
        <v>21457</v>
      </c>
      <c r="BH24" s="208" t="s">
        <v>21457</v>
      </c>
      <c r="BI24" s="208" t="s">
        <v>21303</v>
      </c>
      <c r="BJ24" s="208" t="s">
        <v>21303</v>
      </c>
      <c r="BK24" s="208" t="s">
        <v>21303</v>
      </c>
      <c r="BL24" s="208" t="s">
        <v>21303</v>
      </c>
      <c r="BM24" s="208" t="s">
        <v>21458</v>
      </c>
      <c r="BN24" s="208" t="s">
        <v>21326</v>
      </c>
      <c r="BO24" s="208" t="s">
        <v>21303</v>
      </c>
      <c r="BP24" s="208" t="s">
        <v>21303</v>
      </c>
      <c r="BQ24" s="208" t="s">
        <v>21303</v>
      </c>
      <c r="BR24" s="208" t="s">
        <v>21303</v>
      </c>
      <c r="BS24" s="208">
        <v>3</v>
      </c>
      <c r="BT24" s="208">
        <v>3</v>
      </c>
      <c r="BU24" s="208">
        <v>0</v>
      </c>
      <c r="BV24" s="208">
        <v>0</v>
      </c>
      <c r="BW24" s="208">
        <v>0</v>
      </c>
      <c r="BX24" s="208">
        <v>0</v>
      </c>
      <c r="BY24" s="208" t="s">
        <v>21042</v>
      </c>
      <c r="BZ24" s="208">
        <v>2</v>
      </c>
      <c r="CA24" s="208">
        <v>2</v>
      </c>
      <c r="CB24" s="208">
        <v>2</v>
      </c>
      <c r="CC24" s="208">
        <v>0</v>
      </c>
      <c r="CD24" s="208">
        <v>0</v>
      </c>
      <c r="CE24" s="208">
        <v>0</v>
      </c>
      <c r="CF24" s="208" t="s">
        <v>21313</v>
      </c>
      <c r="CG24" s="208">
        <v>1</v>
      </c>
      <c r="CH24" s="208">
        <v>1</v>
      </c>
      <c r="CI24" s="208">
        <v>1</v>
      </c>
      <c r="CJ24" s="208">
        <v>0</v>
      </c>
      <c r="CK24" s="208">
        <v>0</v>
      </c>
      <c r="CL24" s="208">
        <v>0</v>
      </c>
      <c r="CM24" s="208" t="s">
        <v>21303</v>
      </c>
      <c r="CN24" s="208">
        <v>0</v>
      </c>
      <c r="CO24" s="208">
        <v>0</v>
      </c>
      <c r="CP24" s="208">
        <v>0</v>
      </c>
      <c r="CQ24" s="208">
        <v>0</v>
      </c>
      <c r="CR24" s="208">
        <v>0</v>
      </c>
      <c r="CS24" s="208">
        <v>0</v>
      </c>
      <c r="CT24" s="208" t="s">
        <v>21303</v>
      </c>
      <c r="CU24" s="208">
        <v>0</v>
      </c>
      <c r="CV24" s="208">
        <v>0</v>
      </c>
      <c r="CW24" s="208">
        <v>0</v>
      </c>
      <c r="CX24" s="208">
        <v>0</v>
      </c>
      <c r="CY24" s="208">
        <v>0</v>
      </c>
      <c r="CZ24" s="208">
        <v>0</v>
      </c>
      <c r="DA24" s="208" t="s">
        <v>21303</v>
      </c>
      <c r="DB24" s="208">
        <v>0</v>
      </c>
      <c r="DC24" s="208">
        <v>0</v>
      </c>
      <c r="DD24" s="208">
        <v>0</v>
      </c>
      <c r="DE24" s="208">
        <v>0</v>
      </c>
      <c r="DF24" s="208">
        <v>0</v>
      </c>
      <c r="DG24" s="208">
        <v>0</v>
      </c>
      <c r="DH24" s="208" t="s">
        <v>21303</v>
      </c>
      <c r="DI24" s="208">
        <v>0</v>
      </c>
      <c r="DJ24" s="208">
        <v>0</v>
      </c>
      <c r="DK24" s="208">
        <v>0</v>
      </c>
      <c r="DL24" s="208">
        <v>0</v>
      </c>
      <c r="DM24" s="208">
        <v>0</v>
      </c>
      <c r="DN24" s="208">
        <v>0</v>
      </c>
      <c r="DO24" s="208" t="s">
        <v>21314</v>
      </c>
      <c r="DP24" s="208">
        <v>80</v>
      </c>
      <c r="DQ24" s="208">
        <v>80</v>
      </c>
      <c r="DR24" s="208">
        <v>80</v>
      </c>
      <c r="DS24" s="208">
        <v>0</v>
      </c>
      <c r="DT24" s="208">
        <v>0</v>
      </c>
      <c r="DU24" s="208">
        <v>0</v>
      </c>
      <c r="DV24" s="208" t="s">
        <v>21315</v>
      </c>
      <c r="DW24" s="208">
        <v>80</v>
      </c>
      <c r="DX24" s="208" t="s">
        <v>21314</v>
      </c>
      <c r="DY24" s="208">
        <v>80</v>
      </c>
      <c r="DZ24" s="208">
        <v>80</v>
      </c>
      <c r="EA24" s="208">
        <v>80</v>
      </c>
      <c r="EB24" s="208">
        <v>0</v>
      </c>
      <c r="EC24" s="208">
        <v>0</v>
      </c>
      <c r="ED24" s="208">
        <v>0</v>
      </c>
      <c r="EE24" s="208" t="s">
        <v>21315</v>
      </c>
      <c r="EF24" s="208">
        <v>80</v>
      </c>
      <c r="EG24" s="208" t="s">
        <v>21303</v>
      </c>
      <c r="EH24" s="208">
        <v>0</v>
      </c>
      <c r="EI24" s="208">
        <v>0</v>
      </c>
      <c r="EJ24" s="208">
        <v>0</v>
      </c>
      <c r="EK24" s="208">
        <v>0</v>
      </c>
      <c r="EL24" s="208">
        <v>0</v>
      </c>
      <c r="EM24" s="208">
        <v>0</v>
      </c>
      <c r="EN24" s="208" t="s">
        <v>21303</v>
      </c>
      <c r="EO24" s="208">
        <v>0</v>
      </c>
      <c r="EP24" s="208" t="s">
        <v>21303</v>
      </c>
      <c r="EQ24" s="208">
        <v>0</v>
      </c>
      <c r="ER24" s="208">
        <v>0</v>
      </c>
      <c r="ES24" s="208">
        <v>0</v>
      </c>
      <c r="ET24" s="208">
        <v>0</v>
      </c>
      <c r="EU24" s="208">
        <v>0</v>
      </c>
      <c r="EV24" s="208">
        <v>0</v>
      </c>
      <c r="EW24" s="208" t="s">
        <v>21303</v>
      </c>
      <c r="EX24" s="208">
        <v>0</v>
      </c>
      <c r="EY24" s="208" t="s">
        <v>21303</v>
      </c>
      <c r="EZ24" s="208">
        <v>0</v>
      </c>
      <c r="FA24" s="208">
        <v>0</v>
      </c>
      <c r="FB24" s="208">
        <v>0</v>
      </c>
      <c r="FC24" s="208">
        <v>0</v>
      </c>
      <c r="FD24" s="208">
        <v>0</v>
      </c>
      <c r="FE24" s="208">
        <v>0</v>
      </c>
      <c r="FF24" s="208" t="s">
        <v>21303</v>
      </c>
      <c r="FG24" s="208">
        <v>0</v>
      </c>
      <c r="FH24" s="208" t="s">
        <v>21303</v>
      </c>
      <c r="FI24" s="208">
        <v>0</v>
      </c>
      <c r="FJ24" s="208">
        <v>0</v>
      </c>
      <c r="FK24" s="208">
        <v>0</v>
      </c>
      <c r="FL24" s="208">
        <v>0</v>
      </c>
      <c r="FM24" s="208">
        <v>0</v>
      </c>
      <c r="FN24" s="208">
        <v>0</v>
      </c>
      <c r="FO24" s="208" t="s">
        <v>21303</v>
      </c>
      <c r="FP24" s="208">
        <v>0</v>
      </c>
      <c r="FQ24" s="208">
        <v>80</v>
      </c>
      <c r="FR24" s="208" t="s">
        <v>19816</v>
      </c>
      <c r="FS24" s="208" t="s">
        <v>21316</v>
      </c>
      <c r="FT24" s="208" t="s">
        <v>21303</v>
      </c>
      <c r="FU24" s="208" t="s">
        <v>21303</v>
      </c>
      <c r="FV24" s="208" t="s">
        <v>21303</v>
      </c>
      <c r="FW24" s="208" t="s">
        <v>21303</v>
      </c>
      <c r="FX24" s="208" t="s">
        <v>21459</v>
      </c>
      <c r="FY24" s="208">
        <v>35</v>
      </c>
      <c r="FZ24" s="208">
        <v>35</v>
      </c>
      <c r="GA24" s="208">
        <v>35</v>
      </c>
      <c r="GB24" s="208">
        <v>0</v>
      </c>
      <c r="GC24" s="208">
        <v>0</v>
      </c>
      <c r="GD24" s="208">
        <v>0</v>
      </c>
      <c r="GE24" s="208" t="s">
        <v>21460</v>
      </c>
      <c r="GF24" s="208" t="s">
        <v>21459</v>
      </c>
      <c r="GG24" s="208">
        <v>35</v>
      </c>
      <c r="GH24" s="208">
        <v>35</v>
      </c>
      <c r="GI24" s="208">
        <v>35</v>
      </c>
      <c r="GJ24" s="208">
        <v>0</v>
      </c>
      <c r="GK24" s="208">
        <v>0</v>
      </c>
      <c r="GL24" s="208">
        <v>0</v>
      </c>
      <c r="GM24" s="208" t="s">
        <v>21460</v>
      </c>
      <c r="GN24" s="208" t="s">
        <v>21303</v>
      </c>
      <c r="GO24" s="208">
        <v>0</v>
      </c>
      <c r="GP24" s="208">
        <v>0</v>
      </c>
      <c r="GQ24" s="208">
        <v>0</v>
      </c>
      <c r="GR24" s="208">
        <v>0</v>
      </c>
      <c r="GS24" s="208">
        <v>0</v>
      </c>
      <c r="GT24" s="208">
        <v>0</v>
      </c>
      <c r="GU24" s="208" t="s">
        <v>21303</v>
      </c>
      <c r="GV24" s="208" t="s">
        <v>21303</v>
      </c>
      <c r="GW24" s="208">
        <v>0</v>
      </c>
      <c r="GX24" s="208">
        <v>0</v>
      </c>
      <c r="GY24" s="208">
        <v>0</v>
      </c>
      <c r="GZ24" s="208">
        <v>0</v>
      </c>
      <c r="HA24" s="208">
        <v>0</v>
      </c>
      <c r="HB24" s="208">
        <v>0</v>
      </c>
      <c r="HC24" s="208" t="s">
        <v>21303</v>
      </c>
      <c r="HD24" s="208" t="s">
        <v>21303</v>
      </c>
      <c r="HE24" s="208">
        <v>0</v>
      </c>
      <c r="HF24" s="208">
        <v>0</v>
      </c>
      <c r="HG24" s="208">
        <v>0</v>
      </c>
      <c r="HH24" s="208">
        <v>0</v>
      </c>
      <c r="HI24" s="208">
        <v>0</v>
      </c>
      <c r="HJ24" s="208">
        <v>0</v>
      </c>
      <c r="HK24" s="208" t="s">
        <v>21303</v>
      </c>
      <c r="HL24" s="208" t="s">
        <v>21303</v>
      </c>
      <c r="HM24" s="208">
        <v>0</v>
      </c>
      <c r="HN24" s="208">
        <v>0</v>
      </c>
      <c r="HO24" s="208">
        <v>0</v>
      </c>
      <c r="HP24" s="208">
        <v>0</v>
      </c>
      <c r="HQ24" s="208">
        <v>0</v>
      </c>
      <c r="HR24" s="208">
        <v>0</v>
      </c>
      <c r="HS24" s="208" t="s">
        <v>21303</v>
      </c>
      <c r="HT24" s="208" t="s">
        <v>21319</v>
      </c>
      <c r="HU24" s="208">
        <v>35</v>
      </c>
      <c r="HV24" s="208">
        <v>35</v>
      </c>
      <c r="HW24" s="208">
        <v>0</v>
      </c>
      <c r="HX24" s="208">
        <v>0</v>
      </c>
      <c r="HY24" s="208">
        <v>0</v>
      </c>
      <c r="HZ24" s="208">
        <v>0</v>
      </c>
      <c r="IA24" s="600">
        <v>35</v>
      </c>
      <c r="IB24" s="600">
        <v>35</v>
      </c>
      <c r="IC24" s="343" t="s">
        <v>21035</v>
      </c>
      <c r="ID24" s="343" t="s">
        <v>21461</v>
      </c>
      <c r="IE24" s="343" t="s">
        <v>21320</v>
      </c>
      <c r="IF24" s="343" t="s">
        <v>21321</v>
      </c>
      <c r="IG24" s="383">
        <v>43748</v>
      </c>
      <c r="IH24" s="383">
        <v>45575</v>
      </c>
      <c r="II24" s="208">
        <v>46</v>
      </c>
    </row>
    <row r="25" ht="102">
      <c r="A25" s="207">
        <v>24</v>
      </c>
      <c r="B25" s="343" t="s">
        <v>21287</v>
      </c>
      <c r="C25" s="343" t="s">
        <v>21288</v>
      </c>
      <c r="D25" s="600">
        <v>149173</v>
      </c>
      <c r="E25" s="317" t="s">
        <v>21165</v>
      </c>
      <c r="F25" s="207" t="s">
        <v>20880</v>
      </c>
      <c r="G25" s="600">
        <v>107.1256</v>
      </c>
      <c r="H25" s="600">
        <v>20.94673</v>
      </c>
      <c r="I25" s="207">
        <v>1</v>
      </c>
      <c r="J25" s="207">
        <v>1</v>
      </c>
      <c r="K25" s="207" t="s">
        <v>21306</v>
      </c>
      <c r="L25" s="207">
        <v>149173</v>
      </c>
      <c r="M25" s="207" t="s">
        <v>21312</v>
      </c>
      <c r="N25" s="207">
        <v>3</v>
      </c>
      <c r="O25" s="207" t="s">
        <v>21313</v>
      </c>
      <c r="P25" s="207" t="s">
        <v>21314</v>
      </c>
      <c r="Q25" s="207">
        <v>2100</v>
      </c>
      <c r="R25" s="207" t="s">
        <v>21386</v>
      </c>
      <c r="S25" s="364" t="b">
        <v>1</v>
      </c>
      <c r="T25" s="207" t="s">
        <v>21166</v>
      </c>
      <c r="U25" s="207">
        <v>0</v>
      </c>
      <c r="V25" s="207" t="s">
        <v>21297</v>
      </c>
      <c r="W25" s="207" t="s">
        <v>21167</v>
      </c>
      <c r="X25" s="209" t="s">
        <v>21298</v>
      </c>
      <c r="Y25" s="207" t="b">
        <v>0</v>
      </c>
      <c r="Z25" s="364" t="b">
        <v>0</v>
      </c>
      <c r="AA25" s="600">
        <v>23</v>
      </c>
      <c r="AB25" s="364" t="b">
        <v>1</v>
      </c>
      <c r="AC25" s="600">
        <v>10</v>
      </c>
      <c r="AD25" s="207" t="b">
        <v>0</v>
      </c>
      <c r="AE25" s="207" t="s">
        <v>21299</v>
      </c>
      <c r="AF25" s="207" t="s">
        <v>21300</v>
      </c>
      <c r="AG25" s="343" t="s">
        <v>21301</v>
      </c>
      <c r="AH25" s="343" t="s">
        <v>21302</v>
      </c>
      <c r="AI25" s="343" t="s">
        <v>21054</v>
      </c>
      <c r="AJ25" s="343" t="s">
        <v>21303</v>
      </c>
      <c r="AK25" s="343" t="s">
        <v>21304</v>
      </c>
      <c r="AL25" s="208"/>
      <c r="AM25" s="208" t="s">
        <v>21305</v>
      </c>
      <c r="AN25" s="208" t="s">
        <v>21306</v>
      </c>
      <c r="AO25" s="207">
        <v>4</v>
      </c>
      <c r="AP25" s="287" t="s">
        <v>21462</v>
      </c>
      <c r="AQ25" s="448" t="s">
        <v>21463</v>
      </c>
      <c r="AR25" s="448" t="s">
        <v>21464</v>
      </c>
      <c r="AS25" s="449" t="s">
        <v>5320</v>
      </c>
      <c r="AT25" s="208" t="s">
        <v>21306</v>
      </c>
      <c r="AU25" s="208" t="s">
        <v>21303</v>
      </c>
      <c r="AV25" s="208" t="s">
        <v>21303</v>
      </c>
      <c r="AW25" s="208" t="s">
        <v>21303</v>
      </c>
      <c r="AX25" s="208" t="s">
        <v>21303</v>
      </c>
      <c r="AY25" s="208" t="s">
        <v>21303</v>
      </c>
      <c r="AZ25" s="208" t="s">
        <v>21288</v>
      </c>
      <c r="BA25" s="208" t="s">
        <v>21303</v>
      </c>
      <c r="BB25" s="208" t="s">
        <v>21303</v>
      </c>
      <c r="BC25" s="208" t="s">
        <v>21303</v>
      </c>
      <c r="BD25" s="208" t="s">
        <v>21303</v>
      </c>
      <c r="BE25" s="208" t="s">
        <v>21303</v>
      </c>
      <c r="BF25" s="208" t="s">
        <v>21288</v>
      </c>
      <c r="BG25" s="208" t="s">
        <v>21465</v>
      </c>
      <c r="BH25" s="208" t="s">
        <v>21303</v>
      </c>
      <c r="BI25" s="208" t="s">
        <v>21303</v>
      </c>
      <c r="BJ25" s="208" t="s">
        <v>21303</v>
      </c>
      <c r="BK25" s="208" t="s">
        <v>21303</v>
      </c>
      <c r="BL25" s="208" t="s">
        <v>21303</v>
      </c>
      <c r="BM25" s="208" t="s">
        <v>21312</v>
      </c>
      <c r="BN25" s="208" t="s">
        <v>21303</v>
      </c>
      <c r="BO25" s="208" t="s">
        <v>21303</v>
      </c>
      <c r="BP25" s="208" t="s">
        <v>21303</v>
      </c>
      <c r="BQ25" s="208" t="s">
        <v>21303</v>
      </c>
      <c r="BR25" s="208" t="s">
        <v>21303</v>
      </c>
      <c r="BS25" s="208">
        <v>3</v>
      </c>
      <c r="BT25" s="208">
        <v>0</v>
      </c>
      <c r="BU25" s="208">
        <v>0</v>
      </c>
      <c r="BV25" s="208">
        <v>0</v>
      </c>
      <c r="BW25" s="208">
        <v>0</v>
      </c>
      <c r="BX25" s="208">
        <v>0</v>
      </c>
      <c r="BY25" s="208" t="s">
        <v>21313</v>
      </c>
      <c r="BZ25" s="208">
        <v>1</v>
      </c>
      <c r="CA25" s="208">
        <v>1</v>
      </c>
      <c r="CB25" s="208">
        <v>1</v>
      </c>
      <c r="CC25" s="208">
        <v>0</v>
      </c>
      <c r="CD25" s="208">
        <v>0</v>
      </c>
      <c r="CE25" s="208">
        <v>0</v>
      </c>
      <c r="CF25" s="208" t="s">
        <v>21303</v>
      </c>
      <c r="CG25" s="208">
        <v>0</v>
      </c>
      <c r="CH25" s="208">
        <v>0</v>
      </c>
      <c r="CI25" s="208">
        <v>0</v>
      </c>
      <c r="CJ25" s="208">
        <v>0</v>
      </c>
      <c r="CK25" s="208">
        <v>0</v>
      </c>
      <c r="CL25" s="208">
        <v>0</v>
      </c>
      <c r="CM25" s="208" t="s">
        <v>21303</v>
      </c>
      <c r="CN25" s="208">
        <v>0</v>
      </c>
      <c r="CO25" s="208">
        <v>0</v>
      </c>
      <c r="CP25" s="208">
        <v>0</v>
      </c>
      <c r="CQ25" s="208">
        <v>0</v>
      </c>
      <c r="CR25" s="208">
        <v>0</v>
      </c>
      <c r="CS25" s="208">
        <v>0</v>
      </c>
      <c r="CT25" s="208" t="s">
        <v>21303</v>
      </c>
      <c r="CU25" s="208">
        <v>0</v>
      </c>
      <c r="CV25" s="208">
        <v>0</v>
      </c>
      <c r="CW25" s="208">
        <v>0</v>
      </c>
      <c r="CX25" s="208">
        <v>0</v>
      </c>
      <c r="CY25" s="208">
        <v>0</v>
      </c>
      <c r="CZ25" s="208">
        <v>0</v>
      </c>
      <c r="DA25" s="208" t="s">
        <v>21303</v>
      </c>
      <c r="DB25" s="208">
        <v>0</v>
      </c>
      <c r="DC25" s="208">
        <v>0</v>
      </c>
      <c r="DD25" s="208">
        <v>0</v>
      </c>
      <c r="DE25" s="208">
        <v>0</v>
      </c>
      <c r="DF25" s="208">
        <v>0</v>
      </c>
      <c r="DG25" s="208">
        <v>0</v>
      </c>
      <c r="DH25" s="208" t="s">
        <v>21303</v>
      </c>
      <c r="DI25" s="208">
        <v>0</v>
      </c>
      <c r="DJ25" s="208">
        <v>0</v>
      </c>
      <c r="DK25" s="208">
        <v>0</v>
      </c>
      <c r="DL25" s="208">
        <v>0</v>
      </c>
      <c r="DM25" s="208">
        <v>0</v>
      </c>
      <c r="DN25" s="208">
        <v>0</v>
      </c>
      <c r="DO25" s="208" t="s">
        <v>21314</v>
      </c>
      <c r="DP25" s="208">
        <v>80</v>
      </c>
      <c r="DQ25" s="208">
        <v>80</v>
      </c>
      <c r="DR25" s="208">
        <v>80</v>
      </c>
      <c r="DS25" s="208">
        <v>0</v>
      </c>
      <c r="DT25" s="208">
        <v>0</v>
      </c>
      <c r="DU25" s="208">
        <v>0</v>
      </c>
      <c r="DV25" s="208" t="s">
        <v>21315</v>
      </c>
      <c r="DW25" s="208">
        <v>80</v>
      </c>
      <c r="DX25" s="208" t="s">
        <v>21303</v>
      </c>
      <c r="DY25" s="208">
        <v>0</v>
      </c>
      <c r="DZ25" s="208">
        <v>0</v>
      </c>
      <c r="EA25" s="208">
        <v>0</v>
      </c>
      <c r="EB25" s="208">
        <v>0</v>
      </c>
      <c r="EC25" s="208">
        <v>0</v>
      </c>
      <c r="ED25" s="208">
        <v>0</v>
      </c>
      <c r="EE25" s="208" t="s">
        <v>21303</v>
      </c>
      <c r="EF25" s="208">
        <v>0</v>
      </c>
      <c r="EG25" s="208" t="s">
        <v>21303</v>
      </c>
      <c r="EH25" s="208">
        <v>0</v>
      </c>
      <c r="EI25" s="208">
        <v>0</v>
      </c>
      <c r="EJ25" s="208">
        <v>0</v>
      </c>
      <c r="EK25" s="208">
        <v>0</v>
      </c>
      <c r="EL25" s="208">
        <v>0</v>
      </c>
      <c r="EM25" s="208">
        <v>0</v>
      </c>
      <c r="EN25" s="208" t="s">
        <v>21303</v>
      </c>
      <c r="EO25" s="208">
        <v>0</v>
      </c>
      <c r="EP25" s="208" t="s">
        <v>21303</v>
      </c>
      <c r="EQ25" s="208">
        <v>0</v>
      </c>
      <c r="ER25" s="208">
        <v>0</v>
      </c>
      <c r="ES25" s="208">
        <v>0</v>
      </c>
      <c r="ET25" s="208">
        <v>0</v>
      </c>
      <c r="EU25" s="208">
        <v>0</v>
      </c>
      <c r="EV25" s="208">
        <v>0</v>
      </c>
      <c r="EW25" s="208" t="s">
        <v>21303</v>
      </c>
      <c r="EX25" s="208">
        <v>0</v>
      </c>
      <c r="EY25" s="208" t="s">
        <v>21303</v>
      </c>
      <c r="EZ25" s="208">
        <v>0</v>
      </c>
      <c r="FA25" s="208">
        <v>0</v>
      </c>
      <c r="FB25" s="208">
        <v>0</v>
      </c>
      <c r="FC25" s="208">
        <v>0</v>
      </c>
      <c r="FD25" s="208">
        <v>0</v>
      </c>
      <c r="FE25" s="208">
        <v>0</v>
      </c>
      <c r="FF25" s="208" t="s">
        <v>21303</v>
      </c>
      <c r="FG25" s="208">
        <v>0</v>
      </c>
      <c r="FH25" s="208" t="s">
        <v>21303</v>
      </c>
      <c r="FI25" s="208">
        <v>0</v>
      </c>
      <c r="FJ25" s="208">
        <v>0</v>
      </c>
      <c r="FK25" s="208">
        <v>0</v>
      </c>
      <c r="FL25" s="208">
        <v>0</v>
      </c>
      <c r="FM25" s="208">
        <v>0</v>
      </c>
      <c r="FN25" s="208">
        <v>0</v>
      </c>
      <c r="FO25" s="208" t="s">
        <v>21303</v>
      </c>
      <c r="FP25" s="208">
        <v>0</v>
      </c>
      <c r="FQ25" s="208">
        <v>80</v>
      </c>
      <c r="FR25" s="208" t="s">
        <v>21316</v>
      </c>
      <c r="FS25" s="208" t="s">
        <v>21303</v>
      </c>
      <c r="FT25" s="208" t="s">
        <v>21303</v>
      </c>
      <c r="FU25" s="208" t="s">
        <v>21303</v>
      </c>
      <c r="FV25" s="208" t="s">
        <v>21303</v>
      </c>
      <c r="FW25" s="208" t="s">
        <v>21303</v>
      </c>
      <c r="FX25" s="208" t="s">
        <v>21386</v>
      </c>
      <c r="FY25" s="208">
        <v>23</v>
      </c>
      <c r="FZ25" s="208">
        <v>23</v>
      </c>
      <c r="GA25" s="208">
        <v>23</v>
      </c>
      <c r="GB25" s="208">
        <v>0</v>
      </c>
      <c r="GC25" s="208">
        <v>0</v>
      </c>
      <c r="GD25" s="208">
        <v>0</v>
      </c>
      <c r="GE25" s="208" t="s">
        <v>21387</v>
      </c>
      <c r="GF25" s="208" t="s">
        <v>21303</v>
      </c>
      <c r="GG25" s="208">
        <v>0</v>
      </c>
      <c r="GH25" s="208">
        <v>0</v>
      </c>
      <c r="GI25" s="208">
        <v>0</v>
      </c>
      <c r="GJ25" s="208">
        <v>0</v>
      </c>
      <c r="GK25" s="208">
        <v>0</v>
      </c>
      <c r="GL25" s="208">
        <v>0</v>
      </c>
      <c r="GM25" s="208" t="s">
        <v>21303</v>
      </c>
      <c r="GN25" s="208" t="s">
        <v>21303</v>
      </c>
      <c r="GO25" s="208">
        <v>0</v>
      </c>
      <c r="GP25" s="208">
        <v>0</v>
      </c>
      <c r="GQ25" s="208">
        <v>0</v>
      </c>
      <c r="GR25" s="208">
        <v>0</v>
      </c>
      <c r="GS25" s="208">
        <v>0</v>
      </c>
      <c r="GT25" s="208">
        <v>0</v>
      </c>
      <c r="GU25" s="208" t="s">
        <v>21303</v>
      </c>
      <c r="GV25" s="208" t="s">
        <v>21303</v>
      </c>
      <c r="GW25" s="208">
        <v>0</v>
      </c>
      <c r="GX25" s="208">
        <v>0</v>
      </c>
      <c r="GY25" s="208">
        <v>0</v>
      </c>
      <c r="GZ25" s="208">
        <v>0</v>
      </c>
      <c r="HA25" s="208">
        <v>0</v>
      </c>
      <c r="HB25" s="208">
        <v>0</v>
      </c>
      <c r="HC25" s="208" t="s">
        <v>21303</v>
      </c>
      <c r="HD25" s="208" t="s">
        <v>21303</v>
      </c>
      <c r="HE25" s="208">
        <v>0</v>
      </c>
      <c r="HF25" s="208">
        <v>0</v>
      </c>
      <c r="HG25" s="208">
        <v>0</v>
      </c>
      <c r="HH25" s="208">
        <v>0</v>
      </c>
      <c r="HI25" s="208">
        <v>0</v>
      </c>
      <c r="HJ25" s="208">
        <v>0</v>
      </c>
      <c r="HK25" s="208" t="s">
        <v>21303</v>
      </c>
      <c r="HL25" s="208" t="s">
        <v>21303</v>
      </c>
      <c r="HM25" s="208">
        <v>0</v>
      </c>
      <c r="HN25" s="208">
        <v>0</v>
      </c>
      <c r="HO25" s="208">
        <v>0</v>
      </c>
      <c r="HP25" s="208">
        <v>0</v>
      </c>
      <c r="HQ25" s="208">
        <v>0</v>
      </c>
      <c r="HR25" s="208">
        <v>0</v>
      </c>
      <c r="HS25" s="208" t="s">
        <v>21303</v>
      </c>
      <c r="HT25" s="208" t="s">
        <v>21319</v>
      </c>
      <c r="HU25" s="208">
        <v>23</v>
      </c>
      <c r="HV25" s="208">
        <v>0</v>
      </c>
      <c r="HW25" s="208">
        <v>0</v>
      </c>
      <c r="HX25" s="208">
        <v>0</v>
      </c>
      <c r="HY25" s="208">
        <v>0</v>
      </c>
      <c r="HZ25" s="208">
        <v>0</v>
      </c>
      <c r="IA25" s="600">
        <v>23</v>
      </c>
      <c r="IB25" s="600">
        <v>13</v>
      </c>
      <c r="IC25" s="343" t="s">
        <v>21035</v>
      </c>
      <c r="ID25" s="343" t="s">
        <v>21466</v>
      </c>
      <c r="IE25" s="343" t="s">
        <v>21320</v>
      </c>
      <c r="IF25" s="343" t="s">
        <v>21321</v>
      </c>
      <c r="IG25" s="383">
        <v>43748</v>
      </c>
      <c r="IH25" s="383">
        <v>45575</v>
      </c>
      <c r="II25" s="208">
        <v>46</v>
      </c>
    </row>
    <row r="26" ht="102">
      <c r="A26" s="207">
        <v>25</v>
      </c>
      <c r="B26" s="343" t="s">
        <v>21287</v>
      </c>
      <c r="C26" s="343" t="s">
        <v>21288</v>
      </c>
      <c r="D26" s="600">
        <v>127510</v>
      </c>
      <c r="E26" s="317" t="s">
        <v>21168</v>
      </c>
      <c r="F26" s="207" t="s">
        <v>20851</v>
      </c>
      <c r="G26" s="600">
        <v>106.3224</v>
      </c>
      <c r="H26" s="600">
        <v>21.11631</v>
      </c>
      <c r="I26" s="207">
        <v>1</v>
      </c>
      <c r="J26" s="207">
        <v>1</v>
      </c>
      <c r="K26" s="207" t="s">
        <v>21306</v>
      </c>
      <c r="L26" s="207">
        <v>127510</v>
      </c>
      <c r="M26" s="207" t="s">
        <v>21312</v>
      </c>
      <c r="N26" s="207">
        <v>3</v>
      </c>
      <c r="O26" s="207" t="s">
        <v>21313</v>
      </c>
      <c r="P26" s="207" t="s">
        <v>21314</v>
      </c>
      <c r="Q26" s="207">
        <v>2100</v>
      </c>
      <c r="R26" s="207" t="s">
        <v>21410</v>
      </c>
      <c r="S26" s="364" t="b">
        <v>1</v>
      </c>
      <c r="T26" s="207" t="s">
        <v>21169</v>
      </c>
      <c r="U26" s="207">
        <v>0</v>
      </c>
      <c r="V26" s="207" t="s">
        <v>21297</v>
      </c>
      <c r="W26" s="207" t="s">
        <v>21170</v>
      </c>
      <c r="X26" s="209" t="s">
        <v>21298</v>
      </c>
      <c r="Y26" s="207" t="b">
        <v>1</v>
      </c>
      <c r="Z26" s="364" t="b">
        <v>0</v>
      </c>
      <c r="AA26" s="600">
        <v>34</v>
      </c>
      <c r="AB26" s="364" t="b">
        <v>1</v>
      </c>
      <c r="AC26" s="600">
        <v>10</v>
      </c>
      <c r="AD26" s="207" t="b">
        <v>0</v>
      </c>
      <c r="AE26" s="207" t="s">
        <v>21299</v>
      </c>
      <c r="AF26" s="207" t="s">
        <v>21300</v>
      </c>
      <c r="AG26" s="343" t="s">
        <v>21301</v>
      </c>
      <c r="AH26" s="343" t="s">
        <v>21302</v>
      </c>
      <c r="AI26" s="343" t="s">
        <v>21054</v>
      </c>
      <c r="AJ26" s="343" t="s">
        <v>21303</v>
      </c>
      <c r="AK26" s="343" t="s">
        <v>21304</v>
      </c>
      <c r="AL26" s="208"/>
      <c r="AM26" s="208" t="s">
        <v>21305</v>
      </c>
      <c r="AN26" s="208" t="s">
        <v>21306</v>
      </c>
      <c r="AO26" s="207">
        <v>3</v>
      </c>
      <c r="AP26" s="287" t="s">
        <v>21467</v>
      </c>
      <c r="AQ26" s="448" t="s">
        <v>21468</v>
      </c>
      <c r="AR26" s="448" t="s">
        <v>21469</v>
      </c>
      <c r="AS26" s="449" t="s">
        <v>7134</v>
      </c>
      <c r="AT26" s="208" t="s">
        <v>21306</v>
      </c>
      <c r="AU26" s="208" t="s">
        <v>21303</v>
      </c>
      <c r="AV26" s="208" t="s">
        <v>21303</v>
      </c>
      <c r="AW26" s="208" t="s">
        <v>21303</v>
      </c>
      <c r="AX26" s="208" t="s">
        <v>21303</v>
      </c>
      <c r="AY26" s="208" t="s">
        <v>21303</v>
      </c>
      <c r="AZ26" s="208" t="s">
        <v>21288</v>
      </c>
      <c r="BA26" s="208" t="s">
        <v>21303</v>
      </c>
      <c r="BB26" s="208" t="s">
        <v>21303</v>
      </c>
      <c r="BC26" s="208" t="s">
        <v>21303</v>
      </c>
      <c r="BD26" s="208" t="s">
        <v>21303</v>
      </c>
      <c r="BE26" s="208" t="s">
        <v>21303</v>
      </c>
      <c r="BF26" s="208" t="s">
        <v>21288</v>
      </c>
      <c r="BG26" s="208" t="s">
        <v>21470</v>
      </c>
      <c r="BH26" s="208" t="s">
        <v>21303</v>
      </c>
      <c r="BI26" s="208" t="s">
        <v>21303</v>
      </c>
      <c r="BJ26" s="208" t="s">
        <v>21303</v>
      </c>
      <c r="BK26" s="208" t="s">
        <v>21303</v>
      </c>
      <c r="BL26" s="208" t="s">
        <v>21303</v>
      </c>
      <c r="BM26" s="208" t="s">
        <v>21312</v>
      </c>
      <c r="BN26" s="208" t="s">
        <v>21303</v>
      </c>
      <c r="BO26" s="208" t="s">
        <v>21303</v>
      </c>
      <c r="BP26" s="208" t="s">
        <v>21303</v>
      </c>
      <c r="BQ26" s="208" t="s">
        <v>21303</v>
      </c>
      <c r="BR26" s="208" t="s">
        <v>21303</v>
      </c>
      <c r="BS26" s="208">
        <v>3</v>
      </c>
      <c r="BT26" s="208">
        <v>0</v>
      </c>
      <c r="BU26" s="208">
        <v>0</v>
      </c>
      <c r="BV26" s="208">
        <v>0</v>
      </c>
      <c r="BW26" s="208">
        <v>0</v>
      </c>
      <c r="BX26" s="208">
        <v>0</v>
      </c>
      <c r="BY26" s="208" t="s">
        <v>21313</v>
      </c>
      <c r="BZ26" s="208">
        <v>1</v>
      </c>
      <c r="CA26" s="208">
        <v>1</v>
      </c>
      <c r="CB26" s="208">
        <v>1</v>
      </c>
      <c r="CC26" s="208">
        <v>0</v>
      </c>
      <c r="CD26" s="208">
        <v>0</v>
      </c>
      <c r="CE26" s="208">
        <v>0</v>
      </c>
      <c r="CF26" s="208" t="s">
        <v>21303</v>
      </c>
      <c r="CG26" s="208">
        <v>0</v>
      </c>
      <c r="CH26" s="208">
        <v>0</v>
      </c>
      <c r="CI26" s="208">
        <v>0</v>
      </c>
      <c r="CJ26" s="208">
        <v>0</v>
      </c>
      <c r="CK26" s="208">
        <v>0</v>
      </c>
      <c r="CL26" s="208">
        <v>0</v>
      </c>
      <c r="CM26" s="208" t="s">
        <v>21303</v>
      </c>
      <c r="CN26" s="208">
        <v>0</v>
      </c>
      <c r="CO26" s="208">
        <v>0</v>
      </c>
      <c r="CP26" s="208">
        <v>0</v>
      </c>
      <c r="CQ26" s="208">
        <v>0</v>
      </c>
      <c r="CR26" s="208">
        <v>0</v>
      </c>
      <c r="CS26" s="208">
        <v>0</v>
      </c>
      <c r="CT26" s="208" t="s">
        <v>21303</v>
      </c>
      <c r="CU26" s="208">
        <v>0</v>
      </c>
      <c r="CV26" s="208">
        <v>0</v>
      </c>
      <c r="CW26" s="208">
        <v>0</v>
      </c>
      <c r="CX26" s="208">
        <v>0</v>
      </c>
      <c r="CY26" s="208">
        <v>0</v>
      </c>
      <c r="CZ26" s="208">
        <v>0</v>
      </c>
      <c r="DA26" s="208" t="s">
        <v>21303</v>
      </c>
      <c r="DB26" s="208">
        <v>0</v>
      </c>
      <c r="DC26" s="208">
        <v>0</v>
      </c>
      <c r="DD26" s="208">
        <v>0</v>
      </c>
      <c r="DE26" s="208">
        <v>0</v>
      </c>
      <c r="DF26" s="208">
        <v>0</v>
      </c>
      <c r="DG26" s="208">
        <v>0</v>
      </c>
      <c r="DH26" s="208" t="s">
        <v>21303</v>
      </c>
      <c r="DI26" s="208">
        <v>0</v>
      </c>
      <c r="DJ26" s="208">
        <v>0</v>
      </c>
      <c r="DK26" s="208">
        <v>0</v>
      </c>
      <c r="DL26" s="208">
        <v>0</v>
      </c>
      <c r="DM26" s="208">
        <v>0</v>
      </c>
      <c r="DN26" s="208">
        <v>0</v>
      </c>
      <c r="DO26" s="208" t="s">
        <v>21314</v>
      </c>
      <c r="DP26" s="208">
        <v>80</v>
      </c>
      <c r="DQ26" s="208">
        <v>80</v>
      </c>
      <c r="DR26" s="208">
        <v>80</v>
      </c>
      <c r="DS26" s="208">
        <v>0</v>
      </c>
      <c r="DT26" s="208">
        <v>0</v>
      </c>
      <c r="DU26" s="208">
        <v>0</v>
      </c>
      <c r="DV26" s="208" t="s">
        <v>21315</v>
      </c>
      <c r="DW26" s="208">
        <v>80</v>
      </c>
      <c r="DX26" s="208" t="s">
        <v>21303</v>
      </c>
      <c r="DY26" s="208">
        <v>0</v>
      </c>
      <c r="DZ26" s="208">
        <v>0</v>
      </c>
      <c r="EA26" s="208">
        <v>0</v>
      </c>
      <c r="EB26" s="208">
        <v>0</v>
      </c>
      <c r="EC26" s="208">
        <v>0</v>
      </c>
      <c r="ED26" s="208">
        <v>0</v>
      </c>
      <c r="EE26" s="208" t="s">
        <v>21303</v>
      </c>
      <c r="EF26" s="208">
        <v>0</v>
      </c>
      <c r="EG26" s="208" t="s">
        <v>21303</v>
      </c>
      <c r="EH26" s="208">
        <v>0</v>
      </c>
      <c r="EI26" s="208">
        <v>0</v>
      </c>
      <c r="EJ26" s="208">
        <v>0</v>
      </c>
      <c r="EK26" s="208">
        <v>0</v>
      </c>
      <c r="EL26" s="208">
        <v>0</v>
      </c>
      <c r="EM26" s="208">
        <v>0</v>
      </c>
      <c r="EN26" s="208" t="s">
        <v>21303</v>
      </c>
      <c r="EO26" s="208">
        <v>0</v>
      </c>
      <c r="EP26" s="208" t="s">
        <v>21303</v>
      </c>
      <c r="EQ26" s="208">
        <v>0</v>
      </c>
      <c r="ER26" s="208">
        <v>0</v>
      </c>
      <c r="ES26" s="208">
        <v>0</v>
      </c>
      <c r="ET26" s="208">
        <v>0</v>
      </c>
      <c r="EU26" s="208">
        <v>0</v>
      </c>
      <c r="EV26" s="208">
        <v>0</v>
      </c>
      <c r="EW26" s="208" t="s">
        <v>21303</v>
      </c>
      <c r="EX26" s="208">
        <v>0</v>
      </c>
      <c r="EY26" s="208" t="s">
        <v>21303</v>
      </c>
      <c r="EZ26" s="208">
        <v>0</v>
      </c>
      <c r="FA26" s="208">
        <v>0</v>
      </c>
      <c r="FB26" s="208">
        <v>0</v>
      </c>
      <c r="FC26" s="208">
        <v>0</v>
      </c>
      <c r="FD26" s="208">
        <v>0</v>
      </c>
      <c r="FE26" s="208">
        <v>0</v>
      </c>
      <c r="FF26" s="208" t="s">
        <v>21303</v>
      </c>
      <c r="FG26" s="208">
        <v>0</v>
      </c>
      <c r="FH26" s="208" t="s">
        <v>21303</v>
      </c>
      <c r="FI26" s="208">
        <v>0</v>
      </c>
      <c r="FJ26" s="208">
        <v>0</v>
      </c>
      <c r="FK26" s="208">
        <v>0</v>
      </c>
      <c r="FL26" s="208">
        <v>0</v>
      </c>
      <c r="FM26" s="208">
        <v>0</v>
      </c>
      <c r="FN26" s="208">
        <v>0</v>
      </c>
      <c r="FO26" s="208" t="s">
        <v>21303</v>
      </c>
      <c r="FP26" s="208">
        <v>0</v>
      </c>
      <c r="FQ26" s="208">
        <v>80</v>
      </c>
      <c r="FR26" s="208" t="s">
        <v>21316</v>
      </c>
      <c r="FS26" s="208" t="s">
        <v>21303</v>
      </c>
      <c r="FT26" s="208" t="s">
        <v>21303</v>
      </c>
      <c r="FU26" s="208" t="s">
        <v>21303</v>
      </c>
      <c r="FV26" s="208" t="s">
        <v>21303</v>
      </c>
      <c r="FW26" s="208" t="s">
        <v>21303</v>
      </c>
      <c r="FX26" s="208" t="s">
        <v>21410</v>
      </c>
      <c r="FY26" s="208">
        <v>34</v>
      </c>
      <c r="FZ26" s="208">
        <v>34</v>
      </c>
      <c r="GA26" s="208">
        <v>34</v>
      </c>
      <c r="GB26" s="208">
        <v>0</v>
      </c>
      <c r="GC26" s="208">
        <v>0</v>
      </c>
      <c r="GD26" s="208">
        <v>0</v>
      </c>
      <c r="GE26" s="208" t="s">
        <v>21411</v>
      </c>
      <c r="GF26" s="208" t="s">
        <v>21303</v>
      </c>
      <c r="GG26" s="208">
        <v>0</v>
      </c>
      <c r="GH26" s="208">
        <v>0</v>
      </c>
      <c r="GI26" s="208">
        <v>0</v>
      </c>
      <c r="GJ26" s="208">
        <v>0</v>
      </c>
      <c r="GK26" s="208">
        <v>0</v>
      </c>
      <c r="GL26" s="208">
        <v>0</v>
      </c>
      <c r="GM26" s="208" t="s">
        <v>21303</v>
      </c>
      <c r="GN26" s="208" t="s">
        <v>21303</v>
      </c>
      <c r="GO26" s="208">
        <v>0</v>
      </c>
      <c r="GP26" s="208">
        <v>0</v>
      </c>
      <c r="GQ26" s="208">
        <v>0</v>
      </c>
      <c r="GR26" s="208">
        <v>0</v>
      </c>
      <c r="GS26" s="208">
        <v>0</v>
      </c>
      <c r="GT26" s="208">
        <v>0</v>
      </c>
      <c r="GU26" s="208" t="s">
        <v>21303</v>
      </c>
      <c r="GV26" s="208" t="s">
        <v>21303</v>
      </c>
      <c r="GW26" s="208">
        <v>0</v>
      </c>
      <c r="GX26" s="208">
        <v>0</v>
      </c>
      <c r="GY26" s="208">
        <v>0</v>
      </c>
      <c r="GZ26" s="208">
        <v>0</v>
      </c>
      <c r="HA26" s="208">
        <v>0</v>
      </c>
      <c r="HB26" s="208">
        <v>0</v>
      </c>
      <c r="HC26" s="208" t="s">
        <v>21303</v>
      </c>
      <c r="HD26" s="208" t="s">
        <v>21303</v>
      </c>
      <c r="HE26" s="208">
        <v>0</v>
      </c>
      <c r="HF26" s="208">
        <v>0</v>
      </c>
      <c r="HG26" s="208">
        <v>0</v>
      </c>
      <c r="HH26" s="208">
        <v>0</v>
      </c>
      <c r="HI26" s="208">
        <v>0</v>
      </c>
      <c r="HJ26" s="208">
        <v>0</v>
      </c>
      <c r="HK26" s="208" t="s">
        <v>21303</v>
      </c>
      <c r="HL26" s="208" t="s">
        <v>21303</v>
      </c>
      <c r="HM26" s="208">
        <v>0</v>
      </c>
      <c r="HN26" s="208">
        <v>0</v>
      </c>
      <c r="HO26" s="208">
        <v>0</v>
      </c>
      <c r="HP26" s="208">
        <v>0</v>
      </c>
      <c r="HQ26" s="208">
        <v>0</v>
      </c>
      <c r="HR26" s="208">
        <v>0</v>
      </c>
      <c r="HS26" s="208" t="s">
        <v>21303</v>
      </c>
      <c r="HT26" s="208" t="s">
        <v>21319</v>
      </c>
      <c r="HU26" s="208">
        <v>34</v>
      </c>
      <c r="HV26" s="208">
        <v>0</v>
      </c>
      <c r="HW26" s="208">
        <v>0</v>
      </c>
      <c r="HX26" s="208">
        <v>0</v>
      </c>
      <c r="HY26" s="208">
        <v>0</v>
      </c>
      <c r="HZ26" s="208">
        <v>0</v>
      </c>
      <c r="IA26" s="600">
        <v>34</v>
      </c>
      <c r="IB26" s="600">
        <v>24</v>
      </c>
      <c r="IC26" s="343" t="s">
        <v>21035</v>
      </c>
      <c r="ID26" s="343" t="s">
        <v>3615</v>
      </c>
      <c r="IE26" s="343" t="s">
        <v>21320</v>
      </c>
      <c r="IF26" s="343" t="s">
        <v>21321</v>
      </c>
      <c r="IG26" s="383">
        <v>43748</v>
      </c>
      <c r="IH26" s="383">
        <v>45575</v>
      </c>
      <c r="II26" s="208">
        <v>46</v>
      </c>
    </row>
    <row r="27" ht="102">
      <c r="A27" s="207">
        <v>26</v>
      </c>
      <c r="B27" s="343" t="s">
        <v>21287</v>
      </c>
      <c r="C27" s="343" t="s">
        <v>21288</v>
      </c>
      <c r="D27" s="600">
        <v>127143</v>
      </c>
      <c r="E27" s="317" t="s">
        <v>21171</v>
      </c>
      <c r="F27" s="207" t="s">
        <v>20851</v>
      </c>
      <c r="G27" s="600">
        <v>106.27983</v>
      </c>
      <c r="H27" s="600">
        <v>20.791222</v>
      </c>
      <c r="I27" s="207">
        <v>1</v>
      </c>
      <c r="J27" s="207">
        <v>1</v>
      </c>
      <c r="K27" s="207" t="s">
        <v>21306</v>
      </c>
      <c r="L27" s="207">
        <v>127143</v>
      </c>
      <c r="M27" s="207" t="s">
        <v>21312</v>
      </c>
      <c r="N27" s="207">
        <v>3</v>
      </c>
      <c r="O27" s="207" t="s">
        <v>21313</v>
      </c>
      <c r="P27" s="207" t="s">
        <v>21314</v>
      </c>
      <c r="Q27" s="207">
        <v>2100</v>
      </c>
      <c r="R27" s="207" t="s">
        <v>21410</v>
      </c>
      <c r="S27" s="364" t="b">
        <v>1</v>
      </c>
      <c r="T27" s="207" t="s">
        <v>21172</v>
      </c>
      <c r="U27" s="207">
        <v>0</v>
      </c>
      <c r="V27" s="207" t="s">
        <v>21297</v>
      </c>
      <c r="W27" s="207" t="s">
        <v>21173</v>
      </c>
      <c r="X27" s="209" t="s">
        <v>21298</v>
      </c>
      <c r="Y27" s="207" t="b">
        <v>1</v>
      </c>
      <c r="Z27" s="364" t="b">
        <v>1</v>
      </c>
      <c r="AA27" s="600">
        <v>34</v>
      </c>
      <c r="AB27" s="364" t="b">
        <v>1</v>
      </c>
      <c r="AC27" s="600">
        <v>4</v>
      </c>
      <c r="AD27" s="207" t="b">
        <v>0</v>
      </c>
      <c r="AE27" s="207" t="s">
        <v>21299</v>
      </c>
      <c r="AF27" s="207" t="s">
        <v>21300</v>
      </c>
      <c r="AG27" s="343" t="s">
        <v>21301</v>
      </c>
      <c r="AH27" s="343" t="s">
        <v>21302</v>
      </c>
      <c r="AI27" s="343" t="s">
        <v>21054</v>
      </c>
      <c r="AJ27" s="343" t="s">
        <v>21303</v>
      </c>
      <c r="AK27" s="343" t="s">
        <v>21304</v>
      </c>
      <c r="AL27" s="208"/>
      <c r="AM27" s="208" t="s">
        <v>21305</v>
      </c>
      <c r="AN27" s="208" t="s">
        <v>21306</v>
      </c>
      <c r="AO27" s="207">
        <v>3</v>
      </c>
      <c r="AP27" s="287" t="s">
        <v>21467</v>
      </c>
      <c r="AQ27" s="448" t="s">
        <v>21471</v>
      </c>
      <c r="AR27" s="448" t="s">
        <v>21472</v>
      </c>
      <c r="AS27" s="449" t="s">
        <v>7134</v>
      </c>
      <c r="AT27" s="208" t="s">
        <v>21306</v>
      </c>
      <c r="AU27" s="208" t="s">
        <v>21303</v>
      </c>
      <c r="AV27" s="208" t="s">
        <v>21303</v>
      </c>
      <c r="AW27" s="208" t="s">
        <v>21303</v>
      </c>
      <c r="AX27" s="208" t="s">
        <v>21303</v>
      </c>
      <c r="AY27" s="208" t="s">
        <v>21303</v>
      </c>
      <c r="AZ27" s="208" t="s">
        <v>21288</v>
      </c>
      <c r="BA27" s="208" t="s">
        <v>21303</v>
      </c>
      <c r="BB27" s="208" t="s">
        <v>21303</v>
      </c>
      <c r="BC27" s="208" t="s">
        <v>21303</v>
      </c>
      <c r="BD27" s="208" t="s">
        <v>21303</v>
      </c>
      <c r="BE27" s="208" t="s">
        <v>21303</v>
      </c>
      <c r="BF27" s="208" t="s">
        <v>21288</v>
      </c>
      <c r="BG27" s="208" t="s">
        <v>21473</v>
      </c>
      <c r="BH27" s="208" t="s">
        <v>21303</v>
      </c>
      <c r="BI27" s="208" t="s">
        <v>21303</v>
      </c>
      <c r="BJ27" s="208" t="s">
        <v>21303</v>
      </c>
      <c r="BK27" s="208" t="s">
        <v>21303</v>
      </c>
      <c r="BL27" s="208" t="s">
        <v>21303</v>
      </c>
      <c r="BM27" s="208" t="s">
        <v>21312</v>
      </c>
      <c r="BN27" s="208" t="s">
        <v>21303</v>
      </c>
      <c r="BO27" s="208" t="s">
        <v>21303</v>
      </c>
      <c r="BP27" s="208" t="s">
        <v>21303</v>
      </c>
      <c r="BQ27" s="208" t="s">
        <v>21303</v>
      </c>
      <c r="BR27" s="208" t="s">
        <v>21303</v>
      </c>
      <c r="BS27" s="208">
        <v>3</v>
      </c>
      <c r="BT27" s="208">
        <v>0</v>
      </c>
      <c r="BU27" s="208">
        <v>0</v>
      </c>
      <c r="BV27" s="208">
        <v>0</v>
      </c>
      <c r="BW27" s="208">
        <v>0</v>
      </c>
      <c r="BX27" s="208">
        <v>0</v>
      </c>
      <c r="BY27" s="208" t="s">
        <v>21313</v>
      </c>
      <c r="BZ27" s="208">
        <v>1</v>
      </c>
      <c r="CA27" s="208">
        <v>1</v>
      </c>
      <c r="CB27" s="208">
        <v>1</v>
      </c>
      <c r="CC27" s="208">
        <v>0</v>
      </c>
      <c r="CD27" s="208">
        <v>0</v>
      </c>
      <c r="CE27" s="208">
        <v>0</v>
      </c>
      <c r="CF27" s="208" t="s">
        <v>21303</v>
      </c>
      <c r="CG27" s="208">
        <v>0</v>
      </c>
      <c r="CH27" s="208">
        <v>0</v>
      </c>
      <c r="CI27" s="208">
        <v>0</v>
      </c>
      <c r="CJ27" s="208">
        <v>0</v>
      </c>
      <c r="CK27" s="208">
        <v>0</v>
      </c>
      <c r="CL27" s="208">
        <v>0</v>
      </c>
      <c r="CM27" s="208" t="s">
        <v>21303</v>
      </c>
      <c r="CN27" s="208">
        <v>0</v>
      </c>
      <c r="CO27" s="208">
        <v>0</v>
      </c>
      <c r="CP27" s="208">
        <v>0</v>
      </c>
      <c r="CQ27" s="208">
        <v>0</v>
      </c>
      <c r="CR27" s="208">
        <v>0</v>
      </c>
      <c r="CS27" s="208">
        <v>0</v>
      </c>
      <c r="CT27" s="208" t="s">
        <v>21303</v>
      </c>
      <c r="CU27" s="208">
        <v>0</v>
      </c>
      <c r="CV27" s="208">
        <v>0</v>
      </c>
      <c r="CW27" s="208">
        <v>0</v>
      </c>
      <c r="CX27" s="208">
        <v>0</v>
      </c>
      <c r="CY27" s="208">
        <v>0</v>
      </c>
      <c r="CZ27" s="208">
        <v>0</v>
      </c>
      <c r="DA27" s="208" t="s">
        <v>21303</v>
      </c>
      <c r="DB27" s="208">
        <v>0</v>
      </c>
      <c r="DC27" s="208">
        <v>0</v>
      </c>
      <c r="DD27" s="208">
        <v>0</v>
      </c>
      <c r="DE27" s="208">
        <v>0</v>
      </c>
      <c r="DF27" s="208">
        <v>0</v>
      </c>
      <c r="DG27" s="208">
        <v>0</v>
      </c>
      <c r="DH27" s="208" t="s">
        <v>21303</v>
      </c>
      <c r="DI27" s="208">
        <v>0</v>
      </c>
      <c r="DJ27" s="208">
        <v>0</v>
      </c>
      <c r="DK27" s="208">
        <v>0</v>
      </c>
      <c r="DL27" s="208">
        <v>0</v>
      </c>
      <c r="DM27" s="208">
        <v>0</v>
      </c>
      <c r="DN27" s="208">
        <v>0</v>
      </c>
      <c r="DO27" s="208" t="s">
        <v>21314</v>
      </c>
      <c r="DP27" s="208">
        <v>80</v>
      </c>
      <c r="DQ27" s="208">
        <v>80</v>
      </c>
      <c r="DR27" s="208">
        <v>80</v>
      </c>
      <c r="DS27" s="208">
        <v>0</v>
      </c>
      <c r="DT27" s="208">
        <v>0</v>
      </c>
      <c r="DU27" s="208">
        <v>0</v>
      </c>
      <c r="DV27" s="208" t="s">
        <v>21315</v>
      </c>
      <c r="DW27" s="208">
        <v>80</v>
      </c>
      <c r="DX27" s="208" t="s">
        <v>21303</v>
      </c>
      <c r="DY27" s="208">
        <v>0</v>
      </c>
      <c r="DZ27" s="208">
        <v>0</v>
      </c>
      <c r="EA27" s="208">
        <v>0</v>
      </c>
      <c r="EB27" s="208">
        <v>0</v>
      </c>
      <c r="EC27" s="208">
        <v>0</v>
      </c>
      <c r="ED27" s="208">
        <v>0</v>
      </c>
      <c r="EE27" s="208" t="s">
        <v>21303</v>
      </c>
      <c r="EF27" s="208">
        <v>0</v>
      </c>
      <c r="EG27" s="208" t="s">
        <v>21303</v>
      </c>
      <c r="EH27" s="208">
        <v>0</v>
      </c>
      <c r="EI27" s="208">
        <v>0</v>
      </c>
      <c r="EJ27" s="208">
        <v>0</v>
      </c>
      <c r="EK27" s="208">
        <v>0</v>
      </c>
      <c r="EL27" s="208">
        <v>0</v>
      </c>
      <c r="EM27" s="208">
        <v>0</v>
      </c>
      <c r="EN27" s="208" t="s">
        <v>21303</v>
      </c>
      <c r="EO27" s="208">
        <v>0</v>
      </c>
      <c r="EP27" s="208" t="s">
        <v>21303</v>
      </c>
      <c r="EQ27" s="208">
        <v>0</v>
      </c>
      <c r="ER27" s="208">
        <v>0</v>
      </c>
      <c r="ES27" s="208">
        <v>0</v>
      </c>
      <c r="ET27" s="208">
        <v>0</v>
      </c>
      <c r="EU27" s="208">
        <v>0</v>
      </c>
      <c r="EV27" s="208">
        <v>0</v>
      </c>
      <c r="EW27" s="208" t="s">
        <v>21303</v>
      </c>
      <c r="EX27" s="208">
        <v>0</v>
      </c>
      <c r="EY27" s="208" t="s">
        <v>21303</v>
      </c>
      <c r="EZ27" s="208">
        <v>0</v>
      </c>
      <c r="FA27" s="208">
        <v>0</v>
      </c>
      <c r="FB27" s="208">
        <v>0</v>
      </c>
      <c r="FC27" s="208">
        <v>0</v>
      </c>
      <c r="FD27" s="208">
        <v>0</v>
      </c>
      <c r="FE27" s="208">
        <v>0</v>
      </c>
      <c r="FF27" s="208" t="s">
        <v>21303</v>
      </c>
      <c r="FG27" s="208">
        <v>0</v>
      </c>
      <c r="FH27" s="208" t="s">
        <v>21303</v>
      </c>
      <c r="FI27" s="208">
        <v>0</v>
      </c>
      <c r="FJ27" s="208">
        <v>0</v>
      </c>
      <c r="FK27" s="208">
        <v>0</v>
      </c>
      <c r="FL27" s="208">
        <v>0</v>
      </c>
      <c r="FM27" s="208">
        <v>0</v>
      </c>
      <c r="FN27" s="208">
        <v>0</v>
      </c>
      <c r="FO27" s="208" t="s">
        <v>21303</v>
      </c>
      <c r="FP27" s="208">
        <v>0</v>
      </c>
      <c r="FQ27" s="208">
        <v>80</v>
      </c>
      <c r="FR27" s="208" t="s">
        <v>21316</v>
      </c>
      <c r="FS27" s="208" t="s">
        <v>21303</v>
      </c>
      <c r="FT27" s="208" t="s">
        <v>21303</v>
      </c>
      <c r="FU27" s="208" t="s">
        <v>21303</v>
      </c>
      <c r="FV27" s="208" t="s">
        <v>21303</v>
      </c>
      <c r="FW27" s="208" t="s">
        <v>21303</v>
      </c>
      <c r="FX27" s="208" t="s">
        <v>21410</v>
      </c>
      <c r="FY27" s="208">
        <v>34</v>
      </c>
      <c r="FZ27" s="208">
        <v>34</v>
      </c>
      <c r="GA27" s="208">
        <v>34</v>
      </c>
      <c r="GB27" s="208">
        <v>0</v>
      </c>
      <c r="GC27" s="208">
        <v>0</v>
      </c>
      <c r="GD27" s="208">
        <v>0</v>
      </c>
      <c r="GE27" s="208" t="s">
        <v>21411</v>
      </c>
      <c r="GF27" s="208" t="s">
        <v>21303</v>
      </c>
      <c r="GG27" s="208">
        <v>0</v>
      </c>
      <c r="GH27" s="208">
        <v>0</v>
      </c>
      <c r="GI27" s="208">
        <v>0</v>
      </c>
      <c r="GJ27" s="208">
        <v>0</v>
      </c>
      <c r="GK27" s="208">
        <v>0</v>
      </c>
      <c r="GL27" s="208">
        <v>0</v>
      </c>
      <c r="GM27" s="208" t="s">
        <v>21303</v>
      </c>
      <c r="GN27" s="208" t="s">
        <v>21303</v>
      </c>
      <c r="GO27" s="208">
        <v>0</v>
      </c>
      <c r="GP27" s="208">
        <v>0</v>
      </c>
      <c r="GQ27" s="208">
        <v>0</v>
      </c>
      <c r="GR27" s="208">
        <v>0</v>
      </c>
      <c r="GS27" s="208">
        <v>0</v>
      </c>
      <c r="GT27" s="208">
        <v>0</v>
      </c>
      <c r="GU27" s="208" t="s">
        <v>21303</v>
      </c>
      <c r="GV27" s="208" t="s">
        <v>21303</v>
      </c>
      <c r="GW27" s="208">
        <v>0</v>
      </c>
      <c r="GX27" s="208">
        <v>0</v>
      </c>
      <c r="GY27" s="208">
        <v>0</v>
      </c>
      <c r="GZ27" s="208">
        <v>0</v>
      </c>
      <c r="HA27" s="208">
        <v>0</v>
      </c>
      <c r="HB27" s="208">
        <v>0</v>
      </c>
      <c r="HC27" s="208" t="s">
        <v>21303</v>
      </c>
      <c r="HD27" s="208" t="s">
        <v>21303</v>
      </c>
      <c r="HE27" s="208">
        <v>0</v>
      </c>
      <c r="HF27" s="208">
        <v>0</v>
      </c>
      <c r="HG27" s="208">
        <v>0</v>
      </c>
      <c r="HH27" s="208">
        <v>0</v>
      </c>
      <c r="HI27" s="208">
        <v>0</v>
      </c>
      <c r="HJ27" s="208">
        <v>0</v>
      </c>
      <c r="HK27" s="208" t="s">
        <v>21303</v>
      </c>
      <c r="HL27" s="208" t="s">
        <v>21303</v>
      </c>
      <c r="HM27" s="208">
        <v>0</v>
      </c>
      <c r="HN27" s="208">
        <v>0</v>
      </c>
      <c r="HO27" s="208">
        <v>0</v>
      </c>
      <c r="HP27" s="208">
        <v>0</v>
      </c>
      <c r="HQ27" s="208">
        <v>0</v>
      </c>
      <c r="HR27" s="208">
        <v>0</v>
      </c>
      <c r="HS27" s="208" t="s">
        <v>21303</v>
      </c>
      <c r="HT27" s="208" t="s">
        <v>21319</v>
      </c>
      <c r="HU27" s="208">
        <v>34</v>
      </c>
      <c r="HV27" s="208">
        <v>0</v>
      </c>
      <c r="HW27" s="208">
        <v>0</v>
      </c>
      <c r="HX27" s="208">
        <v>0</v>
      </c>
      <c r="HY27" s="208">
        <v>0</v>
      </c>
      <c r="HZ27" s="208">
        <v>0</v>
      </c>
      <c r="IA27" s="600">
        <v>34</v>
      </c>
      <c r="IB27" s="600">
        <v>30</v>
      </c>
      <c r="IC27" s="343" t="s">
        <v>21035</v>
      </c>
      <c r="ID27" s="343" t="s">
        <v>21474</v>
      </c>
      <c r="IE27" s="343" t="s">
        <v>21320</v>
      </c>
      <c r="IF27" s="343" t="s">
        <v>21321</v>
      </c>
      <c r="IG27" s="383">
        <v>43748</v>
      </c>
      <c r="IH27" s="383">
        <v>45575</v>
      </c>
      <c r="II27" s="208">
        <v>46</v>
      </c>
    </row>
    <row r="28" ht="102">
      <c r="A28" s="207">
        <v>27</v>
      </c>
      <c r="B28" s="343" t="s">
        <v>21287</v>
      </c>
      <c r="C28" s="343" t="s">
        <v>21288</v>
      </c>
      <c r="D28" s="600">
        <v>131121</v>
      </c>
      <c r="E28" s="317" t="s">
        <v>21174</v>
      </c>
      <c r="F28" s="207" t="s">
        <v>20863</v>
      </c>
      <c r="G28" s="600">
        <v>106.025422</v>
      </c>
      <c r="H28" s="600">
        <v>20.957053</v>
      </c>
      <c r="I28" s="207">
        <v>1</v>
      </c>
      <c r="J28" s="207">
        <v>1</v>
      </c>
      <c r="K28" s="207" t="s">
        <v>21306</v>
      </c>
      <c r="L28" s="207">
        <v>131121</v>
      </c>
      <c r="M28" s="207" t="s">
        <v>21312</v>
      </c>
      <c r="N28" s="207">
        <v>3</v>
      </c>
      <c r="O28" s="207" t="s">
        <v>21313</v>
      </c>
      <c r="P28" s="207" t="s">
        <v>21314</v>
      </c>
      <c r="Q28" s="207">
        <v>2100</v>
      </c>
      <c r="R28" s="207" t="s">
        <v>21475</v>
      </c>
      <c r="S28" s="364" t="b">
        <v>1</v>
      </c>
      <c r="T28" s="207" t="s">
        <v>21175</v>
      </c>
      <c r="U28" s="207">
        <v>0</v>
      </c>
      <c r="V28" s="207" t="s">
        <v>21297</v>
      </c>
      <c r="W28" s="207" t="s">
        <v>21176</v>
      </c>
      <c r="X28" s="209" t="s">
        <v>21298</v>
      </c>
      <c r="Y28" s="207" t="b">
        <v>1</v>
      </c>
      <c r="Z28" s="364" t="b">
        <v>1</v>
      </c>
      <c r="AA28" s="600">
        <v>42</v>
      </c>
      <c r="AB28" s="364" t="b">
        <v>1</v>
      </c>
      <c r="AC28" s="600">
        <v>10</v>
      </c>
      <c r="AD28" s="207" t="b">
        <v>0</v>
      </c>
      <c r="AE28" s="207" t="s">
        <v>21299</v>
      </c>
      <c r="AF28" s="207" t="s">
        <v>21300</v>
      </c>
      <c r="AG28" s="343" t="s">
        <v>21301</v>
      </c>
      <c r="AH28" s="343" t="s">
        <v>21302</v>
      </c>
      <c r="AI28" s="343" t="s">
        <v>21054</v>
      </c>
      <c r="AJ28" s="343" t="s">
        <v>21303</v>
      </c>
      <c r="AK28" s="343" t="s">
        <v>21304</v>
      </c>
      <c r="AL28" s="208"/>
      <c r="AM28" s="208" t="s">
        <v>21305</v>
      </c>
      <c r="AN28" s="208" t="s">
        <v>21306</v>
      </c>
      <c r="AO28" s="207">
        <v>3</v>
      </c>
      <c r="AP28" s="287" t="s">
        <v>21476</v>
      </c>
      <c r="AQ28" s="448" t="s">
        <v>21477</v>
      </c>
      <c r="AR28" s="448" t="s">
        <v>21478</v>
      </c>
      <c r="AS28" s="449" t="s">
        <v>7996</v>
      </c>
      <c r="AT28" s="208" t="s">
        <v>21306</v>
      </c>
      <c r="AU28" s="208" t="s">
        <v>21303</v>
      </c>
      <c r="AV28" s="208" t="s">
        <v>21303</v>
      </c>
      <c r="AW28" s="208" t="s">
        <v>21303</v>
      </c>
      <c r="AX28" s="208" t="s">
        <v>21303</v>
      </c>
      <c r="AY28" s="208" t="s">
        <v>21303</v>
      </c>
      <c r="AZ28" s="208" t="s">
        <v>21288</v>
      </c>
      <c r="BA28" s="208" t="s">
        <v>21303</v>
      </c>
      <c r="BB28" s="208" t="s">
        <v>21303</v>
      </c>
      <c r="BC28" s="208" t="s">
        <v>21303</v>
      </c>
      <c r="BD28" s="208" t="s">
        <v>21303</v>
      </c>
      <c r="BE28" s="208" t="s">
        <v>21303</v>
      </c>
      <c r="BF28" s="208" t="s">
        <v>21288</v>
      </c>
      <c r="BG28" s="208" t="s">
        <v>21479</v>
      </c>
      <c r="BH28" s="208" t="s">
        <v>21303</v>
      </c>
      <c r="BI28" s="208" t="s">
        <v>21303</v>
      </c>
      <c r="BJ28" s="208" t="s">
        <v>21303</v>
      </c>
      <c r="BK28" s="208" t="s">
        <v>21303</v>
      </c>
      <c r="BL28" s="208" t="s">
        <v>21303</v>
      </c>
      <c r="BM28" s="208" t="s">
        <v>21312</v>
      </c>
      <c r="BN28" s="208" t="s">
        <v>21303</v>
      </c>
      <c r="BO28" s="208" t="s">
        <v>21303</v>
      </c>
      <c r="BP28" s="208" t="s">
        <v>21303</v>
      </c>
      <c r="BQ28" s="208" t="s">
        <v>21303</v>
      </c>
      <c r="BR28" s="208" t="s">
        <v>21303</v>
      </c>
      <c r="BS28" s="208">
        <v>3</v>
      </c>
      <c r="BT28" s="208">
        <v>0</v>
      </c>
      <c r="BU28" s="208">
        <v>0</v>
      </c>
      <c r="BV28" s="208">
        <v>0</v>
      </c>
      <c r="BW28" s="208">
        <v>0</v>
      </c>
      <c r="BX28" s="208">
        <v>0</v>
      </c>
      <c r="BY28" s="208" t="s">
        <v>21313</v>
      </c>
      <c r="BZ28" s="208">
        <v>1</v>
      </c>
      <c r="CA28" s="208">
        <v>1</v>
      </c>
      <c r="CB28" s="208">
        <v>1</v>
      </c>
      <c r="CC28" s="208">
        <v>0</v>
      </c>
      <c r="CD28" s="208">
        <v>0</v>
      </c>
      <c r="CE28" s="208">
        <v>0</v>
      </c>
      <c r="CF28" s="208" t="s">
        <v>21303</v>
      </c>
      <c r="CG28" s="208">
        <v>0</v>
      </c>
      <c r="CH28" s="208">
        <v>0</v>
      </c>
      <c r="CI28" s="208">
        <v>0</v>
      </c>
      <c r="CJ28" s="208">
        <v>0</v>
      </c>
      <c r="CK28" s="208">
        <v>0</v>
      </c>
      <c r="CL28" s="208">
        <v>0</v>
      </c>
      <c r="CM28" s="208" t="s">
        <v>21303</v>
      </c>
      <c r="CN28" s="208">
        <v>0</v>
      </c>
      <c r="CO28" s="208">
        <v>0</v>
      </c>
      <c r="CP28" s="208">
        <v>0</v>
      </c>
      <c r="CQ28" s="208">
        <v>0</v>
      </c>
      <c r="CR28" s="208">
        <v>0</v>
      </c>
      <c r="CS28" s="208">
        <v>0</v>
      </c>
      <c r="CT28" s="208" t="s">
        <v>21303</v>
      </c>
      <c r="CU28" s="208">
        <v>0</v>
      </c>
      <c r="CV28" s="208">
        <v>0</v>
      </c>
      <c r="CW28" s="208">
        <v>0</v>
      </c>
      <c r="CX28" s="208">
        <v>0</v>
      </c>
      <c r="CY28" s="208">
        <v>0</v>
      </c>
      <c r="CZ28" s="208">
        <v>0</v>
      </c>
      <c r="DA28" s="208" t="s">
        <v>21303</v>
      </c>
      <c r="DB28" s="208">
        <v>0</v>
      </c>
      <c r="DC28" s="208">
        <v>0</v>
      </c>
      <c r="DD28" s="208">
        <v>0</v>
      </c>
      <c r="DE28" s="208">
        <v>0</v>
      </c>
      <c r="DF28" s="208">
        <v>0</v>
      </c>
      <c r="DG28" s="208">
        <v>0</v>
      </c>
      <c r="DH28" s="208" t="s">
        <v>21303</v>
      </c>
      <c r="DI28" s="208">
        <v>0</v>
      </c>
      <c r="DJ28" s="208">
        <v>0</v>
      </c>
      <c r="DK28" s="208">
        <v>0</v>
      </c>
      <c r="DL28" s="208">
        <v>0</v>
      </c>
      <c r="DM28" s="208">
        <v>0</v>
      </c>
      <c r="DN28" s="208">
        <v>0</v>
      </c>
      <c r="DO28" s="208" t="s">
        <v>21314</v>
      </c>
      <c r="DP28" s="208">
        <v>80</v>
      </c>
      <c r="DQ28" s="208">
        <v>80</v>
      </c>
      <c r="DR28" s="208">
        <v>80</v>
      </c>
      <c r="DS28" s="208">
        <v>0</v>
      </c>
      <c r="DT28" s="208">
        <v>0</v>
      </c>
      <c r="DU28" s="208">
        <v>0</v>
      </c>
      <c r="DV28" s="208" t="s">
        <v>21315</v>
      </c>
      <c r="DW28" s="208">
        <v>80</v>
      </c>
      <c r="DX28" s="208" t="s">
        <v>21303</v>
      </c>
      <c r="DY28" s="208">
        <v>0</v>
      </c>
      <c r="DZ28" s="208">
        <v>0</v>
      </c>
      <c r="EA28" s="208">
        <v>0</v>
      </c>
      <c r="EB28" s="208">
        <v>0</v>
      </c>
      <c r="EC28" s="208">
        <v>0</v>
      </c>
      <c r="ED28" s="208">
        <v>0</v>
      </c>
      <c r="EE28" s="208" t="s">
        <v>21303</v>
      </c>
      <c r="EF28" s="208">
        <v>0</v>
      </c>
      <c r="EG28" s="208" t="s">
        <v>21303</v>
      </c>
      <c r="EH28" s="208">
        <v>0</v>
      </c>
      <c r="EI28" s="208">
        <v>0</v>
      </c>
      <c r="EJ28" s="208">
        <v>0</v>
      </c>
      <c r="EK28" s="208">
        <v>0</v>
      </c>
      <c r="EL28" s="208">
        <v>0</v>
      </c>
      <c r="EM28" s="208">
        <v>0</v>
      </c>
      <c r="EN28" s="208" t="s">
        <v>21303</v>
      </c>
      <c r="EO28" s="208">
        <v>0</v>
      </c>
      <c r="EP28" s="208" t="s">
        <v>21303</v>
      </c>
      <c r="EQ28" s="208">
        <v>0</v>
      </c>
      <c r="ER28" s="208">
        <v>0</v>
      </c>
      <c r="ES28" s="208">
        <v>0</v>
      </c>
      <c r="ET28" s="208">
        <v>0</v>
      </c>
      <c r="EU28" s="208">
        <v>0</v>
      </c>
      <c r="EV28" s="208">
        <v>0</v>
      </c>
      <c r="EW28" s="208" t="s">
        <v>21303</v>
      </c>
      <c r="EX28" s="208">
        <v>0</v>
      </c>
      <c r="EY28" s="208" t="s">
        <v>21303</v>
      </c>
      <c r="EZ28" s="208">
        <v>0</v>
      </c>
      <c r="FA28" s="208">
        <v>0</v>
      </c>
      <c r="FB28" s="208">
        <v>0</v>
      </c>
      <c r="FC28" s="208">
        <v>0</v>
      </c>
      <c r="FD28" s="208">
        <v>0</v>
      </c>
      <c r="FE28" s="208">
        <v>0</v>
      </c>
      <c r="FF28" s="208" t="s">
        <v>21303</v>
      </c>
      <c r="FG28" s="208">
        <v>0</v>
      </c>
      <c r="FH28" s="208" t="s">
        <v>21303</v>
      </c>
      <c r="FI28" s="208">
        <v>0</v>
      </c>
      <c r="FJ28" s="208">
        <v>0</v>
      </c>
      <c r="FK28" s="208">
        <v>0</v>
      </c>
      <c r="FL28" s="208">
        <v>0</v>
      </c>
      <c r="FM28" s="208">
        <v>0</v>
      </c>
      <c r="FN28" s="208">
        <v>0</v>
      </c>
      <c r="FO28" s="208" t="s">
        <v>21303</v>
      </c>
      <c r="FP28" s="208">
        <v>0</v>
      </c>
      <c r="FQ28" s="208">
        <v>80</v>
      </c>
      <c r="FR28" s="208" t="s">
        <v>21316</v>
      </c>
      <c r="FS28" s="208" t="s">
        <v>21303</v>
      </c>
      <c r="FT28" s="208" t="s">
        <v>21303</v>
      </c>
      <c r="FU28" s="208" t="s">
        <v>21303</v>
      </c>
      <c r="FV28" s="208" t="s">
        <v>21303</v>
      </c>
      <c r="FW28" s="208" t="s">
        <v>21303</v>
      </c>
      <c r="FX28" s="208" t="s">
        <v>21475</v>
      </c>
      <c r="FY28" s="208">
        <v>42</v>
      </c>
      <c r="FZ28" s="208">
        <v>42</v>
      </c>
      <c r="GA28" s="208">
        <v>42</v>
      </c>
      <c r="GB28" s="208">
        <v>0</v>
      </c>
      <c r="GC28" s="208">
        <v>0</v>
      </c>
      <c r="GD28" s="208">
        <v>0</v>
      </c>
      <c r="GE28" s="208" t="s">
        <v>21480</v>
      </c>
      <c r="GF28" s="208" t="s">
        <v>21303</v>
      </c>
      <c r="GG28" s="208">
        <v>0</v>
      </c>
      <c r="GH28" s="208">
        <v>0</v>
      </c>
      <c r="GI28" s="208">
        <v>0</v>
      </c>
      <c r="GJ28" s="208">
        <v>0</v>
      </c>
      <c r="GK28" s="208">
        <v>0</v>
      </c>
      <c r="GL28" s="208">
        <v>0</v>
      </c>
      <c r="GM28" s="208" t="s">
        <v>21303</v>
      </c>
      <c r="GN28" s="208" t="s">
        <v>21303</v>
      </c>
      <c r="GO28" s="208">
        <v>0</v>
      </c>
      <c r="GP28" s="208">
        <v>0</v>
      </c>
      <c r="GQ28" s="208">
        <v>0</v>
      </c>
      <c r="GR28" s="208">
        <v>0</v>
      </c>
      <c r="GS28" s="208">
        <v>0</v>
      </c>
      <c r="GT28" s="208">
        <v>0</v>
      </c>
      <c r="GU28" s="208" t="s">
        <v>21303</v>
      </c>
      <c r="GV28" s="208" t="s">
        <v>21303</v>
      </c>
      <c r="GW28" s="208">
        <v>0</v>
      </c>
      <c r="GX28" s="208">
        <v>0</v>
      </c>
      <c r="GY28" s="208">
        <v>0</v>
      </c>
      <c r="GZ28" s="208">
        <v>0</v>
      </c>
      <c r="HA28" s="208">
        <v>0</v>
      </c>
      <c r="HB28" s="208">
        <v>0</v>
      </c>
      <c r="HC28" s="208" t="s">
        <v>21303</v>
      </c>
      <c r="HD28" s="208" t="s">
        <v>21303</v>
      </c>
      <c r="HE28" s="208">
        <v>0</v>
      </c>
      <c r="HF28" s="208">
        <v>0</v>
      </c>
      <c r="HG28" s="208">
        <v>0</v>
      </c>
      <c r="HH28" s="208">
        <v>0</v>
      </c>
      <c r="HI28" s="208">
        <v>0</v>
      </c>
      <c r="HJ28" s="208">
        <v>0</v>
      </c>
      <c r="HK28" s="208" t="s">
        <v>21303</v>
      </c>
      <c r="HL28" s="208" t="s">
        <v>21303</v>
      </c>
      <c r="HM28" s="208">
        <v>0</v>
      </c>
      <c r="HN28" s="208">
        <v>0</v>
      </c>
      <c r="HO28" s="208">
        <v>0</v>
      </c>
      <c r="HP28" s="208">
        <v>0</v>
      </c>
      <c r="HQ28" s="208">
        <v>0</v>
      </c>
      <c r="HR28" s="208">
        <v>0</v>
      </c>
      <c r="HS28" s="208" t="s">
        <v>21303</v>
      </c>
      <c r="HT28" s="208" t="s">
        <v>21319</v>
      </c>
      <c r="HU28" s="208">
        <v>42</v>
      </c>
      <c r="HV28" s="208">
        <v>0</v>
      </c>
      <c r="HW28" s="208">
        <v>0</v>
      </c>
      <c r="HX28" s="208">
        <v>0</v>
      </c>
      <c r="HY28" s="208">
        <v>0</v>
      </c>
      <c r="HZ28" s="208">
        <v>0</v>
      </c>
      <c r="IA28" s="600">
        <v>42</v>
      </c>
      <c r="IB28" s="600">
        <v>32</v>
      </c>
      <c r="IC28" s="343" t="s">
        <v>21035</v>
      </c>
      <c r="ID28" s="343" t="s">
        <v>21481</v>
      </c>
      <c r="IE28" s="343" t="s">
        <v>21320</v>
      </c>
      <c r="IF28" s="343" t="s">
        <v>21321</v>
      </c>
      <c r="IG28" s="383">
        <v>43748</v>
      </c>
      <c r="IH28" s="383">
        <v>45575</v>
      </c>
      <c r="II28" s="208">
        <v>46</v>
      </c>
    </row>
    <row r="29" ht="102">
      <c r="A29" s="207">
        <v>28</v>
      </c>
      <c r="B29" s="343" t="s">
        <v>21287</v>
      </c>
      <c r="C29" s="343" t="s">
        <v>21288</v>
      </c>
      <c r="D29" s="600">
        <v>131122</v>
      </c>
      <c r="E29" s="317" t="s">
        <v>21177</v>
      </c>
      <c r="F29" s="207" t="s">
        <v>20863</v>
      </c>
      <c r="G29" s="600">
        <v>106.04802</v>
      </c>
      <c r="H29" s="600">
        <v>20.969839</v>
      </c>
      <c r="I29" s="207">
        <v>1</v>
      </c>
      <c r="J29" s="207">
        <v>1</v>
      </c>
      <c r="K29" s="207" t="s">
        <v>21306</v>
      </c>
      <c r="L29" s="207">
        <v>131122</v>
      </c>
      <c r="M29" s="207" t="s">
        <v>21312</v>
      </c>
      <c r="N29" s="207">
        <v>3</v>
      </c>
      <c r="O29" s="207" t="s">
        <v>21313</v>
      </c>
      <c r="P29" s="207" t="s">
        <v>21314</v>
      </c>
      <c r="Q29" s="207">
        <v>2100</v>
      </c>
      <c r="R29" s="207" t="s">
        <v>21482</v>
      </c>
      <c r="S29" s="364" t="b">
        <v>1</v>
      </c>
      <c r="T29" s="207" t="s">
        <v>21178</v>
      </c>
      <c r="U29" s="207">
        <v>0</v>
      </c>
      <c r="V29" s="207" t="s">
        <v>21297</v>
      </c>
      <c r="W29" s="207" t="s">
        <v>21179</v>
      </c>
      <c r="X29" s="209" t="s">
        <v>21298</v>
      </c>
      <c r="Y29" s="207" t="b">
        <v>1</v>
      </c>
      <c r="Z29" s="364" t="b">
        <v>0</v>
      </c>
      <c r="AA29" s="600">
        <v>37</v>
      </c>
      <c r="AB29" s="364" t="b">
        <v>1</v>
      </c>
      <c r="AC29" s="600">
        <v>10</v>
      </c>
      <c r="AD29" s="207" t="b">
        <v>0</v>
      </c>
      <c r="AE29" s="207" t="s">
        <v>21299</v>
      </c>
      <c r="AF29" s="207" t="s">
        <v>21300</v>
      </c>
      <c r="AG29" s="343" t="s">
        <v>21301</v>
      </c>
      <c r="AH29" s="343" t="s">
        <v>21302</v>
      </c>
      <c r="AI29" s="343" t="s">
        <v>21054</v>
      </c>
      <c r="AJ29" s="343" t="s">
        <v>21303</v>
      </c>
      <c r="AK29" s="343" t="s">
        <v>21304</v>
      </c>
      <c r="AL29" s="208"/>
      <c r="AM29" s="208" t="s">
        <v>21305</v>
      </c>
      <c r="AN29" s="208" t="s">
        <v>21306</v>
      </c>
      <c r="AO29" s="207">
        <v>3</v>
      </c>
      <c r="AP29" s="287" t="s">
        <v>21476</v>
      </c>
      <c r="AQ29" s="448" t="s">
        <v>21477</v>
      </c>
      <c r="AR29" s="448" t="s">
        <v>21483</v>
      </c>
      <c r="AS29" s="449" t="s">
        <v>7996</v>
      </c>
      <c r="AT29" s="208" t="s">
        <v>21306</v>
      </c>
      <c r="AU29" s="208" t="s">
        <v>21303</v>
      </c>
      <c r="AV29" s="208" t="s">
        <v>21303</v>
      </c>
      <c r="AW29" s="208" t="s">
        <v>21303</v>
      </c>
      <c r="AX29" s="208" t="s">
        <v>21303</v>
      </c>
      <c r="AY29" s="208" t="s">
        <v>21303</v>
      </c>
      <c r="AZ29" s="208" t="s">
        <v>21288</v>
      </c>
      <c r="BA29" s="208" t="s">
        <v>21303</v>
      </c>
      <c r="BB29" s="208" t="s">
        <v>21303</v>
      </c>
      <c r="BC29" s="208" t="s">
        <v>21303</v>
      </c>
      <c r="BD29" s="208" t="s">
        <v>21303</v>
      </c>
      <c r="BE29" s="208" t="s">
        <v>21303</v>
      </c>
      <c r="BF29" s="208" t="s">
        <v>21288</v>
      </c>
      <c r="BG29" s="208" t="s">
        <v>21484</v>
      </c>
      <c r="BH29" s="208" t="s">
        <v>21303</v>
      </c>
      <c r="BI29" s="208" t="s">
        <v>21303</v>
      </c>
      <c r="BJ29" s="208" t="s">
        <v>21303</v>
      </c>
      <c r="BK29" s="208" t="s">
        <v>21303</v>
      </c>
      <c r="BL29" s="208" t="s">
        <v>21303</v>
      </c>
      <c r="BM29" s="208" t="s">
        <v>21312</v>
      </c>
      <c r="BN29" s="208" t="s">
        <v>21303</v>
      </c>
      <c r="BO29" s="208" t="s">
        <v>21303</v>
      </c>
      <c r="BP29" s="208" t="s">
        <v>21303</v>
      </c>
      <c r="BQ29" s="208" t="s">
        <v>21303</v>
      </c>
      <c r="BR29" s="208" t="s">
        <v>21303</v>
      </c>
      <c r="BS29" s="208">
        <v>3</v>
      </c>
      <c r="BT29" s="208">
        <v>0</v>
      </c>
      <c r="BU29" s="208">
        <v>0</v>
      </c>
      <c r="BV29" s="208">
        <v>0</v>
      </c>
      <c r="BW29" s="208">
        <v>0</v>
      </c>
      <c r="BX29" s="208">
        <v>0</v>
      </c>
      <c r="BY29" s="208" t="s">
        <v>21313</v>
      </c>
      <c r="BZ29" s="208">
        <v>1</v>
      </c>
      <c r="CA29" s="208">
        <v>1</v>
      </c>
      <c r="CB29" s="208">
        <v>1</v>
      </c>
      <c r="CC29" s="208">
        <v>0</v>
      </c>
      <c r="CD29" s="208">
        <v>0</v>
      </c>
      <c r="CE29" s="208">
        <v>0</v>
      </c>
      <c r="CF29" s="208" t="s">
        <v>21303</v>
      </c>
      <c r="CG29" s="208">
        <v>0</v>
      </c>
      <c r="CH29" s="208">
        <v>0</v>
      </c>
      <c r="CI29" s="208">
        <v>0</v>
      </c>
      <c r="CJ29" s="208">
        <v>0</v>
      </c>
      <c r="CK29" s="208">
        <v>0</v>
      </c>
      <c r="CL29" s="208">
        <v>0</v>
      </c>
      <c r="CM29" s="208" t="s">
        <v>21303</v>
      </c>
      <c r="CN29" s="208">
        <v>0</v>
      </c>
      <c r="CO29" s="208">
        <v>0</v>
      </c>
      <c r="CP29" s="208">
        <v>0</v>
      </c>
      <c r="CQ29" s="208">
        <v>0</v>
      </c>
      <c r="CR29" s="208">
        <v>0</v>
      </c>
      <c r="CS29" s="208">
        <v>0</v>
      </c>
      <c r="CT29" s="208" t="s">
        <v>21303</v>
      </c>
      <c r="CU29" s="208">
        <v>0</v>
      </c>
      <c r="CV29" s="208">
        <v>0</v>
      </c>
      <c r="CW29" s="208">
        <v>0</v>
      </c>
      <c r="CX29" s="208">
        <v>0</v>
      </c>
      <c r="CY29" s="208">
        <v>0</v>
      </c>
      <c r="CZ29" s="208">
        <v>0</v>
      </c>
      <c r="DA29" s="208" t="s">
        <v>21303</v>
      </c>
      <c r="DB29" s="208">
        <v>0</v>
      </c>
      <c r="DC29" s="208">
        <v>0</v>
      </c>
      <c r="DD29" s="208">
        <v>0</v>
      </c>
      <c r="DE29" s="208">
        <v>0</v>
      </c>
      <c r="DF29" s="208">
        <v>0</v>
      </c>
      <c r="DG29" s="208">
        <v>0</v>
      </c>
      <c r="DH29" s="208" t="s">
        <v>21303</v>
      </c>
      <c r="DI29" s="208">
        <v>0</v>
      </c>
      <c r="DJ29" s="208">
        <v>0</v>
      </c>
      <c r="DK29" s="208">
        <v>0</v>
      </c>
      <c r="DL29" s="208">
        <v>0</v>
      </c>
      <c r="DM29" s="208">
        <v>0</v>
      </c>
      <c r="DN29" s="208">
        <v>0</v>
      </c>
      <c r="DO29" s="208" t="s">
        <v>21314</v>
      </c>
      <c r="DP29" s="208">
        <v>80</v>
      </c>
      <c r="DQ29" s="208">
        <v>80</v>
      </c>
      <c r="DR29" s="208">
        <v>80</v>
      </c>
      <c r="DS29" s="208">
        <v>0</v>
      </c>
      <c r="DT29" s="208">
        <v>0</v>
      </c>
      <c r="DU29" s="208">
        <v>0</v>
      </c>
      <c r="DV29" s="208" t="s">
        <v>21315</v>
      </c>
      <c r="DW29" s="208">
        <v>80</v>
      </c>
      <c r="DX29" s="208" t="s">
        <v>21303</v>
      </c>
      <c r="DY29" s="208">
        <v>0</v>
      </c>
      <c r="DZ29" s="208">
        <v>0</v>
      </c>
      <c r="EA29" s="208">
        <v>0</v>
      </c>
      <c r="EB29" s="208">
        <v>0</v>
      </c>
      <c r="EC29" s="208">
        <v>0</v>
      </c>
      <c r="ED29" s="208">
        <v>0</v>
      </c>
      <c r="EE29" s="208" t="s">
        <v>21303</v>
      </c>
      <c r="EF29" s="208">
        <v>0</v>
      </c>
      <c r="EG29" s="208" t="s">
        <v>21303</v>
      </c>
      <c r="EH29" s="208">
        <v>0</v>
      </c>
      <c r="EI29" s="208">
        <v>0</v>
      </c>
      <c r="EJ29" s="208">
        <v>0</v>
      </c>
      <c r="EK29" s="208">
        <v>0</v>
      </c>
      <c r="EL29" s="208">
        <v>0</v>
      </c>
      <c r="EM29" s="208">
        <v>0</v>
      </c>
      <c r="EN29" s="208" t="s">
        <v>21303</v>
      </c>
      <c r="EO29" s="208">
        <v>0</v>
      </c>
      <c r="EP29" s="208" t="s">
        <v>21303</v>
      </c>
      <c r="EQ29" s="208">
        <v>0</v>
      </c>
      <c r="ER29" s="208">
        <v>0</v>
      </c>
      <c r="ES29" s="208">
        <v>0</v>
      </c>
      <c r="ET29" s="208">
        <v>0</v>
      </c>
      <c r="EU29" s="208">
        <v>0</v>
      </c>
      <c r="EV29" s="208">
        <v>0</v>
      </c>
      <c r="EW29" s="208" t="s">
        <v>21303</v>
      </c>
      <c r="EX29" s="208">
        <v>0</v>
      </c>
      <c r="EY29" s="208" t="s">
        <v>21303</v>
      </c>
      <c r="EZ29" s="208">
        <v>0</v>
      </c>
      <c r="FA29" s="208">
        <v>0</v>
      </c>
      <c r="FB29" s="208">
        <v>0</v>
      </c>
      <c r="FC29" s="208">
        <v>0</v>
      </c>
      <c r="FD29" s="208">
        <v>0</v>
      </c>
      <c r="FE29" s="208">
        <v>0</v>
      </c>
      <c r="FF29" s="208" t="s">
        <v>21303</v>
      </c>
      <c r="FG29" s="208">
        <v>0</v>
      </c>
      <c r="FH29" s="208" t="s">
        <v>21303</v>
      </c>
      <c r="FI29" s="208">
        <v>0</v>
      </c>
      <c r="FJ29" s="208">
        <v>0</v>
      </c>
      <c r="FK29" s="208">
        <v>0</v>
      </c>
      <c r="FL29" s="208">
        <v>0</v>
      </c>
      <c r="FM29" s="208">
        <v>0</v>
      </c>
      <c r="FN29" s="208">
        <v>0</v>
      </c>
      <c r="FO29" s="208" t="s">
        <v>21303</v>
      </c>
      <c r="FP29" s="208">
        <v>0</v>
      </c>
      <c r="FQ29" s="208">
        <v>80</v>
      </c>
      <c r="FR29" s="208" t="s">
        <v>21316</v>
      </c>
      <c r="FS29" s="208" t="s">
        <v>21303</v>
      </c>
      <c r="FT29" s="208" t="s">
        <v>21303</v>
      </c>
      <c r="FU29" s="208" t="s">
        <v>21303</v>
      </c>
      <c r="FV29" s="208" t="s">
        <v>21303</v>
      </c>
      <c r="FW29" s="208" t="s">
        <v>21303</v>
      </c>
      <c r="FX29" s="208" t="s">
        <v>21482</v>
      </c>
      <c r="FY29" s="208">
        <v>37</v>
      </c>
      <c r="FZ29" s="208">
        <v>37</v>
      </c>
      <c r="GA29" s="208">
        <v>37</v>
      </c>
      <c r="GB29" s="208">
        <v>0</v>
      </c>
      <c r="GC29" s="208">
        <v>0</v>
      </c>
      <c r="GD29" s="208">
        <v>0</v>
      </c>
      <c r="GE29" s="208" t="s">
        <v>21485</v>
      </c>
      <c r="GF29" s="208" t="s">
        <v>21303</v>
      </c>
      <c r="GG29" s="208">
        <v>0</v>
      </c>
      <c r="GH29" s="208">
        <v>0</v>
      </c>
      <c r="GI29" s="208">
        <v>0</v>
      </c>
      <c r="GJ29" s="208">
        <v>0</v>
      </c>
      <c r="GK29" s="208">
        <v>0</v>
      </c>
      <c r="GL29" s="208">
        <v>0</v>
      </c>
      <c r="GM29" s="208" t="s">
        <v>21303</v>
      </c>
      <c r="GN29" s="208" t="s">
        <v>21303</v>
      </c>
      <c r="GO29" s="208">
        <v>0</v>
      </c>
      <c r="GP29" s="208">
        <v>0</v>
      </c>
      <c r="GQ29" s="208">
        <v>0</v>
      </c>
      <c r="GR29" s="208">
        <v>0</v>
      </c>
      <c r="GS29" s="208">
        <v>0</v>
      </c>
      <c r="GT29" s="208">
        <v>0</v>
      </c>
      <c r="GU29" s="208" t="s">
        <v>21303</v>
      </c>
      <c r="GV29" s="208" t="s">
        <v>21303</v>
      </c>
      <c r="GW29" s="208">
        <v>0</v>
      </c>
      <c r="GX29" s="208">
        <v>0</v>
      </c>
      <c r="GY29" s="208">
        <v>0</v>
      </c>
      <c r="GZ29" s="208">
        <v>0</v>
      </c>
      <c r="HA29" s="208">
        <v>0</v>
      </c>
      <c r="HB29" s="208">
        <v>0</v>
      </c>
      <c r="HC29" s="208" t="s">
        <v>21303</v>
      </c>
      <c r="HD29" s="208" t="s">
        <v>21303</v>
      </c>
      <c r="HE29" s="208">
        <v>0</v>
      </c>
      <c r="HF29" s="208">
        <v>0</v>
      </c>
      <c r="HG29" s="208">
        <v>0</v>
      </c>
      <c r="HH29" s="208">
        <v>0</v>
      </c>
      <c r="HI29" s="208">
        <v>0</v>
      </c>
      <c r="HJ29" s="208">
        <v>0</v>
      </c>
      <c r="HK29" s="208" t="s">
        <v>21303</v>
      </c>
      <c r="HL29" s="208" t="s">
        <v>21303</v>
      </c>
      <c r="HM29" s="208">
        <v>0</v>
      </c>
      <c r="HN29" s="208">
        <v>0</v>
      </c>
      <c r="HO29" s="208">
        <v>0</v>
      </c>
      <c r="HP29" s="208">
        <v>0</v>
      </c>
      <c r="HQ29" s="208">
        <v>0</v>
      </c>
      <c r="HR29" s="208">
        <v>0</v>
      </c>
      <c r="HS29" s="208" t="s">
        <v>21303</v>
      </c>
      <c r="HT29" s="208" t="s">
        <v>21319</v>
      </c>
      <c r="HU29" s="208">
        <v>37</v>
      </c>
      <c r="HV29" s="208">
        <v>0</v>
      </c>
      <c r="HW29" s="208">
        <v>0</v>
      </c>
      <c r="HX29" s="208">
        <v>0</v>
      </c>
      <c r="HY29" s="208">
        <v>0</v>
      </c>
      <c r="HZ29" s="208">
        <v>0</v>
      </c>
      <c r="IA29" s="600">
        <v>37</v>
      </c>
      <c r="IB29" s="600">
        <v>27</v>
      </c>
      <c r="IC29" s="343" t="s">
        <v>21035</v>
      </c>
      <c r="ID29" s="343" t="s">
        <v>3617</v>
      </c>
      <c r="IE29" s="343" t="s">
        <v>21320</v>
      </c>
      <c r="IF29" s="343" t="s">
        <v>21321</v>
      </c>
      <c r="IG29" s="383">
        <v>43748</v>
      </c>
      <c r="IH29" s="383">
        <v>45575</v>
      </c>
      <c r="II29" s="208">
        <v>46</v>
      </c>
    </row>
    <row r="30" ht="102">
      <c r="A30" s="207">
        <v>29</v>
      </c>
      <c r="B30" s="343" t="s">
        <v>21287</v>
      </c>
      <c r="C30" s="343" t="s">
        <v>21288</v>
      </c>
      <c r="D30" s="600">
        <v>106534</v>
      </c>
      <c r="E30" s="317" t="s">
        <v>21180</v>
      </c>
      <c r="F30" s="207" t="s">
        <v>20842</v>
      </c>
      <c r="G30" s="600">
        <v>106.030854</v>
      </c>
      <c r="H30" s="600">
        <v>21.016435</v>
      </c>
      <c r="I30" s="207">
        <v>1</v>
      </c>
      <c r="J30" s="207">
        <v>1</v>
      </c>
      <c r="K30" s="207" t="s">
        <v>21306</v>
      </c>
      <c r="L30" s="207">
        <v>106534</v>
      </c>
      <c r="M30" s="207" t="s">
        <v>21312</v>
      </c>
      <c r="N30" s="207">
        <v>3</v>
      </c>
      <c r="O30" s="207" t="s">
        <v>21313</v>
      </c>
      <c r="P30" s="207" t="s">
        <v>21314</v>
      </c>
      <c r="Q30" s="207">
        <v>2100</v>
      </c>
      <c r="R30" s="207" t="s">
        <v>21410</v>
      </c>
      <c r="S30" s="364" t="b">
        <v>1</v>
      </c>
      <c r="T30" s="207" t="s">
        <v>21181</v>
      </c>
      <c r="U30" s="207">
        <v>0</v>
      </c>
      <c r="V30" s="207" t="s">
        <v>21297</v>
      </c>
      <c r="W30" s="207" t="s">
        <v>21182</v>
      </c>
      <c r="X30" s="209" t="s">
        <v>21298</v>
      </c>
      <c r="Y30" s="207" t="b">
        <v>1</v>
      </c>
      <c r="Z30" s="364" t="b">
        <v>1</v>
      </c>
      <c r="AA30" s="600">
        <v>34</v>
      </c>
      <c r="AB30" s="364" t="b">
        <v>0</v>
      </c>
      <c r="AC30" s="600">
        <v>0</v>
      </c>
      <c r="AD30" s="207" t="b">
        <v>0</v>
      </c>
      <c r="AE30" s="207" t="s">
        <v>21299</v>
      </c>
      <c r="AF30" s="207" t="s">
        <v>21300</v>
      </c>
      <c r="AG30" s="343" t="s">
        <v>21301</v>
      </c>
      <c r="AH30" s="343" t="s">
        <v>21302</v>
      </c>
      <c r="AI30" s="343" t="s">
        <v>21054</v>
      </c>
      <c r="AJ30" s="343" t="s">
        <v>21303</v>
      </c>
      <c r="AK30" s="343" t="s">
        <v>21304</v>
      </c>
      <c r="AL30" s="208"/>
      <c r="AM30" s="208" t="s">
        <v>21305</v>
      </c>
      <c r="AN30" s="208" t="s">
        <v>21306</v>
      </c>
      <c r="AO30" s="207">
        <v>3</v>
      </c>
      <c r="AP30" s="287" t="s">
        <v>21486</v>
      </c>
      <c r="AQ30" s="448" t="s">
        <v>21487</v>
      </c>
      <c r="AR30" s="448" t="s">
        <v>21488</v>
      </c>
      <c r="AS30" s="449" t="s">
        <v>6891</v>
      </c>
      <c r="AT30" s="208" t="s">
        <v>21306</v>
      </c>
      <c r="AU30" s="208" t="s">
        <v>21303</v>
      </c>
      <c r="AV30" s="208" t="s">
        <v>21303</v>
      </c>
      <c r="AW30" s="208" t="s">
        <v>21303</v>
      </c>
      <c r="AX30" s="208" t="s">
        <v>21303</v>
      </c>
      <c r="AY30" s="208" t="s">
        <v>21303</v>
      </c>
      <c r="AZ30" s="208" t="s">
        <v>21288</v>
      </c>
      <c r="BA30" s="208" t="s">
        <v>21303</v>
      </c>
      <c r="BB30" s="208" t="s">
        <v>21303</v>
      </c>
      <c r="BC30" s="208" t="s">
        <v>21303</v>
      </c>
      <c r="BD30" s="208" t="s">
        <v>21303</v>
      </c>
      <c r="BE30" s="208" t="s">
        <v>21303</v>
      </c>
      <c r="BF30" s="208" t="s">
        <v>21288</v>
      </c>
      <c r="BG30" s="208" t="s">
        <v>21489</v>
      </c>
      <c r="BH30" s="208" t="s">
        <v>21303</v>
      </c>
      <c r="BI30" s="208" t="s">
        <v>21303</v>
      </c>
      <c r="BJ30" s="208" t="s">
        <v>21303</v>
      </c>
      <c r="BK30" s="208" t="s">
        <v>21303</v>
      </c>
      <c r="BL30" s="208" t="s">
        <v>21303</v>
      </c>
      <c r="BM30" s="208" t="s">
        <v>21312</v>
      </c>
      <c r="BN30" s="208" t="s">
        <v>21303</v>
      </c>
      <c r="BO30" s="208" t="s">
        <v>21303</v>
      </c>
      <c r="BP30" s="208" t="s">
        <v>21303</v>
      </c>
      <c r="BQ30" s="208" t="s">
        <v>21303</v>
      </c>
      <c r="BR30" s="208" t="s">
        <v>21303</v>
      </c>
      <c r="BS30" s="208">
        <v>3</v>
      </c>
      <c r="BT30" s="208">
        <v>0</v>
      </c>
      <c r="BU30" s="208">
        <v>0</v>
      </c>
      <c r="BV30" s="208">
        <v>0</v>
      </c>
      <c r="BW30" s="208">
        <v>0</v>
      </c>
      <c r="BX30" s="208">
        <v>0</v>
      </c>
      <c r="BY30" s="208" t="s">
        <v>21313</v>
      </c>
      <c r="BZ30" s="208">
        <v>1</v>
      </c>
      <c r="CA30" s="208">
        <v>1</v>
      </c>
      <c r="CB30" s="208">
        <v>1</v>
      </c>
      <c r="CC30" s="208">
        <v>0</v>
      </c>
      <c r="CD30" s="208">
        <v>0</v>
      </c>
      <c r="CE30" s="208">
        <v>0</v>
      </c>
      <c r="CF30" s="208" t="s">
        <v>21303</v>
      </c>
      <c r="CG30" s="208">
        <v>0</v>
      </c>
      <c r="CH30" s="208">
        <v>0</v>
      </c>
      <c r="CI30" s="208">
        <v>0</v>
      </c>
      <c r="CJ30" s="208">
        <v>0</v>
      </c>
      <c r="CK30" s="208">
        <v>0</v>
      </c>
      <c r="CL30" s="208">
        <v>0</v>
      </c>
      <c r="CM30" s="208" t="s">
        <v>21303</v>
      </c>
      <c r="CN30" s="208">
        <v>0</v>
      </c>
      <c r="CO30" s="208">
        <v>0</v>
      </c>
      <c r="CP30" s="208">
        <v>0</v>
      </c>
      <c r="CQ30" s="208">
        <v>0</v>
      </c>
      <c r="CR30" s="208">
        <v>0</v>
      </c>
      <c r="CS30" s="208">
        <v>0</v>
      </c>
      <c r="CT30" s="208" t="s">
        <v>21303</v>
      </c>
      <c r="CU30" s="208">
        <v>0</v>
      </c>
      <c r="CV30" s="208">
        <v>0</v>
      </c>
      <c r="CW30" s="208">
        <v>0</v>
      </c>
      <c r="CX30" s="208">
        <v>0</v>
      </c>
      <c r="CY30" s="208">
        <v>0</v>
      </c>
      <c r="CZ30" s="208">
        <v>0</v>
      </c>
      <c r="DA30" s="208" t="s">
        <v>21303</v>
      </c>
      <c r="DB30" s="208">
        <v>0</v>
      </c>
      <c r="DC30" s="208">
        <v>0</v>
      </c>
      <c r="DD30" s="208">
        <v>0</v>
      </c>
      <c r="DE30" s="208">
        <v>0</v>
      </c>
      <c r="DF30" s="208">
        <v>0</v>
      </c>
      <c r="DG30" s="208">
        <v>0</v>
      </c>
      <c r="DH30" s="208" t="s">
        <v>21303</v>
      </c>
      <c r="DI30" s="208">
        <v>0</v>
      </c>
      <c r="DJ30" s="208">
        <v>0</v>
      </c>
      <c r="DK30" s="208">
        <v>0</v>
      </c>
      <c r="DL30" s="208">
        <v>0</v>
      </c>
      <c r="DM30" s="208">
        <v>0</v>
      </c>
      <c r="DN30" s="208">
        <v>0</v>
      </c>
      <c r="DO30" s="208" t="s">
        <v>21314</v>
      </c>
      <c r="DP30" s="208">
        <v>80</v>
      </c>
      <c r="DQ30" s="208">
        <v>80</v>
      </c>
      <c r="DR30" s="208">
        <v>80</v>
      </c>
      <c r="DS30" s="208">
        <v>0</v>
      </c>
      <c r="DT30" s="208">
        <v>0</v>
      </c>
      <c r="DU30" s="208">
        <v>0</v>
      </c>
      <c r="DV30" s="208" t="s">
        <v>21315</v>
      </c>
      <c r="DW30" s="208">
        <v>80</v>
      </c>
      <c r="DX30" s="208" t="s">
        <v>21303</v>
      </c>
      <c r="DY30" s="208">
        <v>0</v>
      </c>
      <c r="DZ30" s="208">
        <v>0</v>
      </c>
      <c r="EA30" s="208">
        <v>0</v>
      </c>
      <c r="EB30" s="208">
        <v>0</v>
      </c>
      <c r="EC30" s="208">
        <v>0</v>
      </c>
      <c r="ED30" s="208">
        <v>0</v>
      </c>
      <c r="EE30" s="208" t="s">
        <v>21303</v>
      </c>
      <c r="EF30" s="208">
        <v>0</v>
      </c>
      <c r="EG30" s="208" t="s">
        <v>21303</v>
      </c>
      <c r="EH30" s="208">
        <v>0</v>
      </c>
      <c r="EI30" s="208">
        <v>0</v>
      </c>
      <c r="EJ30" s="208">
        <v>0</v>
      </c>
      <c r="EK30" s="208">
        <v>0</v>
      </c>
      <c r="EL30" s="208">
        <v>0</v>
      </c>
      <c r="EM30" s="208">
        <v>0</v>
      </c>
      <c r="EN30" s="208" t="s">
        <v>21303</v>
      </c>
      <c r="EO30" s="208">
        <v>0</v>
      </c>
      <c r="EP30" s="208" t="s">
        <v>21303</v>
      </c>
      <c r="EQ30" s="208">
        <v>0</v>
      </c>
      <c r="ER30" s="208">
        <v>0</v>
      </c>
      <c r="ES30" s="208">
        <v>0</v>
      </c>
      <c r="ET30" s="208">
        <v>0</v>
      </c>
      <c r="EU30" s="208">
        <v>0</v>
      </c>
      <c r="EV30" s="208">
        <v>0</v>
      </c>
      <c r="EW30" s="208" t="s">
        <v>21303</v>
      </c>
      <c r="EX30" s="208">
        <v>0</v>
      </c>
      <c r="EY30" s="208" t="s">
        <v>21303</v>
      </c>
      <c r="EZ30" s="208">
        <v>0</v>
      </c>
      <c r="FA30" s="208">
        <v>0</v>
      </c>
      <c r="FB30" s="208">
        <v>0</v>
      </c>
      <c r="FC30" s="208">
        <v>0</v>
      </c>
      <c r="FD30" s="208">
        <v>0</v>
      </c>
      <c r="FE30" s="208">
        <v>0</v>
      </c>
      <c r="FF30" s="208" t="s">
        <v>21303</v>
      </c>
      <c r="FG30" s="208">
        <v>0</v>
      </c>
      <c r="FH30" s="208" t="s">
        <v>21303</v>
      </c>
      <c r="FI30" s="208">
        <v>0</v>
      </c>
      <c r="FJ30" s="208">
        <v>0</v>
      </c>
      <c r="FK30" s="208">
        <v>0</v>
      </c>
      <c r="FL30" s="208">
        <v>0</v>
      </c>
      <c r="FM30" s="208">
        <v>0</v>
      </c>
      <c r="FN30" s="208">
        <v>0</v>
      </c>
      <c r="FO30" s="208" t="s">
        <v>21303</v>
      </c>
      <c r="FP30" s="208">
        <v>0</v>
      </c>
      <c r="FQ30" s="208">
        <v>80</v>
      </c>
      <c r="FR30" s="208" t="s">
        <v>21316</v>
      </c>
      <c r="FS30" s="208" t="s">
        <v>21303</v>
      </c>
      <c r="FT30" s="208" t="s">
        <v>21303</v>
      </c>
      <c r="FU30" s="208" t="s">
        <v>21303</v>
      </c>
      <c r="FV30" s="208" t="s">
        <v>21303</v>
      </c>
      <c r="FW30" s="208" t="s">
        <v>21303</v>
      </c>
      <c r="FX30" s="208" t="s">
        <v>21410</v>
      </c>
      <c r="FY30" s="208">
        <v>34</v>
      </c>
      <c r="FZ30" s="208">
        <v>34</v>
      </c>
      <c r="GA30" s="208">
        <v>34</v>
      </c>
      <c r="GB30" s="208">
        <v>0</v>
      </c>
      <c r="GC30" s="208">
        <v>0</v>
      </c>
      <c r="GD30" s="208">
        <v>0</v>
      </c>
      <c r="GE30" s="208" t="s">
        <v>21411</v>
      </c>
      <c r="GF30" s="208" t="s">
        <v>21303</v>
      </c>
      <c r="GG30" s="208">
        <v>0</v>
      </c>
      <c r="GH30" s="208">
        <v>0</v>
      </c>
      <c r="GI30" s="208">
        <v>0</v>
      </c>
      <c r="GJ30" s="208">
        <v>0</v>
      </c>
      <c r="GK30" s="208">
        <v>0</v>
      </c>
      <c r="GL30" s="208">
        <v>0</v>
      </c>
      <c r="GM30" s="208" t="s">
        <v>21303</v>
      </c>
      <c r="GN30" s="208" t="s">
        <v>21303</v>
      </c>
      <c r="GO30" s="208">
        <v>0</v>
      </c>
      <c r="GP30" s="208">
        <v>0</v>
      </c>
      <c r="GQ30" s="208">
        <v>0</v>
      </c>
      <c r="GR30" s="208">
        <v>0</v>
      </c>
      <c r="GS30" s="208">
        <v>0</v>
      </c>
      <c r="GT30" s="208">
        <v>0</v>
      </c>
      <c r="GU30" s="208" t="s">
        <v>21303</v>
      </c>
      <c r="GV30" s="208" t="s">
        <v>21303</v>
      </c>
      <c r="GW30" s="208">
        <v>0</v>
      </c>
      <c r="GX30" s="208">
        <v>0</v>
      </c>
      <c r="GY30" s="208">
        <v>0</v>
      </c>
      <c r="GZ30" s="208">
        <v>0</v>
      </c>
      <c r="HA30" s="208">
        <v>0</v>
      </c>
      <c r="HB30" s="208">
        <v>0</v>
      </c>
      <c r="HC30" s="208" t="s">
        <v>21303</v>
      </c>
      <c r="HD30" s="208" t="s">
        <v>21303</v>
      </c>
      <c r="HE30" s="208">
        <v>0</v>
      </c>
      <c r="HF30" s="208">
        <v>0</v>
      </c>
      <c r="HG30" s="208">
        <v>0</v>
      </c>
      <c r="HH30" s="208">
        <v>0</v>
      </c>
      <c r="HI30" s="208">
        <v>0</v>
      </c>
      <c r="HJ30" s="208">
        <v>0</v>
      </c>
      <c r="HK30" s="208" t="s">
        <v>21303</v>
      </c>
      <c r="HL30" s="208" t="s">
        <v>21303</v>
      </c>
      <c r="HM30" s="208">
        <v>0</v>
      </c>
      <c r="HN30" s="208">
        <v>0</v>
      </c>
      <c r="HO30" s="208">
        <v>0</v>
      </c>
      <c r="HP30" s="208">
        <v>0</v>
      </c>
      <c r="HQ30" s="208">
        <v>0</v>
      </c>
      <c r="HR30" s="208">
        <v>0</v>
      </c>
      <c r="HS30" s="208" t="s">
        <v>21303</v>
      </c>
      <c r="HT30" s="208" t="s">
        <v>21319</v>
      </c>
      <c r="HU30" s="208">
        <v>34</v>
      </c>
      <c r="HV30" s="208">
        <v>0</v>
      </c>
      <c r="HW30" s="208">
        <v>0</v>
      </c>
      <c r="HX30" s="208">
        <v>0</v>
      </c>
      <c r="HY30" s="208">
        <v>0</v>
      </c>
      <c r="HZ30" s="208">
        <v>0</v>
      </c>
      <c r="IA30" s="600">
        <v>34</v>
      </c>
      <c r="IB30" s="600">
        <v>34</v>
      </c>
      <c r="IC30" s="343" t="s">
        <v>21035</v>
      </c>
      <c r="ID30" s="343" t="s">
        <v>21490</v>
      </c>
      <c r="IE30" s="343" t="s">
        <v>21320</v>
      </c>
      <c r="IF30" s="343" t="s">
        <v>21321</v>
      </c>
      <c r="IG30" s="383">
        <v>43748</v>
      </c>
      <c r="IH30" s="383">
        <v>45575</v>
      </c>
      <c r="II30" s="208">
        <v>46</v>
      </c>
    </row>
    <row r="31" ht="102">
      <c r="A31" s="207">
        <v>30</v>
      </c>
      <c r="B31" s="343" t="s">
        <v>21287</v>
      </c>
      <c r="C31" s="343" t="s">
        <v>21288</v>
      </c>
      <c r="D31" s="600">
        <v>105103</v>
      </c>
      <c r="E31" s="317" t="s">
        <v>21183</v>
      </c>
      <c r="F31" s="207" t="s">
        <v>20837</v>
      </c>
      <c r="G31" s="600">
        <v>106.134164</v>
      </c>
      <c r="H31" s="600">
        <v>21.252007</v>
      </c>
      <c r="I31" s="207">
        <v>1</v>
      </c>
      <c r="J31" s="207">
        <v>2</v>
      </c>
      <c r="K31" s="207" t="s">
        <v>21289</v>
      </c>
      <c r="L31" s="207" t="s">
        <v>21491</v>
      </c>
      <c r="M31" s="207" t="s">
        <v>21291</v>
      </c>
      <c r="N31" s="207" t="s">
        <v>21292</v>
      </c>
      <c r="O31" s="207" t="s">
        <v>21293</v>
      </c>
      <c r="P31" s="207" t="s">
        <v>21294</v>
      </c>
      <c r="Q31" s="207" t="s">
        <v>21295</v>
      </c>
      <c r="R31" s="207" t="s">
        <v>21492</v>
      </c>
      <c r="S31" s="364" t="b">
        <v>1</v>
      </c>
      <c r="T31" s="207" t="s">
        <v>21184</v>
      </c>
      <c r="U31" s="207">
        <v>0</v>
      </c>
      <c r="V31" s="207" t="s">
        <v>21297</v>
      </c>
      <c r="W31" s="207" t="s">
        <v>21185</v>
      </c>
      <c r="X31" s="209" t="s">
        <v>21298</v>
      </c>
      <c r="Y31" s="207" t="b">
        <v>0</v>
      </c>
      <c r="Z31" s="364" t="b">
        <v>0</v>
      </c>
      <c r="AA31" s="600">
        <v>22.5</v>
      </c>
      <c r="AB31" s="364" t="b">
        <v>1</v>
      </c>
      <c r="AC31" s="600">
        <v>21</v>
      </c>
      <c r="AD31" s="207" t="b">
        <v>0</v>
      </c>
      <c r="AE31" s="207" t="s">
        <v>21299</v>
      </c>
      <c r="AF31" s="207" t="s">
        <v>21300</v>
      </c>
      <c r="AG31" s="343" t="s">
        <v>21301</v>
      </c>
      <c r="AH31" s="343" t="s">
        <v>21302</v>
      </c>
      <c r="AI31" s="343" t="s">
        <v>21054</v>
      </c>
      <c r="AJ31" s="343" t="s">
        <v>21303</v>
      </c>
      <c r="AK31" s="343" t="s">
        <v>21304</v>
      </c>
      <c r="AL31" s="208"/>
      <c r="AM31" s="208" t="s">
        <v>21305</v>
      </c>
      <c r="AN31" s="208" t="s">
        <v>21306</v>
      </c>
      <c r="AO31" s="207">
        <v>4</v>
      </c>
      <c r="AP31" s="287" t="s">
        <v>21493</v>
      </c>
      <c r="AQ31" s="448" t="s">
        <v>21494</v>
      </c>
      <c r="AR31" s="448" t="s">
        <v>21495</v>
      </c>
      <c r="AS31" s="449" t="s">
        <v>5685</v>
      </c>
      <c r="AT31" s="208" t="s">
        <v>21306</v>
      </c>
      <c r="AU31" s="208" t="s">
        <v>21306</v>
      </c>
      <c r="AV31" s="208" t="s">
        <v>21303</v>
      </c>
      <c r="AW31" s="208" t="s">
        <v>21303</v>
      </c>
      <c r="AX31" s="208" t="s">
        <v>21303</v>
      </c>
      <c r="AY31" s="208" t="s">
        <v>21303</v>
      </c>
      <c r="AZ31" s="208" t="s">
        <v>21288</v>
      </c>
      <c r="BA31" s="208" t="s">
        <v>21288</v>
      </c>
      <c r="BB31" s="208" t="s">
        <v>21303</v>
      </c>
      <c r="BC31" s="208" t="s">
        <v>21303</v>
      </c>
      <c r="BD31" s="208" t="s">
        <v>21303</v>
      </c>
      <c r="BE31" s="208" t="s">
        <v>21303</v>
      </c>
      <c r="BF31" s="208" t="s">
        <v>21310</v>
      </c>
      <c r="BG31" s="208" t="s">
        <v>21496</v>
      </c>
      <c r="BH31" s="208" t="s">
        <v>21496</v>
      </c>
      <c r="BI31" s="208" t="s">
        <v>21303</v>
      </c>
      <c r="BJ31" s="208" t="s">
        <v>21303</v>
      </c>
      <c r="BK31" s="208" t="s">
        <v>21303</v>
      </c>
      <c r="BL31" s="208" t="s">
        <v>21303</v>
      </c>
      <c r="BM31" s="208" t="s">
        <v>21312</v>
      </c>
      <c r="BN31" s="208" t="s">
        <v>21312</v>
      </c>
      <c r="BO31" s="208" t="s">
        <v>21303</v>
      </c>
      <c r="BP31" s="208" t="s">
        <v>21303</v>
      </c>
      <c r="BQ31" s="208" t="s">
        <v>21303</v>
      </c>
      <c r="BR31" s="208" t="s">
        <v>21303</v>
      </c>
      <c r="BS31" s="208">
        <v>3</v>
      </c>
      <c r="BT31" s="208">
        <v>3</v>
      </c>
      <c r="BU31" s="208">
        <v>0</v>
      </c>
      <c r="BV31" s="208">
        <v>0</v>
      </c>
      <c r="BW31" s="208">
        <v>0</v>
      </c>
      <c r="BX31" s="208">
        <v>0</v>
      </c>
      <c r="BY31" s="208" t="s">
        <v>21313</v>
      </c>
      <c r="BZ31" s="208">
        <v>1</v>
      </c>
      <c r="CA31" s="208">
        <v>1</v>
      </c>
      <c r="CB31" s="208">
        <v>1</v>
      </c>
      <c r="CC31" s="208">
        <v>0</v>
      </c>
      <c r="CD31" s="208">
        <v>0</v>
      </c>
      <c r="CE31" s="208">
        <v>0</v>
      </c>
      <c r="CF31" s="208" t="s">
        <v>21313</v>
      </c>
      <c r="CG31" s="208">
        <v>1</v>
      </c>
      <c r="CH31" s="208">
        <v>1</v>
      </c>
      <c r="CI31" s="208">
        <v>1</v>
      </c>
      <c r="CJ31" s="208">
        <v>0</v>
      </c>
      <c r="CK31" s="208">
        <v>0</v>
      </c>
      <c r="CL31" s="208">
        <v>0</v>
      </c>
      <c r="CM31" s="208" t="s">
        <v>21303</v>
      </c>
      <c r="CN31" s="208">
        <v>0</v>
      </c>
      <c r="CO31" s="208">
        <v>0</v>
      </c>
      <c r="CP31" s="208">
        <v>0</v>
      </c>
      <c r="CQ31" s="208">
        <v>0</v>
      </c>
      <c r="CR31" s="208">
        <v>0</v>
      </c>
      <c r="CS31" s="208">
        <v>0</v>
      </c>
      <c r="CT31" s="208" t="s">
        <v>21303</v>
      </c>
      <c r="CU31" s="208">
        <v>0</v>
      </c>
      <c r="CV31" s="208">
        <v>0</v>
      </c>
      <c r="CW31" s="208">
        <v>0</v>
      </c>
      <c r="CX31" s="208">
        <v>0</v>
      </c>
      <c r="CY31" s="208">
        <v>0</v>
      </c>
      <c r="CZ31" s="208">
        <v>0</v>
      </c>
      <c r="DA31" s="208" t="s">
        <v>21303</v>
      </c>
      <c r="DB31" s="208">
        <v>0</v>
      </c>
      <c r="DC31" s="208">
        <v>0</v>
      </c>
      <c r="DD31" s="208">
        <v>0</v>
      </c>
      <c r="DE31" s="208">
        <v>0</v>
      </c>
      <c r="DF31" s="208">
        <v>0</v>
      </c>
      <c r="DG31" s="208">
        <v>0</v>
      </c>
      <c r="DH31" s="208" t="s">
        <v>21303</v>
      </c>
      <c r="DI31" s="208">
        <v>0</v>
      </c>
      <c r="DJ31" s="208">
        <v>0</v>
      </c>
      <c r="DK31" s="208">
        <v>0</v>
      </c>
      <c r="DL31" s="208">
        <v>0</v>
      </c>
      <c r="DM31" s="208">
        <v>0</v>
      </c>
      <c r="DN31" s="208">
        <v>0</v>
      </c>
      <c r="DO31" s="208" t="s">
        <v>21314</v>
      </c>
      <c r="DP31" s="208">
        <v>80</v>
      </c>
      <c r="DQ31" s="208">
        <v>80</v>
      </c>
      <c r="DR31" s="208">
        <v>80</v>
      </c>
      <c r="DS31" s="208">
        <v>0</v>
      </c>
      <c r="DT31" s="208">
        <v>0</v>
      </c>
      <c r="DU31" s="208">
        <v>0</v>
      </c>
      <c r="DV31" s="208" t="s">
        <v>21315</v>
      </c>
      <c r="DW31" s="208">
        <v>80</v>
      </c>
      <c r="DX31" s="208" t="s">
        <v>21314</v>
      </c>
      <c r="DY31" s="208">
        <v>80</v>
      </c>
      <c r="DZ31" s="208">
        <v>80</v>
      </c>
      <c r="EA31" s="208">
        <v>80</v>
      </c>
      <c r="EB31" s="208">
        <v>0</v>
      </c>
      <c r="EC31" s="208">
        <v>0</v>
      </c>
      <c r="ED31" s="208">
        <v>0</v>
      </c>
      <c r="EE31" s="208" t="s">
        <v>21315</v>
      </c>
      <c r="EF31" s="208">
        <v>80</v>
      </c>
      <c r="EG31" s="208" t="s">
        <v>21303</v>
      </c>
      <c r="EH31" s="208">
        <v>0</v>
      </c>
      <c r="EI31" s="208">
        <v>0</v>
      </c>
      <c r="EJ31" s="208">
        <v>0</v>
      </c>
      <c r="EK31" s="208">
        <v>0</v>
      </c>
      <c r="EL31" s="208">
        <v>0</v>
      </c>
      <c r="EM31" s="208">
        <v>0</v>
      </c>
      <c r="EN31" s="208" t="s">
        <v>21303</v>
      </c>
      <c r="EO31" s="208">
        <v>0</v>
      </c>
      <c r="EP31" s="208" t="s">
        <v>21303</v>
      </c>
      <c r="EQ31" s="208">
        <v>0</v>
      </c>
      <c r="ER31" s="208">
        <v>0</v>
      </c>
      <c r="ES31" s="208">
        <v>0</v>
      </c>
      <c r="ET31" s="208">
        <v>0</v>
      </c>
      <c r="EU31" s="208">
        <v>0</v>
      </c>
      <c r="EV31" s="208">
        <v>0</v>
      </c>
      <c r="EW31" s="208" t="s">
        <v>21303</v>
      </c>
      <c r="EX31" s="208">
        <v>0</v>
      </c>
      <c r="EY31" s="208" t="s">
        <v>21303</v>
      </c>
      <c r="EZ31" s="208">
        <v>0</v>
      </c>
      <c r="FA31" s="208">
        <v>0</v>
      </c>
      <c r="FB31" s="208">
        <v>0</v>
      </c>
      <c r="FC31" s="208">
        <v>0</v>
      </c>
      <c r="FD31" s="208">
        <v>0</v>
      </c>
      <c r="FE31" s="208">
        <v>0</v>
      </c>
      <c r="FF31" s="208" t="s">
        <v>21303</v>
      </c>
      <c r="FG31" s="208">
        <v>0</v>
      </c>
      <c r="FH31" s="208" t="s">
        <v>21303</v>
      </c>
      <c r="FI31" s="208">
        <v>0</v>
      </c>
      <c r="FJ31" s="208">
        <v>0</v>
      </c>
      <c r="FK31" s="208">
        <v>0</v>
      </c>
      <c r="FL31" s="208">
        <v>0</v>
      </c>
      <c r="FM31" s="208">
        <v>0</v>
      </c>
      <c r="FN31" s="208">
        <v>0</v>
      </c>
      <c r="FO31" s="208" t="s">
        <v>21303</v>
      </c>
      <c r="FP31" s="208">
        <v>0</v>
      </c>
      <c r="FQ31" s="208">
        <v>80</v>
      </c>
      <c r="FR31" s="208" t="s">
        <v>19816</v>
      </c>
      <c r="FS31" s="208" t="s">
        <v>21316</v>
      </c>
      <c r="FT31" s="208" t="s">
        <v>21303</v>
      </c>
      <c r="FU31" s="208" t="s">
        <v>21303</v>
      </c>
      <c r="FV31" s="208" t="s">
        <v>21303</v>
      </c>
      <c r="FW31" s="208" t="s">
        <v>21303</v>
      </c>
      <c r="FX31" s="208" t="s">
        <v>21497</v>
      </c>
      <c r="FY31" s="208">
        <v>22.5</v>
      </c>
      <c r="FZ31" s="208">
        <v>22.5</v>
      </c>
      <c r="GA31" s="208">
        <v>22.5</v>
      </c>
      <c r="GB31" s="208">
        <v>0</v>
      </c>
      <c r="GC31" s="208">
        <v>0</v>
      </c>
      <c r="GD31" s="208">
        <v>0</v>
      </c>
      <c r="GE31" s="208" t="s">
        <v>21498</v>
      </c>
      <c r="GF31" s="208" t="s">
        <v>21497</v>
      </c>
      <c r="GG31" s="208">
        <v>22.5</v>
      </c>
      <c r="GH31" s="208">
        <v>22.5</v>
      </c>
      <c r="GI31" s="208">
        <v>22.5</v>
      </c>
      <c r="GJ31" s="208">
        <v>0</v>
      </c>
      <c r="GK31" s="208">
        <v>0</v>
      </c>
      <c r="GL31" s="208">
        <v>0</v>
      </c>
      <c r="GM31" s="208" t="s">
        <v>21498</v>
      </c>
      <c r="GN31" s="208" t="s">
        <v>21303</v>
      </c>
      <c r="GO31" s="208">
        <v>0</v>
      </c>
      <c r="GP31" s="208">
        <v>0</v>
      </c>
      <c r="GQ31" s="208">
        <v>0</v>
      </c>
      <c r="GR31" s="208">
        <v>0</v>
      </c>
      <c r="GS31" s="208">
        <v>0</v>
      </c>
      <c r="GT31" s="208">
        <v>0</v>
      </c>
      <c r="GU31" s="208" t="s">
        <v>21303</v>
      </c>
      <c r="GV31" s="208" t="s">
        <v>21303</v>
      </c>
      <c r="GW31" s="208">
        <v>0</v>
      </c>
      <c r="GX31" s="208">
        <v>0</v>
      </c>
      <c r="GY31" s="208">
        <v>0</v>
      </c>
      <c r="GZ31" s="208">
        <v>0</v>
      </c>
      <c r="HA31" s="208">
        <v>0</v>
      </c>
      <c r="HB31" s="208">
        <v>0</v>
      </c>
      <c r="HC31" s="208" t="s">
        <v>21303</v>
      </c>
      <c r="HD31" s="208" t="s">
        <v>21303</v>
      </c>
      <c r="HE31" s="208">
        <v>0</v>
      </c>
      <c r="HF31" s="208">
        <v>0</v>
      </c>
      <c r="HG31" s="208">
        <v>0</v>
      </c>
      <c r="HH31" s="208">
        <v>0</v>
      </c>
      <c r="HI31" s="208">
        <v>0</v>
      </c>
      <c r="HJ31" s="208">
        <v>0</v>
      </c>
      <c r="HK31" s="208" t="s">
        <v>21303</v>
      </c>
      <c r="HL31" s="208" t="s">
        <v>21303</v>
      </c>
      <c r="HM31" s="208">
        <v>0</v>
      </c>
      <c r="HN31" s="208">
        <v>0</v>
      </c>
      <c r="HO31" s="208">
        <v>0</v>
      </c>
      <c r="HP31" s="208">
        <v>0</v>
      </c>
      <c r="HQ31" s="208">
        <v>0</v>
      </c>
      <c r="HR31" s="208">
        <v>0</v>
      </c>
      <c r="HS31" s="208" t="s">
        <v>21303</v>
      </c>
      <c r="HT31" s="208" t="s">
        <v>21319</v>
      </c>
      <c r="HU31" s="208">
        <v>22.5</v>
      </c>
      <c r="HV31" s="208">
        <v>22.5</v>
      </c>
      <c r="HW31" s="208">
        <v>0</v>
      </c>
      <c r="HX31" s="208">
        <v>0</v>
      </c>
      <c r="HY31" s="208">
        <v>0</v>
      </c>
      <c r="HZ31" s="208">
        <v>0</v>
      </c>
      <c r="IA31" s="600">
        <v>22.5</v>
      </c>
      <c r="IB31" s="600">
        <v>1.5</v>
      </c>
      <c r="IC31" s="343" t="s">
        <v>21035</v>
      </c>
      <c r="ID31" s="343" t="s">
        <v>21499</v>
      </c>
      <c r="IE31" s="343" t="s">
        <v>21320</v>
      </c>
      <c r="IF31" s="343" t="s">
        <v>21321</v>
      </c>
      <c r="IG31" s="383">
        <v>43748</v>
      </c>
      <c r="IH31" s="383">
        <v>45575</v>
      </c>
      <c r="II31" s="208">
        <v>46</v>
      </c>
    </row>
    <row r="32" ht="102">
      <c r="A32" s="207">
        <v>31</v>
      </c>
      <c r="B32" s="343" t="s">
        <v>21287</v>
      </c>
      <c r="C32" s="343" t="s">
        <v>21288</v>
      </c>
      <c r="D32" s="600">
        <v>105100</v>
      </c>
      <c r="E32" s="317" t="s">
        <v>21186</v>
      </c>
      <c r="F32" s="207" t="s">
        <v>20837</v>
      </c>
      <c r="G32" s="600">
        <v>106.184445</v>
      </c>
      <c r="H32" s="600">
        <v>21.275372</v>
      </c>
      <c r="I32" s="207">
        <v>1</v>
      </c>
      <c r="J32" s="207">
        <v>1</v>
      </c>
      <c r="K32" s="207" t="s">
        <v>21306</v>
      </c>
      <c r="L32" s="207">
        <v>105100</v>
      </c>
      <c r="M32" s="207" t="s">
        <v>21312</v>
      </c>
      <c r="N32" s="207">
        <v>3</v>
      </c>
      <c r="O32" s="207" t="s">
        <v>21313</v>
      </c>
      <c r="P32" s="207" t="s">
        <v>21314</v>
      </c>
      <c r="Q32" s="207">
        <v>2100</v>
      </c>
      <c r="R32" s="207" t="s">
        <v>21368</v>
      </c>
      <c r="S32" s="364" t="b">
        <v>1</v>
      </c>
      <c r="T32" s="207" t="s">
        <v>21187</v>
      </c>
      <c r="U32" s="207">
        <v>0</v>
      </c>
      <c r="V32" s="207" t="s">
        <v>21297</v>
      </c>
      <c r="W32" s="207" t="s">
        <v>21188</v>
      </c>
      <c r="X32" s="209" t="s">
        <v>21298</v>
      </c>
      <c r="Y32" s="207" t="b">
        <v>1</v>
      </c>
      <c r="Z32" s="364" t="b">
        <v>0</v>
      </c>
      <c r="AA32" s="600">
        <v>28</v>
      </c>
      <c r="AB32" s="364" t="b">
        <v>1</v>
      </c>
      <c r="AC32" s="600">
        <v>8</v>
      </c>
      <c r="AD32" s="207" t="b">
        <v>0</v>
      </c>
      <c r="AE32" s="207" t="s">
        <v>21299</v>
      </c>
      <c r="AF32" s="207" t="s">
        <v>21300</v>
      </c>
      <c r="AG32" s="343" t="s">
        <v>21301</v>
      </c>
      <c r="AH32" s="343" t="s">
        <v>21302</v>
      </c>
      <c r="AI32" s="343" t="s">
        <v>21054</v>
      </c>
      <c r="AJ32" s="343" t="s">
        <v>21303</v>
      </c>
      <c r="AK32" s="343" t="s">
        <v>21304</v>
      </c>
      <c r="AL32" s="208"/>
      <c r="AM32" s="208" t="s">
        <v>21305</v>
      </c>
      <c r="AN32" s="208" t="s">
        <v>21306</v>
      </c>
      <c r="AO32" s="207">
        <v>4</v>
      </c>
      <c r="AP32" s="287" t="s">
        <v>21493</v>
      </c>
      <c r="AQ32" s="448" t="s">
        <v>21500</v>
      </c>
      <c r="AR32" s="448" t="s">
        <v>21501</v>
      </c>
      <c r="AS32" s="449" t="s">
        <v>5685</v>
      </c>
      <c r="AT32" s="208" t="s">
        <v>21306</v>
      </c>
      <c r="AU32" s="208" t="s">
        <v>21303</v>
      </c>
      <c r="AV32" s="208" t="s">
        <v>21303</v>
      </c>
      <c r="AW32" s="208" t="s">
        <v>21303</v>
      </c>
      <c r="AX32" s="208" t="s">
        <v>21303</v>
      </c>
      <c r="AY32" s="208" t="s">
        <v>21303</v>
      </c>
      <c r="AZ32" s="208" t="s">
        <v>21288</v>
      </c>
      <c r="BA32" s="208" t="s">
        <v>21303</v>
      </c>
      <c r="BB32" s="208" t="s">
        <v>21303</v>
      </c>
      <c r="BC32" s="208" t="s">
        <v>21303</v>
      </c>
      <c r="BD32" s="208" t="s">
        <v>21303</v>
      </c>
      <c r="BE32" s="208" t="s">
        <v>21303</v>
      </c>
      <c r="BF32" s="208" t="s">
        <v>21288</v>
      </c>
      <c r="BG32" s="208" t="s">
        <v>21502</v>
      </c>
      <c r="BH32" s="208" t="s">
        <v>21303</v>
      </c>
      <c r="BI32" s="208" t="s">
        <v>21303</v>
      </c>
      <c r="BJ32" s="208" t="s">
        <v>21303</v>
      </c>
      <c r="BK32" s="208" t="s">
        <v>21303</v>
      </c>
      <c r="BL32" s="208" t="s">
        <v>21303</v>
      </c>
      <c r="BM32" s="208" t="s">
        <v>21312</v>
      </c>
      <c r="BN32" s="208" t="s">
        <v>21303</v>
      </c>
      <c r="BO32" s="208" t="s">
        <v>21303</v>
      </c>
      <c r="BP32" s="208" t="s">
        <v>21303</v>
      </c>
      <c r="BQ32" s="208" t="s">
        <v>21303</v>
      </c>
      <c r="BR32" s="208" t="s">
        <v>21303</v>
      </c>
      <c r="BS32" s="208">
        <v>3</v>
      </c>
      <c r="BT32" s="208">
        <v>0</v>
      </c>
      <c r="BU32" s="208">
        <v>0</v>
      </c>
      <c r="BV32" s="208">
        <v>0</v>
      </c>
      <c r="BW32" s="208">
        <v>0</v>
      </c>
      <c r="BX32" s="208">
        <v>0</v>
      </c>
      <c r="BY32" s="208" t="s">
        <v>21313</v>
      </c>
      <c r="BZ32" s="208">
        <v>1</v>
      </c>
      <c r="CA32" s="208">
        <v>1</v>
      </c>
      <c r="CB32" s="208">
        <v>1</v>
      </c>
      <c r="CC32" s="208">
        <v>0</v>
      </c>
      <c r="CD32" s="208">
        <v>0</v>
      </c>
      <c r="CE32" s="208">
        <v>0</v>
      </c>
      <c r="CF32" s="208" t="s">
        <v>21303</v>
      </c>
      <c r="CG32" s="208">
        <v>0</v>
      </c>
      <c r="CH32" s="208">
        <v>0</v>
      </c>
      <c r="CI32" s="208">
        <v>0</v>
      </c>
      <c r="CJ32" s="208">
        <v>0</v>
      </c>
      <c r="CK32" s="208">
        <v>0</v>
      </c>
      <c r="CL32" s="208">
        <v>0</v>
      </c>
      <c r="CM32" s="208" t="s">
        <v>21303</v>
      </c>
      <c r="CN32" s="208">
        <v>0</v>
      </c>
      <c r="CO32" s="208">
        <v>0</v>
      </c>
      <c r="CP32" s="208">
        <v>0</v>
      </c>
      <c r="CQ32" s="208">
        <v>0</v>
      </c>
      <c r="CR32" s="208">
        <v>0</v>
      </c>
      <c r="CS32" s="208">
        <v>0</v>
      </c>
      <c r="CT32" s="208" t="s">
        <v>21303</v>
      </c>
      <c r="CU32" s="208">
        <v>0</v>
      </c>
      <c r="CV32" s="208">
        <v>0</v>
      </c>
      <c r="CW32" s="208">
        <v>0</v>
      </c>
      <c r="CX32" s="208">
        <v>0</v>
      </c>
      <c r="CY32" s="208">
        <v>0</v>
      </c>
      <c r="CZ32" s="208">
        <v>0</v>
      </c>
      <c r="DA32" s="208" t="s">
        <v>21303</v>
      </c>
      <c r="DB32" s="208">
        <v>0</v>
      </c>
      <c r="DC32" s="208">
        <v>0</v>
      </c>
      <c r="DD32" s="208">
        <v>0</v>
      </c>
      <c r="DE32" s="208">
        <v>0</v>
      </c>
      <c r="DF32" s="208">
        <v>0</v>
      </c>
      <c r="DG32" s="208">
        <v>0</v>
      </c>
      <c r="DH32" s="208" t="s">
        <v>21303</v>
      </c>
      <c r="DI32" s="208">
        <v>0</v>
      </c>
      <c r="DJ32" s="208">
        <v>0</v>
      </c>
      <c r="DK32" s="208">
        <v>0</v>
      </c>
      <c r="DL32" s="208">
        <v>0</v>
      </c>
      <c r="DM32" s="208">
        <v>0</v>
      </c>
      <c r="DN32" s="208">
        <v>0</v>
      </c>
      <c r="DO32" s="208" t="s">
        <v>21314</v>
      </c>
      <c r="DP32" s="208">
        <v>80</v>
      </c>
      <c r="DQ32" s="208">
        <v>80</v>
      </c>
      <c r="DR32" s="208">
        <v>80</v>
      </c>
      <c r="DS32" s="208">
        <v>0</v>
      </c>
      <c r="DT32" s="208">
        <v>0</v>
      </c>
      <c r="DU32" s="208">
        <v>0</v>
      </c>
      <c r="DV32" s="208" t="s">
        <v>21315</v>
      </c>
      <c r="DW32" s="208">
        <v>80</v>
      </c>
      <c r="DX32" s="208" t="s">
        <v>21303</v>
      </c>
      <c r="DY32" s="208">
        <v>0</v>
      </c>
      <c r="DZ32" s="208">
        <v>0</v>
      </c>
      <c r="EA32" s="208">
        <v>0</v>
      </c>
      <c r="EB32" s="208">
        <v>0</v>
      </c>
      <c r="EC32" s="208">
        <v>0</v>
      </c>
      <c r="ED32" s="208">
        <v>0</v>
      </c>
      <c r="EE32" s="208" t="s">
        <v>21303</v>
      </c>
      <c r="EF32" s="208">
        <v>0</v>
      </c>
      <c r="EG32" s="208" t="s">
        <v>21303</v>
      </c>
      <c r="EH32" s="208">
        <v>0</v>
      </c>
      <c r="EI32" s="208">
        <v>0</v>
      </c>
      <c r="EJ32" s="208">
        <v>0</v>
      </c>
      <c r="EK32" s="208">
        <v>0</v>
      </c>
      <c r="EL32" s="208">
        <v>0</v>
      </c>
      <c r="EM32" s="208">
        <v>0</v>
      </c>
      <c r="EN32" s="208" t="s">
        <v>21303</v>
      </c>
      <c r="EO32" s="208">
        <v>0</v>
      </c>
      <c r="EP32" s="208" t="s">
        <v>21303</v>
      </c>
      <c r="EQ32" s="208">
        <v>0</v>
      </c>
      <c r="ER32" s="208">
        <v>0</v>
      </c>
      <c r="ES32" s="208">
        <v>0</v>
      </c>
      <c r="ET32" s="208">
        <v>0</v>
      </c>
      <c r="EU32" s="208">
        <v>0</v>
      </c>
      <c r="EV32" s="208">
        <v>0</v>
      </c>
      <c r="EW32" s="208" t="s">
        <v>21303</v>
      </c>
      <c r="EX32" s="208">
        <v>0</v>
      </c>
      <c r="EY32" s="208" t="s">
        <v>21303</v>
      </c>
      <c r="EZ32" s="208">
        <v>0</v>
      </c>
      <c r="FA32" s="208">
        <v>0</v>
      </c>
      <c r="FB32" s="208">
        <v>0</v>
      </c>
      <c r="FC32" s="208">
        <v>0</v>
      </c>
      <c r="FD32" s="208">
        <v>0</v>
      </c>
      <c r="FE32" s="208">
        <v>0</v>
      </c>
      <c r="FF32" s="208" t="s">
        <v>21303</v>
      </c>
      <c r="FG32" s="208">
        <v>0</v>
      </c>
      <c r="FH32" s="208" t="s">
        <v>21303</v>
      </c>
      <c r="FI32" s="208">
        <v>0</v>
      </c>
      <c r="FJ32" s="208">
        <v>0</v>
      </c>
      <c r="FK32" s="208">
        <v>0</v>
      </c>
      <c r="FL32" s="208">
        <v>0</v>
      </c>
      <c r="FM32" s="208">
        <v>0</v>
      </c>
      <c r="FN32" s="208">
        <v>0</v>
      </c>
      <c r="FO32" s="208" t="s">
        <v>21303</v>
      </c>
      <c r="FP32" s="208">
        <v>0</v>
      </c>
      <c r="FQ32" s="208">
        <v>80</v>
      </c>
      <c r="FR32" s="208" t="s">
        <v>21316</v>
      </c>
      <c r="FS32" s="208" t="s">
        <v>21303</v>
      </c>
      <c r="FT32" s="208" t="s">
        <v>21303</v>
      </c>
      <c r="FU32" s="208" t="s">
        <v>21303</v>
      </c>
      <c r="FV32" s="208" t="s">
        <v>21303</v>
      </c>
      <c r="FW32" s="208" t="s">
        <v>21303</v>
      </c>
      <c r="FX32" s="208" t="s">
        <v>21368</v>
      </c>
      <c r="FY32" s="208">
        <v>28</v>
      </c>
      <c r="FZ32" s="208">
        <v>28</v>
      </c>
      <c r="GA32" s="208">
        <v>28</v>
      </c>
      <c r="GB32" s="208">
        <v>0</v>
      </c>
      <c r="GC32" s="208">
        <v>0</v>
      </c>
      <c r="GD32" s="208">
        <v>0</v>
      </c>
      <c r="GE32" s="208" t="s">
        <v>21369</v>
      </c>
      <c r="GF32" s="208" t="s">
        <v>21303</v>
      </c>
      <c r="GG32" s="208">
        <v>0</v>
      </c>
      <c r="GH32" s="208">
        <v>0</v>
      </c>
      <c r="GI32" s="208">
        <v>0</v>
      </c>
      <c r="GJ32" s="208">
        <v>0</v>
      </c>
      <c r="GK32" s="208">
        <v>0</v>
      </c>
      <c r="GL32" s="208">
        <v>0</v>
      </c>
      <c r="GM32" s="208" t="s">
        <v>21303</v>
      </c>
      <c r="GN32" s="208" t="s">
        <v>21303</v>
      </c>
      <c r="GO32" s="208">
        <v>0</v>
      </c>
      <c r="GP32" s="208">
        <v>0</v>
      </c>
      <c r="GQ32" s="208">
        <v>0</v>
      </c>
      <c r="GR32" s="208">
        <v>0</v>
      </c>
      <c r="GS32" s="208">
        <v>0</v>
      </c>
      <c r="GT32" s="208">
        <v>0</v>
      </c>
      <c r="GU32" s="208" t="s">
        <v>21303</v>
      </c>
      <c r="GV32" s="208" t="s">
        <v>21303</v>
      </c>
      <c r="GW32" s="208">
        <v>0</v>
      </c>
      <c r="GX32" s="208">
        <v>0</v>
      </c>
      <c r="GY32" s="208">
        <v>0</v>
      </c>
      <c r="GZ32" s="208">
        <v>0</v>
      </c>
      <c r="HA32" s="208">
        <v>0</v>
      </c>
      <c r="HB32" s="208">
        <v>0</v>
      </c>
      <c r="HC32" s="208" t="s">
        <v>21303</v>
      </c>
      <c r="HD32" s="208" t="s">
        <v>21303</v>
      </c>
      <c r="HE32" s="208">
        <v>0</v>
      </c>
      <c r="HF32" s="208">
        <v>0</v>
      </c>
      <c r="HG32" s="208">
        <v>0</v>
      </c>
      <c r="HH32" s="208">
        <v>0</v>
      </c>
      <c r="HI32" s="208">
        <v>0</v>
      </c>
      <c r="HJ32" s="208">
        <v>0</v>
      </c>
      <c r="HK32" s="208" t="s">
        <v>21303</v>
      </c>
      <c r="HL32" s="208" t="s">
        <v>21303</v>
      </c>
      <c r="HM32" s="208">
        <v>0</v>
      </c>
      <c r="HN32" s="208">
        <v>0</v>
      </c>
      <c r="HO32" s="208">
        <v>0</v>
      </c>
      <c r="HP32" s="208">
        <v>0</v>
      </c>
      <c r="HQ32" s="208">
        <v>0</v>
      </c>
      <c r="HR32" s="208">
        <v>0</v>
      </c>
      <c r="HS32" s="208" t="s">
        <v>21303</v>
      </c>
      <c r="HT32" s="208" t="s">
        <v>21319</v>
      </c>
      <c r="HU32" s="208">
        <v>28</v>
      </c>
      <c r="HV32" s="208">
        <v>0</v>
      </c>
      <c r="HW32" s="208">
        <v>0</v>
      </c>
      <c r="HX32" s="208">
        <v>0</v>
      </c>
      <c r="HY32" s="208">
        <v>0</v>
      </c>
      <c r="HZ32" s="208">
        <v>0</v>
      </c>
      <c r="IA32" s="600">
        <v>28</v>
      </c>
      <c r="IB32" s="600">
        <v>20</v>
      </c>
      <c r="IC32" s="343" t="s">
        <v>21035</v>
      </c>
      <c r="ID32" s="343" t="s">
        <v>3619</v>
      </c>
      <c r="IE32" s="343" t="s">
        <v>21320</v>
      </c>
      <c r="IF32" s="343" t="s">
        <v>21321</v>
      </c>
      <c r="IG32" s="383">
        <v>43748</v>
      </c>
      <c r="IH32" s="383">
        <v>45575</v>
      </c>
      <c r="II32" s="208">
        <v>46</v>
      </c>
    </row>
    <row r="33" ht="102">
      <c r="A33" s="207">
        <v>32</v>
      </c>
      <c r="B33" s="343" t="s">
        <v>21287</v>
      </c>
      <c r="C33" s="343" t="s">
        <v>21288</v>
      </c>
      <c r="D33" s="600">
        <v>105145</v>
      </c>
      <c r="E33" s="317" t="s">
        <v>21189</v>
      </c>
      <c r="F33" s="207" t="s">
        <v>20837</v>
      </c>
      <c r="G33" s="600">
        <v>106.19995</v>
      </c>
      <c r="H33" s="600">
        <v>21.282727</v>
      </c>
      <c r="I33" s="207">
        <v>1</v>
      </c>
      <c r="J33" s="207">
        <v>1</v>
      </c>
      <c r="K33" s="207" t="s">
        <v>21306</v>
      </c>
      <c r="L33" s="207">
        <v>105145</v>
      </c>
      <c r="M33" s="207" t="s">
        <v>21312</v>
      </c>
      <c r="N33" s="207">
        <v>3</v>
      </c>
      <c r="O33" s="207" t="s">
        <v>21313</v>
      </c>
      <c r="P33" s="207" t="s">
        <v>21314</v>
      </c>
      <c r="Q33" s="207">
        <v>2100</v>
      </c>
      <c r="R33" s="207" t="s">
        <v>21368</v>
      </c>
      <c r="S33" s="364" t="b">
        <v>1</v>
      </c>
      <c r="T33" s="207" t="s">
        <v>21190</v>
      </c>
      <c r="U33" s="207">
        <v>0</v>
      </c>
      <c r="V33" s="207" t="s">
        <v>21297</v>
      </c>
      <c r="W33" s="207" t="s">
        <v>21191</v>
      </c>
      <c r="X33" s="209" t="s">
        <v>21298</v>
      </c>
      <c r="Y33" s="207" t="b">
        <v>1</v>
      </c>
      <c r="Z33" s="364" t="b">
        <v>0</v>
      </c>
      <c r="AA33" s="600">
        <v>28</v>
      </c>
      <c r="AB33" s="364" t="b">
        <v>1</v>
      </c>
      <c r="AC33" s="600">
        <v>24</v>
      </c>
      <c r="AD33" s="207" t="b">
        <v>0</v>
      </c>
      <c r="AE33" s="207" t="s">
        <v>21299</v>
      </c>
      <c r="AF33" s="207" t="s">
        <v>21300</v>
      </c>
      <c r="AG33" s="343" t="s">
        <v>21301</v>
      </c>
      <c r="AH33" s="343" t="s">
        <v>21302</v>
      </c>
      <c r="AI33" s="343" t="s">
        <v>21054</v>
      </c>
      <c r="AJ33" s="343" t="s">
        <v>21303</v>
      </c>
      <c r="AK33" s="343" t="s">
        <v>21304</v>
      </c>
      <c r="AL33" s="208"/>
      <c r="AM33" s="208" t="s">
        <v>21305</v>
      </c>
      <c r="AN33" s="208" t="s">
        <v>21306</v>
      </c>
      <c r="AO33" s="207">
        <v>4</v>
      </c>
      <c r="AP33" s="287" t="s">
        <v>21493</v>
      </c>
      <c r="AQ33" s="448" t="s">
        <v>21500</v>
      </c>
      <c r="AR33" s="448" t="s">
        <v>21503</v>
      </c>
      <c r="AS33" s="449" t="s">
        <v>5685</v>
      </c>
      <c r="AT33" s="208" t="s">
        <v>21306</v>
      </c>
      <c r="AU33" s="208" t="s">
        <v>21303</v>
      </c>
      <c r="AV33" s="208" t="s">
        <v>21303</v>
      </c>
      <c r="AW33" s="208" t="s">
        <v>21303</v>
      </c>
      <c r="AX33" s="208" t="s">
        <v>21303</v>
      </c>
      <c r="AY33" s="208" t="s">
        <v>21303</v>
      </c>
      <c r="AZ33" s="208" t="s">
        <v>21288</v>
      </c>
      <c r="BA33" s="208" t="s">
        <v>21303</v>
      </c>
      <c r="BB33" s="208" t="s">
        <v>21303</v>
      </c>
      <c r="BC33" s="208" t="s">
        <v>21303</v>
      </c>
      <c r="BD33" s="208" t="s">
        <v>21303</v>
      </c>
      <c r="BE33" s="208" t="s">
        <v>21303</v>
      </c>
      <c r="BF33" s="208" t="s">
        <v>21288</v>
      </c>
      <c r="BG33" s="208" t="s">
        <v>21504</v>
      </c>
      <c r="BH33" s="208" t="s">
        <v>21303</v>
      </c>
      <c r="BI33" s="208" t="s">
        <v>21303</v>
      </c>
      <c r="BJ33" s="208" t="s">
        <v>21303</v>
      </c>
      <c r="BK33" s="208" t="s">
        <v>21303</v>
      </c>
      <c r="BL33" s="208" t="s">
        <v>21303</v>
      </c>
      <c r="BM33" s="208" t="s">
        <v>21312</v>
      </c>
      <c r="BN33" s="208" t="s">
        <v>21303</v>
      </c>
      <c r="BO33" s="208" t="s">
        <v>21303</v>
      </c>
      <c r="BP33" s="208" t="s">
        <v>21303</v>
      </c>
      <c r="BQ33" s="208" t="s">
        <v>21303</v>
      </c>
      <c r="BR33" s="208" t="s">
        <v>21303</v>
      </c>
      <c r="BS33" s="208">
        <v>3</v>
      </c>
      <c r="BT33" s="208">
        <v>0</v>
      </c>
      <c r="BU33" s="208">
        <v>0</v>
      </c>
      <c r="BV33" s="208">
        <v>0</v>
      </c>
      <c r="BW33" s="208">
        <v>0</v>
      </c>
      <c r="BX33" s="208">
        <v>0</v>
      </c>
      <c r="BY33" s="208" t="s">
        <v>21313</v>
      </c>
      <c r="BZ33" s="208">
        <v>1</v>
      </c>
      <c r="CA33" s="208">
        <v>1</v>
      </c>
      <c r="CB33" s="208">
        <v>1</v>
      </c>
      <c r="CC33" s="208">
        <v>0</v>
      </c>
      <c r="CD33" s="208">
        <v>0</v>
      </c>
      <c r="CE33" s="208">
        <v>0</v>
      </c>
      <c r="CF33" s="208" t="s">
        <v>21303</v>
      </c>
      <c r="CG33" s="208">
        <v>0</v>
      </c>
      <c r="CH33" s="208">
        <v>0</v>
      </c>
      <c r="CI33" s="208">
        <v>0</v>
      </c>
      <c r="CJ33" s="208">
        <v>0</v>
      </c>
      <c r="CK33" s="208">
        <v>0</v>
      </c>
      <c r="CL33" s="208">
        <v>0</v>
      </c>
      <c r="CM33" s="208" t="s">
        <v>21303</v>
      </c>
      <c r="CN33" s="208">
        <v>0</v>
      </c>
      <c r="CO33" s="208">
        <v>0</v>
      </c>
      <c r="CP33" s="208">
        <v>0</v>
      </c>
      <c r="CQ33" s="208">
        <v>0</v>
      </c>
      <c r="CR33" s="208">
        <v>0</v>
      </c>
      <c r="CS33" s="208">
        <v>0</v>
      </c>
      <c r="CT33" s="208" t="s">
        <v>21303</v>
      </c>
      <c r="CU33" s="208">
        <v>0</v>
      </c>
      <c r="CV33" s="208">
        <v>0</v>
      </c>
      <c r="CW33" s="208">
        <v>0</v>
      </c>
      <c r="CX33" s="208">
        <v>0</v>
      </c>
      <c r="CY33" s="208">
        <v>0</v>
      </c>
      <c r="CZ33" s="208">
        <v>0</v>
      </c>
      <c r="DA33" s="208" t="s">
        <v>21303</v>
      </c>
      <c r="DB33" s="208">
        <v>0</v>
      </c>
      <c r="DC33" s="208">
        <v>0</v>
      </c>
      <c r="DD33" s="208">
        <v>0</v>
      </c>
      <c r="DE33" s="208">
        <v>0</v>
      </c>
      <c r="DF33" s="208">
        <v>0</v>
      </c>
      <c r="DG33" s="208">
        <v>0</v>
      </c>
      <c r="DH33" s="208" t="s">
        <v>21303</v>
      </c>
      <c r="DI33" s="208">
        <v>0</v>
      </c>
      <c r="DJ33" s="208">
        <v>0</v>
      </c>
      <c r="DK33" s="208">
        <v>0</v>
      </c>
      <c r="DL33" s="208">
        <v>0</v>
      </c>
      <c r="DM33" s="208">
        <v>0</v>
      </c>
      <c r="DN33" s="208">
        <v>0</v>
      </c>
      <c r="DO33" s="208" t="s">
        <v>21314</v>
      </c>
      <c r="DP33" s="208">
        <v>80</v>
      </c>
      <c r="DQ33" s="208">
        <v>80</v>
      </c>
      <c r="DR33" s="208">
        <v>80</v>
      </c>
      <c r="DS33" s="208">
        <v>0</v>
      </c>
      <c r="DT33" s="208">
        <v>0</v>
      </c>
      <c r="DU33" s="208">
        <v>0</v>
      </c>
      <c r="DV33" s="208" t="s">
        <v>21315</v>
      </c>
      <c r="DW33" s="208">
        <v>80</v>
      </c>
      <c r="DX33" s="208" t="s">
        <v>21303</v>
      </c>
      <c r="DY33" s="208">
        <v>0</v>
      </c>
      <c r="DZ33" s="208">
        <v>0</v>
      </c>
      <c r="EA33" s="208">
        <v>0</v>
      </c>
      <c r="EB33" s="208">
        <v>0</v>
      </c>
      <c r="EC33" s="208">
        <v>0</v>
      </c>
      <c r="ED33" s="208">
        <v>0</v>
      </c>
      <c r="EE33" s="208" t="s">
        <v>21303</v>
      </c>
      <c r="EF33" s="208">
        <v>0</v>
      </c>
      <c r="EG33" s="208" t="s">
        <v>21303</v>
      </c>
      <c r="EH33" s="208">
        <v>0</v>
      </c>
      <c r="EI33" s="208">
        <v>0</v>
      </c>
      <c r="EJ33" s="208">
        <v>0</v>
      </c>
      <c r="EK33" s="208">
        <v>0</v>
      </c>
      <c r="EL33" s="208">
        <v>0</v>
      </c>
      <c r="EM33" s="208">
        <v>0</v>
      </c>
      <c r="EN33" s="208" t="s">
        <v>21303</v>
      </c>
      <c r="EO33" s="208">
        <v>0</v>
      </c>
      <c r="EP33" s="208" t="s">
        <v>21303</v>
      </c>
      <c r="EQ33" s="208">
        <v>0</v>
      </c>
      <c r="ER33" s="208">
        <v>0</v>
      </c>
      <c r="ES33" s="208">
        <v>0</v>
      </c>
      <c r="ET33" s="208">
        <v>0</v>
      </c>
      <c r="EU33" s="208">
        <v>0</v>
      </c>
      <c r="EV33" s="208">
        <v>0</v>
      </c>
      <c r="EW33" s="208" t="s">
        <v>21303</v>
      </c>
      <c r="EX33" s="208">
        <v>0</v>
      </c>
      <c r="EY33" s="208" t="s">
        <v>21303</v>
      </c>
      <c r="EZ33" s="208">
        <v>0</v>
      </c>
      <c r="FA33" s="208">
        <v>0</v>
      </c>
      <c r="FB33" s="208">
        <v>0</v>
      </c>
      <c r="FC33" s="208">
        <v>0</v>
      </c>
      <c r="FD33" s="208">
        <v>0</v>
      </c>
      <c r="FE33" s="208">
        <v>0</v>
      </c>
      <c r="FF33" s="208" t="s">
        <v>21303</v>
      </c>
      <c r="FG33" s="208">
        <v>0</v>
      </c>
      <c r="FH33" s="208" t="s">
        <v>21303</v>
      </c>
      <c r="FI33" s="208">
        <v>0</v>
      </c>
      <c r="FJ33" s="208">
        <v>0</v>
      </c>
      <c r="FK33" s="208">
        <v>0</v>
      </c>
      <c r="FL33" s="208">
        <v>0</v>
      </c>
      <c r="FM33" s="208">
        <v>0</v>
      </c>
      <c r="FN33" s="208">
        <v>0</v>
      </c>
      <c r="FO33" s="208" t="s">
        <v>21303</v>
      </c>
      <c r="FP33" s="208">
        <v>0</v>
      </c>
      <c r="FQ33" s="208">
        <v>80</v>
      </c>
      <c r="FR33" s="208" t="s">
        <v>21316</v>
      </c>
      <c r="FS33" s="208" t="s">
        <v>21303</v>
      </c>
      <c r="FT33" s="208" t="s">
        <v>21303</v>
      </c>
      <c r="FU33" s="208" t="s">
        <v>21303</v>
      </c>
      <c r="FV33" s="208" t="s">
        <v>21303</v>
      </c>
      <c r="FW33" s="208" t="s">
        <v>21303</v>
      </c>
      <c r="FX33" s="208" t="s">
        <v>21368</v>
      </c>
      <c r="FY33" s="208">
        <v>28</v>
      </c>
      <c r="FZ33" s="208">
        <v>28</v>
      </c>
      <c r="GA33" s="208">
        <v>28</v>
      </c>
      <c r="GB33" s="208">
        <v>0</v>
      </c>
      <c r="GC33" s="208">
        <v>0</v>
      </c>
      <c r="GD33" s="208">
        <v>0</v>
      </c>
      <c r="GE33" s="208" t="s">
        <v>21369</v>
      </c>
      <c r="GF33" s="208" t="s">
        <v>21303</v>
      </c>
      <c r="GG33" s="208">
        <v>0</v>
      </c>
      <c r="GH33" s="208">
        <v>0</v>
      </c>
      <c r="GI33" s="208">
        <v>0</v>
      </c>
      <c r="GJ33" s="208">
        <v>0</v>
      </c>
      <c r="GK33" s="208">
        <v>0</v>
      </c>
      <c r="GL33" s="208">
        <v>0</v>
      </c>
      <c r="GM33" s="208" t="s">
        <v>21303</v>
      </c>
      <c r="GN33" s="208" t="s">
        <v>21303</v>
      </c>
      <c r="GO33" s="208">
        <v>0</v>
      </c>
      <c r="GP33" s="208">
        <v>0</v>
      </c>
      <c r="GQ33" s="208">
        <v>0</v>
      </c>
      <c r="GR33" s="208">
        <v>0</v>
      </c>
      <c r="GS33" s="208">
        <v>0</v>
      </c>
      <c r="GT33" s="208">
        <v>0</v>
      </c>
      <c r="GU33" s="208" t="s">
        <v>21303</v>
      </c>
      <c r="GV33" s="208" t="s">
        <v>21303</v>
      </c>
      <c r="GW33" s="208">
        <v>0</v>
      </c>
      <c r="GX33" s="208">
        <v>0</v>
      </c>
      <c r="GY33" s="208">
        <v>0</v>
      </c>
      <c r="GZ33" s="208">
        <v>0</v>
      </c>
      <c r="HA33" s="208">
        <v>0</v>
      </c>
      <c r="HB33" s="208">
        <v>0</v>
      </c>
      <c r="HC33" s="208" t="s">
        <v>21303</v>
      </c>
      <c r="HD33" s="208" t="s">
        <v>21303</v>
      </c>
      <c r="HE33" s="208">
        <v>0</v>
      </c>
      <c r="HF33" s="208">
        <v>0</v>
      </c>
      <c r="HG33" s="208">
        <v>0</v>
      </c>
      <c r="HH33" s="208">
        <v>0</v>
      </c>
      <c r="HI33" s="208">
        <v>0</v>
      </c>
      <c r="HJ33" s="208">
        <v>0</v>
      </c>
      <c r="HK33" s="208" t="s">
        <v>21303</v>
      </c>
      <c r="HL33" s="208" t="s">
        <v>21303</v>
      </c>
      <c r="HM33" s="208">
        <v>0</v>
      </c>
      <c r="HN33" s="208">
        <v>0</v>
      </c>
      <c r="HO33" s="208">
        <v>0</v>
      </c>
      <c r="HP33" s="208">
        <v>0</v>
      </c>
      <c r="HQ33" s="208">
        <v>0</v>
      </c>
      <c r="HR33" s="208">
        <v>0</v>
      </c>
      <c r="HS33" s="208" t="s">
        <v>21303</v>
      </c>
      <c r="HT33" s="208" t="s">
        <v>21319</v>
      </c>
      <c r="HU33" s="208">
        <v>28</v>
      </c>
      <c r="HV33" s="208">
        <v>0</v>
      </c>
      <c r="HW33" s="208">
        <v>0</v>
      </c>
      <c r="HX33" s="208">
        <v>0</v>
      </c>
      <c r="HY33" s="208">
        <v>0</v>
      </c>
      <c r="HZ33" s="208">
        <v>0</v>
      </c>
      <c r="IA33" s="600">
        <v>28</v>
      </c>
      <c r="IB33" s="600">
        <v>4</v>
      </c>
      <c r="IC33" s="343" t="s">
        <v>21035</v>
      </c>
      <c r="ID33" s="343" t="s">
        <v>21505</v>
      </c>
      <c r="IE33" s="343" t="s">
        <v>21320</v>
      </c>
      <c r="IF33" s="343" t="s">
        <v>21321</v>
      </c>
      <c r="IG33" s="383">
        <v>43748</v>
      </c>
      <c r="IH33" s="383">
        <v>45575</v>
      </c>
      <c r="II33" s="208">
        <v>46</v>
      </c>
    </row>
    <row r="34" ht="102">
      <c r="A34" s="207">
        <v>33</v>
      </c>
      <c r="B34" s="343" t="s">
        <v>21287</v>
      </c>
      <c r="C34" s="343" t="s">
        <v>21288</v>
      </c>
      <c r="D34" s="600">
        <v>105144</v>
      </c>
      <c r="E34" s="317" t="s">
        <v>21192</v>
      </c>
      <c r="F34" s="207" t="s">
        <v>20837</v>
      </c>
      <c r="G34" s="600">
        <v>106.084983</v>
      </c>
      <c r="H34" s="600">
        <v>21.354485</v>
      </c>
      <c r="I34" s="207">
        <v>1</v>
      </c>
      <c r="J34" s="207">
        <v>1</v>
      </c>
      <c r="K34" s="207" t="s">
        <v>21306</v>
      </c>
      <c r="L34" s="207">
        <v>105144</v>
      </c>
      <c r="M34" s="207" t="s">
        <v>21312</v>
      </c>
      <c r="N34" s="207">
        <v>3</v>
      </c>
      <c r="O34" s="207" t="s">
        <v>21313</v>
      </c>
      <c r="P34" s="207" t="s">
        <v>21314</v>
      </c>
      <c r="Q34" s="207">
        <v>2100</v>
      </c>
      <c r="R34" s="207" t="s">
        <v>21482</v>
      </c>
      <c r="S34" s="364" t="b">
        <v>1</v>
      </c>
      <c r="T34" s="207" t="s">
        <v>21193</v>
      </c>
      <c r="U34" s="207">
        <v>0</v>
      </c>
      <c r="V34" s="207" t="s">
        <v>21297</v>
      </c>
      <c r="W34" s="207" t="s">
        <v>21194</v>
      </c>
      <c r="X34" s="209" t="s">
        <v>21298</v>
      </c>
      <c r="Y34" s="207" t="b">
        <v>1</v>
      </c>
      <c r="Z34" s="364" t="b">
        <v>0</v>
      </c>
      <c r="AA34" s="600">
        <v>37</v>
      </c>
      <c r="AB34" s="364" t="b">
        <v>1</v>
      </c>
      <c r="AC34" s="600">
        <v>14</v>
      </c>
      <c r="AD34" s="207" t="b">
        <v>0</v>
      </c>
      <c r="AE34" s="207" t="s">
        <v>21299</v>
      </c>
      <c r="AF34" s="207" t="s">
        <v>21300</v>
      </c>
      <c r="AG34" s="343" t="s">
        <v>21301</v>
      </c>
      <c r="AH34" s="343" t="s">
        <v>21302</v>
      </c>
      <c r="AI34" s="343" t="s">
        <v>21054</v>
      </c>
      <c r="AJ34" s="343" t="s">
        <v>21303</v>
      </c>
      <c r="AK34" s="343" t="s">
        <v>21304</v>
      </c>
      <c r="AL34" s="208"/>
      <c r="AM34" s="208" t="s">
        <v>21305</v>
      </c>
      <c r="AN34" s="208" t="s">
        <v>21306</v>
      </c>
      <c r="AO34" s="207">
        <v>3</v>
      </c>
      <c r="AP34" s="287" t="s">
        <v>21493</v>
      </c>
      <c r="AQ34" s="448" t="s">
        <v>21506</v>
      </c>
      <c r="AR34" s="448" t="s">
        <v>21507</v>
      </c>
      <c r="AS34" s="449" t="s">
        <v>5685</v>
      </c>
      <c r="AT34" s="208" t="s">
        <v>21306</v>
      </c>
      <c r="AU34" s="208" t="s">
        <v>21303</v>
      </c>
      <c r="AV34" s="208" t="s">
        <v>21303</v>
      </c>
      <c r="AW34" s="208" t="s">
        <v>21303</v>
      </c>
      <c r="AX34" s="208" t="s">
        <v>21303</v>
      </c>
      <c r="AY34" s="208" t="s">
        <v>21303</v>
      </c>
      <c r="AZ34" s="208" t="s">
        <v>21288</v>
      </c>
      <c r="BA34" s="208" t="s">
        <v>21303</v>
      </c>
      <c r="BB34" s="208" t="s">
        <v>21303</v>
      </c>
      <c r="BC34" s="208" t="s">
        <v>21303</v>
      </c>
      <c r="BD34" s="208" t="s">
        <v>21303</v>
      </c>
      <c r="BE34" s="208" t="s">
        <v>21303</v>
      </c>
      <c r="BF34" s="208" t="s">
        <v>21288</v>
      </c>
      <c r="BG34" s="208" t="s">
        <v>21508</v>
      </c>
      <c r="BH34" s="208" t="s">
        <v>21303</v>
      </c>
      <c r="BI34" s="208" t="s">
        <v>21303</v>
      </c>
      <c r="BJ34" s="208" t="s">
        <v>21303</v>
      </c>
      <c r="BK34" s="208" t="s">
        <v>21303</v>
      </c>
      <c r="BL34" s="208" t="s">
        <v>21303</v>
      </c>
      <c r="BM34" s="208" t="s">
        <v>21312</v>
      </c>
      <c r="BN34" s="208" t="s">
        <v>21303</v>
      </c>
      <c r="BO34" s="208" t="s">
        <v>21303</v>
      </c>
      <c r="BP34" s="208" t="s">
        <v>21303</v>
      </c>
      <c r="BQ34" s="208" t="s">
        <v>21303</v>
      </c>
      <c r="BR34" s="208" t="s">
        <v>21303</v>
      </c>
      <c r="BS34" s="208">
        <v>3</v>
      </c>
      <c r="BT34" s="208">
        <v>0</v>
      </c>
      <c r="BU34" s="208">
        <v>0</v>
      </c>
      <c r="BV34" s="208">
        <v>0</v>
      </c>
      <c r="BW34" s="208">
        <v>0</v>
      </c>
      <c r="BX34" s="208">
        <v>0</v>
      </c>
      <c r="BY34" s="208" t="s">
        <v>21313</v>
      </c>
      <c r="BZ34" s="208">
        <v>1</v>
      </c>
      <c r="CA34" s="208">
        <v>1</v>
      </c>
      <c r="CB34" s="208">
        <v>1</v>
      </c>
      <c r="CC34" s="208">
        <v>0</v>
      </c>
      <c r="CD34" s="208">
        <v>0</v>
      </c>
      <c r="CE34" s="208">
        <v>0</v>
      </c>
      <c r="CF34" s="208" t="s">
        <v>21303</v>
      </c>
      <c r="CG34" s="208">
        <v>0</v>
      </c>
      <c r="CH34" s="208">
        <v>0</v>
      </c>
      <c r="CI34" s="208">
        <v>0</v>
      </c>
      <c r="CJ34" s="208">
        <v>0</v>
      </c>
      <c r="CK34" s="208">
        <v>0</v>
      </c>
      <c r="CL34" s="208">
        <v>0</v>
      </c>
      <c r="CM34" s="208" t="s">
        <v>21303</v>
      </c>
      <c r="CN34" s="208">
        <v>0</v>
      </c>
      <c r="CO34" s="208">
        <v>0</v>
      </c>
      <c r="CP34" s="208">
        <v>0</v>
      </c>
      <c r="CQ34" s="208">
        <v>0</v>
      </c>
      <c r="CR34" s="208">
        <v>0</v>
      </c>
      <c r="CS34" s="208">
        <v>0</v>
      </c>
      <c r="CT34" s="208" t="s">
        <v>21303</v>
      </c>
      <c r="CU34" s="208">
        <v>0</v>
      </c>
      <c r="CV34" s="208">
        <v>0</v>
      </c>
      <c r="CW34" s="208">
        <v>0</v>
      </c>
      <c r="CX34" s="208">
        <v>0</v>
      </c>
      <c r="CY34" s="208">
        <v>0</v>
      </c>
      <c r="CZ34" s="208">
        <v>0</v>
      </c>
      <c r="DA34" s="208" t="s">
        <v>21303</v>
      </c>
      <c r="DB34" s="208">
        <v>0</v>
      </c>
      <c r="DC34" s="208">
        <v>0</v>
      </c>
      <c r="DD34" s="208">
        <v>0</v>
      </c>
      <c r="DE34" s="208">
        <v>0</v>
      </c>
      <c r="DF34" s="208">
        <v>0</v>
      </c>
      <c r="DG34" s="208">
        <v>0</v>
      </c>
      <c r="DH34" s="208" t="s">
        <v>21303</v>
      </c>
      <c r="DI34" s="208">
        <v>0</v>
      </c>
      <c r="DJ34" s="208">
        <v>0</v>
      </c>
      <c r="DK34" s="208">
        <v>0</v>
      </c>
      <c r="DL34" s="208">
        <v>0</v>
      </c>
      <c r="DM34" s="208">
        <v>0</v>
      </c>
      <c r="DN34" s="208">
        <v>0</v>
      </c>
      <c r="DO34" s="208" t="s">
        <v>21314</v>
      </c>
      <c r="DP34" s="208">
        <v>80</v>
      </c>
      <c r="DQ34" s="208">
        <v>80</v>
      </c>
      <c r="DR34" s="208">
        <v>80</v>
      </c>
      <c r="DS34" s="208">
        <v>0</v>
      </c>
      <c r="DT34" s="208">
        <v>0</v>
      </c>
      <c r="DU34" s="208">
        <v>0</v>
      </c>
      <c r="DV34" s="208" t="s">
        <v>21315</v>
      </c>
      <c r="DW34" s="208">
        <v>80</v>
      </c>
      <c r="DX34" s="208" t="s">
        <v>21303</v>
      </c>
      <c r="DY34" s="208">
        <v>0</v>
      </c>
      <c r="DZ34" s="208">
        <v>0</v>
      </c>
      <c r="EA34" s="208">
        <v>0</v>
      </c>
      <c r="EB34" s="208">
        <v>0</v>
      </c>
      <c r="EC34" s="208">
        <v>0</v>
      </c>
      <c r="ED34" s="208">
        <v>0</v>
      </c>
      <c r="EE34" s="208" t="s">
        <v>21303</v>
      </c>
      <c r="EF34" s="208">
        <v>0</v>
      </c>
      <c r="EG34" s="208" t="s">
        <v>21303</v>
      </c>
      <c r="EH34" s="208">
        <v>0</v>
      </c>
      <c r="EI34" s="208">
        <v>0</v>
      </c>
      <c r="EJ34" s="208">
        <v>0</v>
      </c>
      <c r="EK34" s="208">
        <v>0</v>
      </c>
      <c r="EL34" s="208">
        <v>0</v>
      </c>
      <c r="EM34" s="208">
        <v>0</v>
      </c>
      <c r="EN34" s="208" t="s">
        <v>21303</v>
      </c>
      <c r="EO34" s="208">
        <v>0</v>
      </c>
      <c r="EP34" s="208" t="s">
        <v>21303</v>
      </c>
      <c r="EQ34" s="208">
        <v>0</v>
      </c>
      <c r="ER34" s="208">
        <v>0</v>
      </c>
      <c r="ES34" s="208">
        <v>0</v>
      </c>
      <c r="ET34" s="208">
        <v>0</v>
      </c>
      <c r="EU34" s="208">
        <v>0</v>
      </c>
      <c r="EV34" s="208">
        <v>0</v>
      </c>
      <c r="EW34" s="208" t="s">
        <v>21303</v>
      </c>
      <c r="EX34" s="208">
        <v>0</v>
      </c>
      <c r="EY34" s="208" t="s">
        <v>21303</v>
      </c>
      <c r="EZ34" s="208">
        <v>0</v>
      </c>
      <c r="FA34" s="208">
        <v>0</v>
      </c>
      <c r="FB34" s="208">
        <v>0</v>
      </c>
      <c r="FC34" s="208">
        <v>0</v>
      </c>
      <c r="FD34" s="208">
        <v>0</v>
      </c>
      <c r="FE34" s="208">
        <v>0</v>
      </c>
      <c r="FF34" s="208" t="s">
        <v>21303</v>
      </c>
      <c r="FG34" s="208">
        <v>0</v>
      </c>
      <c r="FH34" s="208" t="s">
        <v>21303</v>
      </c>
      <c r="FI34" s="208">
        <v>0</v>
      </c>
      <c r="FJ34" s="208">
        <v>0</v>
      </c>
      <c r="FK34" s="208">
        <v>0</v>
      </c>
      <c r="FL34" s="208">
        <v>0</v>
      </c>
      <c r="FM34" s="208">
        <v>0</v>
      </c>
      <c r="FN34" s="208">
        <v>0</v>
      </c>
      <c r="FO34" s="208" t="s">
        <v>21303</v>
      </c>
      <c r="FP34" s="208">
        <v>0</v>
      </c>
      <c r="FQ34" s="208">
        <v>80</v>
      </c>
      <c r="FR34" s="208" t="s">
        <v>21316</v>
      </c>
      <c r="FS34" s="208" t="s">
        <v>21303</v>
      </c>
      <c r="FT34" s="208" t="s">
        <v>21303</v>
      </c>
      <c r="FU34" s="208" t="s">
        <v>21303</v>
      </c>
      <c r="FV34" s="208" t="s">
        <v>21303</v>
      </c>
      <c r="FW34" s="208" t="s">
        <v>21303</v>
      </c>
      <c r="FX34" s="208" t="s">
        <v>21482</v>
      </c>
      <c r="FY34" s="208">
        <v>37</v>
      </c>
      <c r="FZ34" s="208">
        <v>37</v>
      </c>
      <c r="GA34" s="208">
        <v>37</v>
      </c>
      <c r="GB34" s="208">
        <v>0</v>
      </c>
      <c r="GC34" s="208">
        <v>0</v>
      </c>
      <c r="GD34" s="208">
        <v>0</v>
      </c>
      <c r="GE34" s="208" t="s">
        <v>21485</v>
      </c>
      <c r="GF34" s="208" t="s">
        <v>21303</v>
      </c>
      <c r="GG34" s="208">
        <v>0</v>
      </c>
      <c r="GH34" s="208">
        <v>0</v>
      </c>
      <c r="GI34" s="208">
        <v>0</v>
      </c>
      <c r="GJ34" s="208">
        <v>0</v>
      </c>
      <c r="GK34" s="208">
        <v>0</v>
      </c>
      <c r="GL34" s="208">
        <v>0</v>
      </c>
      <c r="GM34" s="208" t="s">
        <v>21303</v>
      </c>
      <c r="GN34" s="208" t="s">
        <v>21303</v>
      </c>
      <c r="GO34" s="208">
        <v>0</v>
      </c>
      <c r="GP34" s="208">
        <v>0</v>
      </c>
      <c r="GQ34" s="208">
        <v>0</v>
      </c>
      <c r="GR34" s="208">
        <v>0</v>
      </c>
      <c r="GS34" s="208">
        <v>0</v>
      </c>
      <c r="GT34" s="208">
        <v>0</v>
      </c>
      <c r="GU34" s="208" t="s">
        <v>21303</v>
      </c>
      <c r="GV34" s="208" t="s">
        <v>21303</v>
      </c>
      <c r="GW34" s="208">
        <v>0</v>
      </c>
      <c r="GX34" s="208">
        <v>0</v>
      </c>
      <c r="GY34" s="208">
        <v>0</v>
      </c>
      <c r="GZ34" s="208">
        <v>0</v>
      </c>
      <c r="HA34" s="208">
        <v>0</v>
      </c>
      <c r="HB34" s="208">
        <v>0</v>
      </c>
      <c r="HC34" s="208" t="s">
        <v>21303</v>
      </c>
      <c r="HD34" s="208" t="s">
        <v>21303</v>
      </c>
      <c r="HE34" s="208">
        <v>0</v>
      </c>
      <c r="HF34" s="208">
        <v>0</v>
      </c>
      <c r="HG34" s="208">
        <v>0</v>
      </c>
      <c r="HH34" s="208">
        <v>0</v>
      </c>
      <c r="HI34" s="208">
        <v>0</v>
      </c>
      <c r="HJ34" s="208">
        <v>0</v>
      </c>
      <c r="HK34" s="208" t="s">
        <v>21303</v>
      </c>
      <c r="HL34" s="208" t="s">
        <v>21303</v>
      </c>
      <c r="HM34" s="208">
        <v>0</v>
      </c>
      <c r="HN34" s="208">
        <v>0</v>
      </c>
      <c r="HO34" s="208">
        <v>0</v>
      </c>
      <c r="HP34" s="208">
        <v>0</v>
      </c>
      <c r="HQ34" s="208">
        <v>0</v>
      </c>
      <c r="HR34" s="208">
        <v>0</v>
      </c>
      <c r="HS34" s="208" t="s">
        <v>21303</v>
      </c>
      <c r="HT34" s="208" t="s">
        <v>21319</v>
      </c>
      <c r="HU34" s="208">
        <v>37</v>
      </c>
      <c r="HV34" s="208">
        <v>0</v>
      </c>
      <c r="HW34" s="208">
        <v>0</v>
      </c>
      <c r="HX34" s="208">
        <v>0</v>
      </c>
      <c r="HY34" s="208">
        <v>0</v>
      </c>
      <c r="HZ34" s="208">
        <v>0</v>
      </c>
      <c r="IA34" s="600">
        <v>37</v>
      </c>
      <c r="IB34" s="600">
        <v>23</v>
      </c>
      <c r="IC34" s="343" t="s">
        <v>21035</v>
      </c>
      <c r="ID34" s="343" t="s">
        <v>21509</v>
      </c>
      <c r="IE34" s="343" t="s">
        <v>21320</v>
      </c>
      <c r="IF34" s="343" t="s">
        <v>21321</v>
      </c>
      <c r="IG34" s="383">
        <v>43748</v>
      </c>
      <c r="IH34" s="383">
        <v>45575</v>
      </c>
      <c r="II34" s="208">
        <v>46</v>
      </c>
    </row>
    <row r="35" ht="102">
      <c r="A35" s="207">
        <v>34</v>
      </c>
      <c r="B35" s="343" t="s">
        <v>21287</v>
      </c>
      <c r="C35" s="343" t="s">
        <v>21288</v>
      </c>
      <c r="D35" s="600">
        <v>124827</v>
      </c>
      <c r="E35" s="317" t="s">
        <v>21195</v>
      </c>
      <c r="F35" s="207" t="s">
        <v>20855</v>
      </c>
      <c r="G35" s="600">
        <v>105.5688</v>
      </c>
      <c r="H35" s="600">
        <v>21.133463</v>
      </c>
      <c r="I35" s="207">
        <v>1</v>
      </c>
      <c r="J35" s="207">
        <v>1</v>
      </c>
      <c r="K35" s="207" t="s">
        <v>21306</v>
      </c>
      <c r="L35" s="207">
        <v>124827</v>
      </c>
      <c r="M35" s="207" t="s">
        <v>21312</v>
      </c>
      <c r="N35" s="207">
        <v>3</v>
      </c>
      <c r="O35" s="207" t="s">
        <v>21313</v>
      </c>
      <c r="P35" s="207" t="s">
        <v>21314</v>
      </c>
      <c r="Q35" s="207">
        <v>2100</v>
      </c>
      <c r="R35" s="207" t="s">
        <v>21343</v>
      </c>
      <c r="S35" s="364" t="b">
        <v>1</v>
      </c>
      <c r="T35" s="207" t="s">
        <v>21196</v>
      </c>
      <c r="U35" s="207">
        <v>0</v>
      </c>
      <c r="V35" s="207" t="s">
        <v>21297</v>
      </c>
      <c r="W35" s="207" t="s">
        <v>21197</v>
      </c>
      <c r="X35" s="209" t="s">
        <v>21298</v>
      </c>
      <c r="Y35" s="207" t="b">
        <v>1</v>
      </c>
      <c r="Z35" s="364" t="b">
        <v>0</v>
      </c>
      <c r="AA35" s="600">
        <v>33</v>
      </c>
      <c r="AB35" s="364" t="b">
        <v>1</v>
      </c>
      <c r="AC35" s="600">
        <v>10</v>
      </c>
      <c r="AD35" s="207" t="b">
        <v>0</v>
      </c>
      <c r="AE35" s="207" t="s">
        <v>21299</v>
      </c>
      <c r="AF35" s="207" t="s">
        <v>21300</v>
      </c>
      <c r="AG35" s="343" t="s">
        <v>21301</v>
      </c>
      <c r="AH35" s="343" t="s">
        <v>21302</v>
      </c>
      <c r="AI35" s="343" t="s">
        <v>21054</v>
      </c>
      <c r="AJ35" s="343" t="s">
        <v>21303</v>
      </c>
      <c r="AK35" s="343" t="s">
        <v>21304</v>
      </c>
      <c r="AL35" s="208"/>
      <c r="AM35" s="208" t="s">
        <v>21305</v>
      </c>
      <c r="AN35" s="208" t="s">
        <v>21306</v>
      </c>
      <c r="AO35" s="207">
        <v>3</v>
      </c>
      <c r="AP35" s="287" t="s">
        <v>21510</v>
      </c>
      <c r="AQ35" s="448" t="s">
        <v>21511</v>
      </c>
      <c r="AR35" s="448" t="s">
        <v>21512</v>
      </c>
      <c r="AS35" s="449" t="s">
        <v>10</v>
      </c>
      <c r="AT35" s="208" t="s">
        <v>21306</v>
      </c>
      <c r="AU35" s="208" t="s">
        <v>21303</v>
      </c>
      <c r="AV35" s="208" t="s">
        <v>21303</v>
      </c>
      <c r="AW35" s="208" t="s">
        <v>21303</v>
      </c>
      <c r="AX35" s="208" t="s">
        <v>21303</v>
      </c>
      <c r="AY35" s="208" t="s">
        <v>21303</v>
      </c>
      <c r="AZ35" s="208" t="s">
        <v>21288</v>
      </c>
      <c r="BA35" s="208" t="s">
        <v>21303</v>
      </c>
      <c r="BB35" s="208" t="s">
        <v>21303</v>
      </c>
      <c r="BC35" s="208" t="s">
        <v>21303</v>
      </c>
      <c r="BD35" s="208" t="s">
        <v>21303</v>
      </c>
      <c r="BE35" s="208" t="s">
        <v>21303</v>
      </c>
      <c r="BF35" s="208" t="s">
        <v>21288</v>
      </c>
      <c r="BG35" s="208" t="s">
        <v>21513</v>
      </c>
      <c r="BH35" s="208" t="s">
        <v>21303</v>
      </c>
      <c r="BI35" s="208" t="s">
        <v>21303</v>
      </c>
      <c r="BJ35" s="208" t="s">
        <v>21303</v>
      </c>
      <c r="BK35" s="208" t="s">
        <v>21303</v>
      </c>
      <c r="BL35" s="208" t="s">
        <v>21303</v>
      </c>
      <c r="BM35" s="208" t="s">
        <v>21312</v>
      </c>
      <c r="BN35" s="208" t="s">
        <v>21303</v>
      </c>
      <c r="BO35" s="208" t="s">
        <v>21303</v>
      </c>
      <c r="BP35" s="208" t="s">
        <v>21303</v>
      </c>
      <c r="BQ35" s="208" t="s">
        <v>21303</v>
      </c>
      <c r="BR35" s="208" t="s">
        <v>21303</v>
      </c>
      <c r="BS35" s="208">
        <v>3</v>
      </c>
      <c r="BT35" s="208">
        <v>0</v>
      </c>
      <c r="BU35" s="208">
        <v>0</v>
      </c>
      <c r="BV35" s="208">
        <v>0</v>
      </c>
      <c r="BW35" s="208">
        <v>0</v>
      </c>
      <c r="BX35" s="208">
        <v>0</v>
      </c>
      <c r="BY35" s="208" t="s">
        <v>21313</v>
      </c>
      <c r="BZ35" s="208">
        <v>1</v>
      </c>
      <c r="CA35" s="208">
        <v>1</v>
      </c>
      <c r="CB35" s="208">
        <v>1</v>
      </c>
      <c r="CC35" s="208">
        <v>0</v>
      </c>
      <c r="CD35" s="208">
        <v>0</v>
      </c>
      <c r="CE35" s="208">
        <v>0</v>
      </c>
      <c r="CF35" s="208" t="s">
        <v>21303</v>
      </c>
      <c r="CG35" s="208">
        <v>0</v>
      </c>
      <c r="CH35" s="208">
        <v>0</v>
      </c>
      <c r="CI35" s="208">
        <v>0</v>
      </c>
      <c r="CJ35" s="208">
        <v>0</v>
      </c>
      <c r="CK35" s="208">
        <v>0</v>
      </c>
      <c r="CL35" s="208">
        <v>0</v>
      </c>
      <c r="CM35" s="208" t="s">
        <v>21303</v>
      </c>
      <c r="CN35" s="208">
        <v>0</v>
      </c>
      <c r="CO35" s="208">
        <v>0</v>
      </c>
      <c r="CP35" s="208">
        <v>0</v>
      </c>
      <c r="CQ35" s="208">
        <v>0</v>
      </c>
      <c r="CR35" s="208">
        <v>0</v>
      </c>
      <c r="CS35" s="208">
        <v>0</v>
      </c>
      <c r="CT35" s="208" t="s">
        <v>21303</v>
      </c>
      <c r="CU35" s="208">
        <v>0</v>
      </c>
      <c r="CV35" s="208">
        <v>0</v>
      </c>
      <c r="CW35" s="208">
        <v>0</v>
      </c>
      <c r="CX35" s="208">
        <v>0</v>
      </c>
      <c r="CY35" s="208">
        <v>0</v>
      </c>
      <c r="CZ35" s="208">
        <v>0</v>
      </c>
      <c r="DA35" s="208" t="s">
        <v>21303</v>
      </c>
      <c r="DB35" s="208">
        <v>0</v>
      </c>
      <c r="DC35" s="208">
        <v>0</v>
      </c>
      <c r="DD35" s="208">
        <v>0</v>
      </c>
      <c r="DE35" s="208">
        <v>0</v>
      </c>
      <c r="DF35" s="208">
        <v>0</v>
      </c>
      <c r="DG35" s="208">
        <v>0</v>
      </c>
      <c r="DH35" s="208" t="s">
        <v>21303</v>
      </c>
      <c r="DI35" s="208">
        <v>0</v>
      </c>
      <c r="DJ35" s="208">
        <v>0</v>
      </c>
      <c r="DK35" s="208">
        <v>0</v>
      </c>
      <c r="DL35" s="208">
        <v>0</v>
      </c>
      <c r="DM35" s="208">
        <v>0</v>
      </c>
      <c r="DN35" s="208">
        <v>0</v>
      </c>
      <c r="DO35" s="208" t="s">
        <v>21314</v>
      </c>
      <c r="DP35" s="208">
        <v>80</v>
      </c>
      <c r="DQ35" s="208">
        <v>80</v>
      </c>
      <c r="DR35" s="208">
        <v>80</v>
      </c>
      <c r="DS35" s="208">
        <v>0</v>
      </c>
      <c r="DT35" s="208">
        <v>0</v>
      </c>
      <c r="DU35" s="208">
        <v>0</v>
      </c>
      <c r="DV35" s="208" t="s">
        <v>21315</v>
      </c>
      <c r="DW35" s="208">
        <v>80</v>
      </c>
      <c r="DX35" s="208" t="s">
        <v>21303</v>
      </c>
      <c r="DY35" s="208">
        <v>0</v>
      </c>
      <c r="DZ35" s="208">
        <v>0</v>
      </c>
      <c r="EA35" s="208">
        <v>0</v>
      </c>
      <c r="EB35" s="208">
        <v>0</v>
      </c>
      <c r="EC35" s="208">
        <v>0</v>
      </c>
      <c r="ED35" s="208">
        <v>0</v>
      </c>
      <c r="EE35" s="208" t="s">
        <v>21303</v>
      </c>
      <c r="EF35" s="208">
        <v>0</v>
      </c>
      <c r="EG35" s="208" t="s">
        <v>21303</v>
      </c>
      <c r="EH35" s="208">
        <v>0</v>
      </c>
      <c r="EI35" s="208">
        <v>0</v>
      </c>
      <c r="EJ35" s="208">
        <v>0</v>
      </c>
      <c r="EK35" s="208">
        <v>0</v>
      </c>
      <c r="EL35" s="208">
        <v>0</v>
      </c>
      <c r="EM35" s="208">
        <v>0</v>
      </c>
      <c r="EN35" s="208" t="s">
        <v>21303</v>
      </c>
      <c r="EO35" s="208">
        <v>0</v>
      </c>
      <c r="EP35" s="208" t="s">
        <v>21303</v>
      </c>
      <c r="EQ35" s="208">
        <v>0</v>
      </c>
      <c r="ER35" s="208">
        <v>0</v>
      </c>
      <c r="ES35" s="208">
        <v>0</v>
      </c>
      <c r="ET35" s="208">
        <v>0</v>
      </c>
      <c r="EU35" s="208">
        <v>0</v>
      </c>
      <c r="EV35" s="208">
        <v>0</v>
      </c>
      <c r="EW35" s="208" t="s">
        <v>21303</v>
      </c>
      <c r="EX35" s="208">
        <v>0</v>
      </c>
      <c r="EY35" s="208" t="s">
        <v>21303</v>
      </c>
      <c r="EZ35" s="208">
        <v>0</v>
      </c>
      <c r="FA35" s="208">
        <v>0</v>
      </c>
      <c r="FB35" s="208">
        <v>0</v>
      </c>
      <c r="FC35" s="208">
        <v>0</v>
      </c>
      <c r="FD35" s="208">
        <v>0</v>
      </c>
      <c r="FE35" s="208">
        <v>0</v>
      </c>
      <c r="FF35" s="208" t="s">
        <v>21303</v>
      </c>
      <c r="FG35" s="208">
        <v>0</v>
      </c>
      <c r="FH35" s="208" t="s">
        <v>21303</v>
      </c>
      <c r="FI35" s="208">
        <v>0</v>
      </c>
      <c r="FJ35" s="208">
        <v>0</v>
      </c>
      <c r="FK35" s="208">
        <v>0</v>
      </c>
      <c r="FL35" s="208">
        <v>0</v>
      </c>
      <c r="FM35" s="208">
        <v>0</v>
      </c>
      <c r="FN35" s="208">
        <v>0</v>
      </c>
      <c r="FO35" s="208" t="s">
        <v>21303</v>
      </c>
      <c r="FP35" s="208">
        <v>0</v>
      </c>
      <c r="FQ35" s="208">
        <v>80</v>
      </c>
      <c r="FR35" s="208" t="s">
        <v>21316</v>
      </c>
      <c r="FS35" s="208" t="s">
        <v>21303</v>
      </c>
      <c r="FT35" s="208" t="s">
        <v>21303</v>
      </c>
      <c r="FU35" s="208" t="s">
        <v>21303</v>
      </c>
      <c r="FV35" s="208" t="s">
        <v>21303</v>
      </c>
      <c r="FW35" s="208" t="s">
        <v>21303</v>
      </c>
      <c r="FX35" s="208" t="s">
        <v>21343</v>
      </c>
      <c r="FY35" s="208">
        <v>33</v>
      </c>
      <c r="FZ35" s="208">
        <v>33</v>
      </c>
      <c r="GA35" s="208">
        <v>33</v>
      </c>
      <c r="GB35" s="208">
        <v>0</v>
      </c>
      <c r="GC35" s="208">
        <v>0</v>
      </c>
      <c r="GD35" s="208">
        <v>0</v>
      </c>
      <c r="GE35" s="208" t="s">
        <v>21344</v>
      </c>
      <c r="GF35" s="208" t="s">
        <v>21303</v>
      </c>
      <c r="GG35" s="208">
        <v>0</v>
      </c>
      <c r="GH35" s="208">
        <v>0</v>
      </c>
      <c r="GI35" s="208">
        <v>0</v>
      </c>
      <c r="GJ35" s="208">
        <v>0</v>
      </c>
      <c r="GK35" s="208">
        <v>0</v>
      </c>
      <c r="GL35" s="208">
        <v>0</v>
      </c>
      <c r="GM35" s="208" t="s">
        <v>21303</v>
      </c>
      <c r="GN35" s="208" t="s">
        <v>21303</v>
      </c>
      <c r="GO35" s="208">
        <v>0</v>
      </c>
      <c r="GP35" s="208">
        <v>0</v>
      </c>
      <c r="GQ35" s="208">
        <v>0</v>
      </c>
      <c r="GR35" s="208">
        <v>0</v>
      </c>
      <c r="GS35" s="208">
        <v>0</v>
      </c>
      <c r="GT35" s="208">
        <v>0</v>
      </c>
      <c r="GU35" s="208" t="s">
        <v>21303</v>
      </c>
      <c r="GV35" s="208" t="s">
        <v>21303</v>
      </c>
      <c r="GW35" s="208">
        <v>0</v>
      </c>
      <c r="GX35" s="208">
        <v>0</v>
      </c>
      <c r="GY35" s="208">
        <v>0</v>
      </c>
      <c r="GZ35" s="208">
        <v>0</v>
      </c>
      <c r="HA35" s="208">
        <v>0</v>
      </c>
      <c r="HB35" s="208">
        <v>0</v>
      </c>
      <c r="HC35" s="208" t="s">
        <v>21303</v>
      </c>
      <c r="HD35" s="208" t="s">
        <v>21303</v>
      </c>
      <c r="HE35" s="208">
        <v>0</v>
      </c>
      <c r="HF35" s="208">
        <v>0</v>
      </c>
      <c r="HG35" s="208">
        <v>0</v>
      </c>
      <c r="HH35" s="208">
        <v>0</v>
      </c>
      <c r="HI35" s="208">
        <v>0</v>
      </c>
      <c r="HJ35" s="208">
        <v>0</v>
      </c>
      <c r="HK35" s="208" t="s">
        <v>21303</v>
      </c>
      <c r="HL35" s="208" t="s">
        <v>21303</v>
      </c>
      <c r="HM35" s="208">
        <v>0</v>
      </c>
      <c r="HN35" s="208">
        <v>0</v>
      </c>
      <c r="HO35" s="208">
        <v>0</v>
      </c>
      <c r="HP35" s="208">
        <v>0</v>
      </c>
      <c r="HQ35" s="208">
        <v>0</v>
      </c>
      <c r="HR35" s="208">
        <v>0</v>
      </c>
      <c r="HS35" s="208" t="s">
        <v>21303</v>
      </c>
      <c r="HT35" s="208" t="s">
        <v>21319</v>
      </c>
      <c r="HU35" s="208">
        <v>33</v>
      </c>
      <c r="HV35" s="208">
        <v>0</v>
      </c>
      <c r="HW35" s="208">
        <v>0</v>
      </c>
      <c r="HX35" s="208">
        <v>0</v>
      </c>
      <c r="HY35" s="208">
        <v>0</v>
      </c>
      <c r="HZ35" s="208">
        <v>0</v>
      </c>
      <c r="IA35" s="600">
        <v>33</v>
      </c>
      <c r="IB35" s="600">
        <v>23</v>
      </c>
      <c r="IC35" s="343" t="s">
        <v>21035</v>
      </c>
      <c r="ID35" s="343" t="s">
        <v>3621</v>
      </c>
      <c r="IE35" s="343" t="s">
        <v>21320</v>
      </c>
      <c r="IF35" s="343" t="s">
        <v>21321</v>
      </c>
      <c r="IG35" s="383">
        <v>43748</v>
      </c>
      <c r="IH35" s="383">
        <v>45575</v>
      </c>
      <c r="II35" s="208">
        <v>46</v>
      </c>
    </row>
    <row r="36" ht="102">
      <c r="A36" s="207">
        <v>35</v>
      </c>
      <c r="B36" s="343" t="s">
        <v>21287</v>
      </c>
      <c r="C36" s="343" t="s">
        <v>21288</v>
      </c>
      <c r="D36" s="600">
        <v>124970</v>
      </c>
      <c r="E36" s="317" t="s">
        <v>21198</v>
      </c>
      <c r="F36" s="207" t="s">
        <v>20855</v>
      </c>
      <c r="G36" s="600">
        <v>105.683996</v>
      </c>
      <c r="H36" s="600">
        <v>20.941844</v>
      </c>
      <c r="I36" s="207">
        <v>1</v>
      </c>
      <c r="J36" s="207">
        <v>1</v>
      </c>
      <c r="K36" s="207" t="s">
        <v>21306</v>
      </c>
      <c r="L36" s="207">
        <v>124970</v>
      </c>
      <c r="M36" s="207" t="s">
        <v>21312</v>
      </c>
      <c r="N36" s="207">
        <v>3</v>
      </c>
      <c r="O36" s="207" t="s">
        <v>21313</v>
      </c>
      <c r="P36" s="207" t="s">
        <v>21314</v>
      </c>
      <c r="Q36" s="207">
        <v>2100</v>
      </c>
      <c r="R36" s="207" t="s">
        <v>21343</v>
      </c>
      <c r="S36" s="364" t="b">
        <v>1</v>
      </c>
      <c r="T36" s="207" t="s">
        <v>21199</v>
      </c>
      <c r="U36" s="207">
        <v>0</v>
      </c>
      <c r="V36" s="207" t="s">
        <v>21297</v>
      </c>
      <c r="W36" s="207" t="s">
        <v>21200</v>
      </c>
      <c r="X36" s="209" t="s">
        <v>21298</v>
      </c>
      <c r="Y36" s="207" t="b">
        <v>1</v>
      </c>
      <c r="Z36" s="364" t="b">
        <v>0</v>
      </c>
      <c r="AA36" s="600">
        <v>33</v>
      </c>
      <c r="AB36" s="364" t="b">
        <v>1</v>
      </c>
      <c r="AC36" s="600">
        <v>8</v>
      </c>
      <c r="AD36" s="207" t="b">
        <v>0</v>
      </c>
      <c r="AE36" s="207" t="s">
        <v>21299</v>
      </c>
      <c r="AF36" s="207" t="s">
        <v>21300</v>
      </c>
      <c r="AG36" s="343" t="s">
        <v>21301</v>
      </c>
      <c r="AH36" s="343" t="s">
        <v>21302</v>
      </c>
      <c r="AI36" s="343" t="s">
        <v>21054</v>
      </c>
      <c r="AJ36" s="343" t="s">
        <v>21303</v>
      </c>
      <c r="AK36" s="343" t="s">
        <v>21304</v>
      </c>
      <c r="AL36" s="208"/>
      <c r="AM36" s="208" t="s">
        <v>21305</v>
      </c>
      <c r="AN36" s="208" t="s">
        <v>21306</v>
      </c>
      <c r="AO36" s="207">
        <v>3</v>
      </c>
      <c r="AP36" s="287" t="s">
        <v>21510</v>
      </c>
      <c r="AQ36" s="448" t="s">
        <v>21514</v>
      </c>
      <c r="AR36" s="448" t="s">
        <v>21515</v>
      </c>
      <c r="AS36" s="449" t="s">
        <v>10</v>
      </c>
      <c r="AT36" s="208" t="s">
        <v>21306</v>
      </c>
      <c r="AU36" s="208" t="s">
        <v>21303</v>
      </c>
      <c r="AV36" s="208" t="s">
        <v>21303</v>
      </c>
      <c r="AW36" s="208" t="s">
        <v>21303</v>
      </c>
      <c r="AX36" s="208" t="s">
        <v>21303</v>
      </c>
      <c r="AY36" s="208" t="s">
        <v>21303</v>
      </c>
      <c r="AZ36" s="208" t="s">
        <v>21288</v>
      </c>
      <c r="BA36" s="208" t="s">
        <v>21303</v>
      </c>
      <c r="BB36" s="208" t="s">
        <v>21303</v>
      </c>
      <c r="BC36" s="208" t="s">
        <v>21303</v>
      </c>
      <c r="BD36" s="208" t="s">
        <v>21303</v>
      </c>
      <c r="BE36" s="208" t="s">
        <v>21303</v>
      </c>
      <c r="BF36" s="208" t="s">
        <v>21288</v>
      </c>
      <c r="BG36" s="208" t="s">
        <v>21516</v>
      </c>
      <c r="BH36" s="208" t="s">
        <v>21303</v>
      </c>
      <c r="BI36" s="208" t="s">
        <v>21303</v>
      </c>
      <c r="BJ36" s="208" t="s">
        <v>21303</v>
      </c>
      <c r="BK36" s="208" t="s">
        <v>21303</v>
      </c>
      <c r="BL36" s="208" t="s">
        <v>21303</v>
      </c>
      <c r="BM36" s="208" t="s">
        <v>21312</v>
      </c>
      <c r="BN36" s="208" t="s">
        <v>21303</v>
      </c>
      <c r="BO36" s="208" t="s">
        <v>21303</v>
      </c>
      <c r="BP36" s="208" t="s">
        <v>21303</v>
      </c>
      <c r="BQ36" s="208" t="s">
        <v>21303</v>
      </c>
      <c r="BR36" s="208" t="s">
        <v>21303</v>
      </c>
      <c r="BS36" s="208">
        <v>3</v>
      </c>
      <c r="BT36" s="208">
        <v>0</v>
      </c>
      <c r="BU36" s="208">
        <v>0</v>
      </c>
      <c r="BV36" s="208">
        <v>0</v>
      </c>
      <c r="BW36" s="208">
        <v>0</v>
      </c>
      <c r="BX36" s="208">
        <v>0</v>
      </c>
      <c r="BY36" s="208" t="s">
        <v>21313</v>
      </c>
      <c r="BZ36" s="208">
        <v>1</v>
      </c>
      <c r="CA36" s="208">
        <v>1</v>
      </c>
      <c r="CB36" s="208">
        <v>1</v>
      </c>
      <c r="CC36" s="208">
        <v>0</v>
      </c>
      <c r="CD36" s="208">
        <v>0</v>
      </c>
      <c r="CE36" s="208">
        <v>0</v>
      </c>
      <c r="CF36" s="208" t="s">
        <v>21303</v>
      </c>
      <c r="CG36" s="208">
        <v>0</v>
      </c>
      <c r="CH36" s="208">
        <v>0</v>
      </c>
      <c r="CI36" s="208">
        <v>0</v>
      </c>
      <c r="CJ36" s="208">
        <v>0</v>
      </c>
      <c r="CK36" s="208">
        <v>0</v>
      </c>
      <c r="CL36" s="208">
        <v>0</v>
      </c>
      <c r="CM36" s="208" t="s">
        <v>21303</v>
      </c>
      <c r="CN36" s="208">
        <v>0</v>
      </c>
      <c r="CO36" s="208">
        <v>0</v>
      </c>
      <c r="CP36" s="208">
        <v>0</v>
      </c>
      <c r="CQ36" s="208">
        <v>0</v>
      </c>
      <c r="CR36" s="208">
        <v>0</v>
      </c>
      <c r="CS36" s="208">
        <v>0</v>
      </c>
      <c r="CT36" s="208" t="s">
        <v>21303</v>
      </c>
      <c r="CU36" s="208">
        <v>0</v>
      </c>
      <c r="CV36" s="208">
        <v>0</v>
      </c>
      <c r="CW36" s="208">
        <v>0</v>
      </c>
      <c r="CX36" s="208">
        <v>0</v>
      </c>
      <c r="CY36" s="208">
        <v>0</v>
      </c>
      <c r="CZ36" s="208">
        <v>0</v>
      </c>
      <c r="DA36" s="208" t="s">
        <v>21303</v>
      </c>
      <c r="DB36" s="208">
        <v>0</v>
      </c>
      <c r="DC36" s="208">
        <v>0</v>
      </c>
      <c r="DD36" s="208">
        <v>0</v>
      </c>
      <c r="DE36" s="208">
        <v>0</v>
      </c>
      <c r="DF36" s="208">
        <v>0</v>
      </c>
      <c r="DG36" s="208">
        <v>0</v>
      </c>
      <c r="DH36" s="208" t="s">
        <v>21303</v>
      </c>
      <c r="DI36" s="208">
        <v>0</v>
      </c>
      <c r="DJ36" s="208">
        <v>0</v>
      </c>
      <c r="DK36" s="208">
        <v>0</v>
      </c>
      <c r="DL36" s="208">
        <v>0</v>
      </c>
      <c r="DM36" s="208">
        <v>0</v>
      </c>
      <c r="DN36" s="208">
        <v>0</v>
      </c>
      <c r="DO36" s="208" t="s">
        <v>21314</v>
      </c>
      <c r="DP36" s="208">
        <v>80</v>
      </c>
      <c r="DQ36" s="208">
        <v>80</v>
      </c>
      <c r="DR36" s="208">
        <v>80</v>
      </c>
      <c r="DS36" s="208">
        <v>0</v>
      </c>
      <c r="DT36" s="208">
        <v>0</v>
      </c>
      <c r="DU36" s="208">
        <v>0</v>
      </c>
      <c r="DV36" s="208" t="s">
        <v>21315</v>
      </c>
      <c r="DW36" s="208">
        <v>80</v>
      </c>
      <c r="DX36" s="208" t="s">
        <v>21303</v>
      </c>
      <c r="DY36" s="208">
        <v>0</v>
      </c>
      <c r="DZ36" s="208">
        <v>0</v>
      </c>
      <c r="EA36" s="208">
        <v>0</v>
      </c>
      <c r="EB36" s="208">
        <v>0</v>
      </c>
      <c r="EC36" s="208">
        <v>0</v>
      </c>
      <c r="ED36" s="208">
        <v>0</v>
      </c>
      <c r="EE36" s="208" t="s">
        <v>21303</v>
      </c>
      <c r="EF36" s="208">
        <v>0</v>
      </c>
      <c r="EG36" s="208" t="s">
        <v>21303</v>
      </c>
      <c r="EH36" s="208">
        <v>0</v>
      </c>
      <c r="EI36" s="208">
        <v>0</v>
      </c>
      <c r="EJ36" s="208">
        <v>0</v>
      </c>
      <c r="EK36" s="208">
        <v>0</v>
      </c>
      <c r="EL36" s="208">
        <v>0</v>
      </c>
      <c r="EM36" s="208">
        <v>0</v>
      </c>
      <c r="EN36" s="208" t="s">
        <v>21303</v>
      </c>
      <c r="EO36" s="208">
        <v>0</v>
      </c>
      <c r="EP36" s="208" t="s">
        <v>21303</v>
      </c>
      <c r="EQ36" s="208">
        <v>0</v>
      </c>
      <c r="ER36" s="208">
        <v>0</v>
      </c>
      <c r="ES36" s="208">
        <v>0</v>
      </c>
      <c r="ET36" s="208">
        <v>0</v>
      </c>
      <c r="EU36" s="208">
        <v>0</v>
      </c>
      <c r="EV36" s="208">
        <v>0</v>
      </c>
      <c r="EW36" s="208" t="s">
        <v>21303</v>
      </c>
      <c r="EX36" s="208">
        <v>0</v>
      </c>
      <c r="EY36" s="208" t="s">
        <v>21303</v>
      </c>
      <c r="EZ36" s="208">
        <v>0</v>
      </c>
      <c r="FA36" s="208">
        <v>0</v>
      </c>
      <c r="FB36" s="208">
        <v>0</v>
      </c>
      <c r="FC36" s="208">
        <v>0</v>
      </c>
      <c r="FD36" s="208">
        <v>0</v>
      </c>
      <c r="FE36" s="208">
        <v>0</v>
      </c>
      <c r="FF36" s="208" t="s">
        <v>21303</v>
      </c>
      <c r="FG36" s="208">
        <v>0</v>
      </c>
      <c r="FH36" s="208" t="s">
        <v>21303</v>
      </c>
      <c r="FI36" s="208">
        <v>0</v>
      </c>
      <c r="FJ36" s="208">
        <v>0</v>
      </c>
      <c r="FK36" s="208">
        <v>0</v>
      </c>
      <c r="FL36" s="208">
        <v>0</v>
      </c>
      <c r="FM36" s="208">
        <v>0</v>
      </c>
      <c r="FN36" s="208">
        <v>0</v>
      </c>
      <c r="FO36" s="208" t="s">
        <v>21303</v>
      </c>
      <c r="FP36" s="208">
        <v>0</v>
      </c>
      <c r="FQ36" s="208">
        <v>80</v>
      </c>
      <c r="FR36" s="208" t="s">
        <v>21316</v>
      </c>
      <c r="FS36" s="208" t="s">
        <v>21303</v>
      </c>
      <c r="FT36" s="208" t="s">
        <v>21303</v>
      </c>
      <c r="FU36" s="208" t="s">
        <v>21303</v>
      </c>
      <c r="FV36" s="208" t="s">
        <v>21303</v>
      </c>
      <c r="FW36" s="208" t="s">
        <v>21303</v>
      </c>
      <c r="FX36" s="208" t="s">
        <v>21343</v>
      </c>
      <c r="FY36" s="208">
        <v>33</v>
      </c>
      <c r="FZ36" s="208">
        <v>33</v>
      </c>
      <c r="GA36" s="208">
        <v>33</v>
      </c>
      <c r="GB36" s="208">
        <v>0</v>
      </c>
      <c r="GC36" s="208">
        <v>0</v>
      </c>
      <c r="GD36" s="208">
        <v>0</v>
      </c>
      <c r="GE36" s="208" t="s">
        <v>21344</v>
      </c>
      <c r="GF36" s="208" t="s">
        <v>21303</v>
      </c>
      <c r="GG36" s="208">
        <v>0</v>
      </c>
      <c r="GH36" s="208">
        <v>0</v>
      </c>
      <c r="GI36" s="208">
        <v>0</v>
      </c>
      <c r="GJ36" s="208">
        <v>0</v>
      </c>
      <c r="GK36" s="208">
        <v>0</v>
      </c>
      <c r="GL36" s="208">
        <v>0</v>
      </c>
      <c r="GM36" s="208" t="s">
        <v>21303</v>
      </c>
      <c r="GN36" s="208" t="s">
        <v>21303</v>
      </c>
      <c r="GO36" s="208">
        <v>0</v>
      </c>
      <c r="GP36" s="208">
        <v>0</v>
      </c>
      <c r="GQ36" s="208">
        <v>0</v>
      </c>
      <c r="GR36" s="208">
        <v>0</v>
      </c>
      <c r="GS36" s="208">
        <v>0</v>
      </c>
      <c r="GT36" s="208">
        <v>0</v>
      </c>
      <c r="GU36" s="208" t="s">
        <v>21303</v>
      </c>
      <c r="GV36" s="208" t="s">
        <v>21303</v>
      </c>
      <c r="GW36" s="208">
        <v>0</v>
      </c>
      <c r="GX36" s="208">
        <v>0</v>
      </c>
      <c r="GY36" s="208">
        <v>0</v>
      </c>
      <c r="GZ36" s="208">
        <v>0</v>
      </c>
      <c r="HA36" s="208">
        <v>0</v>
      </c>
      <c r="HB36" s="208">
        <v>0</v>
      </c>
      <c r="HC36" s="208" t="s">
        <v>21303</v>
      </c>
      <c r="HD36" s="208" t="s">
        <v>21303</v>
      </c>
      <c r="HE36" s="208">
        <v>0</v>
      </c>
      <c r="HF36" s="208">
        <v>0</v>
      </c>
      <c r="HG36" s="208">
        <v>0</v>
      </c>
      <c r="HH36" s="208">
        <v>0</v>
      </c>
      <c r="HI36" s="208">
        <v>0</v>
      </c>
      <c r="HJ36" s="208">
        <v>0</v>
      </c>
      <c r="HK36" s="208" t="s">
        <v>21303</v>
      </c>
      <c r="HL36" s="208" t="s">
        <v>21303</v>
      </c>
      <c r="HM36" s="208">
        <v>0</v>
      </c>
      <c r="HN36" s="208">
        <v>0</v>
      </c>
      <c r="HO36" s="208">
        <v>0</v>
      </c>
      <c r="HP36" s="208">
        <v>0</v>
      </c>
      <c r="HQ36" s="208">
        <v>0</v>
      </c>
      <c r="HR36" s="208">
        <v>0</v>
      </c>
      <c r="HS36" s="208" t="s">
        <v>21303</v>
      </c>
      <c r="HT36" s="208" t="s">
        <v>21319</v>
      </c>
      <c r="HU36" s="208">
        <v>33</v>
      </c>
      <c r="HV36" s="208">
        <v>0</v>
      </c>
      <c r="HW36" s="208">
        <v>0</v>
      </c>
      <c r="HX36" s="208">
        <v>0</v>
      </c>
      <c r="HY36" s="208">
        <v>0</v>
      </c>
      <c r="HZ36" s="208">
        <v>0</v>
      </c>
      <c r="IA36" s="600">
        <v>33</v>
      </c>
      <c r="IB36" s="600">
        <v>25</v>
      </c>
      <c r="IC36" s="343" t="s">
        <v>21035</v>
      </c>
      <c r="ID36" s="343" t="s">
        <v>21517</v>
      </c>
      <c r="IE36" s="343" t="s">
        <v>21320</v>
      </c>
      <c r="IF36" s="343" t="s">
        <v>21321</v>
      </c>
      <c r="IG36" s="383">
        <v>43748</v>
      </c>
      <c r="IH36" s="383">
        <v>45575</v>
      </c>
      <c r="II36" s="208">
        <v>46</v>
      </c>
    </row>
    <row r="37" ht="102">
      <c r="A37" s="207">
        <v>36</v>
      </c>
      <c r="B37" s="343" t="s">
        <v>21287</v>
      </c>
      <c r="C37" s="343" t="s">
        <v>21288</v>
      </c>
      <c r="D37" s="600">
        <v>124791</v>
      </c>
      <c r="E37" s="317" t="s">
        <v>21201</v>
      </c>
      <c r="F37" s="207" t="s">
        <v>20855</v>
      </c>
      <c r="G37" s="600">
        <v>105.738588</v>
      </c>
      <c r="H37" s="600">
        <v>20.986976</v>
      </c>
      <c r="I37" s="207">
        <v>1</v>
      </c>
      <c r="J37" s="207">
        <v>1</v>
      </c>
      <c r="K37" s="207" t="s">
        <v>21306</v>
      </c>
      <c r="L37" s="207">
        <v>124791</v>
      </c>
      <c r="M37" s="207" t="s">
        <v>21312</v>
      </c>
      <c r="N37" s="207">
        <v>3</v>
      </c>
      <c r="O37" s="207" t="s">
        <v>21313</v>
      </c>
      <c r="P37" s="207" t="s">
        <v>21314</v>
      </c>
      <c r="Q37" s="207">
        <v>2100</v>
      </c>
      <c r="R37" s="207" t="s">
        <v>21399</v>
      </c>
      <c r="S37" s="364" t="b">
        <v>1</v>
      </c>
      <c r="T37" s="207" t="s">
        <v>21202</v>
      </c>
      <c r="U37" s="207">
        <v>0</v>
      </c>
      <c r="V37" s="207" t="s">
        <v>21297</v>
      </c>
      <c r="W37" s="207" t="s">
        <v>21203</v>
      </c>
      <c r="X37" s="209" t="s">
        <v>21298</v>
      </c>
      <c r="Y37" s="207" t="b">
        <v>0</v>
      </c>
      <c r="Z37" s="364" t="b">
        <v>0</v>
      </c>
      <c r="AA37" s="600">
        <v>25</v>
      </c>
      <c r="AB37" s="364" t="b">
        <v>1</v>
      </c>
      <c r="AC37" s="600">
        <v>21</v>
      </c>
      <c r="AD37" s="207" t="b">
        <v>0</v>
      </c>
      <c r="AE37" s="207" t="s">
        <v>21299</v>
      </c>
      <c r="AF37" s="207" t="s">
        <v>21300</v>
      </c>
      <c r="AG37" s="343" t="s">
        <v>21301</v>
      </c>
      <c r="AH37" s="343" t="s">
        <v>21302</v>
      </c>
      <c r="AI37" s="343" t="s">
        <v>21054</v>
      </c>
      <c r="AJ37" s="343" t="s">
        <v>21303</v>
      </c>
      <c r="AK37" s="343" t="s">
        <v>21304</v>
      </c>
      <c r="AL37" s="208"/>
      <c r="AM37" s="208" t="s">
        <v>21305</v>
      </c>
      <c r="AN37" s="208" t="s">
        <v>21306</v>
      </c>
      <c r="AO37" s="207">
        <v>5</v>
      </c>
      <c r="AP37" s="287" t="s">
        <v>21510</v>
      </c>
      <c r="AQ37" s="448" t="s">
        <v>21518</v>
      </c>
      <c r="AR37" s="448" t="s">
        <v>21519</v>
      </c>
      <c r="AS37" s="449" t="s">
        <v>10</v>
      </c>
      <c r="AT37" s="208" t="s">
        <v>21306</v>
      </c>
      <c r="AU37" s="208" t="s">
        <v>21303</v>
      </c>
      <c r="AV37" s="208" t="s">
        <v>21303</v>
      </c>
      <c r="AW37" s="208" t="s">
        <v>21303</v>
      </c>
      <c r="AX37" s="208" t="s">
        <v>21303</v>
      </c>
      <c r="AY37" s="208" t="s">
        <v>21303</v>
      </c>
      <c r="AZ37" s="208" t="s">
        <v>21288</v>
      </c>
      <c r="BA37" s="208" t="s">
        <v>21303</v>
      </c>
      <c r="BB37" s="208" t="s">
        <v>21303</v>
      </c>
      <c r="BC37" s="208" t="s">
        <v>21303</v>
      </c>
      <c r="BD37" s="208" t="s">
        <v>21303</v>
      </c>
      <c r="BE37" s="208" t="s">
        <v>21303</v>
      </c>
      <c r="BF37" s="208" t="s">
        <v>21288</v>
      </c>
      <c r="BG37" s="208" t="s">
        <v>21520</v>
      </c>
      <c r="BH37" s="208" t="s">
        <v>21303</v>
      </c>
      <c r="BI37" s="208" t="s">
        <v>21303</v>
      </c>
      <c r="BJ37" s="208" t="s">
        <v>21303</v>
      </c>
      <c r="BK37" s="208" t="s">
        <v>21303</v>
      </c>
      <c r="BL37" s="208" t="s">
        <v>21303</v>
      </c>
      <c r="BM37" s="208" t="s">
        <v>21312</v>
      </c>
      <c r="BN37" s="208" t="s">
        <v>21303</v>
      </c>
      <c r="BO37" s="208" t="s">
        <v>21303</v>
      </c>
      <c r="BP37" s="208" t="s">
        <v>21303</v>
      </c>
      <c r="BQ37" s="208" t="s">
        <v>21303</v>
      </c>
      <c r="BR37" s="208" t="s">
        <v>21303</v>
      </c>
      <c r="BS37" s="208">
        <v>3</v>
      </c>
      <c r="BT37" s="208">
        <v>0</v>
      </c>
      <c r="BU37" s="208">
        <v>0</v>
      </c>
      <c r="BV37" s="208">
        <v>0</v>
      </c>
      <c r="BW37" s="208">
        <v>0</v>
      </c>
      <c r="BX37" s="208">
        <v>0</v>
      </c>
      <c r="BY37" s="208" t="s">
        <v>21313</v>
      </c>
      <c r="BZ37" s="208">
        <v>1</v>
      </c>
      <c r="CA37" s="208">
        <v>1</v>
      </c>
      <c r="CB37" s="208">
        <v>1</v>
      </c>
      <c r="CC37" s="208">
        <v>0</v>
      </c>
      <c r="CD37" s="208">
        <v>0</v>
      </c>
      <c r="CE37" s="208">
        <v>0</v>
      </c>
      <c r="CF37" s="208" t="s">
        <v>21303</v>
      </c>
      <c r="CG37" s="208">
        <v>0</v>
      </c>
      <c r="CH37" s="208">
        <v>0</v>
      </c>
      <c r="CI37" s="208">
        <v>0</v>
      </c>
      <c r="CJ37" s="208">
        <v>0</v>
      </c>
      <c r="CK37" s="208">
        <v>0</v>
      </c>
      <c r="CL37" s="208">
        <v>0</v>
      </c>
      <c r="CM37" s="208" t="s">
        <v>21303</v>
      </c>
      <c r="CN37" s="208">
        <v>0</v>
      </c>
      <c r="CO37" s="208">
        <v>0</v>
      </c>
      <c r="CP37" s="208">
        <v>0</v>
      </c>
      <c r="CQ37" s="208">
        <v>0</v>
      </c>
      <c r="CR37" s="208">
        <v>0</v>
      </c>
      <c r="CS37" s="208">
        <v>0</v>
      </c>
      <c r="CT37" s="208" t="s">
        <v>21303</v>
      </c>
      <c r="CU37" s="208">
        <v>0</v>
      </c>
      <c r="CV37" s="208">
        <v>0</v>
      </c>
      <c r="CW37" s="208">
        <v>0</v>
      </c>
      <c r="CX37" s="208">
        <v>0</v>
      </c>
      <c r="CY37" s="208">
        <v>0</v>
      </c>
      <c r="CZ37" s="208">
        <v>0</v>
      </c>
      <c r="DA37" s="208" t="s">
        <v>21303</v>
      </c>
      <c r="DB37" s="208">
        <v>0</v>
      </c>
      <c r="DC37" s="208">
        <v>0</v>
      </c>
      <c r="DD37" s="208">
        <v>0</v>
      </c>
      <c r="DE37" s="208">
        <v>0</v>
      </c>
      <c r="DF37" s="208">
        <v>0</v>
      </c>
      <c r="DG37" s="208">
        <v>0</v>
      </c>
      <c r="DH37" s="208" t="s">
        <v>21303</v>
      </c>
      <c r="DI37" s="208">
        <v>0</v>
      </c>
      <c r="DJ37" s="208">
        <v>0</v>
      </c>
      <c r="DK37" s="208">
        <v>0</v>
      </c>
      <c r="DL37" s="208">
        <v>0</v>
      </c>
      <c r="DM37" s="208">
        <v>0</v>
      </c>
      <c r="DN37" s="208">
        <v>0</v>
      </c>
      <c r="DO37" s="208" t="s">
        <v>21314</v>
      </c>
      <c r="DP37" s="208">
        <v>80</v>
      </c>
      <c r="DQ37" s="208">
        <v>80</v>
      </c>
      <c r="DR37" s="208">
        <v>80</v>
      </c>
      <c r="DS37" s="208">
        <v>0</v>
      </c>
      <c r="DT37" s="208">
        <v>0</v>
      </c>
      <c r="DU37" s="208">
        <v>0</v>
      </c>
      <c r="DV37" s="208" t="s">
        <v>21315</v>
      </c>
      <c r="DW37" s="208">
        <v>80</v>
      </c>
      <c r="DX37" s="208" t="s">
        <v>21303</v>
      </c>
      <c r="DY37" s="208">
        <v>0</v>
      </c>
      <c r="DZ37" s="208">
        <v>0</v>
      </c>
      <c r="EA37" s="208">
        <v>0</v>
      </c>
      <c r="EB37" s="208">
        <v>0</v>
      </c>
      <c r="EC37" s="208">
        <v>0</v>
      </c>
      <c r="ED37" s="208">
        <v>0</v>
      </c>
      <c r="EE37" s="208" t="s">
        <v>21303</v>
      </c>
      <c r="EF37" s="208">
        <v>0</v>
      </c>
      <c r="EG37" s="208" t="s">
        <v>21303</v>
      </c>
      <c r="EH37" s="208">
        <v>0</v>
      </c>
      <c r="EI37" s="208">
        <v>0</v>
      </c>
      <c r="EJ37" s="208">
        <v>0</v>
      </c>
      <c r="EK37" s="208">
        <v>0</v>
      </c>
      <c r="EL37" s="208">
        <v>0</v>
      </c>
      <c r="EM37" s="208">
        <v>0</v>
      </c>
      <c r="EN37" s="208" t="s">
        <v>21303</v>
      </c>
      <c r="EO37" s="208">
        <v>0</v>
      </c>
      <c r="EP37" s="208" t="s">
        <v>21303</v>
      </c>
      <c r="EQ37" s="208">
        <v>0</v>
      </c>
      <c r="ER37" s="208">
        <v>0</v>
      </c>
      <c r="ES37" s="208">
        <v>0</v>
      </c>
      <c r="ET37" s="208">
        <v>0</v>
      </c>
      <c r="EU37" s="208">
        <v>0</v>
      </c>
      <c r="EV37" s="208">
        <v>0</v>
      </c>
      <c r="EW37" s="208" t="s">
        <v>21303</v>
      </c>
      <c r="EX37" s="208">
        <v>0</v>
      </c>
      <c r="EY37" s="208" t="s">
        <v>21303</v>
      </c>
      <c r="EZ37" s="208">
        <v>0</v>
      </c>
      <c r="FA37" s="208">
        <v>0</v>
      </c>
      <c r="FB37" s="208">
        <v>0</v>
      </c>
      <c r="FC37" s="208">
        <v>0</v>
      </c>
      <c r="FD37" s="208">
        <v>0</v>
      </c>
      <c r="FE37" s="208">
        <v>0</v>
      </c>
      <c r="FF37" s="208" t="s">
        <v>21303</v>
      </c>
      <c r="FG37" s="208">
        <v>0</v>
      </c>
      <c r="FH37" s="208" t="s">
        <v>21303</v>
      </c>
      <c r="FI37" s="208">
        <v>0</v>
      </c>
      <c r="FJ37" s="208">
        <v>0</v>
      </c>
      <c r="FK37" s="208">
        <v>0</v>
      </c>
      <c r="FL37" s="208">
        <v>0</v>
      </c>
      <c r="FM37" s="208">
        <v>0</v>
      </c>
      <c r="FN37" s="208">
        <v>0</v>
      </c>
      <c r="FO37" s="208" t="s">
        <v>21303</v>
      </c>
      <c r="FP37" s="208">
        <v>0</v>
      </c>
      <c r="FQ37" s="208">
        <v>80</v>
      </c>
      <c r="FR37" s="208" t="s">
        <v>21316</v>
      </c>
      <c r="FS37" s="208" t="s">
        <v>21303</v>
      </c>
      <c r="FT37" s="208" t="s">
        <v>21303</v>
      </c>
      <c r="FU37" s="208" t="s">
        <v>21303</v>
      </c>
      <c r="FV37" s="208" t="s">
        <v>21303</v>
      </c>
      <c r="FW37" s="208" t="s">
        <v>21303</v>
      </c>
      <c r="FX37" s="208" t="s">
        <v>21399</v>
      </c>
      <c r="FY37" s="208">
        <v>25</v>
      </c>
      <c r="FZ37" s="208">
        <v>25</v>
      </c>
      <c r="GA37" s="208">
        <v>25</v>
      </c>
      <c r="GB37" s="208">
        <v>0</v>
      </c>
      <c r="GC37" s="208">
        <v>0</v>
      </c>
      <c r="GD37" s="208">
        <v>0</v>
      </c>
      <c r="GE37" s="208" t="s">
        <v>21400</v>
      </c>
      <c r="GF37" s="208" t="s">
        <v>21303</v>
      </c>
      <c r="GG37" s="208">
        <v>0</v>
      </c>
      <c r="GH37" s="208">
        <v>0</v>
      </c>
      <c r="GI37" s="208">
        <v>0</v>
      </c>
      <c r="GJ37" s="208">
        <v>0</v>
      </c>
      <c r="GK37" s="208">
        <v>0</v>
      </c>
      <c r="GL37" s="208">
        <v>0</v>
      </c>
      <c r="GM37" s="208" t="s">
        <v>21303</v>
      </c>
      <c r="GN37" s="208" t="s">
        <v>21303</v>
      </c>
      <c r="GO37" s="208">
        <v>0</v>
      </c>
      <c r="GP37" s="208">
        <v>0</v>
      </c>
      <c r="GQ37" s="208">
        <v>0</v>
      </c>
      <c r="GR37" s="208">
        <v>0</v>
      </c>
      <c r="GS37" s="208">
        <v>0</v>
      </c>
      <c r="GT37" s="208">
        <v>0</v>
      </c>
      <c r="GU37" s="208" t="s">
        <v>21303</v>
      </c>
      <c r="GV37" s="208" t="s">
        <v>21303</v>
      </c>
      <c r="GW37" s="208">
        <v>0</v>
      </c>
      <c r="GX37" s="208">
        <v>0</v>
      </c>
      <c r="GY37" s="208">
        <v>0</v>
      </c>
      <c r="GZ37" s="208">
        <v>0</v>
      </c>
      <c r="HA37" s="208">
        <v>0</v>
      </c>
      <c r="HB37" s="208">
        <v>0</v>
      </c>
      <c r="HC37" s="208" t="s">
        <v>21303</v>
      </c>
      <c r="HD37" s="208" t="s">
        <v>21303</v>
      </c>
      <c r="HE37" s="208">
        <v>0</v>
      </c>
      <c r="HF37" s="208">
        <v>0</v>
      </c>
      <c r="HG37" s="208">
        <v>0</v>
      </c>
      <c r="HH37" s="208">
        <v>0</v>
      </c>
      <c r="HI37" s="208">
        <v>0</v>
      </c>
      <c r="HJ37" s="208">
        <v>0</v>
      </c>
      <c r="HK37" s="208" t="s">
        <v>21303</v>
      </c>
      <c r="HL37" s="208" t="s">
        <v>21303</v>
      </c>
      <c r="HM37" s="208">
        <v>0</v>
      </c>
      <c r="HN37" s="208">
        <v>0</v>
      </c>
      <c r="HO37" s="208">
        <v>0</v>
      </c>
      <c r="HP37" s="208">
        <v>0</v>
      </c>
      <c r="HQ37" s="208">
        <v>0</v>
      </c>
      <c r="HR37" s="208">
        <v>0</v>
      </c>
      <c r="HS37" s="208" t="s">
        <v>21303</v>
      </c>
      <c r="HT37" s="208" t="s">
        <v>21319</v>
      </c>
      <c r="HU37" s="208">
        <v>25</v>
      </c>
      <c r="HV37" s="208">
        <v>0</v>
      </c>
      <c r="HW37" s="208">
        <v>0</v>
      </c>
      <c r="HX37" s="208">
        <v>0</v>
      </c>
      <c r="HY37" s="208">
        <v>0</v>
      </c>
      <c r="HZ37" s="208">
        <v>0</v>
      </c>
      <c r="IA37" s="600">
        <v>25</v>
      </c>
      <c r="IB37" s="600">
        <v>4</v>
      </c>
      <c r="IC37" s="343" t="s">
        <v>21035</v>
      </c>
      <c r="ID37" s="343" t="s">
        <v>21521</v>
      </c>
      <c r="IE37" s="343" t="s">
        <v>21320</v>
      </c>
      <c r="IF37" s="343" t="s">
        <v>21321</v>
      </c>
      <c r="IG37" s="383">
        <v>43748</v>
      </c>
      <c r="IH37" s="383">
        <v>45575</v>
      </c>
      <c r="II37" s="208">
        <v>46</v>
      </c>
    </row>
    <row r="38" ht="102">
      <c r="A38" s="207">
        <v>37</v>
      </c>
      <c r="B38" s="343" t="s">
        <v>21287</v>
      </c>
      <c r="C38" s="343" t="s">
        <v>21288</v>
      </c>
      <c r="D38" s="600">
        <v>124800</v>
      </c>
      <c r="E38" s="317" t="s">
        <v>21204</v>
      </c>
      <c r="F38" s="207" t="s">
        <v>20855</v>
      </c>
      <c r="G38" s="600">
        <v>105.75563</v>
      </c>
      <c r="H38" s="600">
        <v>20.942788</v>
      </c>
      <c r="I38" s="207">
        <v>1</v>
      </c>
      <c r="J38" s="207">
        <v>1</v>
      </c>
      <c r="K38" s="207" t="s">
        <v>21306</v>
      </c>
      <c r="L38" s="207">
        <v>124800</v>
      </c>
      <c r="M38" s="207" t="s">
        <v>21312</v>
      </c>
      <c r="N38" s="207">
        <v>3</v>
      </c>
      <c r="O38" s="207" t="s">
        <v>21313</v>
      </c>
      <c r="P38" s="207" t="s">
        <v>21314</v>
      </c>
      <c r="Q38" s="207">
        <v>2100</v>
      </c>
      <c r="R38" s="207" t="s">
        <v>21343</v>
      </c>
      <c r="S38" s="364" t="b">
        <v>1</v>
      </c>
      <c r="T38" s="207" t="s">
        <v>21205</v>
      </c>
      <c r="U38" s="207">
        <v>0</v>
      </c>
      <c r="V38" s="207" t="s">
        <v>21297</v>
      </c>
      <c r="W38" s="207" t="s">
        <v>21206</v>
      </c>
      <c r="X38" s="209" t="s">
        <v>21298</v>
      </c>
      <c r="Y38" s="207" t="b">
        <v>0</v>
      </c>
      <c r="Z38" s="364" t="b">
        <v>0</v>
      </c>
      <c r="AA38" s="600">
        <v>33</v>
      </c>
      <c r="AB38" s="364" t="b">
        <v>1</v>
      </c>
      <c r="AC38" s="600">
        <v>18</v>
      </c>
      <c r="AD38" s="207" t="b">
        <v>0</v>
      </c>
      <c r="AE38" s="207" t="s">
        <v>21299</v>
      </c>
      <c r="AF38" s="207" t="s">
        <v>21300</v>
      </c>
      <c r="AG38" s="343" t="s">
        <v>21301</v>
      </c>
      <c r="AH38" s="343" t="s">
        <v>21302</v>
      </c>
      <c r="AI38" s="343" t="s">
        <v>21054</v>
      </c>
      <c r="AJ38" s="343" t="s">
        <v>21303</v>
      </c>
      <c r="AK38" s="343" t="s">
        <v>21304</v>
      </c>
      <c r="AL38" s="208"/>
      <c r="AM38" s="208" t="s">
        <v>21305</v>
      </c>
      <c r="AN38" s="208" t="s">
        <v>21306</v>
      </c>
      <c r="AO38" s="207">
        <v>4</v>
      </c>
      <c r="AP38" s="287" t="s">
        <v>21510</v>
      </c>
      <c r="AQ38" s="448" t="s">
        <v>21518</v>
      </c>
      <c r="AR38" s="448" t="s">
        <v>21522</v>
      </c>
      <c r="AS38" s="449" t="s">
        <v>10</v>
      </c>
      <c r="AT38" s="208" t="s">
        <v>21306</v>
      </c>
      <c r="AU38" s="208" t="s">
        <v>21303</v>
      </c>
      <c r="AV38" s="208" t="s">
        <v>21303</v>
      </c>
      <c r="AW38" s="208" t="s">
        <v>21303</v>
      </c>
      <c r="AX38" s="208" t="s">
        <v>21303</v>
      </c>
      <c r="AY38" s="208" t="s">
        <v>21303</v>
      </c>
      <c r="AZ38" s="208" t="s">
        <v>21288</v>
      </c>
      <c r="BA38" s="208" t="s">
        <v>21303</v>
      </c>
      <c r="BB38" s="208" t="s">
        <v>21303</v>
      </c>
      <c r="BC38" s="208" t="s">
        <v>21303</v>
      </c>
      <c r="BD38" s="208" t="s">
        <v>21303</v>
      </c>
      <c r="BE38" s="208" t="s">
        <v>21303</v>
      </c>
      <c r="BF38" s="208" t="s">
        <v>21288</v>
      </c>
      <c r="BG38" s="208" t="s">
        <v>21523</v>
      </c>
      <c r="BH38" s="208" t="s">
        <v>21303</v>
      </c>
      <c r="BI38" s="208" t="s">
        <v>21303</v>
      </c>
      <c r="BJ38" s="208" t="s">
        <v>21303</v>
      </c>
      <c r="BK38" s="208" t="s">
        <v>21303</v>
      </c>
      <c r="BL38" s="208" t="s">
        <v>21303</v>
      </c>
      <c r="BM38" s="208" t="s">
        <v>21312</v>
      </c>
      <c r="BN38" s="208" t="s">
        <v>21303</v>
      </c>
      <c r="BO38" s="208" t="s">
        <v>21303</v>
      </c>
      <c r="BP38" s="208" t="s">
        <v>21303</v>
      </c>
      <c r="BQ38" s="208" t="s">
        <v>21303</v>
      </c>
      <c r="BR38" s="208" t="s">
        <v>21303</v>
      </c>
      <c r="BS38" s="208">
        <v>3</v>
      </c>
      <c r="BT38" s="208">
        <v>0</v>
      </c>
      <c r="BU38" s="208">
        <v>0</v>
      </c>
      <c r="BV38" s="208">
        <v>0</v>
      </c>
      <c r="BW38" s="208">
        <v>0</v>
      </c>
      <c r="BX38" s="208">
        <v>0</v>
      </c>
      <c r="BY38" s="208" t="s">
        <v>21313</v>
      </c>
      <c r="BZ38" s="208">
        <v>1</v>
      </c>
      <c r="CA38" s="208">
        <v>1</v>
      </c>
      <c r="CB38" s="208">
        <v>1</v>
      </c>
      <c r="CC38" s="208">
        <v>0</v>
      </c>
      <c r="CD38" s="208">
        <v>0</v>
      </c>
      <c r="CE38" s="208">
        <v>0</v>
      </c>
      <c r="CF38" s="208" t="s">
        <v>21303</v>
      </c>
      <c r="CG38" s="208">
        <v>0</v>
      </c>
      <c r="CH38" s="208">
        <v>0</v>
      </c>
      <c r="CI38" s="208">
        <v>0</v>
      </c>
      <c r="CJ38" s="208">
        <v>0</v>
      </c>
      <c r="CK38" s="208">
        <v>0</v>
      </c>
      <c r="CL38" s="208">
        <v>0</v>
      </c>
      <c r="CM38" s="208" t="s">
        <v>21303</v>
      </c>
      <c r="CN38" s="208">
        <v>0</v>
      </c>
      <c r="CO38" s="208">
        <v>0</v>
      </c>
      <c r="CP38" s="208">
        <v>0</v>
      </c>
      <c r="CQ38" s="208">
        <v>0</v>
      </c>
      <c r="CR38" s="208">
        <v>0</v>
      </c>
      <c r="CS38" s="208">
        <v>0</v>
      </c>
      <c r="CT38" s="208" t="s">
        <v>21303</v>
      </c>
      <c r="CU38" s="208">
        <v>0</v>
      </c>
      <c r="CV38" s="208">
        <v>0</v>
      </c>
      <c r="CW38" s="208">
        <v>0</v>
      </c>
      <c r="CX38" s="208">
        <v>0</v>
      </c>
      <c r="CY38" s="208">
        <v>0</v>
      </c>
      <c r="CZ38" s="208">
        <v>0</v>
      </c>
      <c r="DA38" s="208" t="s">
        <v>21303</v>
      </c>
      <c r="DB38" s="208">
        <v>0</v>
      </c>
      <c r="DC38" s="208">
        <v>0</v>
      </c>
      <c r="DD38" s="208">
        <v>0</v>
      </c>
      <c r="DE38" s="208">
        <v>0</v>
      </c>
      <c r="DF38" s="208">
        <v>0</v>
      </c>
      <c r="DG38" s="208">
        <v>0</v>
      </c>
      <c r="DH38" s="208" t="s">
        <v>21303</v>
      </c>
      <c r="DI38" s="208">
        <v>0</v>
      </c>
      <c r="DJ38" s="208">
        <v>0</v>
      </c>
      <c r="DK38" s="208">
        <v>0</v>
      </c>
      <c r="DL38" s="208">
        <v>0</v>
      </c>
      <c r="DM38" s="208">
        <v>0</v>
      </c>
      <c r="DN38" s="208">
        <v>0</v>
      </c>
      <c r="DO38" s="208" t="s">
        <v>21314</v>
      </c>
      <c r="DP38" s="208">
        <v>80</v>
      </c>
      <c r="DQ38" s="208">
        <v>80</v>
      </c>
      <c r="DR38" s="208">
        <v>80</v>
      </c>
      <c r="DS38" s="208">
        <v>0</v>
      </c>
      <c r="DT38" s="208">
        <v>0</v>
      </c>
      <c r="DU38" s="208">
        <v>0</v>
      </c>
      <c r="DV38" s="208" t="s">
        <v>21315</v>
      </c>
      <c r="DW38" s="208">
        <v>80</v>
      </c>
      <c r="DX38" s="208" t="s">
        <v>21303</v>
      </c>
      <c r="DY38" s="208">
        <v>0</v>
      </c>
      <c r="DZ38" s="208">
        <v>0</v>
      </c>
      <c r="EA38" s="208">
        <v>0</v>
      </c>
      <c r="EB38" s="208">
        <v>0</v>
      </c>
      <c r="EC38" s="208">
        <v>0</v>
      </c>
      <c r="ED38" s="208">
        <v>0</v>
      </c>
      <c r="EE38" s="208" t="s">
        <v>21303</v>
      </c>
      <c r="EF38" s="208">
        <v>0</v>
      </c>
      <c r="EG38" s="208" t="s">
        <v>21303</v>
      </c>
      <c r="EH38" s="208">
        <v>0</v>
      </c>
      <c r="EI38" s="208">
        <v>0</v>
      </c>
      <c r="EJ38" s="208">
        <v>0</v>
      </c>
      <c r="EK38" s="208">
        <v>0</v>
      </c>
      <c r="EL38" s="208">
        <v>0</v>
      </c>
      <c r="EM38" s="208">
        <v>0</v>
      </c>
      <c r="EN38" s="208" t="s">
        <v>21303</v>
      </c>
      <c r="EO38" s="208">
        <v>0</v>
      </c>
      <c r="EP38" s="208" t="s">
        <v>21303</v>
      </c>
      <c r="EQ38" s="208">
        <v>0</v>
      </c>
      <c r="ER38" s="208">
        <v>0</v>
      </c>
      <c r="ES38" s="208">
        <v>0</v>
      </c>
      <c r="ET38" s="208">
        <v>0</v>
      </c>
      <c r="EU38" s="208">
        <v>0</v>
      </c>
      <c r="EV38" s="208">
        <v>0</v>
      </c>
      <c r="EW38" s="208" t="s">
        <v>21303</v>
      </c>
      <c r="EX38" s="208">
        <v>0</v>
      </c>
      <c r="EY38" s="208" t="s">
        <v>21303</v>
      </c>
      <c r="EZ38" s="208">
        <v>0</v>
      </c>
      <c r="FA38" s="208">
        <v>0</v>
      </c>
      <c r="FB38" s="208">
        <v>0</v>
      </c>
      <c r="FC38" s="208">
        <v>0</v>
      </c>
      <c r="FD38" s="208">
        <v>0</v>
      </c>
      <c r="FE38" s="208">
        <v>0</v>
      </c>
      <c r="FF38" s="208" t="s">
        <v>21303</v>
      </c>
      <c r="FG38" s="208">
        <v>0</v>
      </c>
      <c r="FH38" s="208" t="s">
        <v>21303</v>
      </c>
      <c r="FI38" s="208">
        <v>0</v>
      </c>
      <c r="FJ38" s="208">
        <v>0</v>
      </c>
      <c r="FK38" s="208">
        <v>0</v>
      </c>
      <c r="FL38" s="208">
        <v>0</v>
      </c>
      <c r="FM38" s="208">
        <v>0</v>
      </c>
      <c r="FN38" s="208">
        <v>0</v>
      </c>
      <c r="FO38" s="208" t="s">
        <v>21303</v>
      </c>
      <c r="FP38" s="208">
        <v>0</v>
      </c>
      <c r="FQ38" s="208">
        <v>80</v>
      </c>
      <c r="FR38" s="208" t="s">
        <v>21316</v>
      </c>
      <c r="FS38" s="208" t="s">
        <v>21303</v>
      </c>
      <c r="FT38" s="208" t="s">
        <v>21303</v>
      </c>
      <c r="FU38" s="208" t="s">
        <v>21303</v>
      </c>
      <c r="FV38" s="208" t="s">
        <v>21303</v>
      </c>
      <c r="FW38" s="208" t="s">
        <v>21303</v>
      </c>
      <c r="FX38" s="208" t="s">
        <v>21343</v>
      </c>
      <c r="FY38" s="208">
        <v>33</v>
      </c>
      <c r="FZ38" s="208">
        <v>33</v>
      </c>
      <c r="GA38" s="208">
        <v>33</v>
      </c>
      <c r="GB38" s="208">
        <v>0</v>
      </c>
      <c r="GC38" s="208">
        <v>0</v>
      </c>
      <c r="GD38" s="208">
        <v>0</v>
      </c>
      <c r="GE38" s="208" t="s">
        <v>21344</v>
      </c>
      <c r="GF38" s="208" t="s">
        <v>21303</v>
      </c>
      <c r="GG38" s="208">
        <v>0</v>
      </c>
      <c r="GH38" s="208">
        <v>0</v>
      </c>
      <c r="GI38" s="208">
        <v>0</v>
      </c>
      <c r="GJ38" s="208">
        <v>0</v>
      </c>
      <c r="GK38" s="208">
        <v>0</v>
      </c>
      <c r="GL38" s="208">
        <v>0</v>
      </c>
      <c r="GM38" s="208" t="s">
        <v>21303</v>
      </c>
      <c r="GN38" s="208" t="s">
        <v>21303</v>
      </c>
      <c r="GO38" s="208">
        <v>0</v>
      </c>
      <c r="GP38" s="208">
        <v>0</v>
      </c>
      <c r="GQ38" s="208">
        <v>0</v>
      </c>
      <c r="GR38" s="208">
        <v>0</v>
      </c>
      <c r="GS38" s="208">
        <v>0</v>
      </c>
      <c r="GT38" s="208">
        <v>0</v>
      </c>
      <c r="GU38" s="208" t="s">
        <v>21303</v>
      </c>
      <c r="GV38" s="208" t="s">
        <v>21303</v>
      </c>
      <c r="GW38" s="208">
        <v>0</v>
      </c>
      <c r="GX38" s="208">
        <v>0</v>
      </c>
      <c r="GY38" s="208">
        <v>0</v>
      </c>
      <c r="GZ38" s="208">
        <v>0</v>
      </c>
      <c r="HA38" s="208">
        <v>0</v>
      </c>
      <c r="HB38" s="208">
        <v>0</v>
      </c>
      <c r="HC38" s="208" t="s">
        <v>21303</v>
      </c>
      <c r="HD38" s="208" t="s">
        <v>21303</v>
      </c>
      <c r="HE38" s="208">
        <v>0</v>
      </c>
      <c r="HF38" s="208">
        <v>0</v>
      </c>
      <c r="HG38" s="208">
        <v>0</v>
      </c>
      <c r="HH38" s="208">
        <v>0</v>
      </c>
      <c r="HI38" s="208">
        <v>0</v>
      </c>
      <c r="HJ38" s="208">
        <v>0</v>
      </c>
      <c r="HK38" s="208" t="s">
        <v>21303</v>
      </c>
      <c r="HL38" s="208" t="s">
        <v>21303</v>
      </c>
      <c r="HM38" s="208">
        <v>0</v>
      </c>
      <c r="HN38" s="208">
        <v>0</v>
      </c>
      <c r="HO38" s="208">
        <v>0</v>
      </c>
      <c r="HP38" s="208">
        <v>0</v>
      </c>
      <c r="HQ38" s="208">
        <v>0</v>
      </c>
      <c r="HR38" s="208">
        <v>0</v>
      </c>
      <c r="HS38" s="208" t="s">
        <v>21303</v>
      </c>
      <c r="HT38" s="208" t="s">
        <v>21319</v>
      </c>
      <c r="HU38" s="208">
        <v>33</v>
      </c>
      <c r="HV38" s="208">
        <v>0</v>
      </c>
      <c r="HW38" s="208">
        <v>0</v>
      </c>
      <c r="HX38" s="208">
        <v>0</v>
      </c>
      <c r="HY38" s="208">
        <v>0</v>
      </c>
      <c r="HZ38" s="208">
        <v>0</v>
      </c>
      <c r="IA38" s="600">
        <v>33</v>
      </c>
      <c r="IB38" s="600">
        <v>15</v>
      </c>
      <c r="IC38" s="343" t="s">
        <v>21035</v>
      </c>
      <c r="ID38" s="343" t="s">
        <v>3623</v>
      </c>
      <c r="IE38" s="343" t="s">
        <v>21320</v>
      </c>
      <c r="IF38" s="343" t="s">
        <v>21321</v>
      </c>
      <c r="IG38" s="383">
        <v>43748</v>
      </c>
      <c r="IH38" s="383">
        <v>45575</v>
      </c>
      <c r="II38" s="208">
        <v>46</v>
      </c>
    </row>
    <row r="39" ht="102">
      <c r="A39" s="207">
        <v>38</v>
      </c>
      <c r="B39" s="343" t="s">
        <v>21287</v>
      </c>
      <c r="C39" s="343" t="s">
        <v>21288</v>
      </c>
      <c r="D39" s="600">
        <v>124777</v>
      </c>
      <c r="E39" s="317" t="s">
        <v>21207</v>
      </c>
      <c r="F39" s="207" t="s">
        <v>20855</v>
      </c>
      <c r="G39" s="600">
        <v>105.782002</v>
      </c>
      <c r="H39" s="600">
        <v>20.805605</v>
      </c>
      <c r="I39" s="207">
        <v>1</v>
      </c>
      <c r="J39" s="207">
        <v>1</v>
      </c>
      <c r="K39" s="207" t="s">
        <v>21306</v>
      </c>
      <c r="L39" s="207">
        <v>124777</v>
      </c>
      <c r="M39" s="207" t="s">
        <v>21312</v>
      </c>
      <c r="N39" s="207">
        <v>3</v>
      </c>
      <c r="O39" s="207" t="s">
        <v>21313</v>
      </c>
      <c r="P39" s="207" t="s">
        <v>21314</v>
      </c>
      <c r="Q39" s="207">
        <v>2100</v>
      </c>
      <c r="R39" s="207" t="s">
        <v>21410</v>
      </c>
      <c r="S39" s="364" t="b">
        <v>1</v>
      </c>
      <c r="T39" s="207" t="s">
        <v>21208</v>
      </c>
      <c r="U39" s="207">
        <v>0</v>
      </c>
      <c r="V39" s="207" t="s">
        <v>21297</v>
      </c>
      <c r="W39" s="207" t="s">
        <v>21209</v>
      </c>
      <c r="X39" s="209" t="s">
        <v>21298</v>
      </c>
      <c r="Y39" s="207" t="b">
        <v>1</v>
      </c>
      <c r="Z39" s="364" t="b">
        <v>0</v>
      </c>
      <c r="AA39" s="600">
        <v>34</v>
      </c>
      <c r="AB39" s="364" t="b">
        <v>1</v>
      </c>
      <c r="AC39" s="600">
        <v>8</v>
      </c>
      <c r="AD39" s="207" t="b">
        <v>0</v>
      </c>
      <c r="AE39" s="207" t="s">
        <v>21299</v>
      </c>
      <c r="AF39" s="207" t="s">
        <v>21300</v>
      </c>
      <c r="AG39" s="343" t="s">
        <v>21301</v>
      </c>
      <c r="AH39" s="343" t="s">
        <v>21302</v>
      </c>
      <c r="AI39" s="343" t="s">
        <v>21054</v>
      </c>
      <c r="AJ39" s="343" t="s">
        <v>21303</v>
      </c>
      <c r="AK39" s="343" t="s">
        <v>21304</v>
      </c>
      <c r="AL39" s="208"/>
      <c r="AM39" s="208" t="s">
        <v>21305</v>
      </c>
      <c r="AN39" s="208" t="s">
        <v>21306</v>
      </c>
      <c r="AO39" s="207">
        <v>3</v>
      </c>
      <c r="AP39" s="287" t="s">
        <v>21510</v>
      </c>
      <c r="AQ39" s="448" t="s">
        <v>21524</v>
      </c>
      <c r="AR39" s="448" t="s">
        <v>21525</v>
      </c>
      <c r="AS39" s="449" t="s">
        <v>10</v>
      </c>
      <c r="AT39" s="208" t="s">
        <v>21306</v>
      </c>
      <c r="AU39" s="208" t="s">
        <v>21303</v>
      </c>
      <c r="AV39" s="208" t="s">
        <v>21303</v>
      </c>
      <c r="AW39" s="208" t="s">
        <v>21303</v>
      </c>
      <c r="AX39" s="208" t="s">
        <v>21303</v>
      </c>
      <c r="AY39" s="208" t="s">
        <v>21303</v>
      </c>
      <c r="AZ39" s="208" t="s">
        <v>21288</v>
      </c>
      <c r="BA39" s="208" t="s">
        <v>21303</v>
      </c>
      <c r="BB39" s="208" t="s">
        <v>21303</v>
      </c>
      <c r="BC39" s="208" t="s">
        <v>21303</v>
      </c>
      <c r="BD39" s="208" t="s">
        <v>21303</v>
      </c>
      <c r="BE39" s="208" t="s">
        <v>21303</v>
      </c>
      <c r="BF39" s="208" t="s">
        <v>21288</v>
      </c>
      <c r="BG39" s="208" t="s">
        <v>21526</v>
      </c>
      <c r="BH39" s="208" t="s">
        <v>21303</v>
      </c>
      <c r="BI39" s="208" t="s">
        <v>21303</v>
      </c>
      <c r="BJ39" s="208" t="s">
        <v>21303</v>
      </c>
      <c r="BK39" s="208" t="s">
        <v>21303</v>
      </c>
      <c r="BL39" s="208" t="s">
        <v>21303</v>
      </c>
      <c r="BM39" s="208" t="s">
        <v>21312</v>
      </c>
      <c r="BN39" s="208" t="s">
        <v>21303</v>
      </c>
      <c r="BO39" s="208" t="s">
        <v>21303</v>
      </c>
      <c r="BP39" s="208" t="s">
        <v>21303</v>
      </c>
      <c r="BQ39" s="208" t="s">
        <v>21303</v>
      </c>
      <c r="BR39" s="208" t="s">
        <v>21303</v>
      </c>
      <c r="BS39" s="208">
        <v>3</v>
      </c>
      <c r="BT39" s="208">
        <v>0</v>
      </c>
      <c r="BU39" s="208">
        <v>0</v>
      </c>
      <c r="BV39" s="208">
        <v>0</v>
      </c>
      <c r="BW39" s="208">
        <v>0</v>
      </c>
      <c r="BX39" s="208">
        <v>0</v>
      </c>
      <c r="BY39" s="208" t="s">
        <v>21313</v>
      </c>
      <c r="BZ39" s="208">
        <v>1</v>
      </c>
      <c r="CA39" s="208">
        <v>1</v>
      </c>
      <c r="CB39" s="208">
        <v>1</v>
      </c>
      <c r="CC39" s="208">
        <v>0</v>
      </c>
      <c r="CD39" s="208">
        <v>0</v>
      </c>
      <c r="CE39" s="208">
        <v>0</v>
      </c>
      <c r="CF39" s="208" t="s">
        <v>21303</v>
      </c>
      <c r="CG39" s="208">
        <v>0</v>
      </c>
      <c r="CH39" s="208">
        <v>0</v>
      </c>
      <c r="CI39" s="208">
        <v>0</v>
      </c>
      <c r="CJ39" s="208">
        <v>0</v>
      </c>
      <c r="CK39" s="208">
        <v>0</v>
      </c>
      <c r="CL39" s="208">
        <v>0</v>
      </c>
      <c r="CM39" s="208" t="s">
        <v>21303</v>
      </c>
      <c r="CN39" s="208">
        <v>0</v>
      </c>
      <c r="CO39" s="208">
        <v>0</v>
      </c>
      <c r="CP39" s="208">
        <v>0</v>
      </c>
      <c r="CQ39" s="208">
        <v>0</v>
      </c>
      <c r="CR39" s="208">
        <v>0</v>
      </c>
      <c r="CS39" s="208">
        <v>0</v>
      </c>
      <c r="CT39" s="208" t="s">
        <v>21303</v>
      </c>
      <c r="CU39" s="208">
        <v>0</v>
      </c>
      <c r="CV39" s="208">
        <v>0</v>
      </c>
      <c r="CW39" s="208">
        <v>0</v>
      </c>
      <c r="CX39" s="208">
        <v>0</v>
      </c>
      <c r="CY39" s="208">
        <v>0</v>
      </c>
      <c r="CZ39" s="208">
        <v>0</v>
      </c>
      <c r="DA39" s="208" t="s">
        <v>21303</v>
      </c>
      <c r="DB39" s="208">
        <v>0</v>
      </c>
      <c r="DC39" s="208">
        <v>0</v>
      </c>
      <c r="DD39" s="208">
        <v>0</v>
      </c>
      <c r="DE39" s="208">
        <v>0</v>
      </c>
      <c r="DF39" s="208">
        <v>0</v>
      </c>
      <c r="DG39" s="208">
        <v>0</v>
      </c>
      <c r="DH39" s="208" t="s">
        <v>21303</v>
      </c>
      <c r="DI39" s="208">
        <v>0</v>
      </c>
      <c r="DJ39" s="208">
        <v>0</v>
      </c>
      <c r="DK39" s="208">
        <v>0</v>
      </c>
      <c r="DL39" s="208">
        <v>0</v>
      </c>
      <c r="DM39" s="208">
        <v>0</v>
      </c>
      <c r="DN39" s="208">
        <v>0</v>
      </c>
      <c r="DO39" s="208" t="s">
        <v>21314</v>
      </c>
      <c r="DP39" s="208">
        <v>80</v>
      </c>
      <c r="DQ39" s="208">
        <v>80</v>
      </c>
      <c r="DR39" s="208">
        <v>80</v>
      </c>
      <c r="DS39" s="208">
        <v>0</v>
      </c>
      <c r="DT39" s="208">
        <v>0</v>
      </c>
      <c r="DU39" s="208">
        <v>0</v>
      </c>
      <c r="DV39" s="208" t="s">
        <v>21315</v>
      </c>
      <c r="DW39" s="208">
        <v>80</v>
      </c>
      <c r="DX39" s="208" t="s">
        <v>21303</v>
      </c>
      <c r="DY39" s="208">
        <v>0</v>
      </c>
      <c r="DZ39" s="208">
        <v>0</v>
      </c>
      <c r="EA39" s="208">
        <v>0</v>
      </c>
      <c r="EB39" s="208">
        <v>0</v>
      </c>
      <c r="EC39" s="208">
        <v>0</v>
      </c>
      <c r="ED39" s="208">
        <v>0</v>
      </c>
      <c r="EE39" s="208" t="s">
        <v>21303</v>
      </c>
      <c r="EF39" s="208">
        <v>0</v>
      </c>
      <c r="EG39" s="208" t="s">
        <v>21303</v>
      </c>
      <c r="EH39" s="208">
        <v>0</v>
      </c>
      <c r="EI39" s="208">
        <v>0</v>
      </c>
      <c r="EJ39" s="208">
        <v>0</v>
      </c>
      <c r="EK39" s="208">
        <v>0</v>
      </c>
      <c r="EL39" s="208">
        <v>0</v>
      </c>
      <c r="EM39" s="208">
        <v>0</v>
      </c>
      <c r="EN39" s="208" t="s">
        <v>21303</v>
      </c>
      <c r="EO39" s="208">
        <v>0</v>
      </c>
      <c r="EP39" s="208" t="s">
        <v>21303</v>
      </c>
      <c r="EQ39" s="208">
        <v>0</v>
      </c>
      <c r="ER39" s="208">
        <v>0</v>
      </c>
      <c r="ES39" s="208">
        <v>0</v>
      </c>
      <c r="ET39" s="208">
        <v>0</v>
      </c>
      <c r="EU39" s="208">
        <v>0</v>
      </c>
      <c r="EV39" s="208">
        <v>0</v>
      </c>
      <c r="EW39" s="208" t="s">
        <v>21303</v>
      </c>
      <c r="EX39" s="208">
        <v>0</v>
      </c>
      <c r="EY39" s="208" t="s">
        <v>21303</v>
      </c>
      <c r="EZ39" s="208">
        <v>0</v>
      </c>
      <c r="FA39" s="208">
        <v>0</v>
      </c>
      <c r="FB39" s="208">
        <v>0</v>
      </c>
      <c r="FC39" s="208">
        <v>0</v>
      </c>
      <c r="FD39" s="208">
        <v>0</v>
      </c>
      <c r="FE39" s="208">
        <v>0</v>
      </c>
      <c r="FF39" s="208" t="s">
        <v>21303</v>
      </c>
      <c r="FG39" s="208">
        <v>0</v>
      </c>
      <c r="FH39" s="208" t="s">
        <v>21303</v>
      </c>
      <c r="FI39" s="208">
        <v>0</v>
      </c>
      <c r="FJ39" s="208">
        <v>0</v>
      </c>
      <c r="FK39" s="208">
        <v>0</v>
      </c>
      <c r="FL39" s="208">
        <v>0</v>
      </c>
      <c r="FM39" s="208">
        <v>0</v>
      </c>
      <c r="FN39" s="208">
        <v>0</v>
      </c>
      <c r="FO39" s="208" t="s">
        <v>21303</v>
      </c>
      <c r="FP39" s="208">
        <v>0</v>
      </c>
      <c r="FQ39" s="208">
        <v>80</v>
      </c>
      <c r="FR39" s="208" t="s">
        <v>21316</v>
      </c>
      <c r="FS39" s="208" t="s">
        <v>21303</v>
      </c>
      <c r="FT39" s="208" t="s">
        <v>21303</v>
      </c>
      <c r="FU39" s="208" t="s">
        <v>21303</v>
      </c>
      <c r="FV39" s="208" t="s">
        <v>21303</v>
      </c>
      <c r="FW39" s="208" t="s">
        <v>21303</v>
      </c>
      <c r="FX39" s="208" t="s">
        <v>21410</v>
      </c>
      <c r="FY39" s="208">
        <v>34</v>
      </c>
      <c r="FZ39" s="208">
        <v>34</v>
      </c>
      <c r="GA39" s="208">
        <v>34</v>
      </c>
      <c r="GB39" s="208">
        <v>0</v>
      </c>
      <c r="GC39" s="208">
        <v>0</v>
      </c>
      <c r="GD39" s="208">
        <v>0</v>
      </c>
      <c r="GE39" s="208" t="s">
        <v>21411</v>
      </c>
      <c r="GF39" s="208" t="s">
        <v>21303</v>
      </c>
      <c r="GG39" s="208">
        <v>0</v>
      </c>
      <c r="GH39" s="208">
        <v>0</v>
      </c>
      <c r="GI39" s="208">
        <v>0</v>
      </c>
      <c r="GJ39" s="208">
        <v>0</v>
      </c>
      <c r="GK39" s="208">
        <v>0</v>
      </c>
      <c r="GL39" s="208">
        <v>0</v>
      </c>
      <c r="GM39" s="208" t="s">
        <v>21303</v>
      </c>
      <c r="GN39" s="208" t="s">
        <v>21303</v>
      </c>
      <c r="GO39" s="208">
        <v>0</v>
      </c>
      <c r="GP39" s="208">
        <v>0</v>
      </c>
      <c r="GQ39" s="208">
        <v>0</v>
      </c>
      <c r="GR39" s="208">
        <v>0</v>
      </c>
      <c r="GS39" s="208">
        <v>0</v>
      </c>
      <c r="GT39" s="208">
        <v>0</v>
      </c>
      <c r="GU39" s="208" t="s">
        <v>21303</v>
      </c>
      <c r="GV39" s="208" t="s">
        <v>21303</v>
      </c>
      <c r="GW39" s="208">
        <v>0</v>
      </c>
      <c r="GX39" s="208">
        <v>0</v>
      </c>
      <c r="GY39" s="208">
        <v>0</v>
      </c>
      <c r="GZ39" s="208">
        <v>0</v>
      </c>
      <c r="HA39" s="208">
        <v>0</v>
      </c>
      <c r="HB39" s="208">
        <v>0</v>
      </c>
      <c r="HC39" s="208" t="s">
        <v>21303</v>
      </c>
      <c r="HD39" s="208" t="s">
        <v>21303</v>
      </c>
      <c r="HE39" s="208">
        <v>0</v>
      </c>
      <c r="HF39" s="208">
        <v>0</v>
      </c>
      <c r="HG39" s="208">
        <v>0</v>
      </c>
      <c r="HH39" s="208">
        <v>0</v>
      </c>
      <c r="HI39" s="208">
        <v>0</v>
      </c>
      <c r="HJ39" s="208">
        <v>0</v>
      </c>
      <c r="HK39" s="208" t="s">
        <v>21303</v>
      </c>
      <c r="HL39" s="208" t="s">
        <v>21303</v>
      </c>
      <c r="HM39" s="208">
        <v>0</v>
      </c>
      <c r="HN39" s="208">
        <v>0</v>
      </c>
      <c r="HO39" s="208">
        <v>0</v>
      </c>
      <c r="HP39" s="208">
        <v>0</v>
      </c>
      <c r="HQ39" s="208">
        <v>0</v>
      </c>
      <c r="HR39" s="208">
        <v>0</v>
      </c>
      <c r="HS39" s="208" t="s">
        <v>21303</v>
      </c>
      <c r="HT39" s="208" t="s">
        <v>21319</v>
      </c>
      <c r="HU39" s="208">
        <v>34</v>
      </c>
      <c r="HV39" s="208">
        <v>0</v>
      </c>
      <c r="HW39" s="208">
        <v>0</v>
      </c>
      <c r="HX39" s="208">
        <v>0</v>
      </c>
      <c r="HY39" s="208">
        <v>0</v>
      </c>
      <c r="HZ39" s="208">
        <v>0</v>
      </c>
      <c r="IA39" s="600">
        <v>34</v>
      </c>
      <c r="IB39" s="600">
        <v>26</v>
      </c>
      <c r="IC39" s="343" t="s">
        <v>21035</v>
      </c>
      <c r="ID39" s="343" t="s">
        <v>21527</v>
      </c>
      <c r="IE39" s="343" t="s">
        <v>21320</v>
      </c>
      <c r="IF39" s="343" t="s">
        <v>21321</v>
      </c>
      <c r="IG39" s="383">
        <v>43748</v>
      </c>
      <c r="IH39" s="383">
        <v>45575</v>
      </c>
      <c r="II39" s="208">
        <v>46</v>
      </c>
    </row>
    <row r="40" ht="102">
      <c r="A40" s="207">
        <v>39</v>
      </c>
      <c r="B40" s="343" t="s">
        <v>21287</v>
      </c>
      <c r="C40" s="343" t="s">
        <v>21288</v>
      </c>
      <c r="D40" s="600">
        <v>124730</v>
      </c>
      <c r="E40" s="317" t="s">
        <v>21210</v>
      </c>
      <c r="F40" s="207" t="s">
        <v>20855</v>
      </c>
      <c r="G40" s="600">
        <v>105.822011</v>
      </c>
      <c r="H40" s="600">
        <v>20.990358</v>
      </c>
      <c r="I40" s="207">
        <v>1</v>
      </c>
      <c r="J40" s="207">
        <v>1</v>
      </c>
      <c r="K40" s="207" t="s">
        <v>21306</v>
      </c>
      <c r="L40" s="207">
        <v>124730</v>
      </c>
      <c r="M40" s="207" t="s">
        <v>21312</v>
      </c>
      <c r="N40" s="207">
        <v>3</v>
      </c>
      <c r="O40" s="207" t="s">
        <v>21313</v>
      </c>
      <c r="P40" s="207" t="s">
        <v>21314</v>
      </c>
      <c r="Q40" s="207">
        <v>2100</v>
      </c>
      <c r="R40" s="207" t="s">
        <v>21399</v>
      </c>
      <c r="S40" s="364" t="b">
        <v>1</v>
      </c>
      <c r="T40" s="207" t="s">
        <v>21211</v>
      </c>
      <c r="U40" s="207">
        <v>0</v>
      </c>
      <c r="V40" s="207" t="s">
        <v>21297</v>
      </c>
      <c r="W40" s="207" t="s">
        <v>21212</v>
      </c>
      <c r="X40" s="209" t="s">
        <v>21298</v>
      </c>
      <c r="Y40" s="207" t="b">
        <v>0</v>
      </c>
      <c r="Z40" s="364" t="b">
        <v>0</v>
      </c>
      <c r="AA40" s="600">
        <v>25</v>
      </c>
      <c r="AB40" s="364" t="b">
        <v>1</v>
      </c>
      <c r="AC40" s="600">
        <v>21</v>
      </c>
      <c r="AD40" s="207" t="b">
        <v>0</v>
      </c>
      <c r="AE40" s="207" t="s">
        <v>21299</v>
      </c>
      <c r="AF40" s="207" t="s">
        <v>21300</v>
      </c>
      <c r="AG40" s="343" t="s">
        <v>21301</v>
      </c>
      <c r="AH40" s="343" t="s">
        <v>21302</v>
      </c>
      <c r="AI40" s="343" t="s">
        <v>21054</v>
      </c>
      <c r="AJ40" s="343" t="s">
        <v>21303</v>
      </c>
      <c r="AK40" s="343" t="s">
        <v>21304</v>
      </c>
      <c r="AL40" s="208"/>
      <c r="AM40" s="208" t="s">
        <v>21305</v>
      </c>
      <c r="AN40" s="208" t="s">
        <v>21306</v>
      </c>
      <c r="AO40" s="207">
        <v>6</v>
      </c>
      <c r="AP40" s="287" t="s">
        <v>21510</v>
      </c>
      <c r="AQ40" s="448" t="s">
        <v>21528</v>
      </c>
      <c r="AR40" s="448" t="s">
        <v>21529</v>
      </c>
      <c r="AS40" s="449" t="s">
        <v>10</v>
      </c>
      <c r="AT40" s="208" t="s">
        <v>21306</v>
      </c>
      <c r="AU40" s="208" t="s">
        <v>21303</v>
      </c>
      <c r="AV40" s="208" t="s">
        <v>21303</v>
      </c>
      <c r="AW40" s="208" t="s">
        <v>21303</v>
      </c>
      <c r="AX40" s="208" t="s">
        <v>21303</v>
      </c>
      <c r="AY40" s="208" t="s">
        <v>21303</v>
      </c>
      <c r="AZ40" s="208" t="s">
        <v>21288</v>
      </c>
      <c r="BA40" s="208" t="s">
        <v>21303</v>
      </c>
      <c r="BB40" s="208" t="s">
        <v>21303</v>
      </c>
      <c r="BC40" s="208" t="s">
        <v>21303</v>
      </c>
      <c r="BD40" s="208" t="s">
        <v>21303</v>
      </c>
      <c r="BE40" s="208" t="s">
        <v>21303</v>
      </c>
      <c r="BF40" s="208" t="s">
        <v>21288</v>
      </c>
      <c r="BG40" s="208" t="s">
        <v>21530</v>
      </c>
      <c r="BH40" s="208" t="s">
        <v>21303</v>
      </c>
      <c r="BI40" s="208" t="s">
        <v>21303</v>
      </c>
      <c r="BJ40" s="208" t="s">
        <v>21303</v>
      </c>
      <c r="BK40" s="208" t="s">
        <v>21303</v>
      </c>
      <c r="BL40" s="208" t="s">
        <v>21303</v>
      </c>
      <c r="BM40" s="208" t="s">
        <v>21312</v>
      </c>
      <c r="BN40" s="208" t="s">
        <v>21303</v>
      </c>
      <c r="BO40" s="208" t="s">
        <v>21303</v>
      </c>
      <c r="BP40" s="208" t="s">
        <v>21303</v>
      </c>
      <c r="BQ40" s="208" t="s">
        <v>21303</v>
      </c>
      <c r="BR40" s="208" t="s">
        <v>21303</v>
      </c>
      <c r="BS40" s="208">
        <v>3</v>
      </c>
      <c r="BT40" s="208">
        <v>0</v>
      </c>
      <c r="BU40" s="208">
        <v>0</v>
      </c>
      <c r="BV40" s="208">
        <v>0</v>
      </c>
      <c r="BW40" s="208">
        <v>0</v>
      </c>
      <c r="BX40" s="208">
        <v>0</v>
      </c>
      <c r="BY40" s="208" t="s">
        <v>21313</v>
      </c>
      <c r="BZ40" s="208">
        <v>1</v>
      </c>
      <c r="CA40" s="208">
        <v>1</v>
      </c>
      <c r="CB40" s="208">
        <v>1</v>
      </c>
      <c r="CC40" s="208">
        <v>0</v>
      </c>
      <c r="CD40" s="208">
        <v>0</v>
      </c>
      <c r="CE40" s="208">
        <v>0</v>
      </c>
      <c r="CF40" s="208" t="s">
        <v>21303</v>
      </c>
      <c r="CG40" s="208">
        <v>0</v>
      </c>
      <c r="CH40" s="208">
        <v>0</v>
      </c>
      <c r="CI40" s="208">
        <v>0</v>
      </c>
      <c r="CJ40" s="208">
        <v>0</v>
      </c>
      <c r="CK40" s="208">
        <v>0</v>
      </c>
      <c r="CL40" s="208">
        <v>0</v>
      </c>
      <c r="CM40" s="208" t="s">
        <v>21303</v>
      </c>
      <c r="CN40" s="208">
        <v>0</v>
      </c>
      <c r="CO40" s="208">
        <v>0</v>
      </c>
      <c r="CP40" s="208">
        <v>0</v>
      </c>
      <c r="CQ40" s="208">
        <v>0</v>
      </c>
      <c r="CR40" s="208">
        <v>0</v>
      </c>
      <c r="CS40" s="208">
        <v>0</v>
      </c>
      <c r="CT40" s="208" t="s">
        <v>21303</v>
      </c>
      <c r="CU40" s="208">
        <v>0</v>
      </c>
      <c r="CV40" s="208">
        <v>0</v>
      </c>
      <c r="CW40" s="208">
        <v>0</v>
      </c>
      <c r="CX40" s="208">
        <v>0</v>
      </c>
      <c r="CY40" s="208">
        <v>0</v>
      </c>
      <c r="CZ40" s="208">
        <v>0</v>
      </c>
      <c r="DA40" s="208" t="s">
        <v>21303</v>
      </c>
      <c r="DB40" s="208">
        <v>0</v>
      </c>
      <c r="DC40" s="208">
        <v>0</v>
      </c>
      <c r="DD40" s="208">
        <v>0</v>
      </c>
      <c r="DE40" s="208">
        <v>0</v>
      </c>
      <c r="DF40" s="208">
        <v>0</v>
      </c>
      <c r="DG40" s="208">
        <v>0</v>
      </c>
      <c r="DH40" s="208" t="s">
        <v>21303</v>
      </c>
      <c r="DI40" s="208">
        <v>0</v>
      </c>
      <c r="DJ40" s="208">
        <v>0</v>
      </c>
      <c r="DK40" s="208">
        <v>0</v>
      </c>
      <c r="DL40" s="208">
        <v>0</v>
      </c>
      <c r="DM40" s="208">
        <v>0</v>
      </c>
      <c r="DN40" s="208">
        <v>0</v>
      </c>
      <c r="DO40" s="208" t="s">
        <v>21314</v>
      </c>
      <c r="DP40" s="208">
        <v>80</v>
      </c>
      <c r="DQ40" s="208">
        <v>80</v>
      </c>
      <c r="DR40" s="208">
        <v>80</v>
      </c>
      <c r="DS40" s="208">
        <v>0</v>
      </c>
      <c r="DT40" s="208">
        <v>0</v>
      </c>
      <c r="DU40" s="208">
        <v>0</v>
      </c>
      <c r="DV40" s="208" t="s">
        <v>21315</v>
      </c>
      <c r="DW40" s="208">
        <v>80</v>
      </c>
      <c r="DX40" s="208" t="s">
        <v>21303</v>
      </c>
      <c r="DY40" s="208">
        <v>0</v>
      </c>
      <c r="DZ40" s="208">
        <v>0</v>
      </c>
      <c r="EA40" s="208">
        <v>0</v>
      </c>
      <c r="EB40" s="208">
        <v>0</v>
      </c>
      <c r="EC40" s="208">
        <v>0</v>
      </c>
      <c r="ED40" s="208">
        <v>0</v>
      </c>
      <c r="EE40" s="208" t="s">
        <v>21303</v>
      </c>
      <c r="EF40" s="208">
        <v>0</v>
      </c>
      <c r="EG40" s="208" t="s">
        <v>21303</v>
      </c>
      <c r="EH40" s="208">
        <v>0</v>
      </c>
      <c r="EI40" s="208">
        <v>0</v>
      </c>
      <c r="EJ40" s="208">
        <v>0</v>
      </c>
      <c r="EK40" s="208">
        <v>0</v>
      </c>
      <c r="EL40" s="208">
        <v>0</v>
      </c>
      <c r="EM40" s="208">
        <v>0</v>
      </c>
      <c r="EN40" s="208" t="s">
        <v>21303</v>
      </c>
      <c r="EO40" s="208">
        <v>0</v>
      </c>
      <c r="EP40" s="208" t="s">
        <v>21303</v>
      </c>
      <c r="EQ40" s="208">
        <v>0</v>
      </c>
      <c r="ER40" s="208">
        <v>0</v>
      </c>
      <c r="ES40" s="208">
        <v>0</v>
      </c>
      <c r="ET40" s="208">
        <v>0</v>
      </c>
      <c r="EU40" s="208">
        <v>0</v>
      </c>
      <c r="EV40" s="208">
        <v>0</v>
      </c>
      <c r="EW40" s="208" t="s">
        <v>21303</v>
      </c>
      <c r="EX40" s="208">
        <v>0</v>
      </c>
      <c r="EY40" s="208" t="s">
        <v>21303</v>
      </c>
      <c r="EZ40" s="208">
        <v>0</v>
      </c>
      <c r="FA40" s="208">
        <v>0</v>
      </c>
      <c r="FB40" s="208">
        <v>0</v>
      </c>
      <c r="FC40" s="208">
        <v>0</v>
      </c>
      <c r="FD40" s="208">
        <v>0</v>
      </c>
      <c r="FE40" s="208">
        <v>0</v>
      </c>
      <c r="FF40" s="208" t="s">
        <v>21303</v>
      </c>
      <c r="FG40" s="208">
        <v>0</v>
      </c>
      <c r="FH40" s="208" t="s">
        <v>21303</v>
      </c>
      <c r="FI40" s="208">
        <v>0</v>
      </c>
      <c r="FJ40" s="208">
        <v>0</v>
      </c>
      <c r="FK40" s="208">
        <v>0</v>
      </c>
      <c r="FL40" s="208">
        <v>0</v>
      </c>
      <c r="FM40" s="208">
        <v>0</v>
      </c>
      <c r="FN40" s="208">
        <v>0</v>
      </c>
      <c r="FO40" s="208" t="s">
        <v>21303</v>
      </c>
      <c r="FP40" s="208">
        <v>0</v>
      </c>
      <c r="FQ40" s="208">
        <v>80</v>
      </c>
      <c r="FR40" s="208" t="s">
        <v>21316</v>
      </c>
      <c r="FS40" s="208" t="s">
        <v>21303</v>
      </c>
      <c r="FT40" s="208" t="s">
        <v>21303</v>
      </c>
      <c r="FU40" s="208" t="s">
        <v>21303</v>
      </c>
      <c r="FV40" s="208" t="s">
        <v>21303</v>
      </c>
      <c r="FW40" s="208" t="s">
        <v>21303</v>
      </c>
      <c r="FX40" s="208" t="s">
        <v>21399</v>
      </c>
      <c r="FY40" s="208">
        <v>25</v>
      </c>
      <c r="FZ40" s="208">
        <v>25</v>
      </c>
      <c r="GA40" s="208">
        <v>25</v>
      </c>
      <c r="GB40" s="208">
        <v>0</v>
      </c>
      <c r="GC40" s="208">
        <v>0</v>
      </c>
      <c r="GD40" s="208">
        <v>0</v>
      </c>
      <c r="GE40" s="208" t="s">
        <v>21400</v>
      </c>
      <c r="GF40" s="208" t="s">
        <v>21303</v>
      </c>
      <c r="GG40" s="208">
        <v>0</v>
      </c>
      <c r="GH40" s="208">
        <v>0</v>
      </c>
      <c r="GI40" s="208">
        <v>0</v>
      </c>
      <c r="GJ40" s="208">
        <v>0</v>
      </c>
      <c r="GK40" s="208">
        <v>0</v>
      </c>
      <c r="GL40" s="208">
        <v>0</v>
      </c>
      <c r="GM40" s="208" t="s">
        <v>21303</v>
      </c>
      <c r="GN40" s="208" t="s">
        <v>21303</v>
      </c>
      <c r="GO40" s="208">
        <v>0</v>
      </c>
      <c r="GP40" s="208">
        <v>0</v>
      </c>
      <c r="GQ40" s="208">
        <v>0</v>
      </c>
      <c r="GR40" s="208">
        <v>0</v>
      </c>
      <c r="GS40" s="208">
        <v>0</v>
      </c>
      <c r="GT40" s="208">
        <v>0</v>
      </c>
      <c r="GU40" s="208" t="s">
        <v>21303</v>
      </c>
      <c r="GV40" s="208" t="s">
        <v>21303</v>
      </c>
      <c r="GW40" s="208">
        <v>0</v>
      </c>
      <c r="GX40" s="208">
        <v>0</v>
      </c>
      <c r="GY40" s="208">
        <v>0</v>
      </c>
      <c r="GZ40" s="208">
        <v>0</v>
      </c>
      <c r="HA40" s="208">
        <v>0</v>
      </c>
      <c r="HB40" s="208">
        <v>0</v>
      </c>
      <c r="HC40" s="208" t="s">
        <v>21303</v>
      </c>
      <c r="HD40" s="208" t="s">
        <v>21303</v>
      </c>
      <c r="HE40" s="208">
        <v>0</v>
      </c>
      <c r="HF40" s="208">
        <v>0</v>
      </c>
      <c r="HG40" s="208">
        <v>0</v>
      </c>
      <c r="HH40" s="208">
        <v>0</v>
      </c>
      <c r="HI40" s="208">
        <v>0</v>
      </c>
      <c r="HJ40" s="208">
        <v>0</v>
      </c>
      <c r="HK40" s="208" t="s">
        <v>21303</v>
      </c>
      <c r="HL40" s="208" t="s">
        <v>21303</v>
      </c>
      <c r="HM40" s="208">
        <v>0</v>
      </c>
      <c r="HN40" s="208">
        <v>0</v>
      </c>
      <c r="HO40" s="208">
        <v>0</v>
      </c>
      <c r="HP40" s="208">
        <v>0</v>
      </c>
      <c r="HQ40" s="208">
        <v>0</v>
      </c>
      <c r="HR40" s="208">
        <v>0</v>
      </c>
      <c r="HS40" s="208" t="s">
        <v>21303</v>
      </c>
      <c r="HT40" s="208" t="s">
        <v>21319</v>
      </c>
      <c r="HU40" s="208">
        <v>25</v>
      </c>
      <c r="HV40" s="208">
        <v>0</v>
      </c>
      <c r="HW40" s="208">
        <v>0</v>
      </c>
      <c r="HX40" s="208">
        <v>0</v>
      </c>
      <c r="HY40" s="208">
        <v>0</v>
      </c>
      <c r="HZ40" s="208">
        <v>0</v>
      </c>
      <c r="IA40" s="600">
        <v>25</v>
      </c>
      <c r="IB40" s="600">
        <v>4</v>
      </c>
      <c r="IC40" s="343" t="s">
        <v>21035</v>
      </c>
      <c r="ID40" s="343" t="s">
        <v>21531</v>
      </c>
      <c r="IE40" s="343" t="s">
        <v>21320</v>
      </c>
      <c r="IF40" s="343" t="s">
        <v>21321</v>
      </c>
      <c r="IG40" s="383">
        <v>43748</v>
      </c>
      <c r="IH40" s="383">
        <v>45575</v>
      </c>
      <c r="II40" s="208">
        <v>46</v>
      </c>
    </row>
    <row r="41" ht="102">
      <c r="A41" s="207">
        <v>40</v>
      </c>
      <c r="B41" s="343" t="s">
        <v>21287</v>
      </c>
      <c r="C41" s="343" t="s">
        <v>21288</v>
      </c>
      <c r="D41" s="600">
        <v>124807</v>
      </c>
      <c r="E41" s="317" t="s">
        <v>21213</v>
      </c>
      <c r="F41" s="207" t="s">
        <v>20855</v>
      </c>
      <c r="G41" s="600">
        <v>105.820882</v>
      </c>
      <c r="H41" s="600">
        <v>20.983029</v>
      </c>
      <c r="I41" s="207">
        <v>1</v>
      </c>
      <c r="J41" s="207">
        <v>1</v>
      </c>
      <c r="K41" s="207" t="s">
        <v>21306</v>
      </c>
      <c r="L41" s="207">
        <v>124807</v>
      </c>
      <c r="M41" s="207" t="s">
        <v>21312</v>
      </c>
      <c r="N41" s="207">
        <v>3</v>
      </c>
      <c r="O41" s="207" t="s">
        <v>21313</v>
      </c>
      <c r="P41" s="207" t="s">
        <v>21314</v>
      </c>
      <c r="Q41" s="207">
        <v>2100</v>
      </c>
      <c r="R41" s="207" t="s">
        <v>21532</v>
      </c>
      <c r="S41" s="364" t="b">
        <v>1</v>
      </c>
      <c r="T41" s="207" t="s">
        <v>21214</v>
      </c>
      <c r="U41" s="207">
        <v>0</v>
      </c>
      <c r="V41" s="207" t="s">
        <v>21297</v>
      </c>
      <c r="W41" s="207" t="s">
        <v>21215</v>
      </c>
      <c r="X41" s="209" t="s">
        <v>21298</v>
      </c>
      <c r="Y41" s="207" t="b">
        <v>0</v>
      </c>
      <c r="Z41" s="364" t="b">
        <v>0</v>
      </c>
      <c r="AA41" s="600">
        <v>27</v>
      </c>
      <c r="AB41" s="364" t="b">
        <v>1</v>
      </c>
      <c r="AC41" s="600">
        <v>18</v>
      </c>
      <c r="AD41" s="207" t="b">
        <v>0</v>
      </c>
      <c r="AE41" s="207" t="s">
        <v>21299</v>
      </c>
      <c r="AF41" s="207" t="s">
        <v>21300</v>
      </c>
      <c r="AG41" s="343" t="s">
        <v>21301</v>
      </c>
      <c r="AH41" s="343" t="s">
        <v>21302</v>
      </c>
      <c r="AI41" s="343" t="s">
        <v>21054</v>
      </c>
      <c r="AJ41" s="343" t="s">
        <v>21303</v>
      </c>
      <c r="AK41" s="343" t="s">
        <v>21304</v>
      </c>
      <c r="AL41" s="208"/>
      <c r="AM41" s="208" t="s">
        <v>21305</v>
      </c>
      <c r="AN41" s="208" t="s">
        <v>21306</v>
      </c>
      <c r="AO41" s="207">
        <v>4</v>
      </c>
      <c r="AP41" s="287" t="s">
        <v>21510</v>
      </c>
      <c r="AQ41" s="448" t="s">
        <v>21533</v>
      </c>
      <c r="AR41" s="448" t="s">
        <v>21534</v>
      </c>
      <c r="AS41" s="449" t="s">
        <v>10</v>
      </c>
      <c r="AT41" s="208" t="s">
        <v>21306</v>
      </c>
      <c r="AU41" s="208" t="s">
        <v>21303</v>
      </c>
      <c r="AV41" s="208" t="s">
        <v>21303</v>
      </c>
      <c r="AW41" s="208" t="s">
        <v>21303</v>
      </c>
      <c r="AX41" s="208" t="s">
        <v>21303</v>
      </c>
      <c r="AY41" s="208" t="s">
        <v>21303</v>
      </c>
      <c r="AZ41" s="208" t="s">
        <v>21288</v>
      </c>
      <c r="BA41" s="208" t="s">
        <v>21303</v>
      </c>
      <c r="BB41" s="208" t="s">
        <v>21303</v>
      </c>
      <c r="BC41" s="208" t="s">
        <v>21303</v>
      </c>
      <c r="BD41" s="208" t="s">
        <v>21303</v>
      </c>
      <c r="BE41" s="208" t="s">
        <v>21303</v>
      </c>
      <c r="BF41" s="208" t="s">
        <v>21288</v>
      </c>
      <c r="BG41" s="208" t="s">
        <v>21535</v>
      </c>
      <c r="BH41" s="208" t="s">
        <v>21303</v>
      </c>
      <c r="BI41" s="208" t="s">
        <v>21303</v>
      </c>
      <c r="BJ41" s="208" t="s">
        <v>21303</v>
      </c>
      <c r="BK41" s="208" t="s">
        <v>21303</v>
      </c>
      <c r="BL41" s="208" t="s">
        <v>21303</v>
      </c>
      <c r="BM41" s="208" t="s">
        <v>21312</v>
      </c>
      <c r="BN41" s="208" t="s">
        <v>21303</v>
      </c>
      <c r="BO41" s="208" t="s">
        <v>21303</v>
      </c>
      <c r="BP41" s="208" t="s">
        <v>21303</v>
      </c>
      <c r="BQ41" s="208" t="s">
        <v>21303</v>
      </c>
      <c r="BR41" s="208" t="s">
        <v>21303</v>
      </c>
      <c r="BS41" s="208">
        <v>3</v>
      </c>
      <c r="BT41" s="208">
        <v>0</v>
      </c>
      <c r="BU41" s="208">
        <v>0</v>
      </c>
      <c r="BV41" s="208">
        <v>0</v>
      </c>
      <c r="BW41" s="208">
        <v>0</v>
      </c>
      <c r="BX41" s="208">
        <v>0</v>
      </c>
      <c r="BY41" s="208" t="s">
        <v>21313</v>
      </c>
      <c r="BZ41" s="208">
        <v>1</v>
      </c>
      <c r="CA41" s="208">
        <v>1</v>
      </c>
      <c r="CB41" s="208">
        <v>1</v>
      </c>
      <c r="CC41" s="208">
        <v>0</v>
      </c>
      <c r="CD41" s="208">
        <v>0</v>
      </c>
      <c r="CE41" s="208">
        <v>0</v>
      </c>
      <c r="CF41" s="208" t="s">
        <v>21303</v>
      </c>
      <c r="CG41" s="208">
        <v>0</v>
      </c>
      <c r="CH41" s="208">
        <v>0</v>
      </c>
      <c r="CI41" s="208">
        <v>0</v>
      </c>
      <c r="CJ41" s="208">
        <v>0</v>
      </c>
      <c r="CK41" s="208">
        <v>0</v>
      </c>
      <c r="CL41" s="208">
        <v>0</v>
      </c>
      <c r="CM41" s="208" t="s">
        <v>21303</v>
      </c>
      <c r="CN41" s="208">
        <v>0</v>
      </c>
      <c r="CO41" s="208">
        <v>0</v>
      </c>
      <c r="CP41" s="208">
        <v>0</v>
      </c>
      <c r="CQ41" s="208">
        <v>0</v>
      </c>
      <c r="CR41" s="208">
        <v>0</v>
      </c>
      <c r="CS41" s="208">
        <v>0</v>
      </c>
      <c r="CT41" s="208" t="s">
        <v>21303</v>
      </c>
      <c r="CU41" s="208">
        <v>0</v>
      </c>
      <c r="CV41" s="208">
        <v>0</v>
      </c>
      <c r="CW41" s="208">
        <v>0</v>
      </c>
      <c r="CX41" s="208">
        <v>0</v>
      </c>
      <c r="CY41" s="208">
        <v>0</v>
      </c>
      <c r="CZ41" s="208">
        <v>0</v>
      </c>
      <c r="DA41" s="208" t="s">
        <v>21303</v>
      </c>
      <c r="DB41" s="208">
        <v>0</v>
      </c>
      <c r="DC41" s="208">
        <v>0</v>
      </c>
      <c r="DD41" s="208">
        <v>0</v>
      </c>
      <c r="DE41" s="208">
        <v>0</v>
      </c>
      <c r="DF41" s="208">
        <v>0</v>
      </c>
      <c r="DG41" s="208">
        <v>0</v>
      </c>
      <c r="DH41" s="208" t="s">
        <v>21303</v>
      </c>
      <c r="DI41" s="208">
        <v>0</v>
      </c>
      <c r="DJ41" s="208">
        <v>0</v>
      </c>
      <c r="DK41" s="208">
        <v>0</v>
      </c>
      <c r="DL41" s="208">
        <v>0</v>
      </c>
      <c r="DM41" s="208">
        <v>0</v>
      </c>
      <c r="DN41" s="208">
        <v>0</v>
      </c>
      <c r="DO41" s="208" t="s">
        <v>21314</v>
      </c>
      <c r="DP41" s="208">
        <v>80</v>
      </c>
      <c r="DQ41" s="208">
        <v>80</v>
      </c>
      <c r="DR41" s="208">
        <v>80</v>
      </c>
      <c r="DS41" s="208">
        <v>0</v>
      </c>
      <c r="DT41" s="208">
        <v>0</v>
      </c>
      <c r="DU41" s="208">
        <v>0</v>
      </c>
      <c r="DV41" s="208" t="s">
        <v>21315</v>
      </c>
      <c r="DW41" s="208">
        <v>80</v>
      </c>
      <c r="DX41" s="208" t="s">
        <v>21303</v>
      </c>
      <c r="DY41" s="208">
        <v>0</v>
      </c>
      <c r="DZ41" s="208">
        <v>0</v>
      </c>
      <c r="EA41" s="208">
        <v>0</v>
      </c>
      <c r="EB41" s="208">
        <v>0</v>
      </c>
      <c r="EC41" s="208">
        <v>0</v>
      </c>
      <c r="ED41" s="208">
        <v>0</v>
      </c>
      <c r="EE41" s="208" t="s">
        <v>21303</v>
      </c>
      <c r="EF41" s="208">
        <v>0</v>
      </c>
      <c r="EG41" s="208" t="s">
        <v>21303</v>
      </c>
      <c r="EH41" s="208">
        <v>0</v>
      </c>
      <c r="EI41" s="208">
        <v>0</v>
      </c>
      <c r="EJ41" s="208">
        <v>0</v>
      </c>
      <c r="EK41" s="208">
        <v>0</v>
      </c>
      <c r="EL41" s="208">
        <v>0</v>
      </c>
      <c r="EM41" s="208">
        <v>0</v>
      </c>
      <c r="EN41" s="208" t="s">
        <v>21303</v>
      </c>
      <c r="EO41" s="208">
        <v>0</v>
      </c>
      <c r="EP41" s="208" t="s">
        <v>21303</v>
      </c>
      <c r="EQ41" s="208">
        <v>0</v>
      </c>
      <c r="ER41" s="208">
        <v>0</v>
      </c>
      <c r="ES41" s="208">
        <v>0</v>
      </c>
      <c r="ET41" s="208">
        <v>0</v>
      </c>
      <c r="EU41" s="208">
        <v>0</v>
      </c>
      <c r="EV41" s="208">
        <v>0</v>
      </c>
      <c r="EW41" s="208" t="s">
        <v>21303</v>
      </c>
      <c r="EX41" s="208">
        <v>0</v>
      </c>
      <c r="EY41" s="208" t="s">
        <v>21303</v>
      </c>
      <c r="EZ41" s="208">
        <v>0</v>
      </c>
      <c r="FA41" s="208">
        <v>0</v>
      </c>
      <c r="FB41" s="208">
        <v>0</v>
      </c>
      <c r="FC41" s="208">
        <v>0</v>
      </c>
      <c r="FD41" s="208">
        <v>0</v>
      </c>
      <c r="FE41" s="208">
        <v>0</v>
      </c>
      <c r="FF41" s="208" t="s">
        <v>21303</v>
      </c>
      <c r="FG41" s="208">
        <v>0</v>
      </c>
      <c r="FH41" s="208" t="s">
        <v>21303</v>
      </c>
      <c r="FI41" s="208">
        <v>0</v>
      </c>
      <c r="FJ41" s="208">
        <v>0</v>
      </c>
      <c r="FK41" s="208">
        <v>0</v>
      </c>
      <c r="FL41" s="208">
        <v>0</v>
      </c>
      <c r="FM41" s="208">
        <v>0</v>
      </c>
      <c r="FN41" s="208">
        <v>0</v>
      </c>
      <c r="FO41" s="208" t="s">
        <v>21303</v>
      </c>
      <c r="FP41" s="208">
        <v>0</v>
      </c>
      <c r="FQ41" s="208">
        <v>80</v>
      </c>
      <c r="FR41" s="208" t="s">
        <v>21316</v>
      </c>
      <c r="FS41" s="208" t="s">
        <v>21303</v>
      </c>
      <c r="FT41" s="208" t="s">
        <v>21303</v>
      </c>
      <c r="FU41" s="208" t="s">
        <v>21303</v>
      </c>
      <c r="FV41" s="208" t="s">
        <v>21303</v>
      </c>
      <c r="FW41" s="208" t="s">
        <v>21303</v>
      </c>
      <c r="FX41" s="208" t="s">
        <v>21532</v>
      </c>
      <c r="FY41" s="208">
        <v>27</v>
      </c>
      <c r="FZ41" s="208">
        <v>27</v>
      </c>
      <c r="GA41" s="208">
        <v>27</v>
      </c>
      <c r="GB41" s="208">
        <v>0</v>
      </c>
      <c r="GC41" s="208">
        <v>0</v>
      </c>
      <c r="GD41" s="208">
        <v>0</v>
      </c>
      <c r="GE41" s="208" t="s">
        <v>21536</v>
      </c>
      <c r="GF41" s="208" t="s">
        <v>21303</v>
      </c>
      <c r="GG41" s="208">
        <v>0</v>
      </c>
      <c r="GH41" s="208">
        <v>0</v>
      </c>
      <c r="GI41" s="208">
        <v>0</v>
      </c>
      <c r="GJ41" s="208">
        <v>0</v>
      </c>
      <c r="GK41" s="208">
        <v>0</v>
      </c>
      <c r="GL41" s="208">
        <v>0</v>
      </c>
      <c r="GM41" s="208" t="s">
        <v>21303</v>
      </c>
      <c r="GN41" s="208" t="s">
        <v>21303</v>
      </c>
      <c r="GO41" s="208">
        <v>0</v>
      </c>
      <c r="GP41" s="208">
        <v>0</v>
      </c>
      <c r="GQ41" s="208">
        <v>0</v>
      </c>
      <c r="GR41" s="208">
        <v>0</v>
      </c>
      <c r="GS41" s="208">
        <v>0</v>
      </c>
      <c r="GT41" s="208">
        <v>0</v>
      </c>
      <c r="GU41" s="208" t="s">
        <v>21303</v>
      </c>
      <c r="GV41" s="208" t="s">
        <v>21303</v>
      </c>
      <c r="GW41" s="208">
        <v>0</v>
      </c>
      <c r="GX41" s="208">
        <v>0</v>
      </c>
      <c r="GY41" s="208">
        <v>0</v>
      </c>
      <c r="GZ41" s="208">
        <v>0</v>
      </c>
      <c r="HA41" s="208">
        <v>0</v>
      </c>
      <c r="HB41" s="208">
        <v>0</v>
      </c>
      <c r="HC41" s="208" t="s">
        <v>21303</v>
      </c>
      <c r="HD41" s="208" t="s">
        <v>21303</v>
      </c>
      <c r="HE41" s="208">
        <v>0</v>
      </c>
      <c r="HF41" s="208">
        <v>0</v>
      </c>
      <c r="HG41" s="208">
        <v>0</v>
      </c>
      <c r="HH41" s="208">
        <v>0</v>
      </c>
      <c r="HI41" s="208">
        <v>0</v>
      </c>
      <c r="HJ41" s="208">
        <v>0</v>
      </c>
      <c r="HK41" s="208" t="s">
        <v>21303</v>
      </c>
      <c r="HL41" s="208" t="s">
        <v>21303</v>
      </c>
      <c r="HM41" s="208">
        <v>0</v>
      </c>
      <c r="HN41" s="208">
        <v>0</v>
      </c>
      <c r="HO41" s="208">
        <v>0</v>
      </c>
      <c r="HP41" s="208">
        <v>0</v>
      </c>
      <c r="HQ41" s="208">
        <v>0</v>
      </c>
      <c r="HR41" s="208">
        <v>0</v>
      </c>
      <c r="HS41" s="208" t="s">
        <v>21303</v>
      </c>
      <c r="HT41" s="208" t="s">
        <v>21319</v>
      </c>
      <c r="HU41" s="208">
        <v>27</v>
      </c>
      <c r="HV41" s="208">
        <v>0</v>
      </c>
      <c r="HW41" s="208">
        <v>0</v>
      </c>
      <c r="HX41" s="208">
        <v>0</v>
      </c>
      <c r="HY41" s="208">
        <v>0</v>
      </c>
      <c r="HZ41" s="208">
        <v>0</v>
      </c>
      <c r="IA41" s="600">
        <v>27</v>
      </c>
      <c r="IB41" s="600">
        <v>9</v>
      </c>
      <c r="IC41" s="343" t="s">
        <v>21035</v>
      </c>
      <c r="ID41" s="343" t="s">
        <v>3624</v>
      </c>
      <c r="IE41" s="343" t="s">
        <v>21320</v>
      </c>
      <c r="IF41" s="343" t="s">
        <v>21321</v>
      </c>
      <c r="IG41" s="383">
        <v>43748</v>
      </c>
      <c r="IH41" s="383">
        <v>45575</v>
      </c>
      <c r="II41" s="208">
        <v>46</v>
      </c>
    </row>
    <row r="42" ht="102">
      <c r="A42" s="207">
        <v>41</v>
      </c>
      <c r="B42" s="343" t="s">
        <v>21287</v>
      </c>
      <c r="C42" s="343" t="s">
        <v>21288</v>
      </c>
      <c r="D42" s="600">
        <v>124941</v>
      </c>
      <c r="E42" s="317" t="s">
        <v>21216</v>
      </c>
      <c r="F42" s="207" t="s">
        <v>20855</v>
      </c>
      <c r="G42" s="600">
        <v>105.859908</v>
      </c>
      <c r="H42" s="600">
        <v>20.990874</v>
      </c>
      <c r="I42" s="207">
        <v>1</v>
      </c>
      <c r="J42" s="207">
        <v>1</v>
      </c>
      <c r="K42" s="207" t="s">
        <v>21306</v>
      </c>
      <c r="L42" s="207">
        <v>124941</v>
      </c>
      <c r="M42" s="207" t="s">
        <v>21312</v>
      </c>
      <c r="N42" s="207">
        <v>3</v>
      </c>
      <c r="O42" s="207" t="s">
        <v>21313</v>
      </c>
      <c r="P42" s="207" t="s">
        <v>21314</v>
      </c>
      <c r="Q42" s="207">
        <v>2100</v>
      </c>
      <c r="R42" s="207" t="s">
        <v>21399</v>
      </c>
      <c r="S42" s="364" t="b">
        <v>1</v>
      </c>
      <c r="T42" s="207" t="s">
        <v>21217</v>
      </c>
      <c r="U42" s="207">
        <v>0</v>
      </c>
      <c r="V42" s="207" t="s">
        <v>21297</v>
      </c>
      <c r="W42" s="207" t="s">
        <v>21218</v>
      </c>
      <c r="X42" s="209" t="s">
        <v>21298</v>
      </c>
      <c r="Y42" s="207" t="b">
        <v>0</v>
      </c>
      <c r="Z42" s="364" t="b">
        <v>0</v>
      </c>
      <c r="AA42" s="600">
        <v>25</v>
      </c>
      <c r="AB42" s="364" t="b">
        <v>1</v>
      </c>
      <c r="AC42" s="600">
        <v>18</v>
      </c>
      <c r="AD42" s="207" t="b">
        <v>0</v>
      </c>
      <c r="AE42" s="207" t="s">
        <v>21299</v>
      </c>
      <c r="AF42" s="207" t="s">
        <v>21300</v>
      </c>
      <c r="AG42" s="343" t="s">
        <v>21301</v>
      </c>
      <c r="AH42" s="343" t="s">
        <v>21302</v>
      </c>
      <c r="AI42" s="343" t="s">
        <v>21054</v>
      </c>
      <c r="AJ42" s="343" t="s">
        <v>21303</v>
      </c>
      <c r="AK42" s="343" t="s">
        <v>21304</v>
      </c>
      <c r="AL42" s="208"/>
      <c r="AM42" s="208" t="s">
        <v>21305</v>
      </c>
      <c r="AN42" s="208" t="s">
        <v>21306</v>
      </c>
      <c r="AO42" s="207">
        <v>5</v>
      </c>
      <c r="AP42" s="287" t="s">
        <v>21510</v>
      </c>
      <c r="AQ42" s="448" t="s">
        <v>21533</v>
      </c>
      <c r="AR42" s="448" t="s">
        <v>21537</v>
      </c>
      <c r="AS42" s="449" t="s">
        <v>10</v>
      </c>
      <c r="AT42" s="208" t="s">
        <v>21306</v>
      </c>
      <c r="AU42" s="208" t="s">
        <v>21303</v>
      </c>
      <c r="AV42" s="208" t="s">
        <v>21303</v>
      </c>
      <c r="AW42" s="208" t="s">
        <v>21303</v>
      </c>
      <c r="AX42" s="208" t="s">
        <v>21303</v>
      </c>
      <c r="AY42" s="208" t="s">
        <v>21303</v>
      </c>
      <c r="AZ42" s="208" t="s">
        <v>21288</v>
      </c>
      <c r="BA42" s="208" t="s">
        <v>21303</v>
      </c>
      <c r="BB42" s="208" t="s">
        <v>21303</v>
      </c>
      <c r="BC42" s="208" t="s">
        <v>21303</v>
      </c>
      <c r="BD42" s="208" t="s">
        <v>21303</v>
      </c>
      <c r="BE42" s="208" t="s">
        <v>21303</v>
      </c>
      <c r="BF42" s="208" t="s">
        <v>21288</v>
      </c>
      <c r="BG42" s="208" t="s">
        <v>21538</v>
      </c>
      <c r="BH42" s="208" t="s">
        <v>21303</v>
      </c>
      <c r="BI42" s="208" t="s">
        <v>21303</v>
      </c>
      <c r="BJ42" s="208" t="s">
        <v>21303</v>
      </c>
      <c r="BK42" s="208" t="s">
        <v>21303</v>
      </c>
      <c r="BL42" s="208" t="s">
        <v>21303</v>
      </c>
      <c r="BM42" s="208" t="s">
        <v>21312</v>
      </c>
      <c r="BN42" s="208" t="s">
        <v>21303</v>
      </c>
      <c r="BO42" s="208" t="s">
        <v>21303</v>
      </c>
      <c r="BP42" s="208" t="s">
        <v>21303</v>
      </c>
      <c r="BQ42" s="208" t="s">
        <v>21303</v>
      </c>
      <c r="BR42" s="208" t="s">
        <v>21303</v>
      </c>
      <c r="BS42" s="208">
        <v>3</v>
      </c>
      <c r="BT42" s="208">
        <v>0</v>
      </c>
      <c r="BU42" s="208">
        <v>0</v>
      </c>
      <c r="BV42" s="208">
        <v>0</v>
      </c>
      <c r="BW42" s="208">
        <v>0</v>
      </c>
      <c r="BX42" s="208">
        <v>0</v>
      </c>
      <c r="BY42" s="208" t="s">
        <v>21313</v>
      </c>
      <c r="BZ42" s="208">
        <v>1</v>
      </c>
      <c r="CA42" s="208">
        <v>1</v>
      </c>
      <c r="CB42" s="208">
        <v>1</v>
      </c>
      <c r="CC42" s="208">
        <v>0</v>
      </c>
      <c r="CD42" s="208">
        <v>0</v>
      </c>
      <c r="CE42" s="208">
        <v>0</v>
      </c>
      <c r="CF42" s="208" t="s">
        <v>21303</v>
      </c>
      <c r="CG42" s="208">
        <v>0</v>
      </c>
      <c r="CH42" s="208">
        <v>0</v>
      </c>
      <c r="CI42" s="208">
        <v>0</v>
      </c>
      <c r="CJ42" s="208">
        <v>0</v>
      </c>
      <c r="CK42" s="208">
        <v>0</v>
      </c>
      <c r="CL42" s="208">
        <v>0</v>
      </c>
      <c r="CM42" s="208" t="s">
        <v>21303</v>
      </c>
      <c r="CN42" s="208">
        <v>0</v>
      </c>
      <c r="CO42" s="208">
        <v>0</v>
      </c>
      <c r="CP42" s="208">
        <v>0</v>
      </c>
      <c r="CQ42" s="208">
        <v>0</v>
      </c>
      <c r="CR42" s="208">
        <v>0</v>
      </c>
      <c r="CS42" s="208">
        <v>0</v>
      </c>
      <c r="CT42" s="208" t="s">
        <v>21303</v>
      </c>
      <c r="CU42" s="208">
        <v>0</v>
      </c>
      <c r="CV42" s="208">
        <v>0</v>
      </c>
      <c r="CW42" s="208">
        <v>0</v>
      </c>
      <c r="CX42" s="208">
        <v>0</v>
      </c>
      <c r="CY42" s="208">
        <v>0</v>
      </c>
      <c r="CZ42" s="208">
        <v>0</v>
      </c>
      <c r="DA42" s="208" t="s">
        <v>21303</v>
      </c>
      <c r="DB42" s="208">
        <v>0</v>
      </c>
      <c r="DC42" s="208">
        <v>0</v>
      </c>
      <c r="DD42" s="208">
        <v>0</v>
      </c>
      <c r="DE42" s="208">
        <v>0</v>
      </c>
      <c r="DF42" s="208">
        <v>0</v>
      </c>
      <c r="DG42" s="208">
        <v>0</v>
      </c>
      <c r="DH42" s="208" t="s">
        <v>21303</v>
      </c>
      <c r="DI42" s="208">
        <v>0</v>
      </c>
      <c r="DJ42" s="208">
        <v>0</v>
      </c>
      <c r="DK42" s="208">
        <v>0</v>
      </c>
      <c r="DL42" s="208">
        <v>0</v>
      </c>
      <c r="DM42" s="208">
        <v>0</v>
      </c>
      <c r="DN42" s="208">
        <v>0</v>
      </c>
      <c r="DO42" s="208" t="s">
        <v>21314</v>
      </c>
      <c r="DP42" s="208">
        <v>80</v>
      </c>
      <c r="DQ42" s="208">
        <v>80</v>
      </c>
      <c r="DR42" s="208">
        <v>80</v>
      </c>
      <c r="DS42" s="208">
        <v>0</v>
      </c>
      <c r="DT42" s="208">
        <v>0</v>
      </c>
      <c r="DU42" s="208">
        <v>0</v>
      </c>
      <c r="DV42" s="208" t="s">
        <v>21315</v>
      </c>
      <c r="DW42" s="208">
        <v>80</v>
      </c>
      <c r="DX42" s="208" t="s">
        <v>21303</v>
      </c>
      <c r="DY42" s="208">
        <v>0</v>
      </c>
      <c r="DZ42" s="208">
        <v>0</v>
      </c>
      <c r="EA42" s="208">
        <v>0</v>
      </c>
      <c r="EB42" s="208">
        <v>0</v>
      </c>
      <c r="EC42" s="208">
        <v>0</v>
      </c>
      <c r="ED42" s="208">
        <v>0</v>
      </c>
      <c r="EE42" s="208" t="s">
        <v>21303</v>
      </c>
      <c r="EF42" s="208">
        <v>0</v>
      </c>
      <c r="EG42" s="208" t="s">
        <v>21303</v>
      </c>
      <c r="EH42" s="208">
        <v>0</v>
      </c>
      <c r="EI42" s="208">
        <v>0</v>
      </c>
      <c r="EJ42" s="208">
        <v>0</v>
      </c>
      <c r="EK42" s="208">
        <v>0</v>
      </c>
      <c r="EL42" s="208">
        <v>0</v>
      </c>
      <c r="EM42" s="208">
        <v>0</v>
      </c>
      <c r="EN42" s="208" t="s">
        <v>21303</v>
      </c>
      <c r="EO42" s="208">
        <v>0</v>
      </c>
      <c r="EP42" s="208" t="s">
        <v>21303</v>
      </c>
      <c r="EQ42" s="208">
        <v>0</v>
      </c>
      <c r="ER42" s="208">
        <v>0</v>
      </c>
      <c r="ES42" s="208">
        <v>0</v>
      </c>
      <c r="ET42" s="208">
        <v>0</v>
      </c>
      <c r="EU42" s="208">
        <v>0</v>
      </c>
      <c r="EV42" s="208">
        <v>0</v>
      </c>
      <c r="EW42" s="208" t="s">
        <v>21303</v>
      </c>
      <c r="EX42" s="208">
        <v>0</v>
      </c>
      <c r="EY42" s="208" t="s">
        <v>21303</v>
      </c>
      <c r="EZ42" s="208">
        <v>0</v>
      </c>
      <c r="FA42" s="208">
        <v>0</v>
      </c>
      <c r="FB42" s="208">
        <v>0</v>
      </c>
      <c r="FC42" s="208">
        <v>0</v>
      </c>
      <c r="FD42" s="208">
        <v>0</v>
      </c>
      <c r="FE42" s="208">
        <v>0</v>
      </c>
      <c r="FF42" s="208" t="s">
        <v>21303</v>
      </c>
      <c r="FG42" s="208">
        <v>0</v>
      </c>
      <c r="FH42" s="208" t="s">
        <v>21303</v>
      </c>
      <c r="FI42" s="208">
        <v>0</v>
      </c>
      <c r="FJ42" s="208">
        <v>0</v>
      </c>
      <c r="FK42" s="208">
        <v>0</v>
      </c>
      <c r="FL42" s="208">
        <v>0</v>
      </c>
      <c r="FM42" s="208">
        <v>0</v>
      </c>
      <c r="FN42" s="208">
        <v>0</v>
      </c>
      <c r="FO42" s="208" t="s">
        <v>21303</v>
      </c>
      <c r="FP42" s="208">
        <v>0</v>
      </c>
      <c r="FQ42" s="208">
        <v>80</v>
      </c>
      <c r="FR42" s="208" t="s">
        <v>21316</v>
      </c>
      <c r="FS42" s="208" t="s">
        <v>21303</v>
      </c>
      <c r="FT42" s="208" t="s">
        <v>21303</v>
      </c>
      <c r="FU42" s="208" t="s">
        <v>21303</v>
      </c>
      <c r="FV42" s="208" t="s">
        <v>21303</v>
      </c>
      <c r="FW42" s="208" t="s">
        <v>21303</v>
      </c>
      <c r="FX42" s="208" t="s">
        <v>21399</v>
      </c>
      <c r="FY42" s="208">
        <v>25</v>
      </c>
      <c r="FZ42" s="208">
        <v>25</v>
      </c>
      <c r="GA42" s="208">
        <v>25</v>
      </c>
      <c r="GB42" s="208">
        <v>0</v>
      </c>
      <c r="GC42" s="208">
        <v>0</v>
      </c>
      <c r="GD42" s="208">
        <v>0</v>
      </c>
      <c r="GE42" s="208" t="s">
        <v>21400</v>
      </c>
      <c r="GF42" s="208" t="s">
        <v>21303</v>
      </c>
      <c r="GG42" s="208">
        <v>0</v>
      </c>
      <c r="GH42" s="208">
        <v>0</v>
      </c>
      <c r="GI42" s="208">
        <v>0</v>
      </c>
      <c r="GJ42" s="208">
        <v>0</v>
      </c>
      <c r="GK42" s="208">
        <v>0</v>
      </c>
      <c r="GL42" s="208">
        <v>0</v>
      </c>
      <c r="GM42" s="208" t="s">
        <v>21303</v>
      </c>
      <c r="GN42" s="208" t="s">
        <v>21303</v>
      </c>
      <c r="GO42" s="208">
        <v>0</v>
      </c>
      <c r="GP42" s="208">
        <v>0</v>
      </c>
      <c r="GQ42" s="208">
        <v>0</v>
      </c>
      <c r="GR42" s="208">
        <v>0</v>
      </c>
      <c r="GS42" s="208">
        <v>0</v>
      </c>
      <c r="GT42" s="208">
        <v>0</v>
      </c>
      <c r="GU42" s="208" t="s">
        <v>21303</v>
      </c>
      <c r="GV42" s="208" t="s">
        <v>21303</v>
      </c>
      <c r="GW42" s="208">
        <v>0</v>
      </c>
      <c r="GX42" s="208">
        <v>0</v>
      </c>
      <c r="GY42" s="208">
        <v>0</v>
      </c>
      <c r="GZ42" s="208">
        <v>0</v>
      </c>
      <c r="HA42" s="208">
        <v>0</v>
      </c>
      <c r="HB42" s="208">
        <v>0</v>
      </c>
      <c r="HC42" s="208" t="s">
        <v>21303</v>
      </c>
      <c r="HD42" s="208" t="s">
        <v>21303</v>
      </c>
      <c r="HE42" s="208">
        <v>0</v>
      </c>
      <c r="HF42" s="208">
        <v>0</v>
      </c>
      <c r="HG42" s="208">
        <v>0</v>
      </c>
      <c r="HH42" s="208">
        <v>0</v>
      </c>
      <c r="HI42" s="208">
        <v>0</v>
      </c>
      <c r="HJ42" s="208">
        <v>0</v>
      </c>
      <c r="HK42" s="208" t="s">
        <v>21303</v>
      </c>
      <c r="HL42" s="208" t="s">
        <v>21303</v>
      </c>
      <c r="HM42" s="208">
        <v>0</v>
      </c>
      <c r="HN42" s="208">
        <v>0</v>
      </c>
      <c r="HO42" s="208">
        <v>0</v>
      </c>
      <c r="HP42" s="208">
        <v>0</v>
      </c>
      <c r="HQ42" s="208">
        <v>0</v>
      </c>
      <c r="HR42" s="208">
        <v>0</v>
      </c>
      <c r="HS42" s="208" t="s">
        <v>21303</v>
      </c>
      <c r="HT42" s="208" t="s">
        <v>21319</v>
      </c>
      <c r="HU42" s="208">
        <v>25</v>
      </c>
      <c r="HV42" s="208">
        <v>0</v>
      </c>
      <c r="HW42" s="208">
        <v>0</v>
      </c>
      <c r="HX42" s="208">
        <v>0</v>
      </c>
      <c r="HY42" s="208">
        <v>0</v>
      </c>
      <c r="HZ42" s="208">
        <v>0</v>
      </c>
      <c r="IA42" s="600">
        <v>25</v>
      </c>
      <c r="IB42" s="600">
        <v>7</v>
      </c>
      <c r="IC42" s="343" t="s">
        <v>21035</v>
      </c>
      <c r="ID42" s="343" t="s">
        <v>21539</v>
      </c>
      <c r="IE42" s="343" t="s">
        <v>21320</v>
      </c>
      <c r="IF42" s="343" t="s">
        <v>21321</v>
      </c>
      <c r="IG42" s="383">
        <v>43748</v>
      </c>
      <c r="IH42" s="383">
        <v>45575</v>
      </c>
      <c r="II42" s="208">
        <v>46</v>
      </c>
    </row>
    <row r="43" ht="102">
      <c r="A43" s="207">
        <v>42</v>
      </c>
      <c r="B43" s="343" t="s">
        <v>21287</v>
      </c>
      <c r="C43" s="343" t="s">
        <v>21288</v>
      </c>
      <c r="D43" s="600">
        <v>124107</v>
      </c>
      <c r="E43" s="317" t="s">
        <v>21219</v>
      </c>
      <c r="F43" s="207" t="s">
        <v>20855</v>
      </c>
      <c r="G43" s="600">
        <v>105.841328</v>
      </c>
      <c r="H43" s="600">
        <v>21.041262</v>
      </c>
      <c r="I43" s="207">
        <v>1</v>
      </c>
      <c r="J43" s="207">
        <v>1</v>
      </c>
      <c r="K43" s="207" t="s">
        <v>21306</v>
      </c>
      <c r="L43" s="207">
        <v>124107</v>
      </c>
      <c r="M43" s="207" t="s">
        <v>21312</v>
      </c>
      <c r="N43" s="207">
        <v>3</v>
      </c>
      <c r="O43" s="207" t="s">
        <v>21313</v>
      </c>
      <c r="P43" s="207" t="s">
        <v>21314</v>
      </c>
      <c r="Q43" s="207">
        <v>2100</v>
      </c>
      <c r="R43" s="207" t="s">
        <v>21417</v>
      </c>
      <c r="S43" s="364" t="b">
        <v>1</v>
      </c>
      <c r="T43" s="207" t="s">
        <v>21220</v>
      </c>
      <c r="U43" s="207">
        <v>0</v>
      </c>
      <c r="V43" s="207" t="s">
        <v>21297</v>
      </c>
      <c r="W43" s="207" t="s">
        <v>21221</v>
      </c>
      <c r="X43" s="209" t="s">
        <v>21298</v>
      </c>
      <c r="Y43" s="207" t="b">
        <v>0</v>
      </c>
      <c r="Z43" s="364" t="b">
        <v>0</v>
      </c>
      <c r="AA43" s="600">
        <v>32</v>
      </c>
      <c r="AB43" s="364" t="b">
        <v>1</v>
      </c>
      <c r="AC43" s="600">
        <v>28</v>
      </c>
      <c r="AD43" s="207" t="b">
        <v>0</v>
      </c>
      <c r="AE43" s="207" t="s">
        <v>21299</v>
      </c>
      <c r="AF43" s="207" t="s">
        <v>21300</v>
      </c>
      <c r="AG43" s="343" t="s">
        <v>21301</v>
      </c>
      <c r="AH43" s="343" t="s">
        <v>21302</v>
      </c>
      <c r="AI43" s="343" t="s">
        <v>21054</v>
      </c>
      <c r="AJ43" s="343" t="s">
        <v>21303</v>
      </c>
      <c r="AK43" s="343" t="s">
        <v>21304</v>
      </c>
      <c r="AL43" s="208"/>
      <c r="AM43" s="208" t="s">
        <v>21305</v>
      </c>
      <c r="AN43" s="208" t="s">
        <v>21306</v>
      </c>
      <c r="AO43" s="207">
        <v>5</v>
      </c>
      <c r="AP43" s="287" t="s">
        <v>21510</v>
      </c>
      <c r="AQ43" s="448" t="s">
        <v>21540</v>
      </c>
      <c r="AR43" s="448" t="s">
        <v>21541</v>
      </c>
      <c r="AS43" s="449" t="s">
        <v>10</v>
      </c>
      <c r="AT43" s="208" t="s">
        <v>21306</v>
      </c>
      <c r="AU43" s="208" t="s">
        <v>21303</v>
      </c>
      <c r="AV43" s="208" t="s">
        <v>21303</v>
      </c>
      <c r="AW43" s="208" t="s">
        <v>21303</v>
      </c>
      <c r="AX43" s="208" t="s">
        <v>21303</v>
      </c>
      <c r="AY43" s="208" t="s">
        <v>21303</v>
      </c>
      <c r="AZ43" s="208" t="s">
        <v>21288</v>
      </c>
      <c r="BA43" s="208" t="s">
        <v>21303</v>
      </c>
      <c r="BB43" s="208" t="s">
        <v>21303</v>
      </c>
      <c r="BC43" s="208" t="s">
        <v>21303</v>
      </c>
      <c r="BD43" s="208" t="s">
        <v>21303</v>
      </c>
      <c r="BE43" s="208" t="s">
        <v>21303</v>
      </c>
      <c r="BF43" s="208" t="s">
        <v>21288</v>
      </c>
      <c r="BG43" s="208" t="s">
        <v>21542</v>
      </c>
      <c r="BH43" s="208" t="s">
        <v>21303</v>
      </c>
      <c r="BI43" s="208" t="s">
        <v>21303</v>
      </c>
      <c r="BJ43" s="208" t="s">
        <v>21303</v>
      </c>
      <c r="BK43" s="208" t="s">
        <v>21303</v>
      </c>
      <c r="BL43" s="208" t="s">
        <v>21303</v>
      </c>
      <c r="BM43" s="208" t="s">
        <v>21312</v>
      </c>
      <c r="BN43" s="208" t="s">
        <v>21303</v>
      </c>
      <c r="BO43" s="208" t="s">
        <v>21303</v>
      </c>
      <c r="BP43" s="208" t="s">
        <v>21303</v>
      </c>
      <c r="BQ43" s="208" t="s">
        <v>21303</v>
      </c>
      <c r="BR43" s="208" t="s">
        <v>21303</v>
      </c>
      <c r="BS43" s="208">
        <v>3</v>
      </c>
      <c r="BT43" s="208">
        <v>0</v>
      </c>
      <c r="BU43" s="208">
        <v>0</v>
      </c>
      <c r="BV43" s="208">
        <v>0</v>
      </c>
      <c r="BW43" s="208">
        <v>0</v>
      </c>
      <c r="BX43" s="208">
        <v>0</v>
      </c>
      <c r="BY43" s="208" t="s">
        <v>21313</v>
      </c>
      <c r="BZ43" s="208">
        <v>1</v>
      </c>
      <c r="CA43" s="208">
        <v>1</v>
      </c>
      <c r="CB43" s="208">
        <v>1</v>
      </c>
      <c r="CC43" s="208">
        <v>0</v>
      </c>
      <c r="CD43" s="208">
        <v>0</v>
      </c>
      <c r="CE43" s="208">
        <v>0</v>
      </c>
      <c r="CF43" s="208" t="s">
        <v>21303</v>
      </c>
      <c r="CG43" s="208">
        <v>0</v>
      </c>
      <c r="CH43" s="208">
        <v>0</v>
      </c>
      <c r="CI43" s="208">
        <v>0</v>
      </c>
      <c r="CJ43" s="208">
        <v>0</v>
      </c>
      <c r="CK43" s="208">
        <v>0</v>
      </c>
      <c r="CL43" s="208">
        <v>0</v>
      </c>
      <c r="CM43" s="208" t="s">
        <v>21303</v>
      </c>
      <c r="CN43" s="208">
        <v>0</v>
      </c>
      <c r="CO43" s="208">
        <v>0</v>
      </c>
      <c r="CP43" s="208">
        <v>0</v>
      </c>
      <c r="CQ43" s="208">
        <v>0</v>
      </c>
      <c r="CR43" s="208">
        <v>0</v>
      </c>
      <c r="CS43" s="208">
        <v>0</v>
      </c>
      <c r="CT43" s="208" t="s">
        <v>21303</v>
      </c>
      <c r="CU43" s="208">
        <v>0</v>
      </c>
      <c r="CV43" s="208">
        <v>0</v>
      </c>
      <c r="CW43" s="208">
        <v>0</v>
      </c>
      <c r="CX43" s="208">
        <v>0</v>
      </c>
      <c r="CY43" s="208">
        <v>0</v>
      </c>
      <c r="CZ43" s="208">
        <v>0</v>
      </c>
      <c r="DA43" s="208" t="s">
        <v>21303</v>
      </c>
      <c r="DB43" s="208">
        <v>0</v>
      </c>
      <c r="DC43" s="208">
        <v>0</v>
      </c>
      <c r="DD43" s="208">
        <v>0</v>
      </c>
      <c r="DE43" s="208">
        <v>0</v>
      </c>
      <c r="DF43" s="208">
        <v>0</v>
      </c>
      <c r="DG43" s="208">
        <v>0</v>
      </c>
      <c r="DH43" s="208" t="s">
        <v>21303</v>
      </c>
      <c r="DI43" s="208">
        <v>0</v>
      </c>
      <c r="DJ43" s="208">
        <v>0</v>
      </c>
      <c r="DK43" s="208">
        <v>0</v>
      </c>
      <c r="DL43" s="208">
        <v>0</v>
      </c>
      <c r="DM43" s="208">
        <v>0</v>
      </c>
      <c r="DN43" s="208">
        <v>0</v>
      </c>
      <c r="DO43" s="208" t="s">
        <v>21314</v>
      </c>
      <c r="DP43" s="208">
        <v>80</v>
      </c>
      <c r="DQ43" s="208">
        <v>80</v>
      </c>
      <c r="DR43" s="208">
        <v>80</v>
      </c>
      <c r="DS43" s="208">
        <v>0</v>
      </c>
      <c r="DT43" s="208">
        <v>0</v>
      </c>
      <c r="DU43" s="208">
        <v>0</v>
      </c>
      <c r="DV43" s="208" t="s">
        <v>21315</v>
      </c>
      <c r="DW43" s="208">
        <v>80</v>
      </c>
      <c r="DX43" s="208" t="s">
        <v>21303</v>
      </c>
      <c r="DY43" s="208">
        <v>0</v>
      </c>
      <c r="DZ43" s="208">
        <v>0</v>
      </c>
      <c r="EA43" s="208">
        <v>0</v>
      </c>
      <c r="EB43" s="208">
        <v>0</v>
      </c>
      <c r="EC43" s="208">
        <v>0</v>
      </c>
      <c r="ED43" s="208">
        <v>0</v>
      </c>
      <c r="EE43" s="208" t="s">
        <v>21303</v>
      </c>
      <c r="EF43" s="208">
        <v>0</v>
      </c>
      <c r="EG43" s="208" t="s">
        <v>21303</v>
      </c>
      <c r="EH43" s="208">
        <v>0</v>
      </c>
      <c r="EI43" s="208">
        <v>0</v>
      </c>
      <c r="EJ43" s="208">
        <v>0</v>
      </c>
      <c r="EK43" s="208">
        <v>0</v>
      </c>
      <c r="EL43" s="208">
        <v>0</v>
      </c>
      <c r="EM43" s="208">
        <v>0</v>
      </c>
      <c r="EN43" s="208" t="s">
        <v>21303</v>
      </c>
      <c r="EO43" s="208">
        <v>0</v>
      </c>
      <c r="EP43" s="208" t="s">
        <v>21303</v>
      </c>
      <c r="EQ43" s="208">
        <v>0</v>
      </c>
      <c r="ER43" s="208">
        <v>0</v>
      </c>
      <c r="ES43" s="208">
        <v>0</v>
      </c>
      <c r="ET43" s="208">
        <v>0</v>
      </c>
      <c r="EU43" s="208">
        <v>0</v>
      </c>
      <c r="EV43" s="208">
        <v>0</v>
      </c>
      <c r="EW43" s="208" t="s">
        <v>21303</v>
      </c>
      <c r="EX43" s="208">
        <v>0</v>
      </c>
      <c r="EY43" s="208" t="s">
        <v>21303</v>
      </c>
      <c r="EZ43" s="208">
        <v>0</v>
      </c>
      <c r="FA43" s="208">
        <v>0</v>
      </c>
      <c r="FB43" s="208">
        <v>0</v>
      </c>
      <c r="FC43" s="208">
        <v>0</v>
      </c>
      <c r="FD43" s="208">
        <v>0</v>
      </c>
      <c r="FE43" s="208">
        <v>0</v>
      </c>
      <c r="FF43" s="208" t="s">
        <v>21303</v>
      </c>
      <c r="FG43" s="208">
        <v>0</v>
      </c>
      <c r="FH43" s="208" t="s">
        <v>21303</v>
      </c>
      <c r="FI43" s="208">
        <v>0</v>
      </c>
      <c r="FJ43" s="208">
        <v>0</v>
      </c>
      <c r="FK43" s="208">
        <v>0</v>
      </c>
      <c r="FL43" s="208">
        <v>0</v>
      </c>
      <c r="FM43" s="208">
        <v>0</v>
      </c>
      <c r="FN43" s="208">
        <v>0</v>
      </c>
      <c r="FO43" s="208" t="s">
        <v>21303</v>
      </c>
      <c r="FP43" s="208">
        <v>0</v>
      </c>
      <c r="FQ43" s="208">
        <v>80</v>
      </c>
      <c r="FR43" s="208" t="s">
        <v>21316</v>
      </c>
      <c r="FS43" s="208" t="s">
        <v>21303</v>
      </c>
      <c r="FT43" s="208" t="s">
        <v>21303</v>
      </c>
      <c r="FU43" s="208" t="s">
        <v>21303</v>
      </c>
      <c r="FV43" s="208" t="s">
        <v>21303</v>
      </c>
      <c r="FW43" s="208" t="s">
        <v>21303</v>
      </c>
      <c r="FX43" s="208" t="s">
        <v>21417</v>
      </c>
      <c r="FY43" s="208">
        <v>32</v>
      </c>
      <c r="FZ43" s="208">
        <v>32</v>
      </c>
      <c r="GA43" s="208">
        <v>32</v>
      </c>
      <c r="GB43" s="208">
        <v>0</v>
      </c>
      <c r="GC43" s="208">
        <v>0</v>
      </c>
      <c r="GD43" s="208">
        <v>0</v>
      </c>
      <c r="GE43" s="208" t="s">
        <v>21418</v>
      </c>
      <c r="GF43" s="208" t="s">
        <v>21303</v>
      </c>
      <c r="GG43" s="208">
        <v>0</v>
      </c>
      <c r="GH43" s="208">
        <v>0</v>
      </c>
      <c r="GI43" s="208">
        <v>0</v>
      </c>
      <c r="GJ43" s="208">
        <v>0</v>
      </c>
      <c r="GK43" s="208">
        <v>0</v>
      </c>
      <c r="GL43" s="208">
        <v>0</v>
      </c>
      <c r="GM43" s="208" t="s">
        <v>21303</v>
      </c>
      <c r="GN43" s="208" t="s">
        <v>21303</v>
      </c>
      <c r="GO43" s="208">
        <v>0</v>
      </c>
      <c r="GP43" s="208">
        <v>0</v>
      </c>
      <c r="GQ43" s="208">
        <v>0</v>
      </c>
      <c r="GR43" s="208">
        <v>0</v>
      </c>
      <c r="GS43" s="208">
        <v>0</v>
      </c>
      <c r="GT43" s="208">
        <v>0</v>
      </c>
      <c r="GU43" s="208" t="s">
        <v>21303</v>
      </c>
      <c r="GV43" s="208" t="s">
        <v>21303</v>
      </c>
      <c r="GW43" s="208">
        <v>0</v>
      </c>
      <c r="GX43" s="208">
        <v>0</v>
      </c>
      <c r="GY43" s="208">
        <v>0</v>
      </c>
      <c r="GZ43" s="208">
        <v>0</v>
      </c>
      <c r="HA43" s="208">
        <v>0</v>
      </c>
      <c r="HB43" s="208">
        <v>0</v>
      </c>
      <c r="HC43" s="208" t="s">
        <v>21303</v>
      </c>
      <c r="HD43" s="208" t="s">
        <v>21303</v>
      </c>
      <c r="HE43" s="208">
        <v>0</v>
      </c>
      <c r="HF43" s="208">
        <v>0</v>
      </c>
      <c r="HG43" s="208">
        <v>0</v>
      </c>
      <c r="HH43" s="208">
        <v>0</v>
      </c>
      <c r="HI43" s="208">
        <v>0</v>
      </c>
      <c r="HJ43" s="208">
        <v>0</v>
      </c>
      <c r="HK43" s="208" t="s">
        <v>21303</v>
      </c>
      <c r="HL43" s="208" t="s">
        <v>21303</v>
      </c>
      <c r="HM43" s="208">
        <v>0</v>
      </c>
      <c r="HN43" s="208">
        <v>0</v>
      </c>
      <c r="HO43" s="208">
        <v>0</v>
      </c>
      <c r="HP43" s="208">
        <v>0</v>
      </c>
      <c r="HQ43" s="208">
        <v>0</v>
      </c>
      <c r="HR43" s="208">
        <v>0</v>
      </c>
      <c r="HS43" s="208" t="s">
        <v>21303</v>
      </c>
      <c r="HT43" s="208" t="s">
        <v>21319</v>
      </c>
      <c r="HU43" s="208">
        <v>32</v>
      </c>
      <c r="HV43" s="208">
        <v>0</v>
      </c>
      <c r="HW43" s="208">
        <v>0</v>
      </c>
      <c r="HX43" s="208">
        <v>0</v>
      </c>
      <c r="HY43" s="208">
        <v>0</v>
      </c>
      <c r="HZ43" s="208">
        <v>0</v>
      </c>
      <c r="IA43" s="600">
        <v>32</v>
      </c>
      <c r="IB43" s="600">
        <v>4</v>
      </c>
      <c r="IC43" s="343" t="s">
        <v>21035</v>
      </c>
      <c r="ID43" s="343" t="s">
        <v>21543</v>
      </c>
      <c r="IE43" s="343" t="s">
        <v>21320</v>
      </c>
      <c r="IF43" s="343" t="s">
        <v>21321</v>
      </c>
      <c r="IG43" s="383">
        <v>43748</v>
      </c>
      <c r="IH43" s="383">
        <v>45575</v>
      </c>
      <c r="II43" s="208">
        <v>46</v>
      </c>
    </row>
    <row r="44" ht="102">
      <c r="A44" s="207">
        <v>43</v>
      </c>
      <c r="B44" s="343" t="s">
        <v>21287</v>
      </c>
      <c r="C44" s="343" t="s">
        <v>21288</v>
      </c>
      <c r="D44" s="600">
        <v>124703</v>
      </c>
      <c r="E44" s="317" t="s">
        <v>21222</v>
      </c>
      <c r="F44" s="207" t="s">
        <v>20855</v>
      </c>
      <c r="G44" s="600">
        <v>105.87647</v>
      </c>
      <c r="H44" s="600">
        <v>21.04955</v>
      </c>
      <c r="I44" s="207">
        <v>1</v>
      </c>
      <c r="J44" s="207">
        <v>1</v>
      </c>
      <c r="K44" s="207" t="s">
        <v>21306</v>
      </c>
      <c r="L44" s="207">
        <v>124703</v>
      </c>
      <c r="M44" s="207" t="s">
        <v>21312</v>
      </c>
      <c r="N44" s="207">
        <v>3</v>
      </c>
      <c r="O44" s="207" t="s">
        <v>21313</v>
      </c>
      <c r="P44" s="207" t="s">
        <v>21314</v>
      </c>
      <c r="Q44" s="207">
        <v>2100</v>
      </c>
      <c r="R44" s="207" t="s">
        <v>21399</v>
      </c>
      <c r="S44" s="364" t="b">
        <v>1</v>
      </c>
      <c r="T44" s="207" t="s">
        <v>21223</v>
      </c>
      <c r="U44" s="207">
        <v>0</v>
      </c>
      <c r="V44" s="207" t="s">
        <v>21297</v>
      </c>
      <c r="W44" s="207" t="s">
        <v>21224</v>
      </c>
      <c r="X44" s="209" t="s">
        <v>21298</v>
      </c>
      <c r="Y44" s="207" t="b">
        <v>0</v>
      </c>
      <c r="Z44" s="364" t="b">
        <v>0</v>
      </c>
      <c r="AA44" s="600">
        <v>25</v>
      </c>
      <c r="AB44" s="364" t="b">
        <v>1</v>
      </c>
      <c r="AC44" s="600">
        <v>18</v>
      </c>
      <c r="AD44" s="207" t="b">
        <v>0</v>
      </c>
      <c r="AE44" s="207" t="s">
        <v>21299</v>
      </c>
      <c r="AF44" s="207" t="s">
        <v>21300</v>
      </c>
      <c r="AG44" s="343" t="s">
        <v>21301</v>
      </c>
      <c r="AH44" s="343" t="s">
        <v>21302</v>
      </c>
      <c r="AI44" s="343" t="s">
        <v>21054</v>
      </c>
      <c r="AJ44" s="343" t="s">
        <v>21303</v>
      </c>
      <c r="AK44" s="343" t="s">
        <v>21304</v>
      </c>
      <c r="AL44" s="208"/>
      <c r="AM44" s="208" t="s">
        <v>21305</v>
      </c>
      <c r="AN44" s="208" t="s">
        <v>21306</v>
      </c>
      <c r="AO44" s="207">
        <v>4</v>
      </c>
      <c r="AP44" s="287" t="s">
        <v>21510</v>
      </c>
      <c r="AQ44" s="448" t="s">
        <v>21544</v>
      </c>
      <c r="AR44" s="448" t="s">
        <v>21545</v>
      </c>
      <c r="AS44" s="449" t="s">
        <v>10</v>
      </c>
      <c r="AT44" s="208" t="s">
        <v>21306</v>
      </c>
      <c r="AU44" s="208" t="s">
        <v>21303</v>
      </c>
      <c r="AV44" s="208" t="s">
        <v>21303</v>
      </c>
      <c r="AW44" s="208" t="s">
        <v>21303</v>
      </c>
      <c r="AX44" s="208" t="s">
        <v>21303</v>
      </c>
      <c r="AY44" s="208" t="s">
        <v>21303</v>
      </c>
      <c r="AZ44" s="208" t="s">
        <v>21288</v>
      </c>
      <c r="BA44" s="208" t="s">
        <v>21303</v>
      </c>
      <c r="BB44" s="208" t="s">
        <v>21303</v>
      </c>
      <c r="BC44" s="208" t="s">
        <v>21303</v>
      </c>
      <c r="BD44" s="208" t="s">
        <v>21303</v>
      </c>
      <c r="BE44" s="208" t="s">
        <v>21303</v>
      </c>
      <c r="BF44" s="208" t="s">
        <v>21288</v>
      </c>
      <c r="BG44" s="208" t="s">
        <v>21546</v>
      </c>
      <c r="BH44" s="208" t="s">
        <v>21303</v>
      </c>
      <c r="BI44" s="208" t="s">
        <v>21303</v>
      </c>
      <c r="BJ44" s="208" t="s">
        <v>21303</v>
      </c>
      <c r="BK44" s="208" t="s">
        <v>21303</v>
      </c>
      <c r="BL44" s="208" t="s">
        <v>21303</v>
      </c>
      <c r="BM44" s="208" t="s">
        <v>21312</v>
      </c>
      <c r="BN44" s="208" t="s">
        <v>21303</v>
      </c>
      <c r="BO44" s="208" t="s">
        <v>21303</v>
      </c>
      <c r="BP44" s="208" t="s">
        <v>21303</v>
      </c>
      <c r="BQ44" s="208" t="s">
        <v>21303</v>
      </c>
      <c r="BR44" s="208" t="s">
        <v>21303</v>
      </c>
      <c r="BS44" s="208">
        <v>3</v>
      </c>
      <c r="BT44" s="208">
        <v>0</v>
      </c>
      <c r="BU44" s="208">
        <v>0</v>
      </c>
      <c r="BV44" s="208">
        <v>0</v>
      </c>
      <c r="BW44" s="208">
        <v>0</v>
      </c>
      <c r="BX44" s="208">
        <v>0</v>
      </c>
      <c r="BY44" s="208" t="s">
        <v>21313</v>
      </c>
      <c r="BZ44" s="208">
        <v>1</v>
      </c>
      <c r="CA44" s="208">
        <v>1</v>
      </c>
      <c r="CB44" s="208">
        <v>1</v>
      </c>
      <c r="CC44" s="208">
        <v>0</v>
      </c>
      <c r="CD44" s="208">
        <v>0</v>
      </c>
      <c r="CE44" s="208">
        <v>0</v>
      </c>
      <c r="CF44" s="208" t="s">
        <v>21303</v>
      </c>
      <c r="CG44" s="208">
        <v>0</v>
      </c>
      <c r="CH44" s="208">
        <v>0</v>
      </c>
      <c r="CI44" s="208">
        <v>0</v>
      </c>
      <c r="CJ44" s="208">
        <v>0</v>
      </c>
      <c r="CK44" s="208">
        <v>0</v>
      </c>
      <c r="CL44" s="208">
        <v>0</v>
      </c>
      <c r="CM44" s="208" t="s">
        <v>21303</v>
      </c>
      <c r="CN44" s="208">
        <v>0</v>
      </c>
      <c r="CO44" s="208">
        <v>0</v>
      </c>
      <c r="CP44" s="208">
        <v>0</v>
      </c>
      <c r="CQ44" s="208">
        <v>0</v>
      </c>
      <c r="CR44" s="208">
        <v>0</v>
      </c>
      <c r="CS44" s="208">
        <v>0</v>
      </c>
      <c r="CT44" s="208" t="s">
        <v>21303</v>
      </c>
      <c r="CU44" s="208">
        <v>0</v>
      </c>
      <c r="CV44" s="208">
        <v>0</v>
      </c>
      <c r="CW44" s="208">
        <v>0</v>
      </c>
      <c r="CX44" s="208">
        <v>0</v>
      </c>
      <c r="CY44" s="208">
        <v>0</v>
      </c>
      <c r="CZ44" s="208">
        <v>0</v>
      </c>
      <c r="DA44" s="208" t="s">
        <v>21303</v>
      </c>
      <c r="DB44" s="208">
        <v>0</v>
      </c>
      <c r="DC44" s="208">
        <v>0</v>
      </c>
      <c r="DD44" s="208">
        <v>0</v>
      </c>
      <c r="DE44" s="208">
        <v>0</v>
      </c>
      <c r="DF44" s="208">
        <v>0</v>
      </c>
      <c r="DG44" s="208">
        <v>0</v>
      </c>
      <c r="DH44" s="208" t="s">
        <v>21303</v>
      </c>
      <c r="DI44" s="208">
        <v>0</v>
      </c>
      <c r="DJ44" s="208">
        <v>0</v>
      </c>
      <c r="DK44" s="208">
        <v>0</v>
      </c>
      <c r="DL44" s="208">
        <v>0</v>
      </c>
      <c r="DM44" s="208">
        <v>0</v>
      </c>
      <c r="DN44" s="208">
        <v>0</v>
      </c>
      <c r="DO44" s="208" t="s">
        <v>21314</v>
      </c>
      <c r="DP44" s="208">
        <v>80</v>
      </c>
      <c r="DQ44" s="208">
        <v>80</v>
      </c>
      <c r="DR44" s="208">
        <v>80</v>
      </c>
      <c r="DS44" s="208">
        <v>0</v>
      </c>
      <c r="DT44" s="208">
        <v>0</v>
      </c>
      <c r="DU44" s="208">
        <v>0</v>
      </c>
      <c r="DV44" s="208" t="s">
        <v>21315</v>
      </c>
      <c r="DW44" s="208">
        <v>80</v>
      </c>
      <c r="DX44" s="208" t="s">
        <v>21303</v>
      </c>
      <c r="DY44" s="208">
        <v>0</v>
      </c>
      <c r="DZ44" s="208">
        <v>0</v>
      </c>
      <c r="EA44" s="208">
        <v>0</v>
      </c>
      <c r="EB44" s="208">
        <v>0</v>
      </c>
      <c r="EC44" s="208">
        <v>0</v>
      </c>
      <c r="ED44" s="208">
        <v>0</v>
      </c>
      <c r="EE44" s="208" t="s">
        <v>21303</v>
      </c>
      <c r="EF44" s="208">
        <v>0</v>
      </c>
      <c r="EG44" s="208" t="s">
        <v>21303</v>
      </c>
      <c r="EH44" s="208">
        <v>0</v>
      </c>
      <c r="EI44" s="208">
        <v>0</v>
      </c>
      <c r="EJ44" s="208">
        <v>0</v>
      </c>
      <c r="EK44" s="208">
        <v>0</v>
      </c>
      <c r="EL44" s="208">
        <v>0</v>
      </c>
      <c r="EM44" s="208">
        <v>0</v>
      </c>
      <c r="EN44" s="208" t="s">
        <v>21303</v>
      </c>
      <c r="EO44" s="208">
        <v>0</v>
      </c>
      <c r="EP44" s="208" t="s">
        <v>21303</v>
      </c>
      <c r="EQ44" s="208">
        <v>0</v>
      </c>
      <c r="ER44" s="208">
        <v>0</v>
      </c>
      <c r="ES44" s="208">
        <v>0</v>
      </c>
      <c r="ET44" s="208">
        <v>0</v>
      </c>
      <c r="EU44" s="208">
        <v>0</v>
      </c>
      <c r="EV44" s="208">
        <v>0</v>
      </c>
      <c r="EW44" s="208" t="s">
        <v>21303</v>
      </c>
      <c r="EX44" s="208">
        <v>0</v>
      </c>
      <c r="EY44" s="208" t="s">
        <v>21303</v>
      </c>
      <c r="EZ44" s="208">
        <v>0</v>
      </c>
      <c r="FA44" s="208">
        <v>0</v>
      </c>
      <c r="FB44" s="208">
        <v>0</v>
      </c>
      <c r="FC44" s="208">
        <v>0</v>
      </c>
      <c r="FD44" s="208">
        <v>0</v>
      </c>
      <c r="FE44" s="208">
        <v>0</v>
      </c>
      <c r="FF44" s="208" t="s">
        <v>21303</v>
      </c>
      <c r="FG44" s="208">
        <v>0</v>
      </c>
      <c r="FH44" s="208" t="s">
        <v>21303</v>
      </c>
      <c r="FI44" s="208">
        <v>0</v>
      </c>
      <c r="FJ44" s="208">
        <v>0</v>
      </c>
      <c r="FK44" s="208">
        <v>0</v>
      </c>
      <c r="FL44" s="208">
        <v>0</v>
      </c>
      <c r="FM44" s="208">
        <v>0</v>
      </c>
      <c r="FN44" s="208">
        <v>0</v>
      </c>
      <c r="FO44" s="208" t="s">
        <v>21303</v>
      </c>
      <c r="FP44" s="208">
        <v>0</v>
      </c>
      <c r="FQ44" s="208">
        <v>80</v>
      </c>
      <c r="FR44" s="208" t="s">
        <v>21316</v>
      </c>
      <c r="FS44" s="208" t="s">
        <v>21303</v>
      </c>
      <c r="FT44" s="208" t="s">
        <v>21303</v>
      </c>
      <c r="FU44" s="208" t="s">
        <v>21303</v>
      </c>
      <c r="FV44" s="208" t="s">
        <v>21303</v>
      </c>
      <c r="FW44" s="208" t="s">
        <v>21303</v>
      </c>
      <c r="FX44" s="208" t="s">
        <v>21399</v>
      </c>
      <c r="FY44" s="208">
        <v>25</v>
      </c>
      <c r="FZ44" s="208">
        <v>25</v>
      </c>
      <c r="GA44" s="208">
        <v>25</v>
      </c>
      <c r="GB44" s="208">
        <v>0</v>
      </c>
      <c r="GC44" s="208">
        <v>0</v>
      </c>
      <c r="GD44" s="208">
        <v>0</v>
      </c>
      <c r="GE44" s="208" t="s">
        <v>21400</v>
      </c>
      <c r="GF44" s="208" t="s">
        <v>21303</v>
      </c>
      <c r="GG44" s="208">
        <v>0</v>
      </c>
      <c r="GH44" s="208">
        <v>0</v>
      </c>
      <c r="GI44" s="208">
        <v>0</v>
      </c>
      <c r="GJ44" s="208">
        <v>0</v>
      </c>
      <c r="GK44" s="208">
        <v>0</v>
      </c>
      <c r="GL44" s="208">
        <v>0</v>
      </c>
      <c r="GM44" s="208" t="s">
        <v>21303</v>
      </c>
      <c r="GN44" s="208" t="s">
        <v>21303</v>
      </c>
      <c r="GO44" s="208">
        <v>0</v>
      </c>
      <c r="GP44" s="208">
        <v>0</v>
      </c>
      <c r="GQ44" s="208">
        <v>0</v>
      </c>
      <c r="GR44" s="208">
        <v>0</v>
      </c>
      <c r="GS44" s="208">
        <v>0</v>
      </c>
      <c r="GT44" s="208">
        <v>0</v>
      </c>
      <c r="GU44" s="208" t="s">
        <v>21303</v>
      </c>
      <c r="GV44" s="208" t="s">
        <v>21303</v>
      </c>
      <c r="GW44" s="208">
        <v>0</v>
      </c>
      <c r="GX44" s="208">
        <v>0</v>
      </c>
      <c r="GY44" s="208">
        <v>0</v>
      </c>
      <c r="GZ44" s="208">
        <v>0</v>
      </c>
      <c r="HA44" s="208">
        <v>0</v>
      </c>
      <c r="HB44" s="208">
        <v>0</v>
      </c>
      <c r="HC44" s="208" t="s">
        <v>21303</v>
      </c>
      <c r="HD44" s="208" t="s">
        <v>21303</v>
      </c>
      <c r="HE44" s="208">
        <v>0</v>
      </c>
      <c r="HF44" s="208">
        <v>0</v>
      </c>
      <c r="HG44" s="208">
        <v>0</v>
      </c>
      <c r="HH44" s="208">
        <v>0</v>
      </c>
      <c r="HI44" s="208">
        <v>0</v>
      </c>
      <c r="HJ44" s="208">
        <v>0</v>
      </c>
      <c r="HK44" s="208" t="s">
        <v>21303</v>
      </c>
      <c r="HL44" s="208" t="s">
        <v>21303</v>
      </c>
      <c r="HM44" s="208">
        <v>0</v>
      </c>
      <c r="HN44" s="208">
        <v>0</v>
      </c>
      <c r="HO44" s="208">
        <v>0</v>
      </c>
      <c r="HP44" s="208">
        <v>0</v>
      </c>
      <c r="HQ44" s="208">
        <v>0</v>
      </c>
      <c r="HR44" s="208">
        <v>0</v>
      </c>
      <c r="HS44" s="208" t="s">
        <v>21303</v>
      </c>
      <c r="HT44" s="208" t="s">
        <v>21319</v>
      </c>
      <c r="HU44" s="208">
        <v>25</v>
      </c>
      <c r="HV44" s="208">
        <v>0</v>
      </c>
      <c r="HW44" s="208">
        <v>0</v>
      </c>
      <c r="HX44" s="208">
        <v>0</v>
      </c>
      <c r="HY44" s="208">
        <v>0</v>
      </c>
      <c r="HZ44" s="208">
        <v>0</v>
      </c>
      <c r="IA44" s="600">
        <v>25</v>
      </c>
      <c r="IB44" s="600">
        <v>7</v>
      </c>
      <c r="IC44" s="343" t="s">
        <v>21035</v>
      </c>
      <c r="ID44" s="343" t="s">
        <v>3626</v>
      </c>
      <c r="IE44" s="343" t="s">
        <v>21320</v>
      </c>
      <c r="IF44" s="343" t="s">
        <v>21321</v>
      </c>
      <c r="IG44" s="383">
        <v>43748</v>
      </c>
      <c r="IH44" s="383">
        <v>45575</v>
      </c>
      <c r="II44" s="208">
        <v>46</v>
      </c>
    </row>
    <row r="45" ht="102">
      <c r="A45" s="207">
        <v>44</v>
      </c>
      <c r="B45" s="343" t="s">
        <v>21287</v>
      </c>
      <c r="C45" s="343" t="s">
        <v>21288</v>
      </c>
      <c r="D45" s="600">
        <v>124677</v>
      </c>
      <c r="E45" s="317" t="s">
        <v>21225</v>
      </c>
      <c r="F45" s="207" t="s">
        <v>20855</v>
      </c>
      <c r="G45" s="600">
        <v>105.964745</v>
      </c>
      <c r="H45" s="600">
        <v>21.016525</v>
      </c>
      <c r="I45" s="207">
        <v>1</v>
      </c>
      <c r="J45" s="207">
        <v>1</v>
      </c>
      <c r="K45" s="207" t="s">
        <v>21306</v>
      </c>
      <c r="L45" s="207">
        <v>124677</v>
      </c>
      <c r="M45" s="207" t="s">
        <v>21312</v>
      </c>
      <c r="N45" s="207">
        <v>3</v>
      </c>
      <c r="O45" s="207" t="s">
        <v>21313</v>
      </c>
      <c r="P45" s="207" t="s">
        <v>21314</v>
      </c>
      <c r="Q45" s="207">
        <v>2100</v>
      </c>
      <c r="R45" s="207" t="s">
        <v>21386</v>
      </c>
      <c r="S45" s="364" t="b">
        <v>1</v>
      </c>
      <c r="T45" s="207" t="s">
        <v>21226</v>
      </c>
      <c r="U45" s="207">
        <v>0</v>
      </c>
      <c r="V45" s="207" t="s">
        <v>21297</v>
      </c>
      <c r="W45" s="207" t="s">
        <v>21227</v>
      </c>
      <c r="X45" s="209" t="s">
        <v>21298</v>
      </c>
      <c r="Y45" s="207" t="b">
        <v>0</v>
      </c>
      <c r="Z45" s="364" t="b">
        <v>0</v>
      </c>
      <c r="AA45" s="600">
        <v>23</v>
      </c>
      <c r="AB45" s="364" t="b">
        <v>1</v>
      </c>
      <c r="AC45" s="600">
        <v>21</v>
      </c>
      <c r="AD45" s="207" t="b">
        <v>0</v>
      </c>
      <c r="AE45" s="207" t="s">
        <v>21299</v>
      </c>
      <c r="AF45" s="207" t="s">
        <v>21300</v>
      </c>
      <c r="AG45" s="343" t="s">
        <v>21301</v>
      </c>
      <c r="AH45" s="343" t="s">
        <v>21302</v>
      </c>
      <c r="AI45" s="343" t="s">
        <v>21054</v>
      </c>
      <c r="AJ45" s="343" t="s">
        <v>21303</v>
      </c>
      <c r="AK45" s="343" t="s">
        <v>21304</v>
      </c>
      <c r="AL45" s="208"/>
      <c r="AM45" s="208" t="s">
        <v>21305</v>
      </c>
      <c r="AN45" s="208" t="s">
        <v>21306</v>
      </c>
      <c r="AO45" s="207">
        <v>3</v>
      </c>
      <c r="AP45" s="287" t="s">
        <v>21510</v>
      </c>
      <c r="AQ45" s="448" t="s">
        <v>21547</v>
      </c>
      <c r="AR45" s="448" t="s">
        <v>21548</v>
      </c>
      <c r="AS45" s="449" t="s">
        <v>10</v>
      </c>
      <c r="AT45" s="208" t="s">
        <v>21306</v>
      </c>
      <c r="AU45" s="208" t="s">
        <v>21303</v>
      </c>
      <c r="AV45" s="208" t="s">
        <v>21303</v>
      </c>
      <c r="AW45" s="208" t="s">
        <v>21303</v>
      </c>
      <c r="AX45" s="208" t="s">
        <v>21303</v>
      </c>
      <c r="AY45" s="208" t="s">
        <v>21303</v>
      </c>
      <c r="AZ45" s="208" t="s">
        <v>21288</v>
      </c>
      <c r="BA45" s="208" t="s">
        <v>21303</v>
      </c>
      <c r="BB45" s="208" t="s">
        <v>21303</v>
      </c>
      <c r="BC45" s="208" t="s">
        <v>21303</v>
      </c>
      <c r="BD45" s="208" t="s">
        <v>21303</v>
      </c>
      <c r="BE45" s="208" t="s">
        <v>21303</v>
      </c>
      <c r="BF45" s="208" t="s">
        <v>21288</v>
      </c>
      <c r="BG45" s="208" t="s">
        <v>21549</v>
      </c>
      <c r="BH45" s="208" t="s">
        <v>21303</v>
      </c>
      <c r="BI45" s="208" t="s">
        <v>21303</v>
      </c>
      <c r="BJ45" s="208" t="s">
        <v>21303</v>
      </c>
      <c r="BK45" s="208" t="s">
        <v>21303</v>
      </c>
      <c r="BL45" s="208" t="s">
        <v>21303</v>
      </c>
      <c r="BM45" s="208" t="s">
        <v>21312</v>
      </c>
      <c r="BN45" s="208" t="s">
        <v>21303</v>
      </c>
      <c r="BO45" s="208" t="s">
        <v>21303</v>
      </c>
      <c r="BP45" s="208" t="s">
        <v>21303</v>
      </c>
      <c r="BQ45" s="208" t="s">
        <v>21303</v>
      </c>
      <c r="BR45" s="208" t="s">
        <v>21303</v>
      </c>
      <c r="BS45" s="208">
        <v>3</v>
      </c>
      <c r="BT45" s="208">
        <v>0</v>
      </c>
      <c r="BU45" s="208">
        <v>0</v>
      </c>
      <c r="BV45" s="208">
        <v>0</v>
      </c>
      <c r="BW45" s="208">
        <v>0</v>
      </c>
      <c r="BX45" s="208">
        <v>0</v>
      </c>
      <c r="BY45" s="208" t="s">
        <v>21313</v>
      </c>
      <c r="BZ45" s="208">
        <v>1</v>
      </c>
      <c r="CA45" s="208">
        <v>1</v>
      </c>
      <c r="CB45" s="208">
        <v>1</v>
      </c>
      <c r="CC45" s="208">
        <v>0</v>
      </c>
      <c r="CD45" s="208">
        <v>0</v>
      </c>
      <c r="CE45" s="208">
        <v>0</v>
      </c>
      <c r="CF45" s="208" t="s">
        <v>21303</v>
      </c>
      <c r="CG45" s="208">
        <v>0</v>
      </c>
      <c r="CH45" s="208">
        <v>0</v>
      </c>
      <c r="CI45" s="208">
        <v>0</v>
      </c>
      <c r="CJ45" s="208">
        <v>0</v>
      </c>
      <c r="CK45" s="208">
        <v>0</v>
      </c>
      <c r="CL45" s="208">
        <v>0</v>
      </c>
      <c r="CM45" s="208" t="s">
        <v>21303</v>
      </c>
      <c r="CN45" s="208">
        <v>0</v>
      </c>
      <c r="CO45" s="208">
        <v>0</v>
      </c>
      <c r="CP45" s="208">
        <v>0</v>
      </c>
      <c r="CQ45" s="208">
        <v>0</v>
      </c>
      <c r="CR45" s="208">
        <v>0</v>
      </c>
      <c r="CS45" s="208">
        <v>0</v>
      </c>
      <c r="CT45" s="208" t="s">
        <v>21303</v>
      </c>
      <c r="CU45" s="208">
        <v>0</v>
      </c>
      <c r="CV45" s="208">
        <v>0</v>
      </c>
      <c r="CW45" s="208">
        <v>0</v>
      </c>
      <c r="CX45" s="208">
        <v>0</v>
      </c>
      <c r="CY45" s="208">
        <v>0</v>
      </c>
      <c r="CZ45" s="208">
        <v>0</v>
      </c>
      <c r="DA45" s="208" t="s">
        <v>21303</v>
      </c>
      <c r="DB45" s="208">
        <v>0</v>
      </c>
      <c r="DC45" s="208">
        <v>0</v>
      </c>
      <c r="DD45" s="208">
        <v>0</v>
      </c>
      <c r="DE45" s="208">
        <v>0</v>
      </c>
      <c r="DF45" s="208">
        <v>0</v>
      </c>
      <c r="DG45" s="208">
        <v>0</v>
      </c>
      <c r="DH45" s="208" t="s">
        <v>21303</v>
      </c>
      <c r="DI45" s="208">
        <v>0</v>
      </c>
      <c r="DJ45" s="208">
        <v>0</v>
      </c>
      <c r="DK45" s="208">
        <v>0</v>
      </c>
      <c r="DL45" s="208">
        <v>0</v>
      </c>
      <c r="DM45" s="208">
        <v>0</v>
      </c>
      <c r="DN45" s="208">
        <v>0</v>
      </c>
      <c r="DO45" s="208" t="s">
        <v>21314</v>
      </c>
      <c r="DP45" s="208">
        <v>80</v>
      </c>
      <c r="DQ45" s="208">
        <v>80</v>
      </c>
      <c r="DR45" s="208">
        <v>80</v>
      </c>
      <c r="DS45" s="208">
        <v>0</v>
      </c>
      <c r="DT45" s="208">
        <v>0</v>
      </c>
      <c r="DU45" s="208">
        <v>0</v>
      </c>
      <c r="DV45" s="208" t="s">
        <v>21315</v>
      </c>
      <c r="DW45" s="208">
        <v>80</v>
      </c>
      <c r="DX45" s="208" t="s">
        <v>21303</v>
      </c>
      <c r="DY45" s="208">
        <v>0</v>
      </c>
      <c r="DZ45" s="208">
        <v>0</v>
      </c>
      <c r="EA45" s="208">
        <v>0</v>
      </c>
      <c r="EB45" s="208">
        <v>0</v>
      </c>
      <c r="EC45" s="208">
        <v>0</v>
      </c>
      <c r="ED45" s="208">
        <v>0</v>
      </c>
      <c r="EE45" s="208" t="s">
        <v>21303</v>
      </c>
      <c r="EF45" s="208">
        <v>0</v>
      </c>
      <c r="EG45" s="208" t="s">
        <v>21303</v>
      </c>
      <c r="EH45" s="208">
        <v>0</v>
      </c>
      <c r="EI45" s="208">
        <v>0</v>
      </c>
      <c r="EJ45" s="208">
        <v>0</v>
      </c>
      <c r="EK45" s="208">
        <v>0</v>
      </c>
      <c r="EL45" s="208">
        <v>0</v>
      </c>
      <c r="EM45" s="208">
        <v>0</v>
      </c>
      <c r="EN45" s="208" t="s">
        <v>21303</v>
      </c>
      <c r="EO45" s="208">
        <v>0</v>
      </c>
      <c r="EP45" s="208" t="s">
        <v>21303</v>
      </c>
      <c r="EQ45" s="208">
        <v>0</v>
      </c>
      <c r="ER45" s="208">
        <v>0</v>
      </c>
      <c r="ES45" s="208">
        <v>0</v>
      </c>
      <c r="ET45" s="208">
        <v>0</v>
      </c>
      <c r="EU45" s="208">
        <v>0</v>
      </c>
      <c r="EV45" s="208">
        <v>0</v>
      </c>
      <c r="EW45" s="208" t="s">
        <v>21303</v>
      </c>
      <c r="EX45" s="208">
        <v>0</v>
      </c>
      <c r="EY45" s="208" t="s">
        <v>21303</v>
      </c>
      <c r="EZ45" s="208">
        <v>0</v>
      </c>
      <c r="FA45" s="208">
        <v>0</v>
      </c>
      <c r="FB45" s="208">
        <v>0</v>
      </c>
      <c r="FC45" s="208">
        <v>0</v>
      </c>
      <c r="FD45" s="208">
        <v>0</v>
      </c>
      <c r="FE45" s="208">
        <v>0</v>
      </c>
      <c r="FF45" s="208" t="s">
        <v>21303</v>
      </c>
      <c r="FG45" s="208">
        <v>0</v>
      </c>
      <c r="FH45" s="208" t="s">
        <v>21303</v>
      </c>
      <c r="FI45" s="208">
        <v>0</v>
      </c>
      <c r="FJ45" s="208">
        <v>0</v>
      </c>
      <c r="FK45" s="208">
        <v>0</v>
      </c>
      <c r="FL45" s="208">
        <v>0</v>
      </c>
      <c r="FM45" s="208">
        <v>0</v>
      </c>
      <c r="FN45" s="208">
        <v>0</v>
      </c>
      <c r="FO45" s="208" t="s">
        <v>21303</v>
      </c>
      <c r="FP45" s="208">
        <v>0</v>
      </c>
      <c r="FQ45" s="208">
        <v>80</v>
      </c>
      <c r="FR45" s="208" t="s">
        <v>21316</v>
      </c>
      <c r="FS45" s="208" t="s">
        <v>21303</v>
      </c>
      <c r="FT45" s="208" t="s">
        <v>21303</v>
      </c>
      <c r="FU45" s="208" t="s">
        <v>21303</v>
      </c>
      <c r="FV45" s="208" t="s">
        <v>21303</v>
      </c>
      <c r="FW45" s="208" t="s">
        <v>21303</v>
      </c>
      <c r="FX45" s="208" t="s">
        <v>21386</v>
      </c>
      <c r="FY45" s="208">
        <v>23</v>
      </c>
      <c r="FZ45" s="208">
        <v>23</v>
      </c>
      <c r="GA45" s="208">
        <v>23</v>
      </c>
      <c r="GB45" s="208">
        <v>0</v>
      </c>
      <c r="GC45" s="208">
        <v>0</v>
      </c>
      <c r="GD45" s="208">
        <v>0</v>
      </c>
      <c r="GE45" s="208" t="s">
        <v>21387</v>
      </c>
      <c r="GF45" s="208" t="s">
        <v>21303</v>
      </c>
      <c r="GG45" s="208">
        <v>0</v>
      </c>
      <c r="GH45" s="208">
        <v>0</v>
      </c>
      <c r="GI45" s="208">
        <v>0</v>
      </c>
      <c r="GJ45" s="208">
        <v>0</v>
      </c>
      <c r="GK45" s="208">
        <v>0</v>
      </c>
      <c r="GL45" s="208">
        <v>0</v>
      </c>
      <c r="GM45" s="208" t="s">
        <v>21303</v>
      </c>
      <c r="GN45" s="208" t="s">
        <v>21303</v>
      </c>
      <c r="GO45" s="208">
        <v>0</v>
      </c>
      <c r="GP45" s="208">
        <v>0</v>
      </c>
      <c r="GQ45" s="208">
        <v>0</v>
      </c>
      <c r="GR45" s="208">
        <v>0</v>
      </c>
      <c r="GS45" s="208">
        <v>0</v>
      </c>
      <c r="GT45" s="208">
        <v>0</v>
      </c>
      <c r="GU45" s="208" t="s">
        <v>21303</v>
      </c>
      <c r="GV45" s="208" t="s">
        <v>21303</v>
      </c>
      <c r="GW45" s="208">
        <v>0</v>
      </c>
      <c r="GX45" s="208">
        <v>0</v>
      </c>
      <c r="GY45" s="208">
        <v>0</v>
      </c>
      <c r="GZ45" s="208">
        <v>0</v>
      </c>
      <c r="HA45" s="208">
        <v>0</v>
      </c>
      <c r="HB45" s="208">
        <v>0</v>
      </c>
      <c r="HC45" s="208" t="s">
        <v>21303</v>
      </c>
      <c r="HD45" s="208" t="s">
        <v>21303</v>
      </c>
      <c r="HE45" s="208">
        <v>0</v>
      </c>
      <c r="HF45" s="208">
        <v>0</v>
      </c>
      <c r="HG45" s="208">
        <v>0</v>
      </c>
      <c r="HH45" s="208">
        <v>0</v>
      </c>
      <c r="HI45" s="208">
        <v>0</v>
      </c>
      <c r="HJ45" s="208">
        <v>0</v>
      </c>
      <c r="HK45" s="208" t="s">
        <v>21303</v>
      </c>
      <c r="HL45" s="208" t="s">
        <v>21303</v>
      </c>
      <c r="HM45" s="208">
        <v>0</v>
      </c>
      <c r="HN45" s="208">
        <v>0</v>
      </c>
      <c r="HO45" s="208">
        <v>0</v>
      </c>
      <c r="HP45" s="208">
        <v>0</v>
      </c>
      <c r="HQ45" s="208">
        <v>0</v>
      </c>
      <c r="HR45" s="208">
        <v>0</v>
      </c>
      <c r="HS45" s="208" t="s">
        <v>21303</v>
      </c>
      <c r="HT45" s="208" t="s">
        <v>21319</v>
      </c>
      <c r="HU45" s="208">
        <v>23</v>
      </c>
      <c r="HV45" s="208">
        <v>0</v>
      </c>
      <c r="HW45" s="208">
        <v>0</v>
      </c>
      <c r="HX45" s="208">
        <v>0</v>
      </c>
      <c r="HY45" s="208">
        <v>0</v>
      </c>
      <c r="HZ45" s="208">
        <v>0</v>
      </c>
      <c r="IA45" s="600">
        <v>23</v>
      </c>
      <c r="IB45" s="600">
        <v>2</v>
      </c>
      <c r="IC45" s="343" t="s">
        <v>21035</v>
      </c>
      <c r="ID45" s="343" t="s">
        <v>21550</v>
      </c>
      <c r="IE45" s="343" t="s">
        <v>21320</v>
      </c>
      <c r="IF45" s="343" t="s">
        <v>21321</v>
      </c>
      <c r="IG45" s="383">
        <v>43748</v>
      </c>
      <c r="IH45" s="383">
        <v>45575</v>
      </c>
      <c r="II45" s="208">
        <v>46</v>
      </c>
    </row>
    <row r="46" ht="102">
      <c r="A46" s="207">
        <v>45</v>
      </c>
      <c r="B46" s="343" t="s">
        <v>21287</v>
      </c>
      <c r="C46" s="343" t="s">
        <v>21288</v>
      </c>
      <c r="D46" s="600">
        <v>124763</v>
      </c>
      <c r="E46" s="317" t="s">
        <v>21228</v>
      </c>
      <c r="F46" s="207" t="s">
        <v>20855</v>
      </c>
      <c r="G46" s="600">
        <v>105.82129</v>
      </c>
      <c r="H46" s="600">
        <v>21.101444</v>
      </c>
      <c r="I46" s="207">
        <v>1</v>
      </c>
      <c r="J46" s="207">
        <v>1</v>
      </c>
      <c r="K46" s="207" t="s">
        <v>21306</v>
      </c>
      <c r="L46" s="207">
        <v>124763</v>
      </c>
      <c r="M46" s="207" t="s">
        <v>21312</v>
      </c>
      <c r="N46" s="207">
        <v>3</v>
      </c>
      <c r="O46" s="207" t="s">
        <v>21313</v>
      </c>
      <c r="P46" s="207" t="s">
        <v>21314</v>
      </c>
      <c r="Q46" s="207">
        <v>2100</v>
      </c>
      <c r="R46" s="207" t="s">
        <v>21377</v>
      </c>
      <c r="S46" s="364" t="b">
        <v>1</v>
      </c>
      <c r="T46" s="207" t="s">
        <v>21229</v>
      </c>
      <c r="U46" s="207">
        <v>0</v>
      </c>
      <c r="V46" s="207" t="s">
        <v>21297</v>
      </c>
      <c r="W46" s="207" t="s">
        <v>21230</v>
      </c>
      <c r="X46" s="209" t="s">
        <v>21298</v>
      </c>
      <c r="Y46" s="207" t="b">
        <v>1</v>
      </c>
      <c r="Z46" s="364" t="b">
        <v>1</v>
      </c>
      <c r="AA46" s="600">
        <v>40</v>
      </c>
      <c r="AB46" s="364" t="b">
        <v>1</v>
      </c>
      <c r="AC46" s="600">
        <v>4</v>
      </c>
      <c r="AD46" s="207" t="b">
        <v>0</v>
      </c>
      <c r="AE46" s="207" t="s">
        <v>21299</v>
      </c>
      <c r="AF46" s="207" t="s">
        <v>21300</v>
      </c>
      <c r="AG46" s="343" t="s">
        <v>21301</v>
      </c>
      <c r="AH46" s="343" t="s">
        <v>21302</v>
      </c>
      <c r="AI46" s="343" t="s">
        <v>21054</v>
      </c>
      <c r="AJ46" s="343" t="s">
        <v>21303</v>
      </c>
      <c r="AK46" s="343" t="s">
        <v>21304</v>
      </c>
      <c r="AL46" s="208"/>
      <c r="AM46" s="208" t="s">
        <v>21305</v>
      </c>
      <c r="AN46" s="208" t="s">
        <v>21306</v>
      </c>
      <c r="AO46" s="207">
        <v>4</v>
      </c>
      <c r="AP46" s="287" t="s">
        <v>21510</v>
      </c>
      <c r="AQ46" s="448" t="s">
        <v>21551</v>
      </c>
      <c r="AR46" s="448" t="s">
        <v>21552</v>
      </c>
      <c r="AS46" s="449" t="s">
        <v>10</v>
      </c>
      <c r="AT46" s="208" t="s">
        <v>21306</v>
      </c>
      <c r="AU46" s="208" t="s">
        <v>21303</v>
      </c>
      <c r="AV46" s="208" t="s">
        <v>21303</v>
      </c>
      <c r="AW46" s="208" t="s">
        <v>21303</v>
      </c>
      <c r="AX46" s="208" t="s">
        <v>21303</v>
      </c>
      <c r="AY46" s="208" t="s">
        <v>21303</v>
      </c>
      <c r="AZ46" s="208" t="s">
        <v>21288</v>
      </c>
      <c r="BA46" s="208" t="s">
        <v>21303</v>
      </c>
      <c r="BB46" s="208" t="s">
        <v>21303</v>
      </c>
      <c r="BC46" s="208" t="s">
        <v>21303</v>
      </c>
      <c r="BD46" s="208" t="s">
        <v>21303</v>
      </c>
      <c r="BE46" s="208" t="s">
        <v>21303</v>
      </c>
      <c r="BF46" s="208" t="s">
        <v>21288</v>
      </c>
      <c r="BG46" s="208" t="s">
        <v>21553</v>
      </c>
      <c r="BH46" s="208" t="s">
        <v>21303</v>
      </c>
      <c r="BI46" s="208" t="s">
        <v>21303</v>
      </c>
      <c r="BJ46" s="208" t="s">
        <v>21303</v>
      </c>
      <c r="BK46" s="208" t="s">
        <v>21303</v>
      </c>
      <c r="BL46" s="208" t="s">
        <v>21303</v>
      </c>
      <c r="BM46" s="208" t="s">
        <v>21312</v>
      </c>
      <c r="BN46" s="208" t="s">
        <v>21303</v>
      </c>
      <c r="BO46" s="208" t="s">
        <v>21303</v>
      </c>
      <c r="BP46" s="208" t="s">
        <v>21303</v>
      </c>
      <c r="BQ46" s="208" t="s">
        <v>21303</v>
      </c>
      <c r="BR46" s="208" t="s">
        <v>21303</v>
      </c>
      <c r="BS46" s="208">
        <v>3</v>
      </c>
      <c r="BT46" s="208">
        <v>0</v>
      </c>
      <c r="BU46" s="208">
        <v>0</v>
      </c>
      <c r="BV46" s="208">
        <v>0</v>
      </c>
      <c r="BW46" s="208">
        <v>0</v>
      </c>
      <c r="BX46" s="208">
        <v>0</v>
      </c>
      <c r="BY46" s="208" t="s">
        <v>21313</v>
      </c>
      <c r="BZ46" s="208">
        <v>1</v>
      </c>
      <c r="CA46" s="208">
        <v>1</v>
      </c>
      <c r="CB46" s="208">
        <v>1</v>
      </c>
      <c r="CC46" s="208">
        <v>0</v>
      </c>
      <c r="CD46" s="208">
        <v>0</v>
      </c>
      <c r="CE46" s="208">
        <v>0</v>
      </c>
      <c r="CF46" s="208" t="s">
        <v>21303</v>
      </c>
      <c r="CG46" s="208">
        <v>0</v>
      </c>
      <c r="CH46" s="208">
        <v>0</v>
      </c>
      <c r="CI46" s="208">
        <v>0</v>
      </c>
      <c r="CJ46" s="208">
        <v>0</v>
      </c>
      <c r="CK46" s="208">
        <v>0</v>
      </c>
      <c r="CL46" s="208">
        <v>0</v>
      </c>
      <c r="CM46" s="208" t="s">
        <v>21303</v>
      </c>
      <c r="CN46" s="208">
        <v>0</v>
      </c>
      <c r="CO46" s="208">
        <v>0</v>
      </c>
      <c r="CP46" s="208">
        <v>0</v>
      </c>
      <c r="CQ46" s="208">
        <v>0</v>
      </c>
      <c r="CR46" s="208">
        <v>0</v>
      </c>
      <c r="CS46" s="208">
        <v>0</v>
      </c>
      <c r="CT46" s="208" t="s">
        <v>21303</v>
      </c>
      <c r="CU46" s="208">
        <v>0</v>
      </c>
      <c r="CV46" s="208">
        <v>0</v>
      </c>
      <c r="CW46" s="208">
        <v>0</v>
      </c>
      <c r="CX46" s="208">
        <v>0</v>
      </c>
      <c r="CY46" s="208">
        <v>0</v>
      </c>
      <c r="CZ46" s="208">
        <v>0</v>
      </c>
      <c r="DA46" s="208" t="s">
        <v>21303</v>
      </c>
      <c r="DB46" s="208">
        <v>0</v>
      </c>
      <c r="DC46" s="208">
        <v>0</v>
      </c>
      <c r="DD46" s="208">
        <v>0</v>
      </c>
      <c r="DE46" s="208">
        <v>0</v>
      </c>
      <c r="DF46" s="208">
        <v>0</v>
      </c>
      <c r="DG46" s="208">
        <v>0</v>
      </c>
      <c r="DH46" s="208" t="s">
        <v>21303</v>
      </c>
      <c r="DI46" s="208">
        <v>0</v>
      </c>
      <c r="DJ46" s="208">
        <v>0</v>
      </c>
      <c r="DK46" s="208">
        <v>0</v>
      </c>
      <c r="DL46" s="208">
        <v>0</v>
      </c>
      <c r="DM46" s="208">
        <v>0</v>
      </c>
      <c r="DN46" s="208">
        <v>0</v>
      </c>
      <c r="DO46" s="208" t="s">
        <v>21314</v>
      </c>
      <c r="DP46" s="208">
        <v>80</v>
      </c>
      <c r="DQ46" s="208">
        <v>80</v>
      </c>
      <c r="DR46" s="208">
        <v>80</v>
      </c>
      <c r="DS46" s="208">
        <v>0</v>
      </c>
      <c r="DT46" s="208">
        <v>0</v>
      </c>
      <c r="DU46" s="208">
        <v>0</v>
      </c>
      <c r="DV46" s="208" t="s">
        <v>21315</v>
      </c>
      <c r="DW46" s="208">
        <v>80</v>
      </c>
      <c r="DX46" s="208" t="s">
        <v>21303</v>
      </c>
      <c r="DY46" s="208">
        <v>0</v>
      </c>
      <c r="DZ46" s="208">
        <v>0</v>
      </c>
      <c r="EA46" s="208">
        <v>0</v>
      </c>
      <c r="EB46" s="208">
        <v>0</v>
      </c>
      <c r="EC46" s="208">
        <v>0</v>
      </c>
      <c r="ED46" s="208">
        <v>0</v>
      </c>
      <c r="EE46" s="208" t="s">
        <v>21303</v>
      </c>
      <c r="EF46" s="208">
        <v>0</v>
      </c>
      <c r="EG46" s="208" t="s">
        <v>21303</v>
      </c>
      <c r="EH46" s="208">
        <v>0</v>
      </c>
      <c r="EI46" s="208">
        <v>0</v>
      </c>
      <c r="EJ46" s="208">
        <v>0</v>
      </c>
      <c r="EK46" s="208">
        <v>0</v>
      </c>
      <c r="EL46" s="208">
        <v>0</v>
      </c>
      <c r="EM46" s="208">
        <v>0</v>
      </c>
      <c r="EN46" s="208" t="s">
        <v>21303</v>
      </c>
      <c r="EO46" s="208">
        <v>0</v>
      </c>
      <c r="EP46" s="208" t="s">
        <v>21303</v>
      </c>
      <c r="EQ46" s="208">
        <v>0</v>
      </c>
      <c r="ER46" s="208">
        <v>0</v>
      </c>
      <c r="ES46" s="208">
        <v>0</v>
      </c>
      <c r="ET46" s="208">
        <v>0</v>
      </c>
      <c r="EU46" s="208">
        <v>0</v>
      </c>
      <c r="EV46" s="208">
        <v>0</v>
      </c>
      <c r="EW46" s="208" t="s">
        <v>21303</v>
      </c>
      <c r="EX46" s="208">
        <v>0</v>
      </c>
      <c r="EY46" s="208" t="s">
        <v>21303</v>
      </c>
      <c r="EZ46" s="208">
        <v>0</v>
      </c>
      <c r="FA46" s="208">
        <v>0</v>
      </c>
      <c r="FB46" s="208">
        <v>0</v>
      </c>
      <c r="FC46" s="208">
        <v>0</v>
      </c>
      <c r="FD46" s="208">
        <v>0</v>
      </c>
      <c r="FE46" s="208">
        <v>0</v>
      </c>
      <c r="FF46" s="208" t="s">
        <v>21303</v>
      </c>
      <c r="FG46" s="208">
        <v>0</v>
      </c>
      <c r="FH46" s="208" t="s">
        <v>21303</v>
      </c>
      <c r="FI46" s="208">
        <v>0</v>
      </c>
      <c r="FJ46" s="208">
        <v>0</v>
      </c>
      <c r="FK46" s="208">
        <v>0</v>
      </c>
      <c r="FL46" s="208">
        <v>0</v>
      </c>
      <c r="FM46" s="208">
        <v>0</v>
      </c>
      <c r="FN46" s="208">
        <v>0</v>
      </c>
      <c r="FO46" s="208" t="s">
        <v>21303</v>
      </c>
      <c r="FP46" s="208">
        <v>0</v>
      </c>
      <c r="FQ46" s="208">
        <v>80</v>
      </c>
      <c r="FR46" s="208" t="s">
        <v>21316</v>
      </c>
      <c r="FS46" s="208" t="s">
        <v>21303</v>
      </c>
      <c r="FT46" s="208" t="s">
        <v>21303</v>
      </c>
      <c r="FU46" s="208" t="s">
        <v>21303</v>
      </c>
      <c r="FV46" s="208" t="s">
        <v>21303</v>
      </c>
      <c r="FW46" s="208" t="s">
        <v>21303</v>
      </c>
      <c r="FX46" s="208" t="s">
        <v>21377</v>
      </c>
      <c r="FY46" s="208">
        <v>40</v>
      </c>
      <c r="FZ46" s="208">
        <v>40</v>
      </c>
      <c r="GA46" s="208">
        <v>40</v>
      </c>
      <c r="GB46" s="208">
        <v>0</v>
      </c>
      <c r="GC46" s="208">
        <v>0</v>
      </c>
      <c r="GD46" s="208">
        <v>0</v>
      </c>
      <c r="GE46" s="208" t="s">
        <v>21378</v>
      </c>
      <c r="GF46" s="208" t="s">
        <v>21303</v>
      </c>
      <c r="GG46" s="208">
        <v>0</v>
      </c>
      <c r="GH46" s="208">
        <v>0</v>
      </c>
      <c r="GI46" s="208">
        <v>0</v>
      </c>
      <c r="GJ46" s="208">
        <v>0</v>
      </c>
      <c r="GK46" s="208">
        <v>0</v>
      </c>
      <c r="GL46" s="208">
        <v>0</v>
      </c>
      <c r="GM46" s="208" t="s">
        <v>21303</v>
      </c>
      <c r="GN46" s="208" t="s">
        <v>21303</v>
      </c>
      <c r="GO46" s="208">
        <v>0</v>
      </c>
      <c r="GP46" s="208">
        <v>0</v>
      </c>
      <c r="GQ46" s="208">
        <v>0</v>
      </c>
      <c r="GR46" s="208">
        <v>0</v>
      </c>
      <c r="GS46" s="208">
        <v>0</v>
      </c>
      <c r="GT46" s="208">
        <v>0</v>
      </c>
      <c r="GU46" s="208" t="s">
        <v>21303</v>
      </c>
      <c r="GV46" s="208" t="s">
        <v>21303</v>
      </c>
      <c r="GW46" s="208">
        <v>0</v>
      </c>
      <c r="GX46" s="208">
        <v>0</v>
      </c>
      <c r="GY46" s="208">
        <v>0</v>
      </c>
      <c r="GZ46" s="208">
        <v>0</v>
      </c>
      <c r="HA46" s="208">
        <v>0</v>
      </c>
      <c r="HB46" s="208">
        <v>0</v>
      </c>
      <c r="HC46" s="208" t="s">
        <v>21303</v>
      </c>
      <c r="HD46" s="208" t="s">
        <v>21303</v>
      </c>
      <c r="HE46" s="208">
        <v>0</v>
      </c>
      <c r="HF46" s="208">
        <v>0</v>
      </c>
      <c r="HG46" s="208">
        <v>0</v>
      </c>
      <c r="HH46" s="208">
        <v>0</v>
      </c>
      <c r="HI46" s="208">
        <v>0</v>
      </c>
      <c r="HJ46" s="208">
        <v>0</v>
      </c>
      <c r="HK46" s="208" t="s">
        <v>21303</v>
      </c>
      <c r="HL46" s="208" t="s">
        <v>21303</v>
      </c>
      <c r="HM46" s="208">
        <v>0</v>
      </c>
      <c r="HN46" s="208">
        <v>0</v>
      </c>
      <c r="HO46" s="208">
        <v>0</v>
      </c>
      <c r="HP46" s="208">
        <v>0</v>
      </c>
      <c r="HQ46" s="208">
        <v>0</v>
      </c>
      <c r="HR46" s="208">
        <v>0</v>
      </c>
      <c r="HS46" s="208" t="s">
        <v>21303</v>
      </c>
      <c r="HT46" s="208" t="s">
        <v>21319</v>
      </c>
      <c r="HU46" s="208">
        <v>40</v>
      </c>
      <c r="HV46" s="208">
        <v>0</v>
      </c>
      <c r="HW46" s="208">
        <v>0</v>
      </c>
      <c r="HX46" s="208">
        <v>0</v>
      </c>
      <c r="HY46" s="208">
        <v>0</v>
      </c>
      <c r="HZ46" s="208">
        <v>0</v>
      </c>
      <c r="IA46" s="600">
        <v>40</v>
      </c>
      <c r="IB46" s="600">
        <v>36</v>
      </c>
      <c r="IC46" s="343" t="s">
        <v>21035</v>
      </c>
      <c r="ID46" s="343" t="s">
        <v>21554</v>
      </c>
      <c r="IE46" s="343" t="s">
        <v>21320</v>
      </c>
      <c r="IF46" s="343" t="s">
        <v>21321</v>
      </c>
      <c r="IG46" s="383">
        <v>43748</v>
      </c>
      <c r="IH46" s="383">
        <v>45575</v>
      </c>
      <c r="II46" s="208">
        <v>46</v>
      </c>
    </row>
    <row r="47" ht="102">
      <c r="A47" s="207">
        <v>46</v>
      </c>
      <c r="B47" s="343" t="s">
        <v>21287</v>
      </c>
      <c r="C47" s="343" t="s">
        <v>21288</v>
      </c>
      <c r="D47" s="600">
        <v>124450</v>
      </c>
      <c r="E47" s="317" t="s">
        <v>21231</v>
      </c>
      <c r="F47" s="207" t="s">
        <v>20855</v>
      </c>
      <c r="G47" s="600">
        <v>105.763641</v>
      </c>
      <c r="H47" s="600">
        <v>21.035005</v>
      </c>
      <c r="I47" s="207">
        <v>1</v>
      </c>
      <c r="J47" s="207">
        <v>2</v>
      </c>
      <c r="K47" s="207" t="s">
        <v>21289</v>
      </c>
      <c r="L47" s="207" t="s">
        <v>21555</v>
      </c>
      <c r="M47" s="207" t="s">
        <v>21453</v>
      </c>
      <c r="N47" s="207" t="s">
        <v>21292</v>
      </c>
      <c r="O47" s="207" t="s">
        <v>21454</v>
      </c>
      <c r="P47" s="207" t="s">
        <v>21294</v>
      </c>
      <c r="Q47" s="207" t="s">
        <v>21295</v>
      </c>
      <c r="R47" s="207" t="s">
        <v>21556</v>
      </c>
      <c r="S47" s="364" t="b">
        <v>1</v>
      </c>
      <c r="T47" s="207" t="s">
        <v>21232</v>
      </c>
      <c r="U47" s="207">
        <v>0</v>
      </c>
      <c r="V47" s="207" t="s">
        <v>21297</v>
      </c>
      <c r="W47" s="207" t="s">
        <v>21233</v>
      </c>
      <c r="X47" s="209" t="s">
        <v>21298</v>
      </c>
      <c r="Y47" s="207" t="b">
        <v>0</v>
      </c>
      <c r="Z47" s="364" t="b">
        <v>0</v>
      </c>
      <c r="AA47" s="600">
        <v>41.5</v>
      </c>
      <c r="AB47" s="364" t="b">
        <v>1</v>
      </c>
      <c r="AC47" s="600">
        <v>73</v>
      </c>
      <c r="AD47" s="207" t="b">
        <v>0</v>
      </c>
      <c r="AE47" s="207" t="s">
        <v>21299</v>
      </c>
      <c r="AF47" s="207" t="s">
        <v>21300</v>
      </c>
      <c r="AG47" s="343" t="s">
        <v>21301</v>
      </c>
      <c r="AH47" s="343" t="s">
        <v>21302</v>
      </c>
      <c r="AI47" s="343" t="s">
        <v>21054</v>
      </c>
      <c r="AJ47" s="343" t="s">
        <v>21303</v>
      </c>
      <c r="AK47" s="343" t="s">
        <v>21304</v>
      </c>
      <c r="AL47" s="208"/>
      <c r="AM47" s="208" t="s">
        <v>21305</v>
      </c>
      <c r="AN47" s="208" t="s">
        <v>21306</v>
      </c>
      <c r="AO47" s="207">
        <v>4</v>
      </c>
      <c r="AP47" s="287" t="s">
        <v>21510</v>
      </c>
      <c r="AQ47" s="448" t="s">
        <v>21557</v>
      </c>
      <c r="AR47" s="448" t="s">
        <v>21558</v>
      </c>
      <c r="AS47" s="449" t="s">
        <v>10</v>
      </c>
      <c r="AT47" s="208" t="s">
        <v>21306</v>
      </c>
      <c r="AU47" s="208" t="s">
        <v>21306</v>
      </c>
      <c r="AV47" s="208" t="s">
        <v>21303</v>
      </c>
      <c r="AW47" s="208" t="s">
        <v>21303</v>
      </c>
      <c r="AX47" s="208" t="s">
        <v>21303</v>
      </c>
      <c r="AY47" s="208" t="s">
        <v>21303</v>
      </c>
      <c r="AZ47" s="208" t="s">
        <v>21288</v>
      </c>
      <c r="BA47" s="208" t="s">
        <v>21288</v>
      </c>
      <c r="BB47" s="208" t="s">
        <v>21303</v>
      </c>
      <c r="BC47" s="208" t="s">
        <v>21303</v>
      </c>
      <c r="BD47" s="208" t="s">
        <v>21303</v>
      </c>
      <c r="BE47" s="208" t="s">
        <v>21303</v>
      </c>
      <c r="BF47" s="208" t="s">
        <v>21310</v>
      </c>
      <c r="BG47" s="208" t="s">
        <v>21559</v>
      </c>
      <c r="BH47" s="208" t="s">
        <v>21559</v>
      </c>
      <c r="BI47" s="208" t="s">
        <v>21303</v>
      </c>
      <c r="BJ47" s="208" t="s">
        <v>21303</v>
      </c>
      <c r="BK47" s="208" t="s">
        <v>21303</v>
      </c>
      <c r="BL47" s="208" t="s">
        <v>21303</v>
      </c>
      <c r="BM47" s="208" t="s">
        <v>21458</v>
      </c>
      <c r="BN47" s="208" t="s">
        <v>21326</v>
      </c>
      <c r="BO47" s="208" t="s">
        <v>21303</v>
      </c>
      <c r="BP47" s="208" t="s">
        <v>21303</v>
      </c>
      <c r="BQ47" s="208" t="s">
        <v>21303</v>
      </c>
      <c r="BR47" s="208" t="s">
        <v>21303</v>
      </c>
      <c r="BS47" s="208">
        <v>3</v>
      </c>
      <c r="BT47" s="208">
        <v>3</v>
      </c>
      <c r="BU47" s="208">
        <v>0</v>
      </c>
      <c r="BV47" s="208">
        <v>0</v>
      </c>
      <c r="BW47" s="208">
        <v>0</v>
      </c>
      <c r="BX47" s="208">
        <v>0</v>
      </c>
      <c r="BY47" s="208" t="s">
        <v>21042</v>
      </c>
      <c r="BZ47" s="208">
        <v>2</v>
      </c>
      <c r="CA47" s="208">
        <v>2</v>
      </c>
      <c r="CB47" s="208">
        <v>2</v>
      </c>
      <c r="CC47" s="208">
        <v>0</v>
      </c>
      <c r="CD47" s="208">
        <v>0</v>
      </c>
      <c r="CE47" s="208">
        <v>0</v>
      </c>
      <c r="CF47" s="208" t="s">
        <v>21313</v>
      </c>
      <c r="CG47" s="208">
        <v>1</v>
      </c>
      <c r="CH47" s="208">
        <v>1</v>
      </c>
      <c r="CI47" s="208">
        <v>1</v>
      </c>
      <c r="CJ47" s="208">
        <v>0</v>
      </c>
      <c r="CK47" s="208">
        <v>0</v>
      </c>
      <c r="CL47" s="208">
        <v>0</v>
      </c>
      <c r="CM47" s="208" t="s">
        <v>21303</v>
      </c>
      <c r="CN47" s="208">
        <v>0</v>
      </c>
      <c r="CO47" s="208">
        <v>0</v>
      </c>
      <c r="CP47" s="208">
        <v>0</v>
      </c>
      <c r="CQ47" s="208">
        <v>0</v>
      </c>
      <c r="CR47" s="208">
        <v>0</v>
      </c>
      <c r="CS47" s="208">
        <v>0</v>
      </c>
      <c r="CT47" s="208" t="s">
        <v>21303</v>
      </c>
      <c r="CU47" s="208">
        <v>0</v>
      </c>
      <c r="CV47" s="208">
        <v>0</v>
      </c>
      <c r="CW47" s="208">
        <v>0</v>
      </c>
      <c r="CX47" s="208">
        <v>0</v>
      </c>
      <c r="CY47" s="208">
        <v>0</v>
      </c>
      <c r="CZ47" s="208">
        <v>0</v>
      </c>
      <c r="DA47" s="208" t="s">
        <v>21303</v>
      </c>
      <c r="DB47" s="208">
        <v>0</v>
      </c>
      <c r="DC47" s="208">
        <v>0</v>
      </c>
      <c r="DD47" s="208">
        <v>0</v>
      </c>
      <c r="DE47" s="208">
        <v>0</v>
      </c>
      <c r="DF47" s="208">
        <v>0</v>
      </c>
      <c r="DG47" s="208">
        <v>0</v>
      </c>
      <c r="DH47" s="208" t="s">
        <v>21303</v>
      </c>
      <c r="DI47" s="208">
        <v>0</v>
      </c>
      <c r="DJ47" s="208">
        <v>0</v>
      </c>
      <c r="DK47" s="208">
        <v>0</v>
      </c>
      <c r="DL47" s="208">
        <v>0</v>
      </c>
      <c r="DM47" s="208">
        <v>0</v>
      </c>
      <c r="DN47" s="208">
        <v>0</v>
      </c>
      <c r="DO47" s="208" t="s">
        <v>21314</v>
      </c>
      <c r="DP47" s="208">
        <v>80</v>
      </c>
      <c r="DQ47" s="208">
        <v>80</v>
      </c>
      <c r="DR47" s="208">
        <v>80</v>
      </c>
      <c r="DS47" s="208">
        <v>0</v>
      </c>
      <c r="DT47" s="208">
        <v>0</v>
      </c>
      <c r="DU47" s="208">
        <v>0</v>
      </c>
      <c r="DV47" s="208" t="s">
        <v>21315</v>
      </c>
      <c r="DW47" s="208">
        <v>80</v>
      </c>
      <c r="DX47" s="208" t="s">
        <v>21314</v>
      </c>
      <c r="DY47" s="208">
        <v>80</v>
      </c>
      <c r="DZ47" s="208">
        <v>80</v>
      </c>
      <c r="EA47" s="208">
        <v>80</v>
      </c>
      <c r="EB47" s="208">
        <v>0</v>
      </c>
      <c r="EC47" s="208">
        <v>0</v>
      </c>
      <c r="ED47" s="208">
        <v>0</v>
      </c>
      <c r="EE47" s="208" t="s">
        <v>21315</v>
      </c>
      <c r="EF47" s="208">
        <v>80</v>
      </c>
      <c r="EG47" s="208" t="s">
        <v>21303</v>
      </c>
      <c r="EH47" s="208">
        <v>0</v>
      </c>
      <c r="EI47" s="208">
        <v>0</v>
      </c>
      <c r="EJ47" s="208">
        <v>0</v>
      </c>
      <c r="EK47" s="208">
        <v>0</v>
      </c>
      <c r="EL47" s="208">
        <v>0</v>
      </c>
      <c r="EM47" s="208">
        <v>0</v>
      </c>
      <c r="EN47" s="208" t="s">
        <v>21303</v>
      </c>
      <c r="EO47" s="208">
        <v>0</v>
      </c>
      <c r="EP47" s="208" t="s">
        <v>21303</v>
      </c>
      <c r="EQ47" s="208">
        <v>0</v>
      </c>
      <c r="ER47" s="208">
        <v>0</v>
      </c>
      <c r="ES47" s="208">
        <v>0</v>
      </c>
      <c r="ET47" s="208">
        <v>0</v>
      </c>
      <c r="EU47" s="208">
        <v>0</v>
      </c>
      <c r="EV47" s="208">
        <v>0</v>
      </c>
      <c r="EW47" s="208" t="s">
        <v>21303</v>
      </c>
      <c r="EX47" s="208">
        <v>0</v>
      </c>
      <c r="EY47" s="208" t="s">
        <v>21303</v>
      </c>
      <c r="EZ47" s="208">
        <v>0</v>
      </c>
      <c r="FA47" s="208">
        <v>0</v>
      </c>
      <c r="FB47" s="208">
        <v>0</v>
      </c>
      <c r="FC47" s="208">
        <v>0</v>
      </c>
      <c r="FD47" s="208">
        <v>0</v>
      </c>
      <c r="FE47" s="208">
        <v>0</v>
      </c>
      <c r="FF47" s="208" t="s">
        <v>21303</v>
      </c>
      <c r="FG47" s="208">
        <v>0</v>
      </c>
      <c r="FH47" s="208" t="s">
        <v>21303</v>
      </c>
      <c r="FI47" s="208">
        <v>0</v>
      </c>
      <c r="FJ47" s="208">
        <v>0</v>
      </c>
      <c r="FK47" s="208">
        <v>0</v>
      </c>
      <c r="FL47" s="208">
        <v>0</v>
      </c>
      <c r="FM47" s="208">
        <v>0</v>
      </c>
      <c r="FN47" s="208">
        <v>0</v>
      </c>
      <c r="FO47" s="208" t="s">
        <v>21303</v>
      </c>
      <c r="FP47" s="208">
        <v>0</v>
      </c>
      <c r="FQ47" s="208">
        <v>80</v>
      </c>
      <c r="FR47" s="208" t="s">
        <v>19816</v>
      </c>
      <c r="FS47" s="208" t="s">
        <v>21316</v>
      </c>
      <c r="FT47" s="208" t="s">
        <v>21303</v>
      </c>
      <c r="FU47" s="208" t="s">
        <v>21303</v>
      </c>
      <c r="FV47" s="208" t="s">
        <v>21303</v>
      </c>
      <c r="FW47" s="208" t="s">
        <v>21303</v>
      </c>
      <c r="FX47" s="208" t="s">
        <v>21560</v>
      </c>
      <c r="FY47" s="208">
        <v>41.5</v>
      </c>
      <c r="FZ47" s="208">
        <v>41.5</v>
      </c>
      <c r="GA47" s="208">
        <v>41.5</v>
      </c>
      <c r="GB47" s="208">
        <v>0</v>
      </c>
      <c r="GC47" s="208">
        <v>0</v>
      </c>
      <c r="GD47" s="208">
        <v>0</v>
      </c>
      <c r="GE47" s="208" t="s">
        <v>21561</v>
      </c>
      <c r="GF47" s="208" t="s">
        <v>21475</v>
      </c>
      <c r="GG47" s="208">
        <v>42</v>
      </c>
      <c r="GH47" s="208">
        <v>42</v>
      </c>
      <c r="GI47" s="208">
        <v>42</v>
      </c>
      <c r="GJ47" s="208">
        <v>0</v>
      </c>
      <c r="GK47" s="208">
        <v>0</v>
      </c>
      <c r="GL47" s="208">
        <v>0</v>
      </c>
      <c r="GM47" s="208" t="s">
        <v>21480</v>
      </c>
      <c r="GN47" s="208" t="s">
        <v>21303</v>
      </c>
      <c r="GO47" s="208">
        <v>0</v>
      </c>
      <c r="GP47" s="208">
        <v>0</v>
      </c>
      <c r="GQ47" s="208">
        <v>0</v>
      </c>
      <c r="GR47" s="208">
        <v>0</v>
      </c>
      <c r="GS47" s="208">
        <v>0</v>
      </c>
      <c r="GT47" s="208">
        <v>0</v>
      </c>
      <c r="GU47" s="208" t="s">
        <v>21303</v>
      </c>
      <c r="GV47" s="208" t="s">
        <v>21303</v>
      </c>
      <c r="GW47" s="208">
        <v>0</v>
      </c>
      <c r="GX47" s="208">
        <v>0</v>
      </c>
      <c r="GY47" s="208">
        <v>0</v>
      </c>
      <c r="GZ47" s="208">
        <v>0</v>
      </c>
      <c r="HA47" s="208">
        <v>0</v>
      </c>
      <c r="HB47" s="208">
        <v>0</v>
      </c>
      <c r="HC47" s="208" t="s">
        <v>21303</v>
      </c>
      <c r="HD47" s="208" t="s">
        <v>21303</v>
      </c>
      <c r="HE47" s="208">
        <v>0</v>
      </c>
      <c r="HF47" s="208">
        <v>0</v>
      </c>
      <c r="HG47" s="208">
        <v>0</v>
      </c>
      <c r="HH47" s="208">
        <v>0</v>
      </c>
      <c r="HI47" s="208">
        <v>0</v>
      </c>
      <c r="HJ47" s="208">
        <v>0</v>
      </c>
      <c r="HK47" s="208" t="s">
        <v>21303</v>
      </c>
      <c r="HL47" s="208" t="s">
        <v>21303</v>
      </c>
      <c r="HM47" s="208">
        <v>0</v>
      </c>
      <c r="HN47" s="208">
        <v>0</v>
      </c>
      <c r="HO47" s="208">
        <v>0</v>
      </c>
      <c r="HP47" s="208">
        <v>0</v>
      </c>
      <c r="HQ47" s="208">
        <v>0</v>
      </c>
      <c r="HR47" s="208">
        <v>0</v>
      </c>
      <c r="HS47" s="208" t="s">
        <v>21303</v>
      </c>
      <c r="HT47" s="208" t="s">
        <v>21319</v>
      </c>
      <c r="HU47" s="208">
        <v>41.5</v>
      </c>
      <c r="HV47" s="208">
        <v>42</v>
      </c>
      <c r="HW47" s="208">
        <v>0</v>
      </c>
      <c r="HX47" s="208">
        <v>0</v>
      </c>
      <c r="HY47" s="208">
        <v>0</v>
      </c>
      <c r="HZ47" s="208">
        <v>0</v>
      </c>
      <c r="IA47" s="600">
        <v>41.5</v>
      </c>
      <c r="IB47" s="600">
        <v>-31.5</v>
      </c>
      <c r="IC47" s="343" t="s">
        <v>21035</v>
      </c>
      <c r="ID47" s="343" t="s">
        <v>3630</v>
      </c>
      <c r="IE47" s="343" t="s">
        <v>21320</v>
      </c>
      <c r="IF47" s="343" t="s">
        <v>21321</v>
      </c>
      <c r="IG47" s="383">
        <v>43748</v>
      </c>
      <c r="IH47" s="383">
        <v>45575</v>
      </c>
      <c r="II47" s="208">
        <v>46</v>
      </c>
    </row>
  </sheetData>
  <sheetProtection sheet="1" objects="1" scenarios="1"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21282</v>
      </c>
      <c r="C1" s="344" t="s">
        <v>21283</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21284</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21285</v>
      </c>
    </row>
    <row r="2">
      <c r="A2" s="313">
        <v>1</v>
      </c>
      <c r="II2" s="283">
        <v>46</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21266</v>
      </c>
      <c r="C1" s="304" t="s">
        <v>21267</v>
      </c>
      <c r="D1" s="304" t="s">
        <v>21268</v>
      </c>
    </row>
    <row r="2">
      <c r="A2" s="210">
        <v>1</v>
      </c>
      <c r="B2" s="210">
        <v>1</v>
      </c>
      <c r="C2" s="291" t="s">
        <v>21269</v>
      </c>
      <c r="D2" s="291"/>
    </row>
    <row r="3">
      <c r="A3" s="210">
        <v>2</v>
      </c>
      <c r="B3" s="210">
        <v>2</v>
      </c>
      <c r="C3" s="291" t="s">
        <v>21270</v>
      </c>
      <c r="D3" s="291"/>
    </row>
    <row r="4">
      <c r="A4" s="210">
        <v>3</v>
      </c>
      <c r="B4" s="210">
        <v>3</v>
      </c>
      <c r="C4" s="291" t="s">
        <v>21271</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503" t="s">
        <v>21234</v>
      </c>
      <c r="B1" s="503"/>
      <c r="C1" s="503"/>
      <c r="D1" s="503"/>
      <c r="E1" s="503"/>
      <c r="F1" s="503"/>
      <c r="G1" s="503"/>
      <c r="H1" s="503"/>
      <c r="I1" s="503"/>
      <c r="J1" s="503"/>
      <c r="N1" s="479" t="s">
        <v>21019</v>
      </c>
      <c r="O1" s="479"/>
      <c r="P1" s="479"/>
      <c r="Q1" s="479"/>
      <c r="R1" s="479"/>
      <c r="S1" s="479"/>
      <c r="T1" s="479"/>
      <c r="U1" s="479"/>
      <c r="V1" s="479"/>
      <c r="W1" s="479"/>
      <c r="X1" s="479"/>
      <c r="Y1" s="479"/>
      <c r="Z1" s="479"/>
      <c r="AA1" s="212"/>
    </row>
    <row r="2" ht="16.5" customHeight="1">
      <c r="A2" s="479" t="s">
        <v>21018</v>
      </c>
      <c r="B2" s="479"/>
      <c r="C2" s="479"/>
      <c r="D2" s="479"/>
      <c r="E2" s="479"/>
      <c r="F2" s="479"/>
      <c r="G2" s="479"/>
      <c r="H2" s="479"/>
      <c r="I2" s="479"/>
      <c r="J2" s="479"/>
      <c r="N2" s="482" t="s">
        <v>21021</v>
      </c>
      <c r="O2" s="482"/>
      <c r="P2" s="482"/>
      <c r="Q2" s="482"/>
      <c r="R2" s="482"/>
      <c r="S2" s="482"/>
      <c r="T2" s="482"/>
      <c r="U2" s="482"/>
      <c r="V2" s="482"/>
      <c r="W2" s="482"/>
      <c r="X2" s="482"/>
      <c r="Y2" s="482"/>
      <c r="Z2" s="482"/>
    </row>
    <row r="3" ht="16.5">
      <c r="A3" s="479" t="s">
        <v>21020</v>
      </c>
      <c r="B3" s="479"/>
      <c r="C3" s="479"/>
      <c r="D3" s="479"/>
      <c r="E3" s="479"/>
      <c r="F3" s="479"/>
      <c r="G3" s="479"/>
      <c r="H3" s="479"/>
      <c r="I3" s="479"/>
      <c r="J3" s="479"/>
      <c r="O3" s="213"/>
      <c r="P3" s="213"/>
      <c r="Q3" s="213"/>
      <c r="R3" s="213"/>
      <c r="S3" s="213"/>
      <c r="T3" s="213"/>
      <c r="U3" s="213"/>
      <c r="V3" s="213"/>
      <c r="W3" s="213"/>
    </row>
    <row r="4" ht="21.75" customHeight="1">
      <c r="C4" s="505" t="str">
        <f>IF(LEN(AD4)=1,"Số: 0"&amp;AD4&amp;"/LPKĐ-TT2","Số: "&amp;AD4&amp;"/LPKĐ-TT2")</f>
        <v>Số: 02/LPKĐ-TT2</v>
      </c>
      <c r="D4" s="505"/>
      <c r="E4" s="505"/>
      <c r="F4" s="505"/>
      <c r="G4" s="505"/>
      <c r="H4" s="505"/>
      <c r="N4" s="508" t="str">
        <f>"TP. Hồ Chí Minh, ngày "&amp;AF4&amp;" tháng "&amp;AG4&amp;" năm "&amp;AH4</f>
        <v>TP. Hồ Chí Minh, ngày 27 tháng 2 năm 2019</v>
      </c>
      <c r="O4" s="508"/>
      <c r="P4" s="508"/>
      <c r="Q4" s="508"/>
      <c r="R4" s="508"/>
      <c r="S4" s="508"/>
      <c r="T4" s="508"/>
      <c r="U4" s="508"/>
      <c r="V4" s="508"/>
      <c r="W4" s="508"/>
      <c r="X4" s="508"/>
      <c r="Y4" s="508"/>
      <c r="Z4" s="508"/>
      <c r="AD4" s="214">
        <v>2</v>
      </c>
      <c r="AE4" s="215" t="s">
        <v>21235</v>
      </c>
      <c r="AF4" s="211">
        <f>DAY(AE4)</f>
        <v>27</v>
      </c>
      <c r="AG4" s="211">
        <f>MONTH(AE4)</f>
        <v>2</v>
      </c>
      <c r="AH4" s="211">
        <f>YEAR(AE4)</f>
        <v>2019</v>
      </c>
    </row>
    <row r="6" ht="8.25" customHeight="1">
      <c r="O6" s="212"/>
    </row>
    <row r="7" ht="18.75">
      <c r="C7" s="507" t="s">
        <v>21236</v>
      </c>
      <c r="D7" s="507"/>
      <c r="E7" s="507"/>
      <c r="F7" s="507"/>
      <c r="G7" s="507"/>
      <c r="H7" s="507"/>
      <c r="I7" s="507"/>
      <c r="J7" s="507"/>
      <c r="K7" s="507"/>
      <c r="L7" s="507"/>
      <c r="M7" s="507"/>
      <c r="N7" s="507"/>
      <c r="O7" s="507"/>
      <c r="P7" s="507"/>
      <c r="Q7" s="507"/>
      <c r="R7" s="507"/>
      <c r="S7" s="507"/>
      <c r="T7" s="507"/>
      <c r="U7" s="507"/>
      <c r="V7" s="507"/>
      <c r="W7" s="507"/>
      <c r="X7" s="507"/>
    </row>
    <row r="8" ht="18.75">
      <c r="C8" s="507" t="s">
        <v>21023</v>
      </c>
      <c r="D8" s="507"/>
      <c r="E8" s="507"/>
      <c r="F8" s="507"/>
      <c r="G8" s="507"/>
      <c r="H8" s="507"/>
      <c r="I8" s="507"/>
      <c r="J8" s="507"/>
      <c r="K8" s="507"/>
      <c r="L8" s="507"/>
      <c r="M8" s="507"/>
      <c r="N8" s="507"/>
      <c r="O8" s="507"/>
      <c r="P8" s="507"/>
      <c r="Q8" s="507"/>
      <c r="R8" s="507"/>
      <c r="S8" s="507"/>
      <c r="T8" s="507"/>
      <c r="U8" s="507"/>
      <c r="V8" s="507"/>
      <c r="W8" s="507"/>
      <c r="X8" s="507"/>
    </row>
    <row r="10" ht="16.5">
      <c r="D10" s="503" t="str">
        <f>"Kính gửi: "&amp;AD10</f>
        <v>Kính gửi: Trung tâm Thông tin di động khu vực II</v>
      </c>
      <c r="E10" s="503"/>
      <c r="F10" s="503"/>
      <c r="G10" s="503"/>
      <c r="H10" s="503"/>
      <c r="I10" s="503"/>
      <c r="J10" s="503"/>
      <c r="K10" s="503"/>
      <c r="L10" s="503"/>
      <c r="M10" s="503"/>
      <c r="N10" s="503"/>
      <c r="O10" s="503"/>
      <c r="P10" s="503"/>
      <c r="Q10" s="503"/>
      <c r="R10" s="503"/>
      <c r="S10" s="503"/>
      <c r="T10" s="503"/>
      <c r="U10" s="503"/>
      <c r="V10" s="503"/>
      <c r="W10" s="503"/>
      <c r="AD10" s="211" t="s">
        <v>21237</v>
      </c>
    </row>
    <row r="11" ht="15.75" customHeight="1">
      <c r="A11" s="216"/>
      <c r="B11" s="216"/>
      <c r="D11" s="506" t="s">
        <v>21238</v>
      </c>
      <c r="E11" s="506"/>
      <c r="F11" s="506"/>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17"/>
      <c r="Y11" s="217"/>
      <c r="Z11" s="217"/>
      <c r="AD11" s="211" t="s">
        <v>21239</v>
      </c>
    </row>
    <row r="12">
      <c r="A12" s="216"/>
      <c r="B12" s="216"/>
      <c r="C12" s="216"/>
      <c r="D12" s="216"/>
      <c r="E12" s="216"/>
      <c r="F12" s="217"/>
      <c r="G12" s="483"/>
      <c r="H12" s="483"/>
      <c r="I12" s="483"/>
      <c r="J12" s="483"/>
      <c r="K12" s="483"/>
      <c r="L12" s="483"/>
      <c r="M12" s="483"/>
      <c r="N12" s="483"/>
      <c r="O12" s="483"/>
      <c r="P12" s="483"/>
      <c r="Q12" s="483"/>
      <c r="R12" s="483"/>
      <c r="S12" s="483"/>
      <c r="T12" s="483"/>
      <c r="U12" s="483"/>
      <c r="V12" s="483"/>
      <c r="W12" s="483"/>
      <c r="X12" s="217"/>
      <c r="Y12" s="217"/>
      <c r="Z12" s="217"/>
    </row>
    <row r="13" ht="20.25" customHeight="1">
      <c r="A13" s="216"/>
      <c r="B13" s="216"/>
      <c r="D13" s="216" t="s">
        <v>21240</v>
      </c>
      <c r="E13" s="216"/>
      <c r="F13" s="216"/>
      <c r="G13" s="506" t="str">
        <f>AD13</f>
        <v>08 38662387</v>
      </c>
      <c r="H13" s="506"/>
      <c r="I13" s="506"/>
      <c r="J13" s="506"/>
      <c r="K13" s="506"/>
      <c r="L13" s="506"/>
      <c r="M13" s="506"/>
      <c r="N13" s="216"/>
      <c r="O13" s="216" t="s">
        <v>21241</v>
      </c>
      <c r="P13" s="216"/>
      <c r="Q13" s="506" t="str">
        <f>AH13</f>
        <v>08 38662388</v>
      </c>
      <c r="R13" s="506"/>
      <c r="S13" s="506"/>
      <c r="T13" s="506"/>
      <c r="U13" s="506"/>
      <c r="V13" s="506"/>
      <c r="W13" s="506"/>
      <c r="X13" s="216"/>
      <c r="Y13" s="216"/>
      <c r="Z13" s="216"/>
      <c r="AD13" s="211" t="s">
        <v>21242</v>
      </c>
      <c r="AH13" s="211" t="s">
        <v>21243</v>
      </c>
    </row>
    <row r="14" ht="55.15" customHeight="1">
      <c r="A14" s="48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D14" s="211" t="s">
        <v>21244</v>
      </c>
      <c r="AE14" s="215" t="s">
        <v>21245</v>
      </c>
      <c r="AF14" s="211">
        <f>DAY(AE14)</f>
        <v>25</v>
      </c>
      <c r="AG14" s="211">
        <f>MONTH(AE14)</f>
        <v>12</v>
      </c>
      <c r="AH14" s="211">
        <f>YEAR(AE14)</f>
        <v>2013</v>
      </c>
    </row>
    <row r="15" ht="87.75" customHeight="1">
      <c r="A15" s="504" t="s">
        <v>21246</v>
      </c>
      <c r="B15" s="504"/>
      <c r="C15" s="504"/>
      <c r="D15" s="504"/>
      <c r="E15" s="504"/>
      <c r="F15" s="504"/>
      <c r="G15" s="504"/>
      <c r="H15" s="504"/>
      <c r="I15" s="504"/>
      <c r="J15" s="504"/>
      <c r="K15" s="504"/>
      <c r="L15" s="504"/>
      <c r="M15" s="504"/>
      <c r="N15" s="504"/>
      <c r="O15" s="504"/>
      <c r="P15" s="504"/>
      <c r="Q15" s="504"/>
      <c r="R15" s="504"/>
      <c r="S15" s="504"/>
      <c r="T15" s="504"/>
      <c r="U15" s="504"/>
      <c r="V15" s="504"/>
      <c r="W15" s="504"/>
      <c r="X15" s="504"/>
      <c r="Y15" s="504"/>
      <c r="Z15" s="504"/>
    </row>
    <row r="16" ht="33" customHeight="1">
      <c r="B16" s="490" t="s">
        <v>21079</v>
      </c>
      <c r="C16" s="492"/>
      <c r="D16" s="490" t="s">
        <v>20974</v>
      </c>
      <c r="E16" s="491"/>
      <c r="F16" s="491"/>
      <c r="G16" s="491"/>
      <c r="H16" s="491"/>
      <c r="I16" s="491"/>
      <c r="J16" s="491"/>
      <c r="K16" s="491"/>
      <c r="L16" s="491"/>
      <c r="M16" s="491"/>
      <c r="N16" s="492"/>
      <c r="O16" s="489" t="s">
        <v>21247</v>
      </c>
      <c r="P16" s="489"/>
      <c r="Q16" s="489"/>
      <c r="R16" s="489" t="s">
        <v>21248</v>
      </c>
      <c r="S16" s="489"/>
      <c r="T16" s="489"/>
      <c r="U16" s="489" t="s">
        <v>21249</v>
      </c>
      <c r="V16" s="489"/>
      <c r="W16" s="489"/>
      <c r="X16" s="489"/>
      <c r="Y16" s="489"/>
    </row>
    <row r="17" ht="18.75" customHeight="1">
      <c r="B17" s="501">
        <v>1</v>
      </c>
      <c r="C17" s="502"/>
      <c r="D17" s="493" t="s">
        <v>21250</v>
      </c>
      <c r="E17" s="494"/>
      <c r="F17" s="494"/>
      <c r="G17" s="494"/>
      <c r="H17" s="494"/>
      <c r="I17" s="494"/>
      <c r="J17" s="494"/>
      <c r="K17" s="494"/>
      <c r="L17" s="494"/>
      <c r="M17" s="494"/>
      <c r="N17" s="494"/>
      <c r="O17" s="495">
        <v>50000</v>
      </c>
      <c r="P17" s="496"/>
      <c r="Q17" s="497"/>
      <c r="R17" s="486">
        <f>AD17</f>
        <v>13</v>
      </c>
      <c r="S17" s="487"/>
      <c r="T17" s="488"/>
      <c r="U17" s="495">
        <f>O17*R17</f>
        <v>650000</v>
      </c>
      <c r="V17" s="496"/>
      <c r="W17" s="496"/>
      <c r="X17" s="496"/>
      <c r="Y17" s="497"/>
      <c r="AD17" s="211">
        <v>13</v>
      </c>
    </row>
    <row r="18" ht="18.75" customHeight="1">
      <c r="B18" s="490" t="s">
        <v>21251</v>
      </c>
      <c r="C18" s="491"/>
      <c r="D18" s="491"/>
      <c r="E18" s="491"/>
      <c r="F18" s="491"/>
      <c r="G18" s="491"/>
      <c r="H18" s="491"/>
      <c r="I18" s="491"/>
      <c r="J18" s="491"/>
      <c r="K18" s="491"/>
      <c r="L18" s="491"/>
      <c r="M18" s="491"/>
      <c r="N18" s="491"/>
      <c r="O18" s="491"/>
      <c r="P18" s="491"/>
      <c r="Q18" s="491"/>
      <c r="R18" s="491"/>
      <c r="S18" s="491"/>
      <c r="T18" s="492"/>
      <c r="U18" s="498">
        <f>U17</f>
        <v>650000</v>
      </c>
      <c r="V18" s="499"/>
      <c r="W18" s="499"/>
      <c r="X18" s="499"/>
      <c r="Y18" s="500"/>
      <c r="AD18" s="218">
        <f>U18</f>
        <v>650000</v>
      </c>
    </row>
    <row r="19">
      <c r="B19" s="486" t="str">
        <f>"Bằng chữ: "&amp;AD19</f>
        <v>Bằng chữ: Ba triệu năm trăm ngàn đồng chẵn.</v>
      </c>
      <c r="C19" s="487"/>
      <c r="D19" s="487"/>
      <c r="E19" s="487"/>
      <c r="F19" s="487"/>
      <c r="G19" s="487"/>
      <c r="H19" s="487"/>
      <c r="I19" s="487"/>
      <c r="J19" s="487"/>
      <c r="K19" s="487"/>
      <c r="L19" s="487"/>
      <c r="M19" s="487"/>
      <c r="N19" s="487"/>
      <c r="O19" s="487"/>
      <c r="P19" s="487"/>
      <c r="Q19" s="487"/>
      <c r="R19" s="487"/>
      <c r="S19" s="487"/>
      <c r="T19" s="487"/>
      <c r="U19" s="487"/>
      <c r="V19" s="487"/>
      <c r="W19" s="487"/>
      <c r="X19" s="487"/>
      <c r="Y19" s="488"/>
      <c r="AD19" s="211" t="s">
        <v>21252</v>
      </c>
    </row>
    <row r="20" ht="7.5" customHeight="1"/>
    <row r="21" ht="18" customHeight="1">
      <c r="B21" s="480" t="s">
        <v>21253</v>
      </c>
      <c r="C21" s="480"/>
      <c r="D21" s="480"/>
      <c r="E21" s="480"/>
      <c r="F21" s="480"/>
      <c r="G21" s="480"/>
      <c r="H21" s="480"/>
      <c r="I21" s="480"/>
      <c r="J21" s="480" t="s">
        <v>21254</v>
      </c>
      <c r="K21" s="480"/>
      <c r="L21" s="480"/>
      <c r="M21" s="480"/>
      <c r="N21" s="480"/>
      <c r="O21" s="480"/>
      <c r="P21" s="480"/>
      <c r="Q21" s="480"/>
      <c r="R21" s="480"/>
      <c r="S21" s="480"/>
      <c r="T21" s="480"/>
      <c r="U21" s="480"/>
      <c r="V21" s="480"/>
      <c r="W21" s="480"/>
      <c r="X21" s="480"/>
      <c r="Y21" s="480"/>
    </row>
    <row r="22" ht="18.75" customHeight="1">
      <c r="B22" s="480" t="s">
        <v>21255</v>
      </c>
      <c r="C22" s="480"/>
      <c r="D22" s="480"/>
      <c r="E22" s="480"/>
      <c r="F22" s="480"/>
      <c r="G22" s="480"/>
      <c r="H22" s="480"/>
      <c r="I22" s="480"/>
      <c r="J22" s="480" t="s">
        <v>21256</v>
      </c>
      <c r="K22" s="480"/>
      <c r="L22" s="480"/>
      <c r="M22" s="480"/>
      <c r="N22" s="480"/>
      <c r="O22" s="480"/>
      <c r="P22" s="480"/>
      <c r="Q22" s="480"/>
      <c r="R22" s="480"/>
      <c r="S22" s="480"/>
      <c r="T22" s="480"/>
      <c r="U22" s="480"/>
      <c r="V22" s="480"/>
      <c r="W22" s="480"/>
      <c r="X22" s="480"/>
      <c r="Y22" s="480"/>
    </row>
    <row r="23" ht="18" customHeight="1">
      <c r="B23" s="485"/>
      <c r="C23" s="485"/>
      <c r="D23" s="485"/>
      <c r="E23" s="485"/>
      <c r="F23" s="485"/>
      <c r="G23" s="485"/>
      <c r="H23" s="485"/>
      <c r="I23" s="485"/>
      <c r="J23" s="480" t="s">
        <v>21257</v>
      </c>
      <c r="K23" s="480"/>
      <c r="L23" s="480"/>
      <c r="M23" s="480"/>
      <c r="N23" s="480"/>
      <c r="O23" s="480"/>
      <c r="P23" s="480"/>
      <c r="Q23" s="480"/>
      <c r="R23" s="480"/>
      <c r="S23" s="480"/>
      <c r="T23" s="480"/>
      <c r="U23" s="480"/>
      <c r="V23" s="480"/>
      <c r="W23" s="480"/>
      <c r="X23" s="480"/>
      <c r="Y23" s="480"/>
    </row>
    <row r="24" ht="16.5" customHeight="1">
      <c r="B24" s="480" t="s">
        <v>21258</v>
      </c>
      <c r="C24" s="480"/>
      <c r="D24" s="480"/>
      <c r="E24" s="480"/>
      <c r="F24" s="480"/>
      <c r="G24" s="480"/>
      <c r="H24" s="480"/>
      <c r="I24" s="480"/>
      <c r="J24" s="480" t="s">
        <v>21259</v>
      </c>
      <c r="K24" s="480"/>
      <c r="L24" s="480"/>
      <c r="M24" s="480"/>
      <c r="N24" s="480"/>
      <c r="O24" s="480"/>
      <c r="P24" s="480"/>
      <c r="Q24" s="480"/>
      <c r="R24" s="480"/>
      <c r="S24" s="480"/>
      <c r="T24" s="480"/>
      <c r="U24" s="480"/>
      <c r="V24" s="480"/>
      <c r="W24" s="480"/>
      <c r="X24" s="480"/>
      <c r="Y24" s="480"/>
    </row>
    <row r="25" ht="17.25" customHeight="1">
      <c r="J25" s="480" t="s">
        <v>21260</v>
      </c>
      <c r="K25" s="480"/>
      <c r="L25" s="480"/>
      <c r="M25" s="480"/>
      <c r="N25" s="480"/>
      <c r="O25" s="480"/>
      <c r="P25" s="480"/>
      <c r="Q25" s="480"/>
      <c r="R25" s="480"/>
      <c r="S25" s="480"/>
      <c r="T25" s="480"/>
      <c r="U25" s="480"/>
      <c r="V25" s="480"/>
      <c r="W25" s="480"/>
      <c r="X25" s="480"/>
      <c r="Y25" s="480"/>
    </row>
    <row r="26" ht="47.25" customHeight="1">
      <c r="A26" s="481" t="s">
        <v>21261</v>
      </c>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row>
    <row r="27" ht="14.25" customHeight="1">
      <c r="AD27" s="219"/>
      <c r="AE27" s="219" t="s">
        <v>21054</v>
      </c>
      <c r="AF27" s="219"/>
      <c r="AG27" s="211" t="s">
        <v>21055</v>
      </c>
      <c r="AI27" s="219" t="s">
        <v>21056</v>
      </c>
      <c r="AK27" s="219"/>
      <c r="AL27" s="219"/>
      <c r="AN27" s="219"/>
      <c r="AO27" s="219"/>
      <c r="AP27" s="219"/>
      <c r="AQ27" s="219"/>
      <c r="AR27" s="219"/>
    </row>
    <row r="28" ht="16.5">
      <c r="A28" s="484" t="s">
        <v>21262</v>
      </c>
      <c r="B28" s="484"/>
      <c r="C28" s="484"/>
      <c r="D28" s="484"/>
      <c r="E28" s="484"/>
      <c r="F28" s="484"/>
      <c r="G28" s="484"/>
      <c r="H28" s="484"/>
      <c r="I28" s="484"/>
      <c r="J28" s="484"/>
      <c r="K28" s="484"/>
      <c r="L28" s="484"/>
      <c r="M28" s="484"/>
      <c r="O28" s="479" t="str">
        <f>IF(AD34=0,AG27,IF(AD34=1,AE27,AI27))</f>
        <v>KT. GIÁM ĐỐC</v>
      </c>
      <c r="P28" s="479"/>
      <c r="Q28" s="479"/>
      <c r="R28" s="479"/>
      <c r="S28" s="479"/>
      <c r="T28" s="479"/>
      <c r="U28" s="479"/>
      <c r="V28" s="479"/>
      <c r="W28" s="479"/>
      <c r="X28" s="479"/>
      <c r="Y28" s="479"/>
      <c r="Z28" s="479"/>
      <c r="AD28" s="219"/>
      <c r="AF28" s="219"/>
      <c r="AG28" s="219" t="s">
        <v>21060</v>
      </c>
      <c r="AH28" s="219"/>
      <c r="AI28" s="219" t="s">
        <v>21061</v>
      </c>
      <c r="AK28" s="219"/>
      <c r="AL28" s="219"/>
      <c r="AN28" s="219"/>
      <c r="AO28" s="219"/>
      <c r="AP28" s="219"/>
      <c r="AQ28" s="219"/>
      <c r="AR28" s="219"/>
    </row>
    <row r="29">
      <c r="A29" s="220" t="s">
        <v>21263</v>
      </c>
      <c r="B29" s="216"/>
      <c r="C29" s="216"/>
      <c r="D29" s="216"/>
      <c r="E29" s="216"/>
      <c r="F29" s="216"/>
      <c r="O29" s="478" t="str">
        <f>IF(AD34=0,AG28,IF(AD34=1,"",AI28))</f>
        <v>PHÓ GIÁM ĐỐC</v>
      </c>
      <c r="P29" s="478"/>
      <c r="Q29" s="478"/>
      <c r="R29" s="478"/>
      <c r="S29" s="478"/>
      <c r="T29" s="478"/>
      <c r="U29" s="478"/>
      <c r="V29" s="478"/>
      <c r="W29" s="478"/>
      <c r="X29" s="478"/>
      <c r="Y29" s="478"/>
      <c r="Z29" s="478"/>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21264</v>
      </c>
      <c r="AE30" s="219"/>
      <c r="AF30" s="219"/>
      <c r="AG30" s="219"/>
      <c r="AH30" s="219"/>
      <c r="AI30" s="219"/>
      <c r="AK30" s="219"/>
      <c r="AL30" s="219"/>
      <c r="AM30" s="219"/>
      <c r="AN30" s="219"/>
      <c r="AO30" s="219"/>
      <c r="AP30" s="219"/>
      <c r="AQ30" s="219"/>
      <c r="AR30" s="219"/>
    </row>
    <row r="31" ht="16.5" customHeight="1">
      <c r="A31" s="220" t="str">
        <f>IF(AD34=1,"",AD31)</f>
        <v>-    Lưu: PTH, PKĐ.</v>
      </c>
      <c r="AD31" s="220" t="s">
        <v>21265</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9" t="str">
        <f>IF(AD34=0,AG34,IF(AD34=1,AE34,AI34))</f>
        <v>Trần Công Khanh</v>
      </c>
      <c r="P34" s="479"/>
      <c r="Q34" s="479"/>
      <c r="R34" s="479"/>
      <c r="S34" s="479"/>
      <c r="T34" s="479"/>
      <c r="U34" s="479"/>
      <c r="V34" s="479"/>
      <c r="W34" s="479"/>
      <c r="X34" s="479"/>
      <c r="Y34" s="479"/>
      <c r="Z34" s="479"/>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tabSelected="1" showWhiteSpace="0" view="pageLayout" workbookViewId="0">
      <selection activeCell="A7" sqref="A7:XFD51"/>
    </sheetView>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9" t="s">
        <v>21087</v>
      </c>
      <c r="B2" s="509"/>
      <c r="C2" s="509"/>
      <c r="D2" s="509"/>
      <c r="E2" s="509" t="s">
        <v>21087</v>
      </c>
      <c r="F2" s="509"/>
      <c r="G2" s="509"/>
      <c r="H2" s="509"/>
      <c r="I2" s="509"/>
      <c r="J2" s="509"/>
      <c r="K2" s="509"/>
      <c r="L2" s="509"/>
      <c r="M2" s="509"/>
    </row>
    <row r="3" ht="15.75" customHeight="1">
      <c r="A3" s="510" t="s">
        <v>21088</v>
      </c>
      <c r="B3" s="510"/>
      <c r="C3" s="510"/>
      <c r="D3" s="510"/>
      <c r="E3" s="510" t="s">
        <v>21089</v>
      </c>
      <c r="F3" s="510"/>
      <c r="G3" s="510"/>
      <c r="H3" s="510"/>
      <c r="I3" s="510"/>
      <c r="J3" s="510"/>
      <c r="K3" s="510"/>
      <c r="L3" s="510"/>
      <c r="M3" s="510"/>
    </row>
    <row r="4" ht="15.75" customHeight="1" s="222" customFormat="1">
      <c r="A4" s="511"/>
      <c r="B4" s="511"/>
      <c r="C4" s="511"/>
      <c r="D4" s="511"/>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128521</v>
      </c>
      <c r="C6" s="350" t="s">
        <v>21097</v>
      </c>
      <c r="D6" s="349" t="s">
        <v>21098</v>
      </c>
      <c r="E6" s="350">
        <v>1</v>
      </c>
      <c r="F6" s="350"/>
      <c r="G6" s="350">
        <v>128521</v>
      </c>
      <c r="H6" s="350" t="s">
        <v>21097</v>
      </c>
      <c r="I6" s="350" t="s">
        <v>21099</v>
      </c>
      <c r="J6" s="350" t="b">
        <v>0</v>
      </c>
      <c r="K6" s="350" t="b">
        <v>0</v>
      </c>
      <c r="L6" s="350"/>
      <c r="M6" s="350" t="s">
        <v>21098</v>
      </c>
    </row>
    <row r="7" ht="60">
      <c r="A7" s="349">
        <v>2</v>
      </c>
      <c r="B7" s="350">
        <v>128173</v>
      </c>
      <c r="C7" s="350" t="s">
        <v>21100</v>
      </c>
      <c r="D7" s="349" t="s">
        <v>21101</v>
      </c>
      <c r="E7" s="350">
        <v>2</v>
      </c>
      <c r="F7" s="350"/>
      <c r="G7" s="350">
        <v>128173</v>
      </c>
      <c r="H7" s="350" t="s">
        <v>21100</v>
      </c>
      <c r="I7" s="350" t="s">
        <v>21102</v>
      </c>
      <c r="J7" s="350" t="b">
        <v>0</v>
      </c>
      <c r="K7" s="350" t="b">
        <v>0</v>
      </c>
      <c r="L7" s="350"/>
      <c r="M7" s="350" t="s">
        <v>21101</v>
      </c>
    </row>
    <row r="8" ht="60">
      <c r="A8" s="349">
        <v>3</v>
      </c>
      <c r="B8" s="350">
        <v>128167</v>
      </c>
      <c r="C8" s="350" t="s">
        <v>21103</v>
      </c>
      <c r="D8" s="349" t="s">
        <v>21104</v>
      </c>
      <c r="E8" s="350">
        <v>3</v>
      </c>
      <c r="F8" s="350"/>
      <c r="G8" s="350">
        <v>128167</v>
      </c>
      <c r="H8" s="350" t="s">
        <v>21103</v>
      </c>
      <c r="I8" s="350" t="s">
        <v>21105</v>
      </c>
      <c r="J8" s="350" t="b">
        <v>0</v>
      </c>
      <c r="K8" s="350" t="b">
        <v>0</v>
      </c>
      <c r="L8" s="350"/>
      <c r="M8" s="350" t="s">
        <v>21104</v>
      </c>
    </row>
    <row r="9" ht="45">
      <c r="A9" s="349">
        <v>4</v>
      </c>
      <c r="B9" s="350">
        <v>128512</v>
      </c>
      <c r="C9" s="350" t="s">
        <v>21106</v>
      </c>
      <c r="D9" s="349" t="s">
        <v>21107</v>
      </c>
      <c r="E9" s="350">
        <v>4</v>
      </c>
      <c r="F9" s="350"/>
      <c r="G9" s="350">
        <v>128512</v>
      </c>
      <c r="H9" s="350" t="s">
        <v>21106</v>
      </c>
      <c r="I9" s="350" t="s">
        <v>21099</v>
      </c>
      <c r="J9" s="350" t="b">
        <v>0</v>
      </c>
      <c r="K9" s="350" t="b">
        <v>0</v>
      </c>
      <c r="L9" s="350"/>
      <c r="M9" s="350" t="s">
        <v>21107</v>
      </c>
    </row>
    <row r="10" ht="60">
      <c r="A10" s="349">
        <v>5</v>
      </c>
      <c r="B10" s="350">
        <v>128041</v>
      </c>
      <c r="C10" s="350" t="s">
        <v>21108</v>
      </c>
      <c r="D10" s="349" t="s">
        <v>21109</v>
      </c>
      <c r="E10" s="350">
        <v>5</v>
      </c>
      <c r="F10" s="350"/>
      <c r="G10" s="350">
        <v>128041</v>
      </c>
      <c r="H10" s="350" t="s">
        <v>21108</v>
      </c>
      <c r="I10" s="350" t="s">
        <v>21110</v>
      </c>
      <c r="J10" s="350" t="b">
        <v>0</v>
      </c>
      <c r="K10" s="350" t="b">
        <v>0</v>
      </c>
      <c r="L10" s="350"/>
      <c r="M10" s="350" t="s">
        <v>21109</v>
      </c>
    </row>
    <row r="11" ht="60">
      <c r="A11" s="349">
        <v>6</v>
      </c>
      <c r="B11" s="350">
        <v>128031</v>
      </c>
      <c r="C11" s="350" t="s">
        <v>21111</v>
      </c>
      <c r="D11" s="349" t="s">
        <v>21112</v>
      </c>
      <c r="E11" s="350">
        <v>6</v>
      </c>
      <c r="F11" s="350"/>
      <c r="G11" s="350">
        <v>128031</v>
      </c>
      <c r="H11" s="350" t="s">
        <v>21111</v>
      </c>
      <c r="I11" s="350" t="s">
        <v>21113</v>
      </c>
      <c r="J11" s="350" t="b">
        <v>0</v>
      </c>
      <c r="K11" s="350" t="b">
        <v>1</v>
      </c>
      <c r="L11" s="350"/>
      <c r="M11" s="350" t="s">
        <v>21112</v>
      </c>
    </row>
    <row r="12" ht="60">
      <c r="A12" s="349">
        <v>7</v>
      </c>
      <c r="B12" s="350">
        <v>128142</v>
      </c>
      <c r="C12" s="350" t="s">
        <v>21114</v>
      </c>
      <c r="D12" s="349" t="s">
        <v>21115</v>
      </c>
      <c r="E12" s="350">
        <v>7</v>
      </c>
      <c r="F12" s="350"/>
      <c r="G12" s="350">
        <v>128142</v>
      </c>
      <c r="H12" s="350" t="s">
        <v>21114</v>
      </c>
      <c r="I12" s="350" t="s">
        <v>21116</v>
      </c>
      <c r="J12" s="350" t="b">
        <v>0</v>
      </c>
      <c r="K12" s="350" t="b">
        <v>1</v>
      </c>
      <c r="L12" s="350"/>
      <c r="M12" s="350" t="s">
        <v>21115</v>
      </c>
    </row>
    <row r="13" ht="45">
      <c r="A13" s="349">
        <v>8</v>
      </c>
      <c r="B13" s="350">
        <v>128146</v>
      </c>
      <c r="C13" s="350" t="s">
        <v>21117</v>
      </c>
      <c r="D13" s="349" t="s">
        <v>21118</v>
      </c>
      <c r="E13" s="350">
        <v>8</v>
      </c>
      <c r="F13" s="350"/>
      <c r="G13" s="350">
        <v>128146</v>
      </c>
      <c r="H13" s="350" t="s">
        <v>21117</v>
      </c>
      <c r="I13" s="350" t="s">
        <v>21119</v>
      </c>
      <c r="J13" s="350" t="b">
        <v>0</v>
      </c>
      <c r="K13" s="350" t="b">
        <v>0</v>
      </c>
      <c r="L13" s="350"/>
      <c r="M13" s="350" t="s">
        <v>21118</v>
      </c>
    </row>
    <row r="14" ht="60">
      <c r="A14" s="349">
        <v>9</v>
      </c>
      <c r="B14" s="350">
        <v>128068</v>
      </c>
      <c r="C14" s="350" t="s">
        <v>21120</v>
      </c>
      <c r="D14" s="349" t="s">
        <v>21121</v>
      </c>
      <c r="E14" s="350">
        <v>9</v>
      </c>
      <c r="F14" s="350"/>
      <c r="G14" s="350">
        <v>128068</v>
      </c>
      <c r="H14" s="350" t="s">
        <v>21120</v>
      </c>
      <c r="I14" s="350" t="s">
        <v>21122</v>
      </c>
      <c r="J14" s="350" t="b">
        <v>0</v>
      </c>
      <c r="K14" s="350" t="b">
        <v>1</v>
      </c>
      <c r="L14" s="350"/>
      <c r="M14" s="350" t="s">
        <v>21121</v>
      </c>
    </row>
    <row r="15" ht="45">
      <c r="A15" s="349">
        <v>10</v>
      </c>
      <c r="B15" s="350">
        <v>128045</v>
      </c>
      <c r="C15" s="350" t="s">
        <v>21123</v>
      </c>
      <c r="D15" s="349" t="s">
        <v>21124</v>
      </c>
      <c r="E15" s="350">
        <v>10</v>
      </c>
      <c r="F15" s="350"/>
      <c r="G15" s="350">
        <v>128045</v>
      </c>
      <c r="H15" s="350" t="s">
        <v>21123</v>
      </c>
      <c r="I15" s="350" t="s">
        <v>21125</v>
      </c>
      <c r="J15" s="350" t="b">
        <v>0</v>
      </c>
      <c r="K15" s="350" t="b">
        <v>0</v>
      </c>
      <c r="L15" s="350"/>
      <c r="M15" s="350" t="s">
        <v>21124</v>
      </c>
    </row>
    <row r="16" ht="45">
      <c r="A16" s="349">
        <v>11</v>
      </c>
      <c r="B16" s="350">
        <v>128156</v>
      </c>
      <c r="C16" s="350" t="s">
        <v>21126</v>
      </c>
      <c r="D16" s="349" t="s">
        <v>21127</v>
      </c>
      <c r="E16" s="350">
        <v>11</v>
      </c>
      <c r="F16" s="350"/>
      <c r="G16" s="350">
        <v>128156</v>
      </c>
      <c r="H16" s="350" t="s">
        <v>21126</v>
      </c>
      <c r="I16" s="350" t="s">
        <v>21128</v>
      </c>
      <c r="J16" s="350" t="b">
        <v>0</v>
      </c>
      <c r="K16" s="350" t="b">
        <v>0</v>
      </c>
      <c r="L16" s="350"/>
      <c r="M16" s="350" t="s">
        <v>21127</v>
      </c>
    </row>
    <row r="17" ht="45">
      <c r="A17" s="349">
        <v>12</v>
      </c>
      <c r="B17" s="350">
        <v>128120</v>
      </c>
      <c r="C17" s="350" t="s">
        <v>21129</v>
      </c>
      <c r="D17" s="349" t="s">
        <v>21130</v>
      </c>
      <c r="E17" s="350">
        <v>12</v>
      </c>
      <c r="F17" s="350"/>
      <c r="G17" s="350">
        <v>128120</v>
      </c>
      <c r="H17" s="350" t="s">
        <v>21129</v>
      </c>
      <c r="I17" s="350" t="s">
        <v>21131</v>
      </c>
      <c r="J17" s="350" t="b">
        <v>0</v>
      </c>
      <c r="K17" s="350" t="b">
        <v>0</v>
      </c>
      <c r="L17" s="350"/>
      <c r="M17" s="350" t="s">
        <v>21130</v>
      </c>
    </row>
    <row r="18" ht="75">
      <c r="A18" s="349">
        <v>13</v>
      </c>
      <c r="B18" s="350">
        <v>128165</v>
      </c>
      <c r="C18" s="350" t="s">
        <v>21132</v>
      </c>
      <c r="D18" s="349" t="s">
        <v>21133</v>
      </c>
      <c r="E18" s="350">
        <v>13</v>
      </c>
      <c r="F18" s="350"/>
      <c r="G18" s="350">
        <v>128165</v>
      </c>
      <c r="H18" s="350" t="s">
        <v>21132</v>
      </c>
      <c r="I18" s="350" t="s">
        <v>21134</v>
      </c>
      <c r="J18" s="350" t="b">
        <v>0</v>
      </c>
      <c r="K18" s="350" t="b">
        <v>0</v>
      </c>
      <c r="L18" s="350"/>
      <c r="M18" s="350" t="s">
        <v>21133</v>
      </c>
    </row>
    <row r="19" ht="45">
      <c r="A19" s="349">
        <v>14</v>
      </c>
      <c r="B19" s="350">
        <v>128043</v>
      </c>
      <c r="C19" s="350" t="s">
        <v>21135</v>
      </c>
      <c r="D19" s="349" t="s">
        <v>21136</v>
      </c>
      <c r="E19" s="350">
        <v>14</v>
      </c>
      <c r="F19" s="350"/>
      <c r="G19" s="350">
        <v>128043</v>
      </c>
      <c r="H19" s="350" t="s">
        <v>21135</v>
      </c>
      <c r="I19" s="350" t="s">
        <v>21137</v>
      </c>
      <c r="J19" s="350" t="b">
        <v>0</v>
      </c>
      <c r="K19" s="350" t="b">
        <v>0</v>
      </c>
      <c r="L19" s="350"/>
      <c r="M19" s="350" t="s">
        <v>21136</v>
      </c>
    </row>
    <row r="20" ht="45">
      <c r="A20" s="349">
        <v>15</v>
      </c>
      <c r="B20" s="350">
        <v>128501</v>
      </c>
      <c r="C20" s="350" t="s">
        <v>21138</v>
      </c>
      <c r="D20" s="349" t="s">
        <v>21139</v>
      </c>
      <c r="E20" s="350">
        <v>15</v>
      </c>
      <c r="F20" s="350"/>
      <c r="G20" s="350">
        <v>128501</v>
      </c>
      <c r="H20" s="350" t="s">
        <v>21138</v>
      </c>
      <c r="I20" s="350" t="s">
        <v>21140</v>
      </c>
      <c r="J20" s="350" t="b">
        <v>0</v>
      </c>
      <c r="K20" s="350" t="b">
        <v>0</v>
      </c>
      <c r="L20" s="350"/>
      <c r="M20" s="350" t="s">
        <v>21139</v>
      </c>
    </row>
    <row r="21" ht="45">
      <c r="A21" s="349">
        <v>16</v>
      </c>
      <c r="B21" s="350">
        <v>128154</v>
      </c>
      <c r="C21" s="350" t="s">
        <v>21141</v>
      </c>
      <c r="D21" s="349" t="s">
        <v>21142</v>
      </c>
      <c r="E21" s="350">
        <v>16</v>
      </c>
      <c r="F21" s="350"/>
      <c r="G21" s="350">
        <v>128154</v>
      </c>
      <c r="H21" s="350" t="s">
        <v>21141</v>
      </c>
      <c r="I21" s="350" t="s">
        <v>21143</v>
      </c>
      <c r="J21" s="350" t="b">
        <v>0</v>
      </c>
      <c r="K21" s="350" t="b">
        <v>0</v>
      </c>
      <c r="L21" s="350"/>
      <c r="M21" s="350" t="s">
        <v>21142</v>
      </c>
    </row>
    <row r="22" ht="45">
      <c r="A22" s="349">
        <v>17</v>
      </c>
      <c r="B22" s="350">
        <v>128145</v>
      </c>
      <c r="C22" s="350" t="s">
        <v>21144</v>
      </c>
      <c r="D22" s="349" t="s">
        <v>21145</v>
      </c>
      <c r="E22" s="350">
        <v>17</v>
      </c>
      <c r="F22" s="350"/>
      <c r="G22" s="350">
        <v>128145</v>
      </c>
      <c r="H22" s="350" t="s">
        <v>21144</v>
      </c>
      <c r="I22" s="350" t="s">
        <v>21146</v>
      </c>
      <c r="J22" s="350" t="b">
        <v>0</v>
      </c>
      <c r="K22" s="350" t="b">
        <v>0</v>
      </c>
      <c r="L22" s="350"/>
      <c r="M22" s="350" t="s">
        <v>21145</v>
      </c>
    </row>
    <row r="23" ht="60">
      <c r="A23" s="349">
        <v>18</v>
      </c>
      <c r="B23" s="350">
        <v>128020</v>
      </c>
      <c r="C23" s="350" t="s">
        <v>21147</v>
      </c>
      <c r="D23" s="349" t="s">
        <v>21148</v>
      </c>
      <c r="E23" s="350">
        <v>18</v>
      </c>
      <c r="F23" s="350"/>
      <c r="G23" s="350">
        <v>128020</v>
      </c>
      <c r="H23" s="350" t="s">
        <v>21147</v>
      </c>
      <c r="I23" s="350" t="s">
        <v>21149</v>
      </c>
      <c r="J23" s="350" t="b">
        <v>0</v>
      </c>
      <c r="K23" s="350" t="b">
        <v>0</v>
      </c>
      <c r="L23" s="350"/>
      <c r="M23" s="350" t="s">
        <v>21148</v>
      </c>
    </row>
    <row r="24" ht="60">
      <c r="A24" s="349">
        <v>19</v>
      </c>
      <c r="B24" s="350">
        <v>128117</v>
      </c>
      <c r="C24" s="350" t="s">
        <v>21150</v>
      </c>
      <c r="D24" s="349" t="s">
        <v>21151</v>
      </c>
      <c r="E24" s="350">
        <v>19</v>
      </c>
      <c r="F24" s="350"/>
      <c r="G24" s="350">
        <v>128117</v>
      </c>
      <c r="H24" s="350" t="s">
        <v>21150</v>
      </c>
      <c r="I24" s="350" t="s">
        <v>21152</v>
      </c>
      <c r="J24" s="350" t="b">
        <v>0</v>
      </c>
      <c r="K24" s="350" t="b">
        <v>1</v>
      </c>
      <c r="L24" s="350"/>
      <c r="M24" s="350" t="s">
        <v>21151</v>
      </c>
    </row>
    <row r="25" ht="45">
      <c r="A25" s="349">
        <v>20</v>
      </c>
      <c r="B25" s="350">
        <v>128077</v>
      </c>
      <c r="C25" s="350" t="s">
        <v>21153</v>
      </c>
      <c r="D25" s="349" t="s">
        <v>21154</v>
      </c>
      <c r="E25" s="350">
        <v>20</v>
      </c>
      <c r="F25" s="350"/>
      <c r="G25" s="350">
        <v>128077</v>
      </c>
      <c r="H25" s="350" t="s">
        <v>21153</v>
      </c>
      <c r="I25" s="350" t="s">
        <v>21155</v>
      </c>
      <c r="J25" s="350" t="b">
        <v>0</v>
      </c>
      <c r="K25" s="350" t="b">
        <v>0</v>
      </c>
      <c r="L25" s="350"/>
      <c r="M25" s="350" t="s">
        <v>21154</v>
      </c>
    </row>
    <row r="26" ht="45">
      <c r="A26" s="349">
        <v>21</v>
      </c>
      <c r="B26" s="350">
        <v>128044</v>
      </c>
      <c r="C26" s="350" t="s">
        <v>21156</v>
      </c>
      <c r="D26" s="349" t="s">
        <v>21157</v>
      </c>
      <c r="E26" s="350">
        <v>21</v>
      </c>
      <c r="F26" s="350"/>
      <c r="G26" s="350">
        <v>128044</v>
      </c>
      <c r="H26" s="350" t="s">
        <v>21156</v>
      </c>
      <c r="I26" s="350" t="s">
        <v>21158</v>
      </c>
      <c r="J26" s="350" t="b">
        <v>0</v>
      </c>
      <c r="K26" s="350" t="b">
        <v>0</v>
      </c>
      <c r="L26" s="350"/>
      <c r="M26" s="350" t="s">
        <v>21157</v>
      </c>
    </row>
    <row r="27" ht="60">
      <c r="A27" s="349">
        <v>22</v>
      </c>
      <c r="B27" s="350">
        <v>128525</v>
      </c>
      <c r="C27" s="350" t="s">
        <v>21159</v>
      </c>
      <c r="D27" s="349" t="s">
        <v>21160</v>
      </c>
      <c r="E27" s="350">
        <v>22</v>
      </c>
      <c r="F27" s="350"/>
      <c r="G27" s="350">
        <v>128525</v>
      </c>
      <c r="H27" s="350" t="s">
        <v>21159</v>
      </c>
      <c r="I27" s="350" t="s">
        <v>21161</v>
      </c>
      <c r="J27" s="350" t="b">
        <v>0</v>
      </c>
      <c r="K27" s="350" t="b">
        <v>1</v>
      </c>
      <c r="L27" s="350"/>
      <c r="M27" s="350" t="s">
        <v>21160</v>
      </c>
    </row>
    <row r="28" ht="60">
      <c r="A28" s="349">
        <v>23</v>
      </c>
      <c r="B28" s="350">
        <v>128002</v>
      </c>
      <c r="C28" s="350" t="s">
        <v>21162</v>
      </c>
      <c r="D28" s="349" t="s">
        <v>21163</v>
      </c>
      <c r="E28" s="350">
        <v>23</v>
      </c>
      <c r="F28" s="350"/>
      <c r="G28" s="350">
        <v>128002</v>
      </c>
      <c r="H28" s="350" t="s">
        <v>21162</v>
      </c>
      <c r="I28" s="350" t="s">
        <v>21164</v>
      </c>
      <c r="J28" s="350" t="b">
        <v>0</v>
      </c>
      <c r="K28" s="350" t="b">
        <v>1</v>
      </c>
      <c r="L28" s="350"/>
      <c r="M28" s="350" t="s">
        <v>21163</v>
      </c>
    </row>
    <row r="29" ht="45">
      <c r="A29" s="349">
        <v>24</v>
      </c>
      <c r="B29" s="350">
        <v>149173</v>
      </c>
      <c r="C29" s="350" t="s">
        <v>21165</v>
      </c>
      <c r="D29" s="349" t="s">
        <v>21166</v>
      </c>
      <c r="E29" s="350">
        <v>24</v>
      </c>
      <c r="F29" s="350"/>
      <c r="G29" s="350">
        <v>149173</v>
      </c>
      <c r="H29" s="350" t="s">
        <v>21165</v>
      </c>
      <c r="I29" s="350" t="s">
        <v>21167</v>
      </c>
      <c r="J29" s="350" t="b">
        <v>0</v>
      </c>
      <c r="K29" s="350" t="b">
        <v>0</v>
      </c>
      <c r="L29" s="350"/>
      <c r="M29" s="350" t="s">
        <v>21166</v>
      </c>
    </row>
    <row r="30" ht="45">
      <c r="A30" s="349">
        <v>25</v>
      </c>
      <c r="B30" s="350">
        <v>127510</v>
      </c>
      <c r="C30" s="350" t="s">
        <v>21168</v>
      </c>
      <c r="D30" s="349" t="s">
        <v>21169</v>
      </c>
      <c r="E30" s="350">
        <v>25</v>
      </c>
      <c r="F30" s="350"/>
      <c r="G30" s="350">
        <v>127510</v>
      </c>
      <c r="H30" s="350" t="s">
        <v>21168</v>
      </c>
      <c r="I30" s="350" t="s">
        <v>21170</v>
      </c>
      <c r="J30" s="350" t="b">
        <v>0</v>
      </c>
      <c r="K30" s="350" t="b">
        <v>0</v>
      </c>
      <c r="L30" s="350"/>
      <c r="M30" s="350" t="s">
        <v>21169</v>
      </c>
    </row>
    <row r="31" ht="45">
      <c r="A31" s="349">
        <v>26</v>
      </c>
      <c r="B31" s="350">
        <v>127143</v>
      </c>
      <c r="C31" s="350" t="s">
        <v>21171</v>
      </c>
      <c r="D31" s="349" t="s">
        <v>21172</v>
      </c>
      <c r="E31" s="350">
        <v>26</v>
      </c>
      <c r="F31" s="350"/>
      <c r="G31" s="350">
        <v>127143</v>
      </c>
      <c r="H31" s="350" t="s">
        <v>21171</v>
      </c>
      <c r="I31" s="350" t="s">
        <v>21173</v>
      </c>
      <c r="J31" s="350" t="b">
        <v>0</v>
      </c>
      <c r="K31" s="350" t="b">
        <v>1</v>
      </c>
      <c r="L31" s="350"/>
      <c r="M31" s="350" t="s">
        <v>21172</v>
      </c>
    </row>
    <row r="32" ht="45">
      <c r="A32" s="349">
        <v>27</v>
      </c>
      <c r="B32" s="350">
        <v>131121</v>
      </c>
      <c r="C32" s="350" t="s">
        <v>21174</v>
      </c>
      <c r="D32" s="349" t="s">
        <v>21175</v>
      </c>
      <c r="E32" s="350">
        <v>27</v>
      </c>
      <c r="F32" s="350"/>
      <c r="G32" s="350">
        <v>131121</v>
      </c>
      <c r="H32" s="350" t="s">
        <v>21174</v>
      </c>
      <c r="I32" s="350" t="s">
        <v>21176</v>
      </c>
      <c r="J32" s="350" t="b">
        <v>0</v>
      </c>
      <c r="K32" s="350" t="b">
        <v>1</v>
      </c>
      <c r="L32" s="350"/>
      <c r="M32" s="350" t="s">
        <v>21175</v>
      </c>
    </row>
    <row r="33" ht="45">
      <c r="A33" s="349">
        <v>28</v>
      </c>
      <c r="B33" s="350">
        <v>131122</v>
      </c>
      <c r="C33" s="350" t="s">
        <v>21177</v>
      </c>
      <c r="D33" s="349" t="s">
        <v>21178</v>
      </c>
      <c r="E33" s="350">
        <v>28</v>
      </c>
      <c r="F33" s="350"/>
      <c r="G33" s="350">
        <v>131122</v>
      </c>
      <c r="H33" s="350" t="s">
        <v>21177</v>
      </c>
      <c r="I33" s="350" t="s">
        <v>21179</v>
      </c>
      <c r="J33" s="350" t="b">
        <v>0</v>
      </c>
      <c r="K33" s="350" t="b">
        <v>0</v>
      </c>
      <c r="L33" s="350"/>
      <c r="M33" s="350" t="s">
        <v>21178</v>
      </c>
    </row>
    <row r="34" ht="45">
      <c r="A34" s="349">
        <v>29</v>
      </c>
      <c r="B34" s="350">
        <v>106534</v>
      </c>
      <c r="C34" s="350" t="s">
        <v>21180</v>
      </c>
      <c r="D34" s="349" t="s">
        <v>21181</v>
      </c>
      <c r="E34" s="350">
        <v>29</v>
      </c>
      <c r="F34" s="350"/>
      <c r="G34" s="350">
        <v>106534</v>
      </c>
      <c r="H34" s="350" t="s">
        <v>21180</v>
      </c>
      <c r="I34" s="350" t="s">
        <v>21182</v>
      </c>
      <c r="J34" s="350" t="b">
        <v>0</v>
      </c>
      <c r="K34" s="350" t="b">
        <v>1</v>
      </c>
      <c r="L34" s="350"/>
      <c r="M34" s="350" t="s">
        <v>21181</v>
      </c>
    </row>
    <row r="35" ht="45">
      <c r="A35" s="349">
        <v>30</v>
      </c>
      <c r="B35" s="350">
        <v>105103</v>
      </c>
      <c r="C35" s="350" t="s">
        <v>21183</v>
      </c>
      <c r="D35" s="349" t="s">
        <v>21184</v>
      </c>
      <c r="E35" s="350">
        <v>30</v>
      </c>
      <c r="F35" s="350"/>
      <c r="G35" s="350">
        <v>105103</v>
      </c>
      <c r="H35" s="350" t="s">
        <v>21183</v>
      </c>
      <c r="I35" s="350" t="s">
        <v>21185</v>
      </c>
      <c r="J35" s="350" t="b">
        <v>0</v>
      </c>
      <c r="K35" s="350" t="b">
        <v>0</v>
      </c>
      <c r="L35" s="350"/>
      <c r="M35" s="350" t="s">
        <v>21184</v>
      </c>
    </row>
    <row r="36" ht="45">
      <c r="A36" s="349">
        <v>31</v>
      </c>
      <c r="B36" s="350">
        <v>105100</v>
      </c>
      <c r="C36" s="350" t="s">
        <v>21186</v>
      </c>
      <c r="D36" s="349" t="s">
        <v>21187</v>
      </c>
      <c r="E36" s="350">
        <v>31</v>
      </c>
      <c r="F36" s="350"/>
      <c r="G36" s="350">
        <v>105100</v>
      </c>
      <c r="H36" s="350" t="s">
        <v>21186</v>
      </c>
      <c r="I36" s="350" t="s">
        <v>21188</v>
      </c>
      <c r="J36" s="350" t="b">
        <v>0</v>
      </c>
      <c r="K36" s="350" t="b">
        <v>0</v>
      </c>
      <c r="L36" s="350"/>
      <c r="M36" s="350" t="s">
        <v>21187</v>
      </c>
    </row>
    <row r="37" ht="60">
      <c r="A37" s="349">
        <v>32</v>
      </c>
      <c r="B37" s="350">
        <v>105145</v>
      </c>
      <c r="C37" s="350" t="s">
        <v>21189</v>
      </c>
      <c r="D37" s="349" t="s">
        <v>21190</v>
      </c>
      <c r="E37" s="350">
        <v>32</v>
      </c>
      <c r="F37" s="350"/>
      <c r="G37" s="350">
        <v>105145</v>
      </c>
      <c r="H37" s="350" t="s">
        <v>21189</v>
      </c>
      <c r="I37" s="350" t="s">
        <v>21191</v>
      </c>
      <c r="J37" s="350" t="b">
        <v>0</v>
      </c>
      <c r="K37" s="350" t="b">
        <v>0</v>
      </c>
      <c r="L37" s="350"/>
      <c r="M37" s="350" t="s">
        <v>21190</v>
      </c>
    </row>
    <row r="38" ht="45">
      <c r="A38" s="349">
        <v>33</v>
      </c>
      <c r="B38" s="350">
        <v>105144</v>
      </c>
      <c r="C38" s="350" t="s">
        <v>21192</v>
      </c>
      <c r="D38" s="349" t="s">
        <v>21193</v>
      </c>
      <c r="E38" s="350">
        <v>33</v>
      </c>
      <c r="F38" s="350"/>
      <c r="G38" s="350">
        <v>105144</v>
      </c>
      <c r="H38" s="350" t="s">
        <v>21192</v>
      </c>
      <c r="I38" s="350" t="s">
        <v>21194</v>
      </c>
      <c r="J38" s="350" t="b">
        <v>0</v>
      </c>
      <c r="K38" s="350" t="b">
        <v>0</v>
      </c>
      <c r="L38" s="350"/>
      <c r="M38" s="350" t="s">
        <v>21193</v>
      </c>
    </row>
    <row r="39" ht="45">
      <c r="A39" s="349">
        <v>34</v>
      </c>
      <c r="B39" s="350">
        <v>124827</v>
      </c>
      <c r="C39" s="350" t="s">
        <v>21195</v>
      </c>
      <c r="D39" s="349" t="s">
        <v>21196</v>
      </c>
      <c r="E39" s="350">
        <v>34</v>
      </c>
      <c r="F39" s="350"/>
      <c r="G39" s="350">
        <v>124827</v>
      </c>
      <c r="H39" s="350" t="s">
        <v>21195</v>
      </c>
      <c r="I39" s="350" t="s">
        <v>21197</v>
      </c>
      <c r="J39" s="350" t="b">
        <v>0</v>
      </c>
      <c r="K39" s="350" t="b">
        <v>0</v>
      </c>
      <c r="L39" s="350"/>
      <c r="M39" s="350" t="s">
        <v>21196</v>
      </c>
    </row>
    <row r="40" ht="60">
      <c r="A40" s="349">
        <v>35</v>
      </c>
      <c r="B40" s="350">
        <v>124970</v>
      </c>
      <c r="C40" s="350" t="s">
        <v>21198</v>
      </c>
      <c r="D40" s="349" t="s">
        <v>21199</v>
      </c>
      <c r="E40" s="350">
        <v>35</v>
      </c>
      <c r="F40" s="350"/>
      <c r="G40" s="350">
        <v>124970</v>
      </c>
      <c r="H40" s="350" t="s">
        <v>21198</v>
      </c>
      <c r="I40" s="350" t="s">
        <v>21200</v>
      </c>
      <c r="J40" s="350" t="b">
        <v>0</v>
      </c>
      <c r="K40" s="350" t="b">
        <v>0</v>
      </c>
      <c r="L40" s="350"/>
      <c r="M40" s="350" t="s">
        <v>21199</v>
      </c>
    </row>
    <row r="41" ht="60">
      <c r="A41" s="349">
        <v>36</v>
      </c>
      <c r="B41" s="350">
        <v>124791</v>
      </c>
      <c r="C41" s="350" t="s">
        <v>21201</v>
      </c>
      <c r="D41" s="349" t="s">
        <v>21202</v>
      </c>
      <c r="E41" s="350">
        <v>36</v>
      </c>
      <c r="F41" s="350"/>
      <c r="G41" s="350">
        <v>124791</v>
      </c>
      <c r="H41" s="350" t="s">
        <v>21201</v>
      </c>
      <c r="I41" s="350" t="s">
        <v>21203</v>
      </c>
      <c r="J41" s="350" t="b">
        <v>0</v>
      </c>
      <c r="K41" s="350" t="b">
        <v>0</v>
      </c>
      <c r="L41" s="350"/>
      <c r="M41" s="350" t="s">
        <v>21202</v>
      </c>
    </row>
    <row r="42" ht="45">
      <c r="A42" s="349">
        <v>37</v>
      </c>
      <c r="B42" s="350">
        <v>124800</v>
      </c>
      <c r="C42" s="350" t="s">
        <v>21204</v>
      </c>
      <c r="D42" s="349" t="s">
        <v>21205</v>
      </c>
      <c r="E42" s="350">
        <v>37</v>
      </c>
      <c r="F42" s="350"/>
      <c r="G42" s="350">
        <v>124800</v>
      </c>
      <c r="H42" s="350" t="s">
        <v>21204</v>
      </c>
      <c r="I42" s="350" t="s">
        <v>21206</v>
      </c>
      <c r="J42" s="350" t="b">
        <v>0</v>
      </c>
      <c r="K42" s="350" t="b">
        <v>0</v>
      </c>
      <c r="L42" s="350"/>
      <c r="M42" s="350" t="s">
        <v>21205</v>
      </c>
    </row>
    <row r="43" ht="45">
      <c r="A43" s="349">
        <v>38</v>
      </c>
      <c r="B43" s="350">
        <v>124777</v>
      </c>
      <c r="C43" s="350" t="s">
        <v>21207</v>
      </c>
      <c r="D43" s="349" t="s">
        <v>21208</v>
      </c>
      <c r="E43" s="350">
        <v>38</v>
      </c>
      <c r="F43" s="350"/>
      <c r="G43" s="350">
        <v>124777</v>
      </c>
      <c r="H43" s="350" t="s">
        <v>21207</v>
      </c>
      <c r="I43" s="350" t="s">
        <v>21209</v>
      </c>
      <c r="J43" s="350" t="b">
        <v>0</v>
      </c>
      <c r="K43" s="350" t="b">
        <v>0</v>
      </c>
      <c r="L43" s="350"/>
      <c r="M43" s="350" t="s">
        <v>21208</v>
      </c>
    </row>
    <row r="44" ht="75">
      <c r="A44" s="349">
        <v>39</v>
      </c>
      <c r="B44" s="350">
        <v>124730</v>
      </c>
      <c r="C44" s="350" t="s">
        <v>21210</v>
      </c>
      <c r="D44" s="349" t="s">
        <v>21211</v>
      </c>
      <c r="E44" s="350">
        <v>39</v>
      </c>
      <c r="F44" s="350"/>
      <c r="G44" s="350">
        <v>124730</v>
      </c>
      <c r="H44" s="350" t="s">
        <v>21210</v>
      </c>
      <c r="I44" s="350" t="s">
        <v>21212</v>
      </c>
      <c r="J44" s="350" t="b">
        <v>0</v>
      </c>
      <c r="K44" s="350" t="b">
        <v>0</v>
      </c>
      <c r="L44" s="350"/>
      <c r="M44" s="350" t="s">
        <v>21211</v>
      </c>
    </row>
    <row r="45" ht="60">
      <c r="A45" s="349">
        <v>40</v>
      </c>
      <c r="B45" s="350">
        <v>124807</v>
      </c>
      <c r="C45" s="350" t="s">
        <v>21213</v>
      </c>
      <c r="D45" s="349" t="s">
        <v>21214</v>
      </c>
      <c r="E45" s="350">
        <v>40</v>
      </c>
      <c r="F45" s="350"/>
      <c r="G45" s="350">
        <v>124807</v>
      </c>
      <c r="H45" s="350" t="s">
        <v>21213</v>
      </c>
      <c r="I45" s="350" t="s">
        <v>21215</v>
      </c>
      <c r="J45" s="350" t="b">
        <v>0</v>
      </c>
      <c r="K45" s="350" t="b">
        <v>0</v>
      </c>
      <c r="L45" s="350"/>
      <c r="M45" s="350" t="s">
        <v>21214</v>
      </c>
    </row>
    <row r="46" ht="60">
      <c r="A46" s="349">
        <v>41</v>
      </c>
      <c r="B46" s="350">
        <v>124941</v>
      </c>
      <c r="C46" s="350" t="s">
        <v>21216</v>
      </c>
      <c r="D46" s="349" t="s">
        <v>21217</v>
      </c>
      <c r="E46" s="350">
        <v>41</v>
      </c>
      <c r="F46" s="350"/>
      <c r="G46" s="350">
        <v>124941</v>
      </c>
      <c r="H46" s="350" t="s">
        <v>21216</v>
      </c>
      <c r="I46" s="350" t="s">
        <v>21218</v>
      </c>
      <c r="J46" s="350" t="b">
        <v>0</v>
      </c>
      <c r="K46" s="350" t="b">
        <v>0</v>
      </c>
      <c r="L46" s="350"/>
      <c r="M46" s="350" t="s">
        <v>21217</v>
      </c>
    </row>
    <row r="47" ht="60">
      <c r="A47" s="349">
        <v>42</v>
      </c>
      <c r="B47" s="350">
        <v>124107</v>
      </c>
      <c r="C47" s="350" t="s">
        <v>21219</v>
      </c>
      <c r="D47" s="349" t="s">
        <v>21220</v>
      </c>
      <c r="E47" s="350">
        <v>42</v>
      </c>
      <c r="F47" s="350"/>
      <c r="G47" s="350">
        <v>124107</v>
      </c>
      <c r="H47" s="350" t="s">
        <v>21219</v>
      </c>
      <c r="I47" s="350" t="s">
        <v>21221</v>
      </c>
      <c r="J47" s="350" t="b">
        <v>0</v>
      </c>
      <c r="K47" s="350" t="b">
        <v>0</v>
      </c>
      <c r="L47" s="350"/>
      <c r="M47" s="350" t="s">
        <v>21220</v>
      </c>
    </row>
    <row r="48" ht="60">
      <c r="A48" s="349">
        <v>43</v>
      </c>
      <c r="B48" s="350">
        <v>124703</v>
      </c>
      <c r="C48" s="350" t="s">
        <v>21222</v>
      </c>
      <c r="D48" s="349" t="s">
        <v>21223</v>
      </c>
      <c r="E48" s="350">
        <v>43</v>
      </c>
      <c r="F48" s="350"/>
      <c r="G48" s="350">
        <v>124703</v>
      </c>
      <c r="H48" s="350" t="s">
        <v>21222</v>
      </c>
      <c r="I48" s="350" t="s">
        <v>21224</v>
      </c>
      <c r="J48" s="350" t="b">
        <v>0</v>
      </c>
      <c r="K48" s="350" t="b">
        <v>0</v>
      </c>
      <c r="L48" s="350"/>
      <c r="M48" s="350" t="s">
        <v>21223</v>
      </c>
    </row>
    <row r="49" ht="45">
      <c r="A49" s="349">
        <v>44</v>
      </c>
      <c r="B49" s="350">
        <v>124677</v>
      </c>
      <c r="C49" s="350" t="s">
        <v>21225</v>
      </c>
      <c r="D49" s="349" t="s">
        <v>21226</v>
      </c>
      <c r="E49" s="350">
        <v>44</v>
      </c>
      <c r="F49" s="350"/>
      <c r="G49" s="350">
        <v>124677</v>
      </c>
      <c r="H49" s="350" t="s">
        <v>21225</v>
      </c>
      <c r="I49" s="350" t="s">
        <v>21227</v>
      </c>
      <c r="J49" s="350" t="b">
        <v>0</v>
      </c>
      <c r="K49" s="350" t="b">
        <v>0</v>
      </c>
      <c r="L49" s="350"/>
      <c r="M49" s="350" t="s">
        <v>21226</v>
      </c>
    </row>
    <row r="50" ht="60">
      <c r="A50" s="349">
        <v>45</v>
      </c>
      <c r="B50" s="350">
        <v>124763</v>
      </c>
      <c r="C50" s="350" t="s">
        <v>21228</v>
      </c>
      <c r="D50" s="349" t="s">
        <v>21229</v>
      </c>
      <c r="E50" s="350">
        <v>45</v>
      </c>
      <c r="F50" s="350"/>
      <c r="G50" s="350">
        <v>124763</v>
      </c>
      <c r="H50" s="350" t="s">
        <v>21228</v>
      </c>
      <c r="I50" s="350" t="s">
        <v>21230</v>
      </c>
      <c r="J50" s="350" t="b">
        <v>0</v>
      </c>
      <c r="K50" s="350" t="b">
        <v>1</v>
      </c>
      <c r="L50" s="350"/>
      <c r="M50" s="350" t="s">
        <v>21229</v>
      </c>
    </row>
    <row r="51" ht="60">
      <c r="A51" s="349">
        <v>46</v>
      </c>
      <c r="B51" s="350">
        <v>124450</v>
      </c>
      <c r="C51" s="350" t="s">
        <v>21231</v>
      </c>
      <c r="D51" s="349" t="s">
        <v>21232</v>
      </c>
      <c r="E51" s="350">
        <v>46</v>
      </c>
      <c r="F51" s="350"/>
      <c r="G51" s="350">
        <v>124450</v>
      </c>
      <c r="H51" s="350" t="s">
        <v>21231</v>
      </c>
      <c r="I51" s="350" t="s">
        <v>21233</v>
      </c>
      <c r="J51" s="350" t="b">
        <v>0</v>
      </c>
      <c r="K51" s="350" t="b">
        <v>0</v>
      </c>
      <c r="L51" s="350"/>
      <c r="M51" s="350" t="s">
        <v>21232</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12" t="s">
        <v>21078</v>
      </c>
      <c r="D3" s="512"/>
      <c r="E3" s="512"/>
      <c r="F3" s="512"/>
      <c r="G3" s="512"/>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5" t="s">
        <v>21018</v>
      </c>
      <c r="C1" s="535"/>
      <c r="D1" s="535"/>
      <c r="E1" s="535"/>
      <c r="F1" s="535"/>
      <c r="G1" s="535"/>
      <c r="H1" s="535"/>
      <c r="I1" s="535"/>
      <c r="J1" s="535"/>
      <c r="K1" s="535"/>
      <c r="L1" s="535"/>
      <c r="M1" s="535"/>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N2" s="235"/>
      <c r="P2" s="524" t="s">
        <v>21021</v>
      </c>
      <c r="Q2" s="524"/>
      <c r="R2" s="524"/>
      <c r="S2" s="524"/>
      <c r="T2" s="524"/>
      <c r="U2" s="524"/>
      <c r="V2" s="524"/>
      <c r="W2" s="524"/>
      <c r="X2" s="524"/>
      <c r="Y2" s="524"/>
      <c r="Z2" s="524"/>
      <c r="AA2" s="524"/>
      <c r="AB2" s="524"/>
      <c r="AC2" s="524"/>
      <c r="AD2" s="524"/>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40.5" customHeight="1">
      <c r="C16" s="536" t="s">
        <v>21027</v>
      </c>
      <c r="D16" s="537"/>
      <c r="E16" s="537"/>
      <c r="F16" s="537"/>
      <c r="G16" s="537"/>
      <c r="H16" s="537"/>
      <c r="I16" s="537"/>
      <c r="J16" s="537"/>
      <c r="K16" s="537"/>
      <c r="L16" s="538"/>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54" t="s">
        <v>21028</v>
      </c>
    </row>
    <row r="17" ht="19.5" customHeight="1">
      <c r="C17" s="536" t="s">
        <v>21029</v>
      </c>
      <c r="D17" s="537"/>
      <c r="E17" s="537"/>
      <c r="F17" s="537"/>
      <c r="G17" s="537"/>
      <c r="H17" s="537"/>
      <c r="I17" s="537"/>
      <c r="J17" s="537"/>
      <c r="K17" s="537"/>
      <c r="L17" s="538"/>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25" t="str">
        <f>AG21</f>
        <v>A</v>
      </c>
      <c r="N21" s="526"/>
      <c r="O21" s="526"/>
      <c r="P21" s="526"/>
      <c r="Q21" s="526"/>
      <c r="R21" s="526"/>
      <c r="S21" s="526"/>
      <c r="T21" s="526"/>
      <c r="U21" s="526"/>
      <c r="V21" s="526"/>
      <c r="W21" s="526"/>
      <c r="X21" s="526"/>
      <c r="Y21" s="526"/>
      <c r="Z21" s="526"/>
      <c r="AA21" s="526"/>
      <c r="AB21" s="526"/>
      <c r="AC21" s="526"/>
      <c r="AD21" s="527"/>
      <c r="AE21" s="252"/>
      <c r="AG21" s="248" t="s">
        <v>21035</v>
      </c>
      <c r="AK21" s="248" t="s">
        <v>21036</v>
      </c>
      <c r="AO21" s="248" t="s">
        <v>21037</v>
      </c>
      <c r="AS21" s="248" t="s">
        <v>21038</v>
      </c>
    </row>
    <row r="22" ht="19.7" customHeight="1">
      <c r="C22" s="551" t="s">
        <v>21039</v>
      </c>
      <c r="D22" s="552"/>
      <c r="E22" s="552"/>
      <c r="F22" s="552"/>
      <c r="G22" s="552"/>
      <c r="H22" s="552"/>
      <c r="I22" s="552"/>
      <c r="J22" s="552"/>
      <c r="K22" s="552"/>
      <c r="L22" s="553"/>
      <c r="M22" s="525">
        <f>AG22</f>
        <v>4</v>
      </c>
      <c r="N22" s="526"/>
      <c r="O22" s="526"/>
      <c r="P22" s="526"/>
      <c r="Q22" s="526"/>
      <c r="R22" s="526"/>
      <c r="S22" s="526"/>
      <c r="T22" s="526"/>
      <c r="U22" s="526"/>
      <c r="V22" s="526"/>
      <c r="W22" s="526"/>
      <c r="X22" s="526"/>
      <c r="Y22" s="526"/>
      <c r="Z22" s="526"/>
      <c r="AA22" s="526"/>
      <c r="AB22" s="526"/>
      <c r="AC22" s="526"/>
      <c r="AD22" s="527"/>
      <c r="AE22" s="252"/>
      <c r="AG22" s="253">
        <v>4</v>
      </c>
      <c r="AH22" s="253"/>
      <c r="AI22" s="253"/>
      <c r="AJ22" s="253"/>
      <c r="AK22" s="253">
        <v>1</v>
      </c>
      <c r="AL22" s="253"/>
      <c r="AM22" s="253"/>
      <c r="AN22" s="253"/>
      <c r="AO22" s="253">
        <v>3</v>
      </c>
      <c r="AS22" s="219">
        <v>1</v>
      </c>
    </row>
    <row r="23" ht="19.7" customHeight="1">
      <c r="C23" s="542" t="s">
        <v>21040</v>
      </c>
      <c r="D23" s="542"/>
      <c r="E23" s="542"/>
      <c r="F23" s="542"/>
      <c r="G23" s="542"/>
      <c r="H23" s="542"/>
      <c r="I23" s="542"/>
      <c r="J23" s="542"/>
      <c r="K23" s="542"/>
      <c r="L23" s="542"/>
      <c r="M23" s="545" t="str">
        <f>AG23</f>
        <v>4/4/4</v>
      </c>
      <c r="N23" s="546"/>
      <c r="O23" s="546"/>
      <c r="P23" s="546"/>
      <c r="Q23" s="546"/>
      <c r="R23" s="546"/>
      <c r="S23" s="546"/>
      <c r="T23" s="546"/>
      <c r="U23" s="546"/>
      <c r="V23" s="546"/>
      <c r="W23" s="546"/>
      <c r="X23" s="546"/>
      <c r="Y23" s="546"/>
      <c r="Z23" s="546"/>
      <c r="AA23" s="546"/>
      <c r="AB23" s="546"/>
      <c r="AC23" s="546"/>
      <c r="AD23" s="547"/>
      <c r="AE23" s="257"/>
      <c r="AG23" s="258" t="s">
        <v>21041</v>
      </c>
      <c r="AH23" s="259"/>
      <c r="AI23" s="259"/>
      <c r="AJ23" s="259"/>
      <c r="AK23" s="258" t="s">
        <v>21042</v>
      </c>
      <c r="AL23" s="259"/>
      <c r="AM23" s="259"/>
      <c r="AN23" s="259"/>
      <c r="AO23" s="258" t="s">
        <v>21043</v>
      </c>
      <c r="AP23" s="259"/>
      <c r="AQ23" s="259"/>
      <c r="AR23" s="259"/>
      <c r="AS23" s="258" t="s">
        <v>21044</v>
      </c>
    </row>
    <row r="24" ht="19.7"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20W/ 20W/ 20W/ 20W</v>
      </c>
      <c r="N24" s="526"/>
      <c r="O24" s="526"/>
      <c r="P24" s="526"/>
      <c r="Q24" s="526"/>
      <c r="R24" s="526"/>
      <c r="S24" s="526"/>
      <c r="T24" s="526"/>
      <c r="U24" s="526"/>
      <c r="V24" s="526"/>
      <c r="W24" s="526"/>
      <c r="X24" s="526"/>
      <c r="Y24" s="526"/>
      <c r="Z24" s="526"/>
      <c r="AA24" s="526"/>
      <c r="AB24" s="526"/>
      <c r="AC24" s="526"/>
      <c r="AD24" s="527"/>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42" t="s">
        <v>21046</v>
      </c>
      <c r="D25" s="542"/>
      <c r="E25" s="542"/>
      <c r="F25" s="542"/>
      <c r="G25" s="542"/>
      <c r="H25" s="542"/>
      <c r="I25" s="542"/>
      <c r="J25" s="542"/>
      <c r="K25" s="542"/>
      <c r="L25" s="542"/>
      <c r="M25" s="525" t="str">
        <f>IF(AG25="900 &amp; 1800","900MHz &amp; 1800MHz",IF(AG25="900 &amp; 2100","900MHz &amp; 2100MHz",IF(AG25="1800 &amp; 2100","1800MHz &amp; 2100MHz",AG25&amp;"MHz")))</f>
        <v>900MHz</v>
      </c>
      <c r="N25" s="526"/>
      <c r="O25" s="526"/>
      <c r="P25" s="526"/>
      <c r="Q25" s="526"/>
      <c r="R25" s="526"/>
      <c r="S25" s="526"/>
      <c r="T25" s="526"/>
      <c r="U25" s="526"/>
      <c r="V25" s="526"/>
      <c r="W25" s="526"/>
      <c r="X25" s="526"/>
      <c r="Y25" s="526"/>
      <c r="Z25" s="526"/>
      <c r="AA25" s="526"/>
      <c r="AB25" s="526"/>
      <c r="AC25" s="526"/>
      <c r="AD25" s="527"/>
      <c r="AE25" s="252"/>
      <c r="AG25" s="219">
        <v>900</v>
      </c>
      <c r="AK25" s="219">
        <v>1800</v>
      </c>
      <c r="AO25" s="219">
        <v>2100</v>
      </c>
      <c r="AS25" s="248" t="s">
        <v>21047</v>
      </c>
    </row>
    <row r="26" ht="33.95" customHeight="1">
      <c r="C26" s="542" t="s">
        <v>21048</v>
      </c>
      <c r="D26" s="542"/>
      <c r="E26" s="542"/>
      <c r="F26" s="542"/>
      <c r="G26" s="542"/>
      <c r="H26" s="542"/>
      <c r="I26" s="542"/>
      <c r="J26" s="542"/>
      <c r="K26" s="542"/>
      <c r="L26" s="542"/>
      <c r="M26" s="525">
        <f>AG26</f>
        <v>15</v>
      </c>
      <c r="N26" s="526"/>
      <c r="O26" s="526"/>
      <c r="P26" s="526"/>
      <c r="Q26" s="526"/>
      <c r="R26" s="526"/>
      <c r="S26" s="526"/>
      <c r="T26" s="526"/>
      <c r="U26" s="526"/>
      <c r="V26" s="526"/>
      <c r="W26" s="526"/>
      <c r="X26" s="526"/>
      <c r="Y26" s="526"/>
      <c r="Z26" s="526"/>
      <c r="AA26" s="526"/>
      <c r="AB26" s="526"/>
      <c r="AC26" s="526"/>
      <c r="AD26" s="527"/>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IF(AI41=0,AN34,IF(AI41=1,AK34,AR34))</f>
        <v>KT. GIÁM ĐỐC</v>
      </c>
      <c r="U34" s="517"/>
      <c r="V34" s="517"/>
      <c r="W34" s="517"/>
      <c r="X34" s="517"/>
      <c r="Y34" s="517"/>
      <c r="Z34" s="517"/>
      <c r="AA34" s="517"/>
      <c r="AB34" s="517"/>
      <c r="AC34" s="517"/>
      <c r="AD34" s="517"/>
      <c r="AE34" s="517"/>
      <c r="AK34" s="219" t="s">
        <v>21054</v>
      </c>
      <c r="AN34" s="219" t="s">
        <v>21055</v>
      </c>
      <c r="AR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IF(AI41=0,AN35,IF(AI41=1,"",AR35))</f>
        <v>PHÓ GIÁM ĐỐC</v>
      </c>
      <c r="U35" s="517"/>
      <c r="V35" s="517"/>
      <c r="W35" s="517"/>
      <c r="X35" s="517"/>
      <c r="Y35" s="517"/>
      <c r="Z35" s="517"/>
      <c r="AA35" s="517"/>
      <c r="AB35" s="517"/>
      <c r="AC35" s="517"/>
      <c r="AD35" s="517"/>
      <c r="AE35" s="517"/>
      <c r="AN35" s="219" t="s">
        <v>21060</v>
      </c>
      <c r="AR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IF(AI41=0,AO41,IF(AI41=1,AK41,AS41))</f>
        <v>Trần Công Khanh</v>
      </c>
      <c r="U41" s="516"/>
      <c r="V41" s="516"/>
      <c r="W41" s="516"/>
      <c r="X41" s="516"/>
      <c r="Y41" s="516"/>
      <c r="Z41" s="516"/>
      <c r="AA41" s="516"/>
      <c r="AB41" s="516"/>
      <c r="AC41" s="516"/>
      <c r="AD41" s="516"/>
      <c r="AE41" s="516"/>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289"/>
    </row>
    <row r="44" ht="16.5" customHeight="1">
      <c r="A44" s="236"/>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289"/>
    </row>
    <row r="45" ht="16.5" customHeight="1">
      <c r="A45" s="236"/>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c r="AE45" s="288"/>
    </row>
    <row r="46" ht="16.5" customHeight="1">
      <c r="A46" s="236"/>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288"/>
    </row>
    <row r="47" ht="16.5" customHeight="1">
      <c r="A47" s="236"/>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288"/>
    </row>
    <row r="48" ht="16.5" customHeight="1">
      <c r="A48" s="236"/>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c r="AE50" s="288"/>
    </row>
    <row r="51" ht="18.75" customHeight="1">
      <c r="A51" s="236"/>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c r="AE51" s="288"/>
    </row>
    <row r="52" ht="18.75" customHeight="1">
      <c r="A52" s="236"/>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c r="AE52" s="288"/>
    </row>
    <row r="53" ht="18.75" customHeight="1">
      <c r="A53" s="236"/>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50W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E54" s="288"/>
      <c r="AG54" s="248"/>
      <c r="AI54" s="248"/>
      <c r="AJ54" s="248"/>
      <c r="AL54" s="258"/>
    </row>
    <row r="55" ht="18.75" customHeight="1">
      <c r="A55" s="236"/>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c r="AE55" s="288"/>
    </row>
    <row r="56" ht="18.75" customHeight="1">
      <c r="A56" s="236"/>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c r="AE56" s="288"/>
    </row>
    <row r="57" ht="18.75" customHeight="1">
      <c r="A57" s="236"/>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E58" s="288"/>
      <c r="AG58" s="248"/>
      <c r="AI58" s="248"/>
      <c r="AJ58" s="248"/>
      <c r="AL58" s="258"/>
    </row>
    <row r="59" ht="18.75" customHeight="1">
      <c r="A59" s="236"/>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c r="AE59" s="288"/>
    </row>
    <row r="60" ht="18.75" customHeight="1">
      <c r="A60" s="236"/>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c r="AE60" s="288"/>
    </row>
    <row r="61" ht="18.75" customHeight="1">
      <c r="A61" s="236"/>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E62" s="288"/>
      <c r="AG62" s="248"/>
      <c r="AI62" s="248"/>
      <c r="AJ62" s="248"/>
      <c r="AL62" s="258"/>
    </row>
    <row r="63" ht="18.75" customHeight="1">
      <c r="A63" s="236"/>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c r="AE63" s="288"/>
    </row>
    <row r="64" ht="18.75" customHeight="1">
      <c r="A64" s="236"/>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c r="AE64" s="288"/>
    </row>
    <row r="65" ht="18.75" customHeight="1">
      <c r="A65" s="236"/>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c r="AE66" s="288"/>
      <c r="AG66" s="248"/>
      <c r="AI66" s="248"/>
      <c r="AJ66" s="248"/>
      <c r="AL66" s="258"/>
    </row>
    <row r="67" ht="18.75" customHeight="1">
      <c r="A67" s="236"/>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c r="AE67" s="288"/>
    </row>
    <row r="68" ht="18.75" customHeight="1">
      <c r="A68" s="236"/>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38.25" customHeight="1">
      <c r="C16" s="559" t="s">
        <v>21027</v>
      </c>
      <c r="D16" s="560"/>
      <c r="E16" s="560"/>
      <c r="F16" s="560"/>
      <c r="G16" s="560"/>
      <c r="H16" s="560"/>
      <c r="I16" s="560"/>
      <c r="J16" s="560"/>
      <c r="K16" s="560"/>
      <c r="L16" s="561"/>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73" t="s">
        <v>21028</v>
      </c>
    </row>
    <row r="17" ht="21" customHeight="1">
      <c r="C17" s="536" t="s">
        <v>21029</v>
      </c>
      <c r="D17" s="537"/>
      <c r="E17" s="537"/>
      <c r="F17" s="537"/>
      <c r="G17" s="537"/>
      <c r="H17" s="537"/>
      <c r="I17" s="537"/>
      <c r="J17" s="537"/>
      <c r="K17" s="537"/>
      <c r="L17" s="538"/>
      <c r="M17" s="529" t="str">
        <f>IF(AG17="","",AG17)</f>
      </c>
      <c r="N17" s="530"/>
      <c r="O17" s="530"/>
      <c r="P17" s="530"/>
      <c r="Q17" s="530"/>
      <c r="R17" s="530"/>
      <c r="S17" s="530"/>
      <c r="T17" s="530"/>
      <c r="U17" s="530"/>
      <c r="V17" s="530"/>
      <c r="W17" s="530"/>
      <c r="X17" s="530"/>
      <c r="Y17" s="530"/>
      <c r="Z17" s="530"/>
      <c r="AA17" s="530"/>
      <c r="AB17" s="530"/>
      <c r="AC17" s="530"/>
      <c r="AD17" s="531"/>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62" t="str">
        <f>AG21</f>
        <v>MOTOROLA HORIZON II MACRO</v>
      </c>
      <c r="N21" s="562"/>
      <c r="O21" s="562"/>
      <c r="P21" s="562"/>
      <c r="Q21" s="562"/>
      <c r="R21" s="562"/>
      <c r="S21" s="562"/>
      <c r="T21" s="562"/>
      <c r="U21" s="562"/>
      <c r="V21" s="562" t="str">
        <f>AK21</f>
        <v>MOTOROLA HORIZON II MACRO</v>
      </c>
      <c r="W21" s="562"/>
      <c r="X21" s="562"/>
      <c r="Y21" s="562"/>
      <c r="Z21" s="562"/>
      <c r="AA21" s="562"/>
      <c r="AB21" s="562"/>
      <c r="AC21" s="562"/>
      <c r="AD21" s="562"/>
      <c r="AE21" s="252"/>
      <c r="AG21" s="248" t="s">
        <v>21272</v>
      </c>
      <c r="AK21" s="248" t="s">
        <v>21272</v>
      </c>
      <c r="AO21" s="248" t="s">
        <v>21037</v>
      </c>
      <c r="AS21" s="248" t="s">
        <v>21038</v>
      </c>
    </row>
    <row r="22" ht="19.7" customHeight="1">
      <c r="C22" s="551" t="s">
        <v>21039</v>
      </c>
      <c r="D22" s="552"/>
      <c r="E22" s="552"/>
      <c r="F22" s="552"/>
      <c r="G22" s="552"/>
      <c r="H22" s="552"/>
      <c r="I22" s="552"/>
      <c r="J22" s="552"/>
      <c r="K22" s="552"/>
      <c r="L22" s="553"/>
      <c r="M22" s="525">
        <f>AG22</f>
        <v>3</v>
      </c>
      <c r="N22" s="526"/>
      <c r="O22" s="526"/>
      <c r="P22" s="526"/>
      <c r="Q22" s="526"/>
      <c r="R22" s="526"/>
      <c r="S22" s="526"/>
      <c r="T22" s="526"/>
      <c r="U22" s="527"/>
      <c r="V22" s="525">
        <f>AK22</f>
        <v>3</v>
      </c>
      <c r="W22" s="526"/>
      <c r="X22" s="526"/>
      <c r="Y22" s="526"/>
      <c r="Z22" s="526"/>
      <c r="AA22" s="526"/>
      <c r="AB22" s="526"/>
      <c r="AC22" s="526"/>
      <c r="AD22" s="527"/>
      <c r="AE22" s="252"/>
      <c r="AG22" s="253">
        <v>3</v>
      </c>
      <c r="AH22" s="253"/>
      <c r="AI22" s="253"/>
      <c r="AJ22" s="253"/>
      <c r="AK22" s="253">
        <v>3</v>
      </c>
      <c r="AL22" s="253"/>
      <c r="AM22" s="253"/>
      <c r="AN22" s="253"/>
      <c r="AO22" s="253">
        <v>3</v>
      </c>
      <c r="AS22" s="219">
        <v>1</v>
      </c>
    </row>
    <row r="23" ht="19.7" customHeight="1">
      <c r="C23" s="542" t="s">
        <v>21040</v>
      </c>
      <c r="D23" s="542"/>
      <c r="E23" s="542"/>
      <c r="F23" s="542"/>
      <c r="G23" s="542"/>
      <c r="H23" s="542"/>
      <c r="I23" s="542"/>
      <c r="J23" s="542"/>
      <c r="K23" s="542"/>
      <c r="L23" s="542"/>
      <c r="M23" s="563" t="str">
        <f>AG23</f>
        <v>4/4/4</v>
      </c>
      <c r="N23" s="562"/>
      <c r="O23" s="562"/>
      <c r="P23" s="562"/>
      <c r="Q23" s="562"/>
      <c r="R23" s="562"/>
      <c r="S23" s="562"/>
      <c r="T23" s="562"/>
      <c r="U23" s="562"/>
      <c r="V23" s="546" t="str">
        <f>AK23</f>
        <v>2/2/2</v>
      </c>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8.75"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100,45W/ 100,45W/ 100,45W</v>
      </c>
      <c r="N24" s="526"/>
      <c r="O24" s="526"/>
      <c r="P24" s="526"/>
      <c r="Q24" s="526"/>
      <c r="R24" s="526"/>
      <c r="S24" s="526"/>
      <c r="T24" s="526"/>
      <c r="U24" s="527"/>
      <c r="V24" s="525" t="str">
        <f>IF(V22=4,AK24&amp;"W/ "&amp;AL24&amp;"W/ "&amp;AM24&amp;"W/ "&amp;AN24&amp;"W",IF(V22=3,AK24&amp;"W/ "&amp;AL24&amp;"W/ "&amp;AM24&amp;"W",IF(V22=2,AK24&amp;"W/"&amp;AL24&amp;"W",AK24&amp;"W")))</f>
        <v>40W/ 40W/ 40W</v>
      </c>
      <c r="W24" s="526"/>
      <c r="X24" s="526"/>
      <c r="Y24" s="526"/>
      <c r="Z24" s="526"/>
      <c r="AA24" s="526"/>
      <c r="AB24" s="526"/>
      <c r="AC24" s="526"/>
      <c r="AD24" s="527"/>
      <c r="AE24" s="255"/>
      <c r="AG24" s="219" t="s">
        <v>21273</v>
      </c>
      <c r="AH24" s="219" t="s">
        <v>21273</v>
      </c>
      <c r="AI24" s="219" t="s">
        <v>21273</v>
      </c>
      <c r="AJ24" s="219" t="s">
        <v>21273</v>
      </c>
      <c r="AK24" s="219">
        <v>40</v>
      </c>
      <c r="AL24" s="219">
        <v>40</v>
      </c>
      <c r="AM24" s="219">
        <v>40</v>
      </c>
      <c r="AN24" s="219">
        <v>40</v>
      </c>
      <c r="AO24" s="219">
        <v>60</v>
      </c>
      <c r="AP24" s="219">
        <v>60</v>
      </c>
      <c r="AQ24" s="219">
        <v>60</v>
      </c>
      <c r="AS24" s="219">
        <v>80</v>
      </c>
      <c r="AT24" s="219">
        <v>80</v>
      </c>
      <c r="AU24" s="219">
        <v>80</v>
      </c>
    </row>
    <row r="25" ht="19.7" customHeight="1">
      <c r="C25" s="542" t="s">
        <v>21046</v>
      </c>
      <c r="D25" s="542"/>
      <c r="E25" s="542"/>
      <c r="F25" s="542"/>
      <c r="G25" s="542"/>
      <c r="H25" s="542"/>
      <c r="I25" s="542"/>
      <c r="J25" s="542"/>
      <c r="K25" s="542"/>
      <c r="L25" s="542"/>
      <c r="M25" s="562" t="str">
        <f>IF(AG25="900 &amp; 1800","900MHz &amp; 1800MHz",IF(AG25="900 &amp; 2100","900MHz &amp; 2100MHz",IF(AG25="1800 &amp; 2100","1800MHz &amp; 2100MHz",AG25&amp;"MHz")))</f>
        <v>1800MHz</v>
      </c>
      <c r="N25" s="562"/>
      <c r="O25" s="562"/>
      <c r="P25" s="562"/>
      <c r="Q25" s="562"/>
      <c r="R25" s="562"/>
      <c r="S25" s="562"/>
      <c r="T25" s="562"/>
      <c r="U25" s="562"/>
      <c r="V25" s="562" t="str">
        <f>IF(AK25="900 &amp; 1800","900MHz &amp; 1800MHz",IF(AK25="900 &amp; 2100","900MHz &amp; 2100MHz",AK25&amp;"MHz"))</f>
        <v>1800MHz</v>
      </c>
      <c r="W25" s="562"/>
      <c r="X25" s="562"/>
      <c r="Y25" s="562"/>
      <c r="Z25" s="562"/>
      <c r="AA25" s="562"/>
      <c r="AB25" s="562"/>
      <c r="AC25" s="562"/>
      <c r="AD25" s="562"/>
      <c r="AE25" s="252"/>
      <c r="AG25" s="219">
        <v>1800</v>
      </c>
      <c r="AK25" s="219">
        <v>1800</v>
      </c>
      <c r="AO25" s="219">
        <v>2100</v>
      </c>
      <c r="AS25" s="248" t="s">
        <v>21274</v>
      </c>
    </row>
    <row r="26" ht="33.95" customHeight="1">
      <c r="C26" s="542" t="s">
        <v>21275</v>
      </c>
      <c r="D26" s="542"/>
      <c r="E26" s="542"/>
      <c r="F26" s="542"/>
      <c r="G26" s="542"/>
      <c r="H26" s="542"/>
      <c r="I26" s="542"/>
      <c r="J26" s="542"/>
      <c r="K26" s="542"/>
      <c r="L26" s="542"/>
      <c r="M26" s="562">
        <f>AG26</f>
        <v>15</v>
      </c>
      <c r="N26" s="562"/>
      <c r="O26" s="562"/>
      <c r="P26" s="562"/>
      <c r="Q26" s="562"/>
      <c r="R26" s="562"/>
      <c r="S26" s="562"/>
      <c r="T26" s="562"/>
      <c r="U26" s="562"/>
      <c r="V26" s="562">
        <f>AK26</f>
        <v>16</v>
      </c>
      <c r="W26" s="562"/>
      <c r="X26" s="562"/>
      <c r="Y26" s="562"/>
      <c r="Z26" s="562"/>
      <c r="AA26" s="562"/>
      <c r="AB26" s="562"/>
      <c r="AC26" s="562"/>
      <c r="AD26" s="562"/>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900MHz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7" t="s">
        <v>21023</v>
      </c>
      <c r="D15" s="588"/>
      <c r="E15" s="588"/>
      <c r="F15" s="588"/>
      <c r="G15" s="588"/>
      <c r="H15" s="588"/>
      <c r="I15" s="588"/>
      <c r="J15" s="588"/>
      <c r="K15" s="588"/>
      <c r="L15" s="588"/>
      <c r="M15" s="588"/>
      <c r="N15" s="588"/>
      <c r="O15" s="588"/>
      <c r="P15" s="588"/>
      <c r="Q15" s="588"/>
      <c r="R15" s="588"/>
      <c r="S15" s="588"/>
      <c r="T15" s="588"/>
      <c r="U15" s="588"/>
      <c r="V15" s="588"/>
      <c r="W15" s="588"/>
      <c r="X15" s="588"/>
      <c r="Y15" s="588"/>
      <c r="Z15" s="588"/>
      <c r="AA15" s="588"/>
      <c r="AB15" s="588"/>
      <c r="AC15" s="588"/>
      <c r="AD15" s="589"/>
      <c r="AE15" s="252"/>
      <c r="AG15" s="253">
        <v>1</v>
      </c>
      <c r="AH15" s="253"/>
      <c r="AI15" s="253"/>
      <c r="AJ15" s="253"/>
      <c r="AK15" s="253">
        <v>2</v>
      </c>
      <c r="AL15" s="253"/>
      <c r="AM15" s="253"/>
      <c r="AN15" s="253"/>
      <c r="AO15" s="253">
        <v>3</v>
      </c>
      <c r="AS15" s="219">
        <v>4</v>
      </c>
    </row>
    <row r="16" ht="36" customHeight="1">
      <c r="C16" s="579" t="s">
        <v>21027</v>
      </c>
      <c r="D16" s="580"/>
      <c r="E16" s="580"/>
      <c r="F16" s="580"/>
      <c r="G16" s="580"/>
      <c r="H16" s="580"/>
      <c r="I16" s="580"/>
      <c r="J16" s="580"/>
      <c r="K16" s="580"/>
      <c r="L16" s="581"/>
      <c r="M16" s="582" t="str">
        <f>AG16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4"/>
      <c r="AE16" s="252"/>
      <c r="AG16" s="564" t="s">
        <v>21028</v>
      </c>
      <c r="AH16" s="564"/>
      <c r="AI16" s="564"/>
      <c r="AJ16" s="564"/>
      <c r="AK16" s="564"/>
      <c r="AL16" s="564"/>
      <c r="AM16" s="564"/>
      <c r="AN16" s="564"/>
      <c r="AO16" s="564"/>
      <c r="AP16" s="564"/>
      <c r="AQ16" s="564"/>
      <c r="AR16" s="564"/>
      <c r="AS16" s="564"/>
      <c r="AT16" s="564"/>
      <c r="AU16" s="564"/>
      <c r="AV16" s="564"/>
      <c r="AW16" s="564"/>
    </row>
    <row r="17" ht="23.25" customHeight="1">
      <c r="C17" s="579" t="s">
        <v>21029</v>
      </c>
      <c r="D17" s="580"/>
      <c r="E17" s="580"/>
      <c r="F17" s="580"/>
      <c r="G17" s="580"/>
      <c r="H17" s="580"/>
      <c r="I17" s="580"/>
      <c r="J17" s="580"/>
      <c r="K17" s="580"/>
      <c r="L17" s="581"/>
      <c r="M17" s="587" t="str">
        <f>IF(AG17="","",AG17)</f>
      </c>
      <c r="N17" s="588"/>
      <c r="O17" s="588"/>
      <c r="P17" s="588"/>
      <c r="Q17" s="588"/>
      <c r="R17" s="588"/>
      <c r="S17" s="588"/>
      <c r="T17" s="588"/>
      <c r="U17" s="588"/>
      <c r="V17" s="588"/>
      <c r="W17" s="588"/>
      <c r="X17" s="588"/>
      <c r="Y17" s="588"/>
      <c r="Z17" s="588"/>
      <c r="AA17" s="588"/>
      <c r="AB17" s="588"/>
      <c r="AC17" s="588"/>
      <c r="AD17" s="589"/>
      <c r="AE17" s="252"/>
    </row>
    <row r="18" ht="31.35" customHeight="1">
      <c r="C18" s="570" t="s">
        <v>21030</v>
      </c>
      <c r="D18" s="571"/>
      <c r="E18" s="571"/>
      <c r="F18" s="571"/>
      <c r="G18" s="571"/>
      <c r="H18" s="571"/>
      <c r="I18" s="571"/>
      <c r="J18" s="571"/>
      <c r="K18" s="571"/>
      <c r="L18" s="572"/>
      <c r="M18" s="573" t="str">
        <f>AG18</f>
        <v>CÔNG TY CỔ PHẦN VIỄN THÔNG DI ĐỘNG TOÀN CẦU
GTEL</v>
      </c>
      <c r="N18" s="574"/>
      <c r="O18" s="574"/>
      <c r="P18" s="574"/>
      <c r="Q18" s="574"/>
      <c r="R18" s="574"/>
      <c r="S18" s="574"/>
      <c r="T18" s="574"/>
      <c r="U18" s="574"/>
      <c r="V18" s="574"/>
      <c r="W18" s="574"/>
      <c r="X18" s="574"/>
      <c r="Y18" s="574"/>
      <c r="Z18" s="574"/>
      <c r="AA18" s="574"/>
      <c r="AB18" s="574"/>
      <c r="AC18" s="574"/>
      <c r="AD18" s="575"/>
      <c r="AE18" s="252"/>
      <c r="AG18" s="274" t="s">
        <v>21280</v>
      </c>
    </row>
    <row r="19" ht="31.35" customHeight="1">
      <c r="C19" s="570" t="s">
        <v>21032</v>
      </c>
      <c r="D19" s="571"/>
      <c r="E19" s="571"/>
      <c r="F19" s="571"/>
      <c r="G19" s="571"/>
      <c r="H19" s="571"/>
      <c r="I19" s="571"/>
      <c r="J19" s="571"/>
      <c r="K19" s="571"/>
      <c r="L19" s="572"/>
      <c r="M19" s="573" t="str">
        <f>AG19</f>
        <v>CÔNG TY CỔ PHẦN VIỄN THÔNG DI ĐỘNG TOÀN CẦU</v>
      </c>
      <c r="N19" s="574"/>
      <c r="O19" s="574"/>
      <c r="P19" s="574"/>
      <c r="Q19" s="574"/>
      <c r="R19" s="574"/>
      <c r="S19" s="574"/>
      <c r="T19" s="574"/>
      <c r="U19" s="574"/>
      <c r="V19" s="574"/>
      <c r="W19" s="574"/>
      <c r="X19" s="574"/>
      <c r="Y19" s="574"/>
      <c r="Z19" s="574"/>
      <c r="AA19" s="574"/>
      <c r="AB19" s="574"/>
      <c r="AC19" s="574"/>
      <c r="AD19" s="575"/>
      <c r="AE19" s="255"/>
      <c r="AG19" s="248" t="s">
        <v>21031</v>
      </c>
    </row>
    <row r="20" ht="20.2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8"/>
      <c r="AE20" s="256"/>
    </row>
    <row r="21" ht="31.5" customHeight="1">
      <c r="C21" s="569" t="s">
        <v>21034</v>
      </c>
      <c r="D21" s="569"/>
      <c r="E21" s="569"/>
      <c r="F21" s="569"/>
      <c r="G21" s="569"/>
      <c r="H21" s="569"/>
      <c r="I21" s="569"/>
      <c r="J21" s="569"/>
      <c r="K21" s="569"/>
      <c r="L21" s="569"/>
      <c r="M21" s="565" t="str">
        <f>AG21</f>
        <v>MOTOROLA HORIZON II MACRO</v>
      </c>
      <c r="N21" s="565"/>
      <c r="O21" s="565"/>
      <c r="P21" s="565"/>
      <c r="Q21" s="565"/>
      <c r="R21" s="565"/>
      <c r="S21" s="565" t="str">
        <f>AK21</f>
        <v>B</v>
      </c>
      <c r="T21" s="565"/>
      <c r="U21" s="565"/>
      <c r="V21" s="565"/>
      <c r="W21" s="565"/>
      <c r="X21" s="565"/>
      <c r="Y21" s="565" t="str">
        <f>AO21</f>
        <v>C</v>
      </c>
      <c r="Z21" s="565"/>
      <c r="AA21" s="565"/>
      <c r="AB21" s="565"/>
      <c r="AC21" s="565"/>
      <c r="AD21" s="565"/>
      <c r="AE21" s="252"/>
      <c r="AG21" s="248" t="s">
        <v>21272</v>
      </c>
      <c r="AK21" s="248" t="s">
        <v>21036</v>
      </c>
      <c r="AO21" s="248" t="s">
        <v>21037</v>
      </c>
      <c r="AS21" s="248" t="s">
        <v>21038</v>
      </c>
    </row>
    <row r="22" ht="19.7" customHeight="1">
      <c r="C22" s="566" t="s">
        <v>21039</v>
      </c>
      <c r="D22" s="567"/>
      <c r="E22" s="567"/>
      <c r="F22" s="567"/>
      <c r="G22" s="567"/>
      <c r="H22" s="567"/>
      <c r="I22" s="567"/>
      <c r="J22" s="567"/>
      <c r="K22" s="567"/>
      <c r="L22" s="568"/>
      <c r="M22" s="565">
        <f>AG22</f>
        <v>3</v>
      </c>
      <c r="N22" s="565"/>
      <c r="O22" s="565"/>
      <c r="P22" s="565"/>
      <c r="Q22" s="565"/>
      <c r="R22" s="565"/>
      <c r="S22" s="565">
        <f>AK22</f>
        <v>3</v>
      </c>
      <c r="T22" s="565"/>
      <c r="U22" s="565"/>
      <c r="V22" s="565"/>
      <c r="W22" s="565"/>
      <c r="X22" s="565"/>
      <c r="Y22" s="565">
        <f>AO22</f>
        <v>3</v>
      </c>
      <c r="Z22" s="565"/>
      <c r="AA22" s="565"/>
      <c r="AB22" s="565"/>
      <c r="AC22" s="565"/>
      <c r="AD22" s="565"/>
      <c r="AE22" s="252"/>
      <c r="AG22" s="253">
        <v>3</v>
      </c>
      <c r="AH22" s="253"/>
      <c r="AI22" s="253"/>
      <c r="AJ22" s="253"/>
      <c r="AK22" s="253">
        <v>3</v>
      </c>
      <c r="AL22" s="253"/>
      <c r="AM22" s="253"/>
      <c r="AN22" s="253"/>
      <c r="AO22" s="253">
        <v>3</v>
      </c>
      <c r="AS22" s="219">
        <v>1</v>
      </c>
    </row>
    <row r="23" ht="19.7" customHeight="1">
      <c r="C23" s="569" t="s">
        <v>21040</v>
      </c>
      <c r="D23" s="569"/>
      <c r="E23" s="569"/>
      <c r="F23" s="569"/>
      <c r="G23" s="569"/>
      <c r="H23" s="569"/>
      <c r="I23" s="569"/>
      <c r="J23" s="569"/>
      <c r="K23" s="569"/>
      <c r="L23" s="569"/>
      <c r="M23" s="585" t="str">
        <f>AG23</f>
        <v>4/4/4</v>
      </c>
      <c r="N23" s="585"/>
      <c r="O23" s="585"/>
      <c r="P23" s="585"/>
      <c r="Q23" s="585"/>
      <c r="R23" s="585"/>
      <c r="S23" s="585" t="str">
        <f>AK23</f>
        <v>2/2/2</v>
      </c>
      <c r="T23" s="585"/>
      <c r="U23" s="585"/>
      <c r="V23" s="585"/>
      <c r="W23" s="585"/>
      <c r="X23" s="585"/>
      <c r="Y23" s="585" t="str">
        <f>AO23</f>
        <v>5/5/5</v>
      </c>
      <c r="Z23" s="565"/>
      <c r="AA23" s="565"/>
      <c r="AB23" s="565"/>
      <c r="AC23" s="565"/>
      <c r="AD23" s="565"/>
      <c r="AE23" s="257"/>
      <c r="AG23" s="258" t="s">
        <v>21041</v>
      </c>
      <c r="AH23" s="259"/>
      <c r="AI23" s="259"/>
      <c r="AJ23" s="259"/>
      <c r="AK23" s="258" t="s">
        <v>21042</v>
      </c>
      <c r="AL23" s="259"/>
      <c r="AM23" s="259"/>
      <c r="AN23" s="259"/>
      <c r="AO23" s="258" t="s">
        <v>21043</v>
      </c>
      <c r="AP23" s="259"/>
      <c r="AQ23" s="259"/>
      <c r="AR23" s="259"/>
      <c r="AS23" s="258" t="s">
        <v>21044</v>
      </c>
    </row>
    <row r="24" ht="31.35" customHeight="1">
      <c r="C24" s="566" t="s">
        <v>21045</v>
      </c>
      <c r="D24" s="567"/>
      <c r="E24" s="567"/>
      <c r="F24" s="567"/>
      <c r="G24" s="567"/>
      <c r="H24" s="567"/>
      <c r="I24" s="567"/>
      <c r="J24" s="567"/>
      <c r="K24" s="567"/>
      <c r="L24" s="568"/>
      <c r="M24" s="586" t="str">
        <f>IF(M22=4,AG24&amp;"W/ "&amp;AH24&amp;"W/ "&amp;AI24&amp;"W/ "&amp;AK24&amp;"W",IF(M22=3,AG24&amp;"W/ "&amp;AH24&amp;"W/ "&amp;AI24&amp;"W",IF(M22=2,AG24&amp;"W/ "&amp;AH24&amp;"W",AG24&amp;"W")))</f>
        <v>20W/ 20W/ 20W</v>
      </c>
      <c r="N24" s="586"/>
      <c r="O24" s="586"/>
      <c r="P24" s="586"/>
      <c r="Q24" s="586"/>
      <c r="R24" s="586"/>
      <c r="S24" s="586" t="str">
        <f>IF(S22=4,AK24&amp;"W/ "&amp;AL24&amp;"W/ "&amp;AM24&amp;"W/ "&amp;AN24&amp;"W",IF(S22=3,AK24&amp;"W/ "&amp;AL24&amp;"W/ "&amp;AM24&amp;"W",IF(S22=2,AK24&amp;"W/ "&amp;AL24&amp;"W",AK24&amp;"W")))</f>
        <v>40W/ 40W/ 40W</v>
      </c>
      <c r="T24" s="586"/>
      <c r="U24" s="586"/>
      <c r="V24" s="586"/>
      <c r="W24" s="586"/>
      <c r="X24" s="586"/>
      <c r="Y24" s="586" t="str">
        <f>IF(Y22=4,AO24&amp;"W/ "&amp;AP24&amp;"W/ "&amp;AQ24&amp;"W/ "&amp;AR24&amp;"W",IF(Y22=3,AO24&amp;"W/ "&amp;AP24&amp;"W/ "&amp;AQ24&amp;"W",IF(Y22=2,AO24&amp;"W/ "&amp;AP24&amp;"W",AO24&amp;"W")))</f>
        <v>60W/ 60W/ 60W</v>
      </c>
      <c r="Z24" s="586"/>
      <c r="AA24" s="586"/>
      <c r="AB24" s="586"/>
      <c r="AC24" s="586"/>
      <c r="AD24" s="586"/>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9" t="s">
        <v>21046</v>
      </c>
      <c r="D25" s="569"/>
      <c r="E25" s="569"/>
      <c r="F25" s="569"/>
      <c r="G25" s="569"/>
      <c r="H25" s="569"/>
      <c r="I25" s="569"/>
      <c r="J25" s="569"/>
      <c r="K25" s="569"/>
      <c r="L25" s="569"/>
      <c r="M25" s="565" t="str">
        <f>IF(AG25="900 &amp; 1800","900MHz &amp; 1800MHz",IF(AG25="900 &amp; 2100","900MHz &amp; 2100MHz",AG25&amp;"MHz"))</f>
        <v>900MHz</v>
      </c>
      <c r="N25" s="565"/>
      <c r="O25" s="565"/>
      <c r="P25" s="565"/>
      <c r="Q25" s="565"/>
      <c r="R25" s="565"/>
      <c r="S25" s="565" t="str">
        <f>IF(AK25="900 &amp; 1800","900MHz &amp; 1800MHz",IF(AK25="900 &amp; 2100","900MHz &amp; 2100MHz",AK25&amp;"MHz"))</f>
        <v>1800MHz</v>
      </c>
      <c r="T25" s="565"/>
      <c r="U25" s="565"/>
      <c r="V25" s="565"/>
      <c r="W25" s="565"/>
      <c r="X25" s="565"/>
      <c r="Y25" s="565" t="str">
        <f>IF(AO25="900 &amp; 1800","900MHz &amp; 1800MHz",IF(AO25="900 &amp; 2100","900MHz &amp; 2100MHz",AO25&amp;"MHz"))</f>
        <v>2100MHz</v>
      </c>
      <c r="Z25" s="565"/>
      <c r="AA25" s="565"/>
      <c r="AB25" s="565"/>
      <c r="AC25" s="565"/>
      <c r="AD25" s="565"/>
      <c r="AE25" s="252"/>
      <c r="AG25" s="219">
        <v>900</v>
      </c>
      <c r="AK25" s="219">
        <v>1800</v>
      </c>
      <c r="AO25" s="219">
        <v>2100</v>
      </c>
      <c r="AS25" s="248" t="s">
        <v>21274</v>
      </c>
    </row>
    <row r="26" ht="31.35" customHeight="1">
      <c r="C26" s="569" t="s">
        <v>21281</v>
      </c>
      <c r="D26" s="569"/>
      <c r="E26" s="569"/>
      <c r="F26" s="569"/>
      <c r="G26" s="569"/>
      <c r="H26" s="569"/>
      <c r="I26" s="569"/>
      <c r="J26" s="569"/>
      <c r="K26" s="569"/>
      <c r="L26" s="569"/>
      <c r="M26" s="565">
        <f>AG26</f>
        <v>15</v>
      </c>
      <c r="N26" s="565"/>
      <c r="O26" s="565"/>
      <c r="P26" s="565"/>
      <c r="Q26" s="565"/>
      <c r="R26" s="565"/>
      <c r="S26" s="565">
        <f>AK26</f>
        <v>16</v>
      </c>
      <c r="T26" s="565"/>
      <c r="U26" s="565"/>
      <c r="V26" s="565"/>
      <c r="W26" s="565"/>
      <c r="X26" s="565"/>
      <c r="Y26" s="565">
        <f>AO26</f>
        <v>17</v>
      </c>
      <c r="Z26" s="565"/>
      <c r="AA26" s="565"/>
      <c r="AB26" s="565"/>
      <c r="AC26" s="565"/>
      <c r="AD26" s="565"/>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5.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5.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4" t="str">
        <f>IF(AG31=1,AO31,IF(AG31=2,AO30))</f>
        <v>Giới hạn an toàn: là khoảng chiều cao trên cột anten tính từ điểm có độ cao 20m so với mặt đất trở lên.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5.7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75"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3</v>
      </c>
      <c r="M49" s="515"/>
      <c r="N49" s="556" t="str">
        <f>AL49</f>
        <v>4/4/4</v>
      </c>
      <c r="O49" s="556"/>
      <c r="P49" s="556"/>
      <c r="Q49" s="513" t="str">
        <f>IF(L49=3,AO49&amp;"W/ "&amp;AP49&amp;"W/ "&amp;AQ49&amp;"W",IF(L49=2,AO49&amp;"W/ "&amp;AP49&amp;"W",AO49&amp;"W"))</f>
        <v>20W/ 30W/ 40W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2</v>
      </c>
      <c r="M53" s="515"/>
      <c r="N53" s="556" t="str">
        <f>AL53</f>
        <v>4/4/4</v>
      </c>
      <c r="O53" s="556"/>
      <c r="P53" s="556"/>
      <c r="Q53" s="513" t="str">
        <f>IF(L53=3,AO53&amp;"W/ "&amp;AP53&amp;"W/ "&amp;AQ53&amp;"W",IF(L53=2,AO53&amp;"W/ "&amp;AP53&amp;"W",AO53&amp;"W"))</f>
        <v>20W/ 30W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2</v>
      </c>
      <c r="M57" s="515"/>
      <c r="N57" s="556" t="str">
        <f>AL57</f>
        <v>4/4/4</v>
      </c>
      <c r="O57" s="556"/>
      <c r="P57" s="556"/>
      <c r="Q57" s="513" t="str">
        <f>IF(L57=3,AO57&amp;"W/ "&amp;AP57&amp;"W/ "&amp;AQ57&amp;"W",IF(L57=2,AO57&amp;"W/ "&amp;AP57&amp;"W",AO57&amp;"W"))</f>
        <v>20W/ 30W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3</v>
      </c>
      <c r="M61" s="515"/>
      <c r="N61" s="556" t="str">
        <f>AL61</f>
        <v>4/4/4</v>
      </c>
      <c r="O61" s="556"/>
      <c r="P61" s="556"/>
      <c r="Q61" s="513" t="str">
        <f>IF(L61=3,AO61&amp;"W/ "&amp;AP61&amp;"W/ "&amp;AQ61&amp;"W",IF(L61=2,AO61&amp;"W/ "&amp;AP61&amp;"W",AO61&amp;"W"))</f>
        <v>20W/ 30W/ 40W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5" t="s">
        <v>21018</v>
      </c>
      <c r="C1" s="535"/>
      <c r="D1" s="535"/>
      <c r="E1" s="535"/>
      <c r="F1" s="535"/>
      <c r="G1" s="535"/>
      <c r="H1" s="535"/>
      <c r="I1" s="535"/>
      <c r="J1" s="535"/>
      <c r="K1" s="535"/>
      <c r="L1" s="535"/>
      <c r="M1" s="535"/>
      <c r="N1" s="535"/>
      <c r="O1" s="247"/>
      <c r="P1" s="516" t="s">
        <v>21276</v>
      </c>
      <c r="Q1" s="516"/>
      <c r="R1" s="516"/>
      <c r="S1" s="516"/>
      <c r="T1" s="516"/>
      <c r="U1" s="516"/>
      <c r="V1" s="516"/>
      <c r="W1" s="516"/>
      <c r="X1" s="516"/>
      <c r="Y1" s="516"/>
      <c r="Z1" s="516"/>
      <c r="AA1" s="516"/>
      <c r="AB1" s="516"/>
      <c r="AC1" s="516"/>
      <c r="AD1" s="516"/>
      <c r="AE1" s="516"/>
    </row>
    <row r="2" ht="19.7" customHeight="1">
      <c r="C2" s="535" t="s">
        <v>21020</v>
      </c>
      <c r="D2" s="535"/>
      <c r="E2" s="535"/>
      <c r="F2" s="535"/>
      <c r="G2" s="535"/>
      <c r="H2" s="535"/>
      <c r="I2" s="535"/>
      <c r="J2" s="535"/>
      <c r="K2" s="535"/>
      <c r="L2" s="535"/>
      <c r="M2" s="535"/>
      <c r="N2" s="270"/>
      <c r="O2" s="247"/>
      <c r="P2" s="535" t="s">
        <v>21277</v>
      </c>
      <c r="Q2" s="535"/>
      <c r="R2" s="535"/>
      <c r="S2" s="535"/>
      <c r="T2" s="535"/>
      <c r="U2" s="535"/>
      <c r="V2" s="535"/>
      <c r="W2" s="535"/>
      <c r="X2" s="535"/>
      <c r="Y2" s="535"/>
      <c r="Z2" s="535"/>
      <c r="AA2" s="535"/>
      <c r="AB2" s="535"/>
      <c r="AC2" s="535"/>
      <c r="AD2" s="535"/>
      <c r="AE2" s="535"/>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c r="AE7" s="528"/>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5" t="str">
        <f>"Số: "&amp;AI9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E9" s="535"/>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c r="AE12" s="528"/>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6" t="s">
        <v>21023</v>
      </c>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c r="AC15" s="586"/>
      <c r="AD15" s="586"/>
      <c r="AE15" s="586"/>
      <c r="AF15" s="586"/>
      <c r="AG15" s="278"/>
      <c r="AH15" s="278"/>
      <c r="AI15" s="253">
        <v>1</v>
      </c>
      <c r="AJ15" s="253"/>
      <c r="AK15" s="253"/>
      <c r="AL15" s="253"/>
      <c r="AM15" s="253">
        <v>2</v>
      </c>
      <c r="AN15" s="253"/>
      <c r="AO15" s="253"/>
      <c r="AP15" s="253"/>
      <c r="AQ15" s="253">
        <v>3</v>
      </c>
      <c r="AU15" s="219">
        <v>4</v>
      </c>
    </row>
    <row r="16" ht="38.25" customHeight="1">
      <c r="C16" s="579" t="s">
        <v>21027</v>
      </c>
      <c r="D16" s="580"/>
      <c r="E16" s="580"/>
      <c r="F16" s="580"/>
      <c r="G16" s="580"/>
      <c r="H16" s="580"/>
      <c r="I16" s="580"/>
      <c r="J16" s="580"/>
      <c r="K16" s="580"/>
      <c r="L16" s="581"/>
      <c r="M16" s="582" t="str">
        <f>AI16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3"/>
      <c r="AE16" s="583"/>
      <c r="AF16" s="584"/>
      <c r="AG16" s="279"/>
      <c r="AH16" s="279"/>
      <c r="AI16" s="273" t="s">
        <v>21028</v>
      </c>
    </row>
    <row r="17" ht="22.5" customHeight="1">
      <c r="C17" s="594" t="s">
        <v>21029</v>
      </c>
      <c r="D17" s="595"/>
      <c r="E17" s="595"/>
      <c r="F17" s="595"/>
      <c r="G17" s="595"/>
      <c r="H17" s="595"/>
      <c r="I17" s="595"/>
      <c r="J17" s="595"/>
      <c r="K17" s="595"/>
      <c r="L17" s="596"/>
      <c r="M17" s="573" t="str">
        <f>IF(AG17="","",AG17)</f>
      </c>
      <c r="N17" s="574"/>
      <c r="O17" s="574"/>
      <c r="P17" s="574"/>
      <c r="Q17" s="574"/>
      <c r="R17" s="574"/>
      <c r="S17" s="574"/>
      <c r="T17" s="574"/>
      <c r="U17" s="574"/>
      <c r="V17" s="574"/>
      <c r="W17" s="574"/>
      <c r="X17" s="574"/>
      <c r="Y17" s="574"/>
      <c r="Z17" s="574"/>
      <c r="AA17" s="574"/>
      <c r="AB17" s="574"/>
      <c r="AC17" s="574"/>
      <c r="AD17" s="574"/>
      <c r="AE17" s="574"/>
      <c r="AF17" s="575"/>
      <c r="AG17" s="279"/>
      <c r="AH17" s="279"/>
    </row>
    <row r="18" ht="31.35" customHeight="1">
      <c r="C18" s="592" t="s">
        <v>21030</v>
      </c>
      <c r="D18" s="593"/>
      <c r="E18" s="593"/>
      <c r="F18" s="593"/>
      <c r="G18" s="593"/>
      <c r="H18" s="593"/>
      <c r="I18" s="593"/>
      <c r="J18" s="593"/>
      <c r="K18" s="593"/>
      <c r="L18" s="593"/>
      <c r="M18" s="565" t="str">
        <f>AI18</f>
        <v>CÔNG TY CỔ PHẦN VIỄN THÔNG DI ĐỘNG TOÀN CẦU</v>
      </c>
      <c r="N18" s="565"/>
      <c r="O18" s="565"/>
      <c r="P18" s="565"/>
      <c r="Q18" s="565"/>
      <c r="R18" s="565"/>
      <c r="S18" s="565"/>
      <c r="T18" s="565"/>
      <c r="U18" s="565"/>
      <c r="V18" s="565"/>
      <c r="W18" s="565"/>
      <c r="X18" s="565"/>
      <c r="Y18" s="565"/>
      <c r="Z18" s="565"/>
      <c r="AA18" s="565"/>
      <c r="AB18" s="565"/>
      <c r="AC18" s="565"/>
      <c r="AD18" s="565"/>
      <c r="AE18" s="565"/>
      <c r="AF18" s="565"/>
      <c r="AG18" s="279"/>
      <c r="AH18" s="279"/>
      <c r="AI18" s="248" t="s">
        <v>21031</v>
      </c>
    </row>
    <row r="19" ht="31.35" customHeight="1">
      <c r="C19" s="592" t="s">
        <v>21032</v>
      </c>
      <c r="D19" s="593"/>
      <c r="E19" s="593"/>
      <c r="F19" s="593"/>
      <c r="G19" s="593"/>
      <c r="H19" s="593"/>
      <c r="I19" s="593"/>
      <c r="J19" s="593"/>
      <c r="K19" s="593"/>
      <c r="L19" s="593"/>
      <c r="M19" s="565" t="str">
        <f>AI19</f>
        <v>CÔNG TY CỔ PHẦN VIỄN THÔNG DI ĐỘNG TOÀN CẦU</v>
      </c>
      <c r="N19" s="565"/>
      <c r="O19" s="565"/>
      <c r="P19" s="565"/>
      <c r="Q19" s="565"/>
      <c r="R19" s="565"/>
      <c r="S19" s="565"/>
      <c r="T19" s="565"/>
      <c r="U19" s="565"/>
      <c r="V19" s="565"/>
      <c r="W19" s="565"/>
      <c r="X19" s="565"/>
      <c r="Y19" s="565"/>
      <c r="Z19" s="565"/>
      <c r="AA19" s="565"/>
      <c r="AB19" s="565"/>
      <c r="AC19" s="565"/>
      <c r="AD19" s="565"/>
      <c r="AE19" s="565"/>
      <c r="AF19" s="565"/>
      <c r="AG19" s="279"/>
      <c r="AH19" s="279"/>
      <c r="AI19" s="248" t="s">
        <v>21031</v>
      </c>
    </row>
    <row r="20" ht="18.7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7"/>
      <c r="AE20" s="577"/>
      <c r="AF20" s="578"/>
      <c r="AG20" s="280"/>
      <c r="AH20" s="280"/>
    </row>
    <row r="21" ht="45.2" customHeight="1">
      <c r="C21" s="569" t="s">
        <v>21034</v>
      </c>
      <c r="D21" s="569"/>
      <c r="E21" s="569"/>
      <c r="F21" s="569"/>
      <c r="G21" s="569"/>
      <c r="H21" s="569"/>
      <c r="I21" s="569"/>
      <c r="J21" s="569"/>
      <c r="K21" s="569"/>
      <c r="L21" s="569"/>
      <c r="M21" s="565" t="str">
        <f ref="M21:M23" t="shared" si="0">AI21</f>
        <v>A</v>
      </c>
      <c r="N21" s="565"/>
      <c r="O21" s="565"/>
      <c r="P21" s="565"/>
      <c r="Q21" s="565"/>
      <c r="R21" s="565" t="str">
        <f ref="R21:R23" t="shared" si="1">AM21</f>
        <v>B</v>
      </c>
      <c r="S21" s="565"/>
      <c r="T21" s="565"/>
      <c r="U21" s="565"/>
      <c r="V21" s="565"/>
      <c r="W21" s="565" t="str">
        <f>AQ21</f>
        <v>C</v>
      </c>
      <c r="X21" s="565"/>
      <c r="Y21" s="565"/>
      <c r="Z21" s="565"/>
      <c r="AA21" s="565"/>
      <c r="AB21" s="565" t="str">
        <f>AU21</f>
        <v>D</v>
      </c>
      <c r="AC21" s="565"/>
      <c r="AD21" s="565"/>
      <c r="AE21" s="565"/>
      <c r="AF21" s="565"/>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5">
        <f>AI22</f>
        <v>3</v>
      </c>
      <c r="N22" s="565"/>
      <c r="O22" s="565"/>
      <c r="P22" s="565"/>
      <c r="Q22" s="565"/>
      <c r="R22" s="565">
        <f>AM22</f>
        <v>3</v>
      </c>
      <c r="S22" s="565"/>
      <c r="T22" s="565"/>
      <c r="U22" s="565"/>
      <c r="V22" s="565"/>
      <c r="W22" s="565">
        <f>AQ22</f>
        <v>3</v>
      </c>
      <c r="X22" s="565"/>
      <c r="Y22" s="565"/>
      <c r="Z22" s="565"/>
      <c r="AA22" s="565"/>
      <c r="AB22" s="565">
        <f>AU22</f>
        <v>1</v>
      </c>
      <c r="AC22" s="565"/>
      <c r="AD22" s="565"/>
      <c r="AE22" s="565"/>
      <c r="AF22" s="565"/>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90" t="str">
        <f t="shared" si="0"/>
        <v>4/4/4</v>
      </c>
      <c r="N23" s="590"/>
      <c r="O23" s="590"/>
      <c r="P23" s="590"/>
      <c r="Q23" s="590"/>
      <c r="R23" s="590" t="str">
        <f t="shared" si="1"/>
        <v>2/2/2</v>
      </c>
      <c r="S23" s="590"/>
      <c r="T23" s="590"/>
      <c r="U23" s="590"/>
      <c r="V23" s="590"/>
      <c r="W23" s="597" t="str">
        <f>AQ23</f>
        <v>5/5/5</v>
      </c>
      <c r="X23" s="590"/>
      <c r="Y23" s="590"/>
      <c r="Z23" s="590"/>
      <c r="AA23" s="590"/>
      <c r="AB23" s="597" t="str">
        <f>AU23</f>
        <v>4/2/4</v>
      </c>
      <c r="AC23" s="590"/>
      <c r="AD23" s="590"/>
      <c r="AE23" s="590"/>
      <c r="AF23" s="590"/>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90" t="str">
        <f>IF(M22=4,AI24&amp;"W/ "&amp;AJ24&amp;"W/ "&amp;AK24&amp;"W/ "&amp;AL24&amp;"W",IF(M22=3,AI24&amp;"W/ "&amp;AJ24&amp;"W/ "&amp;AK24&amp;"W",IF(M22=2,AI24&amp;"W/ "&amp;AJ24&amp;"W",AI24&amp;"W")))</f>
        <v>100,45W/ 100,69W/ 100,69W</v>
      </c>
      <c r="N24" s="590"/>
      <c r="O24" s="590"/>
      <c r="P24" s="590"/>
      <c r="Q24" s="590"/>
      <c r="R24" s="590" t="str">
        <f>IF(R22=4,AM24&amp;"W/ "&amp;AN24&amp;"W/ "&amp;AO24&amp;"W/ "&amp;AP24&amp;"W",IF(R22=3,AM24&amp;"W/ "&amp;AN24&amp;"W/ "&amp;AO24&amp;"W",IF(R22=2,AM24&amp;"W/ "&amp;AN24&amp;"W",AM24&amp;"W")))</f>
        <v>40W/ 40W/ 40W</v>
      </c>
      <c r="S24" s="590"/>
      <c r="T24" s="590"/>
      <c r="U24" s="590"/>
      <c r="V24" s="590"/>
      <c r="W24" s="590" t="str">
        <f>IF(W22=4,AQ24&amp;"W/ "&amp;AR24&amp;"W/ "&amp;AS24&amp;"W/ "&amp;AT24&amp;"W",IF(W22=3,AQ24&amp;"W/ "&amp;AR24&amp;"W/ "&amp;AS24&amp;"W",IF(W22=2,AQ24&amp;"W/ "&amp;AR24&amp;"W",AQ24&amp;"W")))</f>
        <v>60W/ 60W/ 60W</v>
      </c>
      <c r="X24" s="590"/>
      <c r="Y24" s="590"/>
      <c r="Z24" s="590"/>
      <c r="AA24" s="590"/>
      <c r="AB24" s="590" t="str">
        <f>IF(AB22=3,AU24&amp;"W/ "&amp;AV24&amp;"W/ "&amp;AW24&amp;"W",IF(AB22=2,AU24&amp;"W/ "&amp;AV24&amp;"W",AW24&amp;"W"))</f>
        <v>80W</v>
      </c>
      <c r="AC24" s="590"/>
      <c r="AD24" s="590"/>
      <c r="AE24" s="590"/>
      <c r="AF24" s="590"/>
      <c r="AI24" s="219" t="s">
        <v>21273</v>
      </c>
      <c r="AJ24" s="219" t="s">
        <v>21278</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90" t="str">
        <f>IF(AI25="900 &amp; 1800","900MHz &amp; 1800MHz",IF(AI25="900 &amp; 2100","900MHz &amp; 2100MHz",AI25&amp;"MHz"))</f>
        <v>900MHz</v>
      </c>
      <c r="N25" s="590"/>
      <c r="O25" s="590"/>
      <c r="P25" s="590"/>
      <c r="Q25" s="590"/>
      <c r="R25" s="590" t="str">
        <f>IF(AM25="900 &amp; 1800","900MHz &amp; 1800MHz",IF(AM25="900 &amp; 2100","900MHz &amp; 2100MHz",AM25&amp;"MHz"))</f>
        <v>1800MHz</v>
      </c>
      <c r="S25" s="590"/>
      <c r="T25" s="590"/>
      <c r="U25" s="590"/>
      <c r="V25" s="590"/>
      <c r="W25" s="590" t="str">
        <f>IF(AQ25="900 &amp; 1800","900MHz &amp; 1800MHz",IF(AQ25="900 &amp; 2100","900MHz &amp; 2100MHz",AQ25&amp;"MHz"))</f>
        <v>2100MHz</v>
      </c>
      <c r="X25" s="590"/>
      <c r="Y25" s="590"/>
      <c r="Z25" s="590"/>
      <c r="AA25" s="590"/>
      <c r="AB25" s="590" t="str">
        <f>IF(AU25="900 &amp; 1800","900MHz &amp; 1800MHz",IF(AU25="900 &amp; 2100","900MHz &amp; 2100MHz",AU25&amp;"MHz"))</f>
        <v>900;1800MHz</v>
      </c>
      <c r="AC25" s="590"/>
      <c r="AD25" s="590"/>
      <c r="AE25" s="590"/>
      <c r="AF25" s="590"/>
      <c r="AI25" s="219">
        <v>900</v>
      </c>
      <c r="AM25" s="219">
        <v>1800</v>
      </c>
      <c r="AQ25" s="219">
        <v>2100</v>
      </c>
      <c r="AU25" s="248" t="s">
        <v>21274</v>
      </c>
    </row>
    <row r="26" ht="31.35" customHeight="1">
      <c r="C26" s="569" t="s">
        <v>21048</v>
      </c>
      <c r="D26" s="569"/>
      <c r="E26" s="569"/>
      <c r="F26" s="569"/>
      <c r="G26" s="569"/>
      <c r="H26" s="569"/>
      <c r="I26" s="569"/>
      <c r="J26" s="569"/>
      <c r="K26" s="569"/>
      <c r="L26" s="569"/>
      <c r="M26" s="590">
        <f>AI26</f>
        <v>15</v>
      </c>
      <c r="N26" s="590"/>
      <c r="O26" s="590"/>
      <c r="P26" s="590"/>
      <c r="Q26" s="590"/>
      <c r="R26" s="590">
        <f>AM26</f>
        <v>16</v>
      </c>
      <c r="S26" s="590"/>
      <c r="T26" s="590"/>
      <c r="U26" s="590"/>
      <c r="V26" s="590"/>
      <c r="W26" s="590">
        <f>AQ26</f>
        <v>17</v>
      </c>
      <c r="X26" s="590"/>
      <c r="Y26" s="590"/>
      <c r="Z26" s="590"/>
      <c r="AA26" s="590"/>
      <c r="AB26" s="590">
        <f>AU26</f>
        <v>18</v>
      </c>
      <c r="AC26" s="590"/>
      <c r="AD26" s="590"/>
      <c r="AE26" s="590"/>
      <c r="AF26" s="590"/>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1" t="s">
        <v>21049</v>
      </c>
      <c r="D27" s="591"/>
      <c r="E27" s="591"/>
      <c r="F27" s="591"/>
      <c r="G27" s="591"/>
      <c r="H27" s="591"/>
      <c r="I27" s="591"/>
      <c r="J27" s="591"/>
      <c r="K27" s="591"/>
      <c r="L27" s="591"/>
      <c r="M27" s="591"/>
      <c r="N27" s="591"/>
      <c r="O27" s="591"/>
      <c r="P27" s="591"/>
      <c r="Q27" s="591"/>
      <c r="R27" s="591"/>
      <c r="S27" s="591"/>
      <c r="T27" s="591"/>
      <c r="U27" s="591"/>
      <c r="V27" s="591"/>
      <c r="W27" s="591"/>
      <c r="X27" s="591"/>
      <c r="Y27" s="591"/>
      <c r="Z27" s="591"/>
      <c r="AA27" s="591"/>
      <c r="AB27" s="260"/>
      <c r="AC27" s="260"/>
      <c r="AD27" s="260"/>
    </row>
    <row r="28" ht="27" customHeight="1">
      <c r="C28" s="55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I28" s="219">
        <v>20</v>
      </c>
      <c r="AQ28" s="219" t="s">
        <v>21050</v>
      </c>
    </row>
    <row r="29" ht="27"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4" t="str">
        <f>IF(AI31=1,AQ31,AQ30)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c r="AI30" s="219">
        <v>20</v>
      </c>
      <c r="AQ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c r="AE32" s="555"/>
      <c r="AF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555"/>
      <c r="AF33" s="555"/>
    </row>
    <row r="34" ht="17.1" customHeight="1">
      <c r="C34" s="522"/>
      <c r="D34" s="522"/>
      <c r="E34" s="522"/>
      <c r="F34" s="522"/>
      <c r="G34" s="522"/>
      <c r="H34" s="260"/>
      <c r="I34" s="523"/>
      <c r="J34" s="523"/>
      <c r="K34" s="523"/>
      <c r="L34" s="523"/>
      <c r="M34" s="523"/>
      <c r="N34" s="523"/>
      <c r="O34" s="523"/>
      <c r="P34" s="234"/>
      <c r="Q34" s="234"/>
      <c r="R34" s="234"/>
      <c r="S34" s="234"/>
      <c r="T34" s="517" t="str">
        <f>IF(AI41=0,AO34,IF(AI41=1,AK34,AS34))</f>
        <v>KT. GIÁM ĐỐC</v>
      </c>
      <c r="U34" s="517"/>
      <c r="V34" s="517"/>
      <c r="W34" s="517"/>
      <c r="X34" s="517"/>
      <c r="Y34" s="517"/>
      <c r="Z34" s="517"/>
      <c r="AA34" s="517"/>
      <c r="AB34" s="517"/>
      <c r="AC34" s="517"/>
      <c r="AD34" s="517"/>
      <c r="AE34" s="517"/>
      <c r="AF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520"/>
      <c r="P35" s="264"/>
      <c r="Q35" s="260"/>
      <c r="R35" s="260"/>
      <c r="S35" s="260"/>
      <c r="T35" s="517" t="str">
        <f>IF(AI41=0,AO35,IF(AI41=1,"",AS35))</f>
        <v>PHÓ GIÁM ĐỐC</v>
      </c>
      <c r="U35" s="517"/>
      <c r="V35" s="517"/>
      <c r="W35" s="517"/>
      <c r="X35" s="517"/>
      <c r="Y35" s="517"/>
      <c r="Z35" s="517"/>
      <c r="AA35" s="517"/>
      <c r="AB35" s="517"/>
      <c r="AC35" s="517"/>
      <c r="AD35" s="517"/>
      <c r="AE35" s="517"/>
      <c r="AF35" s="517"/>
      <c r="AO35" s="219" t="s">
        <v>21060</v>
      </c>
      <c r="AS35" s="219" t="s">
        <v>21061</v>
      </c>
    </row>
    <row r="36" ht="17.1" customHeight="1">
      <c r="C36" s="518" t="s">
        <v>21062</v>
      </c>
      <c r="D36" s="518"/>
      <c r="E36" s="518"/>
      <c r="F36" s="518"/>
      <c r="G36" s="518"/>
      <c r="H36" s="263" t="s">
        <v>21058</v>
      </c>
      <c r="I36" s="519">
        <f>AI36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8" t="s">
        <v>21063</v>
      </c>
      <c r="D37" s="518"/>
      <c r="E37" s="518"/>
      <c r="F37" s="518"/>
      <c r="G37" s="518"/>
      <c r="H37" s="263" t="s">
        <v>21058</v>
      </c>
      <c r="I37" s="519">
        <f>AI37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F41" s="516"/>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558"/>
      <c r="AF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558"/>
      <c r="AF44" s="558"/>
    </row>
    <row r="45" ht="16.5" customHeight="1">
      <c r="B45" s="557"/>
      <c r="C45" s="557"/>
      <c r="D45" s="557"/>
      <c r="E45" s="557"/>
      <c r="F45" s="557"/>
      <c r="G45" s="557"/>
      <c r="H45" s="513" t="s">
        <v>21068</v>
      </c>
      <c r="I45" s="513"/>
      <c r="J45" s="513"/>
      <c r="K45" s="513"/>
      <c r="L45" s="513" t="s">
        <v>21069</v>
      </c>
      <c r="M45" s="513"/>
      <c r="N45" s="513"/>
      <c r="O45" s="513" t="s">
        <v>21070</v>
      </c>
      <c r="P45" s="513"/>
      <c r="Q45" s="513"/>
      <c r="R45" s="513" t="s">
        <v>21071</v>
      </c>
      <c r="S45" s="513"/>
      <c r="T45" s="513"/>
      <c r="U45" s="513"/>
      <c r="V45" s="513"/>
      <c r="W45" s="513" t="s">
        <v>21072</v>
      </c>
      <c r="X45" s="513"/>
      <c r="Y45" s="513"/>
      <c r="Z45" s="513"/>
      <c r="AA45" s="513" t="s">
        <v>21073</v>
      </c>
      <c r="AB45" s="513"/>
      <c r="AC45" s="513"/>
      <c r="AD45" s="513"/>
      <c r="AE45" s="513"/>
      <c r="AF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513"/>
      <c r="AF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513"/>
      <c r="AF48" s="513"/>
      <c r="AI48" s="219">
        <v>35</v>
      </c>
      <c r="AK48" s="219">
        <v>37</v>
      </c>
      <c r="AN48" s="219">
        <v>40</v>
      </c>
      <c r="AQ48" s="219">
        <v>43</v>
      </c>
      <c r="AR48" s="219">
        <v>44</v>
      </c>
      <c r="AS48" s="219">
        <v>45</v>
      </c>
      <c r="AT48" s="219">
        <v>46</v>
      </c>
      <c r="AU48" s="219">
        <v>47</v>
      </c>
      <c r="AV48" s="219">
        <v>48</v>
      </c>
      <c r="AW48" s="219">
        <v>49</v>
      </c>
      <c r="AX48" s="219">
        <v>50</v>
      </c>
    </row>
    <row r="49" ht="18.75" customHeight="1">
      <c r="B49" s="513" t="str">
        <f>AI49</f>
        <v>CÔNG TY CỔ PHẦN VIỄN THÔNG DI ĐỘNG TOÀN CẦU</v>
      </c>
      <c r="C49" s="513"/>
      <c r="D49" s="513"/>
      <c r="E49" s="513"/>
      <c r="F49" s="513"/>
      <c r="G49" s="513"/>
      <c r="H49" s="514" t="str">
        <f>AK49</f>
        <v>TB1</v>
      </c>
      <c r="I49" s="514"/>
      <c r="J49" s="514"/>
      <c r="K49" s="514"/>
      <c r="L49" s="515">
        <v>1</v>
      </c>
      <c r="M49" s="515"/>
      <c r="N49" s="515"/>
      <c r="O49" s="556" t="str">
        <f>AN49</f>
        <v>4/4/4</v>
      </c>
      <c r="P49" s="513"/>
      <c r="Q49" s="513"/>
      <c r="R49" s="513" t="str">
        <f>IF(L49=3,AQ49&amp;"W/ "&amp;AR49&amp;"W/ "&amp;AS49&amp;"W",IF(L49=2,AQ49&amp;"W/ "&amp;AR49&amp;"W",AQ49&amp;"W"))</f>
        <v>20W</v>
      </c>
      <c r="S49" s="513"/>
      <c r="T49" s="513"/>
      <c r="U49" s="513"/>
      <c r="V49" s="513"/>
      <c r="W49" s="513" t="str">
        <f>IF(AU49="900 &amp; 1800","900MHz &amp; 1800MHz",IF(AU49="900 &amp; 2100","900MHz &amp; 2100MHz",IF(AU49="1800 &amp; 2100","1800MHz &amp; 2100MHz",AU49&amp;"MHz")))</f>
        <v>900MHz</v>
      </c>
      <c r="X49" s="513"/>
      <c r="Y49" s="513"/>
      <c r="Z49" s="513"/>
      <c r="AA49" s="513">
        <f>AV49</f>
        <v>15</v>
      </c>
      <c r="AB49" s="513"/>
      <c r="AC49" s="513"/>
      <c r="AD49" s="513"/>
      <c r="AE49" s="513"/>
      <c r="AF49" s="513"/>
      <c r="AI49" s="248" t="s">
        <v>21031</v>
      </c>
      <c r="AK49" s="248" t="s">
        <v>21074</v>
      </c>
      <c r="AL49" s="248"/>
      <c r="AN49" s="258" t="s">
        <v>21041</v>
      </c>
      <c r="AQ49" s="219">
        <v>20</v>
      </c>
      <c r="AR49" s="219">
        <v>30</v>
      </c>
      <c r="AS49" s="219">
        <v>40</v>
      </c>
      <c r="AU49" s="219">
        <v>900</v>
      </c>
      <c r="AV49" s="219">
        <v>15</v>
      </c>
    </row>
    <row r="50" ht="18.75" customHeight="1">
      <c r="B50" s="513"/>
      <c r="C50" s="513"/>
      <c r="D50" s="513"/>
      <c r="E50" s="513"/>
      <c r="F50" s="513"/>
      <c r="G50" s="513"/>
      <c r="H50" s="514"/>
      <c r="I50" s="514"/>
      <c r="J50" s="514"/>
      <c r="K50" s="514"/>
      <c r="L50" s="515"/>
      <c r="M50" s="515"/>
      <c r="N50" s="515"/>
      <c r="O50" s="513"/>
      <c r="P50" s="513"/>
      <c r="Q50" s="513"/>
      <c r="R50" s="513"/>
      <c r="S50" s="513"/>
      <c r="T50" s="513"/>
      <c r="U50" s="513"/>
      <c r="V50" s="513"/>
      <c r="W50" s="513"/>
      <c r="X50" s="513"/>
      <c r="Y50" s="513"/>
      <c r="Z50" s="513"/>
      <c r="AA50" s="513"/>
      <c r="AB50" s="513"/>
      <c r="AC50" s="513"/>
      <c r="AD50" s="513"/>
      <c r="AE50" s="513"/>
      <c r="AF50" s="513"/>
    </row>
    <row r="51" ht="18.75" customHeight="1">
      <c r="B51" s="513"/>
      <c r="C51" s="513"/>
      <c r="D51" s="513"/>
      <c r="E51" s="513"/>
      <c r="F51" s="513"/>
      <c r="G51" s="513"/>
      <c r="H51" s="514"/>
      <c r="I51" s="514"/>
      <c r="J51" s="514"/>
      <c r="K51" s="514"/>
      <c r="L51" s="515"/>
      <c r="M51" s="515"/>
      <c r="N51" s="515"/>
      <c r="O51" s="513"/>
      <c r="P51" s="513"/>
      <c r="Q51" s="513"/>
      <c r="R51" s="513"/>
      <c r="S51" s="513"/>
      <c r="T51" s="513"/>
      <c r="U51" s="513"/>
      <c r="V51" s="513"/>
      <c r="W51" s="513"/>
      <c r="X51" s="513"/>
      <c r="Y51" s="513"/>
      <c r="Z51" s="513"/>
      <c r="AA51" s="513"/>
      <c r="AB51" s="513"/>
      <c r="AC51" s="513"/>
      <c r="AD51" s="513"/>
      <c r="AE51" s="513"/>
      <c r="AF51" s="513"/>
    </row>
    <row r="52" ht="18.75" customHeight="1">
      <c r="B52" s="513"/>
      <c r="C52" s="513"/>
      <c r="D52" s="513"/>
      <c r="E52" s="513"/>
      <c r="F52" s="513"/>
      <c r="G52" s="513"/>
      <c r="H52" s="514"/>
      <c r="I52" s="514"/>
      <c r="J52" s="514"/>
      <c r="K52" s="514"/>
      <c r="L52" s="515"/>
      <c r="M52" s="515"/>
      <c r="N52" s="515"/>
      <c r="O52" s="513"/>
      <c r="P52" s="513"/>
      <c r="Q52" s="513"/>
      <c r="R52" s="513"/>
      <c r="S52" s="513"/>
      <c r="T52" s="513"/>
      <c r="U52" s="513"/>
      <c r="V52" s="513"/>
      <c r="W52" s="513"/>
      <c r="X52" s="513"/>
      <c r="Y52" s="513"/>
      <c r="Z52" s="513"/>
      <c r="AA52" s="513"/>
      <c r="AB52" s="513"/>
      <c r="AC52" s="513"/>
      <c r="AD52" s="513"/>
      <c r="AE52" s="513"/>
      <c r="AF52" s="513"/>
    </row>
    <row r="53" ht="18.75" customHeight="1">
      <c r="B53" s="513" t="str">
        <f>AI53</f>
        <v>CÔNG TY CỔ PHẦN VIỄN THÔNG DI ĐỘNG TOÀN CẦU</v>
      </c>
      <c r="C53" s="513"/>
      <c r="D53" s="513"/>
      <c r="E53" s="513"/>
      <c r="F53" s="513"/>
      <c r="G53" s="513"/>
      <c r="H53" s="514" t="str">
        <f>AK53</f>
        <v>TB2</v>
      </c>
      <c r="I53" s="514"/>
      <c r="J53" s="514"/>
      <c r="K53" s="514"/>
      <c r="L53" s="515">
        <v>2</v>
      </c>
      <c r="M53" s="515"/>
      <c r="N53" s="515"/>
      <c r="O53" s="556" t="str">
        <f>AN53</f>
        <v>4/4/4</v>
      </c>
      <c r="P53" s="513"/>
      <c r="Q53" s="513"/>
      <c r="R53" s="513" t="str">
        <f>IF(L53=3,AQ53&amp;"W/ "&amp;AR53&amp;"W/ "&amp;AS53&amp;"W",IF(L53=2,AQ53&amp;"W/ "&amp;AR53&amp;"W",AQ53&amp;"W"))</f>
        <v>30W/ 40W</v>
      </c>
      <c r="S53" s="513"/>
      <c r="T53" s="513"/>
      <c r="U53" s="513"/>
      <c r="V53" s="513"/>
      <c r="W53" s="513" t="str">
        <f>IF(AU53="900 &amp; 1800","900MHz &amp; 1800MHz",IF(AU53="900 &amp; 2100","900MHz &amp; 2100MHz",IF(AU53="1800 &amp; 2100","1800MHz &amp; 2100MHz",AU53&amp;"MHz")))</f>
        <v>1800MHz</v>
      </c>
      <c r="X53" s="513"/>
      <c r="Y53" s="513"/>
      <c r="Z53" s="513"/>
      <c r="AA53" s="513">
        <f>AV53</f>
        <v>15</v>
      </c>
      <c r="AB53" s="513"/>
      <c r="AC53" s="513"/>
      <c r="AD53" s="513"/>
      <c r="AE53" s="513"/>
      <c r="AF53" s="513"/>
      <c r="AI53" s="248" t="s">
        <v>21031</v>
      </c>
      <c r="AK53" s="248" t="s">
        <v>21279</v>
      </c>
      <c r="AL53" s="248"/>
      <c r="AN53" s="258" t="s">
        <v>21041</v>
      </c>
      <c r="AQ53" s="219">
        <v>30</v>
      </c>
      <c r="AR53" s="219">
        <v>40</v>
      </c>
      <c r="AS53" s="219">
        <v>40</v>
      </c>
      <c r="AU53" s="219">
        <v>1800</v>
      </c>
      <c r="AV53" s="219">
        <v>15</v>
      </c>
    </row>
    <row r="54" ht="18.75" customHeight="1">
      <c r="B54" s="513"/>
      <c r="C54" s="513"/>
      <c r="D54" s="513"/>
      <c r="E54" s="513"/>
      <c r="F54" s="513"/>
      <c r="G54" s="513"/>
      <c r="H54" s="514"/>
      <c r="I54" s="514"/>
      <c r="J54" s="514"/>
      <c r="K54" s="514"/>
      <c r="L54" s="515"/>
      <c r="M54" s="515"/>
      <c r="N54" s="515"/>
      <c r="O54" s="513"/>
      <c r="P54" s="513"/>
      <c r="Q54" s="513"/>
      <c r="R54" s="513"/>
      <c r="S54" s="513"/>
      <c r="T54" s="513"/>
      <c r="U54" s="513"/>
      <c r="V54" s="513"/>
      <c r="W54" s="513"/>
      <c r="X54" s="513"/>
      <c r="Y54" s="513"/>
      <c r="Z54" s="513"/>
      <c r="AA54" s="513"/>
      <c r="AB54" s="513"/>
      <c r="AC54" s="513"/>
      <c r="AD54" s="513"/>
      <c r="AE54" s="513"/>
      <c r="AF54" s="513"/>
    </row>
    <row r="55" ht="18.75" customHeight="1">
      <c r="B55" s="513"/>
      <c r="C55" s="513"/>
      <c r="D55" s="513"/>
      <c r="E55" s="513"/>
      <c r="F55" s="513"/>
      <c r="G55" s="513"/>
      <c r="H55" s="514"/>
      <c r="I55" s="514"/>
      <c r="J55" s="514"/>
      <c r="K55" s="514"/>
      <c r="L55" s="515"/>
      <c r="M55" s="515"/>
      <c r="N55" s="515"/>
      <c r="O55" s="513"/>
      <c r="P55" s="513"/>
      <c r="Q55" s="513"/>
      <c r="R55" s="513"/>
      <c r="S55" s="513"/>
      <c r="T55" s="513"/>
      <c r="U55" s="513"/>
      <c r="V55" s="513"/>
      <c r="W55" s="513"/>
      <c r="X55" s="513"/>
      <c r="Y55" s="513"/>
      <c r="Z55" s="513"/>
      <c r="AA55" s="513"/>
      <c r="AB55" s="513"/>
      <c r="AC55" s="513"/>
      <c r="AD55" s="513"/>
      <c r="AE55" s="513"/>
      <c r="AF55" s="513"/>
    </row>
    <row r="56" ht="18.75" customHeight="1">
      <c r="B56" s="513"/>
      <c r="C56" s="513"/>
      <c r="D56" s="513"/>
      <c r="E56" s="513"/>
      <c r="F56" s="513"/>
      <c r="G56" s="513"/>
      <c r="H56" s="514"/>
      <c r="I56" s="514"/>
      <c r="J56" s="514"/>
      <c r="K56" s="514"/>
      <c r="L56" s="515"/>
      <c r="M56" s="515"/>
      <c r="N56" s="515"/>
      <c r="O56" s="513"/>
      <c r="P56" s="513"/>
      <c r="Q56" s="513"/>
      <c r="R56" s="513"/>
      <c r="S56" s="513"/>
      <c r="T56" s="513"/>
      <c r="U56" s="513"/>
      <c r="V56" s="513"/>
      <c r="W56" s="513"/>
      <c r="X56" s="513"/>
      <c r="Y56" s="513"/>
      <c r="Z56" s="513"/>
      <c r="AA56" s="513"/>
      <c r="AB56" s="513"/>
      <c r="AC56" s="513"/>
      <c r="AD56" s="513"/>
      <c r="AE56" s="513"/>
      <c r="AF56" s="513"/>
    </row>
    <row r="57" ht="18.75" customHeight="1">
      <c r="B57" s="513" t="str">
        <f>AI57</f>
        <v>CÔNG TY CỔ PHẦN VIỄN THÔNG DI ĐỘNG TOÀN CẦU</v>
      </c>
      <c r="C57" s="513"/>
      <c r="D57" s="513"/>
      <c r="E57" s="513"/>
      <c r="F57" s="513"/>
      <c r="G57" s="513"/>
      <c r="H57" s="514" t="str">
        <f>AK57</f>
        <v>TB2</v>
      </c>
      <c r="I57" s="514"/>
      <c r="J57" s="514"/>
      <c r="K57" s="514"/>
      <c r="L57" s="515">
        <v>3</v>
      </c>
      <c r="M57" s="515"/>
      <c r="N57" s="515"/>
      <c r="O57" s="556" t="str">
        <f>AN57</f>
        <v>4/4/4</v>
      </c>
      <c r="P57" s="513"/>
      <c r="Q57" s="513"/>
      <c r="R57" s="513" t="str">
        <f>IF(L57=3,AQ57&amp;"W/ "&amp;AR57&amp;"W/ "&amp;AS57&amp;"W",IF(L57=2,AQ57&amp;"W/ "&amp;AR57&amp;"W",AQ57&amp;"W"))</f>
        <v>30W/ 40W/ 40W</v>
      </c>
      <c r="S57" s="513"/>
      <c r="T57" s="513"/>
      <c r="U57" s="513"/>
      <c r="V57" s="513"/>
      <c r="W57" s="513" t="str">
        <f>IF(AU57="900 &amp; 1800","900MHz &amp; 1800MHz",IF(AU57="900 &amp; 2100","900MHz &amp; 2100MHz",IF(AU57="1800 &amp; 2100","1800MHz &amp; 2100MHz",AU57&amp;"MHz")))</f>
        <v>9000 &amp; 1800MHz</v>
      </c>
      <c r="X57" s="513"/>
      <c r="Y57" s="513"/>
      <c r="Z57" s="513"/>
      <c r="AA57" s="513">
        <f>AV57</f>
        <v>15</v>
      </c>
      <c r="AB57" s="513"/>
      <c r="AC57" s="513"/>
      <c r="AD57" s="513"/>
      <c r="AE57" s="513"/>
      <c r="AF57" s="513"/>
      <c r="AI57" s="248" t="s">
        <v>21031</v>
      </c>
      <c r="AK57" s="248" t="s">
        <v>21279</v>
      </c>
      <c r="AL57" s="248"/>
      <c r="AN57" s="258" t="s">
        <v>21041</v>
      </c>
      <c r="AQ57" s="219">
        <v>30</v>
      </c>
      <c r="AR57" s="219">
        <v>40</v>
      </c>
      <c r="AS57" s="219">
        <v>40</v>
      </c>
      <c r="AU57" s="219" t="s">
        <v>21075</v>
      </c>
      <c r="AV57" s="219">
        <v>15</v>
      </c>
    </row>
    <row r="58" ht="18.75" customHeight="1">
      <c r="B58" s="513"/>
      <c r="C58" s="513"/>
      <c r="D58" s="513"/>
      <c r="E58" s="513"/>
      <c r="F58" s="513"/>
      <c r="G58" s="513"/>
      <c r="H58" s="514"/>
      <c r="I58" s="514"/>
      <c r="J58" s="514"/>
      <c r="K58" s="514"/>
      <c r="L58" s="515"/>
      <c r="M58" s="515"/>
      <c r="N58" s="515"/>
      <c r="O58" s="513"/>
      <c r="P58" s="513"/>
      <c r="Q58" s="513"/>
      <c r="R58" s="513"/>
      <c r="S58" s="513"/>
      <c r="T58" s="513"/>
      <c r="U58" s="513"/>
      <c r="V58" s="513"/>
      <c r="W58" s="513"/>
      <c r="X58" s="513"/>
      <c r="Y58" s="513"/>
      <c r="Z58" s="513"/>
      <c r="AA58" s="513"/>
      <c r="AB58" s="513"/>
      <c r="AC58" s="513"/>
      <c r="AD58" s="513"/>
      <c r="AE58" s="513"/>
      <c r="AF58" s="513"/>
    </row>
    <row r="59" ht="18.75" customHeight="1">
      <c r="B59" s="513"/>
      <c r="C59" s="513"/>
      <c r="D59" s="513"/>
      <c r="E59" s="513"/>
      <c r="F59" s="513"/>
      <c r="G59" s="513"/>
      <c r="H59" s="514"/>
      <c r="I59" s="514"/>
      <c r="J59" s="514"/>
      <c r="K59" s="514"/>
      <c r="L59" s="515"/>
      <c r="M59" s="515"/>
      <c r="N59" s="515"/>
      <c r="O59" s="513"/>
      <c r="P59" s="513"/>
      <c r="Q59" s="513"/>
      <c r="R59" s="513"/>
      <c r="S59" s="513"/>
      <c r="T59" s="513"/>
      <c r="U59" s="513"/>
      <c r="V59" s="513"/>
      <c r="W59" s="513"/>
      <c r="X59" s="513"/>
      <c r="Y59" s="513"/>
      <c r="Z59" s="513"/>
      <c r="AA59" s="513"/>
      <c r="AB59" s="513"/>
      <c r="AC59" s="513"/>
      <c r="AD59" s="513"/>
      <c r="AE59" s="513"/>
      <c r="AF59" s="513"/>
    </row>
    <row r="60" ht="18.75" customHeight="1">
      <c r="B60" s="513"/>
      <c r="C60" s="513"/>
      <c r="D60" s="513"/>
      <c r="E60" s="513"/>
      <c r="F60" s="513"/>
      <c r="G60" s="513"/>
      <c r="H60" s="514"/>
      <c r="I60" s="514"/>
      <c r="J60" s="514"/>
      <c r="K60" s="514"/>
      <c r="L60" s="515"/>
      <c r="M60" s="515"/>
      <c r="N60" s="515"/>
      <c r="O60" s="513"/>
      <c r="P60" s="513"/>
      <c r="Q60" s="513"/>
      <c r="R60" s="513"/>
      <c r="S60" s="513"/>
      <c r="T60" s="513"/>
      <c r="U60" s="513"/>
      <c r="V60" s="513"/>
      <c r="W60" s="513"/>
      <c r="X60" s="513"/>
      <c r="Y60" s="513"/>
      <c r="Z60" s="513"/>
      <c r="AA60" s="513"/>
      <c r="AB60" s="513"/>
      <c r="AC60" s="513"/>
      <c r="AD60" s="513"/>
      <c r="AE60" s="513"/>
      <c r="AF60" s="513"/>
    </row>
    <row r="61" ht="18.75" customHeight="1">
      <c r="B61" s="513" t="str">
        <f>AI61</f>
        <v>CÔNG TY CỔ PHẦN VIỄN THÔNG DI ĐỘNG TOÀN CẦU</v>
      </c>
      <c r="C61" s="513"/>
      <c r="D61" s="513"/>
      <c r="E61" s="513"/>
      <c r="F61" s="513"/>
      <c r="G61" s="513"/>
      <c r="H61" s="514" t="str">
        <f>AK61</f>
        <v>TB2</v>
      </c>
      <c r="I61" s="514"/>
      <c r="J61" s="514"/>
      <c r="K61" s="514"/>
      <c r="L61" s="515">
        <v>2</v>
      </c>
      <c r="M61" s="515"/>
      <c r="N61" s="515"/>
      <c r="O61" s="556" t="str">
        <f>AN61</f>
        <v>4/4/4</v>
      </c>
      <c r="P61" s="513"/>
      <c r="Q61" s="513"/>
      <c r="R61" s="513" t="str">
        <f>IF(L61=3,AQ61&amp;"W/ "&amp;AR61&amp;"W/ "&amp;AS61&amp;"W",IF(L61=2,AQ61&amp;"W/ "&amp;AR61&amp;"W",AQ61&amp;"W"))</f>
        <v>30W/ 40W</v>
      </c>
      <c r="S61" s="513"/>
      <c r="T61" s="513"/>
      <c r="U61" s="513"/>
      <c r="V61" s="513"/>
      <c r="W61" s="513" t="str">
        <f>IF(AU61="900 &amp; 1800","900MHz &amp; 1800MHz",IF(AU61="900 &amp; 2100","900MHz &amp; 2100MHz",IF(AU61="1800 &amp; 2100","1800MHz &amp; 2100MHz",AU61&amp;"MHz")))</f>
        <v>9000 &amp; 2100MHz</v>
      </c>
      <c r="X61" s="513"/>
      <c r="Y61" s="513"/>
      <c r="Z61" s="513"/>
      <c r="AA61" s="513">
        <f>AV61</f>
        <v>15</v>
      </c>
      <c r="AB61" s="513"/>
      <c r="AC61" s="513"/>
      <c r="AD61" s="513"/>
      <c r="AE61" s="513"/>
      <c r="AF61" s="513"/>
      <c r="AI61" s="248" t="s">
        <v>21031</v>
      </c>
      <c r="AK61" s="248" t="s">
        <v>21279</v>
      </c>
      <c r="AL61" s="248"/>
      <c r="AN61" s="258" t="s">
        <v>21041</v>
      </c>
      <c r="AQ61" s="219">
        <v>30</v>
      </c>
      <c r="AR61" s="219">
        <v>40</v>
      </c>
      <c r="AS61" s="219">
        <v>40</v>
      </c>
      <c r="AU61" s="219" t="s">
        <v>21076</v>
      </c>
      <c r="AV61" s="219">
        <v>15</v>
      </c>
    </row>
    <row r="62" ht="18.75" customHeight="1">
      <c r="B62" s="513"/>
      <c r="C62" s="513"/>
      <c r="D62" s="513"/>
      <c r="E62" s="513"/>
      <c r="F62" s="513"/>
      <c r="G62" s="513"/>
      <c r="H62" s="514"/>
      <c r="I62" s="514"/>
      <c r="J62" s="514"/>
      <c r="K62" s="514"/>
      <c r="L62" s="515"/>
      <c r="M62" s="515"/>
      <c r="N62" s="515"/>
      <c r="O62" s="513"/>
      <c r="P62" s="513"/>
      <c r="Q62" s="513"/>
      <c r="R62" s="513"/>
      <c r="S62" s="513"/>
      <c r="T62" s="513"/>
      <c r="U62" s="513"/>
      <c r="V62" s="513"/>
      <c r="W62" s="513"/>
      <c r="X62" s="513"/>
      <c r="Y62" s="513"/>
      <c r="Z62" s="513"/>
      <c r="AA62" s="513"/>
      <c r="AB62" s="513"/>
      <c r="AC62" s="513"/>
      <c r="AD62" s="513"/>
      <c r="AE62" s="513"/>
      <c r="AF62" s="513"/>
    </row>
    <row r="63" ht="18.75" customHeight="1">
      <c r="B63" s="513"/>
      <c r="C63" s="513"/>
      <c r="D63" s="513"/>
      <c r="E63" s="513"/>
      <c r="F63" s="513"/>
      <c r="G63" s="513"/>
      <c r="H63" s="514"/>
      <c r="I63" s="514"/>
      <c r="J63" s="514"/>
      <c r="K63" s="514"/>
      <c r="L63" s="515"/>
      <c r="M63" s="515"/>
      <c r="N63" s="515"/>
      <c r="O63" s="513"/>
      <c r="P63" s="513"/>
      <c r="Q63" s="513"/>
      <c r="R63" s="513"/>
      <c r="S63" s="513"/>
      <c r="T63" s="513"/>
      <c r="U63" s="513"/>
      <c r="V63" s="513"/>
      <c r="W63" s="513"/>
      <c r="X63" s="513"/>
      <c r="Y63" s="513"/>
      <c r="Z63" s="513"/>
      <c r="AA63" s="513"/>
      <c r="AB63" s="513"/>
      <c r="AC63" s="513"/>
      <c r="AD63" s="513"/>
      <c r="AE63" s="513"/>
      <c r="AF63" s="513"/>
    </row>
    <row r="64" ht="18.75" customHeight="1">
      <c r="B64" s="513"/>
      <c r="C64" s="513"/>
      <c r="D64" s="513"/>
      <c r="E64" s="513"/>
      <c r="F64" s="513"/>
      <c r="G64" s="513"/>
      <c r="H64" s="514"/>
      <c r="I64" s="514"/>
      <c r="J64" s="514"/>
      <c r="K64" s="514"/>
      <c r="L64" s="515"/>
      <c r="M64" s="515"/>
      <c r="N64" s="515"/>
      <c r="O64" s="513"/>
      <c r="P64" s="513"/>
      <c r="Q64" s="513"/>
      <c r="R64" s="513"/>
      <c r="S64" s="513"/>
      <c r="T64" s="513"/>
      <c r="U64" s="513"/>
      <c r="V64" s="513"/>
      <c r="W64" s="513"/>
      <c r="X64" s="513"/>
      <c r="Y64" s="513"/>
      <c r="Z64" s="513"/>
      <c r="AA64" s="513"/>
      <c r="AB64" s="513"/>
      <c r="AC64" s="513"/>
      <c r="AD64" s="513"/>
      <c r="AE64" s="513"/>
      <c r="AF64" s="513"/>
    </row>
    <row r="65" ht="18.75" customHeight="1">
      <c r="B65" s="513" t="str">
        <f>AI65</f>
        <v>CÔNG TY CỔ PHẦN VIỄN THÔNG DI ĐỘNG TOÀN CẦU</v>
      </c>
      <c r="C65" s="513"/>
      <c r="D65" s="513"/>
      <c r="E65" s="513"/>
      <c r="F65" s="513"/>
      <c r="G65" s="513"/>
      <c r="H65" s="514" t="str">
        <f>AK65</f>
        <v>TB2</v>
      </c>
      <c r="I65" s="514"/>
      <c r="J65" s="514"/>
      <c r="K65" s="514"/>
      <c r="L65" s="515">
        <v>1</v>
      </c>
      <c r="M65" s="515"/>
      <c r="N65" s="515"/>
      <c r="O65" s="556" t="str">
        <f>AN65</f>
        <v>4/4/4</v>
      </c>
      <c r="P65" s="513"/>
      <c r="Q65" s="513"/>
      <c r="R65" s="513" t="str">
        <f>IF(L65=3,AQ65&amp;"W/ "&amp;AR65&amp;"W/ "&amp;AS65&amp;"W",IF(L65=2,AQ65&amp;"W/ "&amp;AR65&amp;"W",AQ65&amp;"W"))</f>
        <v>30W</v>
      </c>
      <c r="S65" s="513"/>
      <c r="T65" s="513"/>
      <c r="U65" s="513"/>
      <c r="V65" s="513"/>
      <c r="W65" s="513" t="str">
        <f>IF(AU65="900 &amp; 1800","900MHz &amp; 1800MHz",IF(AU65="900 &amp; 2100","900MHz &amp; 2100MHz",IF(AU65="1800 &amp; 2100","1800MHz &amp; 2100MHz",AU65&amp;"MHz")))</f>
        <v>1800MHz &amp; 2100MHz</v>
      </c>
      <c r="X65" s="513"/>
      <c r="Y65" s="513"/>
      <c r="Z65" s="513"/>
      <c r="AA65" s="513">
        <f>AV65</f>
        <v>15</v>
      </c>
      <c r="AB65" s="513"/>
      <c r="AC65" s="513"/>
      <c r="AD65" s="513"/>
      <c r="AE65" s="513"/>
      <c r="AF65" s="513"/>
      <c r="AI65" s="248" t="s">
        <v>21031</v>
      </c>
      <c r="AK65" s="248" t="s">
        <v>21279</v>
      </c>
      <c r="AL65" s="248"/>
      <c r="AN65" s="258" t="s">
        <v>21041</v>
      </c>
      <c r="AQ65" s="219">
        <v>30</v>
      </c>
      <c r="AR65" s="219">
        <v>40</v>
      </c>
      <c r="AS65" s="219">
        <v>40</v>
      </c>
      <c r="AU65" s="219" t="s">
        <v>21077</v>
      </c>
      <c r="AV65" s="219">
        <v>15</v>
      </c>
      <c r="AW65" s="219">
        <v>16</v>
      </c>
      <c r="AX65" s="219">
        <v>17</v>
      </c>
    </row>
    <row r="66" ht="18.75" customHeight="1">
      <c r="B66" s="513"/>
      <c r="C66" s="513"/>
      <c r="D66" s="513"/>
      <c r="E66" s="513"/>
      <c r="F66" s="513"/>
      <c r="G66" s="513"/>
      <c r="H66" s="514"/>
      <c r="I66" s="514"/>
      <c r="J66" s="514"/>
      <c r="K66" s="514"/>
      <c r="L66" s="515"/>
      <c r="M66" s="515"/>
      <c r="N66" s="515"/>
      <c r="O66" s="513"/>
      <c r="P66" s="513"/>
      <c r="Q66" s="513"/>
      <c r="R66" s="513"/>
      <c r="S66" s="513"/>
      <c r="T66" s="513"/>
      <c r="U66" s="513"/>
      <c r="V66" s="513"/>
      <c r="W66" s="513"/>
      <c r="X66" s="513"/>
      <c r="Y66" s="513"/>
      <c r="Z66" s="513"/>
      <c r="AA66" s="513"/>
      <c r="AB66" s="513"/>
      <c r="AC66" s="513"/>
      <c r="AD66" s="513"/>
      <c r="AE66" s="513"/>
      <c r="AF66" s="513"/>
    </row>
    <row r="67" ht="18.75" customHeight="1">
      <c r="B67" s="513"/>
      <c r="C67" s="513"/>
      <c r="D67" s="513"/>
      <c r="E67" s="513"/>
      <c r="F67" s="513"/>
      <c r="G67" s="513"/>
      <c r="H67" s="514"/>
      <c r="I67" s="514"/>
      <c r="J67" s="514"/>
      <c r="K67" s="514"/>
      <c r="L67" s="515"/>
      <c r="M67" s="515"/>
      <c r="N67" s="515"/>
      <c r="O67" s="513"/>
      <c r="P67" s="513"/>
      <c r="Q67" s="513"/>
      <c r="R67" s="513"/>
      <c r="S67" s="513"/>
      <c r="T67" s="513"/>
      <c r="U67" s="513"/>
      <c r="V67" s="513"/>
      <c r="W67" s="513"/>
      <c r="X67" s="513"/>
      <c r="Y67" s="513"/>
      <c r="Z67" s="513"/>
      <c r="AA67" s="513"/>
      <c r="AB67" s="513"/>
      <c r="AC67" s="513"/>
      <c r="AD67" s="513"/>
      <c r="AE67" s="513"/>
      <c r="AF67" s="513"/>
    </row>
    <row r="68" ht="18.75" customHeight="1">
      <c r="B68" s="513"/>
      <c r="C68" s="513"/>
      <c r="D68" s="513"/>
      <c r="E68" s="513"/>
      <c r="F68" s="513"/>
      <c r="G68" s="513"/>
      <c r="H68" s="514"/>
      <c r="I68" s="514"/>
      <c r="J68" s="514"/>
      <c r="K68" s="514"/>
      <c r="L68" s="515"/>
      <c r="M68" s="515"/>
      <c r="N68" s="515"/>
      <c r="O68" s="513"/>
      <c r="P68" s="513"/>
      <c r="Q68" s="513"/>
      <c r="R68" s="513"/>
      <c r="S68" s="513"/>
      <c r="T68" s="513"/>
      <c r="U68" s="513"/>
      <c r="V68" s="513"/>
      <c r="W68" s="513"/>
      <c r="X68" s="513"/>
      <c r="Y68" s="513"/>
      <c r="Z68" s="513"/>
      <c r="AA68" s="513"/>
      <c r="AB68" s="513"/>
      <c r="AC68" s="513"/>
      <c r="AD68" s="513"/>
      <c r="AE68" s="513"/>
      <c r="AF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2020-09-22T04:03:56Z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